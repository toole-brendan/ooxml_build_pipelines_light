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d33e3b155c41b5" /></Relationships>
</file>

<file path=xl/workbook.xml><?xml version="1.0" encoding="utf-8"?>
<x:workbook xmlns:x="http://schemas.openxmlformats.org/spreadsheetml/2006/main">
  <x:sheets>
    <x:sheet xmlns:r="http://schemas.openxmlformats.org/officeDocument/2006/relationships" name="Overview_Method" sheetId="1" r:id="R7e02185c79444097"/>
    <x:sheet xmlns:r="http://schemas.openxmlformats.org/officeDocument/2006/relationships" name="Registry_Top50" sheetId="2" r:id="R0863195bf7924635"/>
    <x:sheet xmlns:r="http://schemas.openxmlformats.org/officeDocument/2006/relationships" name="Source_Ledger" sheetId="3" r:id="R7287d22d861d404d"/>
    <x:sheet xmlns:r="http://schemas.openxmlformats.org/officeDocument/2006/relationships" name="Review_Queue" sheetId="4" r:id="R7cecccb0bcef467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0%"/>
  </x:numFmts>
  <x:fonts count="11">
    <x:font>
      <x:sz val="11"/>
      <x:name val="Carlito"/>
    </x:font>
    <x:font>
      <x:b/>
      <x:sz val="18"/>
      <x:color rgb="FFFFFFFF"/>
      <x:name val="Carlito"/>
    </x:font>
    <x:font>
      <x:i/>
      <x:sz val="10"/>
      <x:color rgb="FF44546A"/>
      <x:name val="Carlito"/>
    </x:font>
    <x:font>
      <x:b/>
      <x:sz val="11"/>
      <x:color rgb="FFFFFFFF"/>
      <x:name val="Carlito"/>
    </x:font>
    <x:font>
      <x:b/>
      <x:sz val="22"/>
      <x:color rgb="FF17324D"/>
      <x:name val="Carlito"/>
    </x:font>
    <x:font>
      <x:b/>
      <x:sz val="11"/>
      <x:color rgb="FF17324D"/>
      <x:name val="Carlito"/>
    </x:font>
    <x:font>
      <x:b/>
      <x:sz val="18"/>
      <x:color rgb="FF17324D"/>
      <x:name val="Carlito"/>
    </x:font>
    <x:font>
      <x:sz val="10"/>
      <x:color rgb="FF263238"/>
      <x:name val="Carlito"/>
    </x:font>
    <x:font>
      <x:b/>
      <x:sz val="10"/>
      <x:color rgb="FFFFFFFF"/>
      <x:name val="Carlito"/>
    </x:font>
    <x:font>
      <x:sz val="9"/>
      <x:color rgb="FF263238"/>
      <x:name val="Carlito"/>
    </x:font>
    <x:font>
      <x:sz val="9"/>
      <x:color rgb="FF0563C1"/>
      <x:name val="Carlito"/>
    </x:font>
  </x:fonts>
  <x:fills count="12">
    <x:fill>
      <x:patternFill patternType="none"/>
    </x:fill>
    <x:fill>
      <x:patternFill patternType="gray125"/>
    </x:fill>
    <x:fill>
      <x:patternFill patternType="solid">
        <x:fgColor rgb="FF17324D"/>
      </x:patternFill>
    </x:fill>
    <x:fill>
      <x:patternFill patternType="solid">
        <x:fgColor rgb="FFEAF1F8"/>
      </x:patternFill>
    </x:fill>
    <x:fill>
      <x:patternFill patternType="solid">
        <x:fgColor rgb="FF2F6F73"/>
      </x:patternFill>
    </x:fill>
    <x:fill>
      <x:patternFill patternType="solid">
        <x:fgColor rgb="FFE7F2F1"/>
      </x:patternFill>
    </x:fill>
    <x:fill>
      <x:patternFill patternType="solid">
        <x:fgColor rgb="FFE7F4E8"/>
      </x:patternFill>
    </x:fill>
    <x:fill>
      <x:patternFill patternType="solid">
        <x:fgColor rgb="FFFFF4D6"/>
      </x:patternFill>
    </x:fill>
    <x:fill>
      <x:patternFill patternType="solid">
        <x:fgColor rgb="FFF3F5F7"/>
      </x:patternFill>
    </x:fill>
    <x:fill>
      <x:patternFill patternType="solid">
        <x:fgColor rgb="FFF8FAFC"/>
      </x:patternFill>
    </x:fill>
    <x:fill>
      <x:patternFill patternType="solid">
        <x:fgColor rgb="FFFFFFFF"/>
      </x:patternFill>
    </x:fill>
    <x:fill>
      <x:patternFill patternType="solid">
        <x:fgColor rgb="FFFBFCFD"/>
      </x:patternFill>
    </x:fill>
  </x:fills>
  <x:borders count="26">
    <x:border/>
    <x:border/>
    <x:border>
      <x:left style="thin">
        <x:color rgb="FFD5DCE3"/>
      </x:left>
      <x:top style="thin">
        <x:color rgb="FFD5DCE3"/>
      </x:top>
    </x:border>
    <x:border>
      <x:right style="thin">
        <x:color rgb="FFD5DCE3"/>
      </x:right>
      <x:top style="thin">
        <x:color rgb="FFD5DCE3"/>
      </x:top>
    </x:border>
    <x:border>
      <x:left style="thin">
        <x:color rgb="FFD5DCE3"/>
      </x:left>
      <x:bottom style="thin">
        <x:color rgb="FFD5DCE3"/>
      </x:bottom>
    </x:border>
    <x:border>
      <x:right style="thin">
        <x:color rgb="FFD5DCE3"/>
      </x:right>
      <x:bottom style="thin">
        <x:color rgb="FFD5DCE3"/>
      </x:bottom>
    </x:border>
    <x:border>
      <x:left style="thin">
        <x:color rgb="FFD5DCE3"/>
      </x:left>
      <x:top style="thin">
        <x:color rgb="FFD5DCE3"/>
      </x:top>
    </x:border>
    <x:border>
      <x:right style="thin">
        <x:color rgb="FFD5DCE3"/>
      </x:right>
      <x:top style="thin">
        <x:color rgb="FFD5DCE3"/>
      </x:top>
    </x:border>
    <x:border>
      <x:left style="thin">
        <x:color rgb="FFD5DCE3"/>
      </x:left>
      <x:bottom style="thin">
        <x:color rgb="FFD5DCE3"/>
      </x:bottom>
    </x:border>
    <x:border>
      <x:right style="thin">
        <x:color rgb="FFD5DCE3"/>
      </x:right>
      <x:bottom style="thin">
        <x:color rgb="FFD5DCE3"/>
      </x:bottom>
    </x:border>
    <x:border>
      <x:left style="thin">
        <x:color rgb="FFD5DCE3"/>
      </x:left>
      <x:right style="thin">
        <x:color rgb="FFD5DCE3"/>
      </x:right>
      <x:top style="thin">
        <x:color rgb="FFD5DCE3"/>
      </x:top>
      <x:bottom style="thin">
        <x:color rgb="FFD5DCE3"/>
      </x:bottom>
    </x:border>
    <x:border>
      <x:left style="thin">
        <x:color rgb="FFD5DCE3"/>
      </x:left>
      <x:right style="thin">
        <x:color rgb="FFD5DCE3"/>
      </x:right>
      <x:top style="thin">
        <x:color rgb="FFD5DCE3"/>
      </x:top>
      <x:bottom style="thin">
        <x:color rgb="FFD5DCE3"/>
      </x:bottom>
    </x:border>
    <x:border>
      <x:left style="thin">
        <x:color rgb="FFD5DCE3"/>
      </x:left>
      <x:right style="thin">
        <x:color rgb="FFD5DCE3"/>
      </x:right>
      <x:top style="thin">
        <x:color rgb="FFD5DCE3"/>
      </x:top>
    </x:border>
    <x:border>
      <x:left style="thin">
        <x:color rgb="FFD5DCE3"/>
      </x:left>
      <x:right style="thin">
        <x:color rgb="FFD5DCE3"/>
      </x:right>
    </x:border>
    <x:border>
      <x:left style="thin">
        <x:color rgb="FFD5DCE3"/>
      </x:left>
      <x:right style="thin">
        <x:color rgb="FFD5DCE3"/>
      </x:right>
      <x:bottom style="thin">
        <x:color rgb="FFD5DCE3"/>
      </x:bottom>
    </x:border>
    <x:border>
      <x:left style="thin">
        <x:color rgb="FFD5DCE3"/>
      </x:left>
      <x:right style="thin">
        <x:color rgb="FFD5DCE3"/>
      </x:right>
      <x:top style="thin">
        <x:color rgb="FFD5DCE3"/>
      </x:top>
    </x:border>
    <x:border>
      <x:left style="thin">
        <x:color rgb="FFD5DCE3"/>
      </x:left>
      <x:right style="thin">
        <x:color rgb="FFD5DCE3"/>
      </x:right>
    </x:border>
    <x:border>
      <x:left style="thin">
        <x:color rgb="FFD5DCE3"/>
      </x:left>
      <x:right style="thin">
        <x:color rgb="FFD5DCE3"/>
      </x:right>
      <x:bottom style="thin">
        <x:color rgb="FFD5DCE3"/>
      </x:bottom>
    </x:border>
    <x:border>
      <x:top style="thin">
        <x:color rgb="FFD5DCE3"/>
      </x:top>
    </x:border>
    <x:border>
      <x:left style="thin">
        <x:color rgb="FFD5DCE3"/>
      </x:left>
    </x:border>
    <x:border>
      <x:right style="thin">
        <x:color rgb="FFD5DCE3"/>
      </x:right>
    </x:border>
    <x:border>
      <x:bottom style="thin">
        <x:color rgb="FFD5DCE3"/>
      </x:bottom>
    </x:border>
    <x:border>
      <x:top style="thin">
        <x:color rgb="FFD5DCE3"/>
      </x:top>
    </x:border>
    <x:border>
      <x:left style="thin">
        <x:color rgb="FFD5DCE3"/>
      </x:left>
    </x:border>
    <x:border>
      <x:right style="thin">
        <x:color rgb="FFD5DCE3"/>
      </x:right>
    </x:border>
    <x:border>
      <x:bottom style="thin">
        <x:color rgb="FFD5DCE3"/>
      </x:bottom>
    </x:border>
  </x:borders>
  <x:cellStyleXfs count="1">
    <x:xf numFmtId="0" fontId="0" fillId="0" borderId="0"/>
  </x:cellStyleXfs>
  <x:cellXfs count="41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2" xfId="0" applyNumberFormat="1" applyFont="1" applyFill="1" applyBorder="1" applyAlignment="1">
      <x:alignment horizontal="center"/>
    </x:xf>
    <x:xf numFmtId="0" fontId="4" fillId="5" borderId="3" xfId="0" applyNumberFormat="1" applyFont="1" applyFill="1" applyBorder="1" applyAlignment="1">
      <x:alignment horizontal="center"/>
    </x:xf>
    <x:xf numFmtId="0" fontId="4" fillId="5" borderId="4" xfId="0" applyNumberFormat="1" applyFont="1" applyFill="1" applyBorder="1" applyAlignment="1">
      <x:alignment horizontal="center"/>
    </x:xf>
    <x:xf numFmtId="0" fontId="4" fillId="5" borderId="5" xfId="0" applyNumberFormat="1" applyFont="1" applyFill="1" applyBorder="1" applyAlignment="1">
      <x:alignment horizontal="center"/>
    </x:xf>
    <x:xf numFmtId="0" fontId="4" fillId="5" borderId="2" xfId="0" applyNumberFormat="1" applyFont="1" applyFill="1" applyBorder="1" applyAlignment="1">
      <x:alignment horizontal="center" vertical="center"/>
    </x:xf>
    <x:xf numFmtId="0" fontId="4" fillId="5" borderId="3" xfId="0" applyNumberFormat="1" applyFont="1" applyFill="1" applyBorder="1" applyAlignment="1">
      <x:alignment horizontal="center" vertical="center"/>
    </x:xf>
    <x:xf numFmtId="0" fontId="4" fillId="5" borderId="4" xfId="0" applyNumberFormat="1" applyFont="1" applyFill="1" applyBorder="1" applyAlignment="1">
      <x:alignment horizontal="center" vertical="center"/>
    </x:xf>
    <x:xf numFmtId="0" fontId="4" fillId="5" borderId="5"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9" xfId="0" applyNumberFormat="1" applyFont="1" applyFill="1" applyBorder="1"/>
    <x:xf numFmtId="0" fontId="4" fillId="5" borderId="6" xfId="0" applyNumberFormat="1" applyFont="1" applyFill="1" applyBorder="1" applyAlignment="1">
      <x:alignment horizontal="center"/>
    </x:xf>
    <x:xf numFmtId="0" fontId="4" fillId="5" borderId="7" xfId="0" applyNumberFormat="1" applyFont="1" applyFill="1" applyBorder="1" applyAlignment="1">
      <x:alignment horizontal="center"/>
    </x:xf>
    <x:xf numFmtId="0" fontId="4" fillId="5" borderId="8" xfId="0" applyNumberFormat="1" applyFont="1" applyFill="1" applyBorder="1" applyAlignment="1">
      <x:alignment horizontal="center"/>
    </x:xf>
    <x:xf numFmtId="0" fontId="4" fillId="5" borderId="9" xfId="0" applyNumberFormat="1" applyFont="1" applyFill="1" applyBorder="1" applyAlignment="1">
      <x:alignment horizontal="center"/>
    </x:xf>
    <x:xf numFmtId="0" fontId="4" fillId="5" borderId="6" xfId="0" applyNumberFormat="1" applyFont="1" applyFill="1" applyBorder="1" applyAlignment="1">
      <x:alignment horizontal="center" vertical="center"/>
    </x:xf>
    <x:xf numFmtId="0" fontId="4" fillId="5" borderId="7" xfId="0" applyNumberFormat="1" applyFont="1" applyFill="1" applyBorder="1" applyAlignment="1">
      <x:alignment horizontal="center" vertical="center"/>
    </x:xf>
    <x:xf numFmtId="0" fontId="4" fillId="5" borderId="8" xfId="0" applyNumberFormat="1" applyFont="1" applyFill="1" applyBorder="1" applyAlignment="1">
      <x:alignment horizontal="center" vertical="center"/>
    </x:xf>
    <x:xf numFmtId="0" fontId="4" fillId="5" borderId="9" xfId="0" applyNumberFormat="1" applyFont="1" applyFill="1" applyBorder="1" applyAlignment="1">
      <x:alignment horizontal="center" vertical="center"/>
    </x:xf>
    <x:xf numFmtId="200" fontId="4" fillId="5" borderId="2" xfId="0" applyNumberFormat="1" applyFont="1" applyFill="1" applyBorder="1"/>
    <x:xf numFmtId="200" fontId="4" fillId="5" borderId="3" xfId="0" applyNumberFormat="1" applyFont="1" applyFill="1" applyBorder="1"/>
    <x:xf numFmtId="200" fontId="4" fillId="5" borderId="4" xfId="0" applyNumberFormat="1" applyFont="1" applyFill="1" applyBorder="1"/>
    <x:xf numFmtId="200" fontId="4" fillId="5" borderId="5" xfId="0" applyNumberFormat="1" applyFont="1" applyFill="1" applyBorder="1"/>
    <x:xf numFmtId="200" fontId="4" fillId="5" borderId="2" xfId="0" applyNumberFormat="1" applyFont="1" applyFill="1" applyBorder="1" applyAlignment="1">
      <x:alignment horizontal="center"/>
    </x:xf>
    <x:xf numFmtId="200" fontId="4" fillId="5" borderId="3" xfId="0" applyNumberFormat="1" applyFont="1" applyFill="1" applyBorder="1" applyAlignment="1">
      <x:alignment horizontal="center"/>
    </x:xf>
    <x:xf numFmtId="200" fontId="4" fillId="5" borderId="4" xfId="0" applyNumberFormat="1" applyFont="1" applyFill="1" applyBorder="1" applyAlignment="1">
      <x:alignment horizontal="center"/>
    </x:xf>
    <x:xf numFmtId="200" fontId="4" fillId="5" borderId="5" xfId="0" applyNumberFormat="1" applyFont="1" applyFill="1" applyBorder="1" applyAlignment="1">
      <x:alignment horizontal="center"/>
    </x:xf>
    <x:xf numFmtId="200" fontId="4" fillId="5" borderId="2" xfId="0" applyNumberFormat="1" applyFont="1" applyFill="1" applyBorder="1" applyAlignment="1">
      <x:alignment horizontal="center" vertical="center"/>
    </x:xf>
    <x:xf numFmtId="200" fontId="4" fillId="5" borderId="3" xfId="0" applyNumberFormat="1" applyFont="1" applyFill="1" applyBorder="1" applyAlignment="1">
      <x:alignment horizontal="center" vertical="center"/>
    </x:xf>
    <x:xf numFmtId="200" fontId="4" fillId="5" borderId="4" xfId="0" applyNumberFormat="1" applyFont="1" applyFill="1" applyBorder="1" applyAlignment="1">
      <x:alignment horizontal="center" vertical="center"/>
    </x:xf>
    <x:xf numFmtId="200" fontId="4" fillId="5" borderId="5" xfId="0" applyNumberFormat="1" applyFont="1" applyFill="1" applyBorder="1" applyAlignment="1">
      <x:alignment horizontal="center" vertical="center"/>
    </x:xf>
    <x:xf numFmtId="200" fontId="4" fillId="5" borderId="6" xfId="0" applyNumberFormat="1" applyFont="1" applyFill="1" applyBorder="1"/>
    <x:xf numFmtId="200" fontId="4" fillId="5" borderId="7" xfId="0" applyNumberFormat="1" applyFont="1" applyFill="1" applyBorder="1"/>
    <x:xf numFmtId="200" fontId="4" fillId="5" borderId="8" xfId="0" applyNumberFormat="1" applyFont="1" applyFill="1" applyBorder="1"/>
    <x:xf numFmtId="200" fontId="4" fillId="5" borderId="9" xfId="0" applyNumberFormat="1" applyFont="1" applyFill="1" applyBorder="1"/>
    <x:xf numFmtId="200" fontId="4" fillId="5" borderId="6" xfId="0" applyNumberFormat="1" applyFont="1" applyFill="1" applyBorder="1" applyAlignment="1">
      <x:alignment horizontal="center"/>
    </x:xf>
    <x:xf numFmtId="200" fontId="4" fillId="5" borderId="7" xfId="0" applyNumberFormat="1" applyFont="1" applyFill="1" applyBorder="1" applyAlignment="1">
      <x:alignment horizontal="center"/>
    </x:xf>
    <x:xf numFmtId="200" fontId="4" fillId="5" borderId="8" xfId="0" applyNumberFormat="1" applyFont="1" applyFill="1" applyBorder="1" applyAlignment="1">
      <x:alignment horizontal="center"/>
    </x:xf>
    <x:xf numFmtId="200" fontId="4" fillId="5" borderId="9" xfId="0" applyNumberFormat="1" applyFont="1" applyFill="1" applyBorder="1" applyAlignment="1">
      <x:alignment horizontal="center"/>
    </x:xf>
    <x:xf numFmtId="200" fontId="4" fillId="5" borderId="6" xfId="0" applyNumberFormat="1" applyFont="1" applyFill="1" applyBorder="1" applyAlignment="1">
      <x:alignment horizontal="center" vertical="center"/>
    </x:xf>
    <x:xf numFmtId="200" fontId="4" fillId="5" borderId="7" xfId="0" applyNumberFormat="1" applyFont="1" applyFill="1" applyBorder="1" applyAlignment="1">
      <x:alignment horizontal="center" vertical="center"/>
    </x:xf>
    <x:xf numFmtId="200" fontId="4" fillId="5" borderId="8" xfId="0" applyNumberFormat="1" applyFont="1" applyFill="1" applyBorder="1" applyAlignment="1">
      <x:alignment horizontal="center" vertical="center"/>
    </x:xf>
    <x:xf numFmtId="200" fontId="4" fillId="5" borderId="9" xfId="0" applyNumberFormat="1" applyFont="1" applyFill="1" applyBorder="1" applyAlignment="1">
      <x:alignment horizontal="center" vertical="center"/>
    </x:xf>
    <x:xf numFmtId="201" fontId="4" fillId="5" borderId="2" xfId="0" applyNumberFormat="1" applyFont="1" applyFill="1" applyBorder="1"/>
    <x:xf numFmtId="201" fontId="4" fillId="5" borderId="3" xfId="0" applyNumberFormat="1" applyFont="1" applyFill="1" applyBorder="1"/>
    <x:xf numFmtId="201" fontId="4" fillId="5" borderId="4" xfId="0" applyNumberFormat="1" applyFont="1" applyFill="1" applyBorder="1"/>
    <x:xf numFmtId="201" fontId="4" fillId="5" borderId="5" xfId="0" applyNumberFormat="1" applyFont="1" applyFill="1" applyBorder="1"/>
    <x:xf numFmtId="201" fontId="4" fillId="5" borderId="2" xfId="0" applyNumberFormat="1" applyFont="1" applyFill="1" applyBorder="1" applyAlignment="1">
      <x:alignment horizontal="center"/>
    </x:xf>
    <x:xf numFmtId="201" fontId="4" fillId="5" borderId="3" xfId="0" applyNumberFormat="1" applyFont="1" applyFill="1" applyBorder="1" applyAlignment="1">
      <x:alignment horizontal="center"/>
    </x:xf>
    <x:xf numFmtId="201" fontId="4" fillId="5" borderId="4" xfId="0" applyNumberFormat="1" applyFont="1" applyFill="1" applyBorder="1" applyAlignment="1">
      <x:alignment horizontal="center"/>
    </x:xf>
    <x:xf numFmtId="201" fontId="4" fillId="5" borderId="5" xfId="0" applyNumberFormat="1" applyFont="1" applyFill="1" applyBorder="1" applyAlignment="1">
      <x:alignment horizontal="center"/>
    </x:xf>
    <x:xf numFmtId="201" fontId="4" fillId="5" borderId="2" xfId="0" applyNumberFormat="1" applyFont="1" applyFill="1" applyBorder="1" applyAlignment="1">
      <x:alignment horizontal="center" vertical="center"/>
    </x:xf>
    <x:xf numFmtId="201" fontId="4" fillId="5" borderId="3" xfId="0" applyNumberFormat="1" applyFont="1" applyFill="1" applyBorder="1" applyAlignment="1">
      <x:alignment horizontal="center" vertical="center"/>
    </x:xf>
    <x:xf numFmtId="201" fontId="4" fillId="5" borderId="4" xfId="0" applyNumberFormat="1" applyFont="1" applyFill="1" applyBorder="1" applyAlignment="1">
      <x:alignment horizontal="center" vertical="center"/>
    </x:xf>
    <x:xf numFmtId="201" fontId="4" fillId="5" borderId="5" xfId="0" applyNumberFormat="1" applyFont="1" applyFill="1" applyBorder="1" applyAlignment="1">
      <x:alignment horizontal="center" vertical="center"/>
    </x:xf>
    <x:xf numFmtId="201" fontId="4" fillId="5" borderId="6" xfId="0" applyNumberFormat="1" applyFont="1" applyFill="1" applyBorder="1"/>
    <x:xf numFmtId="201" fontId="4" fillId="5" borderId="7" xfId="0" applyNumberFormat="1" applyFont="1" applyFill="1" applyBorder="1"/>
    <x:xf numFmtId="201" fontId="4" fillId="5" borderId="8" xfId="0" applyNumberFormat="1" applyFont="1" applyFill="1" applyBorder="1"/>
    <x:xf numFmtId="201" fontId="4" fillId="5" borderId="9" xfId="0" applyNumberFormat="1" applyFont="1" applyFill="1" applyBorder="1"/>
    <x:xf numFmtId="201" fontId="4" fillId="5" borderId="6" xfId="0" applyNumberFormat="1" applyFont="1" applyFill="1" applyBorder="1" applyAlignment="1">
      <x:alignment horizontal="center"/>
    </x:xf>
    <x:xf numFmtId="201" fontId="4" fillId="5" borderId="7" xfId="0" applyNumberFormat="1" applyFont="1" applyFill="1" applyBorder="1" applyAlignment="1">
      <x:alignment horizontal="center"/>
    </x:xf>
    <x:xf numFmtId="201" fontId="4" fillId="5" borderId="8" xfId="0" applyNumberFormat="1" applyFont="1" applyFill="1" applyBorder="1" applyAlignment="1">
      <x:alignment horizontal="center"/>
    </x:xf>
    <x:xf numFmtId="201" fontId="4" fillId="5" borderId="9" xfId="0" applyNumberFormat="1" applyFont="1" applyFill="1" applyBorder="1" applyAlignment="1">
      <x:alignment horizontal="center"/>
    </x:xf>
    <x:xf numFmtId="201" fontId="4" fillId="5" borderId="6" xfId="0" applyNumberFormat="1" applyFont="1" applyFill="1" applyBorder="1" applyAlignment="1">
      <x:alignment horizontal="center" vertical="center"/>
    </x:xf>
    <x:xf numFmtId="201" fontId="4" fillId="5" borderId="7" xfId="0" applyNumberFormat="1" applyFont="1" applyFill="1" applyBorder="1" applyAlignment="1">
      <x:alignment horizontal="center" vertical="center"/>
    </x:xf>
    <x:xf numFmtId="201" fontId="4" fillId="5" borderId="8" xfId="0" applyNumberFormat="1" applyFont="1" applyFill="1" applyBorder="1" applyAlignment="1">
      <x:alignment horizontal="center" vertical="center"/>
    </x:xf>
    <x:xf numFmtId="201" fontId="4" fillId="5" borderId="9" xfId="0" applyNumberFormat="1" applyFont="1" applyFill="1" applyBorder="1" applyAlignment="1">
      <x:alignment horizontal="center" vertical="center"/>
    </x:xf>
    <x:xf numFmtId="0" fontId="5" fillId="3" borderId="0" xfId="0" applyNumberFormat="1" applyFont="1" applyFill="1" applyBorder="1"/>
    <x:xf numFmtId="0" fontId="5" fillId="3" borderId="10" xfId="0" applyNumberFormat="1" applyFont="1" applyFill="1" applyBorder="1"/>
    <x:xf numFmtId="200" fontId="5" fillId="3" borderId="10" xfId="0" applyNumberFormat="1" applyFont="1" applyFill="1" applyBorder="1"/>
    <x:xf numFmtId="200" fontId="5" fillId="3" borderId="10" xfId="0" applyNumberFormat="1" applyFont="1" applyFill="1" applyBorder="1" applyAlignment="1">
      <x:alignment horizontal="center"/>
    </x:xf>
    <x:xf numFmtId="0" fontId="5" fillId="3" borderId="1" xfId="0" applyNumberFormat="1" applyFont="1" applyFill="1" applyBorder="1"/>
    <x:xf numFmtId="0" fontId="5" fillId="3" borderId="11" xfId="0" applyNumberFormat="1" applyFont="1" applyFill="1" applyBorder="1"/>
    <x:xf numFmtId="200" fontId="5" fillId="3" borderId="11" xfId="0" applyNumberFormat="1" applyFont="1" applyFill="1" applyBorder="1"/>
    <x:xf numFmtId="200" fontId="5" fillId="3" borderId="11" xfId="0" applyNumberFormat="1" applyFont="1" applyFill="1" applyBorder="1" applyAlignment="1">
      <x:alignment horizontal="center"/>
    </x:xf>
    <x:xf numFmtId="0" fontId="0" fillId="6" borderId="0" xfId="0" applyNumberFormat="1" applyFont="1" applyFill="1" applyBorder="1"/>
    <x:xf numFmtId="0" fontId="6" fillId="6" borderId="0" xfId="0" applyNumberFormat="1" applyFont="1" applyFill="1" applyBorder="1"/>
    <x:xf numFmtId="0" fontId="6" fillId="6" borderId="2" xfId="0" applyNumberFormat="1" applyFont="1" applyFill="1" applyBorder="1"/>
    <x:xf numFmtId="0" fontId="6" fillId="6" borderId="3" xfId="0" applyNumberFormat="1" applyFont="1" applyFill="1" applyBorder="1"/>
    <x:xf numFmtId="0" fontId="6" fillId="6" borderId="4" xfId="0" applyNumberFormat="1" applyFont="1" applyFill="1" applyBorder="1"/>
    <x:xf numFmtId="0" fontId="6" fillId="6" borderId="5" xfId="0" applyNumberFormat="1" applyFont="1" applyFill="1" applyBorder="1"/>
    <x:xf numFmtId="0" fontId="6" fillId="6" borderId="2" xfId="0" applyNumberFormat="1" applyFont="1" applyFill="1" applyBorder="1" applyAlignment="1">
      <x:alignment horizontal="center"/>
    </x:xf>
    <x:xf numFmtId="0" fontId="6" fillId="6" borderId="3" xfId="0" applyNumberFormat="1" applyFont="1" applyFill="1" applyBorder="1" applyAlignment="1">
      <x:alignment horizontal="center"/>
    </x:xf>
    <x:xf numFmtId="0" fontId="6" fillId="6" borderId="4" xfId="0" applyNumberFormat="1" applyFont="1" applyFill="1" applyBorder="1" applyAlignment="1">
      <x:alignment horizontal="center"/>
    </x:xf>
    <x:xf numFmtId="0" fontId="6" fillId="6" borderId="5" xfId="0" applyNumberFormat="1" applyFont="1" applyFill="1" applyBorder="1" applyAlignment="1">
      <x:alignment horizontal="center"/>
    </x:xf>
    <x:xf numFmtId="0" fontId="6" fillId="6" borderId="2" xfId="0" applyNumberFormat="1" applyFont="1" applyFill="1" applyBorder="1" applyAlignment="1">
      <x:alignment horizontal="center" vertical="center"/>
    </x:xf>
    <x:xf numFmtId="0" fontId="6" fillId="6" borderId="3" xfId="0" applyNumberFormat="1" applyFont="1" applyFill="1" applyBorder="1" applyAlignment="1">
      <x:alignment horizontal="center" vertical="center"/>
    </x:xf>
    <x:xf numFmtId="0" fontId="6" fillId="6" borderId="4" xfId="0" applyNumberFormat="1" applyFont="1" applyFill="1" applyBorder="1" applyAlignment="1">
      <x:alignment horizontal="center" vertical="center"/>
    </x:xf>
    <x:xf numFmtId="0" fontId="6" fillId="6" borderId="5" xfId="0" applyNumberFormat="1" applyFont="1" applyFill="1" applyBorder="1" applyAlignment="1">
      <x:alignment horizontal="center" vertical="center"/>
    </x:xf>
    <x:xf numFmtId="0" fontId="0" fillId="6" borderId="1" xfId="0" applyNumberFormat="1" applyFont="1" applyFill="1" applyBorder="1"/>
    <x:xf numFmtId="0" fontId="6" fillId="6" borderId="1" xfId="0" applyNumberFormat="1" applyFont="1" applyFill="1" applyBorder="1"/>
    <x:xf numFmtId="0" fontId="6" fillId="6" borderId="6" xfId="0" applyNumberFormat="1" applyFont="1" applyFill="1" applyBorder="1"/>
    <x:xf numFmtId="0" fontId="6" fillId="6" borderId="7" xfId="0" applyNumberFormat="1" applyFont="1" applyFill="1" applyBorder="1"/>
    <x:xf numFmtId="0" fontId="6" fillId="6" borderId="8" xfId="0" applyNumberFormat="1" applyFont="1" applyFill="1" applyBorder="1"/>
    <x:xf numFmtId="0" fontId="6" fillId="6" borderId="9" xfId="0" applyNumberFormat="1" applyFont="1" applyFill="1" applyBorder="1"/>
    <x:xf numFmtId="0" fontId="6" fillId="6" borderId="6" xfId="0" applyNumberFormat="1" applyFont="1" applyFill="1" applyBorder="1" applyAlignment="1">
      <x:alignment horizontal="center"/>
    </x:xf>
    <x:xf numFmtId="0" fontId="6" fillId="6" borderId="7" xfId="0" applyNumberFormat="1" applyFont="1" applyFill="1" applyBorder="1" applyAlignment="1">
      <x:alignment horizontal="center"/>
    </x:xf>
    <x:xf numFmtId="0" fontId="6" fillId="6" borderId="8" xfId="0" applyNumberFormat="1" applyFont="1" applyFill="1" applyBorder="1" applyAlignment="1">
      <x:alignment horizontal="center"/>
    </x:xf>
    <x:xf numFmtId="0" fontId="6" fillId="6" borderId="9" xfId="0" applyNumberFormat="1" applyFont="1" applyFill="1" applyBorder="1" applyAlignment="1">
      <x:alignment horizontal="center"/>
    </x:xf>
    <x:xf numFmtId="0" fontId="6" fillId="6" borderId="6" xfId="0" applyNumberFormat="1" applyFont="1" applyFill="1" applyBorder="1" applyAlignment="1">
      <x:alignment horizontal="center" vertical="center"/>
    </x:xf>
    <x:xf numFmtId="0" fontId="6" fillId="6" borderId="7" xfId="0" applyNumberFormat="1" applyFont="1" applyFill="1" applyBorder="1" applyAlignment="1">
      <x:alignment horizontal="center" vertical="center"/>
    </x:xf>
    <x:xf numFmtId="0" fontId="6" fillId="6" borderId="8" xfId="0" applyNumberFormat="1" applyFont="1" applyFill="1" applyBorder="1" applyAlignment="1">
      <x:alignment horizontal="center" vertical="center"/>
    </x:xf>
    <x:xf numFmtId="0" fontId="6" fillId="6" borderId="9" xfId="0" applyNumberFormat="1" applyFont="1" applyFill="1" applyBorder="1" applyAlignment="1">
      <x:alignment horizontal="center" vertical="center"/>
    </x:xf>
    <x:xf numFmtId="0" fontId="0" fillId="7" borderId="0" xfId="0" applyNumberFormat="1" applyFont="1" applyFill="1" applyBorder="1"/>
    <x:xf numFmtId="0" fontId="6" fillId="7" borderId="0" xfId="0" applyNumberFormat="1" applyFont="1" applyFill="1" applyBorder="1"/>
    <x:xf numFmtId="0" fontId="6" fillId="7" borderId="2" xfId="0" applyNumberFormat="1" applyFont="1" applyFill="1" applyBorder="1"/>
    <x:xf numFmtId="0" fontId="6" fillId="7" borderId="3" xfId="0" applyNumberFormat="1" applyFont="1" applyFill="1" applyBorder="1"/>
    <x:xf numFmtId="0" fontId="6" fillId="7" borderId="4" xfId="0" applyNumberFormat="1" applyFont="1" applyFill="1" applyBorder="1"/>
    <x:xf numFmtId="0" fontId="6" fillId="7" borderId="5" xfId="0" applyNumberFormat="1" applyFont="1" applyFill="1" applyBorder="1"/>
    <x:xf numFmtId="0" fontId="6" fillId="7" borderId="2" xfId="0" applyNumberFormat="1" applyFont="1" applyFill="1" applyBorder="1" applyAlignment="1">
      <x:alignment horizontal="center"/>
    </x:xf>
    <x:xf numFmtId="0" fontId="6" fillId="7" borderId="3" xfId="0" applyNumberFormat="1" applyFont="1" applyFill="1" applyBorder="1" applyAlignment="1">
      <x:alignment horizontal="center"/>
    </x:xf>
    <x:xf numFmtId="0" fontId="6" fillId="7" borderId="4" xfId="0" applyNumberFormat="1" applyFont="1" applyFill="1" applyBorder="1" applyAlignment="1">
      <x:alignment horizontal="center"/>
    </x:xf>
    <x:xf numFmtId="0" fontId="6" fillId="7" borderId="5" xfId="0" applyNumberFormat="1" applyFont="1" applyFill="1" applyBorder="1" applyAlignment="1">
      <x:alignment horizontal="center"/>
    </x:xf>
    <x:xf numFmtId="0" fontId="6" fillId="7" borderId="2" xfId="0" applyNumberFormat="1" applyFont="1" applyFill="1" applyBorder="1" applyAlignment="1">
      <x:alignment horizontal="center" vertical="center"/>
    </x:xf>
    <x:xf numFmtId="0" fontId="6" fillId="7" borderId="3" xfId="0" applyNumberFormat="1" applyFont="1" applyFill="1" applyBorder="1" applyAlignment="1">
      <x:alignment horizontal="center" vertical="center"/>
    </x:xf>
    <x:xf numFmtId="0" fontId="6" fillId="7" borderId="4" xfId="0" applyNumberFormat="1" applyFont="1" applyFill="1" applyBorder="1" applyAlignment="1">
      <x:alignment horizontal="center" vertical="center"/>
    </x:xf>
    <x:xf numFmtId="0" fontId="6" fillId="7" borderId="5" xfId="0" applyNumberFormat="1" applyFont="1" applyFill="1" applyBorder="1" applyAlignment="1">
      <x:alignment horizontal="center" vertical="center"/>
    </x:xf>
    <x:xf numFmtId="0" fontId="0" fillId="7" borderId="1" xfId="0" applyNumberFormat="1" applyFont="1" applyFill="1" applyBorder="1"/>
    <x:xf numFmtId="0" fontId="6" fillId="7" borderId="1" xfId="0" applyNumberFormat="1" applyFont="1" applyFill="1" applyBorder="1"/>
    <x:xf numFmtId="0" fontId="6" fillId="7" borderId="6" xfId="0" applyNumberFormat="1" applyFont="1" applyFill="1" applyBorder="1"/>
    <x:xf numFmtId="0" fontId="6" fillId="7" borderId="7" xfId="0" applyNumberFormat="1" applyFont="1" applyFill="1" applyBorder="1"/>
    <x:xf numFmtId="0" fontId="6" fillId="7" borderId="8" xfId="0" applyNumberFormat="1" applyFont="1" applyFill="1" applyBorder="1"/>
    <x:xf numFmtId="0" fontId="6" fillId="7" borderId="9" xfId="0" applyNumberFormat="1" applyFont="1" applyFill="1" applyBorder="1"/>
    <x:xf numFmtId="0" fontId="6" fillId="7" borderId="6" xfId="0" applyNumberFormat="1" applyFont="1" applyFill="1" applyBorder="1" applyAlignment="1">
      <x:alignment horizontal="center"/>
    </x:xf>
    <x:xf numFmtId="0" fontId="6" fillId="7" borderId="7" xfId="0" applyNumberFormat="1" applyFont="1" applyFill="1" applyBorder="1" applyAlignment="1">
      <x:alignment horizontal="center"/>
    </x:xf>
    <x:xf numFmtId="0" fontId="6" fillId="7" borderId="8" xfId="0" applyNumberFormat="1" applyFont="1" applyFill="1" applyBorder="1" applyAlignment="1">
      <x:alignment horizontal="center"/>
    </x:xf>
    <x:xf numFmtId="0" fontId="6" fillId="7" borderId="9" xfId="0" applyNumberFormat="1" applyFont="1" applyFill="1" applyBorder="1" applyAlignment="1">
      <x:alignment horizontal="center"/>
    </x:xf>
    <x:xf numFmtId="0" fontId="6" fillId="7" borderId="6" xfId="0" applyNumberFormat="1" applyFont="1" applyFill="1" applyBorder="1" applyAlignment="1">
      <x:alignment horizontal="center" vertical="center"/>
    </x:xf>
    <x:xf numFmtId="0" fontId="6" fillId="7" borderId="7" xfId="0" applyNumberFormat="1" applyFont="1" applyFill="1" applyBorder="1" applyAlignment="1">
      <x:alignment horizontal="center" vertical="center"/>
    </x:xf>
    <x:xf numFmtId="0" fontId="6" fillId="7" borderId="8" xfId="0" applyNumberFormat="1" applyFont="1" applyFill="1" applyBorder="1" applyAlignment="1">
      <x:alignment horizontal="center" vertical="center"/>
    </x:xf>
    <x:xf numFmtId="0" fontId="6" fillId="7" borderId="9" xfId="0" applyNumberFormat="1" applyFont="1" applyFill="1" applyBorder="1" applyAlignment="1">
      <x:alignment horizontal="center" vertical="center"/>
    </x:xf>
    <x:xf numFmtId="0" fontId="5" fillId="3" borderId="12" xfId="0" applyNumberFormat="1" applyFont="1" applyFill="1" applyBorder="1"/>
    <x:xf numFmtId="0" fontId="5" fillId="3" borderId="13" xfId="0" applyNumberFormat="1" applyFont="1" applyFill="1" applyBorder="1"/>
    <x:xf numFmtId="0" fontId="5" fillId="3" borderId="14" xfId="0" applyNumberFormat="1" applyFont="1" applyFill="1" applyBorder="1"/>
    <x:xf numFmtId="0" fontId="5" fillId="3" borderId="12" xfId="0" applyNumberFormat="1" applyFont="1" applyFill="1" applyBorder="1" applyAlignment="1">
      <x:alignment wrapText="1"/>
    </x:xf>
    <x:xf numFmtId="0" fontId="5" fillId="3" borderId="13" xfId="0" applyNumberFormat="1" applyFont="1" applyFill="1" applyBorder="1" applyAlignment="1">
      <x:alignment wrapText="1"/>
    </x:xf>
    <x:xf numFmtId="0" fontId="5" fillId="3" borderId="14" xfId="0" applyNumberFormat="1" applyFont="1" applyFill="1" applyBorder="1" applyAlignment="1">
      <x:alignment wrapText="1"/>
    </x:xf>
    <x:xf numFmtId="0" fontId="5" fillId="3" borderId="12" xfId="0" applyNumberFormat="1" applyFont="1" applyFill="1" applyBorder="1" applyAlignment="1">
      <x:alignment vertical="top" wrapText="1"/>
    </x:xf>
    <x:xf numFmtId="0" fontId="5" fillId="3" borderId="13" xfId="0" applyNumberFormat="1" applyFont="1" applyFill="1" applyBorder="1" applyAlignment="1">
      <x:alignment vertical="top" wrapText="1"/>
    </x:xf>
    <x:xf numFmtId="0" fontId="5" fillId="3" borderId="14" xfId="0" applyNumberFormat="1" applyFont="1" applyFill="1" applyBorder="1" applyAlignment="1">
      <x:alignment vertical="top" wrapText="1"/>
    </x:xf>
    <x:xf numFmtId="0" fontId="5" fillId="3" borderId="15" xfId="0" applyNumberFormat="1" applyFont="1" applyFill="1" applyBorder="1"/>
    <x:xf numFmtId="0" fontId="5" fillId="3" borderId="16" xfId="0" applyNumberFormat="1" applyFont="1" applyFill="1" applyBorder="1"/>
    <x:xf numFmtId="0" fontId="5" fillId="3" borderId="17" xfId="0" applyNumberFormat="1" applyFont="1" applyFill="1" applyBorder="1"/>
    <x:xf numFmtId="0" fontId="5" fillId="3" borderId="15" xfId="0" applyNumberFormat="1" applyFont="1" applyFill="1" applyBorder="1" applyAlignment="1">
      <x:alignment wrapText="1"/>
    </x:xf>
    <x:xf numFmtId="0" fontId="5" fillId="3" borderId="16" xfId="0" applyNumberFormat="1" applyFont="1" applyFill="1" applyBorder="1" applyAlignment="1">
      <x:alignment wrapText="1"/>
    </x:xf>
    <x:xf numFmtId="0" fontId="5" fillId="3" borderId="17" xfId="0" applyNumberFormat="1" applyFont="1" applyFill="1" applyBorder="1" applyAlignment="1">
      <x:alignment wrapText="1"/>
    </x:xf>
    <x:xf numFmtId="0" fontId="5" fillId="3" borderId="15" xfId="0" applyNumberFormat="1" applyFont="1" applyFill="1" applyBorder="1" applyAlignment="1">
      <x:alignment vertical="top" wrapText="1"/>
    </x:xf>
    <x:xf numFmtId="0" fontId="5" fillId="3" borderId="16" xfId="0" applyNumberFormat="1" applyFont="1" applyFill="1" applyBorder="1" applyAlignment="1">
      <x:alignment vertical="top" wrapText="1"/>
    </x:xf>
    <x:xf numFmtId="0" fontId="5" fillId="3" borderId="17" xfId="0" applyNumberFormat="1" applyFont="1" applyFill="1" applyBorder="1" applyAlignment="1">
      <x:alignment vertical="top" wrapText="1"/>
    </x:xf>
    <x:xf numFmtId="0" fontId="7" fillId="0" borderId="0" xfId="0" applyNumberFormat="1" applyFont="1" applyFill="1" applyBorder="1"/>
    <x:xf numFmtId="0" fontId="7" fillId="0" borderId="2" xfId="0" applyNumberFormat="1" applyFont="1" applyFill="1" applyBorder="1"/>
    <x:xf numFmtId="0" fontId="7" fillId="0" borderId="18" xfId="0" applyNumberFormat="1" applyFont="1" applyFill="1" applyBorder="1"/>
    <x:xf numFmtId="0" fontId="7" fillId="0" borderId="3" xfId="0" applyNumberFormat="1" applyFont="1" applyFill="1" applyBorder="1"/>
    <x:xf numFmtId="0" fontId="7" fillId="0" borderId="19" xfId="0" applyNumberFormat="1" applyFont="1" applyFill="1" applyBorder="1"/>
    <x:xf numFmtId="0" fontId="7" fillId="0" borderId="20" xfId="0" applyNumberFormat="1" applyFont="1" applyFill="1" applyBorder="1"/>
    <x:xf numFmtId="0" fontId="7" fillId="0" borderId="4" xfId="0" applyNumberFormat="1" applyFont="1" applyFill="1" applyBorder="1"/>
    <x:xf numFmtId="0" fontId="7" fillId="0" borderId="21" xfId="0" applyNumberFormat="1" applyFont="1" applyFill="1" applyBorder="1"/>
    <x:xf numFmtId="0" fontId="7" fillId="0" borderId="5" xfId="0" applyNumberFormat="1" applyFont="1" applyFill="1" applyBorder="1"/>
    <x:xf numFmtId="0" fontId="7" fillId="0" borderId="2"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1" xfId="0" applyNumberFormat="1" applyFont="1" applyFill="1" applyBorder="1"/>
    <x:xf numFmtId="0" fontId="7" fillId="0" borderId="6" xfId="0" applyNumberFormat="1" applyFont="1" applyFill="1" applyBorder="1"/>
    <x:xf numFmtId="0" fontId="7" fillId="0" borderId="22" xfId="0" applyNumberFormat="1" applyFont="1" applyFill="1" applyBorder="1"/>
    <x:xf numFmtId="0" fontId="7" fillId="0" borderId="7" xfId="0" applyNumberFormat="1" applyFont="1" applyFill="1" applyBorder="1"/>
    <x:xf numFmtId="0" fontId="7" fillId="0" borderId="23" xfId="0" applyNumberFormat="1" applyFont="1" applyFill="1" applyBorder="1"/>
    <x:xf numFmtId="0" fontId="7" fillId="0" borderId="24" xfId="0" applyNumberFormat="1" applyFont="1" applyFill="1" applyBorder="1"/>
    <x:xf numFmtId="0" fontId="7" fillId="0" borderId="8" xfId="0" applyNumberFormat="1" applyFont="1" applyFill="1" applyBorder="1"/>
    <x:xf numFmtId="0" fontId="7" fillId="0" borderId="25" xfId="0" applyNumberFormat="1" applyFont="1" applyFill="1" applyBorder="1"/>
    <x:xf numFmtId="0" fontId="7" fillId="0" borderId="9" xfId="0" applyNumberFormat="1" applyFont="1" applyFill="1" applyBorder="1"/>
    <x:xf numFmtId="0" fontId="7" fillId="0" borderId="6" xfId="0" applyNumberFormat="1" applyFont="1" applyFill="1" applyBorder="1" applyAlignment="1">
      <x:alignment wrapText="1"/>
    </x:xf>
    <x:xf numFmtId="0" fontId="7" fillId="0" borderId="22"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3"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4" xfId="0" applyNumberFormat="1" applyFont="1" applyFill="1" applyBorder="1" applyAlignment="1">
      <x:alignment wrapText="1"/>
    </x:xf>
    <x:xf numFmtId="0" fontId="7" fillId="0" borderId="8" xfId="0" applyNumberFormat="1" applyFont="1" applyFill="1" applyBorder="1" applyAlignment="1">
      <x:alignment wrapText="1"/>
    </x:xf>
    <x:xf numFmtId="0" fontId="7" fillId="0" borderId="25"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6" xfId="0" applyNumberFormat="1" applyFont="1" applyFill="1" applyBorder="1" applyAlignment="1">
      <x:alignment vertical="top" wrapText="1"/>
    </x:xf>
    <x:xf numFmtId="0" fontId="7" fillId="0" borderId="22"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23"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4" xfId="0" applyNumberFormat="1" applyFont="1" applyFill="1" applyBorder="1" applyAlignment="1">
      <x:alignment vertical="top" wrapText="1"/>
    </x:xf>
    <x:xf numFmtId="0" fontId="7" fillId="0" borderId="8" xfId="0" applyNumberFormat="1" applyFont="1" applyFill="1" applyBorder="1" applyAlignment="1">
      <x:alignment vertical="top" wrapText="1"/>
    </x:xf>
    <x:xf numFmtId="0" fontId="7" fillId="0" borderId="25"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0" fillId="8" borderId="0" xfId="0" applyNumberFormat="1" applyFont="1" applyFill="1" applyBorder="1"/>
    <x:xf numFmtId="0" fontId="5" fillId="8" borderId="0" xfId="0" applyNumberFormat="1" applyFont="1" applyFill="1" applyBorder="1"/>
    <x:xf numFmtId="0" fontId="5" fillId="8" borderId="12" xfId="0" applyNumberFormat="1" applyFont="1" applyFill="1" applyBorder="1"/>
    <x:xf numFmtId="0" fontId="5" fillId="8" borderId="13" xfId="0" applyNumberFormat="1" applyFont="1" applyFill="1" applyBorder="1"/>
    <x:xf numFmtId="0" fontId="5" fillId="8" borderId="14" xfId="0" applyNumberFormat="1" applyFont="1" applyFill="1" applyBorder="1"/>
    <x:xf numFmtId="0" fontId="5" fillId="8" borderId="12" xfId="0" applyNumberFormat="1" applyFont="1" applyFill="1" applyBorder="1" applyAlignment="1">
      <x:alignment wrapText="1"/>
    </x:xf>
    <x:xf numFmtId="0" fontId="5" fillId="8" borderId="13" xfId="0" applyNumberFormat="1" applyFont="1" applyFill="1" applyBorder="1" applyAlignment="1">
      <x:alignment wrapText="1"/>
    </x:xf>
    <x:xf numFmtId="0" fontId="5" fillId="8" borderId="14" xfId="0" applyNumberFormat="1" applyFont="1" applyFill="1" applyBorder="1" applyAlignment="1">
      <x:alignment wrapText="1"/>
    </x:xf>
    <x:xf numFmtId="0" fontId="0" fillId="8" borderId="1" xfId="0" applyNumberFormat="1" applyFont="1" applyFill="1" applyBorder="1"/>
    <x:xf numFmtId="0" fontId="5" fillId="8" borderId="1" xfId="0" applyNumberFormat="1" applyFont="1" applyFill="1" applyBorder="1"/>
    <x:xf numFmtId="0" fontId="5" fillId="8" borderId="15" xfId="0" applyNumberFormat="1" applyFont="1" applyFill="1" applyBorder="1"/>
    <x:xf numFmtId="0" fontId="5" fillId="8" borderId="16" xfId="0" applyNumberFormat="1" applyFont="1" applyFill="1" applyBorder="1"/>
    <x:xf numFmtId="0" fontId="5" fillId="8" borderId="17" xfId="0" applyNumberFormat="1" applyFont="1" applyFill="1" applyBorder="1"/>
    <x:xf numFmtId="0" fontId="5" fillId="8" borderId="15" xfId="0" applyNumberFormat="1" applyFont="1" applyFill="1" applyBorder="1" applyAlignment="1">
      <x:alignment wrapText="1"/>
    </x:xf>
    <x:xf numFmtId="0" fontId="5" fillId="8" borderId="16" xfId="0" applyNumberFormat="1" applyFont="1" applyFill="1" applyBorder="1" applyAlignment="1">
      <x:alignment wrapText="1"/>
    </x:xf>
    <x:xf numFmtId="0" fontId="5" fillId="8" borderId="17" xfId="0" applyNumberFormat="1" applyFont="1" applyFill="1" applyBorder="1" applyAlignment="1">
      <x:alignment wrapText="1"/>
    </x:xf>
    <x:xf numFmtId="0" fontId="0" fillId="0" borderId="2" xfId="0" applyNumberFormat="1" applyFont="1" applyFill="1" applyBorder="1"/>
    <x:xf numFmtId="0" fontId="0" fillId="0" borderId="18" xfId="0" applyNumberFormat="1" applyFont="1" applyFill="1" applyBorder="1"/>
    <x:xf numFmtId="0" fontId="0" fillId="0" borderId="3" xfId="0" applyNumberFormat="1" applyFont="1" applyFill="1" applyBorder="1"/>
    <x:xf numFmtId="0" fontId="0" fillId="0" borderId="19" xfId="0" applyNumberFormat="1" applyFont="1" applyFill="1" applyBorder="1"/>
    <x:xf numFmtId="0" fontId="0" fillId="0" borderId="0" xfId="0" applyNumberFormat="1" applyFont="1" applyFill="1" applyBorder="1"/>
    <x:xf numFmtId="0" fontId="0" fillId="0" borderId="20" xfId="0" applyNumberFormat="1" applyFont="1" applyFill="1" applyBorder="1"/>
    <x:xf numFmtId="0" fontId="0" fillId="0" borderId="4" xfId="0" applyNumberFormat="1" applyFont="1" applyFill="1" applyBorder="1"/>
    <x:xf numFmtId="0" fontId="0" fillId="0" borderId="21" xfId="0" applyNumberFormat="1" applyFont="1" applyFill="1" applyBorder="1"/>
    <x:xf numFmtId="0" fontId="0" fillId="0" borderId="5" xfId="0" applyNumberFormat="1" applyFont="1" applyFill="1" applyBorder="1"/>
    <x:xf numFmtId="0" fontId="0" fillId="0" borderId="2"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x:xf numFmtId="0" fontId="0" fillId="0" borderId="22" xfId="0" applyNumberFormat="1" applyFont="1" applyFill="1" applyBorder="1"/>
    <x:xf numFmtId="0" fontId="0" fillId="0" borderId="7"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8" xfId="0" applyNumberFormat="1" applyFont="1" applyFill="1" applyBorder="1"/>
    <x:xf numFmtId="0" fontId="0" fillId="0" borderId="25" xfId="0" applyNumberFormat="1" applyFont="1" applyFill="1" applyBorder="1"/>
    <x:xf numFmtId="0" fontId="0" fillId="0" borderId="9" xfId="0" applyNumberFormat="1" applyFont="1" applyFill="1" applyBorder="1"/>
    <x:xf numFmtId="0" fontId="0" fillId="0" borderId="6"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9" xfId="0" applyNumberFormat="1" applyFont="1" applyFill="1" applyBorder="1" applyAlignment="1">
      <x:alignment wrapText="1"/>
    </x:xf>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vertical="center" wrapText="1"/>
    </x:xf>
    <x:xf numFmtId="0" fontId="5" fillId="7" borderId="1" xfId="0" applyNumberFormat="1" applyFont="1" applyFill="1" applyBorder="1"/>
    <x:xf numFmtId="0" fontId="5" fillId="7" borderId="1" xfId="0" applyNumberFormat="1" applyFont="1" applyFill="1" applyBorder="1" applyAlignment="1">
      <x:alignment wrapText="1"/>
    </x:xf>
    <x:xf numFmtId="0" fontId="5" fillId="7" borderId="1" xfId="0" applyNumberFormat="1" applyFont="1" applyFill="1" applyBorder="1" applyAlignment="1">
      <x:alignment vertical="center" wrapText="1"/>
    </x:xf>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0" xfId="0" applyNumberFormat="1" applyFont="1" applyFill="1" applyBorder="1" applyAlignment="1">
      <x:alignment horizontal="center" wrapText="1"/>
    </x:xf>
    <x:xf numFmtId="0" fontId="8" fillId="2" borderId="0" xfId="0" applyNumberFormat="1" applyFont="1" applyFill="1" applyBorder="1" applyAlignment="1">
      <x:alignment horizontal="center" vertical="center" wrapText="1"/>
    </x:xf>
    <x:xf numFmtId="0" fontId="8" fillId="2" borderId="1" xfId="0" applyNumberFormat="1" applyFont="1" applyFill="1" applyBorder="1"/>
    <x:xf numFmtId="0" fontId="8" fillId="2" borderId="1" xfId="0" applyNumberFormat="1" applyFont="1" applyFill="1" applyBorder="1" applyAlignment="1">
      <x:alignment wrapText="1"/>
    </x:xf>
    <x:xf numFmtId="0" fontId="8" fillId="2" borderId="1" xfId="0" applyNumberFormat="1" applyFont="1" applyFill="1" applyBorder="1" applyAlignment="1">
      <x:alignment horizontal="center" wrapText="1"/>
    </x:xf>
    <x:xf numFmtId="0" fontId="8" fillId="2"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0" borderId="2" xfId="0" applyNumberFormat="1" applyFont="1" applyFill="1" applyBorder="1" applyAlignment="1">
      <x:alignment vertical="top" wrapText="1"/>
    </x:xf>
    <x:xf numFmtId="0" fontId="9" fillId="0" borderId="18" xfId="0" applyNumberFormat="1" applyFont="1" applyFill="1" applyBorder="1" applyAlignment="1">
      <x:alignment vertical="top" wrapText="1"/>
    </x:xf>
    <x:xf numFmtId="0" fontId="9" fillId="0" borderId="3" xfId="0" applyNumberFormat="1" applyFont="1" applyFill="1" applyBorder="1" applyAlignment="1">
      <x:alignment vertical="top" wrapText="1"/>
    </x:xf>
    <x:xf numFmtId="0" fontId="9" fillId="0" borderId="19" xfId="0" applyNumberFormat="1" applyFont="1" applyFill="1" applyBorder="1" applyAlignment="1">
      <x:alignment vertical="top" wrapText="1"/>
    </x:xf>
    <x:xf numFmtId="0" fontId="9" fillId="0" borderId="20" xfId="0" applyNumberFormat="1" applyFont="1" applyFill="1" applyBorder="1" applyAlignment="1">
      <x:alignment vertical="top" wrapText="1"/>
    </x:xf>
    <x:xf numFmtId="0" fontId="9" fillId="0" borderId="4" xfId="0" applyNumberFormat="1" applyFont="1" applyFill="1" applyBorder="1" applyAlignment="1">
      <x:alignment vertical="top" wrapText="1"/>
    </x:xf>
    <x:xf numFmtId="0" fontId="9" fillId="0" borderId="21" xfId="0" applyNumberFormat="1" applyFont="1" applyFill="1" applyBorder="1" applyAlignment="1">
      <x:alignment vertical="top" wrapText="1"/>
    </x:xf>
    <x:xf numFmtId="0" fontId="9" fillId="0" borderId="5" xfId="0" applyNumberFormat="1" applyFont="1" applyFill="1" applyBorder="1" applyAlignment="1">
      <x:alignment vertical="top" wrapText="1"/>
    </x:xf>
    <x:xf numFmtId="0" fontId="9" fillId="0" borderId="6" xfId="0" applyNumberFormat="1" applyFont="1" applyFill="1" applyBorder="1" applyAlignment="1">
      <x:alignment vertical="top" wrapText="1"/>
    </x:xf>
    <x:xf numFmtId="0" fontId="9" fillId="0" borderId="22" xfId="0" applyNumberFormat="1" applyFont="1" applyFill="1" applyBorder="1" applyAlignment="1">
      <x:alignment vertical="top" wrapText="1"/>
    </x:xf>
    <x:xf numFmtId="0" fontId="9" fillId="0" borderId="7" xfId="0" applyNumberFormat="1" applyFont="1" applyFill="1" applyBorder="1" applyAlignment="1">
      <x:alignment vertical="top" wrapText="1"/>
    </x:xf>
    <x:xf numFmtId="0" fontId="9" fillId="0" borderId="23" xfId="0" applyNumberFormat="1" applyFont="1" applyFill="1" applyBorder="1" applyAlignment="1">
      <x:alignment vertical="top" wrapText="1"/>
    </x:xf>
    <x:xf numFmtId="0" fontId="9" fillId="0" borderId="24" xfId="0" applyNumberFormat="1" applyFont="1" applyFill="1" applyBorder="1" applyAlignment="1">
      <x:alignment vertical="top" wrapText="1"/>
    </x:xf>
    <x:xf numFmtId="0" fontId="9" fillId="0" borderId="8" xfId="0" applyNumberFormat="1" applyFont="1" applyFill="1" applyBorder="1" applyAlignment="1">
      <x:alignment vertical="top" wrapText="1"/>
    </x:xf>
    <x:xf numFmtId="0" fontId="9" fillId="0" borderId="25" xfId="0" applyNumberFormat="1" applyFont="1" applyFill="1" applyBorder="1" applyAlignment="1">
      <x:alignment vertical="top" wrapText="1"/>
    </x:xf>
    <x:xf numFmtId="0" fontId="9" fillId="0" borderId="9" xfId="0" applyNumberFormat="1" applyFont="1" applyFill="1" applyBorder="1" applyAlignment="1">
      <x:alignment vertical="top" wrapText="1"/>
    </x:xf>
    <x:xf numFmtId="200" fontId="9" fillId="0" borderId="18" xfId="0" applyNumberFormat="1" applyFont="1" applyFill="1" applyBorder="1" applyAlignment="1">
      <x:alignment vertical="top" wrapText="1"/>
    </x:xf>
    <x:xf numFmtId="200" fontId="9" fillId="0" borderId="0" xfId="0" applyNumberFormat="1" applyFont="1" applyFill="1" applyBorder="1" applyAlignment="1">
      <x:alignment vertical="top" wrapText="1"/>
    </x:xf>
    <x:xf numFmtId="200" fontId="9" fillId="0" borderId="21" xfId="0" applyNumberFormat="1" applyFont="1" applyFill="1" applyBorder="1" applyAlignment="1">
      <x:alignment vertical="top" wrapText="1"/>
    </x:xf>
    <x:xf numFmtId="200" fontId="9" fillId="0" borderId="22" xfId="0" applyNumberFormat="1" applyFont="1" applyFill="1" applyBorder="1" applyAlignment="1">
      <x:alignment vertical="top" wrapText="1"/>
    </x:xf>
    <x:xf numFmtId="200" fontId="9" fillId="0" borderId="1" xfId="0" applyNumberFormat="1" applyFont="1" applyFill="1" applyBorder="1" applyAlignment="1">
      <x:alignment vertical="top" wrapText="1"/>
    </x:xf>
    <x:xf numFmtId="200" fontId="9" fillId="0" borderId="25" xfId="0" applyNumberFormat="1" applyFont="1" applyFill="1" applyBorder="1" applyAlignment="1">
      <x:alignment vertical="top" wrapText="1"/>
    </x:xf>
    <x:xf numFmtId="0" fontId="9" fillId="0" borderId="2" xfId="0" applyNumberFormat="1" applyFont="1" applyFill="1" applyBorder="1" applyAlignment="1">
      <x:alignment horizontal="center" vertical="top" wrapText="1"/>
    </x:xf>
    <x:xf numFmtId="0" fontId="9" fillId="0" borderId="19" xfId="0" applyNumberFormat="1" applyFont="1" applyFill="1" applyBorder="1" applyAlignment="1">
      <x:alignment horizontal="center" vertical="top" wrapText="1"/>
    </x:xf>
    <x:xf numFmtId="0" fontId="9" fillId="0" borderId="4" xfId="0" applyNumberFormat="1" applyFont="1" applyFill="1" applyBorder="1" applyAlignment="1">
      <x:alignment horizontal="center" vertical="top" wrapText="1"/>
    </x:xf>
    <x:xf numFmtId="0" fontId="9" fillId="0" borderId="6" xfId="0" applyNumberFormat="1" applyFont="1" applyFill="1" applyBorder="1" applyAlignment="1">
      <x:alignment horizontal="center" vertical="top" wrapText="1"/>
    </x:xf>
    <x:xf numFmtId="0" fontId="9" fillId="0" borderId="23" xfId="0" applyNumberFormat="1" applyFont="1" applyFill="1" applyBorder="1" applyAlignment="1">
      <x:alignment horizontal="center" vertical="top" wrapText="1"/>
    </x:xf>
    <x:xf numFmtId="0" fontId="9" fillId="0" borderId="8" xfId="0" applyNumberFormat="1" applyFont="1" applyFill="1" applyBorder="1" applyAlignment="1">
      <x:alignment horizontal="center" vertical="top" wrapText="1"/>
    </x:xf>
    <x:xf numFmtId="200" fontId="9" fillId="0" borderId="18" xfId="0" applyNumberFormat="1" applyFont="1" applyFill="1" applyBorder="1" applyAlignment="1">
      <x:alignment horizontal="center" vertical="top" wrapText="1"/>
    </x:xf>
    <x:xf numFmtId="0" fontId="9" fillId="0" borderId="18" xfId="0" applyNumberFormat="1" applyFont="1" applyFill="1" applyBorder="1" applyAlignment="1">
      <x:alignment horizontal="center" vertical="top" wrapText="1"/>
    </x:xf>
    <x:xf numFmtId="200" fontId="9" fillId="0" borderId="0" xfId="0" applyNumberFormat="1" applyFont="1" applyFill="1" applyBorder="1" applyAlignment="1">
      <x:alignment horizontal="center" vertical="top" wrapText="1"/>
    </x:xf>
    <x:xf numFmtId="0" fontId="9" fillId="0" borderId="0" xfId="0" applyNumberFormat="1" applyFont="1" applyFill="1" applyBorder="1" applyAlignment="1">
      <x:alignment horizontal="center" vertical="top" wrapText="1"/>
    </x:xf>
    <x:xf numFmtId="200" fontId="9" fillId="0" borderId="21" xfId="0" applyNumberFormat="1" applyFont="1" applyFill="1" applyBorder="1" applyAlignment="1">
      <x:alignment horizontal="center" vertical="top" wrapText="1"/>
    </x:xf>
    <x:xf numFmtId="0" fontId="9" fillId="0" borderId="21" xfId="0" applyNumberFormat="1" applyFont="1" applyFill="1" applyBorder="1" applyAlignment="1">
      <x:alignment horizontal="center" vertical="top" wrapText="1"/>
    </x:xf>
    <x:xf numFmtId="200" fontId="9" fillId="0" borderId="22" xfId="0" applyNumberFormat="1" applyFont="1" applyFill="1" applyBorder="1" applyAlignment="1">
      <x:alignment horizontal="center" vertical="top" wrapText="1"/>
    </x:xf>
    <x:xf numFmtId="0" fontId="9" fillId="0" borderId="22" xfId="0" applyNumberFormat="1" applyFont="1" applyFill="1" applyBorder="1" applyAlignment="1">
      <x:alignment horizontal="center" vertical="top" wrapText="1"/>
    </x:xf>
    <x:xf numFmtId="200" fontId="9" fillId="0" borderId="1" xfId="0" applyNumberFormat="1" applyFont="1" applyFill="1" applyBorder="1" applyAlignment="1">
      <x:alignment horizontal="center" vertical="top" wrapText="1"/>
    </x:xf>
    <x:xf numFmtId="0" fontId="9" fillId="0" borderId="1" xfId="0" applyNumberFormat="1" applyFont="1" applyFill="1" applyBorder="1" applyAlignment="1">
      <x:alignment horizontal="center" vertical="top" wrapText="1"/>
    </x:xf>
    <x:xf numFmtId="200" fontId="9" fillId="0" borderId="25" xfId="0" applyNumberFormat="1" applyFont="1" applyFill="1" applyBorder="1" applyAlignment="1">
      <x:alignment horizontal="center" vertical="top" wrapText="1"/>
    </x:xf>
    <x:xf numFmtId="0" fontId="9" fillId="0" borderId="25" xfId="0" applyNumberFormat="1" applyFont="1" applyFill="1" applyBorder="1" applyAlignment="1">
      <x:alignment horizontal="center" vertical="top" wrapText="1"/>
    </x:xf>
    <x:xf numFmtId="0" fontId="9" fillId="0" borderId="3" xfId="0" applyNumberFormat="1" applyFont="1" applyFill="1" applyBorder="1" applyAlignment="1">
      <x:alignment horizontal="center" vertical="top" wrapText="1"/>
    </x:xf>
    <x:xf numFmtId="0" fontId="9" fillId="0" borderId="20" xfId="0" applyNumberFormat="1" applyFont="1" applyFill="1" applyBorder="1" applyAlignment="1">
      <x:alignment horizontal="center" vertical="top" wrapText="1"/>
    </x:xf>
    <x:xf numFmtId="0" fontId="9" fillId="0" borderId="5" xfId="0" applyNumberFormat="1" applyFont="1" applyFill="1" applyBorder="1" applyAlignment="1">
      <x:alignment horizontal="center" vertical="top" wrapText="1"/>
    </x:xf>
    <x:xf numFmtId="0" fontId="9" fillId="0" borderId="7" xfId="0" applyNumberFormat="1" applyFont="1" applyFill="1" applyBorder="1" applyAlignment="1">
      <x:alignment horizontal="center" vertical="top" wrapText="1"/>
    </x:xf>
    <x:xf numFmtId="0" fontId="9" fillId="0" borderId="24" xfId="0" applyNumberFormat="1" applyFont="1" applyFill="1" applyBorder="1" applyAlignment="1">
      <x:alignment horizontal="center" vertical="top" wrapText="1"/>
    </x:xf>
    <x:xf numFmtId="0" fontId="9" fillId="0" borderId="9"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top" wrapText="1"/>
    </x:xf>
    <x:xf numFmtId="0" fontId="9" fillId="9" borderId="18" xfId="0" applyNumberFormat="1" applyFont="1" applyFill="1" applyBorder="1" applyAlignment="1">
      <x:alignment vertical="top" wrapText="1"/>
    </x:xf>
    <x:xf numFmtId="200" fontId="9" fillId="9" borderId="18" xfId="0" applyNumberFormat="1" applyFont="1" applyFill="1" applyBorder="1" applyAlignment="1">
      <x:alignment horizontal="center" vertical="top" wrapText="1"/>
    </x:xf>
    <x:xf numFmtId="0" fontId="9" fillId="9" borderId="18" xfId="0" applyNumberFormat="1" applyFont="1" applyFill="1" applyBorder="1" applyAlignment="1">
      <x:alignment horizontal="center" vertical="top" wrapText="1"/>
    </x:xf>
    <x:xf numFmtId="0" fontId="9" fillId="9" borderId="19" xfId="0" applyNumberFormat="1" applyFont="1" applyFill="1" applyBorder="1" applyAlignment="1">
      <x:alignment horizontal="center" vertical="top" wrapText="1"/>
    </x:xf>
    <x:xf numFmtId="0" fontId="9" fillId="9" borderId="0" xfId="0" applyNumberFormat="1" applyFont="1" applyFill="1" applyBorder="1" applyAlignment="1">
      <x:alignment vertical="top" wrapText="1"/>
    </x:xf>
    <x:xf numFmtId="200" fontId="9" fillId="9" borderId="0" xfId="0" applyNumberFormat="1" applyFont="1" applyFill="1" applyBorder="1" applyAlignment="1">
      <x:alignment horizontal="center" vertical="top" wrapText="1"/>
    </x:xf>
    <x:xf numFmtId="0" fontId="9" fillId="9" borderId="0" xfId="0" applyNumberFormat="1" applyFont="1" applyFill="1" applyBorder="1" applyAlignment="1">
      <x:alignment horizontal="center" vertical="top" wrapText="1"/>
    </x:xf>
    <x:xf numFmtId="0" fontId="9" fillId="9" borderId="4" xfId="0" applyNumberFormat="1" applyFont="1" applyFill="1" applyBorder="1" applyAlignment="1">
      <x:alignment horizontal="center" vertical="top" wrapText="1"/>
    </x:xf>
    <x:xf numFmtId="0" fontId="9" fillId="9" borderId="21" xfId="0" applyNumberFormat="1" applyFont="1" applyFill="1" applyBorder="1" applyAlignment="1">
      <x:alignment vertical="top" wrapText="1"/>
    </x:xf>
    <x:xf numFmtId="200" fontId="9" fillId="9" borderId="21" xfId="0" applyNumberFormat="1" applyFont="1" applyFill="1" applyBorder="1" applyAlignment="1">
      <x:alignment horizontal="center" vertical="top" wrapText="1"/>
    </x:xf>
    <x:xf numFmtId="0" fontId="9" fillId="9" borderId="21" xfId="0" applyNumberFormat="1" applyFont="1" applyFill="1" applyBorder="1" applyAlignment="1">
      <x:alignment horizontal="center" vertical="top" wrapText="1"/>
    </x:xf>
    <x:xf numFmtId="0" fontId="9" fillId="9" borderId="6" xfId="0" applyNumberFormat="1" applyFont="1" applyFill="1" applyBorder="1" applyAlignment="1">
      <x:alignment horizontal="center" vertical="top" wrapText="1"/>
    </x:xf>
    <x:xf numFmtId="0" fontId="9" fillId="9" borderId="22" xfId="0" applyNumberFormat="1" applyFont="1" applyFill="1" applyBorder="1" applyAlignment="1">
      <x:alignment vertical="top" wrapText="1"/>
    </x:xf>
    <x:xf numFmtId="200" fontId="9" fillId="9" borderId="22" xfId="0" applyNumberFormat="1" applyFont="1" applyFill="1" applyBorder="1" applyAlignment="1">
      <x:alignment horizontal="center" vertical="top" wrapText="1"/>
    </x:xf>
    <x:xf numFmtId="0" fontId="9" fillId="9" borderId="22" xfId="0" applyNumberFormat="1" applyFont="1" applyFill="1" applyBorder="1" applyAlignment="1">
      <x:alignment horizontal="center" vertical="top" wrapText="1"/>
    </x:xf>
    <x:xf numFmtId="0" fontId="9" fillId="9" borderId="23" xfId="0" applyNumberFormat="1" applyFont="1" applyFill="1" applyBorder="1" applyAlignment="1">
      <x:alignment horizontal="center" vertical="top" wrapText="1"/>
    </x:xf>
    <x:xf numFmtId="0" fontId="9" fillId="9" borderId="1" xfId="0" applyNumberFormat="1" applyFont="1" applyFill="1" applyBorder="1" applyAlignment="1">
      <x:alignment vertical="top" wrapText="1"/>
    </x:xf>
    <x:xf numFmtId="200" fontId="9" fillId="9" borderId="1" xfId="0" applyNumberFormat="1" applyFont="1" applyFill="1" applyBorder="1" applyAlignment="1">
      <x:alignment horizontal="center" vertical="top" wrapText="1"/>
    </x:xf>
    <x:xf numFmtId="0" fontId="9" fillId="9" borderId="1" xfId="0" applyNumberFormat="1" applyFont="1" applyFill="1" applyBorder="1" applyAlignment="1">
      <x:alignment horizontal="center" vertical="top" wrapText="1"/>
    </x:xf>
    <x:xf numFmtId="0" fontId="9" fillId="9" borderId="8" xfId="0" applyNumberFormat="1" applyFont="1" applyFill="1" applyBorder="1" applyAlignment="1">
      <x:alignment horizontal="center" vertical="top" wrapText="1"/>
    </x:xf>
    <x:xf numFmtId="0" fontId="9" fillId="9" borderId="25" xfId="0" applyNumberFormat="1" applyFont="1" applyFill="1" applyBorder="1" applyAlignment="1">
      <x:alignment vertical="top" wrapText="1"/>
    </x:xf>
    <x:xf numFmtId="200" fontId="9" fillId="9" borderId="25" xfId="0" applyNumberFormat="1" applyFont="1" applyFill="1" applyBorder="1" applyAlignment="1">
      <x:alignment horizontal="center" vertical="top" wrapText="1"/>
    </x:xf>
    <x:xf numFmtId="0" fontId="9" fillId="9" borderId="25" xfId="0" applyNumberFormat="1" applyFont="1" applyFill="1" applyBorder="1" applyAlignment="1">
      <x:alignment horizontal="center" vertical="top" wrapText="1"/>
    </x:xf>
    <x:xf numFmtId="0" fontId="9" fillId="10" borderId="18" xfId="0" applyNumberFormat="1" applyFont="1" applyFill="1" applyBorder="1" applyAlignment="1">
      <x:alignment vertical="top" wrapText="1"/>
    </x:xf>
    <x:xf numFmtId="0" fontId="9" fillId="10" borderId="18" xfId="0" applyNumberFormat="1" applyFont="1" applyFill="1" applyBorder="1" applyAlignment="1">
      <x:alignment horizontal="center" vertical="top" wrapText="1"/>
    </x:xf>
    <x:xf numFmtId="0" fontId="9" fillId="10" borderId="0" xfId="0" applyNumberFormat="1" applyFont="1" applyFill="1" applyBorder="1" applyAlignment="1">
      <x:alignment vertical="top" wrapText="1"/>
    </x:xf>
    <x:xf numFmtId="0" fontId="9" fillId="10" borderId="0" xfId="0" applyNumberFormat="1" applyFont="1" applyFill="1" applyBorder="1" applyAlignment="1">
      <x:alignment horizontal="center" vertical="top" wrapText="1"/>
    </x:xf>
    <x:xf numFmtId="0" fontId="9" fillId="10" borderId="21" xfId="0" applyNumberFormat="1" applyFont="1" applyFill="1" applyBorder="1" applyAlignment="1">
      <x:alignment vertical="top" wrapText="1"/>
    </x:xf>
    <x:xf numFmtId="0" fontId="9" fillId="10" borderId="21" xfId="0" applyNumberFormat="1" applyFont="1" applyFill="1" applyBorder="1" applyAlignment="1">
      <x:alignment horizontal="center" vertical="top" wrapText="1"/>
    </x:xf>
    <x:xf numFmtId="0" fontId="9" fillId="10" borderId="22" xfId="0" applyNumberFormat="1" applyFont="1" applyFill="1" applyBorder="1" applyAlignment="1">
      <x:alignment vertical="top" wrapText="1"/>
    </x:xf>
    <x:xf numFmtId="0" fontId="9" fillId="10" borderId="22" xfId="0" applyNumberFormat="1" applyFont="1" applyFill="1" applyBorder="1" applyAlignment="1">
      <x:alignment horizontal="center" vertical="top" wrapText="1"/>
    </x:xf>
    <x:xf numFmtId="0" fontId="9" fillId="10" borderId="1" xfId="0" applyNumberFormat="1" applyFont="1" applyFill="1" applyBorder="1" applyAlignment="1">
      <x:alignment vertical="top" wrapText="1"/>
    </x:xf>
    <x:xf numFmtId="0" fontId="9" fillId="10" borderId="1" xfId="0" applyNumberFormat="1" applyFont="1" applyFill="1" applyBorder="1" applyAlignment="1">
      <x:alignment horizontal="center" vertical="top" wrapText="1"/>
    </x:xf>
    <x:xf numFmtId="0" fontId="9" fillId="10" borderId="25" xfId="0" applyNumberFormat="1" applyFont="1" applyFill="1" applyBorder="1" applyAlignment="1">
      <x:alignment vertical="top" wrapText="1"/>
    </x:xf>
    <x:xf numFmtId="0" fontId="9" fillId="10" borderId="25" xfId="0" applyNumberFormat="1" applyFont="1" applyFill="1" applyBorder="1" applyAlignment="1">
      <x:alignment horizontal="center" vertical="top" wrapText="1"/>
    </x:xf>
    <x:xf numFmtId="0" fontId="9" fillId="11" borderId="18" xfId="0" applyNumberFormat="1" applyFont="1" applyFill="1" applyBorder="1" applyAlignment="1">
      <x:alignment horizontal="center" vertical="top" wrapText="1"/>
    </x:xf>
    <x:xf numFmtId="0" fontId="9" fillId="11" borderId="18" xfId="0" applyNumberFormat="1" applyFont="1" applyFill="1" applyBorder="1" applyAlignment="1">
      <x:alignment vertical="top" wrapText="1"/>
    </x:xf>
    <x:xf numFmtId="0" fontId="9" fillId="11" borderId="3" xfId="0" applyNumberFormat="1" applyFont="1" applyFill="1" applyBorder="1" applyAlignment="1">
      <x:alignment horizontal="center" vertical="top" wrapText="1"/>
    </x:xf>
    <x:xf numFmtId="0" fontId="9" fillId="11" borderId="0" xfId="0" applyNumberFormat="1" applyFont="1" applyFill="1" applyBorder="1" applyAlignment="1">
      <x:alignment horizontal="center" vertical="top" wrapText="1"/>
    </x:xf>
    <x:xf numFmtId="0" fontId="9" fillId="11" borderId="0" xfId="0" applyNumberFormat="1" applyFont="1" applyFill="1" applyBorder="1" applyAlignment="1">
      <x:alignment vertical="top" wrapText="1"/>
    </x:xf>
    <x:xf numFmtId="0" fontId="9" fillId="11" borderId="20" xfId="0" applyNumberFormat="1" applyFont="1" applyFill="1" applyBorder="1" applyAlignment="1">
      <x:alignment horizontal="center" vertical="top" wrapText="1"/>
    </x:xf>
    <x:xf numFmtId="0" fontId="9" fillId="11" borderId="21" xfId="0" applyNumberFormat="1" applyFont="1" applyFill="1" applyBorder="1" applyAlignment="1">
      <x:alignment horizontal="center" vertical="top" wrapText="1"/>
    </x:xf>
    <x:xf numFmtId="0" fontId="9" fillId="11" borderId="21" xfId="0" applyNumberFormat="1" applyFont="1" applyFill="1" applyBorder="1" applyAlignment="1">
      <x:alignment vertical="top" wrapText="1"/>
    </x:xf>
    <x:xf numFmtId="0" fontId="9" fillId="11" borderId="5" xfId="0" applyNumberFormat="1" applyFont="1" applyFill="1" applyBorder="1" applyAlignment="1">
      <x:alignment horizontal="center" vertical="top" wrapText="1"/>
    </x:xf>
    <x:xf numFmtId="0" fontId="9" fillId="11" borderId="22" xfId="0" applyNumberFormat="1" applyFont="1" applyFill="1" applyBorder="1" applyAlignment="1">
      <x:alignment horizontal="center" vertical="top" wrapText="1"/>
    </x:xf>
    <x:xf numFmtId="0" fontId="9" fillId="11" borderId="22" xfId="0" applyNumberFormat="1" applyFont="1" applyFill="1" applyBorder="1" applyAlignment="1">
      <x:alignment vertical="top" wrapText="1"/>
    </x:xf>
    <x:xf numFmtId="0" fontId="9" fillId="11" borderId="7" xfId="0" applyNumberFormat="1" applyFont="1" applyFill="1" applyBorder="1" applyAlignment="1">
      <x:alignment horizontal="center" vertical="top" wrapText="1"/>
    </x:xf>
    <x:xf numFmtId="0" fontId="9" fillId="11" borderId="1" xfId="0" applyNumberFormat="1" applyFont="1" applyFill="1" applyBorder="1" applyAlignment="1">
      <x:alignment horizontal="center" vertical="top" wrapText="1"/>
    </x:xf>
    <x:xf numFmtId="0" fontId="9" fillId="11" borderId="1" xfId="0" applyNumberFormat="1" applyFont="1" applyFill="1" applyBorder="1" applyAlignment="1">
      <x:alignment vertical="top" wrapText="1"/>
    </x:xf>
    <x:xf numFmtId="0" fontId="9" fillId="11" borderId="24" xfId="0" applyNumberFormat="1" applyFont="1" applyFill="1" applyBorder="1" applyAlignment="1">
      <x:alignment horizontal="center" vertical="top" wrapText="1"/>
    </x:xf>
    <x:xf numFmtId="0" fontId="9" fillId="11" borderId="25" xfId="0" applyNumberFormat="1" applyFont="1" applyFill="1" applyBorder="1" applyAlignment="1">
      <x:alignment horizontal="center" vertical="top" wrapText="1"/>
    </x:xf>
    <x:xf numFmtId="0" fontId="9" fillId="11" borderId="25" xfId="0" applyNumberFormat="1" applyFont="1" applyFill="1" applyBorder="1" applyAlignment="1">
      <x:alignment vertical="top" wrapText="1"/>
    </x:xf>
    <x:xf numFmtId="0" fontId="9" fillId="11" borderId="9" xfId="0" applyNumberFormat="1" applyFont="1" applyFill="1" applyBorder="1" applyAlignment="1">
      <x:alignment horizontal="center" vertical="top" wrapText="1"/>
    </x:xf>
    <x:xf numFmtId="0" fontId="10" fillId="0" borderId="18"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0" fillId="0" borderId="21" xfId="0" applyNumberFormat="1" applyFont="1" applyFill="1" applyBorder="1" applyAlignment="1">
      <x:alignment vertical="top" wrapText="1"/>
    </x:xf>
    <x:xf numFmtId="0" fontId="10" fillId="0" borderId="22" xfId="0" applyNumberFormat="1" applyFont="1" applyFill="1" applyBorder="1" applyAlignment="1">
      <x:alignment vertical="top" wrapText="1"/>
    </x:xf>
    <x:xf numFmtId="0" fontId="10" fillId="0" borderId="1" xfId="0" applyNumberFormat="1" applyFont="1" applyFill="1" applyBorder="1" applyAlignment="1">
      <x:alignment vertical="top" wrapText="1"/>
    </x:xf>
    <x:xf numFmtId="0" fontId="10" fillId="0" borderId="25" xfId="0" applyNumberFormat="1" applyFont="1" applyFill="1" applyBorder="1" applyAlignment="1">
      <x:alignment vertical="top" wrapText="1"/>
    </x:xf>
  </x:cellXfs>
  <x:cellStyles count="1">
    <x:cellStyle name="Normal" xfId="0"/>
  </x:cellStyles>
  <x:dxfs count="12">
    <x:dxf>
      <x:font>
        <x:b/>
        <x:color rgb="FF1B5E20"/>
      </x:font>
      <x:fill>
        <x:patternFill patternType="solid">
          <x:bgColor rgb="FFE7F4E8"/>
        </x:patternFill>
      </x:fill>
    </x:dxf>
    <x:dxf>
      <x:font>
        <x:b/>
        <x:color rgb="FF7A4E00"/>
      </x:font>
      <x:fill>
        <x:patternFill patternType="solid">
          <x:bgColor rgb="FFFFF4D6"/>
        </x:patternFill>
      </x:fill>
    </x:dxf>
    <x:dxf>
      <x:font>
        <x:b/>
        <x:color rgb="FF9C1C1C"/>
      </x:font>
      <x:fill>
        <x:patternFill patternType="solid">
          <x:bgColor rgb="FFFDE9E7"/>
        </x:patternFill>
      </x:fill>
    </x:dxf>
    <x:dxf>
      <x:font>
        <x:b/>
        <x:color rgb="FF1B5E20"/>
      </x:font>
      <x:fill>
        <x:patternFill patternType="solid">
          <x:bgColor rgb="FFE7F4E8"/>
        </x:patternFill>
      </x:fill>
    </x:dxf>
    <x:dxf>
      <x:font>
        <x:b/>
        <x:color rgb="FF7A4E00"/>
      </x:font>
      <x:fill>
        <x:patternFill patternType="solid">
          <x:bgColor rgb="FFFFF4D6"/>
        </x:patternFill>
      </x:fill>
    </x:dxf>
    <x:dxf>
      <x:font>
        <x:b/>
        <x:color rgb="FF9C1C1C"/>
      </x:font>
      <x:fill>
        <x:patternFill patternType="solid">
          <x:bgColor rgb="FFFDE9E7"/>
        </x:patternFill>
      </x:fill>
    </x:dxf>
    <x:dxf>
      <x:fill>
        <x:patternFill patternType="solid">
          <x:bgColor rgb="FFFDE9E7"/>
        </x:patternFill>
      </x:fill>
    </x:dxf>
    <x:dxf>
      <x:fill>
        <x:patternFill patternType="solid">
          <x:bgColor rgb="FFEEE9F7"/>
        </x:patternFill>
      </x:fill>
    </x:dxf>
    <x:dxf>
      <x:fill>
        <x:patternFill patternType="solid">
          <x:bgColor rgb="FFFFF4D6"/>
        </x:patternFill>
      </x:fill>
    </x:dxf>
    <x:dxf>
      <x:fill>
        <x:patternFill patternType="solid">
          <x:bgColor rgb="FFE7F4E8"/>
        </x:patternFill>
      </x:fill>
    </x:dxf>
    <x:dxf>
      <x:fill>
        <x:patternFill patternType="solid">
          <x:bgColor rgb="FFFFF4D6"/>
        </x:patternFill>
      </x:fill>
    </x:dxf>
    <x:dxf>
      <x:fill>
        <x:patternFill patternType="solid">
          <x:bgColor rgb="FFFDE9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66bf5e7896e428c" /><Relationship Type="http://schemas.openxmlformats.org/officeDocument/2006/relationships/theme" Target="/xl/theme/theme1.xml" Id="R14b13a1f3fce4e51" /><Relationship Type="http://schemas.openxmlformats.org/officeDocument/2006/relationships/sharedStrings" Target="/xl/sharedStrings.xml" Id="Rf0a417bd8b544086" /><Relationship Type="http://schemas.openxmlformats.org/officeDocument/2006/relationships/worksheet" Target="/xl/worksheets/sheet1.xml" Id="R7e02185c79444097" /><Relationship Type="http://schemas.openxmlformats.org/officeDocument/2006/relationships/worksheet" Target="/xl/worksheets/sheet2.xml" Id="R0863195bf7924635" /><Relationship Type="http://schemas.openxmlformats.org/officeDocument/2006/relationships/worksheet" Target="/xl/worksheets/sheet3.xml" Id="R7287d22d861d404d" /><Relationship Type="http://schemas.openxmlformats.org/officeDocument/2006/relationships/worksheet" Target="/xl/worksheets/sheet4.xml" Id="R7cecccb0bcef4678" /></Relationships>
</file>

<file path=xl/tables/table1.xml><?xml version="1.0" encoding="utf-8"?>
<x:table xmlns:x="http://schemas.openxmlformats.org/spreadsheetml/2006/main" id="1" name="VendorRegistryTop50" displayName="VendorRegistryTop50" ref="A4:AC54" headerRowCount="1">
  <x:tableColumns count="29">
    <x:tableColumn id="1" name="Rank"/>
    <x:tableColumn id="2" name="UEI"/>
    <x:tableColumn id="3" name="Name (file)"/>
    <x:tableColumn id="4" name="Total $M"/>
    <x:tableColumn id="5" name="Submarines $M"/>
    <x:tableColumn id="6" name="DDG-51 $M"/>
    <x:tableColumn id="7" name="Records"/>
    <x:tableColumn id="8" name="CAGE"/>
    <x:tableColumn id="9" name="File Primary NAICS"/>
    <x:tableColumn id="10" name="Primary NAICS Description"/>
    <x:tableColumn id="11" name="File All NAICS"/>
    <x:tableColumn id="12" name="File Org Structure"/>
    <x:tableColumn id="13" name="File Business Types"/>
    <x:tableColumn id="14" name="File Immediate Owner"/>
    <x:tableColumn id="15" name="File Highest Owner"/>
    <x:tableColumn id="16" name="What They Make or Do"/>
    <x:tableColumn id="17" name="Supplier Type"/>
    <x:tableColumn id="18" name="Primary Products or Capabilities"/>
    <x:tableColumn id="19" name="Typical Deliverable"/>
    <x:tableColumn id="20" name="Ships to Navy Shipbuilding"/>
    <x:tableColumn id="21" name="Verified Corporate Parent"/>
    <x:tableColumn id="22" name="Verified Ultimate Owner"/>
    <x:tableColumn id="23" name="Operating Entity / Site Note"/>
    <x:tableColumn id="24" name="NAICS Assessment"/>
    <x:tableColumn id="25" name="Domestic or Foreign"/>
    <x:tableColumn id="26" name="Confidence"/>
    <x:tableColumn id="27" name="Verification Notes / Uncertainty"/>
    <x:tableColumn id="28" name="Source URLs"/>
    <x:tableColumn id="29" name="Source Count"/>
  </x:tableColumns>
  <x:tableStyleInfo name="TableStyleMedium2" showRowStripes="1"/>
</x:table>
</file>

<file path=xl/tables/table2.xml><?xml version="1.0" encoding="utf-8"?>
<x:table xmlns:x="http://schemas.openxmlformats.org/spreadsheetml/2006/main" id="2" name="SourceLedgerTable" displayName="SourceLedgerTable" ref="A3:H161" headerRowCount="1">
  <x:tableColumns count="8">
    <x:tableColumn id="1" name="Rank"/>
    <x:tableColumn id="2" name="UEI"/>
    <x:tableColumn id="3" name="Vendor"/>
    <x:tableColumn id="4" name="Source #"/>
    <x:tableColumn id="5" name="Source Type"/>
    <x:tableColumn id="6" name="Source Title / Description"/>
    <x:tableColumn id="7" name="URL"/>
    <x:tableColumn id="8" name="Supports"/>
  </x:tableColumns>
  <x:tableStyleInfo name="TableStyleMedium2" showRowStripes="1"/>
</x:table>
</file>

<file path=xl/tables/table3.xml><?xml version="1.0" encoding="utf-8"?>
<x:table xmlns:x="http://schemas.openxmlformats.org/spreadsheetml/2006/main" id="3" name="ReviewQueueTable" displayName="ReviewQueueTable" ref="A4:H18" headerRowCount="1">
  <x:tableColumns count="8">
    <x:tableColumn id="1" name="Rank"/>
    <x:tableColumn id="2" name="UEI"/>
    <x:tableColumn id="3" name="Vendor"/>
    <x:tableColumn id="4" name="Review Reason"/>
    <x:tableColumn id="5" name="Confidence"/>
    <x:tableColumn id="6" name="Ships"/>
    <x:tableColumn id="7" name="NAICS Issue"/>
    <x:tableColumn id="8" name="Recommended Follow-up"/>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ef0e1ec30504c20" /></Relationships>
</file>

<file path=xl/worksheets/_rels/sheet3.xml.rels>&#65279;<?xml version="1.0" encoding="utf-8"?><Relationships xmlns="http://schemas.openxmlformats.org/package/2006/relationships"><Relationship Type="http://schemas.openxmlformats.org/officeDocument/2006/relationships/table" Target="/xl/tables/table2.xml" Id="R351d66de2ba6423b" /></Relationships>
</file>

<file path=xl/worksheets/_rels/sheet4.xml.rels>&#65279;<?xml version="1.0" encoding="utf-8"?><Relationships xmlns="http://schemas.openxmlformats.org/package/2006/relationships"><Relationship Type="http://schemas.openxmlformats.org/officeDocument/2006/relationships/table" Target="/xl/tables/table3.xml" Id="Rafcbce3c57ed4019" /></Relationships>
</file>

<file path=xl/worksheets/sheet1.xml><?xml version="1.0" encoding="utf-8"?>
<x:worksheet xmlns:x="http://schemas.openxmlformats.org/spreadsheetml/2006/main">
  <x:sheetFormatPr defaultRowHeight="15"/>
  <x:cols>
    <x:col min="1" max="1" width="20" hidden="0" customWidth="1"/>
    <x:col min="2" max="2" width="16" hidden="0" customWidth="1"/>
    <x:col min="3" max="3" width="4" hidden="0" customWidth="1"/>
    <x:col min="4" max="4" width="20" hidden="0" customWidth="1"/>
    <x:col min="5" max="5" width="16" hidden="0" customWidth="1"/>
    <x:col min="6" max="6" width="4" hidden="0" customWidth="1"/>
    <x:col min="7" max="7" width="24" hidden="0" customWidth="1"/>
    <x:col min="8" max="8" width="16" hidden="0" customWidth="1"/>
    <x:col min="9" max="9" width="4" hidden="0" customWidth="1"/>
    <x:col min="10" max="10" width="20" hidden="0" customWidth="1"/>
  </x:cols>
  <x:sheetData>
    <x:row r="1" ht="34" customHeight="1">
      <x:c r="A1" s="5" t="str">
        <x:v>U.S. Navy New-Construction Shipbuilding Vendor Registry — Top 50</x:v>
      </x:c>
      <x:c r="B1" s="5"/>
      <x:c r="C1" s="5"/>
      <x:c r="D1" s="5"/>
      <x:c r="E1" s="5"/>
      <x:c r="F1" s="5"/>
      <x:c r="G1" s="5"/>
      <x:c r="H1" s="5"/>
      <x:c r="I1" s="5"/>
      <x:c r="J1" s="5"/>
    </x:row>
    <x:row r="2" ht="30" customHeight="1">
      <x:c r="A2" s="13" t="str">
        <x:v>Hand-verified operating-entity profiles for the highest-dollar suppliers in the submarine + DDG-51 subaward dataset. As of 2026-06-18; no final taxonomy categories assigned.</x:v>
      </x:c>
      <x:c r="B2" s="13"/>
      <x:c r="C2" s="13"/>
      <x:c r="D2" s="13"/>
      <x:c r="E2" s="13"/>
      <x:c r="F2" s="13"/>
      <x:c r="G2" s="13"/>
      <x:c r="H2" s="13"/>
      <x:c r="I2" s="13"/>
      <x:c r="J2" s="13"/>
    </x:row>
    <x:row r="4">
      <x:c r="A4" s="20" t="str">
        <x:v>VENDORS PROFILED</x:v>
      </x:c>
      <x:c r="B4" s="20"/>
      <x:c r="D4" s="20" t="str">
        <x:v>VERIFIED DOLLARS ($M)</x:v>
      </x:c>
      <x:c r="E4" s="20"/>
      <x:c r="G4" s="20" t="str">
        <x:v>DATASET DOLLAR COVERAGE</x:v>
      </x:c>
      <x:c r="H4" s="20"/>
      <x:c r="J4" s="20" t="str">
        <x:v>DATASET TOTAL ($M)</x:v>
      </x:c>
    </x:row>
    <x:row r="5">
      <x:c r="A5" s="34" t="n">
        <x:f>COUNTA(Registry_Top50!$B$5:$B$54)</x:f>
        <x:v>50</x:v>
      </x:c>
      <x:c r="B5" s="35"/>
      <x:c r="D5" s="60" t="n">
        <x:f>SUM(Registry_Top50!$D$5:$D$54)</x:f>
        <x:v>9316.663</x:v>
      </x:c>
      <x:c r="E5" s="61"/>
      <x:c r="G5" s="84" t="n">
        <x:f>D5/$J$5</x:f>
        <x:v>0.7106122958298203</x:v>
      </x:c>
      <x:c r="H5" s="85"/>
      <x:c r="J5" s="103" t="n">
        <x:v>13110.754</x:v>
      </x:c>
    </x:row>
    <x:row r="6">
      <x:c r="A6" s="36"/>
      <x:c r="B6" s="37"/>
      <x:c r="D6" s="62"/>
      <x:c r="E6" s="63"/>
      <x:c r="G6" s="86"/>
      <x:c r="H6" s="87"/>
    </x:row>
    <x:row r="8">
      <x:c r="A8" s="20" t="str">
        <x:v>HIGH CONFIDENCE</x:v>
      </x:c>
      <x:c r="B8" s="20"/>
      <x:c r="D8" s="20" t="str">
        <x:v>MEDIUM / LOW CONFIDENCE</x:v>
      </x:c>
      <x:c r="E8" s="20"/>
      <x:c r="G8" s="20" t="str">
        <x:v>PLAUSIBLE SHIPBUILDING SUPPLIERS</x:v>
      </x:c>
      <x:c r="H8" s="20"/>
    </x:row>
    <x:row r="9">
      <x:c r="A9" s="118" t="n">
        <x:f>COUNTIF(Registry_Top50!$Z$5:$Z$54,"high")</x:f>
        <x:v>44</x:v>
      </x:c>
      <x:c r="B9" s="119"/>
      <x:c r="D9" s="146" t="n">
        <x:f>COUNTIF(Registry_Top50!$Z$5:$Z$54,"medium")+COUNTIF(Registry_Top50!$Z$5:$Z$54,"low")</x:f>
        <x:v>6</x:v>
      </x:c>
      <x:c r="E9" s="147"/>
      <x:c r="G9" s="118" t="n">
        <x:f>COUNTIF(Registry_Top50!$T$5:$T$54,"yes")</x:f>
        <x:v>47</x:v>
      </x:c>
      <x:c r="H9" s="119"/>
    </x:row>
    <x:row r="10">
      <x:c r="A10" s="120"/>
      <x:c r="B10" s="121"/>
      <x:c r="D10" s="148"/>
      <x:c r="E10" s="149"/>
      <x:c r="G10" s="120"/>
      <x:c r="H10" s="121"/>
    </x:row>
    <x:row r="12">
      <x:c r="A12" s="20" t="str">
        <x:v>SCOPE AND METHOD</x:v>
      </x:c>
      <x:c r="B12" s="20"/>
      <x:c r="C12" s="20"/>
      <x:c r="D12" s="20"/>
      <x:c r="E12" s="20"/>
      <x:c r="F12" s="20"/>
      <x:c r="G12" s="20"/>
      <x:c r="H12" s="20"/>
      <x:c r="I12" s="20"/>
      <x:c r="J12" s="20"/>
    </x:row>
    <x:row r="13" ht="38" customHeight="1">
      <x:c r="A13" s="170" t="str">
        <x:v>Scope</x:v>
      </x:c>
      <x:c r="B13" s="200" t="str">
        <x:v>Ranks 1–50 by dollars from uei_entity_profile.csv; this tranche covers approximately 71.1% of dataset dollars.</x:v>
      </x:c>
      <x:c r="C13" s="201"/>
      <x:c r="D13" s="201"/>
      <x:c r="E13" s="201"/>
      <x:c r="F13" s="201"/>
      <x:c r="G13" s="201"/>
      <x:c r="H13" s="201"/>
      <x:c r="I13" s="201"/>
      <x:c r="J13" s="202"/>
    </x:row>
    <x:row r="14" ht="38" customHeight="1">
      <x:c r="A14" s="171" t="str">
        <x:v>Research unit</x:v>
      </x:c>
      <x:c r="B14" s="203" t="str">
        <x:v>The operating entity identified by legal name + UEI/CAGE. Parent-company descriptions were not substituted for plant- or subsidiary-specific activity.</x:v>
      </x:c>
      <x:c r="C14" s="204"/>
      <x:c r="D14" s="204"/>
      <x:c r="E14" s="204"/>
      <x:c r="F14" s="204"/>
      <x:c r="G14" s="204"/>
      <x:c r="H14" s="204"/>
      <x:c r="I14" s="204"/>
      <x:c r="J14" s="205"/>
    </x:row>
    <x:row r="15" ht="38" customHeight="1">
      <x:c r="A15" s="171" t="str">
        <x:v>Evidence hierarchy</x:v>
      </x:c>
      <x:c r="B15" s="203" t="str">
        <x:v>First-party capability pages and press releases; SEC/company filings; SAM/federal procurement records; reputable federal-registration aggregators. Business directories were used only where stronger sources were unavailable and are flagged.</x:v>
      </x:c>
      <x:c r="C15" s="204"/>
      <x:c r="D15" s="204"/>
      <x:c r="E15" s="204"/>
      <x:c r="F15" s="204"/>
      <x:c r="G15" s="204"/>
      <x:c r="H15" s="204"/>
      <x:c r="I15" s="204"/>
      <x:c r="J15" s="205"/>
    </x:row>
    <x:row r="16" ht="38" customHeight="1">
      <x:c r="A16" s="171" t="str">
        <x:v>Ownership effective date</x:v>
      </x:c>
      <x:c r="B16" s="203" t="str">
        <x:v>Corporate parent / ultimate owner are stated as of 2026-06-18. Pending deals are not recorded as completed.</x:v>
      </x:c>
      <x:c r="C16" s="204"/>
      <x:c r="D16" s="204"/>
      <x:c r="E16" s="204"/>
      <x:c r="F16" s="204"/>
      <x:c r="G16" s="204"/>
      <x:c r="H16" s="204"/>
      <x:c r="I16" s="204"/>
      <x:c r="J16" s="205"/>
    </x:row>
    <x:row r="17" ht="38" customHeight="1">
      <x:c r="A17" s="171" t="str">
        <x:v>NAICS handling</x:v>
      </x:c>
      <x:c r="B17" s="203" t="str">
        <x:v>File NAICS is retained for audit. Assessment compares the self-reported primary code with independently verified operating activity; it does not replace SAM data.</x:v>
      </x:c>
      <x:c r="C17" s="204"/>
      <x:c r="D17" s="204"/>
      <x:c r="E17" s="204"/>
      <x:c r="F17" s="204"/>
      <x:c r="G17" s="204"/>
      <x:c r="H17" s="204"/>
      <x:c r="I17" s="204"/>
      <x:c r="J17" s="205"/>
    </x:row>
    <x:row r="18" ht="38" customHeight="1">
      <x:c r="A18" s="171" t="str">
        <x:v>Shipbuilding plausibility</x:v>
      </x:c>
      <x:c r="B18" s="203" t="str">
        <x:v>yes = direct, credible naval ship/submarine equipment or module role; partial = group-level, indirect shipyard-production, or exact-UEI attribution uncertain; no = not plausible. No row in this tranche was coded no.</x:v>
      </x:c>
      <x:c r="C18" s="204"/>
      <x:c r="D18" s="204"/>
      <x:c r="E18" s="204"/>
      <x:c r="F18" s="204"/>
      <x:c r="G18" s="204"/>
      <x:c r="H18" s="204"/>
      <x:c r="I18" s="204"/>
      <x:c r="J18" s="205"/>
    </x:row>
    <x:row r="19" ht="38" customHeight="1">
      <x:c r="A19" s="171" t="str">
        <x:v>Confidence</x:v>
      </x:c>
      <x:c r="B19" s="203" t="str">
        <x:v>high = operating identity and core capability verified by authoritative sources; medium = core activity verified but entity/ownership/deliverable detail has material uncertainty; low = only limited or lower-authority public evidence.</x:v>
      </x:c>
      <x:c r="C19" s="204"/>
      <x:c r="D19" s="204"/>
      <x:c r="E19" s="204"/>
      <x:c r="F19" s="204"/>
      <x:c r="G19" s="204"/>
      <x:c r="H19" s="204"/>
      <x:c r="I19" s="204"/>
      <x:c r="J19" s="205"/>
    </x:row>
    <x:row r="20" ht="38" customHeight="1">
      <x:c r="A20" s="172" t="str">
        <x:v>Taxonomy</x:v>
      </x:c>
      <x:c r="B20" s="206" t="str">
        <x:v>No vendor has been assigned to a future category taxonomy. supplier_type and typical_deliverable are durable descriptive attributes requested for this registry.</x:v>
      </x:c>
      <x:c r="C20" s="207"/>
      <x:c r="D20" s="207"/>
      <x:c r="E20" s="207"/>
      <x:c r="F20" s="207"/>
      <x:c r="G20" s="207"/>
      <x:c r="H20" s="207"/>
      <x:c r="I20" s="207"/>
      <x:c r="J20" s="208"/>
    </x:row>
    <x:row r="23">
      <x:c r="A23" s="20" t="str">
        <x:v>CONTROLLED VALUES USED IN THE REGISTRY</x:v>
      </x:c>
      <x:c r="B23" s="20"/>
      <x:c r="C23" s="20"/>
      <x:c r="D23" s="20"/>
      <x:c r="E23" s="20"/>
      <x:c r="F23" s="20"/>
      <x:c r="G23" s="20"/>
      <x:c r="H23" s="20"/>
      <x:c r="I23" s="20"/>
      <x:c r="J23" s="20"/>
    </x:row>
    <x:row r="24" ht="26" customHeight="1">
      <x:c r="A24" s="241" t="str">
        <x:v>supplier_type</x:v>
      </x:c>
      <x:c r="B24" s="261" t="str">
        <x:v>manufacturer · distributor/reseller · engineering/services · integrator/OEM · construction/facilities · pass-through/funding · unknown</x:v>
      </x:c>
      <x:c r="C24" s="262"/>
      <x:c r="D24" s="262"/>
      <x:c r="E24" s="262"/>
      <x:c r="F24" s="262"/>
      <x:c r="G24" s="262"/>
      <x:c r="H24" s="262"/>
      <x:c r="I24" s="262"/>
      <x:c r="J24" s="263"/>
    </x:row>
    <x:row r="25" ht="26" customHeight="1">
      <x:c r="A25" s="242" t="str">
        <x:v>typical_deliverable</x:v>
      </x:c>
      <x:c r="B25" s="264" t="str">
        <x:v>integrated assembly/module · discrete component/equipment · material/semi-finished input · service · unknown</x:v>
      </x:c>
      <x:c r="C25" s="265"/>
      <x:c r="D25" s="265"/>
      <x:c r="E25" s="265"/>
      <x:c r="F25" s="265"/>
      <x:c r="G25" s="265"/>
      <x:c r="H25" s="265"/>
      <x:c r="I25" s="265"/>
      <x:c r="J25" s="266"/>
    </x:row>
    <x:row r="26" ht="26" customHeight="1">
      <x:c r="A26" s="242" t="str">
        <x:v>ships_to_navy_shipbuilding</x:v>
      </x:c>
      <x:c r="B26" s="264" t="str">
        <x:v>yes · partial · no</x:v>
      </x:c>
      <x:c r="C26" s="265"/>
      <x:c r="D26" s="265"/>
      <x:c r="E26" s="265"/>
      <x:c r="F26" s="265"/>
      <x:c r="G26" s="265"/>
      <x:c r="H26" s="265"/>
      <x:c r="I26" s="265"/>
      <x:c r="J26" s="266"/>
    </x:row>
    <x:row r="27" ht="26" customHeight="1">
      <x:c r="A27" s="243" t="str">
        <x:v>confidence</x:v>
      </x:c>
      <x:c r="B27" s="267" t="str">
        <x:v>high · medium · low</x:v>
      </x:c>
      <x:c r="C27" s="268"/>
      <x:c r="D27" s="268"/>
      <x:c r="E27" s="268"/>
      <x:c r="F27" s="268"/>
      <x:c r="G27" s="268"/>
      <x:c r="H27" s="268"/>
      <x:c r="I27" s="268"/>
      <x:c r="J27" s="269"/>
    </x:row>
    <x:row r="29" ht="30" customHeight="1">
      <x:c r="A29" s="289" t="str">
        <x:v>Navigate to Registry_Top50 for the profiles, Source_Ledger for one source per row, and Review_Queue for records needing special handling.</x:v>
      </x:c>
      <x:c r="B29" s="289"/>
      <x:c r="C29" s="289"/>
      <x:c r="D29" s="289"/>
      <x:c r="E29" s="289"/>
      <x:c r="F29" s="289"/>
      <x:c r="G29" s="289"/>
      <x:c r="H29" s="289"/>
      <x:c r="I29" s="289"/>
      <x:c r="J29" s="289"/>
    </x:row>
  </x:sheetData>
  <x:mergeCells>
    <x:mergeCell ref="A1:J1"/>
    <x:mergeCell ref="A2:J2"/>
    <x:mergeCell ref="A4:B4"/>
    <x:mergeCell ref="D4:E4"/>
    <x:mergeCell ref="G4:H4"/>
    <x:mergeCell ref="A5:B6"/>
    <x:mergeCell ref="D5:E6"/>
    <x:mergeCell ref="G5:H6"/>
    <x:mergeCell ref="A8:B8"/>
    <x:mergeCell ref="D8:E8"/>
    <x:mergeCell ref="G8:H8"/>
    <x:mergeCell ref="A9:B10"/>
    <x:mergeCell ref="D9:E10"/>
    <x:mergeCell ref="G9:H10"/>
    <x:mergeCell ref="A12:J12"/>
    <x:mergeCell ref="B13:J13"/>
    <x:mergeCell ref="B14:J14"/>
    <x:mergeCell ref="B15:J15"/>
    <x:mergeCell ref="B16:J16"/>
    <x:mergeCell ref="B17:J17"/>
    <x:mergeCell ref="B18:J18"/>
    <x:mergeCell ref="B19:J19"/>
    <x:mergeCell ref="B20:J20"/>
    <x:mergeCell ref="A23:J23"/>
    <x:mergeCell ref="B24:J24"/>
    <x:mergeCell ref="B25:J25"/>
    <x:mergeCell ref="B26:J26"/>
    <x:mergeCell ref="B27:J27"/>
    <x:mergeCell ref="A29:J29"/>
  </x:mergeCells>
  <x:pageMargins left="0.7" right="0.7" top="0.75" bottom="0.75" header="0.3" footer="0.3"/>
</x:worksheet>
</file>

<file path=xl/worksheets/sheet2.xml><?xml version="1.0" encoding="utf-8"?>
<x:worksheet xmlns:x="http://schemas.openxmlformats.org/spreadsheetml/2006/main">
  <x:sheetFormatPr defaultRowHeight="15"/>
  <x:cols>
    <x:col min="1" max="1" width="7" hidden="0" customWidth="1"/>
    <x:col min="2" max="2" width="16" hidden="0" customWidth="1"/>
    <x:col min="3" max="3" width="34" hidden="0" customWidth="1"/>
    <x:col min="4" max="4" width="13" hidden="0" customWidth="1"/>
    <x:col min="5" max="5" width="14" hidden="0" customWidth="1"/>
    <x:col min="6" max="6" width="13" hidden="0" customWidth="1"/>
    <x:col min="7" max="7" width="9" hidden="0" customWidth="1"/>
    <x:col min="8" max="8" width="10" hidden="0" customWidth="1"/>
    <x:col min="9" max="9" width="15" hidden="0" customWidth="1"/>
    <x:col min="10" max="10" width="34" hidden="0" customWidth="1"/>
    <x:col min="11" max="11" width="24" hidden="0" customWidth="1"/>
    <x:col min="12" max="12" width="24" hidden="0" customWidth="1"/>
    <x:col min="13" max="13" width="32" hidden="0" customWidth="1"/>
    <x:col min="14" max="14" width="28" hidden="0" customWidth="1"/>
    <x:col min="15" max="15" width="28" hidden="0" customWidth="1"/>
    <x:col min="16" max="16" width="52" hidden="0" customWidth="1"/>
    <x:col min="17" max="17" width="18" hidden="0" customWidth="1"/>
    <x:col min="18" max="18" width="52" hidden="0" customWidth="1"/>
    <x:col min="19" max="19" width="24" hidden="0" customWidth="1"/>
    <x:col min="20" max="20" width="19" hidden="0" customWidth="1"/>
    <x:col min="21" max="21" width="36" hidden="0" customWidth="1"/>
    <x:col min="22" max="22" width="36" hidden="0" customWidth="1"/>
    <x:col min="23" max="23" width="52" hidden="0" customWidth="1"/>
    <x:col min="24" max="24" width="52" hidden="0" customWidth="1"/>
    <x:col min="25" max="25" width="31" hidden="0" customWidth="1"/>
    <x:col min="26" max="26" width="12" hidden="0" customWidth="1"/>
    <x:col min="27" max="27" width="56" hidden="0" customWidth="1"/>
    <x:col min="28" max="28" width="58" hidden="0" customWidth="1"/>
    <x:col min="29" max="29" width="12" hidden="0" customWidth="1"/>
  </x:cols>
  <x:sheetData>
    <x:row r="1" ht="34" customHeight="1">
      <x:c r="A1" s="5" t="str">
        <x:v>Vendor Registry — Top 50 by Total Subaward Dollars</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row>
    <x:row r="2" ht="30" customHeight="1">
      <x:c r="A2" s="13" t="str">
        <x:v>File fields are retained at left for audit. Verified operating facts, ownership, NAICS assessment, confidence and source links follow. Use filters to isolate supplier type, deliverable, shipbuilding plausibility, confidence or review issues.</x:v>
      </x:c>
      <x:c r="B2" s="13"/>
      <x:c r="C2" s="13"/>
      <x:c r="D2" s="13"/>
      <x:c r="E2" s="13"/>
      <x:c r="F2" s="13"/>
      <x:c r="G2" s="13"/>
      <x:c r="H2" s="13"/>
      <x:c r="I2" s="13"/>
      <x:c r="J2" s="13"/>
      <x:c r="K2" s="13"/>
      <x:c r="L2" s="13"/>
      <x:c r="M2" s="13"/>
      <x:c r="N2" s="13"/>
      <x:c r="O2" s="13"/>
      <x:c r="P2" s="13"/>
      <x:c r="Q2" s="13"/>
      <x:c r="R2" s="13"/>
      <x:c r="S2" s="13"/>
      <x:c r="T2" s="13"/>
      <x:c r="U2" s="13"/>
      <x:c r="V2" s="13"/>
      <x:c r="W2" s="13"/>
      <x:c r="X2" s="13"/>
      <x:c r="Y2" s="13"/>
      <x:c r="Z2" s="13"/>
      <x:c r="AA2" s="13"/>
      <x:c r="AB2" s="13"/>
      <x:c r="AC2" s="13"/>
    </x:row>
    <x:row r="4" ht="42" customHeight="1">
      <x:c r="A4" s="296" t="str">
        <x:v>Rank</x:v>
      </x:c>
      <x:c r="B4" s="296" t="str">
        <x:v>UEI</x:v>
      </x:c>
      <x:c r="C4" s="296" t="str">
        <x:v>Name (file)</x:v>
      </x:c>
      <x:c r="D4" s="296" t="str">
        <x:v>Total $M</x:v>
      </x:c>
      <x:c r="E4" s="296" t="str">
        <x:v>Submarines $M</x:v>
      </x:c>
      <x:c r="F4" s="296" t="str">
        <x:v>DDG-51 $M</x:v>
      </x:c>
      <x:c r="G4" s="296" t="str">
        <x:v>Records</x:v>
      </x:c>
      <x:c r="H4" s="296" t="str">
        <x:v>CAGE</x:v>
      </x:c>
      <x:c r="I4" s="296" t="str">
        <x:v>File Primary NAICS</x:v>
      </x:c>
      <x:c r="J4" s="296" t="str">
        <x:v>Primary NAICS Description</x:v>
      </x:c>
      <x:c r="K4" s="296" t="str">
        <x:v>File All NAICS</x:v>
      </x:c>
      <x:c r="L4" s="296" t="str">
        <x:v>File Org Structure</x:v>
      </x:c>
      <x:c r="M4" s="296" t="str">
        <x:v>File Business Types</x:v>
      </x:c>
      <x:c r="N4" s="296" t="str">
        <x:v>File Immediate Owner</x:v>
      </x:c>
      <x:c r="O4" s="296" t="str">
        <x:v>File Highest Owner</x:v>
      </x:c>
      <x:c r="P4" s="296" t="str">
        <x:v>What They Make or Do</x:v>
      </x:c>
      <x:c r="Q4" s="296" t="str">
        <x:v>Supplier Type</x:v>
      </x:c>
      <x:c r="R4" s="296" t="str">
        <x:v>Primary Products or Capabilities</x:v>
      </x:c>
      <x:c r="S4" s="296" t="str">
        <x:v>Typical Deliverable</x:v>
      </x:c>
      <x:c r="T4" s="296" t="str">
        <x:v>Ships to Navy Shipbuilding</x:v>
      </x:c>
      <x:c r="U4" s="296" t="str">
        <x:v>Verified Corporate Parent</x:v>
      </x:c>
      <x:c r="V4" s="296" t="str">
        <x:v>Verified Ultimate Owner</x:v>
      </x:c>
      <x:c r="W4" s="296" t="str">
        <x:v>Operating Entity / Site Note</x:v>
      </x:c>
      <x:c r="X4" s="296" t="str">
        <x:v>NAICS Assessment</x:v>
      </x:c>
      <x:c r="Y4" s="296" t="str">
        <x:v>Domestic or Foreign</x:v>
      </x:c>
      <x:c r="Z4" s="296" t="str">
        <x:v>Confidence</x:v>
      </x:c>
      <x:c r="AA4" s="296" t="str">
        <x:v>Verification Notes / Uncertainty</x:v>
      </x:c>
      <x:c r="AB4" s="296" t="str">
        <x:v>Source URLs</x:v>
      </x:c>
      <x:c r="AC4" s="296" t="str">
        <x:v>Source Count</x:v>
      </x:c>
    </x:row>
    <x:row r="5" ht="76" customHeight="1">
      <x:c r="A5" s="353" t="n">
        <x:v>1</x:v>
      </x:c>
      <x:c r="B5" s="354" t="str">
        <x:v>LCV2N9FVV739</x:v>
      </x:c>
      <x:c r="C5" s="354" t="str">
        <x:v>NORTHROP GRUMMAN SYSTEMS CORPORATION</x:v>
      </x:c>
      <x:c r="D5" s="355" t="n">
        <x:v>2001.391</x:v>
      </x:c>
      <x:c r="E5" s="355" t="n">
        <x:v>2001.391</x:v>
      </x:c>
      <x:c r="F5" s="355" t="n">
        <x:v>0</x:v>
      </x:c>
      <x:c r="G5" s="356" t="n">
        <x:v>112</x:v>
      </x:c>
      <x:c r="H5" s="356" t="str">
        <x:v>90099</x:v>
      </x:c>
      <x:c r="I5" s="356" t="str">
        <x:v>335312</x:v>
      </x:c>
      <x:c r="J5" s="356" t="str">
        <x:v>Motor and Generator Manufacturing</x:v>
      </x:c>
      <x:c r="K5" s="354" t="str">
        <x:v>333611;333612;335312</x:v>
      </x:c>
      <x:c r="L5" s="354" t="str">
        <x:v>Manufacturer of Goods</x:v>
      </x:c>
      <x:c r="M5" s="354" t="str">
        <x:v>For Profit Organization;Business or Organization;Manufacturer of Goods</x:v>
      </x:c>
      <x:c r="N5" s="354" t="str">
        <x:v>NORTHROP GRUMMAN SYSTEMS CORPORATION</x:v>
      </x:c>
      <x:c r="O5" s="354" t="str">
        <x:v>NORTHROP GRUMMAN CORPORATION</x:v>
      </x:c>
      <x:c r="P5" s="377" t="str">
        <x:v>Northrop Grumman’s Sunnyvale Marine Systems operation designs and manufactures major naval propulsion and electric-power machinery, including ship-service turbine-generator equipment for nuclear submarines.</x:v>
      </x:c>
      <x:c r="Q5" s="378" t="str">
        <x:v>integrator/OEM</x:v>
      </x:c>
      <x:c r="R5" s="377" t="str">
        <x:v>Ship-service turbine generators; turbine-generator sets; naval propulsion and power-generation machinery; associated engineering, production, testing and lifecycle support.</x:v>
      </x:c>
      <x:c r="S5" s="378" t="str">
        <x:v>integrated assembly/module</x:v>
      </x:c>
      <x:c r="T5" s="378" t="str">
        <x:v>yes</x:v>
      </x:c>
      <x:c r="U5" s="377" t="str">
        <x:v>Northrop Grumman Systems Corporation</x:v>
      </x:c>
      <x:c r="V5" s="377" t="str">
        <x:v>Northrop Grumman Corporation (public company)</x:v>
      </x:c>
      <x:c r="W5" s="377" t="str">
        <x:v>CAGE 90099 is associated with the Sunnyvale, California Marine Systems operation; this is a specialized operating site within the named legal entity, not the whole Northrop Grumman enterprise.</x:v>
      </x:c>
      <x:c r="X5" s="377" t="str">
        <x:v>Partially correct. NAICS 335312 captures motor/generator manufacturing, but understates the site’s role as an OEM of complete naval turbine-generator and propulsion machinery.</x:v>
      </x:c>
      <x:c r="Y5" s="377" t="str">
        <x:v>Domestic (U.S.)</x:v>
      </x:c>
      <x:c r="Z5" s="389" t="str">
        <x:v>high</x:v>
      </x:c>
      <x:c r="AA5" s="390" t="str">
        <x:v>Public sources clearly establish the operating site and naval-power role; the profile does not infer which individual subaward line bought which assembly.</x:v>
      </x:c>
      <x:c r="AB5" s="390" t="str">
        <x:v>https://www.northropgrumman.com/what-we-do/sea | https://sam.gov/workspace/contract/opp/f68d4ee1f7824218a8798f0b179d5ce6/view | https://www.northropgrumman.com/careers/northrop-grumman-in-sunnyvale-california</x:v>
      </x:c>
      <x:c r="AC5" s="391" t="n">
        <x:f>COUNTIF(Source_Ledger!$B$4:$B$161,B5)</x:f>
        <x:v>3</x:v>
      </x:c>
    </x:row>
    <x:row r="6" ht="76" customHeight="1">
      <x:c r="A6" s="357" t="n">
        <x:v>2</x:v>
      </x:c>
      <x:c r="B6" s="358" t="str">
        <x:v>GXPHJRVG9MR7</x:v>
      </x:c>
      <x:c r="C6" s="358" t="str">
        <x:v>DRS POWER &amp; CONTROL TECHNOLOGIES, INC.</x:v>
      </x:c>
      <x:c r="D6" s="359" t="n">
        <x:v>520.016</x:v>
      </x:c>
      <x:c r="E6" s="359" t="n">
        <x:v>411.153</x:v>
      </x:c>
      <x:c r="F6" s="359" t="n">
        <x:v>108.863</x:v>
      </x:c>
      <x:c r="G6" s="360" t="n">
        <x:v>271</x:v>
      </x:c>
      <x:c r="H6" s="360" t="str">
        <x:v>27192</x:v>
      </x:c>
      <x:c r="I6" s="360" t="str">
        <x:v>335311</x:v>
      </x:c>
      <x:c r="J6" s="360" t="str">
        <x:v>Power, Distribution, and Specialty Transformer Manufacturing</x:v>
      </x:c>
      <x:c r="K6" s="358" t="str">
        <x:v>335311;335313;335314</x:v>
      </x:c>
      <x:c r="L6" s="358" t="str">
        <x:v>Manufacturer of Goods</x:v>
      </x:c>
      <x:c r="M6" s="358" t="str">
        <x:v>For Profit Organization;Business or Organization;Manufacturer of Goods</x:v>
      </x:c>
      <x:c r="N6" s="358" t="str">
        <x:v>DRS TECHNOLOGIES, INC.</x:v>
      </x:c>
      <x:c r="O6" s="358" t="str"/>
      <x:c r="P6" s="379" t="str">
        <x:v>Leonardo DRS Naval Power Systems in Menomonee Falls engineers and manufactures shipboard electrical power-distribution, power-conversion and electric-propulsion equipment for U.S. Navy surface ships and submarines.</x:v>
      </x:c>
      <x:c r="Q6" s="380" t="str">
        <x:v>integrator/OEM</x:v>
      </x:c>
      <x:c r="R6" s="379" t="str">
        <x:v>Marine switchboards and load centers; motor controllers and variable-frequency drives; power-conversion and distribution equipment; integrated electric-propulsion equipment.</x:v>
      </x:c>
      <x:c r="S6" s="380" t="str">
        <x:v>integrated assembly/module</x:v>
      </x:c>
      <x:c r="T6" s="380" t="str">
        <x:v>yes</x:v>
      </x:c>
      <x:c r="U6" s="379" t="str">
        <x:v>Leonardo DRS, Inc.</x:v>
      </x:c>
      <x:c r="V6" s="379" t="str">
        <x:v>Leonardo S.p.A. (Italy; public company)</x:v>
      </x:c>
      <x:c r="W6" s="379" t="str">
        <x:v>The UEI is the Menomonee Falls, Wisconsin Naval Power Systems operating entity, historically DRS Power &amp; Control Technologies.</x:v>
      </x:c>
      <x:c r="X6" s="379" t="str">
        <x:v>Misleading as primary. NAICS 335311 is transformer manufacturing; transformers are relevant, but the core offering is integrated switchgear, motor control, power conversion and propulsion equipment. The entity’s additional 335313/335314 codes are more representative.</x:v>
      </x:c>
      <x:c r="Y6" s="379" t="str">
        <x:v>Domestic U.S. operating entity; foreign-owned (Italy)</x:v>
      </x:c>
      <x:c r="Z6" s="392" t="str">
        <x:v>high</x:v>
      </x:c>
      <x:c r="AA6" s="393" t="str">
        <x:v>Operating identity, products and ownership are documented on Leonardo DRS pages.</x:v>
      </x:c>
      <x:c r="AB6" s="393" t="str">
        <x:v>https://www.leonardodrs.com/locations/naval-power-systems-menomonee-falls-wi/ | https://www.leonardodrs.com/what-we-do/products-and-services/ship-power-and-propulsion/ | https://www.leonardodrs.com/what-we-do/products-and-services/marine-switchboards-and-loadcenters/ | https://www.leonardodrs.com/news/press-releases/leonardo-drs-awarded-contracts-for-u-s-navys-columbia-class-submarine-program/</x:v>
      </x:c>
      <x:c r="AC6" s="394" t="n">
        <x:f>COUNTIF(Source_Ledger!$B$4:$B$161,B6)</x:f>
        <x:v>4</x:v>
      </x:c>
    </x:row>
    <x:row r="7" ht="76" customHeight="1">
      <x:c r="A7" s="357" t="n">
        <x:v>3</x:v>
      </x:c>
      <x:c r="B7" s="358" t="str">
        <x:v>HLVBPCA2LH41</x:v>
      </x:c>
      <x:c r="C7" s="358" t="str">
        <x:v>ROLLS-ROYCE MARINE NORTH AMERICA INC.</x:v>
      </x:c>
      <x:c r="D7" s="359" t="n">
        <x:v>439.264</x:v>
      </x:c>
      <x:c r="E7" s="359" t="n">
        <x:v>0</x:v>
      </x:c>
      <x:c r="F7" s="359" t="n">
        <x:v>439.264</x:v>
      </x:c>
      <x:c r="G7" s="360" t="n">
        <x:v>127</x:v>
      </x:c>
      <x:c r="H7" s="360" t="str"/>
      <x:c r="I7" s="360" t="str"/>
      <x:c r="J7" s="360" t="str"/>
      <x:c r="K7" s="358" t="str"/>
      <x:c r="L7" s="358" t="str"/>
      <x:c r="M7" s="358" t="str"/>
      <x:c r="N7" s="358" t="str"/>
      <x:c r="O7" s="358" t="str"/>
      <x:c r="P7" s="379" t="str">
        <x:v>The legacy Rolls-Royce Marine North America naval-propulsors operation in Walpole, Massachusetts manufactured and supported controllable-pitch propellers and related propulsion hardware for Navy surface ships, including DDG-51. Its naval propulsors and handling assets transferred to Fairbanks Morse Defense in July 2025.</x:v>
      </x:c>
      <x:c r="Q7" s="380" t="str">
        <x:v>manufacturer</x:v>
      </x:c>
      <x:c r="R7" s="379" t="str">
        <x:v>Controllable-pitch propeller systems; propeller hubs and blades; oil-distribution boxes; naval propulsors; repair and lifecycle support.</x:v>
      </x:c>
      <x:c r="S7" s="380" t="str">
        <x:v>integrated assembly/module</x:v>
      </x:c>
      <x:c r="T7" s="380" t="str">
        <x:v>yes</x:v>
      </x:c>
      <x:c r="U7" s="379" t="str">
        <x:v>Fairbanks Morse Defense (operating assets; legacy Rolls-Royce UEI/name may remain in historical data)</x:v>
      </x:c>
      <x:c r="V7" s="379" t="str">
        <x:v>Arcline Investment Management–backed funds</x:v>
      </x:c>
      <x:c r="W7" s="379" t="str">
        <x:v>The row represents a legacy legal/registration identity. Rolls-Royce completed the sale of the Walpole and related naval-propulsors business to Fairbanks Morse Defense on July 16, 2025; current operating identity should be reviewed before using the UEI for outreach.</x:v>
      </x:c>
      <x:c r="X7" s="379" t="str">
        <x:v>Missing. No primary NAICS is resolved in the file. The demonstrated activity is marine propulsion-equipment manufacturing and support, not a generic Rolls-Royce corporate activity.</x:v>
      </x:c>
      <x:c r="Y7" s="379" t="str">
        <x:v>Domestic U.S. operation; U.S.-owned after the 2025 asset sale</x:v>
      </x:c>
      <x:c r="Z7" s="392" t="str">
        <x:v>high</x:v>
      </x:c>
      <x:c r="AA7" s="393" t="str">
        <x:v>High confidence in products and asset ownership; medium confidence that the legacy UEI remains the current contracting identity after the asset transfer.</x:v>
      </x:c>
      <x:c r="AB7" s="393" t="str">
        <x:v>https://www.rolls-royce.com/media/press-releases/2020/24-06-2020-rr-secures-us-navy-contracts-totalling.aspx | https://www.rolls-royce.com/media/press-releases/2025/16-07-2025-rr-completes-sale-of-naval-propulsors-business-to-fairbanks-morse-defense.aspx | https://www.fairbanksmorsedefense.com/blog/fairbanks-morse-defense-completes-acquisition-of-critical-naval-manufacturing-capabilities-from-rolls-royce/ | https://www.fairbanksmorsedefense.com/blog/fairbanks-morse-is-now-fairbanks-morse-defense/</x:v>
      </x:c>
      <x:c r="AC7" s="394" t="n">
        <x:f>COUNTIF(Source_Ledger!$B$4:$B$161,B7)</x:f>
        <x:v>4</x:v>
      </x:c>
    </x:row>
    <x:row r="8" ht="76" customHeight="1">
      <x:c r="A8" s="357" t="n">
        <x:v>4</x:v>
      </x:c>
      <x:c r="B8" s="358" t="str">
        <x:v>WYDAKCJ5K219</x:v>
      </x:c>
      <x:c r="C8" s="358" t="str">
        <x:v>CURTISS-WRIGHT ELECTRO-MECHANICAL CORPORATION</x:v>
      </x:c>
      <x:c r="D8" s="359" t="n">
        <x:v>378.171</x:v>
      </x:c>
      <x:c r="E8" s="359" t="n">
        <x:v>378.171</x:v>
      </x:c>
      <x:c r="F8" s="359" t="n">
        <x:v>0</x:v>
      </x:c>
      <x:c r="G8" s="360" t="n">
        <x:v>214</x:v>
      </x:c>
      <x:c r="H8" s="360" t="str">
        <x:v>0UBG9</x:v>
      </x:c>
      <x:c r="I8" s="360" t="str">
        <x:v>333914</x:v>
      </x:c>
      <x:c r="J8" s="360" t="str">
        <x:v>Measuring, Dispensing, and Other Pumping Equipment Manufacturing</x:v>
      </x:c>
      <x:c r="K8" s="358" t="str">
        <x:v>333914</x:v>
      </x:c>
      <x:c r="L8" s="358" t="str">
        <x:v>Manufacturer of Goods</x:v>
      </x:c>
      <x:c r="M8" s="358" t="str">
        <x:v>For Profit Organization;Business or Organization;Manufacturer of Goods</x:v>
      </x:c>
      <x:c r="N8" s="358" t="str">
        <x:v>CURTISS-WRIGHT ELECTRO-MECHANICAL CORPORATION</x:v>
      </x:c>
      <x:c r="O8" s="358" t="str">
        <x:v>CURTISS-WRIGHT CORPORATION</x:v>
      </x:c>
      <x:c r="P8" s="379" t="str">
        <x:v>Curtiss-Wright’s Engineered Pump Division in Bethlehem, Pennsylvania designs, manufactures, tests and supports highly engineered pumps and pump components for U.S. Navy surface ships and submarines, including nuclear-service applications.</x:v>
      </x:c>
      <x:c r="Q8" s="380" t="str">
        <x:v>manufacturer</x:v>
      </x:c>
      <x:c r="R8" s="379" t="str">
        <x:v>Critical-service centrifugal pumps; nuclear-qualified naval pumps; pump assemblies and components; impellers; spares, overhaul and test services.</x:v>
      </x:c>
      <x:c r="S8" s="380" t="str">
        <x:v>discrete component/equipment</x:v>
      </x:c>
      <x:c r="T8" s="380" t="str">
        <x:v>yes</x:v>
      </x:c>
      <x:c r="U8" s="379" t="str">
        <x:v>Curtiss-Wright Electro-Mechanical Corporation</x:v>
      </x:c>
      <x:c r="V8" s="379" t="str">
        <x:v>Curtiss-Wright Corporation (public company)</x:v>
      </x:c>
      <x:c r="W8" s="379" t="str">
        <x:v>CAGE 0UBG9 identifies the Bethlehem Engineered Pump Division. It is distinct from the Curtiss-Wright Electro-Mechanical Division row at Cheswick (CAGE 04808).</x:v>
      </x:c>
      <x:c r="X8" s="379" t="str">
        <x:v>Correct. NAICS 333914 is a good match for the division’s pump-manufacturing activity.</x:v>
      </x:c>
      <x:c r="Y8" s="379" t="str">
        <x:v>Domestic (U.S.)</x:v>
      </x:c>
      <x:c r="Z8" s="392" t="str">
        <x:v>high</x:v>
      </x:c>
      <x:c r="AA8" s="393" t="str">
        <x:v>Operating site, product scope and Navy application are directly documented.</x:v>
      </x:c>
      <x:c r="AB8" s="393" t="str">
        <x:v>https://electro-mechanicalsystems.curtisswright.com/epd | https://electro-mechanicalsystems.curtisswright.com/epd/about-us | https://electro-mechanicalsystems.curtisswright.com/news/news-details/2024/Curtiss-Wright-and-Sintavia-Deliver-First-Submarine-Component-Utilizing-an-Additively-Manufactured-Impeller-to-Be-Installed-in-a-U.S.-Navy-Vessel</x:v>
      </x:c>
      <x:c r="AC8" s="394" t="n">
        <x:f>COUNTIF(Source_Ledger!$B$4:$B$161,B8)</x:f>
        <x:v>3</x:v>
      </x:c>
    </x:row>
    <x:row r="9" ht="76" customHeight="1">
      <x:c r="A9" s="357" t="n">
        <x:v>5</x:v>
      </x:c>
      <x:c r="B9" s="358" t="str">
        <x:v>N1PJDANWUJ61</x:v>
      </x:c>
      <x:c r="C9" s="358" t="str">
        <x:v>SCOT FORGE COMPANY</x:v>
      </x:c>
      <x:c r="D9" s="359" t="n">
        <x:v>353.047</x:v>
      </x:c>
      <x:c r="E9" s="359" t="n">
        <x:v>353.006</x:v>
      </x:c>
      <x:c r="F9" s="359" t="n">
        <x:v>0.041</x:v>
      </x:c>
      <x:c r="G9" s="360" t="n">
        <x:v>741</x:v>
      </x:c>
      <x:c r="H9" s="360" t="str">
        <x:v>2W651</x:v>
      </x:c>
      <x:c r="I9" s="360" t="str">
        <x:v>332111</x:v>
      </x:c>
      <x:c r="J9" s="360" t="str">
        <x:v>Iron and Steel Forging</x:v>
      </x:c>
      <x:c r="K9" s="358" t="str">
        <x:v>331221;332111;332112;541715</x:v>
      </x:c>
      <x:c r="L9" s="358" t="str">
        <x:v>Subchapter S Corporation</x:v>
      </x:c>
      <x:c r="M9" s="358" t="str">
        <x:v>For Profit Organization;Business or Organization;Manufacturer of Goods;Subchapter S Corporation</x:v>
      </x:c>
      <x:c r="N9" s="358" t="str"/>
      <x:c r="O9" s="358" t="str"/>
      <x:c r="P9" s="379" t="str">
        <x:v>Scot Forge produces large open-die and rolled-ring forgings for marine propulsion and shipbuilding, supplied as forged, rough-machined or finish-machined parts.</x:v>
      </x:c>
      <x:c r="Q9" s="380" t="str">
        <x:v>manufacturer</x:v>
      </x:c>
      <x:c r="R9" s="379" t="str">
        <x:v>Propeller, tail, main and intermediate shafts; rudder stocks and tubes; stern tubes; shaft couplings; gear blanks; large rolled rings and open-die forgings.</x:v>
      </x:c>
      <x:c r="S9" s="380" t="str">
        <x:v>material/semi-finished input</x:v>
      </x:c>
      <x:c r="T9" s="380" t="str">
        <x:v>yes</x:v>
      </x:c>
      <x:c r="U9" s="379" t="str">
        <x:v>Scot Forge Company</x:v>
      </x:c>
      <x:c r="V9" s="379" t="str">
        <x:v>Independent employee-owned company</x:v>
      </x:c>
      <x:c r="W9" s="379" t="str">
        <x:v>The UEI represents the U.S. forging company rather than a diversified parent. Scot Forge identifies its workforce as employee-owners.</x:v>
      </x:c>
      <x:c r="X9" s="379" t="str">
        <x:v>Correct. NAICS 332111 accurately describes iron and steel forging, although the code alone does not show the company’s marine-propulsion specialization or machining capability.</x:v>
      </x:c>
      <x:c r="Y9" s="379" t="str">
        <x:v>Domestic (U.S.)</x:v>
      </x:c>
      <x:c r="Z9" s="392" t="str">
        <x:v>high</x:v>
      </x:c>
      <x:c r="AA9" s="393" t="str">
        <x:v>The company directly publishes the shipbuilding and propulsion product list.</x:v>
      </x:c>
      <x:c r="AB9" s="393" t="str">
        <x:v>https://www.scotforge.com/market-expertise1/marine-propulsion | https://www.scotforge.com/market-expertise/shipbuilding | https://www.scotforge.com/</x:v>
      </x:c>
      <x:c r="AC9" s="394" t="n">
        <x:f>COUNTIF(Source_Ledger!$B$4:$B$161,B9)</x:f>
        <x:v>3</x:v>
      </x:c>
    </x:row>
    <x:row r="10" ht="76" customHeight="1">
      <x:c r="A10" s="357" t="n">
        <x:v>6</x:v>
      </x:c>
      <x:c r="B10" s="358" t="str">
        <x:v>YNJNTZWVC3H6</x:v>
      </x:c>
      <x:c r="C10" s="358" t="str">
        <x:v>BAE SYSTEMS LAND &amp; ARMAMENTS L.P.</x:v>
      </x:c>
      <x:c r="D10" s="359" t="n">
        <x:v>333.523</x:v>
      </x:c>
      <x:c r="E10" s="359" t="n">
        <x:v>333.348</x:v>
      </x:c>
      <x:c r="F10" s="359" t="n">
        <x:v>0.175</x:v>
      </x:c>
      <x:c r="G10" s="360" t="n">
        <x:v>30</x:v>
      </x:c>
      <x:c r="H10" s="360" t="str">
        <x:v>44114</x:v>
      </x:c>
      <x:c r="I10" s="360" t="str">
        <x:v>336611</x:v>
      </x:c>
      <x:c r="J10" s="360" t="str">
        <x:v>Ship Building and Repairing</x:v>
      </x:c>
      <x:c r="K10" s="358" t="str">
        <x:v>336611;336992;488390;541330;541715;541990</x:v>
      </x:c>
      <x:c r="L10" s="358" t="str">
        <x:v>Manufacturer of Goods</x:v>
      </x:c>
      <x:c r="M10" s="358" t="str">
        <x:v>Foreign Owned;For Profit Organization;Business or Organization;Manufacturer of Goods</x:v>
      </x:c>
      <x:c r="N10" s="358" t="str">
        <x:v>BAE SYSTEMS, INC.</x:v>
      </x:c>
      <x:c r="O10" s="358" t="str">
        <x:v>BAE SYSTEMS PLC</x:v>
      </x:c>
      <x:c r="P10" s="379" t="str">
        <x:v>BAE Systems’ U.S. naval-structures operations manufacture large, complex welded submarine structures and propulsion-related modules rather than complete ships.</x:v>
      </x:c>
      <x:c r="Q10" s="380" t="str">
        <x:v>manufacturer</x:v>
      </x:c>
      <x:c r="R10" s="379" t="str">
        <x:v>Virginia Payload Module missile tubes; Virginia-class propulsors; Columbia-class bearing-support structures; large precision-welded submarine modules and fabrications.</x:v>
      </x:c>
      <x:c r="S10" s="380" t="str">
        <x:v>integrated assembly/module</x:v>
      </x:c>
      <x:c r="T10" s="380" t="str">
        <x:v>yes</x:v>
      </x:c>
      <x:c r="U10" s="379" t="str">
        <x:v>BAE Systems, Inc.</x:v>
      </x:c>
      <x:c r="V10" s="379" t="str">
        <x:v>BAE Systems plc (United Kingdom; public company)</x:v>
      </x:c>
      <x:c r="W10" s="379" t="str">
        <x:v>The legal entity is BAE Systems Land &amp; Armaments L.P., but the work profiled is its specialized U.S. naval/submarine manufacturing operation.</x:v>
      </x:c>
      <x:c r="X10" s="379" t="str">
        <x:v>Misleading if read literally. NAICS 336611 suggests whole-ship building and repair, while this entity is principally a first-tier maker of large submarine components and modules.</x:v>
      </x:c>
      <x:c r="Y10" s="379" t="str">
        <x:v>Domestic U.S. operating entity; foreign-owned (United Kingdom)</x:v>
      </x:c>
      <x:c r="Z10" s="392" t="str">
        <x:v>high</x:v>
      </x:c>
      <x:c r="AA10" s="393" t="str">
        <x:v>First-party releases identify the exact submarine structures and facilities.</x:v>
      </x:c>
      <x:c r="AB10" s="393" t="str">
        <x:v>https://www.baesystems.com/en-us/article/bae-systems-awarded-%2470-million-contract-for-future-virginia-payload-module-missile-tubes | https://www.baesystems.com/en-us/article/bae-systems-facilities-are-ready-to-scale-to-support-submarine-manufacturing | https://www.highergov.com/awardee/bae-systems-land-armaments-l-p-10117088/</x:v>
      </x:c>
      <x:c r="AC10" s="394" t="n">
        <x:f>COUNTIF(Source_Ledger!$B$4:$B$161,B10)</x:f>
        <x:v>3</x:v>
      </x:c>
    </x:row>
    <x:row r="11" ht="76" customHeight="1">
      <x:c r="A11" s="357" t="n">
        <x:v>7</x:v>
      </x:c>
      <x:c r="B11" s="358" t="str">
        <x:v>J1T1FEN3PWX6</x:v>
      </x:c>
      <x:c r="C11" s="358" t="str">
        <x:v>GENERAL ELECTRIC COMPANY</x:v>
      </x:c>
      <x:c r="D11" s="359" t="n">
        <x:v>333.093</x:v>
      </x:c>
      <x:c r="E11" s="359" t="n">
        <x:v>0</x:v>
      </x:c>
      <x:c r="F11" s="359" t="n">
        <x:v>333.093</x:v>
      </x:c>
      <x:c r="G11" s="360" t="n">
        <x:v>28</x:v>
      </x:c>
      <x:c r="H11" s="360" t="str">
        <x:v>07482</x:v>
      </x:c>
      <x:c r="I11" s="360" t="str">
        <x:v>336412</x:v>
      </x:c>
      <x:c r="J11" s="360" t="str">
        <x:v>Aircraft Engine and Engine Parts Manufacturing</x:v>
      </x:c>
      <x:c r="K11" s="358" t="str">
        <x:v>336412;336413;336992;541330;541715;811310</x:v>
      </x:c>
      <x:c r="L11" s="358" t="str">
        <x:v>Manufacturer of Goods</x:v>
      </x:c>
      <x:c r="M11" s="358" t="str">
        <x:v>For Profit Organization;Business or Organization;Manufacturer of Goods</x:v>
      </x:c>
      <x:c r="N11" s="358" t="str"/>
      <x:c r="O11" s="358" t="str"/>
      <x:c r="P11" s="379" t="str">
        <x:v>GE Aerospace’s marine business manufactures LM2500 gas-turbine propulsion modules and related controls/support for DDG-51 destroyers.</x:v>
      </x:c>
      <x:c r="Q11" s="380" t="str">
        <x:v>integrator/OEM</x:v>
      </x:c>
      <x:c r="R11" s="379" t="str">
        <x:v>LM2500 marine gas turbines; packaged gas-turbine modules; propulsion controls; spares, depot and lifecycle engineering support.</x:v>
      </x:c>
      <x:c r="S11" s="380" t="str">
        <x:v>integrated assembly/module</x:v>
      </x:c>
      <x:c r="T11" s="380" t="str">
        <x:v>yes</x:v>
      </x:c>
      <x:c r="U11" s="379" t="str">
        <x:v>GE Aerospace (business and brand of General Electric Company)</x:v>
      </x:c>
      <x:c r="V11" s="379" t="str">
        <x:v>General Electric Company (public company)</x:v>
      </x:c>
      <x:c r="W11" s="379" t="str">
        <x:v>CAGE 07482 is associated with GE’s Evendale/Cincinnati engine operations; the Navy deliverable is the marine adaptation of an aeroderivative gas turbine.</x:v>
      </x:c>
      <x:c r="X11" s="379" t="str">
        <x:v>Misleading for this use. NAICS 336412 is accurate for GE’s aircraft-engine legal operation, but it obscures that this subaward supplier delivers marine gas-turbine propulsion modules for destroyers.</x:v>
      </x:c>
      <x:c r="Y11" s="379" t="str">
        <x:v>Domestic (U.S.)</x:v>
      </x:c>
      <x:c r="Z11" s="392" t="str">
        <x:v>high</x:v>
      </x:c>
      <x:c r="AA11" s="393" t="str">
        <x:v>GE first-party sources directly link LM2500 modules to DDG-51.</x:v>
      </x:c>
      <x:c r="AB11" s="393" t="str">
        <x:v>https://www.geaerospace.com/military-defense/engines/lm2500 | https://www.geaerospace.com/news/press-releases/marine-industrial-engines/forty-ge-lm2500-marine-gas-turbines-power-10-arleigh-burke | https://www.geaerospace.com/news/press-releases/marine-industrial-engines/ge-provide-new-lm2500-gas-turbine-modules-united-states</x:v>
      </x:c>
      <x:c r="AC11" s="394" t="n">
        <x:f>COUNTIF(Source_Ledger!$B$4:$B$161,B11)</x:f>
        <x:v>3</x:v>
      </x:c>
    </x:row>
    <x:row r="12" ht="76" customHeight="1">
      <x:c r="A12" s="357" t="n">
        <x:v>8</x:v>
      </x:c>
      <x:c r="B12" s="358" t="str">
        <x:v>SLD5KEGGLLZ3</x:v>
      </x:c>
      <x:c r="C12" s="358" t="str">
        <x:v>JOHNSON CONTROLS NAVY SYSTEMS, LLC</x:v>
      </x:c>
      <x:c r="D12" s="359" t="n">
        <x:v>297.151</x:v>
      </x:c>
      <x:c r="E12" s="359" t="n">
        <x:v>118.921</x:v>
      </x:c>
      <x:c r="F12" s="359" t="n">
        <x:v>178.23</x:v>
      </x:c>
      <x:c r="G12" s="360" t="n">
        <x:v>89</x:v>
      </x:c>
      <x:c r="H12" s="360" t="str">
        <x:v>66935</x:v>
      </x:c>
      <x:c r="I12" s="360" t="str">
        <x:v>333415</x:v>
      </x:c>
      <x:c r="J12" s="360" t="str">
        <x:v>Air-Conditioning and Warm Air Heating Equipment and Commercial and Industrial Refrigeration Equipment Manufacturing</x:v>
      </x:c>
      <x:c r="K12" s="358" t="str">
        <x:v>333415</x:v>
      </x:c>
      <x:c r="L12" s="358" t="str">
        <x:v>Manufacturer of Goods</x:v>
      </x:c>
      <x:c r="M12" s="358" t="str">
        <x:v>Foreign Owned;For Profit Organization;Business or Organization;Manufacturer of Goods</x:v>
      </x:c>
      <x:c r="N12" s="358" t="str">
        <x:v>JOHNSON CONTROLS FEDERAL SYSTEMS, LLC</x:v>
      </x:c>
      <x:c r="O12" s="358" t="str">
        <x:v>JOHNSON CONTROLS INTERNATIONAL PLC</x:v>
      </x:c>
      <x:c r="P12" s="379" t="str">
        <x:v>Johnson Controls Navy Systems engineers and manufactures custom shipboard heating, ventilation, air-conditioning and refrigeration machinery for U.S. Navy submarines and surface ships.</x:v>
      </x:c>
      <x:c r="Q12" s="380" t="str">
        <x:v>integrator/OEM</x:v>
      </x:c>
      <x:c r="R12" s="379" t="str">
        <x:v>YORK shipboard chillers and compressors; air-conditioning plants; condensers; refrigeration machinery; environmental-control systems and lifecycle support.</x:v>
      </x:c>
      <x:c r="S12" s="380" t="str">
        <x:v>integrated assembly/module</x:v>
      </x:c>
      <x:c r="T12" s="380" t="str">
        <x:v>yes</x:v>
      </x:c>
      <x:c r="U12" s="379" t="str">
        <x:v>Johnson Controls Federal Systems, LLC / Johnson Controls Navy Systems</x:v>
      </x:c>
      <x:c r="V12" s="379" t="str">
        <x:v>Johnson Controls International plc (Ireland; public company)</x:v>
      </x:c>
      <x:c r="W12" s="379" t="str">
        <x:v>The UEI is the dedicated Navy-systems operating company, not Johnson Controls’ commercial building-services business.</x:v>
      </x:c>
      <x:c r="X12" s="379" t="str">
        <x:v>Correct. NAICS 333415 accurately describes the core HVAC and refrigeration equipment, though it does not convey Navy qualification and system integration.</x:v>
      </x:c>
      <x:c r="Y12" s="379" t="str">
        <x:v>Domestic U.S. operating entity; foreign-owned (Ireland)</x:v>
      </x:c>
      <x:c r="Z12" s="392" t="str">
        <x:v>high</x:v>
      </x:c>
      <x:c r="AA12" s="393" t="str">
        <x:v>Johnson Controls’ Navy and marine pages identify the product scope and dedicated operating group.</x:v>
      </x:c>
      <x:c r="AB12" s="393" t="str">
        <x:v>https://www.johnsoncontrols.com/marine-and-navy/hvac-and-refrigeration | https://www.johnsoncontrols.com/jci-global-entities</x:v>
      </x:c>
      <x:c r="AC12" s="394" t="n">
        <x:f>COUNTIF(Source_Ledger!$B$4:$B$161,B12)</x:f>
        <x:v>2</x:v>
      </x:c>
    </x:row>
    <x:row r="13" ht="76" customHeight="1">
      <x:c r="A13" s="357" t="n">
        <x:v>9</x:v>
      </x:c>
      <x:c r="B13" s="358" t="str">
        <x:v>WJYVCPD5HKK7</x:v>
      </x:c>
      <x:c r="C13" s="358" t="str">
        <x:v>BWXT NUCLEAR OPERATIONS GROUP, INC.</x:v>
      </x:c>
      <x:c r="D13" s="359" t="n">
        <x:v>289.874</x:v>
      </x:c>
      <x:c r="E13" s="359" t="n">
        <x:v>289.874</x:v>
      </x:c>
      <x:c r="F13" s="359" t="n">
        <x:v>0</x:v>
      </x:c>
      <x:c r="G13" s="360" t="n">
        <x:v>15</x:v>
      </x:c>
      <x:c r="H13" s="360" t="str">
        <x:v>5AJL2</x:v>
      </x:c>
      <x:c r="I13" s="360" t="str">
        <x:v>332410</x:v>
      </x:c>
      <x:c r="J13" s="360" t="str">
        <x:v>Power Boiler and Heat Exchanger Manufacturing</x:v>
      </x:c>
      <x:c r="K13" s="358" t="str">
        <x:v>325180;332410;541990</x:v>
      </x:c>
      <x:c r="L13" s="358" t="str">
        <x:v>Manufacturer of Goods</x:v>
      </x:c>
      <x:c r="M13" s="358" t="str">
        <x:v>For Profit Organization;Business or Organization;Manufacturer of Goods</x:v>
      </x:c>
      <x:c r="N13" s="358" t="str">
        <x:v>BWX TECHNOLOGIES, INC.</x:v>
      </x:c>
      <x:c r="O13" s="358" t="str"/>
      <x:c r="P13" s="379" t="str">
        <x:v>BWXT Nuclear Operations Group manufactures nuclear-reactor components, fuel and major propulsion-plant assemblies for U.S. Navy submarines and aircraft carriers.</x:v>
      </x:c>
      <x:c r="Q13" s="380" t="str">
        <x:v>integrator/OEM</x:v>
      </x:c>
      <x:c r="R13" s="379" t="str">
        <x:v>Naval nuclear reactor components; reactor fuel; heavy nuclear components and assemblies; engineering, manufacturing, inspection and lifecycle support.</x:v>
      </x:c>
      <x:c r="S13" s="380" t="str">
        <x:v>integrated assembly/module</x:v>
      </x:c>
      <x:c r="T13" s="380" t="str">
        <x:v>yes</x:v>
      </x:c>
      <x:c r="U13" s="379" t="str">
        <x:v>BWX Technologies, Inc.</x:v>
      </x:c>
      <x:c r="V13" s="379" t="str">
        <x:v>BWX Technologies, Inc. (public company)</x:v>
      </x:c>
      <x:c r="W13" s="379" t="str">
        <x:v>This UEI is an operating nuclear-manufacturing group within BWXT and should not be confused with the separate BWX Technologies corporate-office UEI at rank 50.</x:v>
      </x:c>
      <x:c r="X13" s="379" t="str">
        <x:v>Partially correct. NAICS 332410 can cover boilers and heat exchangers, but is too narrow for the entity’s broader naval-reactor, fuel and nuclear-component mission.</x:v>
      </x:c>
      <x:c r="Y13" s="379" t="str">
        <x:v>Domestic (U.S.)</x:v>
      </x:c>
      <x:c r="Z13" s="392" t="str">
        <x:v>high</x:v>
      </x:c>
      <x:c r="AA13" s="393" t="str">
        <x:v>BWXT directly describes its naval nuclear propulsion products and contracts.</x:v>
      </x:c>
      <x:c r="AB13" s="393" t="str">
        <x:v>https://www.bwxt.com/sectors/defense-space/sea/naval-nuclear-propulsion/ | https://www.bwxt.com/bwxt-announces-2-6-billion-in-contracts-for-naval-nuclear-reactor-components/</x:v>
      </x:c>
      <x:c r="AC13" s="394" t="n">
        <x:f>COUNTIF(Source_Ledger!$B$4:$B$161,B13)</x:f>
        <x:v>2</x:v>
      </x:c>
    </x:row>
    <x:row r="14" ht="76" customHeight="1">
      <x:c r="A14" s="357" t="n">
        <x:v>10</x:v>
      </x:c>
      <x:c r="B14" s="358" t="str">
        <x:v>E8LNMDLEKM35</x:v>
      </x:c>
      <x:c r="C14" s="358" t="str">
        <x:v>D.C. FABRICATORS INC.</x:v>
      </x:c>
      <x:c r="D14" s="359" t="n">
        <x:v>255.017</x:v>
      </x:c>
      <x:c r="E14" s="359" t="n">
        <x:v>255.017</x:v>
      </x:c>
      <x:c r="F14" s="359" t="n">
        <x:v>0</x:v>
      </x:c>
      <x:c r="G14" s="360" t="n">
        <x:v>66</x:v>
      </x:c>
      <x:c r="H14" s="360" t="str">
        <x:v>65427</x:v>
      </x:c>
      <x:c r="I14" s="360" t="str">
        <x:v>332312</x:v>
      </x:c>
      <x:c r="J14" s="360" t="str">
        <x:v>Fabricated Structural Metal Manufacturing</x:v>
      </x:c>
      <x:c r="K14" s="358" t="str">
        <x:v>332312;332313;332410;332420;332439;332710</x:v>
      </x:c>
      <x:c r="L14" s="358" t="str">
        <x:v>Subchapter S Corporation</x:v>
      </x:c>
      <x:c r="M14" s="358" t="str">
        <x:v>For Profit Organization;Business or Organization;Manufacturer of Goods;Subchapter S Corporation</x:v>
      </x:c>
      <x:c r="N14" s="358" t="str"/>
      <x:c r="O14" s="358" t="str"/>
      <x:c r="P14" s="379" t="str">
        <x:v>D.C. Fabricators designs and manufactures custom condensers, heat exchangers, pressure equipment and complex corrosion-resistant fabrications for naval and nuclear applications.</x:v>
      </x:c>
      <x:c r="Q14" s="380" t="str">
        <x:v>manufacturer</x:v>
      </x:c>
      <x:c r="R14" s="379" t="str">
        <x:v>Main and auxiliary condensers; shell-and-tube heat exchangers; pressure vessels; titanium, copper-nickel and dissimilar-metal weldments; machining, NDE and testing.</x:v>
      </x:c>
      <x:c r="S14" s="380" t="str">
        <x:v>discrete component/equipment</x:v>
      </x:c>
      <x:c r="T14" s="380" t="str">
        <x:v>yes</x:v>
      </x:c>
      <x:c r="U14" s="379" t="str">
        <x:v>Precision Components Group, LLC</x:v>
      </x:c>
      <x:c r="V14" s="379" t="str">
        <x:v>Privately held Precision Components Group; BWXT acquisition announced but not closed as of June 18, 2026</x:v>
      </x:c>
      <x:c r="W14" s="379" t="str">
        <x:v>D.C. Fabricators is a specialized Florence, New Jersey operating company. BWXT announced an agreement to acquire its parent in April 2026, with closing expected in the second half of 2026; ownership is therefore recorded on an as-of-date basis.</x:v>
      </x:c>
      <x:c r="X14" s="379" t="str">
        <x:v>Misleading. NAICS 332312 (fabricated structural metal) does not capture the company’s main identity as a custom heat-exchanger, condenser and pressure-equipment manufacturer; 332410 is more descriptive.</x:v>
      </x:c>
      <x:c r="Y14" s="379" t="str">
        <x:v>Domestic (U.S.)</x:v>
      </x:c>
      <x:c r="Z14" s="392" t="str">
        <x:v>high</x:v>
      </x:c>
      <x:c r="AA14" s="393" t="str">
        <x:v>Product scope is first-party; the ownership note reflects a pending, not completed, transaction.</x:v>
      </x:c>
      <x:c r="AB14" s="393" t="str">
        <x:v>https://www.dcfab.com/ | https://www.bwxt.com/bwxt-bolsters-american-nuclear-manufacturing-capability-with-strategic-acquisition/</x:v>
      </x:c>
      <x:c r="AC14" s="394" t="n">
        <x:f>COUNTIF(Source_Ledger!$B$4:$B$161,B14)</x:f>
        <x:v>2</x:v>
      </x:c>
    </x:row>
    <x:row r="15" ht="76" customHeight="1">
      <x:c r="A15" s="357" t="n">
        <x:v>11</x:v>
      </x:c>
      <x:c r="B15" s="358" t="str">
        <x:v>DK2SLQURMJF3</x:v>
      </x:c>
      <x:c r="C15" s="358" t="str">
        <x:v>BABCOCK MARINE (ROSYTH) LIMITED</x:v>
      </x:c>
      <x:c r="D15" s="359" t="n">
        <x:v>240.486</x:v>
      </x:c>
      <x:c r="E15" s="359" t="n">
        <x:v>240.486</x:v>
      </x:c>
      <x:c r="F15" s="359" t="n">
        <x:v>0</x:v>
      </x:c>
      <x:c r="G15" s="360" t="n">
        <x:v>20</x:v>
      </x:c>
      <x:c r="H15" s="360" t="str"/>
      <x:c r="I15" s="360" t="str"/>
      <x:c r="J15" s="360" t="str"/>
      <x:c r="K15" s="358" t="str"/>
      <x:c r="L15" s="358" t="str"/>
      <x:c r="M15" s="358" t="str"/>
      <x:c r="N15" s="358" t="str"/>
      <x:c r="O15" s="358" t="str"/>
      <x:c r="P15" s="379" t="str">
        <x:v>Babcock Marine’s Rosyth operation manufactures and assembles submarine missile-tube structures, particularly tactical missile-tube assemblies for the U.S.–U.K. Common Missile Compartment used by Columbia- and Dreadnought-class submarines.</x:v>
      </x:c>
      <x:c r="Q15" s="380" t="str">
        <x:v>integrator/OEM</x:v>
      </x:c>
      <x:c r="R15" s="379" t="str">
        <x:v>Common Missile Compartment tactical missile-tube assemblies; large precision-fabricated submarine structures; welding, machining, assembly, inspection and test.</x:v>
      </x:c>
      <x:c r="S15" s="380" t="str">
        <x:v>integrated assembly/module</x:v>
      </x:c>
      <x:c r="T15" s="380" t="str">
        <x:v>yes</x:v>
      </x:c>
      <x:c r="U15" s="379" t="str">
        <x:v>Babcock Marine</x:v>
      </x:c>
      <x:c r="V15" s="379" t="str">
        <x:v>Babcock International Group plc (United Kingdom; public company)</x:v>
      </x:c>
      <x:c r="W15" s="379" t="str">
        <x:v>This is the Babcock Marine (Rosyth) legal operating entity in Scotland. It should be distinguished from the separate Rosyth Royal Dockyard Limited UEI at rank 34, although both operate within Babcock’s Rosyth enterprise.</x:v>
      </x:c>
      <x:c r="X15" s="379" t="str">
        <x:v>Missing. No primary NAICS is resolved in the file. The demonstrated activity is heavy naval/submarine module manufacturing and integration.</x:v>
      </x:c>
      <x:c r="Y15" s="379" t="str">
        <x:v>Foreign (United Kingdom)</x:v>
      </x:c>
      <x:c r="Z15" s="392" t="str">
        <x:v>high</x:v>
      </x:c>
      <x:c r="AA15" s="393" t="str">
        <x:v>Babcock directly identifies Rosyth work on missile tubes for Electric Boat and the Common Missile Compartment.</x:v>
      </x:c>
      <x:c r="AB15" s="393" t="str">
        <x:v>https://www.babcockinternational.com/news/babcock-awarded-multimillion-pound-missile-tube-contract-extension-by-electric-boat/</x:v>
      </x:c>
      <x:c r="AC15" s="394" t="n">
        <x:f>COUNTIF(Source_Ledger!$B$4:$B$161,B15)</x:f>
        <x:v>1</x:v>
      </x:c>
    </x:row>
    <x:row r="16" ht="76" customHeight="1">
      <x:c r="A16" s="357" t="n">
        <x:v>12</x:v>
      </x:c>
      <x:c r="B16" s="358" t="str">
        <x:v>FLDEFFBLR5P3</x:v>
      </x:c>
      <x:c r="C16" s="358" t="str">
        <x:v>GLOBE COMPOSITE SOLUTIONS, LTD., LIMITED PARTNERSHIP</x:v>
      </x:c>
      <x:c r="D16" s="359" t="n">
        <x:v>218.319</x:v>
      </x:c>
      <x:c r="E16" s="359" t="n">
        <x:v>218.319</x:v>
      </x:c>
      <x:c r="F16" s="359" t="n">
        <x:v>0</x:v>
      </x:c>
      <x:c r="G16" s="360" t="n">
        <x:v>114</x:v>
      </x:c>
      <x:c r="H16" s="360" t="str">
        <x:v>82094</x:v>
      </x:c>
      <x:c r="I16" s="360" t="str">
        <x:v>325212</x:v>
      </x:c>
      <x:c r="J16" s="360" t="str">
        <x:v>Synthetic Rubber Manufacturing</x:v>
      </x:c>
      <x:c r="K16" s="358" t="str">
        <x:v>325211;325212;325991;326199</x:v>
      </x:c>
      <x:c r="L16" s="358" t="str">
        <x:v>Manufacturer of Goods</x:v>
      </x:c>
      <x:c r="M16" s="358" t="str">
        <x:v>For Profit Organization;Business or Organization;Limited Liability Company;Manufacturer of Goods</x:v>
      </x:c>
      <x:c r="N16" s="358" t="str">
        <x:v>ESCO TECHNOLOGIES INC.</x:v>
      </x:c>
      <x:c r="O16" s="358" t="str"/>
      <x:c r="P16" s="379" t="str">
        <x:v>Globe Composite Solutions engineers and manufactures molded composite, elastomeric and syntactic-material components for submarines and other undersea platforms, including acoustic and hydrodynamic structures.</x:v>
      </x:c>
      <x:c r="Q16" s="380" t="str">
        <x:v>manufacturer</x:v>
      </x:c>
      <x:c r="R16" s="379" t="str">
        <x:v>Submarine sonar acoustic panels and baffles; hydrophone and sonar casings; fairings; propulsor covers and nosecones; specialty elastomer parts, gaskets, coatings and syntactic materials.</x:v>
      </x:c>
      <x:c r="S16" s="380" t="str">
        <x:v>discrete component/equipment</x:v>
      </x:c>
      <x:c r="T16" s="380" t="str">
        <x:v>yes</x:v>
      </x:c>
      <x:c r="U16" s="379" t="str">
        <x:v>ESCO Technologies Inc.</x:v>
      </x:c>
      <x:c r="V16" s="379" t="str">
        <x:v>ESCO Technologies Inc. (public company)</x:v>
      </x:c>
      <x:c r="W16" s="379" t="str">
        <x:v>The legal name in the file is a limited partnership; Globe operates as an ESCO Technologies naval-composites business.</x:v>
      </x:c>
      <x:c r="X16" s="379" t="str">
        <x:v>Misleading as primary. NAICS 325212 implies synthetic-rubber manufacturing, while Globe’s durable role is engineering and molding finished composite/elastomer components and acoustic structures.</x:v>
      </x:c>
      <x:c r="Y16" s="379" t="str">
        <x:v>Domestic (U.S.)</x:v>
      </x:c>
      <x:c r="Z16" s="392" t="str">
        <x:v>high</x:v>
      </x:c>
      <x:c r="AA16" s="393" t="str">
        <x:v>Globe’s first-party capability pages directly describe its undersea products; ESCO ownership is reflected in current corporate materials.</x:v>
      </x:c>
      <x:c r="AB16" s="393" t="str">
        <x:v>https://www.globecomposite.com/composite-design-prototyping | https://www.globecomposite.com/submersibles | https://www.globecomposite.com/blog/dreadnought-class | https://www.escotechnologies.com/our-businesses/</x:v>
      </x:c>
      <x:c r="AC16" s="394" t="n">
        <x:f>COUNTIF(Source_Ledger!$B$4:$B$161,B16)</x:f>
        <x:v>4</x:v>
      </x:c>
    </x:row>
    <x:row r="17" ht="76" customHeight="1">
      <x:c r="A17" s="357" t="n">
        <x:v>13</x:v>
      </x:c>
      <x:c r="B17" s="358" t="str">
        <x:v>YD1GK53355R5</x:v>
      </x:c>
      <x:c r="C17" s="358" t="str">
        <x:v>PRECISION CUSTOM COMPONENTS, LLC</x:v>
      </x:c>
      <x:c r="D17" s="359" t="n">
        <x:v>211.351</x:v>
      </x:c>
      <x:c r="E17" s="359" t="n">
        <x:v>211.351</x:v>
      </x:c>
      <x:c r="F17" s="359" t="n">
        <x:v>0</x:v>
      </x:c>
      <x:c r="G17" s="360" t="n">
        <x:v>85</x:v>
      </x:c>
      <x:c r="H17" s="360" t="str">
        <x:v>1P555</x:v>
      </x:c>
      <x:c r="I17" s="360" t="str">
        <x:v>332313</x:v>
      </x:c>
      <x:c r="J17" s="360" t="str">
        <x:v>Plate Work Manufacturing</x:v>
      </x:c>
      <x:c r="K17" s="358" t="str">
        <x:v>332313;332410;332420;332710;332999</x:v>
      </x:c>
      <x:c r="L17" s="358" t="str">
        <x:v>Manufacturer of Goods</x:v>
      </x:c>
      <x:c r="M17" s="358" t="str">
        <x:v>For Profit Organization;Business or Organization;Limited Liability Company;Manufacturer of Goods</x:v>
      </x:c>
      <x:c r="N17" s="358" t="str">
        <x:v>PRECISION COMPONENTS GROUP, LLC</x:v>
      </x:c>
      <x:c r="O17" s="358" t="str"/>
      <x:c r="P17" s="379" t="str">
        <x:v>Precision Custom Components manufactures large custom pressure vessels, heat exchangers, heavy-walled weldments and precision-machined nuclear and naval equipment.</x:v>
      </x:c>
      <x:c r="Q17" s="380" t="str">
        <x:v>manufacturer</x:v>
      </x:c>
      <x:c r="R17" s="379" t="str">
        <x:v>Pressure vessels and reactor vessels; large heat exchangers; heavy plate weldments; large-envelope CNC machining; welding, NDE, hydrostatic testing and final assembly.</x:v>
      </x:c>
      <x:c r="S17" s="380" t="str">
        <x:v>discrete component/equipment</x:v>
      </x:c>
      <x:c r="T17" s="380" t="str">
        <x:v>yes</x:v>
      </x:c>
      <x:c r="U17" s="379" t="str">
        <x:v>Precision Components Group, LLC</x:v>
      </x:c>
      <x:c r="V17" s="379" t="str">
        <x:v>Privately held Precision Components Group; BWXT acquisition announced but not closed as of June 18, 2026</x:v>
      </x:c>
      <x:c r="W17" s="379" t="str">
        <x:v>The York, Pennsylvania company is a specialized heavy-manufacturing operating entity. BWXT’s April 2026 agreement to buy Precision Components Group was expected to close in the second half of 2026 and is not treated as completed.</x:v>
      </x:c>
      <x:c r="X17" s="379" t="str">
        <x:v>Partially correct. NAICS 332313 captures plate-work manufacturing, but not the full pressure-vessel, heat-exchanger, large machining and nuclear-quality scope.</x:v>
      </x:c>
      <x:c r="Y17" s="379" t="str">
        <x:v>Domestic (U.S.)</x:v>
      </x:c>
      <x:c r="Z17" s="392" t="str">
        <x:v>high</x:v>
      </x:c>
      <x:c r="AA17" s="393" t="str">
        <x:v>Capabilities and parent are well supported; individual Navy end items are not publicly itemized, so the profile stays at the product-family level.</x:v>
      </x:c>
      <x:c r="AB17" s="393" t="str">
        <x:v>https://www.pcc-york.com/ | https://www.bwxt.com/bwxt-bolsters-american-nuclear-manufacturing-capability-with-strategic-acquisition/ | https://www.thomasnet.com/company/precision-custom-components-llc-149347/profile</x:v>
      </x:c>
      <x:c r="AC17" s="394" t="n">
        <x:f>COUNTIF(Source_Ledger!$B$4:$B$161,B17)</x:f>
        <x:v>3</x:v>
      </x:c>
    </x:row>
    <x:row r="18" ht="76" customHeight="1">
      <x:c r="A18" s="357" t="n">
        <x:v>14</x:v>
      </x:c>
      <x:c r="B18" s="358" t="str">
        <x:v>J3AFGKXWYK73</x:v>
      </x:c>
      <x:c r="C18" s="358" t="str">
        <x:v>YORK INTERNATIONAL CORPORATION</x:v>
      </x:c>
      <x:c r="D18" s="359" t="n">
        <x:v>192.135</x:v>
      </x:c>
      <x:c r="E18" s="359" t="n">
        <x:v>0.235</x:v>
      </x:c>
      <x:c r="F18" s="359" t="n">
        <x:v>191.9</x:v>
      </x:c>
      <x:c r="G18" s="360" t="n">
        <x:v>60</x:v>
      </x:c>
      <x:c r="H18" s="360" t="str"/>
      <x:c r="I18" s="360" t="str"/>
      <x:c r="J18" s="360" t="str"/>
      <x:c r="K18" s="358" t="str"/>
      <x:c r="L18" s="358" t="str"/>
      <x:c r="M18" s="358" t="str"/>
      <x:c r="N18" s="358" t="str"/>
      <x:c r="O18" s="358" t="str"/>
      <x:c r="P18" s="379" t="str">
        <x:v>York International’s Navy-focused operation supplies YORK shipboard air-conditioning and refrigeration plants, compressors, chillers and condensers for DDG-51 destroyers and other naval vessels.</x:v>
      </x:c>
      <x:c r="Q18" s="380" t="str">
        <x:v>integrator/OEM</x:v>
      </x:c>
      <x:c r="R18" s="379" t="str">
        <x:v>Shipboard air-conditioning plants; chillers; compressors; condensers; refrigeration machinery; controls, spares and lifecycle support.</x:v>
      </x:c>
      <x:c r="S18" s="380" t="str">
        <x:v>integrated assembly/module</x:v>
      </x:c>
      <x:c r="T18" s="380" t="str">
        <x:v>yes</x:v>
      </x:c>
      <x:c r="U18" s="379" t="str">
        <x:v>Johnson Controls, Inc. / Johnson Controls Navy Systems</x:v>
      </x:c>
      <x:c r="V18" s="379" t="str">
        <x:v>Johnson Controls International plc (Ireland; public company)</x:v>
      </x:c>
      <x:c r="W18" s="379" t="str">
        <x:v>The UEI is the York International legal manufacturer within Johnson Controls. The relevant activity is Navy-qualified YORK machinery, not the broader commercial HVAC enterprise.</x:v>
      </x:c>
      <x:c r="X18" s="379" t="str">
        <x:v>Missing. The file has no resolved primary NAICS. NAICS 333415 would closely describe the demonstrated HVAC and refrigeration-equipment activity.</x:v>
      </x:c>
      <x:c r="Y18" s="379" t="str">
        <x:v>Domestic U.S. operating entity; foreign-owned (Ireland)</x:v>
      </x:c>
      <x:c r="Z18" s="392" t="str">
        <x:v>high</x:v>
      </x:c>
      <x:c r="AA18" s="393" t="str">
        <x:v>Johnson Controls directly identifies YORK Navy HVAC products; a SAM notice corroborates the DDG-51 air-conditioning-plant context.</x:v>
      </x:c>
      <x:c r="AB18" s="393" t="str">
        <x:v>https://www.johnsoncontrols.com/marine-and-navy/hvac-and-refrigeration | https://sam.gov/workspace/contract/opp/3996f7e5a59a159981dbee65cb0e31ff/view | https://www.johnsoncontrols.com/jci-global-entities</x:v>
      </x:c>
      <x:c r="AC18" s="394" t="n">
        <x:f>COUNTIF(Source_Ledger!$B$4:$B$161,B18)</x:f>
        <x:v>3</x:v>
      </x:c>
    </x:row>
    <x:row r="19" ht="76" customHeight="1">
      <x:c r="A19" s="357" t="n">
        <x:v>15</x:v>
      </x:c>
      <x:c r="B19" s="358" t="str">
        <x:v>FZPYZ11SFNA6</x:v>
      </x:c>
      <x:c r="C19" s="358" t="str">
        <x:v>TIMKEN GEARS &amp; SERVICES INC.</x:v>
      </x:c>
      <x:c r="D19" s="359" t="n">
        <x:v>169.174</x:v>
      </x:c>
      <x:c r="E19" s="359" t="n">
        <x:v>0</x:v>
      </x:c>
      <x:c r="F19" s="359" t="n">
        <x:v>169.174</x:v>
      </x:c>
      <x:c r="G19" s="360" t="n">
        <x:v>8</x:v>
      </x:c>
      <x:c r="H19" s="360" t="str">
        <x:v>17454</x:v>
      </x:c>
      <x:c r="I19" s="360" t="str">
        <x:v>333612</x:v>
      </x:c>
      <x:c r="J19" s="360" t="str">
        <x:v>Speed Changer, Industrial High-Speed Drive, and Gear Manufacturing</x:v>
      </x:c>
      <x:c r="K19" s="358" t="str">
        <x:v>237990;333611;333612;333613;336611</x:v>
      </x:c>
      <x:c r="L19" s="358" t="str">
        <x:v>Manufacturer of Goods</x:v>
      </x:c>
      <x:c r="M19" s="358" t="str">
        <x:v>For Profit Organization;Business or Organization;Manufacturer of Goods</x:v>
      </x:c>
      <x:c r="N19" s="358" t="str">
        <x:v>TIMKEN COMPANY, THE</x:v>
      </x:c>
      <x:c r="O19" s="358" t="str"/>
      <x:c r="P19" s="379" t="str">
        <x:v>Timken Gears &amp; Services, through Philadelphia Gear, designs and manufactures main reduction gears and other large marine gearboxes for Navy surface combatants, including DDG-51.</x:v>
      </x:c>
      <x:c r="Q19" s="380" t="str">
        <x:v>integrator/OEM</x:v>
      </x:c>
      <x:c r="R19" s="379" t="str">
        <x:v>DDG-51 main reduction gear sets; naval reduction gearboxes; high-speed gears and pinions; testing, overhaul, repair and lifecycle engineering.</x:v>
      </x:c>
      <x:c r="S19" s="380" t="str">
        <x:v>integrated assembly/module</x:v>
      </x:c>
      <x:c r="T19" s="380" t="str">
        <x:v>yes</x:v>
      </x:c>
      <x:c r="U19" s="379" t="str">
        <x:v>The Timken Company</x:v>
      </x:c>
      <x:c r="V19" s="379" t="str">
        <x:v>The Timken Company (public company)</x:v>
      </x:c>
      <x:c r="W19" s="379" t="str">
        <x:v>The legal entity is Timken Gears &amp; Services; Philadelphia Gear is the operating brand and heritage business responsible for the naval gear products.</x:v>
      </x:c>
      <x:c r="X19" s="379" t="str">
        <x:v>Correct. NAICS 333612 accurately describes speed-changer and gear manufacturing and is strongly representative of the operating entity.</x:v>
      </x:c>
      <x:c r="Y19" s="379" t="str">
        <x:v>Domestic (U.S.)</x:v>
      </x:c>
      <x:c r="Z19" s="392" t="str">
        <x:v>high</x:v>
      </x:c>
      <x:c r="AA19" s="393" t="str">
        <x:v>Timken directly documents both the product and DDG-51 program role.</x:v>
      </x:c>
      <x:c r="AB19" s="393" t="str">
        <x:v>https://www.timken.com/timken-world/powering-naval-ships-for-decades-of-service/ | https://news.timken.com/2023-02-21-Timken-to-Continue-to-Provide-Main-Reduction-Gears-for-U-S-Navy-Arleigh-Burke-DDG-51-Class-Ships | https://news.timken.com/2011-07-01-Timken-Completes-Philadelphia-Gear-Acquisition</x:v>
      </x:c>
      <x:c r="AC19" s="394" t="n">
        <x:f>COUNTIF(Source_Ledger!$B$4:$B$161,B19)</x:f>
        <x:v>3</x:v>
      </x:c>
    </x:row>
    <x:row r="20" ht="76" customHeight="1">
      <x:c r="A20" s="357" t="n">
        <x:v>16</x:v>
      </x:c>
      <x:c r="B20" s="358" t="str">
        <x:v>HNAECT5M9TM4</x:v>
      </x:c>
      <x:c r="C20" s="358" t="str">
        <x:v>SOCAIL, LDA</x:v>
      </x:c>
      <x:c r="D20" s="359" t="n">
        <x:v>151.352</x:v>
      </x:c>
      <x:c r="E20" s="359" t="n">
        <x:v>0</x:v>
      </x:c>
      <x:c r="F20" s="359" t="n">
        <x:v>151.352</x:v>
      </x:c>
      <x:c r="G20" s="360" t="n">
        <x:v>10</x:v>
      </x:c>
      <x:c r="H20" s="360" t="str"/>
      <x:c r="I20" s="360" t="str"/>
      <x:c r="J20" s="360" t="str"/>
      <x:c r="K20" s="358" t="str"/>
      <x:c r="L20" s="358" t="str"/>
      <x:c r="M20" s="358" t="str"/>
      <x:c r="N20" s="358" t="str"/>
      <x:c r="O20" s="358" t="str"/>
      <x:c r="P20" s="379" t="str">
        <x:v>SOCAIL, LDA appears to be a Portuguese industrial-piping contractor whose name expands to Sociedade de Canalizações Industriais. Public directories describe industrial pipework and water/gas piping installation; a specific DDG-51 deliverable could not be verified.</x:v>
      </x:c>
      <x:c r="Q20" s="380" t="str">
        <x:v>construction/facilities</x:v>
      </x:c>
      <x:c r="R20" s="379" t="str">
        <x:v>Industrial piping and pipework installation; piping fabrication/assembly; water and gas piping services. Exact naval product or work package is unverified.</x:v>
      </x:c>
      <x:c r="S20" s="380" t="str">
        <x:v>service</x:v>
      </x:c>
      <x:c r="T20" s="380" t="str">
        <x:v>partial</x:v>
      </x:c>
      <x:c r="U20" s="379" t="str">
        <x:v>Not verified</x:v>
      </x:c>
      <x:c r="V20" s="379" t="str">
        <x:v>Privately held ownership not verified</x:v>
      </x:c>
      <x:c r="W20" s="379" t="str">
        <x:v>The operating entity is reported in Seixal, Portugal. No authoritative company website, current ownership filing or public Navy contract description was located.</x:v>
      </x:c>
      <x:c r="X20" s="379" t="str">
        <x:v>Missing. No primary NAICS is resolved in the file. Available evidence points to industrial piping/installation, but the exact manufacturing-versus-installation mix is uncertain.</x:v>
      </x:c>
      <x:c r="Y20" s="379" t="str">
        <x:v>Foreign (Portugal)</x:v>
      </x:c>
      <x:c r="Z20" s="392" t="str">
        <x:v>low</x:v>
      </x:c>
      <x:c r="AA20" s="393" t="str">
        <x:v>Public evidence is limited to business directories. The dataset shows DDG-51 subaward dollars, but the specific shipyard, equipment, system or onboard deliverable cannot be responsibly inferred.</x:v>
      </x:c>
      <x:c r="AB20" s="393" t="str">
        <x:v>https://www.rotanacional.pt/anuncio/48017-socail-sociedade-de-canalizacoes-industriais-lda | https://www.guiadacidade.pt/pt/e/socail-sociedade-de-canalizacoes-industriais-lda-1239978 | https://seixal.infoisinfo.com.pt/ficha/socail_sociedade_de_canalizacoes_industriais_lda/76404</x:v>
      </x:c>
      <x:c r="AC20" s="394" t="n">
        <x:f>COUNTIF(Source_Ledger!$B$4:$B$161,B20)</x:f>
        <x:v>3</x:v>
      </x:c>
    </x:row>
    <x:row r="21" ht="76" customHeight="1">
      <x:c r="A21" s="357" t="n">
        <x:v>17</x:v>
      </x:c>
      <x:c r="B21" s="358" t="str">
        <x:v>KENVPMBVBT39</x:v>
      </x:c>
      <x:c r="C21" s="358" t="str">
        <x:v>RHOADS METAL FABRICATIONS, INC.</x:v>
      </x:c>
      <x:c r="D21" s="359" t="n">
        <x:v>141.905</x:v>
      </x:c>
      <x:c r="E21" s="359" t="n">
        <x:v>141.905</x:v>
      </x:c>
      <x:c r="F21" s="359" t="n">
        <x:v>0</x:v>
      </x:c>
      <x:c r="G21" s="360" t="n">
        <x:v>73</x:v>
      </x:c>
      <x:c r="H21" s="360" t="str"/>
      <x:c r="I21" s="360" t="str"/>
      <x:c r="J21" s="360" t="str"/>
      <x:c r="K21" s="358" t="str"/>
      <x:c r="L21" s="358" t="str"/>
      <x:c r="M21" s="358" t="str"/>
      <x:c r="N21" s="358" t="str">
        <x:v>THE RMF IRREVOCABLE DEED OF TRUST</x:v>
      </x:c>
      <x:c r="O21" s="358" t="str"/>
      <x:c r="P21" s="379" t="str">
        <x:v>Rhoads Metal Fabrications, operating within Rhoads Industries at the Philadelphia Navy Yard, fabricates, machines, outfits and integrates large submarine structures and machinery modules.</x:v>
      </x:c>
      <x:c r="Q21" s="380" t="str">
        <x:v>integrator/OEM</x:v>
      </x:c>
      <x:c r="R21" s="379" t="str">
        <x:v>Large submarine structural modules; decks and platforms; pressure vessels; turbine-generator skids; heavy plate fabrications; complex welding, machining, outfitting and pier-side integration.</x:v>
      </x:c>
      <x:c r="S21" s="380" t="str">
        <x:v>integrated assembly/module</x:v>
      </x:c>
      <x:c r="T21" s="380" t="str">
        <x:v>yes</x:v>
      </x:c>
      <x:c r="U21" s="379" t="str">
        <x:v>Rhoads Industries / Rhoads Metal Fabrications</x:v>
      </x:c>
      <x:c r="V21" s="379" t="str">
        <x:v>Family-controlled trust ownership; SAM file reports The RMF Irrevocable Deed of Trust</x:v>
      </x:c>
      <x:c r="W21" s="379" t="str">
        <x:v>The UEI is the metal-fabrication operating company. Rhoads Industries is the public operating brand. The trust shown in SAM is retained as an ownership note because a current first-party ownership filing was not located.</x:v>
      </x:c>
      <x:c r="X21" s="379" t="str">
        <x:v>Missing. No resolved primary NAICS is shown. The demonstrated activity is heavy structural-metal fabrication, machining and module integration for Navy shipbuilding.</x:v>
      </x:c>
      <x:c r="Y21" s="379" t="str">
        <x:v>Domestic (U.S.)</x:v>
      </x:c>
      <x:c r="Z21" s="392" t="str">
        <x:v>high</x:v>
      </x:c>
      <x:c r="AA21" s="393" t="str">
        <x:v>High confidence in operating activity and Navy role; medium confidence in the precise current trust/ultimate-owner description.</x:v>
      </x:c>
      <x:c r="AB21" s="393" t="str">
        <x:v>https://www.rhoadsinc.com/ | https://www.rhoadsinc.com/capabilities/dod/ | https://www.rhoadsinc.com/rhoads-industries-opens-new-high-capacity-pier-6a-to-support-u-s-navy-submarine-programs/ | https://www.rhoadsinc.com/about/</x:v>
      </x:c>
      <x:c r="AC21" s="394" t="n">
        <x:f>COUNTIF(Source_Ledger!$B$4:$B$161,B21)</x:f>
        <x:v>4</x:v>
      </x:c>
    </x:row>
    <x:row r="22" ht="76" customHeight="1">
      <x:c r="A22" s="357" t="n">
        <x:v>18</x:v>
      </x:c>
      <x:c r="B22" s="358" t="str">
        <x:v>JEP5GQGFPUL9</x:v>
      </x:c>
      <x:c r="C22" s="358" t="str">
        <x:v>PORTLAND VALVE LLC</x:v>
      </x:c>
      <x:c r="D22" s="359" t="n">
        <x:v>139.605</x:v>
      </x:c>
      <x:c r="E22" s="359" t="n">
        <x:v>119.247</x:v>
      </x:c>
      <x:c r="F22" s="359" t="n">
        <x:v>20.359</x:v>
      </x:c>
      <x:c r="G22" s="360" t="n">
        <x:v>232</x:v>
      </x:c>
      <x:c r="H22" s="360" t="str">
        <x:v>53154</x:v>
      </x:c>
      <x:c r="I22" s="360" t="str">
        <x:v>332911</x:v>
      </x:c>
      <x:c r="J22" s="360" t="str">
        <x:v>Industrial Valve Manufacturing</x:v>
      </x:c>
      <x:c r="K22" s="358" t="str">
        <x:v>332911</x:v>
      </x:c>
      <x:c r="L22" s="358" t="str">
        <x:v>Manufacturer of Goods</x:v>
      </x:c>
      <x:c r="M22" s="358" t="str">
        <x:v>For Profit Organization;Business or Organization;Limited Liability Company;Manufacturer of Goods</x:v>
      </x:c>
      <x:c r="N22" s="358" t="str"/>
      <x:c r="O22" s="358" t="str"/>
      <x:c r="P22" s="379" t="str">
        <x:v>Portland Valve manufactures Navy-qualified ball valves and other specialty ship-service valves, and provides repair and refurbishment support for submarines and surface ships.</x:v>
      </x:c>
      <x:c r="Q22" s="380" t="str">
        <x:v>manufacturer</x:v>
      </x:c>
      <x:c r="R22" s="379" t="str">
        <x:v>Ship-service ball valves; specialty naval valves; valve actuators and assemblies; replacement parts; overhaul, repair and testing.</x:v>
      </x:c>
      <x:c r="S22" s="380" t="str">
        <x:v>discrete component/equipment</x:v>
      </x:c>
      <x:c r="T22" s="380" t="str">
        <x:v>yes</x:v>
      </x:c>
      <x:c r="U22" s="379" t="str">
        <x:v>CIRCOR Naval Solutions / CIRCOR International</x:v>
      </x:c>
      <x:c r="V22" s="379" t="str">
        <x:v>KKR-managed investment funds</x:v>
      </x:c>
      <x:c r="W22" s="379" t="str">
        <x:v>Portland Valve is a CIRCOR naval brand and operating business. A May 2026 agreement to sell CIRCOR’s commercial and defense aerospace business to Parker Hannifin did not include the retained naval business.</x:v>
      </x:c>
      <x:c r="X22" s="379" t="str">
        <x:v>Correct. NAICS 332911 accurately reflects industrial-valve manufacturing.</x:v>
      </x:c>
      <x:c r="Y22" s="379" t="str">
        <x:v>Domestic (U.S.)</x:v>
      </x:c>
      <x:c r="Z22" s="392" t="str">
        <x:v>high</x:v>
      </x:c>
      <x:c r="AA22" s="393" t="str">
        <x:v>Current brand, product and ownership status are supported by CIRCOR and KKR; the 2026 aerospace-only transaction is noted to avoid a false parent change.</x:v>
      </x:c>
      <x:c r="AB22" s="393" t="str">
        <x:v>https://www.circor.com/brands/portland-valve | https://www.circor.com/news/circor-brand-portland-valve-announces-50-year-anniversary | https://www.kkr.com/approach/shared-success/circor-international | https://www.reuters.com/legal/transactional/parker-hannifin-acquire-kkr-owned-circor-255-billion-2026-05-21/</x:v>
      </x:c>
      <x:c r="AC22" s="394" t="n">
        <x:f>COUNTIF(Source_Ledger!$B$4:$B$161,B22)</x:f>
        <x:v>4</x:v>
      </x:c>
    </x:row>
    <x:row r="23" ht="76" customHeight="1">
      <x:c r="A23" s="357" t="n">
        <x:v>19</x:v>
      </x:c>
      <x:c r="B23" s="358" t="str">
        <x:v>NYGUEDY27AM8</x:v>
      </x:c>
      <x:c r="C23" s="358" t="str">
        <x:v>CURTISS-WRIGHT FLOW CONTROL CORPORATION</x:v>
      </x:c>
      <x:c r="D23" s="359" t="n">
        <x:v>131.632</x:v>
      </x:c>
      <x:c r="E23" s="359" t="n">
        <x:v>127.485</x:v>
      </x:c>
      <x:c r="F23" s="359" t="n">
        <x:v>4.148</x:v>
      </x:c>
      <x:c r="G23" s="360" t="n">
        <x:v>197</x:v>
      </x:c>
      <x:c r="H23" s="360" t="str">
        <x:v>95169</x:v>
      </x:c>
      <x:c r="I23" s="360" t="str">
        <x:v>332911</x:v>
      </x:c>
      <x:c r="J23" s="360" t="str">
        <x:v>Industrial Valve Manufacturing</x:v>
      </x:c>
      <x:c r="K23" s="358" t="str">
        <x:v>332911;333995</x:v>
      </x:c>
      <x:c r="L23" s="358" t="str">
        <x:v>Manufacturer of Goods</x:v>
      </x:c>
      <x:c r="M23" s="358" t="str">
        <x:v>For Profit Organization;Business or Organization;Manufacturer of Goods</x:v>
      </x:c>
      <x:c r="N23" s="358" t="str"/>
      <x:c r="O23" s="358" t="str"/>
      <x:c r="P23" s="379" t="str">
        <x:v>Curtiss-Wright’s Target Rock operation in East Farmingdale, New York designs and manufactures critical-service valves and actuators for naval nuclear propulsion and other ship systems.</x:v>
      </x:c>
      <x:c r="Q23" s="380" t="str">
        <x:v>manufacturer</x:v>
      </x:c>
      <x:c r="R23" s="379" t="str">
        <x:v>Nuclear safety and relief valves; control, check and isolation valves; electrohydraulic and electromechanical actuators; complete valve-actuator assemblies; qualification testing and support.</x:v>
      </x:c>
      <x:c r="S23" s="380" t="str">
        <x:v>discrete component/equipment</x:v>
      </x:c>
      <x:c r="T23" s="380" t="str">
        <x:v>yes</x:v>
      </x:c>
      <x:c r="U23" s="379" t="str">
        <x:v>Curtiss-Wright Flow Control Corporation / Curtiss-Wright Electro-Mechanical Systems</x:v>
      </x:c>
      <x:c r="V23" s="379" t="str">
        <x:v>Curtiss-Wright Corporation (public company)</x:v>
      </x:c>
      <x:c r="W23" s="379" t="str">
        <x:v>CAGE 95169 corresponds to the Target Rock operating unit, not Curtiss-Wright’s other pump, motor or generator divisions.</x:v>
      </x:c>
      <x:c r="X23" s="379" t="str">
        <x:v>Correct. NAICS 332911 accurately describes the core industrial-valve manufacturing activity.</x:v>
      </x:c>
      <x:c r="Y23" s="379" t="str">
        <x:v>Domestic (U.S.)</x:v>
      </x:c>
      <x:c r="Z23" s="392" t="str">
        <x:v>high</x:v>
      </x:c>
      <x:c r="AA23" s="393" t="str">
        <x:v>Target Rock first-party pages directly document its naval nuclear valve and actuator products.</x:v>
      </x:c>
      <x:c r="AB23" s="393" t="str">
        <x:v>https://electro-mechanicalsystems.curtisswright.com/target-rock | https://electro-mechanicalsystems.curtisswright.com/target-rock/about-us | https://electro-mechanicalsystems.curtisswright.com/news/news-details/2020/CURTISS-WRIGHT-AWARDED-CONTRACTS-VALUED-IN-EXCESS-OF-220-MILLION-TO-SUPPORT-CRITICAL-U.S.-NAVAL-DEFENSE-PLATFORMS</x:v>
      </x:c>
      <x:c r="AC23" s="394" t="n">
        <x:f>COUNTIF(Source_Ledger!$B$4:$B$161,B23)</x:f>
        <x:v>3</x:v>
      </x:c>
    </x:row>
    <x:row r="24" ht="76" customHeight="1">
      <x:c r="A24" s="357" t="n">
        <x:v>20</x:v>
      </x:c>
      <x:c r="B24" s="358" t="str">
        <x:v>JKZNKGGWYZ87</x:v>
      </x:c>
      <x:c r="C24" s="358" t="str">
        <x:v>CURTISS-WRIGHT ELECTRO-MECHANICAL CORPORATION</x:v>
      </x:c>
      <x:c r="D24" s="359" t="n">
        <x:v>129.324</x:v>
      </x:c>
      <x:c r="E24" s="359" t="n">
        <x:v>129.324</x:v>
      </x:c>
      <x:c r="F24" s="359" t="n">
        <x:v>0</x:v>
      </x:c>
      <x:c r="G24" s="360" t="n">
        <x:v>40</x:v>
      </x:c>
      <x:c r="H24" s="360" t="str">
        <x:v>04808</x:v>
      </x:c>
      <x:c r="I24" s="360" t="str">
        <x:v>335312</x:v>
      </x:c>
      <x:c r="J24" s="360" t="str">
        <x:v>Motor and Generator Manufacturing</x:v>
      </x:c>
      <x:c r="K24" s="358" t="str">
        <x:v>333611;333996;335312;336611</x:v>
      </x:c>
      <x:c r="L24" s="358" t="str">
        <x:v>Manufacturer of Goods</x:v>
      </x:c>
      <x:c r="M24" s="358" t="str">
        <x:v>For Profit Organization;Business or Organization;Manufacturer of Goods</x:v>
      </x:c>
      <x:c r="N24" s="358" t="str">
        <x:v>CURTISS-WRIGHT CORPORATION</x:v>
      </x:c>
      <x:c r="O24" s="358" t="str"/>
      <x:c r="P24" s="379" t="str">
        <x:v>Curtiss-Wright’s Electro-Mechanical Division in Cheswick, Pennsylvania designs and manufactures large electric machines and turbomachinery for U.S. naval nuclear propulsion and ship-service power systems.</x:v>
      </x:c>
      <x:c r="Q24" s="380" t="str">
        <x:v>integrator/OEM</x:v>
      </x:c>
      <x:c r="R24" s="379" t="str">
        <x:v>Large propulsion motors and generators; ship-service turbine generators; secondary propulsion systems; specialized pumps and turbomachinery; engineering, manufacturing, qualification and lifecycle support.</x:v>
      </x:c>
      <x:c r="S24" s="380" t="str">
        <x:v>discrete component/equipment</x:v>
      </x:c>
      <x:c r="T24" s="380" t="str">
        <x:v>yes</x:v>
      </x:c>
      <x:c r="U24" s="379" t="str">
        <x:v>Curtiss-Wright Electro-Mechanical Corporation</x:v>
      </x:c>
      <x:c r="V24" s="379" t="str">
        <x:v>Curtiss-Wright Corporation (public company)</x:v>
      </x:c>
      <x:c r="W24" s="379" t="str">
        <x:v>CAGE 04808 identifies the Cheswick Electro-Mechanical Division. It is a different operating site and product family from the Bethlehem Engineered Pump Division at rank 4.</x:v>
      </x:c>
      <x:c r="X24" s="379" t="str">
        <x:v>Partially correct. NAICS 335312 captures motors and generators, but not the division’s full naval turbomachinery, secondary-propulsion and nuclear-qualified-system scope.</x:v>
      </x:c>
      <x:c r="Y24" s="379" t="str">
        <x:v>Domestic (U.S.)</x:v>
      </x:c>
      <x:c r="Z24" s="392" t="str">
        <x:v>high</x:v>
      </x:c>
      <x:c r="AA24" s="393" t="str">
        <x:v>Operating site and product scope are directly documented by Curtiss-Wright.</x:v>
      </x:c>
      <x:c r="AB24" s="393" t="str">
        <x:v>https://electro-mechanicalsystems.curtisswright.com/emd/about-us | https://electro-mechanicalsystems.curtisswright.com/ | https://electro-mechanicalsystems.curtisswright.com/news/news-details/2023/Deluzio-Announces-More-Than-100-Million-in-Naval-Defense-Contracts-for-Local-Business-in-His-Western-Pennsylvania-District</x:v>
      </x:c>
      <x:c r="AC24" s="394" t="n">
        <x:f>COUNTIF(Source_Ledger!$B$4:$B$161,B24)</x:f>
        <x:v>3</x:v>
      </x:c>
    </x:row>
    <x:row r="25" ht="76" customHeight="1">
      <x:c r="A25" s="357" t="n">
        <x:v>21</x:v>
      </x:c>
      <x:c r="B25" s="358" t="str">
        <x:v>PQGNEEY9W5M3</x:v>
      </x:c>
      <x:c r="C25" s="358" t="str">
        <x:v>NORTHROP GRUMMAN SYSTEMS CORPORATION</x:v>
      </x:c>
      <x:c r="D25" s="359" t="n">
        <x:v>123.775</x:v>
      </x:c>
      <x:c r="E25" s="359" t="n">
        <x:v>0</x:v>
      </x:c>
      <x:c r="F25" s="359" t="n">
        <x:v>123.775</x:v>
      </x:c>
      <x:c r="G25" s="360" t="n">
        <x:v>79</x:v>
      </x:c>
      <x:c r="H25" s="360" t="str">
        <x:v>03956</x:v>
      </x:c>
      <x:c r="I25" s="360" t="str">
        <x:v>334511</x:v>
      </x:c>
      <x:c r="J25" s="360" t="str">
        <x:v>Search, Detection, Navigation, Guidance, Aeronautical, and Nautical System and Instrument Manufacturing</x:v>
      </x:c>
      <x:c r="K25" s="358" t="str">
        <x:v>334511;334515;513210;541330;811210</x:v>
      </x:c>
      <x:c r="L25" s="358" t="str">
        <x:v>Manufacturer of Goods</x:v>
      </x:c>
      <x:c r="M25" s="358" t="str">
        <x:v>For Profit Organization;Business or Organization;Manufacturer of Goods</x:v>
      </x:c>
      <x:c r="N25" s="358" t="str">
        <x:v>NORTHROP GRUMMAN SYSTEMS CORPORATION</x:v>
      </x:c>
      <x:c r="O25" s="358" t="str">
        <x:v>NORTHROP GRUMMAN CORPORATION</x:v>
      </x:c>
      <x:c r="P25" s="379" t="str">
        <x:v>Northrop Grumman’s Charlottesville maritime operation designs and produces integrated bridge, navigation, steering and ship-control systems for U.S. Navy surface ships, including DDG-51.</x:v>
      </x:c>
      <x:c r="Q25" s="380" t="str">
        <x:v>integrator/OEM</x:v>
      </x:c>
      <x:c r="R25" s="379" t="str">
        <x:v>Integrated bridge and navigation systems; inertial navigation sensors; steering-gear systems; ship-control consoles, displays and associated software/hardware integration.</x:v>
      </x:c>
      <x:c r="S25" s="380" t="str">
        <x:v>integrated assembly/module</x:v>
      </x:c>
      <x:c r="T25" s="380" t="str">
        <x:v>yes</x:v>
      </x:c>
      <x:c r="U25" s="379" t="str">
        <x:v>Northrop Grumman Systems Corporation</x:v>
      </x:c>
      <x:c r="V25" s="379" t="str">
        <x:v>Northrop Grumman Corporation (public company)</x:v>
      </x:c>
      <x:c r="W25" s="379" t="str">
        <x:v>CAGE 03956 is associated with the Charlottesville, Virginia maritime-navigation and ship-controls operation, distinct from Northrop Grumman’s Sunnyvale naval-power row.</x:v>
      </x:c>
      <x:c r="X25" s="379" t="str">
        <x:v>Correct. NAICS 334511 is a good match for navigation, nautical, guidance and control-instrument manufacturing, although it does not fully convey system integration.</x:v>
      </x:c>
      <x:c r="Y25" s="379" t="str">
        <x:v>Domestic (U.S.)</x:v>
      </x:c>
      <x:c r="Z25" s="392" t="str">
        <x:v>high</x:v>
      </x:c>
      <x:c r="AA25" s="393" t="str">
        <x:v>Northrop Grumman releases identify the exact maritime product lines and DDG-51 application.</x:v>
      </x:c>
      <x:c r="AB25" s="393" t="str">
        <x:v>https://investor.northropgrumman.com/news-releases/news-release-details/northrop-grumman-provide-integrated-bridge-navigation-and | https://news.northropgrumman.com/navigation-systems/northrop-grumman-to-produce-new-maritime-navigation-sensor-for-u-s-navy | https://investor.northropgrumman.com/news-releases/news-release-details/northrop-grumman-supply-steering-gear-systems-arleigh-burke | https://www.highergov.com/awardee/northrop-grumman-systems-corporation-10111509/</x:v>
      </x:c>
      <x:c r="AC25" s="394" t="n">
        <x:f>COUNTIF(Source_Ledger!$B$4:$B$161,B25)</x:f>
        <x:v>4</x:v>
      </x:c>
    </x:row>
    <x:row r="26" ht="76" customHeight="1">
      <x:c r="A26" s="357" t="n">
        <x:v>22</x:v>
      </x:c>
      <x:c r="B26" s="358" t="str">
        <x:v>SX6BF52K2WB1</x:v>
      </x:c>
      <x:c r="C26" s="358" t="str">
        <x:v>VACCO INDUSTRIES</x:v>
      </x:c>
      <x:c r="D26" s="359" t="n">
        <x:v>109.098</x:v>
      </x:c>
      <x:c r="E26" s="359" t="n">
        <x:v>109.098</x:v>
      </x:c>
      <x:c r="F26" s="359" t="n">
        <x:v>0</x:v>
      </x:c>
      <x:c r="G26" s="360" t="n">
        <x:v>88</x:v>
      </x:c>
      <x:c r="H26" s="360" t="str">
        <x:v>99517</x:v>
      </x:c>
      <x:c r="I26" s="360" t="str">
        <x:v>332912</x:v>
      </x:c>
      <x:c r="J26" s="360" t="str">
        <x:v>Fluid Power Valve and Hose Fitting Manufacturing</x:v>
      </x:c>
      <x:c r="K26" s="358" t="str">
        <x:v>332812;332912;336419;336611</x:v>
      </x:c>
      <x:c r="L26" s="358" t="str">
        <x:v>Manufacturer of Goods</x:v>
      </x:c>
      <x:c r="M26" s="358" t="str">
        <x:v>For Profit Organization;Business or Organization;Manufacturer of Goods</x:v>
      </x:c>
      <x:c r="N26" s="358" t="str">
        <x:v>ROLLER BEARING COMPANY OF AMERICA INC</x:v>
      </x:c>
      <x:c r="O26" s="358" t="str">
        <x:v>RBC BEARINGS INCORPORATED</x:v>
      </x:c>
      <x:c r="P26" s="379" t="str">
        <x:v>VACCO Industries designs and manufactures precision, low-noise fluid-control components and subsystems for submarines, surface ships and other demanding defense applications.</x:v>
      </x:c>
      <x:c r="Q26" s="380" t="str">
        <x:v>manufacturer</x:v>
      </x:c>
      <x:c r="R26" s="379" t="str">
        <x:v>Quiet naval valves; manifolds and integrated fluid-control assemblies; regulators; filters; check, relief and isolation valves; precision welding and test.</x:v>
      </x:c>
      <x:c r="S26" s="380" t="str">
        <x:v>discrete component/equipment</x:v>
      </x:c>
      <x:c r="T26" s="380" t="str">
        <x:v>yes</x:v>
      </x:c>
      <x:c r="U26" s="379" t="str">
        <x:v>RBC Bearings Incorporated</x:v>
      </x:c>
      <x:c r="V26" s="379" t="str">
        <x:v>RBC Bearings Incorporated (public company)</x:v>
      </x:c>
      <x:c r="W26" s="379" t="str">
        <x:v>VACCO was previously owned by ESCO Technologies. RBC Bearings completed its acquisition on July 21, 2025, so older SAM or web records naming ESCO are stale.</x:v>
      </x:c>
      <x:c r="X26" s="379" t="str">
        <x:v>Correct. NAICS 332912 is well aligned with precision fluid-power valves and fittings, though it does not show VACCO’s ultraquiet naval specialization.</x:v>
      </x:c>
      <x:c r="Y26" s="379" t="str">
        <x:v>Domestic (U.S.)</x:v>
      </x:c>
      <x:c r="Z26" s="392" t="str">
        <x:v>high</x:v>
      </x:c>
      <x:c r="AA26" s="393" t="str">
        <x:v>Products are first-party and the 2025 ownership change is documented by the acquirer.</x:v>
      </x:c>
      <x:c r="AB26" s="393" t="str">
        <x:v>https://www.vacco.com/index.php/navy/overview | https://www.vacco.com/ | https://investor.rbcbearings.com/news-releases/news-release-details/rbc-bearings-incorporated-completes-acquisition-vacco-industries</x:v>
      </x:c>
      <x:c r="AC26" s="394" t="n">
        <x:f>COUNTIF(Source_Ledger!$B$4:$B$161,B26)</x:f>
        <x:v>3</x:v>
      </x:c>
    </x:row>
    <x:row r="27" ht="76" customHeight="1">
      <x:c r="A27" s="357" t="n">
        <x:v>23</x:v>
      </x:c>
      <x:c r="B27" s="358" t="str">
        <x:v>ZW3UMG9YVNA9</x:v>
      </x:c>
      <x:c r="C27" s="358" t="str">
        <x:v>L-3 COMMUNICATIONS WESTWOOD CORPORATION</x:v>
      </x:c>
      <x:c r="D27" s="359" t="n">
        <x:v>108.943</x:v>
      </x:c>
      <x:c r="E27" s="359" t="n">
        <x:v>5.117</x:v>
      </x:c>
      <x:c r="F27" s="359" t="n">
        <x:v>103.827</x:v>
      </x:c>
      <x:c r="G27" s="360" t="n">
        <x:v>131</x:v>
      </x:c>
      <x:c r="H27" s="360" t="str">
        <x:v>3FEQ2</x:v>
      </x:c>
      <x:c r="I27" s="360" t="str">
        <x:v>335313</x:v>
      </x:c>
      <x:c r="J27" s="360" t="str">
        <x:v>Switchgear and Switchboard Apparatus Manufacturing</x:v>
      </x:c>
      <x:c r="K27" s="358" t="str">
        <x:v>333611;335311;335313;335314</x:v>
      </x:c>
      <x:c r="L27" s="358" t="str">
        <x:v>Manufacturer of Goods</x:v>
      </x:c>
      <x:c r="M27" s="358" t="str">
        <x:v>For Profit Organization;Business or Organization;Manufacturer of Goods</x:v>
      </x:c>
      <x:c r="N27" s="358" t="str">
        <x:v>L3 TECHNOLOGIES, INC.</x:v>
      </x:c>
      <x:c r="O27" s="358" t="str">
        <x:v>L3HARRIS TECHNOLOGIES, INC</x:v>
      </x:c>
      <x:c r="P27" s="379" t="str">
        <x:v>L-3 Communications Westwood, now operating within L3Harris Maritime Power &amp; Energy Solutions, engineers and manufactures military shipboard electrical power-distribution equipment.</x:v>
      </x:c>
      <x:c r="Q27" s="380" t="str">
        <x:v>integrator/OEM</x:v>
      </x:c>
      <x:c r="R27" s="379" t="str">
        <x:v>Military switchboards and load centers; power-distribution panels; control consoles and workstations; panelboards; circuit-protection and monitoring assemblies.</x:v>
      </x:c>
      <x:c r="S27" s="380" t="str">
        <x:v>integrated assembly/module</x:v>
      </x:c>
      <x:c r="T27" s="380" t="str">
        <x:v>yes</x:v>
      </x:c>
      <x:c r="U27" s="379" t="str">
        <x:v>L3Harris Maritime Power &amp; Energy Solutions</x:v>
      </x:c>
      <x:c r="V27" s="379" t="str">
        <x:v>L3Harris Technologies, Inc. (public company)</x:v>
      </x:c>
      <x:c r="W27" s="379" t="str">
        <x:v>The file retains the legacy L-3 Communications Westwood legal name. Current product pages place the business in L3Harris’ maritime power portfolio.</x:v>
      </x:c>
      <x:c r="X27" s="379" t="str">
        <x:v>Correct. NAICS 335313 accurately describes switchgear and switchboard apparatus manufacturing.</x:v>
      </x:c>
      <x:c r="Y27" s="379" t="str">
        <x:v>Domestic (U.S.)</x:v>
      </x:c>
      <x:c r="Z27" s="392" t="str">
        <x:v>high</x:v>
      </x:c>
      <x:c r="AA27" s="393" t="str">
        <x:v>L3Harris first-party product pages are specific and current.</x:v>
      </x:c>
      <x:c r="AB27" s="393" t="str">
        <x:v>https://www.l3harris.com/all-capabilities/marine-power-distribution | https://www.l3harris.com/all-capabilities/military-specification-switchboards-and-loadcenters | https://www.l3harris.com/all-capabilities/power-distribution-panels-control-console-workstation-and-panel-boards</x:v>
      </x:c>
      <x:c r="AC27" s="394" t="n">
        <x:f>COUNTIF(Source_Ledger!$B$4:$B$161,B27)</x:f>
        <x:v>3</x:v>
      </x:c>
    </x:row>
    <x:row r="28" ht="76" customHeight="1">
      <x:c r="A28" s="357" t="n">
        <x:v>24</x:v>
      </x:c>
      <x:c r="B28" s="358" t="str">
        <x:v>WMXDDH6HJNA5</x:v>
      </x:c>
      <x:c r="C28" s="358" t="str">
        <x:v>HUNTINGTON INGALLS INCORPORATED</x:v>
      </x:c>
      <x:c r="D28" s="359" t="n">
        <x:v>104.054</x:v>
      </x:c>
      <x:c r="E28" s="359" t="n">
        <x:v>98.086</x:v>
      </x:c>
      <x:c r="F28" s="359" t="n">
        <x:v>5.968</x:v>
      </x:c>
      <x:c r="G28" s="360" t="n">
        <x:v>16</x:v>
      </x:c>
      <x:c r="H28" s="360" t="str">
        <x:v>43689</x:v>
      </x:c>
      <x:c r="I28" s="360" t="str">
        <x:v>336611</x:v>
      </x:c>
      <x:c r="J28" s="360" t="str">
        <x:v>Ship Building and Repairing</x:v>
      </x:c>
      <x:c r="K28" s="358" t="str">
        <x:v>336611</x:v>
      </x:c>
      <x:c r="L28" s="358" t="str"/>
      <x:c r="M28" s="358" t="str">
        <x:v>For Profit Organization;Business or Organization</x:v>
      </x:c>
      <x:c r="N28" s="358" t="str">
        <x:v>HUNTINGTON INGALLS INDUSTRIES, INC</x:v>
      </x:c>
      <x:c r="O28" s="358" t="str"/>
      <x:c r="P28" s="379" t="str">
        <x:v>Huntington Ingalls’ Newport News Shipbuilding operation builds and integrates major nuclear-submarine modules and sections and is a principal construction partner on Virginia- and Columbia-class submarines.</x:v>
      </x:c>
      <x:c r="Q28" s="380" t="str">
        <x:v>integrator/OEM</x:v>
      </x:c>
      <x:c r="R28" s="379" t="str">
        <x:v>Virginia-class submarine modules and sections; Columbia-class sterns and major module sections; nuclear-ship construction, structural fabrication, outfitting, integration, test and delivery.</x:v>
      </x:c>
      <x:c r="S28" s="380" t="str">
        <x:v>integrated assembly/module</x:v>
      </x:c>
      <x:c r="T28" s="380" t="str">
        <x:v>yes</x:v>
      </x:c>
      <x:c r="U28" s="379" t="str">
        <x:v>Huntington Ingalls Industries, Inc. (HII)</x:v>
      </x:c>
      <x:c r="V28" s="379" t="str">
        <x:v>Huntington Ingalls Industries, Inc. (public company)</x:v>
      </x:c>
      <x:c r="W28" s="379" t="str">
        <x:v>CAGE 43689 is associated with Newport News Shipbuilding. The legal row name is Huntington Ingalls Incorporated; the operating shipyard identity is the critical fact.</x:v>
      </x:c>
      <x:c r="X28" s="379" t="str">
        <x:v>Correct. NAICS 336611 accurately describes the operating entity’s whole-ship and major-module shipbuilding activity.</x:v>
      </x:c>
      <x:c r="Y28" s="379" t="str">
        <x:v>Domestic (U.S.)</x:v>
      </x:c>
      <x:c r="Z28" s="392" t="str">
        <x:v>high</x:v>
      </x:c>
      <x:c r="AA28" s="393" t="str">
        <x:v>HII directly documents its submarine construction roles and delivered modules.</x:v>
      </x:c>
      <x:c r="AB28" s="393" t="str">
        <x:v>https://www.hii.com/capabilities/submarines | https://hii.com/news/huntington-ingalls-industries-awarded-contract-for-construction-of-first-two-columbia-class-submarine-modules | https://hii.com/news/hii-newport-news-shipbuilding-delivers-first-columbia-class-stern</x:v>
      </x:c>
      <x:c r="AC28" s="394" t="n">
        <x:f>COUNTIF(Source_Ledger!$B$4:$B$161,B28)</x:f>
        <x:v>3</x:v>
      </x:c>
    </x:row>
    <x:row r="29" ht="76" customHeight="1">
      <x:c r="A29" s="357" t="n">
        <x:v>25</x:v>
      </x:c>
      <x:c r="B29" s="358" t="str">
        <x:v>G9HKMXL5L973</x:v>
      </x:c>
      <x:c r="C29" s="358" t="str">
        <x:v>OIL STATES INDUSTRIES, INC</x:v>
      </x:c>
      <x:c r="D29" s="359" t="n">
        <x:v>103.398</x:v>
      </x:c>
      <x:c r="E29" s="359" t="n">
        <x:v>103.398</x:v>
      </x:c>
      <x:c r="F29" s="359" t="n">
        <x:v>0</x:v>
      </x:c>
      <x:c r="G29" s="360" t="n">
        <x:v>117</x:v>
      </x:c>
      <x:c r="H29" s="360" t="str">
        <x:v>18444</x:v>
      </x:c>
      <x:c r="I29" s="360" t="str">
        <x:v>326291</x:v>
      </x:c>
      <x:c r="J29" s="360" t="str">
        <x:v>Rubber Product Manufacturing for Mechanical Use</x:v>
      </x:c>
      <x:c r="K29" s="358" t="str">
        <x:v>326291;333132</x:v>
      </x:c>
      <x:c r="L29" s="358" t="str">
        <x:v>Manufacturer of Goods</x:v>
      </x:c>
      <x:c r="M29" s="358" t="str">
        <x:v>For Profit Organization;Business or Organization;Manufacturer of Goods</x:v>
      </x:c>
      <x:c r="N29" s="358" t="str"/>
      <x:c r="O29" s="358" t="str"/>
      <x:c r="P29" s="379" t="str">
        <x:v>Oil States Industries’ Special Products operation manufactures Navy-qualified elastomeric shock- and vibration-isolation hardware used to mount and support shipboard machinery and piping.</x:v>
      </x:c>
      <x:c r="Q29" s="380" t="str">
        <x:v>manufacturer</x:v>
      </x:c>
      <x:c r="R29" s="379" t="str">
        <x:v>Resilient equipment mounts; elastomeric shock and vibration isolators; pipe hangers and clamps; bonded rubber-to-metal isolation components; qualification and replacement hardware.</x:v>
      </x:c>
      <x:c r="S29" s="380" t="str">
        <x:v>discrete component/equipment</x:v>
      </x:c>
      <x:c r="T29" s="380" t="str">
        <x:v>yes</x:v>
      </x:c>
      <x:c r="U29" s="379" t="str">
        <x:v>Oil States Industries, Inc.</x:v>
      </x:c>
      <x:c r="V29" s="379" t="str">
        <x:v>Oil States International, Inc. (public company)</x:v>
      </x:c>
      <x:c r="W29" s="379" t="str">
        <x:v>CAGE 18444 is associated with the Special Products operation. The public corporate site gives limited detail on individual Navy part families; federal item records supply product-level corroboration.</x:v>
      </x:c>
      <x:c r="X29" s="379" t="str">
        <x:v>Partially correct. NAICS 326291 broadly fits molded rubber products for mechanical use, but does not identify the specialized Navy shock/vibration-isolation function.</x:v>
      </x:c>
      <x:c r="Y29" s="379" t="str">
        <x:v>Domestic (U.S.)</x:v>
      </x:c>
      <x:c r="Z29" s="392" t="str">
        <x:v>medium</x:v>
      </x:c>
      <x:c r="AA29" s="393" t="str">
        <x:v>Corporate ownership and elastomer capability are clear. The exact Navy products rely partly on federal procurement/NSN records rather than a detailed current first-party catalog.</x:v>
      </x:c>
      <x:c r="AB29" s="393" t="str">
        <x:v>https://www.oilstatesintl.com/our-company/offshore-construction-group-523.html | https://www.wbparts.com/rfq/5342-01-020-5071.html | https://www.highergov.com/contract-opportunity/5342-resilient-mount-n0040625q0306-o-09ea3/</x:v>
      </x:c>
      <x:c r="AC29" s="394" t="n">
        <x:f>COUNTIF(Source_Ledger!$B$4:$B$161,B29)</x:f>
        <x:v>3</x:v>
      </x:c>
    </x:row>
    <x:row r="30" ht="76" customHeight="1">
      <x:c r="A30" s="357" t="n">
        <x:v>26</x:v>
      </x:c>
      <x:c r="B30" s="358" t="str">
        <x:v>FK17Z7DJWLL1</x:v>
      </x:c>
      <x:c r="C30" s="358" t="str">
        <x:v>Apco Technologies SA</x:v>
      </x:c>
      <x:c r="D30" s="359" t="n">
        <x:v>102.859</x:v>
      </x:c>
      <x:c r="E30" s="359" t="n">
        <x:v>102.859</x:v>
      </x:c>
      <x:c r="F30" s="359" t="n">
        <x:v>0</x:v>
      </x:c>
      <x:c r="G30" s="360" t="n">
        <x:v>72</x:v>
      </x:c>
      <x:c r="H30" s="360" t="str">
        <x:v>SVP45</x:v>
      </x:c>
      <x:c r="I30" s="360" t="str"/>
      <x:c r="J30" s="360" t="str"/>
      <x:c r="K30" s="358" t="str"/>
      <x:c r="L30" s="358" t="str"/>
      <x:c r="M30" s="358" t="str">
        <x:v>For Profit Organization;Business or Organization</x:v>
      </x:c>
      <x:c r="N30" s="358" t="str"/>
      <x:c r="O30" s="358" t="str"/>
      <x:c r="P30" s="379" t="str">
        <x:v>APCO Technologies SA designs, manufactures and commissions custom automated machinery and production systems, including precision positioning, robotic handling and welding equipment used to industrialize complex ship-structure manufacturing.</x:v>
      </x:c>
      <x:c r="Q30" s="380" t="str">
        <x:v>integrator/OEM</x:v>
      </x:c>
      <x:c r="R30" s="379" t="str">
        <x:v>Custom positioning systems; robotic and automated handling equipment; welding and assembly systems; special-purpose production machinery; engineering, integration, factory acceptance testing and commissioning.</x:v>
      </x:c>
      <x:c r="S30" s="380" t="str">
        <x:v>integrated assembly/module</x:v>
      </x:c>
      <x:c r="T30" s="380" t="str">
        <x:v>partial</x:v>
      </x:c>
      <x:c r="U30" s="379" t="str">
        <x:v>APCO Technologies SA</x:v>
      </x:c>
      <x:c r="V30" s="379" t="str">
        <x:v>Privately held, family-owned APCO Technologies</x:v>
      </x:c>
      <x:c r="W30" s="379" t="str">
        <x:v>The operating entity is a Swiss engineering and manufacturing company. The most plausible shipbuilding role is delivery of shipyard production equipment or automation rather than equipment installed aboard a ship.</x:v>
      </x:c>
      <x:c r="X30" s="379" t="str">
        <x:v>Missing. No primary NAICS is resolved. The demonstrated activity is engineered industrial machinery, robotics and systems integration.</x:v>
      </x:c>
      <x:c r="Y30" s="379" t="str">
        <x:v>Foreign (Switzerland)</x:v>
      </x:c>
      <x:c r="Z30" s="392" t="str">
        <x:v>high</x:v>
      </x:c>
      <x:c r="AA30" s="393" t="str">
        <x:v>High confidence in products and ownership; only partial for onboard ship supply because public evidence supports ship-production equipment rather than a specific installed naval end item.</x:v>
      </x:c>
      <x:c r="AB30" s="393" t="str">
        <x:v>https://www.apco-technologies.eu/</x:v>
      </x:c>
      <x:c r="AC30" s="394" t="n">
        <x:f>COUNTIF(Source_Ledger!$B$4:$B$161,B30)</x:f>
        <x:v>1</x:v>
      </x:c>
    </x:row>
    <x:row r="31" ht="76" customHeight="1">
      <x:c r="A31" s="357" t="n">
        <x:v>27</x:v>
      </x:c>
      <x:c r="B31" s="358" t="str">
        <x:v>F42BKS7EHCL8</x:v>
      </x:c>
      <x:c r="C31" s="358" t="str">
        <x:v>EMS DEVELOPMENT CORPORATION</x:v>
      </x:c>
      <x:c r="D31" s="359" t="n">
        <x:v>100.779</x:v>
      </x:c>
      <x:c r="E31" s="359" t="n">
        <x:v>76.155</x:v>
      </x:c>
      <x:c r="F31" s="359" t="n">
        <x:v>24.625</x:v>
      </x:c>
      <x:c r="G31" s="360" t="n">
        <x:v>79</x:v>
      </x:c>
      <x:c r="H31" s="360" t="str">
        <x:v>51435</x:v>
      </x:c>
      <x:c r="I31" s="360" t="str">
        <x:v>334416</x:v>
      </x:c>
      <x:c r="J31" s="360" t="str">
        <x:v>Capacitor, Resistor, Coil, Transformer, and Other Inductor Manufacturing</x:v>
      </x:c>
      <x:c r="K31" s="358" t="str">
        <x:v>334118;334413;334416;334417;334418;334419;334515;334519;335311;335312;335313;335999;336611</x:v>
      </x:c>
      <x:c r="L31" s="358" t="str">
        <x:v>Manufacturer of Goods</x:v>
      </x:c>
      <x:c r="M31" s="358" t="str">
        <x:v>For Profit Organization;Business or Organization;Manufacturer of Goods</x:v>
      </x:c>
      <x:c r="N31" s="358" t="str">
        <x:v>ESCO TECHNOLOGIES INC.</x:v>
      </x:c>
      <x:c r="O31" s="358" t="str"/>
      <x:c r="P31" s="379" t="str">
        <x:v>EMS Development Corporation designs and manufactures naval magnetic-signature-management and power-management systems, including degaussing equipment, power electronics and magnetic components.</x:v>
      </x:c>
      <x:c r="Q31" s="380" t="str">
        <x:v>integrator/OEM</x:v>
      </x:c>
      <x:c r="R31" s="379" t="str">
        <x:v>Degaussing and magnetic-field countermeasure systems; power converters and amplifiers; transformers, inductors and magnetic components; controls and monitoring electronics for surface ships and submarines.</x:v>
      </x:c>
      <x:c r="S31" s="380" t="str">
        <x:v>integrated assembly/module</x:v>
      </x:c>
      <x:c r="T31" s="380" t="str">
        <x:v>yes</x:v>
      </x:c>
      <x:c r="U31" s="379" t="str">
        <x:v>ESCO Maritime Solutions / ESCO Technologies Inc.</x:v>
      </x:c>
      <x:c r="V31" s="379" t="str">
        <x:v>ESCO Technologies Inc. (public company)</x:v>
      </x:c>
      <x:c r="W31" s="379" t="str">
        <x:v>EMS was acquired from Ultra Maritime as part of ESCO’s Signature Management &amp; Power business on April 25, 2025. Older records naming Ultra Electronics are stale.</x:v>
      </x:c>
      <x:c r="X31" s="379" t="str">
        <x:v>Partially correct. NAICS 334416 captures transformers, inductors and related magnetics, but not the integrated degaussing, signature-management and power-electronics systems.</x:v>
      </x:c>
      <x:c r="Y31" s="379" t="str">
        <x:v>Domestic (U.S.)</x:v>
      </x:c>
      <x:c r="Z31" s="392" t="str">
        <x:v>high</x:v>
      </x:c>
      <x:c r="AA31" s="393" t="str">
        <x:v>Current parent is established by ESCO’s completed-acquisition release; products are corroborated by operating-entity and federal registration sources.</x:v>
      </x:c>
      <x:c r="AB31" s="393" t="str">
        <x:v>https://investor.escotechnologies.com/news-releases/news-release-details/esco-completes-acquisition-smp | https://www.highergov.com/awardee/ems-development-corporation-10119694/ | https://employer.circaworks.com/company/profile/EMS-Development-Corporation/6BF164B4A40A4E3CB377EFC0857DFA7F</x:v>
      </x:c>
      <x:c r="AC31" s="394" t="n">
        <x:f>COUNTIF(Source_Ledger!$B$4:$B$161,B31)</x:f>
        <x:v>3</x:v>
      </x:c>
    </x:row>
    <x:row r="32" ht="76" customHeight="1">
      <x:c r="A32" s="357" t="n">
        <x:v>28</x:v>
      </x:c>
      <x:c r="B32" s="358" t="str">
        <x:v>PAH8M4BJACA5</x:v>
      </x:c>
      <x:c r="C32" s="358" t="str">
        <x:v>TELEDYNE INSTRUMENTS, INC.</x:v>
      </x:c>
      <x:c r="D32" s="359" t="n">
        <x:v>97.089</x:v>
      </x:c>
      <x:c r="E32" s="359" t="n">
        <x:v>97.036</x:v>
      </x:c>
      <x:c r="F32" s="359" t="n">
        <x:v>0.053</x:v>
      </x:c>
      <x:c r="G32" s="360" t="n">
        <x:v>195</x:v>
      </x:c>
      <x:c r="H32" s="360" t="str">
        <x:v>17476</x:v>
      </x:c>
      <x:c r="I32" s="360" t="str">
        <x:v>334417</x:v>
      </x:c>
      <x:c r="J32" s="360" t="str">
        <x:v>Electronic Connector Manufacturing</x:v>
      </x:c>
      <x:c r="K32" s="358" t="str">
        <x:v>332710;332721;332813;333132;334417;335931</x:v>
      </x:c>
      <x:c r="L32" s="358" t="str">
        <x:v>Manufacturer of Goods</x:v>
      </x:c>
      <x:c r="M32" s="358" t="str">
        <x:v>For Profit Organization;Business or Organization;Manufacturer of Goods</x:v>
      </x:c>
      <x:c r="N32" s="358" t="str">
        <x:v>TELEDYNE INSTRUMENTS INC</x:v>
      </x:c>
      <x:c r="O32" s="358" t="str">
        <x:v>TELEDYNE TECHNOLOGIES INCORPORATED</x:v>
      </x:c>
      <x:c r="P32" s="379" t="str">
        <x:v>Teledyne Instruments’ Teledyne D.G. O’Brien operation manufactures submarine pressure-hull electrical, fiber-optic and radio-frequency penetrators, underwater connectors and molded cable assemblies.</x:v>
      </x:c>
      <x:c r="Q32" s="380" t="str">
        <x:v>manufacturer</x:v>
      </x:c>
      <x:c r="R32" s="379" t="str">
        <x:v>Pressure-hull penetrators; electrical, fiber-optic and RF penetrators; watertight and underwater connectors; molded cable assemblies; hull glands and feedthroughs.</x:v>
      </x:c>
      <x:c r="S32" s="380" t="str">
        <x:v>discrete component/equipment</x:v>
      </x:c>
      <x:c r="T32" s="380" t="str">
        <x:v>yes</x:v>
      </x:c>
      <x:c r="U32" s="379" t="str">
        <x:v>Teledyne Instruments, Inc. / Teledyne Marine</x:v>
      </x:c>
      <x:c r="V32" s="379" t="str">
        <x:v>Teledyne Technologies Incorporated (public company)</x:v>
      </x:c>
      <x:c r="W32" s="379" t="str">
        <x:v>CAGE 17476 is associated with Teledyne D.G. O’Brien, a specialized Teledyne Marine operation; it should not be profiled as the whole diversified Teledyne Instruments business.</x:v>
      </x:c>
      <x:c r="X32" s="379" t="str">
        <x:v>Correct. NAICS 334417 closely matches electronic connector manufacturing, though pressure-hull penetration assemblies are more specialized than the code suggests.</x:v>
      </x:c>
      <x:c r="Y32" s="379" t="str">
        <x:v>Domestic (U.S.)</x:v>
      </x:c>
      <x:c r="Z32" s="392" t="str">
        <x:v>high</x:v>
      </x:c>
      <x:c r="AA32" s="393" t="str">
        <x:v>Teledyne first-party product pages precisely identify the submarine components.</x:v>
      </x:c>
      <x:c r="AB32" s="393" t="str">
        <x:v>https://www.teledynemarine.com/brands/dgo | https://www.teledynemarine.com/brands/dgo/pressure-hull-penetrator | https://www.teledynemarine.com/dgo-products | https://www.lqlite.com/CAGE/17476/1</x:v>
      </x:c>
      <x:c r="AC32" s="394" t="n">
        <x:f>COUNTIF(Source_Ledger!$B$4:$B$161,B32)</x:f>
        <x:v>4</x:v>
      </x:c>
    </x:row>
    <x:row r="33" ht="76" customHeight="1">
      <x:c r="A33" s="357" t="n">
        <x:v>29</x:v>
      </x:c>
      <x:c r="B33" s="358" t="str">
        <x:v>F2LEAK3EK9R3</x:v>
      </x:c>
      <x:c r="C33" s="358" t="str">
        <x:v>THE GRAHAM CORPORATION</x:v>
      </x:c>
      <x:c r="D33" s="359" t="n">
        <x:v>89.12</x:v>
      </x:c>
      <x:c r="E33" s="359" t="n">
        <x:v>89.12</x:v>
      </x:c>
      <x:c r="F33" s="359" t="n">
        <x:v>0</x:v>
      </x:c>
      <x:c r="G33" s="360" t="n">
        <x:v>28</x:v>
      </x:c>
      <x:c r="H33" s="360" t="str">
        <x:v>1LCX3</x:v>
      </x:c>
      <x:c r="I33" s="360" t="str">
        <x:v>336611</x:v>
      </x:c>
      <x:c r="J33" s="360" t="str">
        <x:v>Ship Building and Repairing</x:v>
      </x:c>
      <x:c r="K33" s="358" t="str">
        <x:v>332410;333998;336611</x:v>
      </x:c>
      <x:c r="L33" s="358" t="str">
        <x:v>Manufacturer of Goods</x:v>
      </x:c>
      <x:c r="M33" s="358" t="str">
        <x:v>For Profit Organization;Business or Organization;Manufacturer of Goods</x:v>
      </x:c>
      <x:c r="N33" s="358" t="str"/>
      <x:c r="O33" s="358" t="str"/>
      <x:c r="P33" s="379" t="str">
        <x:v>Graham Corporation designs and manufactures custom heat-transfer, vacuum and fluid-management equipment for naval nuclear propulsion and power systems.</x:v>
      </x:c>
      <x:c r="Q33" s="380" t="str">
        <x:v>manufacturer</x:v>
      </x:c>
      <x:c r="R33" s="379" t="str">
        <x:v>Surface condensers and heat exchangers; steam-jet ejectors and vacuum systems; thermal/fluid-management skids; custom pumps and process equipment; engineering, fabrication and testing.</x:v>
      </x:c>
      <x:c r="S33" s="380" t="str">
        <x:v>discrete component/equipment</x:v>
      </x:c>
      <x:c r="T33" s="380" t="str">
        <x:v>yes</x:v>
      </x:c>
      <x:c r="U33" s="379" t="str">
        <x:v>Graham Corporation</x:v>
      </x:c>
      <x:c r="V33" s="379" t="str">
        <x:v>Graham Corporation (public company)</x:v>
      </x:c>
      <x:c r="W33" s="379" t="str">
        <x:v>The UEI represents the Batavia, New York operating company. Graham is a first-tier equipment maker, not a shipyard.</x:v>
      </x:c>
      <x:c r="X33" s="379" t="str">
        <x:v>Misleading. NAICS 336611 labels shipbuilding, but Graham supplies specialized thermal and fluid equipment; heat-exchanger and process-equipment manufacturing codes would be more descriptive.</x:v>
      </x:c>
      <x:c r="Y33" s="379" t="str">
        <x:v>Domestic (U.S.)</x:v>
      </x:c>
      <x:c r="Z33" s="392" t="str">
        <x:v>high</x:v>
      </x:c>
      <x:c r="AA33" s="393" t="str">
        <x:v>SEC filings and company releases directly describe naval nuclear products and deliveries.</x:v>
      </x:c>
      <x:c r="AB33" s="393" t="str">
        <x:v>https://ir.grahamcorp.com/sec-filings/all-sec-filings/content/0000950170-24-070222/ghm-20240331.htm | https://ir.grahamcorp.com/news-events/press-releases/detail/345/graham-corporation-ships-final-first-article-units-for-u-s | https://www.highergov.com/awardee/graham-corporation-10036571/</x:v>
      </x:c>
      <x:c r="AC33" s="394" t="n">
        <x:f>COUNTIF(Source_Ledger!$B$4:$B$161,B33)</x:f>
        <x:v>3</x:v>
      </x:c>
    </x:row>
    <x:row r="34" ht="76" customHeight="1">
      <x:c r="A34" s="357" t="n">
        <x:v>30</x:v>
      </x:c>
      <x:c r="B34" s="358" t="str">
        <x:v>QGB4RDYJNJT9</x:v>
      </x:c>
      <x:c r="C34" s="358" t="str">
        <x:v>ELLWOOD NATIONAL FORGE COMPANY</x:v>
      </x:c>
      <x:c r="D34" s="359" t="n">
        <x:v>88.145</x:v>
      </x:c>
      <x:c r="E34" s="359" t="n">
        <x:v>0.224</x:v>
      </x:c>
      <x:c r="F34" s="359" t="n">
        <x:v>87.921</x:v>
      </x:c>
      <x:c r="G34" s="360" t="n">
        <x:v>18</x:v>
      </x:c>
      <x:c r="H34" s="360" t="str">
        <x:v>3D8M1</x:v>
      </x:c>
      <x:c r="I34" s="360" t="str">
        <x:v>332111</x:v>
      </x:c>
      <x:c r="J34" s="360" t="str">
        <x:v>Iron and Steel Forging</x:v>
      </x:c>
      <x:c r="K34" s="358" t="str">
        <x:v>332111;332710;332811;332993;333611;333613;336413;336419;336611;336992;541715</x:v>
      </x:c>
      <x:c r="L34" s="358" t="str">
        <x:v>Manufacturer of Goods</x:v>
      </x:c>
      <x:c r="M34" s="358" t="str">
        <x:v>For Profit Organization;Business or Organization;Limited Liability Company;Manufacturer of Goods</x:v>
      </x:c>
      <x:c r="N34" s="358" t="str">
        <x:v>ELLWOOD GROUP, INC.</x:v>
      </x:c>
      <x:c r="O34" s="358" t="str"/>
      <x:c r="P34" s="379" t="str">
        <x:v>ELLWOOD National Forge produces large open-die forgings and finish-machined rotating components for defense shipbuilding, supplying shipyards, propulsion-system integrators and OEMs.</x:v>
      </x:c>
      <x:c r="Q34" s="380" t="str">
        <x:v>manufacturer</x:v>
      </x:c>
      <x:c r="R34" s="379" t="str">
        <x:v>Long high-ratio forged shafts and sleeves; rings and discs; high-speed rotating components; heat treatment, rough and finish machining, inspection and testing.</x:v>
      </x:c>
      <x:c r="S34" s="380" t="str">
        <x:v>material/semi-finished input</x:v>
      </x:c>
      <x:c r="T34" s="380" t="str">
        <x:v>yes</x:v>
      </x:c>
      <x:c r="U34" s="379" t="str">
        <x:v>ELLWOOD National Forge Company</x:v>
      </x:c>
      <x:c r="V34" s="379" t="str">
        <x:v>ELLWOOD Group Incorporated (privately held, family-owned)</x:v>
      </x:c>
      <x:c r="W34" s="379" t="str">
        <x:v>The UEI is the Irvine, Pennsylvania forging company within the ELLWOOD group. It supplies forged or finish-machined parts rather than integrated propulsion machinery.</x:v>
      </x:c>
      <x:c r="X34" s="379" t="str">
        <x:v>Correct. NAICS 332111 accurately describes the primary forging process; the company’s finish machining and defense-shipbuilding specialization add important context.</x:v>
      </x:c>
      <x:c r="Y34" s="379" t="str">
        <x:v>Domestic (U.S.)</x:v>
      </x:c>
      <x:c r="Z34" s="392" t="str">
        <x:v>high</x:v>
      </x:c>
      <x:c r="AA34" s="393" t="str">
        <x:v>ELLWOOD’s official shipbuilding page explicitly describes mission-critical defense ship components and finish-machined rotating parts.</x:v>
      </x:c>
      <x:c r="AB34" s="393" t="str">
        <x:v>https://www.ellwoodnationalforge.com/markets-served/shipbuilding/ | https://www.ellwoodnationalforge.com/capabilities/forging/</x:v>
      </x:c>
      <x:c r="AC34" s="394" t="n">
        <x:f>COUNTIF(Source_Ledger!$B$4:$B$161,B34)</x:f>
        <x:v>2</x:v>
      </x:c>
    </x:row>
    <x:row r="35" ht="76" customHeight="1">
      <x:c r="A35" s="357" t="n">
        <x:v>31</x:v>
      </x:c>
      <x:c r="B35" s="358" t="str">
        <x:v>RG6LJJM6JBS3</x:v>
      </x:c>
      <x:c r="C35" s="358" t="str">
        <x:v>AUSTAL USA, LLC</x:v>
      </x:c>
      <x:c r="D35" s="359" t="n">
        <x:v>87.555</x:v>
      </x:c>
      <x:c r="E35" s="359" t="n">
        <x:v>87.555</x:v>
      </x:c>
      <x:c r="F35" s="359" t="n">
        <x:v>0</x:v>
      </x:c>
      <x:c r="G35" s="360" t="n">
        <x:v>24</x:v>
      </x:c>
      <x:c r="H35" s="360" t="str">
        <x:v>1T3Z4</x:v>
      </x:c>
      <x:c r="I35" s="360" t="str">
        <x:v>336611</x:v>
      </x:c>
      <x:c r="J35" s="360" t="str">
        <x:v>Ship Building and Repairing</x:v>
      </x:c>
      <x:c r="K35" s="358" t="str">
        <x:v>336611;541330;811210;811310</x:v>
      </x:c>
      <x:c r="L35" s="358" t="str">
        <x:v>Manufacturer of Goods</x:v>
      </x:c>
      <x:c r="M35" s="358" t="str">
        <x:v>Foreign Owned;For Profit Organization;Business or Organization;Manufacturer of Goods</x:v>
      </x:c>
      <x:c r="N35" s="358" t="str">
        <x:v>AUSTAL HOLDINGS, INC.</x:v>
      </x:c>
      <x:c r="O35" s="358" t="str">
        <x:v>AUSTAL LIMITED</x:v>
      </x:c>
      <x:c r="P35" s="379" t="str">
        <x:v>Austal USA fabricates, outfits and integrates modular command, control and payload structures for U.S. nuclear submarines in addition to its broader shipbuilding work.</x:v>
      </x:c>
      <x:c r="Q35" s="380" t="str">
        <x:v>integrator/OEM</x:v>
      </x:c>
      <x:c r="R35" s="379" t="str">
        <x:v>Virginia-class Command and Control Systems Modules; Electronic Deck Modules; Columbia-class Outboard Payload Deck modules; structural fabrication, outfitting, assembly and test.</x:v>
      </x:c>
      <x:c r="S35" s="380" t="str">
        <x:v>integrated assembly/module</x:v>
      </x:c>
      <x:c r="T35" s="380" t="str">
        <x:v>yes</x:v>
      </x:c>
      <x:c r="U35" s="379" t="str">
        <x:v>Austal Holdings, Inc.</x:v>
      </x:c>
      <x:c r="V35" s="379" t="str">
        <x:v>Austal Limited (Australia; public company)</x:v>
      </x:c>
      <x:c r="W35" s="379" t="str">
        <x:v>The Mobile, Alabama operating company is a U.S. shipbuilder and module supplier within Australian parent Austal Limited.</x:v>
      </x:c>
      <x:c r="X35" s="379" t="str">
        <x:v>Correct. NAICS 336611 accurately reflects shipbuilding and major-module construction.</x:v>
      </x:c>
      <x:c r="Y35" s="379" t="str">
        <x:v>Domestic U.S. operating entity; foreign-owned (Australia)</x:v>
      </x:c>
      <x:c r="Z35" s="392" t="str">
        <x:v>high</x:v>
      </x:c>
      <x:c r="AA35" s="393" t="str">
        <x:v>Austal USA’s official submarine page identifies the specific modules and programs.</x:v>
      </x:c>
      <x:c r="AB35" s="393" t="str">
        <x:v>https://www.austalusa.com/submarines | https://www.austalusa.com/who-we-are | https://www.austalusa.com/</x:v>
      </x:c>
      <x:c r="AC35" s="394" t="n">
        <x:f>COUNTIF(Source_Ledger!$B$4:$B$161,B35)</x:f>
        <x:v>3</x:v>
      </x:c>
    </x:row>
    <x:row r="36" ht="76" customHeight="1">
      <x:c r="A36" s="357" t="n">
        <x:v>32</x:v>
      </x:c>
      <x:c r="B36" s="358" t="str">
        <x:v>XQW8RJNNAXX8</x:v>
      </x:c>
      <x:c r="C36" s="358" t="str">
        <x:v>W INTERNATIONAL, LLC</x:v>
      </x:c>
      <x:c r="D36" s="359" t="n">
        <x:v>85.673</x:v>
      </x:c>
      <x:c r="E36" s="359" t="n">
        <x:v>85.673</x:v>
      </x:c>
      <x:c r="F36" s="359" t="n">
        <x:v>0</x:v>
      </x:c>
      <x:c r="G36" s="360" t="n">
        <x:v>106</x:v>
      </x:c>
      <x:c r="H36" s="360" t="str">
        <x:v>6UJS1</x:v>
      </x:c>
      <x:c r="I36" s="360" t="str">
        <x:v>336992</x:v>
      </x:c>
      <x:c r="J36" s="360" t="str">
        <x:v>Military Armored Vehicle, Tank, and Tank Component Manufacturing</x:v>
      </x:c>
      <x:c r="K36" s="358" t="str">
        <x:v>332312;332313;332420;336992</x:v>
      </x:c>
      <x:c r="L36" s="358" t="str">
        <x:v>Manufacturer of Goods</x:v>
      </x:c>
      <x:c r="M36" s="358" t="str">
        <x:v>Self Certified Small Disadvantaged Business;For Profit Organization;Business or Organization;Limited Liability Company;Manufacturer of Goods</x:v>
      </x:c>
      <x:c r="N36" s="358" t="str"/>
      <x:c r="O36" s="358" t="str"/>
      <x:c r="P36" s="379" t="str">
        <x:v>W International, LLC was the legacy corporate/operating entity for large-scale naval metal fabrication and module assembly associated with the Goose Creek, South Carolina complex. Huntington Ingalls acquired substantially all operating assets of related W International SC and Vivid Empire businesses in January 2025.</x:v>
      </x:c>
      <x:c r="Q36" s="380" t="str">
        <x:v>manufacturer</x:v>
      </x:c>
      <x:c r="R36" s="379" t="str">
        <x:v>Complex steel structures and ship modules; heavy plate cutting, forming, machining and welding; large assembly and outfitting for naval shipbuilding.</x:v>
      </x:c>
      <x:c r="S36" s="380" t="str">
        <x:v>integrated assembly/module</x:v>
      </x:c>
      <x:c r="T36" s="380" t="str">
        <x:v>yes</x:v>
      </x:c>
      <x:c r="U36" s="379" t="str">
        <x:v>Legacy W International, LLC; operating assets largely transitioned to HII/Newport News Shipbuilding–Charleston Operations</x:v>
      </x:c>
      <x:c r="V36" s="379" t="str">
        <x:v>Legacy private ownership not verified; acquired operating assets are owned by Huntington Ingalls Industries, Inc.</x:v>
      </x:c>
      <x:c r="W36" s="379" t="str">
        <x:v>This UEI is not automatically treated as an HII subsidiary. The available SEC disclosure describes an asset acquisition, not acquisition of every legacy legal entity; later legal reporting still names W International, LLC separately.</x:v>
      </x:c>
      <x:c r="X36" s="379" t="str">
        <x:v>Misleading. NAICS 336992 concerns military armored vehicles and tank components, not naval structural fabrication or ship modules.</x:v>
      </x:c>
      <x:c r="Y36" s="379" t="str">
        <x:v>Domestic (U.S.)</x:v>
      </x:c>
      <x:c r="Z36" s="392" t="str">
        <x:v>medium</x:v>
      </x:c>
      <x:c r="AA36" s="393" t="str">
        <x:v>High confidence in historical operating activity and asset transfer; lower confidence in the continuing legal status, ownership and present contracting use of this exact UEI.</x:v>
      </x:c>
      <x:c r="AB36" s="393" t="str">
        <x:v>https://www.sec.gov/Archives/edgar/data/1501585/000150158525000006/hii-20241231.htm | https://hii.com/news/hii-increases-throughput-expands-industrial-base-through-distributed-shipbuilding | https://abcnews4.com/news/local/sc-based-w-international-llc-at-center-of-105m-federal-overcharging-settlement-law-lawsuit-metal-company-charleston-south-carolina-ncis-fbi-doj-ceo-news-court | https://govtribe.com/vendors/w-international-llc-6ujs1</x:v>
      </x:c>
      <x:c r="AC36" s="394" t="n">
        <x:f>COUNTIF(Source_Ledger!$B$4:$B$161,B36)</x:f>
        <x:v>4</x:v>
      </x:c>
    </x:row>
    <x:row r="37" ht="76" customHeight="1">
      <x:c r="A37" s="357" t="n">
        <x:v>33</x:v>
      </x:c>
      <x:c r="B37" s="358" t="str">
        <x:v>DJG7NEG7QRK5</x:v>
      </x:c>
      <x:c r="C37" s="358" t="str">
        <x:v>HUNT VALVE COMPANY, INC.</x:v>
      </x:c>
      <x:c r="D37" s="359" t="n">
        <x:v>85.233</x:v>
      </x:c>
      <x:c r="E37" s="359" t="n">
        <x:v>83.652</x:v>
      </x:c>
      <x:c r="F37" s="359" t="n">
        <x:v>1.582</x:v>
      </x:c>
      <x:c r="G37" s="360" t="n">
        <x:v>296</x:v>
      </x:c>
      <x:c r="H37" s="360" t="str">
        <x:v>11859</x:v>
      </x:c>
      <x:c r="I37" s="360" t="str">
        <x:v>332911</x:v>
      </x:c>
      <x:c r="J37" s="360" t="str">
        <x:v>Industrial Valve Manufacturing</x:v>
      </x:c>
      <x:c r="K37" s="358" t="str">
        <x:v>332911</x:v>
      </x:c>
      <x:c r="L37" s="358" t="str">
        <x:v>Manufacturer of Goods</x:v>
      </x:c>
      <x:c r="M37" s="358" t="str">
        <x:v>For Profit Organization;Business or Organization;Limited Liability Company;Manufacturer of Goods</x:v>
      </x:c>
      <x:c r="N37" s="358" t="str">
        <x:v>FAIRBANKS MORSE, LLC</x:v>
      </x:c>
      <x:c r="O37" s="358" t="str">
        <x:v>ARCLINE CAPITAL PARTNERS UGP LLC</x:v>
      </x:c>
      <x:c r="P37" s="379" t="str">
        <x:v>Hunt Valve manufactures severe-duty Navy valves and electromechanical valve actuators for submarine and surface-ship fluid systems.</x:v>
      </x:c>
      <x:c r="Q37" s="380" t="str">
        <x:v>manufacturer</x:v>
      </x:c>
      <x:c r="R37" s="379" t="str">
        <x:v>Ball, gate, globe and check valves; high-pressure and severe-duty naval valves; electromechanical actuators; valve-actuator assemblies; repair and lifecycle support.</x:v>
      </x:c>
      <x:c r="S37" s="380" t="str">
        <x:v>discrete component/equipment</x:v>
      </x:c>
      <x:c r="T37" s="380" t="str">
        <x:v>yes</x:v>
      </x:c>
      <x:c r="U37" s="379" t="str">
        <x:v>Fairbanks Morse Defense</x:v>
      </x:c>
      <x:c r="V37" s="379" t="str">
        <x:v>Arcline Investment Management–backed funds</x:v>
      </x:c>
      <x:c r="W37" s="379" t="str">
        <x:v>Hunt Valve is an operating company/brand within Fairbanks Morse Defense. FMD acquired Hunt Valve in 2021.</x:v>
      </x:c>
      <x:c r="X37" s="379" t="str">
        <x:v>Correct. NAICS 332911 accurately describes industrial-valve manufacturing.</x:v>
      </x:c>
      <x:c r="Y37" s="379" t="str">
        <x:v>Domestic (U.S.)</x:v>
      </x:c>
      <x:c r="Z37" s="392" t="str">
        <x:v>high</x:v>
      </x:c>
      <x:c r="AA37" s="393" t="str">
        <x:v>Fairbanks Morse Defense directly documents ownership, products and Virginia-/Columbia-class orders.</x:v>
      </x:c>
      <x:c r="AB37" s="393" t="str">
        <x:v>https://www.fairbanksmorsedefense.com/solutions/valves/ | https://www.fairbanksmorsedefense.com/blog/fairbanks-morse-defenses-hunt-valve-awarded-96-million-in-pos-to-deliver-essential-valves-for-virginia-and-columbia-class-submarine-programs/ | https://www.fairbanksmorsedefense.com/blog/fairbanks-morse-defense-acquires-hunt-valve-company-inc-1/</x:v>
      </x:c>
      <x:c r="AC37" s="394" t="n">
        <x:f>COUNTIF(Source_Ledger!$B$4:$B$161,B37)</x:f>
        <x:v>3</x:v>
      </x:c>
    </x:row>
    <x:row r="38" ht="76" customHeight="1">
      <x:c r="A38" s="357" t="n">
        <x:v>34</x:v>
      </x:c>
      <x:c r="B38" s="358" t="str">
        <x:v>LSMBJZFLN8L9</x:v>
      </x:c>
      <x:c r="C38" s="358" t="str">
        <x:v>ROSYTH ROYAL DOCKYARD LIMITED</x:v>
      </x:c>
      <x:c r="D38" s="359" t="n">
        <x:v>83.982</x:v>
      </x:c>
      <x:c r="E38" s="359" t="n">
        <x:v>83.982</x:v>
      </x:c>
      <x:c r="F38" s="359" t="n">
        <x:v>0</x:v>
      </x:c>
      <x:c r="G38" s="360" t="n">
        <x:v>5</x:v>
      </x:c>
      <x:c r="H38" s="360" t="str">
        <x:v>U1VL1</x:v>
      </x:c>
      <x:c r="I38" s="360" t="str">
        <x:v>336611</x:v>
      </x:c>
      <x:c r="J38" s="360" t="str">
        <x:v>Ship Building and Repairing</x:v>
      </x:c>
      <x:c r="K38" s="358" t="str">
        <x:v>332312;336611;541330</x:v>
      </x:c>
      <x:c r="L38" s="358" t="str">
        <x:v>Foreign Owned</x:v>
      </x:c>
      <x:c r="M38" s="358" t="str">
        <x:v>Foreign Owned;For Profit Organization;Business or Organization</x:v>
      </x:c>
      <x:c r="N38" s="358" t="str">
        <x:v>BABCOCK MARINE (ROSYTH) LIMITED</x:v>
      </x:c>
      <x:c r="O38" s="358" t="str">
        <x:v>BABCOCK INTERNATIONAL GROUP PLC</x:v>
      </x:c>
      <x:c r="P38" s="379" t="str">
        <x:v>Rosyth Royal Dockyard Limited operates within Babcock’s Rosyth shipyard enterprise, performing heavy naval fabrication, assembly and integration, including Common Missile Compartment tactical missile-tube assemblies.</x:v>
      </x:c>
      <x:c r="Q38" s="380" t="str">
        <x:v>integrator/OEM</x:v>
      </x:c>
      <x:c r="R38" s="379" t="str">
        <x:v>Submarine missile-tube assemblies; large complex naval structures; shipyard fabrication, welding, machining, assembly, integration, inspection and test.</x:v>
      </x:c>
      <x:c r="S38" s="380" t="str">
        <x:v>integrated assembly/module</x:v>
      </x:c>
      <x:c r="T38" s="380" t="str">
        <x:v>yes</x:v>
      </x:c>
      <x:c r="U38" s="379" t="str">
        <x:v>Babcock Marine (Rosyth) Limited</x:v>
      </x:c>
      <x:c r="V38" s="379" t="str">
        <x:v>Babcock International Group plc (United Kingdom; public company)</x:v>
      </x:c>
      <x:c r="W38" s="379" t="str">
        <x:v>This is a separate legal UEI from Babcock Marine (Rosyth) Limited at rank 11, but both are part of the same Rosyth operating complex. Public product reporting is generally at Babcock/Rosyth group level.</x:v>
      </x:c>
      <x:c r="X38" s="379" t="str">
        <x:v>Correct. NAICS 336611 broadly matches the shipyard and major naval-module manufacturing activity.</x:v>
      </x:c>
      <x:c r="Y38" s="379" t="str">
        <x:v>Foreign (United Kingdom)</x:v>
      </x:c>
      <x:c r="Z38" s="392" t="str">
        <x:v>high</x:v>
      </x:c>
      <x:c r="AA38" s="393" t="str">
        <x:v>Ownership is explicit in the file and federal entity data; Babcock’s group-level contract release supports the missile-tube work.</x:v>
      </x:c>
      <x:c r="AB38" s="393" t="str">
        <x:v>https://www.babcockinternational.com/news/babcock-awarded-multimillion-pound-missile-tube-contract-extension-by-electric-boat/ | https://www.highergov.com/awardee/rosyth-royal-dockyard-limited-205374282/</x:v>
      </x:c>
      <x:c r="AC38" s="394" t="n">
        <x:f>COUNTIF(Source_Ledger!$B$4:$B$161,B38)</x:f>
        <x:v>2</x:v>
      </x:c>
    </x:row>
    <x:row r="39" ht="76" customHeight="1">
      <x:c r="A39" s="357" t="n">
        <x:v>35</x:v>
      </x:c>
      <x:c r="B39" s="358" t="str">
        <x:v>CFXRGJSB9UB6</x:v>
      </x:c>
      <x:c r="C39" s="358" t="str">
        <x:v>SPD ELECTRICAL SYSTEMS, INC</x:v>
      </x:c>
      <x:c r="D39" s="359" t="n">
        <x:v>82.396</x:v>
      </x:c>
      <x:c r="E39" s="359" t="n">
        <x:v>44.419</x:v>
      </x:c>
      <x:c r="F39" s="359" t="n">
        <x:v>37.977</x:v>
      </x:c>
      <x:c r="G39" s="360" t="n">
        <x:v>39</x:v>
      </x:c>
      <x:c r="H39" s="360" t="str">
        <x:v>30086</x:v>
      </x:c>
      <x:c r="I39" s="360" t="str">
        <x:v>335313</x:v>
      </x:c>
      <x:c r="J39" s="360" t="str">
        <x:v>Switchgear and Switchboard Apparatus Manufacturing</x:v>
      </x:c>
      <x:c r="K39" s="358" t="str">
        <x:v>335313</x:v>
      </x:c>
      <x:c r="L39" s="358" t="str">
        <x:v>Manufacturer of Goods</x:v>
      </x:c>
      <x:c r="M39" s="358" t="str">
        <x:v>For Profit Organization;Business or Organization;Manufacturer of Goods</x:v>
      </x:c>
      <x:c r="N39" s="358" t="str">
        <x:v>L3HARRIS MARITIME POWER &amp; ENERGY SOLUTIONS, INC</x:v>
      </x:c>
      <x:c r="O39" s="358" t="str">
        <x:v>L3HARRIS TECHNOLOGIES, INC</x:v>
      </x:c>
      <x:c r="P39" s="379" t="str">
        <x:v>SPD Electrical Systems, now operated as L3Harris Maritime Power &amp; Energy Solutions, manufactures Navy-qualified shipboard circuit breakers and associated power-distribution hardware.</x:v>
      </x:c>
      <x:c r="Q39" s="380" t="str">
        <x:v>manufacturer</x:v>
      </x:c>
      <x:c r="R39" s="379" t="str">
        <x:v>Low- and medium-voltage shipboard circuit breakers; breaker assemblies and replacement/racking parts; switchgear components; protection and power-distribution hardware.</x:v>
      </x:c>
      <x:c r="S39" s="380" t="str">
        <x:v>discrete component/equipment</x:v>
      </x:c>
      <x:c r="T39" s="380" t="str">
        <x:v>yes</x:v>
      </x:c>
      <x:c r="U39" s="379" t="str">
        <x:v>L3Harris Maritime Power &amp; Energy Solutions, Inc.</x:v>
      </x:c>
      <x:c r="V39" s="379" t="str">
        <x:v>L3Harris Technologies, Inc. (public company)</x:v>
      </x:c>
      <x:c r="W39" s="379" t="str">
        <x:v>The file uses the legacy SPD Electrical Systems name. Current federal records identify L3Harris Maritime Power &amp; Energy Solutions, Inc. doing business as SPD under the same CAGE context.</x:v>
      </x:c>
      <x:c r="X39" s="379" t="str">
        <x:v>Correct. NAICS 335313 is a good match for switchgear and switchboard-apparatus manufacturing.</x:v>
      </x:c>
      <x:c r="Y39" s="379" t="str">
        <x:v>Domestic (U.S.)</x:v>
      </x:c>
      <x:c r="Z39" s="392" t="str">
        <x:v>high</x:v>
      </x:c>
      <x:c r="AA39" s="393" t="str">
        <x:v>Current legal/DBA identity and OEM circuit-breaker products are corroborated by federal records.</x:v>
      </x:c>
      <x:c r="AB39" s="393" t="str">
        <x:v>https://www.highergov.com/awardee/l3harris-maritime-power-energy-solutions-inc-10107022/ | https://govtribe.com/vendors/spd-electrical-systems-inc-dot-30086 | https://govtribe.com/opportunity/federal-contract-opportunity/brand-name-oem-l3-harris-maritime-power-energy-dba-spd-electrical-systems-circuit-breaker-racking-parts-n0040626q0195</x:v>
      </x:c>
      <x:c r="AC39" s="394" t="n">
        <x:f>COUNTIF(Source_Ledger!$B$4:$B$161,B39)</x:f>
        <x:v>3</x:v>
      </x:c>
    </x:row>
    <x:row r="40" ht="76" customHeight="1">
      <x:c r="A40" s="357" t="n">
        <x:v>36</x:v>
      </x:c>
      <x:c r="B40" s="358" t="str">
        <x:v>Y6X3BDLEPNJ6</x:v>
      </x:c>
      <x:c r="C40" s="358" t="str">
        <x:v>W INTERNATIONAL SC, LLC</x:v>
      </x:c>
      <x:c r="D40" s="359" t="n">
        <x:v>74.5</x:v>
      </x:c>
      <x:c r="E40" s="359" t="n">
        <x:v>74.5</x:v>
      </x:c>
      <x:c r="F40" s="359" t="n">
        <x:v>0</x:v>
      </x:c>
      <x:c r="G40" s="360" t="n">
        <x:v>33</x:v>
      </x:c>
      <x:c r="H40" s="360" t="str">
        <x:v>88ML5</x:v>
      </x:c>
      <x:c r="I40" s="360" t="str">
        <x:v>336611</x:v>
      </x:c>
      <x:c r="J40" s="360" t="str">
        <x:v>Ship Building and Repairing</x:v>
      </x:c>
      <x:c r="K40" s="358" t="str">
        <x:v>332312;332313;332322;332999;333514;336413;336414;336415;336419;336611;336992;541330</x:v>
      </x:c>
      <x:c r="L40" s="358" t="str">
        <x:v>Manufacturer of Goods</x:v>
      </x:c>
      <x:c r="M40" s="358" t="str">
        <x:v>For Profit Organization;Business or Organization;Limited Liability Company;Manufacturer of Goods</x:v>
      </x:c>
      <x:c r="N40" s="358" t="str"/>
      <x:c r="O40" s="358" t="str"/>
      <x:c r="P40" s="379" t="str">
        <x:v>W International SC, LLC operated the Goose Creek, South Carolina advanced-fabrication facility that produced large naval ship structures and modules. Huntington Ingalls acquired substantially all of its operating assets in January 2025, and the site now operates as Newport News Shipbuilding–Charleston Operations.</x:v>
      </x:c>
      <x:c r="Q40" s="380" t="str">
        <x:v>manufacturer</x:v>
      </x:c>
      <x:c r="R40" s="379" t="str">
        <x:v>Large shipbuilding structures and modules; heavy plate fabrication; cutting, forming, machining, welding, assembly and outfitting.</x:v>
      </x:c>
      <x:c r="S40" s="380" t="str">
        <x:v>integrated assembly/module</x:v>
      </x:c>
      <x:c r="T40" s="380" t="str">
        <x:v>yes</x:v>
      </x:c>
      <x:c r="U40" s="379" t="str">
        <x:v>Legacy parent W International, LLC; operating assets now within HII/Newport News Shipbuilding–Charleston Operations</x:v>
      </x:c>
      <x:c r="V40" s="379" t="str">
        <x:v>Legacy legal ownership not fully verified; acquired operating assets are owned by Huntington Ingalls Industries, Inc.</x:v>
      </x:c>
      <x:c r="W40" s="379" t="str">
        <x:v>The transaction was an asset acquisition. The legacy UEI may not represent the current HII operating registration, so historical subaward attribution and present outreach identity should be kept separate.</x:v>
      </x:c>
      <x:c r="X40" s="379" t="str">
        <x:v>Correct for historical operations. NAICS 336611 fits the facility’s naval module and ship-structure manufacturing, though the entity was not a complete-ship prime.</x:v>
      </x:c>
      <x:c r="Y40" s="379" t="str">
        <x:v>Domestic (U.S.)</x:v>
      </x:c>
      <x:c r="Z40" s="392" t="str">
        <x:v>medium</x:v>
      </x:c>
      <x:c r="AA40" s="393" t="str">
        <x:v>High confidence in historical work and current facility operator; medium confidence in the continuing legal status and ownership of the exact legacy LLC/UEI.</x:v>
      </x:c>
      <x:c r="AB40" s="393" t="str">
        <x:v>https://www.sec.gov/Archives/edgar/data/1501585/000150158525000006/hii-20241231.htm | https://hii.com/news/hii-increases-throughput-expands-industrial-base-through-distributed-shipbuilding | https://hii.com/leadership/matt-needy | https://abcnews4.com/news/local/sc-based-w-international-llc-at-center-of-105m-federal-overcharging-settlement-law-lawsuit-metal-company-charleston-south-carolina-ncis-fbi-doj-ceo-news-court</x:v>
      </x:c>
      <x:c r="AC40" s="394" t="n">
        <x:f>COUNTIF(Source_Ledger!$B$4:$B$161,B40)</x:f>
        <x:v>4</x:v>
      </x:c>
    </x:row>
    <x:row r="41" ht="76" customHeight="1">
      <x:c r="A41" s="357" t="n">
        <x:v>37</x:v>
      </x:c>
      <x:c r="B41" s="358" t="str">
        <x:v>VJMTKNLENX24</x:v>
      </x:c>
      <x:c r="C41" s="358" t="str">
        <x:v>ENGINEERED COIL COMPANY</x:v>
      </x:c>
      <x:c r="D41" s="359" t="n">
        <x:v>73.741</x:v>
      </x:c>
      <x:c r="E41" s="359" t="n">
        <x:v>0.489</x:v>
      </x:c>
      <x:c r="F41" s="359" t="n">
        <x:v>73.252</x:v>
      </x:c>
      <x:c r="G41" s="360" t="n">
        <x:v>147</x:v>
      </x:c>
      <x:c r="H41" s="360" t="str">
        <x:v>38450</x:v>
      </x:c>
      <x:c r="I41" s="360" t="str">
        <x:v>333415</x:v>
      </x:c>
      <x:c r="J41" s="360" t="str">
        <x:v>Air-Conditioning and Warm Air Heating Equipment and Commercial and Industrial Refrigeration Equipment Manufacturing</x:v>
      </x:c>
      <x:c r="K41" s="358" t="str">
        <x:v>333414;333415</x:v>
      </x:c>
      <x:c r="L41" s="358" t="str">
        <x:v>Manufacturer of Goods</x:v>
      </x:c>
      <x:c r="M41" s="358" t="str">
        <x:v>For Profit Organization;Business or Organization;Manufacturer of Goods</x:v>
      </x:c>
      <x:c r="N41" s="358" t="str">
        <x:v>LEONARDO DRS, INC.</x:v>
      </x:c>
      <x:c r="O41" s="358" t="str"/>
      <x:c r="P41" s="379" t="str">
        <x:v>Engineered Coil Company, operating as Leonardo DRS Marlo Coil/Marlo Heat Transfer Solutions in High Ridge, Missouri, manufactures Navy-qualified heat-transfer and HVAC components.</x:v>
      </x:c>
      <x:c r="Q41" s="380" t="str">
        <x:v>manufacturer</x:v>
      </x:c>
      <x:c r="R41" s="379" t="str">
        <x:v>Heating and cooling coils; fan-coil units and assemblies; condensers and evaporators; refrigeration and air-handling heat exchangers; custom Navy and marine coils.</x:v>
      </x:c>
      <x:c r="S41" s="380" t="str">
        <x:v>discrete component/equipment</x:v>
      </x:c>
      <x:c r="T41" s="380" t="str">
        <x:v>yes</x:v>
      </x:c>
      <x:c r="U41" s="379" t="str">
        <x:v>Leonardo DRS, Inc.</x:v>
      </x:c>
      <x:c r="V41" s="379" t="str">
        <x:v>Leonardo S.p.A. (Italy; public company)</x:v>
      </x:c>
      <x:c r="W41" s="379" t="str">
        <x:v>The legal entity is Engineered Coil Company; the public operating brand is Marlo Coil/Marlo Heat Transfer Solutions within Leonardo DRS Naval Power Systems.</x:v>
      </x:c>
      <x:c r="X41" s="379" t="str">
        <x:v>Correct. NAICS 333415 accurately describes the HVAC and refrigeration-equipment manufacturing activity.</x:v>
      </x:c>
      <x:c r="Y41" s="379" t="str">
        <x:v>Domestic U.S. operating entity; foreign-owned (Italy)</x:v>
      </x:c>
      <x:c r="Z41" s="392" t="str">
        <x:v>high</x:v>
      </x:c>
      <x:c r="AA41" s="393" t="str">
        <x:v>Leonardo DRS first-party pages identify the exact site and Navy coil products.</x:v>
      </x:c>
      <x:c r="AB41" s="393" t="str">
        <x:v>https://www.leonardodrs.com/what-we-do/products-and-services/navy-and-marine-coils/ | https://www.leonardodrs.com/locations/naval-power-systems-marlo-heat-transfer-solutions-high-ridge-mo/ | https://www.lqlite.com/LQ_CAGE.aspx?CAGE=38450&amp;page=2</x:v>
      </x:c>
      <x:c r="AC41" s="394" t="n">
        <x:f>COUNTIF(Source_Ledger!$B$4:$B$161,B41)</x:f>
        <x:v>3</x:v>
      </x:c>
    </x:row>
    <x:row r="42" ht="76" customHeight="1">
      <x:c r="A42" s="357" t="n">
        <x:v>38</x:v>
      </x:c>
      <x:c r="B42" s="358" t="str">
        <x:v>Q35JL9GFCAK3</x:v>
      </x:c>
      <x:c r="C42" s="358" t="str">
        <x:v>MAROTTA CONTROLS, INC.</x:v>
      </x:c>
      <x:c r="D42" s="359" t="n">
        <x:v>72.847</x:v>
      </x:c>
      <x:c r="E42" s="359" t="n">
        <x:v>52.938</x:v>
      </x:c>
      <x:c r="F42" s="359" t="n">
        <x:v>19.909</x:v>
      </x:c>
      <x:c r="G42" s="360" t="n">
        <x:v>220</x:v>
      </x:c>
      <x:c r="H42" s="360" t="str">
        <x:v>99657</x:v>
      </x:c>
      <x:c r="I42" s="360" t="str">
        <x:v>332912</x:v>
      </x:c>
      <x:c r="J42" s="360" t="str">
        <x:v>Fluid Power Valve and Hose Fitting Manufacturing</x:v>
      </x:c>
      <x:c r="K42" s="358" t="str">
        <x:v>332911;332912;332919;332999;334513;336412;336413;336415;336419;336999</x:v>
      </x:c>
      <x:c r="L42" s="358" t="str">
        <x:v>Manufacturer of Goods</x:v>
      </x:c>
      <x:c r="M42" s="358" t="str">
        <x:v>For Profit Organization;Business or Organization;Manufacturer of Goods</x:v>
      </x:c>
      <x:c r="N42" s="358" t="str"/>
      <x:c r="O42" s="358" t="str"/>
      <x:c r="P42" s="379" t="str">
        <x:v>Marotta Controls designs and manufactures high-reliability shipboard valves, manifolds and flow-control systems for submarine and surface-ship pneumatic and fluid systems.</x:v>
      </x:c>
      <x:c r="Q42" s="380" t="str">
        <x:v>manufacturer</x:v>
      </x:c>
      <x:c r="R42" s="379" t="str">
        <x:v>High- and low-pressure valves; manifold assemblies; quieting manifold technology; pneumatic and hydraulic flow controls; custom shipboard controls and qualification testing.</x:v>
      </x:c>
      <x:c r="S42" s="380" t="str">
        <x:v>discrete component/equipment</x:v>
      </x:c>
      <x:c r="T42" s="380" t="str">
        <x:v>yes</x:v>
      </x:c>
      <x:c r="U42" s="379" t="str">
        <x:v>Marotta Controls, Inc.</x:v>
      </x:c>
      <x:c r="V42" s="379" t="str">
        <x:v>Privately held Marotta Controls, Inc.</x:v>
      </x:c>
      <x:c r="W42" s="379" t="str">
        <x:v>The UEI represents the Montville, New Jersey operating company; no larger corporate parent was verified.</x:v>
      </x:c>
      <x:c r="X42" s="379" t="str">
        <x:v>Correct. NAICS 332912 is a good match for fluid-power valves and fittings, though Marotta also integrates complete manifolds and controls.</x:v>
      </x:c>
      <x:c r="Y42" s="379" t="str">
        <x:v>Domestic (U.S.)</x:v>
      </x:c>
      <x:c r="Z42" s="392" t="str">
        <x:v>high</x:v>
      </x:c>
      <x:c r="AA42" s="393" t="str">
        <x:v>Marotta first-party pages directly document naval markets and shipboard flow-control products.</x:v>
      </x:c>
      <x:c r="AB42" s="393" t="str">
        <x:v>https://marotta.com/about/ | https://marotta.com/markets/naval/ | https://marotta.com/products/flow-controls/shipboard-controls/</x:v>
      </x:c>
      <x:c r="AC42" s="394" t="n">
        <x:f>COUNTIF(Source_Ledger!$B$4:$B$161,B42)</x:f>
        <x:v>3</x:v>
      </x:c>
    </x:row>
    <x:row r="43" ht="76" customHeight="1">
      <x:c r="A43" s="357" t="n">
        <x:v>39</x:v>
      </x:c>
      <x:c r="B43" s="358" t="str">
        <x:v>Z89SS59265U9</x:v>
      </x:c>
      <x:c r="C43" s="358" t="str">
        <x:v>ESPEY MFG. &amp; ELECTRONICS CORP.</x:v>
      </x:c>
      <x:c r="D43" s="359" t="n">
        <x:v>71.107</x:v>
      </x:c>
      <x:c r="E43" s="359" t="n">
        <x:v>17.508</x:v>
      </x:c>
      <x:c r="F43" s="359" t="n">
        <x:v>53.599</x:v>
      </x:c>
      <x:c r="G43" s="360" t="n">
        <x:v>131</x:v>
      </x:c>
      <x:c r="H43" s="360" t="str">
        <x:v>20950</x:v>
      </x:c>
      <x:c r="I43" s="360" t="str">
        <x:v>335999</x:v>
      </x:c>
      <x:c r="J43" s="360" t="str">
        <x:v>All Other Miscellaneous Electrical Equipment and Component Manufacturing</x:v>
      </x:c>
      <x:c r="K43" s="358" t="str">
        <x:v>221118;334290;334416;334419;335311;335313;335999;336320;541715</x:v>
      </x:c>
      <x:c r="L43" s="358" t="str">
        <x:v>Manufacturer of Goods</x:v>
      </x:c>
      <x:c r="M43" s="358" t="str">
        <x:v>For Profit Organization;Business or Organization;Manufacturer of Goods</x:v>
      </x:c>
      <x:c r="N43" s="358" t="str"/>
      <x:c r="O43" s="358" t="str"/>
      <x:c r="P43" s="379" t="str">
        <x:v>Espey designs and manufactures military power electronics and magnetic components for naval platforms, including transformers, power converters, filters, battery chargers and radar/transmitter power equipment.</x:v>
      </x:c>
      <x:c r="Q43" s="380" t="str">
        <x:v>manufacturer</x:v>
      </x:c>
      <x:c r="R43" s="379" t="str">
        <x:v>Power-distribution transformers; power supplies and converters; filters and inductors; battery chargers; high-voltage/radar power equipment; custom magnetics and power assemblies.</x:v>
      </x:c>
      <x:c r="S43" s="380" t="str">
        <x:v>discrete component/equipment</x:v>
      </x:c>
      <x:c r="T43" s="380" t="str">
        <x:v>yes</x:v>
      </x:c>
      <x:c r="U43" s="379" t="str">
        <x:v>Espey Mfg. &amp; Electronics Corp.</x:v>
      </x:c>
      <x:c r="V43" s="379" t="str">
        <x:v>Espey Mfg. &amp; Electronics Corp. (public company)</x:v>
      </x:c>
      <x:c r="W43" s="379" t="str">
        <x:v>The Saratoga Springs operating company is independent rather than a subsidiary of a diversified OEM.</x:v>
      </x:c>
      <x:c r="X43" s="379" t="str">
        <x:v>Partially correct. NAICS 335999 broadly covers other electrical equipment, but is nonspecific; transformer, power-conversion and electronic-equipment codes better communicate the actual product families.</x:v>
      </x:c>
      <x:c r="Y43" s="379" t="str">
        <x:v>Domestic (U.S.)</x:v>
      </x:c>
      <x:c r="Z43" s="392" t="str">
        <x:v>high</x:v>
      </x:c>
      <x:c r="AA43" s="393" t="str">
        <x:v>Espey’s official military-products page details the naval power and magnetic products.</x:v>
      </x:c>
      <x:c r="AB43" s="393" t="str">
        <x:v>https://www.espey.com/products/military-power-systems-magnetics/ | https://www.espey.com/</x:v>
      </x:c>
      <x:c r="AC43" s="394" t="n">
        <x:f>COUNTIF(Source_Ledger!$B$4:$B$161,B43)</x:f>
        <x:v>2</x:v>
      </x:c>
    </x:row>
    <x:row r="44" ht="76" customHeight="1">
      <x:c r="A44" s="357" t="n">
        <x:v>40</x:v>
      </x:c>
      <x:c r="B44" s="358" t="str">
        <x:v>CBMZJ3Z5SC89</x:v>
      </x:c>
      <x:c r="C44" s="358" t="str">
        <x:v>GOODRICH CORPORATION</x:v>
      </x:c>
      <x:c r="D44" s="359" t="n">
        <x:v>64.627</x:v>
      </x:c>
      <x:c r="E44" s="359" t="n">
        <x:v>63.811</x:v>
      </x:c>
      <x:c r="F44" s="359" t="n">
        <x:v>0.816</x:v>
      </x:c>
      <x:c r="G44" s="360" t="n">
        <x:v>58</x:v>
      </x:c>
      <x:c r="H44" s="360" t="str">
        <x:v>0BBK9</x:v>
      </x:c>
      <x:c r="I44" s="360" t="str">
        <x:v>326130</x:v>
      </x:c>
      <x:c r="J44" s="360" t="str">
        <x:v>Laminated Plastics Plate, Sheet (except Packaging), and Shape Manufacturing</x:v>
      </x:c>
      <x:c r="K44" s="358" t="str">
        <x:v>326130;326291;326299;332994;336611</x:v>
      </x:c>
      <x:c r="L44" s="358" t="str">
        <x:v>Manufacturer of Goods</x:v>
      </x:c>
      <x:c r="M44" s="358" t="str">
        <x:v>For Profit Organization;Business or Organization;Manufacturer of Goods</x:v>
      </x:c>
      <x:c r="N44" s="358" t="str">
        <x:v>GOODRICH CORPORATION</x:v>
      </x:c>
      <x:c r="O44" s="358" t="str">
        <x:v>RAYTHEON TECHNOLOGIES CORPORATION</x:v>
      </x:c>
      <x:c r="P44" s="379" t="str">
        <x:v>Goodrich’s Jacksonville Engineered Polymer Products operation, now part of Collins Aerospace, manufactures molded and vulcanized elastomer and composite acoustic components for submarines and surface ships.</x:v>
      </x:c>
      <x:c r="Q44" s="380" t="str">
        <x:v>manufacturer</x:v>
      </x:c>
      <x:c r="R44" s="379" t="str">
        <x:v>Sonar windows, baffles and reflectors; bow-dome boots; acoustic tiles; rubber sonar domes; molded urethane/rubber and composite hydrodynamic or propulsor-related components.</x:v>
      </x:c>
      <x:c r="S44" s="380" t="str">
        <x:v>discrete component/equipment</x:v>
      </x:c>
      <x:c r="T44" s="380" t="str">
        <x:v>yes</x:v>
      </x:c>
      <x:c r="U44" s="379" t="str">
        <x:v>Collins Aerospace / Goodrich Corporation</x:v>
      </x:c>
      <x:c r="V44" s="379" t="str">
        <x:v>RTX Corporation (public company)</x:v>
      </x:c>
      <x:c r="W44" s="379" t="str">
        <x:v>CAGE 0BBK9 is associated with the Jacksonville Engineered Polymer Products operation. The file’s highest owner, Raytheon Technologies Corporation, is a stale corporate name; the parent renamed itself RTX Corporation in July 2023.</x:v>
      </x:c>
      <x:c r="X44" s="379" t="str">
        <x:v>Misleading. NAICS 326130 concerns laminated-plastics sheet and shapes, while this operation makes engineered finished elastomer/composite acoustic products; molded rubber and plastics-product codes are more representative.</x:v>
      </x:c>
      <x:c r="Y44" s="379" t="str">
        <x:v>Domestic (U.S.)</x:v>
      </x:c>
      <x:c r="Z44" s="392" t="str">
        <x:v>high</x:v>
      </x:c>
      <x:c r="AA44" s="393" t="str">
        <x:v>Collins Aerospace directly documents the submarine and surface-ship composite/rubber products; current ultimate-owner name is verified by RTX.</x:v>
      </x:c>
      <x:c r="AB44" s="393" t="str">
        <x:v>https://www.collinsaerospace.com/what-we-do/industries/military-and-defense/submarines-and-surface-ships/composites-urethane-rubber-products | https://sam.gov/workspace/contract/opp/4b9cfe19a39b6f8f5deffb3683c74d19/view | https://www.rtx.com/who-we-are/we-are-rtx | https://www.highergov.com/contract/N0016721C0006/</x:v>
      </x:c>
      <x:c r="AC44" s="394" t="n">
        <x:f>COUNTIF(Source_Ledger!$B$4:$B$161,B44)</x:f>
        <x:v>4</x:v>
      </x:c>
    </x:row>
    <x:row r="45" ht="76" customHeight="1">
      <x:c r="A45" s="357" t="n">
        <x:v>41</x:v>
      </x:c>
      <x:c r="B45" s="358" t="str">
        <x:v>MMCKJNNMSG23</x:v>
      </x:c>
      <x:c r="C45" s="358" t="str">
        <x:v>ADVANCE MFG.CO., INC.</x:v>
      </x:c>
      <x:c r="D45" s="359" t="n">
        <x:v>64.501</x:v>
      </x:c>
      <x:c r="E45" s="359" t="n">
        <x:v>64.501</x:v>
      </x:c>
      <x:c r="F45" s="359" t="n">
        <x:v>0</x:v>
      </x:c>
      <x:c r="G45" s="360" t="n">
        <x:v>309</x:v>
      </x:c>
      <x:c r="H45" s="360" t="str">
        <x:v>29293</x:v>
      </x:c>
      <x:c r="I45" s="360" t="str">
        <x:v>332710</x:v>
      </x:c>
      <x:c r="J45" s="360" t="str">
        <x:v>Machine Shops</x:v>
      </x:c>
      <x:c r="K45" s="358" t="str">
        <x:v>332710;811310</x:v>
      </x:c>
      <x:c r="L45" s="358" t="str"/>
      <x:c r="M45" s="358" t="str">
        <x:v>For Profit Organization;Business or Organization</x:v>
      </x:c>
      <x:c r="N45" s="358" t="str"/>
      <x:c r="O45" s="358" t="str"/>
      <x:c r="P45" s="379" t="str">
        <x:v>Advance Manufacturing Company is a precision machine shop and fabricator producing complex, close-tolerance machined parts, weldments and assemblies for defense, nuclear and other high-specification customers.</x:v>
      </x:c>
      <x:c r="Q45" s="380" t="str">
        <x:v>manufacturer</x:v>
      </x:c>
      <x:c r="R45" s="379" t="str">
        <x:v>Multi-axis CNC-machined parts; large and close-tolerance components; welded and machined assemblies; EDM; inspection, NDE and quality-controlled build-to-print manufacturing.</x:v>
      </x:c>
      <x:c r="S45" s="380" t="str">
        <x:v>discrete component/equipment</x:v>
      </x:c>
      <x:c r="T45" s="380" t="str">
        <x:v>yes</x:v>
      </x:c>
      <x:c r="U45" s="379" t="str">
        <x:v>Advance Mfg. Co., Inc.</x:v>
      </x:c>
      <x:c r="V45" s="379" t="str">
        <x:v>Privately held, family-owned company</x:v>
      </x:c>
      <x:c r="W45" s="379" t="str">
        <x:v>The UEI represents the Westfield, Massachusetts operating company. Public sources confirm defense and nuclear work but do not identify the exact submarine component represented by these subawards.</x:v>
      </x:c>
      <x:c r="X45" s="379" t="str">
        <x:v>Correct. NAICS 332710 accurately describes the machine-shop activity, though it does not convey defense/nuclear quality requirements or assembly capability.</x:v>
      </x:c>
      <x:c r="Y45" s="379" t="str">
        <x:v>Domestic (U.S.)</x:v>
      </x:c>
      <x:c r="Z45" s="392" t="str">
        <x:v>medium</x:v>
      </x:c>
      <x:c r="AA45" s="393" t="str">
        <x:v>High confidence in operating capability and ownership; medium overall because the exact Navy shipbuilding end items are not publicly disclosed.</x:v>
      </x:c>
      <x:c r="AB45" s="393" t="str">
        <x:v>https://www.advancemfg.com/pages/about/about.html | https://m.advancemfg.com/capabilities/group5/edm/ | https://govtribe.com/vendors/advance-mfg-dot-co-dot-inc-dot-29293</x:v>
      </x:c>
      <x:c r="AC45" s="394" t="n">
        <x:f>COUNTIF(Source_Ledger!$B$4:$B$161,B45)</x:f>
        <x:v>3</x:v>
      </x:c>
    </x:row>
    <x:row r="46" ht="76" customHeight="1">
      <x:c r="A46" s="357" t="n">
        <x:v>42</x:v>
      </x:c>
      <x:c r="B46" s="358" t="str">
        <x:v>WJ45NXW2TVD7</x:v>
      </x:c>
      <x:c r="C46" s="358" t="str">
        <x:v>MOOG INC.</x:v>
      </x:c>
      <x:c r="D46" s="359" t="n">
        <x:v>62.09</x:v>
      </x:c>
      <x:c r="E46" s="359" t="n">
        <x:v>62.09</x:v>
      </x:c>
      <x:c r="F46" s="359" t="n">
        <x:v>0</x:v>
      </x:c>
      <x:c r="G46" s="360" t="n">
        <x:v>116</x:v>
      </x:c>
      <x:c r="H46" s="360" t="str">
        <x:v>07270</x:v>
      </x:c>
      <x:c r="I46" s="360" t="str">
        <x:v>333995</x:v>
      </x:c>
      <x:c r="J46" s="360" t="str">
        <x:v>Fluid Power Cylinder and Actuator Manufacturing</x:v>
      </x:c>
      <x:c r="K46" s="358" t="str">
        <x:v>333995;541715</x:v>
      </x:c>
      <x:c r="L46" s="358" t="str">
        <x:v>Manufacturer of Goods</x:v>
      </x:c>
      <x:c r="M46" s="358" t="str">
        <x:v>For Profit Organization;Business or Organization;Manufacturer of Goods</x:v>
      </x:c>
      <x:c r="N46" s="358" t="str">
        <x:v>MOOG, INC.</x:v>
      </x:c>
      <x:c r="O46" s="358" t="str"/>
      <x:c r="P46" s="379" t="str">
        <x:v>Moog’s naval systems operation designs and manufactures low-noise hydraulic and electromechanical motion-control actuators for mission-critical submarine functions.</x:v>
      </x:c>
      <x:c r="Q46" s="380" t="str">
        <x:v>manufacturer</x:v>
      </x:c>
      <x:c r="R46" s="379" t="str">
        <x:v>Ballast-water control actuators; torpedo-launch and weapon-system actuators; emergency-surfacing actuators; hydraulic and electromechanical linear/rotary actuators; control electronics and qualification testing.</x:v>
      </x:c>
      <x:c r="S46" s="380" t="str">
        <x:v>discrete component/equipment</x:v>
      </x:c>
      <x:c r="T46" s="380" t="str">
        <x:v>yes</x:v>
      </x:c>
      <x:c r="U46" s="379" t="str">
        <x:v>Moog Inc.</x:v>
      </x:c>
      <x:c r="V46" s="379" t="str">
        <x:v>Moog Inc. (public company)</x:v>
      </x:c>
      <x:c r="W46" s="379" t="str">
        <x:v>CAGE 07270 is associated with Moog’s Orrville, Ohio operation. The profile focuses on the naval actuator products tied to that operating location rather than Moog’s aerospace portfolio.</x:v>
      </x:c>
      <x:c r="X46" s="379" t="str">
        <x:v>Correct. NAICS 333995 accurately describes fluid-power cylinder and actuator manufacturing.</x:v>
      </x:c>
      <x:c r="Y46" s="379" t="str">
        <x:v>Domestic (U.S.)</x:v>
      </x:c>
      <x:c r="Z46" s="392" t="str">
        <x:v>high</x:v>
      </x:c>
      <x:c r="AA46" s="393" t="str">
        <x:v>Moog directly identifies Virginia-class mission-critical actuator applications.</x:v>
      </x:c>
      <x:c r="AB46" s="393" t="str">
        <x:v>https://www.moog.com/news/corporate-press-releases/2014/moog-awarded-contract-for-mission-critical-actuators-for-us-navy-virginia-class-nuclear-submarines.html | https://www.moog.com/markets/marine.html | https://www.highergov.com/awardee/moog-inc-10110703/</x:v>
      </x:c>
      <x:c r="AC46" s="394" t="n">
        <x:f>COUNTIF(Source_Ledger!$B$4:$B$161,B46)</x:f>
        <x:v>3</x:v>
      </x:c>
    </x:row>
    <x:row r="47" ht="76" customHeight="1">
      <x:c r="A47" s="357" t="n">
        <x:v>43</x:v>
      </x:c>
      <x:c r="B47" s="358" t="str">
        <x:v>KYURG7LRSC89</x:v>
      </x:c>
      <x:c r="C47" s="358" t="str">
        <x:v>WARREN PUMPS LLC</x:v>
      </x:c>
      <x:c r="D47" s="359" t="n">
        <x:v>62.083</x:v>
      </x:c>
      <x:c r="E47" s="359" t="n">
        <x:v>50.595</x:v>
      </x:c>
      <x:c r="F47" s="359" t="n">
        <x:v>11.487</x:v>
      </x:c>
      <x:c r="G47" s="360" t="n">
        <x:v>75</x:v>
      </x:c>
      <x:c r="H47" s="360" t="str">
        <x:v>63857</x:v>
      </x:c>
      <x:c r="I47" s="360" t="str">
        <x:v>333914</x:v>
      </x:c>
      <x:c r="J47" s="360" t="str">
        <x:v>Measuring, Dispensing, and Other Pumping Equipment Manufacturing</x:v>
      </x:c>
      <x:c r="K47" s="358" t="str">
        <x:v>333914</x:v>
      </x:c>
      <x:c r="L47" s="358" t="str">
        <x:v>Manufacturer of Goods</x:v>
      </x:c>
      <x:c r="M47" s="358" t="str">
        <x:v>For Profit Organization;Business or Organization;Manufacturer of Goods</x:v>
      </x:c>
      <x:c r="N47" s="358" t="str"/>
      <x:c r="O47" s="358" t="str"/>
      <x:c r="P47" s="379" t="str">
        <x:v>Warren Pumps, now operated as CIRCOR Naval Solutions, designs and manufactures highly engineered pumps for U.S. Navy submarines and surface ships.</x:v>
      </x:c>
      <x:c r="Q47" s="380" t="str">
        <x:v>manufacturer</x:v>
      </x:c>
      <x:c r="R47" s="379" t="str">
        <x:v>Centrifugal pumps; gear, piston and twin-screw pumps; Navy-qualified pump assemblies; replacement parts; overhaul, repair, test and lifecycle engineering.</x:v>
      </x:c>
      <x:c r="S47" s="380" t="str">
        <x:v>discrete component/equipment</x:v>
      </x:c>
      <x:c r="T47" s="380" t="str">
        <x:v>yes</x:v>
      </x:c>
      <x:c r="U47" s="379" t="str">
        <x:v>CIRCOR Naval Solutions, LLC / CIRCOR International</x:v>
      </x:c>
      <x:c r="V47" s="379" t="str">
        <x:v>KKR-managed investment funds</x:v>
      </x:c>
      <x:c r="W47" s="379" t="str">
        <x:v>The file uses Warren Pumps LLC. Current federal records identify CIRCOR Naval Solutions LLC doing business as Warren Pumps. A May 2026 proposed CIRCOR aerospace sale did not include the retained naval business.</x:v>
      </x:c>
      <x:c r="X47" s="379" t="str">
        <x:v>Correct. NAICS 333914 is a strong match for pump manufacturing.</x:v>
      </x:c>
      <x:c r="Y47" s="379" t="str">
        <x:v>Domestic (U.S.)</x:v>
      </x:c>
      <x:c r="Z47" s="392" t="str">
        <x:v>high</x:v>
      </x:c>
      <x:c r="AA47" s="393" t="str">
        <x:v>Warren and CIRCOR first-party pages document the naval pump portfolio; current ownership is retained with CIRCOR/KKR.</x:v>
      </x:c>
      <x:c r="AB47" s="393" t="str">
        <x:v>https://www.warrenpumps.com/ | https://www.warrenpumps.com/military.htm | https://www.circor.com/news/circor-brand-warren-pumps-holds-125th-year-anniversary-event | https://www.highergov.com/awardee/circor-naval-solutions-llc-10110392/ | https://www.reuters.com/legal/transactional/parker-hannifin-acquire-kkr-owned-circor-255-billion-2026-05-21/</x:v>
      </x:c>
      <x:c r="AC47" s="394" t="n">
        <x:f>COUNTIF(Source_Ledger!$B$4:$B$161,B47)</x:f>
        <x:v>5</x:v>
      </x:c>
    </x:row>
    <x:row r="48" ht="76" customHeight="1">
      <x:c r="A48" s="357" t="n">
        <x:v>44</x:v>
      </x:c>
      <x:c r="B48" s="358" t="str">
        <x:v>CPHLNLBGWFN5</x:v>
      </x:c>
      <x:c r="C48" s="358" t="str">
        <x:v>DRS CONSOLIDATED CONTROLS, INC.</x:v>
      </x:c>
      <x:c r="D48" s="359" t="n">
        <x:v>59.794</x:v>
      </x:c>
      <x:c r="E48" s="359" t="n">
        <x:v>59.794</x:v>
      </x:c>
      <x:c r="F48" s="359" t="n">
        <x:v>0</x:v>
      </x:c>
      <x:c r="G48" s="360" t="n">
        <x:v>18</x:v>
      </x:c>
      <x:c r="H48" s="360" t="str">
        <x:v>06RP6</x:v>
      </x:c>
      <x:c r="I48" s="360" t="str">
        <x:v>334515</x:v>
      </x:c>
      <x:c r="J48" s="360" t="str">
        <x:v>Instrument Manufacturing for Measuring and Testing Electricity and Electrical Signals</x:v>
      </x:c>
      <x:c r="K48" s="358" t="str">
        <x:v>332510;334413;334418;334419;334515;335311;335314;335999</x:v>
      </x:c>
      <x:c r="L48" s="358" t="str">
        <x:v>Manufacturer of Goods</x:v>
      </x:c>
      <x:c r="M48" s="358" t="str">
        <x:v>For Profit Organization;Business or Organization;Manufacturer of Goods</x:v>
      </x:c>
      <x:c r="N48" s="358" t="str">
        <x:v>LEONARDO DRS, INC.</x:v>
      </x:c>
      <x:c r="O48" s="358" t="str"/>
      <x:c r="P48" s="379" t="str">
        <x:v>DRS Consolidated Controls, now part of Leonardo DRS Nuclear Instrumentation &amp; Control, designs and manufactures safety-critical instrumentation, control and actuation systems for naval nuclear propulsion plants.</x:v>
      </x:c>
      <x:c r="Q48" s="380" t="str">
        <x:v>integrator/OEM</x:v>
      </x:c>
      <x:c r="R48" s="379" t="str">
        <x:v>Analog and digital nuclear instrumentation and control systems; safety and control cabinets; sensors and transmitters; electric-actuation conversion systems; qualification, manufacturing, test and lifecycle support.</x:v>
      </x:c>
      <x:c r="S48" s="380" t="str">
        <x:v>integrated assembly/module</x:v>
      </x:c>
      <x:c r="T48" s="380" t="str">
        <x:v>yes</x:v>
      </x:c>
      <x:c r="U48" s="379" t="str">
        <x:v>Leonardo DRS, Inc.</x:v>
      </x:c>
      <x:c r="V48" s="379" t="str">
        <x:v>Leonardo S.p.A. (Italy; public company)</x:v>
      </x:c>
      <x:c r="W48" s="379" t="str">
        <x:v>The legal row is DRS Consolidated Controls in Danbury, Connecticut; current public branding is Leonardo DRS Nuclear Instrumentation &amp; Control.</x:v>
      </x:c>
      <x:c r="X48" s="379" t="str">
        <x:v>Partially correct. NAICS 334515 covers electrical measuring and testing instruments but understates the complete safety-critical control-system, cabinet and actuation-integration role.</x:v>
      </x:c>
      <x:c r="Y48" s="379" t="str">
        <x:v>Domestic U.S. operating entity; foreign-owned (Italy)</x:v>
      </x:c>
      <x:c r="Z48" s="392" t="str">
        <x:v>high</x:v>
      </x:c>
      <x:c r="AA48" s="393" t="str">
        <x:v>Leonardo DRS directly documents the exact site, products and naval nuclear application.</x:v>
      </x:c>
      <x:c r="AB48" s="393" t="str">
        <x:v>https://www.leonardodrs.com/what-we-do/our-solutions/power-propulsion/nuclear-instrumentation-and-controls/ | https://www.leonardodrs.com/locations/naval-power-systems-danbury-ct/ | https://investors.leonardodrs.com/node/7301/html</x:v>
      </x:c>
      <x:c r="AC48" s="394" t="n">
        <x:f>COUNTIF(Source_Ledger!$B$4:$B$161,B48)</x:f>
        <x:v>3</x:v>
      </x:c>
    </x:row>
    <x:row r="49" ht="76" customHeight="1">
      <x:c r="A49" s="357" t="n">
        <x:v>45</x:v>
      </x:c>
      <x:c r="B49" s="358" t="str">
        <x:v>MSYWUDGYPKF5</x:v>
      </x:c>
      <x:c r="C49" s="358" t="str">
        <x:v>CP INDUSTRIES HOLDINGS, INC.</x:v>
      </x:c>
      <x:c r="D49" s="359" t="n">
        <x:v>57.685</x:v>
      </x:c>
      <x:c r="E49" s="359" t="n">
        <x:v>56.489</x:v>
      </x:c>
      <x:c r="F49" s="359" t="n">
        <x:v>1.195</x:v>
      </x:c>
      <x:c r="G49" s="360" t="n">
        <x:v>52</x:v>
      </x:c>
      <x:c r="H49" s="360" t="str">
        <x:v>48899</x:v>
      </x:c>
      <x:c r="I49" s="360" t="str">
        <x:v>332420</x:v>
      </x:c>
      <x:c r="J49" s="360" t="str">
        <x:v>Metal Tank (Heavy Gauge) Manufacturing</x:v>
      </x:c>
      <x:c r="K49" s="358" t="str">
        <x:v>332420</x:v>
      </x:c>
      <x:c r="L49" s="358" t="str">
        <x:v>Manufacturer of Goods</x:v>
      </x:c>
      <x:c r="M49" s="358" t="str">
        <x:v>Foreign Owned;For Profit Organization;Business or Organization;Manufacturer of Goods</x:v>
      </x:c>
      <x:c r="N49" s="358" t="str">
        <x:v>EVEREST KANTO CYLINDER LIMITED</x:v>
      </x:c>
      <x:c r="O49" s="358" t="str"/>
      <x:c r="P49" s="379" t="str">
        <x:v>CP Industries manufactures very large seamless high-pressure steel cylinders and storage vessels for compressed gases, including military and naval shipboard gas-storage applications.</x:v>
      </x:c>
      <x:c r="Q49" s="380" t="str">
        <x:v>manufacturer</x:v>
      </x:c>
      <x:c r="R49" s="379" t="str">
        <x:v>Large seamless high-pressure cylinders; compressed-air and industrial-gas storage vessels; jumbo tubes and multi-cylinder skids; naval oxygen, nitrogen and air-storage containers.</x:v>
      </x:c>
      <x:c r="S49" s="380" t="str">
        <x:v>discrete component/equipment</x:v>
      </x:c>
      <x:c r="T49" s="380" t="str">
        <x:v>yes</x:v>
      </x:c>
      <x:c r="U49" s="379" t="str">
        <x:v>CP Industries Holdings, Inc.</x:v>
      </x:c>
      <x:c r="V49" s="379" t="str">
        <x:v>Everest Kanto Cylinder Limited (India; public company)</x:v>
      </x:c>
      <x:c r="W49" s="379" t="str">
        <x:v>The McKeesport, Pennsylvania manufacturer is a U.S. operating subsidiary of India-based Everest Kanto Cylinder.</x:v>
      </x:c>
      <x:c r="X49" s="379" t="str">
        <x:v>Correct. NAICS 332420 accurately describes heavy-gauge metal tank and vessel manufacturing.</x:v>
      </x:c>
      <x:c r="Y49" s="379" t="str">
        <x:v>Domestic U.S. operating entity; foreign-owned (India)</x:v>
      </x:c>
      <x:c r="Z49" s="392" t="str">
        <x:v>high</x:v>
      </x:c>
      <x:c r="AA49" s="393" t="str">
        <x:v>CP Industries and its parent directly document the product family, military applications and ownership.</x:v>
      </x:c>
      <x:c r="AB49" s="393" t="str">
        <x:v>https://cp-industries.com/ | https://cp-industries.com/products/applications/military | https://everestkanto.com/subsidiaries-2/cp-industries-holding-inc/ | https://everestkanto.com/about-us/manufacturing-plants/</x:v>
      </x:c>
      <x:c r="AC49" s="394" t="n">
        <x:f>COUNTIF(Source_Ledger!$B$4:$B$161,B49)</x:f>
        <x:v>4</x:v>
      </x:c>
    </x:row>
    <x:row r="50" ht="76" customHeight="1">
      <x:c r="A50" s="357" t="n">
        <x:v>46</x:v>
      </x:c>
      <x:c r="B50" s="358" t="str">
        <x:v>WREEAHYMRQ45</x:v>
      </x:c>
      <x:c r="C50" s="358" t="str">
        <x:v>PCB PIEZOTRONICS, INC.</x:v>
      </x:c>
      <x:c r="D50" s="359" t="n">
        <x:v>57.436</x:v>
      </x:c>
      <x:c r="E50" s="359" t="n">
        <x:v>57.436</x:v>
      </x:c>
      <x:c r="F50" s="359" t="n">
        <x:v>0</x:v>
      </x:c>
      <x:c r="G50" s="360" t="n">
        <x:v>30</x:v>
      </x:c>
      <x:c r="H50" s="360" t="str">
        <x:v>52681</x:v>
      </x:c>
      <x:c r="I50" s="360" t="str">
        <x:v>334419</x:v>
      </x:c>
      <x:c r="J50" s="360" t="str">
        <x:v>Other Electronic Component Manufacturing</x:v>
      </x:c>
      <x:c r="K50" s="358" t="str">
        <x:v>334419;334519</x:v>
      </x:c>
      <x:c r="L50" s="358" t="str">
        <x:v>Manufacturer of Goods</x:v>
      </x:c>
      <x:c r="M50" s="358" t="str">
        <x:v>For Profit Organization;Business or Organization;Manufacturer of Goods</x:v>
      </x:c>
      <x:c r="N50" s="358" t="str">
        <x:v>AMPHENOL CORPORATION</x:v>
      </x:c>
      <x:c r="O50" s="358" t="str"/>
      <x:c r="P50" s="379" t="str">
        <x:v>PCB Piezotronics designs and manufactures piezoelectric sensing equipment used for underwater acoustics and shipboard shock, vibration, pressure and machinery monitoring.</x:v>
      </x:c>
      <x:c r="Q50" s="380" t="str">
        <x:v>manufacturer</x:v>
      </x:c>
      <x:c r="R50" s="379" t="str">
        <x:v>Underwater pressure sensors and hydrophones; accelerometers; shock and vibration sensors; dynamic pressure sensors; signal conditioners; custom OEM sensing assemblies.</x:v>
      </x:c>
      <x:c r="S50" s="380" t="str">
        <x:v>discrete component/equipment</x:v>
      </x:c>
      <x:c r="T50" s="380" t="str">
        <x:v>yes</x:v>
      </x:c>
      <x:c r="U50" s="379" t="str">
        <x:v>PCB Piezotronics, Inc.</x:v>
      </x:c>
      <x:c r="V50" s="379" t="str">
        <x:v>Amphenol Corporation (public company)</x:v>
      </x:c>
      <x:c r="W50" s="379" t="str">
        <x:v>PCB is a wholly owned Amphenol company. The UEI is the Depew, New York sensor manufacturer rather than the whole Amphenol group.</x:v>
      </x:c>
      <x:c r="X50" s="379" t="str">
        <x:v>Partially correct. NAICS 334419 broadly covers other electronic components, but sensor/instrument codes such as 334519 better communicate the operating company’s main products.</x:v>
      </x:c>
      <x:c r="Y50" s="379" t="str">
        <x:v>Domestic (U.S.)</x:v>
      </x:c>
      <x:c r="Z50" s="392" t="str">
        <x:v>high</x:v>
      </x:c>
      <x:c r="AA50" s="393" t="str">
        <x:v>PCB first-party pages establish the underwater/OEM products and Amphenol ownership; an NSN record corroborates a Virginia-class application.</x:v>
      </x:c>
      <x:c r="AB50" s="393" t="str">
        <x:v>https://www.pcb.com/applications/aerospace-defense/underwater-sensors | https://www.pcb.com/applications/program-oem-business | https://www.pcb.com/about/history | https://www.pcb.com/about/divisions-of-pcb | https://www.wbparts.com/rfq/6680-01-589-2611.html</x:v>
      </x:c>
      <x:c r="AC50" s="394" t="n">
        <x:f>COUNTIF(Source_Ledger!$B$4:$B$161,B50)</x:f>
        <x:v>5</x:v>
      </x:c>
    </x:row>
    <x:row r="51" ht="76" customHeight="1">
      <x:c r="A51" s="357" t="n">
        <x:v>47</x:v>
      </x:c>
      <x:c r="B51" s="358" t="str">
        <x:v>TZVRTYNM3MN3</x:v>
      </x:c>
      <x:c r="C51" s="358" t="str">
        <x:v>PEGASUS STEEL LLC</x:v>
      </x:c>
      <x:c r="D51" s="359" t="n">
        <x:v>56.797</x:v>
      </x:c>
      <x:c r="E51" s="359" t="n">
        <x:v>56.797</x:v>
      </x:c>
      <x:c r="F51" s="359" t="n">
        <x:v>0</x:v>
      </x:c>
      <x:c r="G51" s="360" t="n">
        <x:v>110</x:v>
      </x:c>
      <x:c r="H51" s="360" t="str">
        <x:v>4T1A9</x:v>
      </x:c>
      <x:c r="I51" s="360" t="str">
        <x:v>332313</x:v>
      </x:c>
      <x:c r="J51" s="360" t="str">
        <x:v>Plate Work Manufacturing</x:v>
      </x:c>
      <x:c r="K51" s="358" t="str">
        <x:v>332312;332313;332710;336120;336992</x:v>
      </x:c>
      <x:c r="L51" s="358" t="str">
        <x:v>Manufacturer of Goods</x:v>
      </x:c>
      <x:c r="M51" s="358" t="str">
        <x:v>For Profit Organization;Business or Organization;Limited Liability Company;Manufacturer of Goods</x:v>
      </x:c>
      <x:c r="N51" s="358" t="str">
        <x:v>KEEL PLATFORM, LLC</x:v>
      </x:c>
      <x:c r="O51" s="358" t="str">
        <x:v>ARLINGTON CAPITAL PARTNERS VI, L.P.</x:v>
      </x:c>
      <x:c r="P51" s="379" t="str">
        <x:v>Pegasus Steel, now part of the Keel defense-manufacturing platform, fabricates and integrates complex, fracture-critical steel structures and outfitted modules for submarines, aircraft carriers and other naval platforms.</x:v>
      </x:c>
      <x:c r="Q51" s="380" t="str">
        <x:v>manufacturer</x:v>
      </x:c>
      <x:c r="R51" s="379" t="str">
        <x:v>Complex welded steel structures; outfitted submarine modules; habitation and equipment modules; heavy plate cutting, forming, machining and certified welding; large assembly and test.</x:v>
      </x:c>
      <x:c r="S51" s="380" t="str">
        <x:v>integrated assembly/module</x:v>
      </x:c>
      <x:c r="T51" s="380" t="str">
        <x:v>yes</x:v>
      </x:c>
      <x:c r="U51" s="379" t="str">
        <x:v>Keel Platform, LLC</x:v>
      </x:c>
      <x:c r="V51" s="379" t="str">
        <x:v>Arlington Capital Partners VI, L.P. and affiliated funds</x:v>
      </x:c>
      <x:c r="W51" s="379" t="str">
        <x:v>Pegasus Steel was acquired by Arlington Capital Partners and is now operated within the Keel platform. The UEI remains the Pegasus operating entity.</x:v>
      </x:c>
      <x:c r="X51" s="379" t="str">
        <x:v>Correct. NAICS 332313 accurately describes plate-work manufacturing, though it understates the outfitted-module and integration content.</x:v>
      </x:c>
      <x:c r="Y51" s="379" t="str">
        <x:v>Domestic (U.S.)</x:v>
      </x:c>
      <x:c r="Z51" s="392" t="str">
        <x:v>high</x:v>
      </x:c>
      <x:c r="AA51" s="393" t="str">
        <x:v>Keel and Arlington directly document the acquisition, shipbuilding platform and Virginia-class case study.</x:v>
      </x:c>
      <x:c r="AB51" s="393" t="str">
        <x:v>https://arlingtoncap.com/news/arlington-capital-partners-announces-the-acquisition-of-pegasus-steel/ | https://keelusa.com/ | https://keelusa.com/virginia-class-nuclear-submarine-case-study/ | https://keelusa.com/arlington-capital-partners-announces-the-formation-of-keel-a-new-leader-in-defense-manufacturing-and-its-acquisitions-of-merrill-technologies-group-and-metal-trades-llc/</x:v>
      </x:c>
      <x:c r="AC51" s="394" t="n">
        <x:f>COUNTIF(Source_Ledger!$B$4:$B$161,B51)</x:f>
        <x:v>4</x:v>
      </x:c>
    </x:row>
    <x:row r="52" ht="76" customHeight="1">
      <x:c r="A52" s="357" t="n">
        <x:v>48</x:v>
      </x:c>
      <x:c r="B52" s="358" t="str">
        <x:v>DK14KTLXA9M5</x:v>
      </x:c>
      <x:c r="C52" s="358" t="str">
        <x:v>KME AMERICA MARINE TUBE &amp; FITTING, LLC</x:v>
      </x:c>
      <x:c r="D52" s="359" t="n">
        <x:v>54.436</x:v>
      </x:c>
      <x:c r="E52" s="359" t="n">
        <x:v>54.436</x:v>
      </x:c>
      <x:c r="F52" s="359" t="n">
        <x:v>0</x:v>
      </x:c>
      <x:c r="G52" s="360" t="n">
        <x:v>330</x:v>
      </x:c>
      <x:c r="H52" s="360" t="str">
        <x:v>7A8G3</x:v>
      </x:c>
      <x:c r="I52" s="360" t="str">
        <x:v>332919</x:v>
      </x:c>
      <x:c r="J52" s="360" t="str">
        <x:v>Other Metal Valve and Pipe Fitting Manufacturing</x:v>
      </x:c>
      <x:c r="K52" s="358" t="str">
        <x:v>332710;332919;332996</x:v>
      </x:c>
      <x:c r="L52" s="358" t="str">
        <x:v>Manufacturer of Goods</x:v>
      </x:c>
      <x:c r="M52" s="358" t="str">
        <x:v>Foreign Owned;For Profit Organization;Business or Organization;Manufacturer of Goods</x:v>
      </x:c>
      <x:c r="N52" s="358" t="str">
        <x:v>KME AMERICA MARINE HOLDING, INC.</x:v>
      </x:c>
      <x:c r="O52" s="358" t="str">
        <x:v>CUNOVA GMBH</x:v>
      </x:c>
      <x:c r="P52" s="379" t="str">
        <x:v>KME America Marine Tube &amp; Fitting manufactures complex metallic formed fittings and flanges for U.S. Navy aircraft carriers and submarines, using heavy forming, CNC machining and advanced metalworking processes.</x:v>
      </x:c>
      <x:c r="Q52" s="380" t="str">
        <x:v>manufacturer</x:v>
      </x:c>
      <x:c r="R52" s="379" t="str">
        <x:v>Marine pipe and tube fittings; elbows, tees, reducers and formed branches; flanges; copper-alloy and other corrosion-resistant metallic piping components; pressing, machining and inspection.</x:v>
      </x:c>
      <x:c r="S52" s="380" t="str">
        <x:v>discrete component/equipment</x:v>
      </x:c>
      <x:c r="T52" s="380" t="str">
        <x:v>yes</x:v>
      </x:c>
      <x:c r="U52" s="379" t="str">
        <x:v>KME America Marine Holding, Inc. / cunova operating group</x:v>
      </x:c>
      <x:c r="V52" s="379" t="str">
        <x:v>cunova GmbH (Germany; current highest owner reported in SAM)</x:v>
      </x:c>
      <x:c r="W52" s="379" t="str">
        <x:v>The Jacksonville, Florida company is a U.S. manufacturing operation listed on cunova’s current contact page. A 2024 corporate transaction involving cunova and KME Aerospace creates a complex ownership history; the current SAM highest-owner field and cunova listing are used rather than inferring beyond them.</x:v>
      </x:c>
      <x:c r="X52" s="379" t="str">
        <x:v>Correct. NAICS 332919 closely matches metal valve and pipe-fitting manufacturing and is representative of the company’s output.</x:v>
      </x:c>
      <x:c r="Y52" s="379" t="str">
        <x:v>Domestic U.S. operating entity; foreign-owned (Germany)</x:v>
      </x:c>
      <x:c r="Z52" s="392" t="str">
        <x:v>high</x:v>
      </x:c>
      <x:c r="AA52" s="393" t="str">
        <x:v>First-party KME and cunova pages establish the product, Navy application and current group relationship; ownership structure is recorded conservatively.</x:v>
      </x:c>
      <x:c r="AB52" s="393" t="str">
        <x:v>https://kmetf.com/ | https://cunova.com/en/contact | https://www.highergov.com/awardee/kme-america-marine-tube-fitting-llc-10085327/ | https://www.sec.gov/Archives/edgar/data/1846975/000182912624001009/sdcledgeacq_ex2-1.htm</x:v>
      </x:c>
      <x:c r="AC52" s="394" t="n">
        <x:f>COUNTIF(Source_Ledger!$B$4:$B$161,B52)</x:f>
        <x:v>4</x:v>
      </x:c>
    </x:row>
    <x:row r="53" ht="76" customHeight="1">
      <x:c r="A53" s="357" t="n">
        <x:v>49</x:v>
      </x:c>
      <x:c r="B53" s="358" t="str">
        <x:v>V1MQFNQB56Z5</x:v>
      </x:c>
      <x:c r="C53" s="358" t="str">
        <x:v>RIX INDUSTRIES</x:v>
      </x:c>
      <x:c r="D53" s="359" t="n">
        <x:v>54.428</x:v>
      </x:c>
      <x:c r="E53" s="359" t="n">
        <x:v>29.658</x:v>
      </x:c>
      <x:c r="F53" s="359" t="n">
        <x:v>24.77</x:v>
      </x:c>
      <x:c r="G53" s="360" t="n">
        <x:v>67</x:v>
      </x:c>
      <x:c r="H53" s="360" t="str">
        <x:v>28953</x:v>
      </x:c>
      <x:c r="I53" s="360" t="str">
        <x:v>333912</x:v>
      </x:c>
      <x:c r="J53" s="360" t="str">
        <x:v>Air and Gas Compressor Manufacturing</x:v>
      </x:c>
      <x:c r="K53" s="358" t="str">
        <x:v>237120;325120;333912;336413</x:v>
      </x:c>
      <x:c r="L53" s="358" t="str">
        <x:v>Subchapter S Corporation</x:v>
      </x:c>
      <x:c r="M53" s="358" t="str">
        <x:v>For Profit Organization;Business or Organization;Manufacturer of Goods;Subchapter S Corporation</x:v>
      </x:c>
      <x:c r="N53" s="358" t="str">
        <x:v>CRESTT, LP</x:v>
      </x:c>
      <x:c r="O53" s="358" t="str"/>
      <x:c r="P53" s="379" t="str">
        <x:v>RIX Industries designs and manufactures oil-free high-pressure gas compressors and integrated gas-generation systems for naval ships and submarines.</x:v>
      </x:c>
      <x:c r="Q53" s="380" t="str">
        <x:v>integrator/OEM</x:v>
      </x:c>
      <x:c r="R53" s="379" t="str">
        <x:v>Oil-free reciprocating air and gas compressors; oxygen- and special-gas compressors; shipboard nitrogen-generation systems; compressor plants, controls, skids, spares and lifecycle support.</x:v>
      </x:c>
      <x:c r="S53" s="380" t="str">
        <x:v>integrated assembly/module</x:v>
      </x:c>
      <x:c r="T53" s="380" t="str">
        <x:v>yes</x:v>
      </x:c>
      <x:c r="U53" s="379" t="str">
        <x:v>RIX Industries</x:v>
      </x:c>
      <x:c r="V53" s="379" t="str">
        <x:v>Crestt, LP (privately held)</x:v>
      </x:c>
      <x:c r="W53" s="379" t="str">
        <x:v>The UEI represents the Benicia, California operating company. SAM reports Crestt, LP as the immediate owner; no higher public parent was verified.</x:v>
      </x:c>
      <x:c r="X53" s="379" t="str">
        <x:v>Correct. NAICS 333912 accurately describes air and gas compressor manufacturing, although RIX also integrates complete gas-generation systems.</x:v>
      </x:c>
      <x:c r="Y53" s="379" t="str">
        <x:v>Domestic (U.S.)</x:v>
      </x:c>
      <x:c r="Z53" s="392" t="str">
        <x:v>high</x:v>
      </x:c>
      <x:c r="AA53" s="393" t="str">
        <x:v>RIX first-party pages directly describe its naval compressor and nitrogen-generation products.</x:v>
      </x:c>
      <x:c r="AB53" s="393" t="str">
        <x:v>https://www.rixindustries.com/naval-systems | https://www.rixindustries.com/nitrogen | https://www.rixindustries.com/test-markets-page | https://www.highergov.com/awardee/rix-industries-10004600/</x:v>
      </x:c>
      <x:c r="AC53" s="394" t="n">
        <x:f>COUNTIF(Source_Ledger!$B$4:$B$161,B53)</x:f>
        <x:v>4</x:v>
      </x:c>
    </x:row>
    <x:row r="54" ht="76" customHeight="1">
      <x:c r="A54" s="361" t="n">
        <x:v>50</x:v>
      </x:c>
      <x:c r="B54" s="362" t="str">
        <x:v>CMT4S6G76QB5</x:v>
      </x:c>
      <x:c r="C54" s="362" t="str">
        <x:v>BWX TECHNOLOGIES, INC.</x:v>
      </x:c>
      <x:c r="D54" s="363" t="n">
        <x:v>52.662</x:v>
      </x:c>
      <x:c r="E54" s="363" t="n">
        <x:v>52.662</x:v>
      </x:c>
      <x:c r="F54" s="363" t="n">
        <x:v>0</x:v>
      </x:c>
      <x:c r="G54" s="364" t="n">
        <x:v>6</x:v>
      </x:c>
      <x:c r="H54" s="364" t="str"/>
      <x:c r="I54" s="364" t="str"/>
      <x:c r="J54" s="364" t="str"/>
      <x:c r="K54" s="362" t="str"/>
      <x:c r="L54" s="362" t="str"/>
      <x:c r="M54" s="362" t="str"/>
      <x:c r="N54" s="362" t="str"/>
      <x:c r="O54" s="362" t="str"/>
      <x:c r="P54" s="381" t="str">
        <x:v>BWX Technologies, Inc. is the publicly traded corporate parent and managing office for BWXT’s businesses. Its operating subsidiaries—especially BWXT Nuclear Operations Group—manufacture naval nuclear-reactor components, fuel and propulsion-plant assemblies; the exact deliverable booked to this corporate UEI is not publicly separable.</x:v>
      </x:c>
      <x:c r="Q54" s="382" t="str">
        <x:v>pass-through/funding</x:v>
      </x:c>
      <x:c r="R54" s="381" t="str">
        <x:v>Corporate management and award/reporting functions; group-level naval nuclear propulsion engineering and manufacturing performed through operating subsidiaries.</x:v>
      </x:c>
      <x:c r="S54" s="382" t="str">
        <x:v>unknown</x:v>
      </x:c>
      <x:c r="T54" s="382" t="str">
        <x:v>partial</x:v>
      </x:c>
      <x:c r="U54" s="381" t="str">
        <x:v>None; this entity is the corporate parent</x:v>
      </x:c>
      <x:c r="V54" s="381" t="str">
        <x:v>BWX Technologies, Inc. (public company; owned by public shareholders)</x:v>
      </x:c>
      <x:c r="W54" s="381" t="str">
        <x:v>This UEI appears to be the corporate managing-office registration rather than a production plant. It should not be merged with the rank-9 BWXT Nuclear Operations Group UEI when describing operating output.</x:v>
      </x:c>
      <x:c r="X54" s="381" t="str">
        <x:v>File field is missing, but current federal-registration data identify NAICS 551114 (Corporate, Subsidiary, and Regional Managing Offices), which is appropriate for this exact corporate UEI. It would be misleading if interpreted as the NAICS for BWXT’s manufacturing subsidiaries.</x:v>
      </x:c>
      <x:c r="Y54" s="381" t="str">
        <x:v>Domestic (U.S.)</x:v>
      </x:c>
      <x:c r="Z54" s="395" t="str">
        <x:v>medium</x:v>
      </x:c>
      <x:c r="AA54" s="396" t="str">
        <x:v>High confidence that this is the corporate parent/office and that BWXT subsidiaries supply naval nuclear hardware; uncertainty remains about why subaward dollars were attributed to this UEI and what, if anything, the corporate entity itself delivered.</x:v>
      </x:c>
      <x:c r="AB54" s="396" t="str">
        <x:v>https://www.highergov.com/awardee/bwx-technologies-inc-10008491/ | https://www.bwxt.com/sectors/defense-space/sea/naval-nuclear-propulsion/ | https://www.bwxt.com/</x:v>
      </x:c>
      <x:c r="AC54" s="397" t="n">
        <x:f>COUNTIF(Source_Ledger!$B$4:$B$161,B54)</x:f>
        <x:v>3</x:v>
      </x:c>
    </x:row>
  </x:sheetData>
  <x:mergeCells>
    <x:mergeCell ref="A1:AC1"/>
    <x:mergeCell ref="A2:AC2"/>
  </x:mergeCells>
  <x:conditionalFormatting sqref="D5:D54">
    <x:cfRule type="dataBar" priority="1">
      <x:dataBar>
        <x:cfvo type="min"/>
        <x:cfvo type="max"/>
        <x:color rgb="FF2F6F73"/>
      </x:dataBar>
      <x:extLst>
        <x:ext xmlns:x14="http://schemas.microsoft.com/office/spreadsheetml/2009/9/main" uri="{B025F937-C7B1-47D3-B67F-A62EFF666E3E}">
          <x14:id>{A4CD932D-15AB-271D-7E38-9EFCB262B476}</x14:id>
        </x:ext>
      </x:extLst>
    </x:cfRule>
  </x:conditionalFormatting>
  <x:conditionalFormatting sqref="T5:T54">
    <x:cfRule type="expression" dxfId="0" priority="2">
      <x:formula>T5="yes"</x:formula>
    </x:cfRule>
    <x:cfRule type="expression" dxfId="1" priority="3">
      <x:formula>T5="partial"</x:formula>
    </x:cfRule>
    <x:cfRule type="expression" dxfId="2" priority="4">
      <x:formula>T5="no"</x:formula>
    </x:cfRule>
  </x:conditionalFormatting>
  <x:conditionalFormatting sqref="Z5:Z54">
    <x:cfRule type="expression" dxfId="3" priority="5">
      <x:formula>Z5="high"</x:formula>
    </x:cfRule>
    <x:cfRule type="expression" dxfId="4" priority="6">
      <x:formula>Z5="medium"</x:formula>
    </x:cfRule>
    <x:cfRule type="expression" dxfId="5" priority="7">
      <x:formula>Z5="low"</x:formula>
    </x:cfRule>
  </x:conditionalFormatting>
  <x:conditionalFormatting sqref="X5:X54">
    <x:cfRule type="expression" dxfId="6" priority="8">
      <x:formula>ISNUMBER(SEARCH("Misleading",X5))</x:formula>
    </x:cfRule>
    <x:cfRule type="expression" dxfId="7" priority="9">
      <x:formula>ISNUMBER(SEARCH("Missing",X5))</x:formula>
    </x:cfRule>
    <x:cfRule type="expression" dxfId="8" priority="10">
      <x:formula>ISNUMBER(SEARCH("Partially",X5))</x:formula>
    </x:cfRule>
  </x:conditionalFormatting>
  <x:pageMargins left="0.7" right="0.7" top="0.75" bottom="0.75" header="0.3" footer="0.3"/>
  <x:tableParts count="1">
    <x:tablePart xmlns:r="http://schemas.openxmlformats.org/officeDocument/2006/relationships" r:id="Rbef0e1ec30504c20"/>
  </x:tableParts>
  <x:extLst>
    <x:ext xmlns:x14="http://schemas.microsoft.com/office/spreadsheetml/2009/9/main" xmlns:xm="http://schemas.microsoft.com/office/excel/2006/main" uri="{78C0D931-6437-407d-A8EE-F0AAD7539E65}">
      <x14:conditionalFormattings>
        <x14:conditionalFormatting>
          <x14:cfRule type="dataBar" priority="1" id="{A4CD932D-15AB-271D-7E38-9EFCB262B476}">
            <x14:dataBar gradient="1">
              <x14:cfvo type="min"/>
              <x14:cfvo type="max"/>
              <x14:fillColor rgb="FF2F6F73"/>
            </x14:dataBar>
          </x14:cfRule>
          <xm:sqref>D5:D54</xm:sqref>
        </x14:conditionalFormatting>
      </x14:conditionalFormattings>
    </x:ext>
  </x:extLst>
</x:worksheet>
</file>

<file path=xl/worksheets/sheet3.xml><?xml version="1.0" encoding="utf-8"?>
<x:worksheet xmlns:x="http://schemas.openxmlformats.org/spreadsheetml/2006/main">
  <x:sheetFormatPr defaultRowHeight="15"/>
  <x:cols>
    <x:col min="1" max="1" width="7" hidden="0" customWidth="1"/>
    <x:col min="2" max="2" width="16" hidden="0" customWidth="1"/>
    <x:col min="3" max="3" width="34" hidden="0" customWidth="1"/>
    <x:col min="4" max="4" width="10" hidden="0" customWidth="1"/>
    <x:col min="5" max="5" width="25" hidden="0" customWidth="1"/>
    <x:col min="6" max="6" width="42" hidden="0" customWidth="1"/>
    <x:col min="7" max="7" width="74" hidden="0" customWidth="1"/>
    <x:col min="8" max="8" width="45" hidden="0" customWidth="1"/>
  </x:cols>
  <x:sheetData>
    <x:row r="1" ht="34" customHeight="1">
      <x:c r="A1" s="5" t="str">
        <x:v>Source Ledger — One Citation per Row</x:v>
      </x:c>
      <x:c r="B1" s="5"/>
      <x:c r="C1" s="5"/>
      <x:c r="D1" s="5"/>
      <x:c r="E1" s="5"/>
      <x:c r="F1" s="5"/>
      <x:c r="G1" s="5"/>
      <x:c r="H1" s="5"/>
    </x:row>
    <x:row r="2" ht="28" customHeight="1">
      <x:c r="A2" s="13" t="str">
        <x:v>URLs are plain text for portability. Source type and the specific claim supported are recorded to make review and replacement straightforward.</x:v>
      </x:c>
      <x:c r="B2" s="13"/>
      <x:c r="C2" s="13"/>
      <x:c r="D2" s="13"/>
      <x:c r="E2" s="13"/>
      <x:c r="F2" s="13"/>
      <x:c r="G2" s="13"/>
      <x:c r="H2" s="13"/>
    </x:row>
    <x:row r="3" ht="34" customHeight="1">
      <x:c r="A3" s="296" t="str">
        <x:v>Rank</x:v>
      </x:c>
      <x:c r="B3" s="296" t="str">
        <x:v>UEI</x:v>
      </x:c>
      <x:c r="C3" s="296" t="str">
        <x:v>Vendor</x:v>
      </x:c>
      <x:c r="D3" s="296" t="str">
        <x:v>Source #</x:v>
      </x:c>
      <x:c r="E3" s="296" t="str">
        <x:v>Source Type</x:v>
      </x:c>
      <x:c r="F3" s="296" t="str">
        <x:v>Source Title / Description</x:v>
      </x:c>
      <x:c r="G3" s="296" t="str">
        <x:v>URL</x:v>
      </x:c>
      <x:c r="H3" s="296" t="str">
        <x:v>Supports</x:v>
      </x:c>
    </x:row>
    <x:row r="4" ht="42" customHeight="1">
      <x:c r="A4" s="329" t="n">
        <x:v>1</x:v>
      </x:c>
      <x:c r="B4" s="308" t="str">
        <x:v>LCV2N9FVV739</x:v>
      </x:c>
      <x:c r="C4" s="308" t="str">
        <x:v>NORTHROP GRUMMAN SYSTEMS CORPORATION</x:v>
      </x:c>
      <x:c r="D4" s="336" t="n">
        <x:v>1</x:v>
      </x:c>
      <x:c r="E4" s="308" t="str">
        <x:v>Official company</x:v>
      </x:c>
      <x:c r="F4" s="308" t="str">
        <x:v>Northrop Grumman — Sea capabilities</x:v>
      </x:c>
      <x:c r="G4" s="407" t="str">
        <x:v>https://www.northropgrumman.com/what-we-do/sea</x:v>
      </x:c>
      <x:c r="H4" s="309" t="str">
        <x:v>Naval propulsion, power and undersea-system capabilities</x:v>
      </x:c>
    </x:row>
    <x:row r="5" ht="42" customHeight="1">
      <x:c r="A5" s="330" t="n">
        <x:v>1</x:v>
      </x:c>
      <x:c r="B5" s="303" t="str">
        <x:v>LCV2N9FVV739</x:v>
      </x:c>
      <x:c r="C5" s="303" t="str">
        <x:v>NORTHROP GRUMMAN SYSTEMS CORPORATION</x:v>
      </x:c>
      <x:c r="D5" s="338" t="n">
        <x:v>2</x:v>
      </x:c>
      <x:c r="E5" s="303" t="str">
        <x:v>Federal procurement record</x:v>
      </x:c>
      <x:c r="F5" s="303" t="str">
        <x:v>SAM.gov notice — Virginia-class ship service turbine generator support</x:v>
      </x:c>
      <x:c r="G5" s="408" t="str">
        <x:v>https://sam.gov/workspace/contract/opp/f68d4ee1f7824218a8798f0b179d5ce6/view</x:v>
      </x:c>
      <x:c r="H5" s="311" t="str">
        <x:v>Northrop Grumman/Sunnyvale SSTG role</x:v>
      </x:c>
    </x:row>
    <x:row r="6" ht="42" customHeight="1">
      <x:c r="A6" s="330" t="n">
        <x:v>1</x:v>
      </x:c>
      <x:c r="B6" s="303" t="str">
        <x:v>LCV2N9FVV739</x:v>
      </x:c>
      <x:c r="C6" s="303" t="str">
        <x:v>NORTHROP GRUMMAN SYSTEMS CORPORATION</x:v>
      </x:c>
      <x:c r="D6" s="338" t="n">
        <x:v>3</x:v>
      </x:c>
      <x:c r="E6" s="303" t="str">
        <x:v>Official company</x:v>
      </x:c>
      <x:c r="F6" s="303" t="str">
        <x:v>Northrop Grumman — Sunnyvale careers/location</x:v>
      </x:c>
      <x:c r="G6" s="408" t="str">
        <x:v>https://www.northropgrumman.com/careers/northrop-grumman-in-sunnyvale-california</x:v>
      </x:c>
      <x:c r="H6" s="311" t="str">
        <x:v>Sunnyvale operating-site identity</x:v>
      </x:c>
    </x:row>
    <x:row r="7" ht="42" customHeight="1">
      <x:c r="A7" s="330" t="n">
        <x:v>2</x:v>
      </x:c>
      <x:c r="B7" s="303" t="str">
        <x:v>GXPHJRVG9MR7</x:v>
      </x:c>
      <x:c r="C7" s="303" t="str">
        <x:v>DRS POWER &amp; CONTROL TECHNOLOGIES, INC.</x:v>
      </x:c>
      <x:c r="D7" s="338" t="n">
        <x:v>1</x:v>
      </x:c>
      <x:c r="E7" s="303" t="str">
        <x:v>Official company</x:v>
      </x:c>
      <x:c r="F7" s="303" t="str">
        <x:v>Leonardo DRS — Naval Power Systems, Menomonee Falls</x:v>
      </x:c>
      <x:c r="G7" s="408" t="str">
        <x:v>https://www.leonardodrs.com/locations/naval-power-systems-menomonee-falls-wi/</x:v>
      </x:c>
      <x:c r="H7" s="311" t="str">
        <x:v>Operating site and naval power products</x:v>
      </x:c>
    </x:row>
    <x:row r="8" ht="42" customHeight="1">
      <x:c r="A8" s="330" t="n">
        <x:v>2</x:v>
      </x:c>
      <x:c r="B8" s="303" t="str">
        <x:v>GXPHJRVG9MR7</x:v>
      </x:c>
      <x:c r="C8" s="303" t="str">
        <x:v>DRS POWER &amp; CONTROL TECHNOLOGIES, INC.</x:v>
      </x:c>
      <x:c r="D8" s="338" t="n">
        <x:v>2</x:v>
      </x:c>
      <x:c r="E8" s="303" t="str">
        <x:v>Official company</x:v>
      </x:c>
      <x:c r="F8" s="303" t="str">
        <x:v>Leonardo DRS — Ship power and propulsion</x:v>
      </x:c>
      <x:c r="G8" s="408" t="str">
        <x:v>https://www.leonardodrs.com/what-we-do/products-and-services/ship-power-and-propulsion/</x:v>
      </x:c>
      <x:c r="H8" s="311" t="str">
        <x:v>Power-conversion, distribution and propulsion capability</x:v>
      </x:c>
    </x:row>
    <x:row r="9" ht="42" customHeight="1">
      <x:c r="A9" s="330" t="n">
        <x:v>2</x:v>
      </x:c>
      <x:c r="B9" s="303" t="str">
        <x:v>GXPHJRVG9MR7</x:v>
      </x:c>
      <x:c r="C9" s="303" t="str">
        <x:v>DRS POWER &amp; CONTROL TECHNOLOGIES, INC.</x:v>
      </x:c>
      <x:c r="D9" s="338" t="n">
        <x:v>3</x:v>
      </x:c>
      <x:c r="E9" s="303" t="str">
        <x:v>Official company</x:v>
      </x:c>
      <x:c r="F9" s="303" t="str">
        <x:v>Leonardo DRS — Marine switchboards and loadcenters</x:v>
      </x:c>
      <x:c r="G9" s="408" t="str">
        <x:v>https://www.leonardodrs.com/what-we-do/products-and-services/marine-switchboards-and-loadcenters/</x:v>
      </x:c>
      <x:c r="H9" s="311" t="str">
        <x:v>Specific product lines</x:v>
      </x:c>
    </x:row>
    <x:row r="10" ht="42" customHeight="1">
      <x:c r="A10" s="330" t="n">
        <x:v>2</x:v>
      </x:c>
      <x:c r="B10" s="303" t="str">
        <x:v>GXPHJRVG9MR7</x:v>
      </x:c>
      <x:c r="C10" s="303" t="str">
        <x:v>DRS POWER &amp; CONTROL TECHNOLOGIES, INC.</x:v>
      </x:c>
      <x:c r="D10" s="338" t="n">
        <x:v>4</x:v>
      </x:c>
      <x:c r="E10" s="303" t="str">
        <x:v>Official company</x:v>
      </x:c>
      <x:c r="F10" s="303" t="str">
        <x:v>Leonardo DRS — Columbia-class contracts</x:v>
      </x:c>
      <x:c r="G10" s="408" t="str">
        <x:v>https://www.leonardodrs.com/news/press-releases/leonardo-drs-awarded-contracts-for-u-s-navys-columbia-class-submarine-program/</x:v>
      </x:c>
      <x:c r="H10" s="311" t="str">
        <x:v>Direct submarine-program supply</x:v>
      </x:c>
    </x:row>
    <x:row r="11" ht="42" customHeight="1">
      <x:c r="A11" s="330" t="n">
        <x:v>3</x:v>
      </x:c>
      <x:c r="B11" s="303" t="str">
        <x:v>HLVBPCA2LH41</x:v>
      </x:c>
      <x:c r="C11" s="303" t="str">
        <x:v>ROLLS-ROYCE MARINE NORTH AMERICA INC.</x:v>
      </x:c>
      <x:c r="D11" s="338" t="n">
        <x:v>1</x:v>
      </x:c>
      <x:c r="E11" s="303" t="str">
        <x:v>Official company</x:v>
      </x:c>
      <x:c r="F11" s="303" t="str">
        <x:v>Rolls-Royce — U.S. Navy propeller contracts</x:v>
      </x:c>
      <x:c r="G11" s="408" t="str">
        <x:v>https://www.rolls-royce.com/media/press-releases/2020/24-06-2020-rr-secures-us-navy-contracts-totalling.aspx</x:v>
      </x:c>
      <x:c r="H11" s="311" t="str">
        <x:v>DDG-51 controllable-pitch propellers and Walpole role</x:v>
      </x:c>
    </x:row>
    <x:row r="12" ht="42" customHeight="1">
      <x:c r="A12" s="330" t="n">
        <x:v>3</x:v>
      </x:c>
      <x:c r="B12" s="303" t="str">
        <x:v>HLVBPCA2LH41</x:v>
      </x:c>
      <x:c r="C12" s="303" t="str">
        <x:v>ROLLS-ROYCE MARINE NORTH AMERICA INC.</x:v>
      </x:c>
      <x:c r="D12" s="338" t="n">
        <x:v>2</x:v>
      </x:c>
      <x:c r="E12" s="303" t="str">
        <x:v>Official company</x:v>
      </x:c>
      <x:c r="F12" s="303" t="str">
        <x:v>Rolls-Royce — completion of naval-propulsors sale</x:v>
      </x:c>
      <x:c r="G12" s="408" t="str">
        <x:v>https://www.rolls-royce.com/media/press-releases/2025/16-07-2025-rr-completes-sale-of-naval-propulsors-business-to-fairbanks-morse-defense.aspx</x:v>
      </x:c>
      <x:c r="H12" s="311" t="str">
        <x:v>July 2025 transfer of naval-propulsors assets</x:v>
      </x:c>
    </x:row>
    <x:row r="13" ht="42" customHeight="1">
      <x:c r="A13" s="330" t="n">
        <x:v>3</x:v>
      </x:c>
      <x:c r="B13" s="303" t="str">
        <x:v>HLVBPCA2LH41</x:v>
      </x:c>
      <x:c r="C13" s="303" t="str">
        <x:v>ROLLS-ROYCE MARINE NORTH AMERICA INC.</x:v>
      </x:c>
      <x:c r="D13" s="338" t="n">
        <x:v>3</x:v>
      </x:c>
      <x:c r="E13" s="303" t="str">
        <x:v>Official company</x:v>
      </x:c>
      <x:c r="F13" s="303" t="str">
        <x:v>Fairbanks Morse Defense — acquisition completion</x:v>
      </x:c>
      <x:c r="G13" s="408" t="str">
        <x:v>https://www.fairbanksmorsedefense.com/blog/fairbanks-morse-defense-completes-acquisition-of-critical-naval-manufacturing-capabilities-from-rolls-royce/</x:v>
      </x:c>
      <x:c r="H13" s="311" t="str">
        <x:v>Current operating ownership and acquired capabilities</x:v>
      </x:c>
    </x:row>
    <x:row r="14" ht="42" customHeight="1">
      <x:c r="A14" s="330" t="n">
        <x:v>3</x:v>
      </x:c>
      <x:c r="B14" s="303" t="str">
        <x:v>HLVBPCA2LH41</x:v>
      </x:c>
      <x:c r="C14" s="303" t="str">
        <x:v>ROLLS-ROYCE MARINE NORTH AMERICA INC.</x:v>
      </x:c>
      <x:c r="D14" s="338" t="n">
        <x:v>4</x:v>
      </x:c>
      <x:c r="E14" s="303" t="str">
        <x:v>Official company</x:v>
      </x:c>
      <x:c r="F14" s="303" t="str">
        <x:v>Fairbanks Morse Defense — Arcline portfolio-company status</x:v>
      </x:c>
      <x:c r="G14" s="408" t="str">
        <x:v>https://www.fairbanksmorsedefense.com/blog/fairbanks-morse-is-now-fairbanks-morse-defense/</x:v>
      </x:c>
      <x:c r="H14" s="311" t="str">
        <x:v>Ultimate financial sponsor</x:v>
      </x:c>
    </x:row>
    <x:row r="15" ht="42" customHeight="1">
      <x:c r="A15" s="330" t="n">
        <x:v>4</x:v>
      </x:c>
      <x:c r="B15" s="303" t="str">
        <x:v>WYDAKCJ5K219</x:v>
      </x:c>
      <x:c r="C15" s="303" t="str">
        <x:v>CURTISS-WRIGHT ELECTRO-MECHANICAL CORPORATION</x:v>
      </x:c>
      <x:c r="D15" s="338" t="n">
        <x:v>1</x:v>
      </x:c>
      <x:c r="E15" s="303" t="str">
        <x:v>Official company</x:v>
      </x:c>
      <x:c r="F15" s="303" t="str">
        <x:v>Curtiss-Wright — Engineered Pump Division</x:v>
      </x:c>
      <x:c r="G15" s="408" t="str">
        <x:v>https://electro-mechanicalsystems.curtisswright.com/epd</x:v>
      </x:c>
      <x:c r="H15" s="311" t="str">
        <x:v>Operating unit and pump portfolio</x:v>
      </x:c>
    </x:row>
    <x:row r="16" ht="42" customHeight="1">
      <x:c r="A16" s="330" t="n">
        <x:v>4</x:v>
      </x:c>
      <x:c r="B16" s="303" t="str">
        <x:v>WYDAKCJ5K219</x:v>
      </x:c>
      <x:c r="C16" s="303" t="str">
        <x:v>CURTISS-WRIGHT ELECTRO-MECHANICAL CORPORATION</x:v>
      </x:c>
      <x:c r="D16" s="338" t="n">
        <x:v>2</x:v>
      </x:c>
      <x:c r="E16" s="303" t="str">
        <x:v>Official company</x:v>
      </x:c>
      <x:c r="F16" s="303" t="str">
        <x:v>Curtiss-Wright EPD — About us</x:v>
      </x:c>
      <x:c r="G16" s="408" t="str">
        <x:v>https://electro-mechanicalsystems.curtisswright.com/epd/about-us</x:v>
      </x:c>
      <x:c r="H16" s="311" t="str">
        <x:v>Navy pump design, manufacture and support</x:v>
      </x:c>
    </x:row>
    <x:row r="17" ht="42" customHeight="1">
      <x:c r="A17" s="330" t="n">
        <x:v>4</x:v>
      </x:c>
      <x:c r="B17" s="303" t="str">
        <x:v>WYDAKCJ5K219</x:v>
      </x:c>
      <x:c r="C17" s="303" t="str">
        <x:v>CURTISS-WRIGHT ELECTRO-MECHANICAL CORPORATION</x:v>
      </x:c>
      <x:c r="D17" s="338" t="n">
        <x:v>3</x:v>
      </x:c>
      <x:c r="E17" s="303" t="str">
        <x:v>Official company</x:v>
      </x:c>
      <x:c r="F17" s="303" t="str">
        <x:v>Curtiss-Wright — additively manufactured submarine pump component</x:v>
      </x:c>
      <x:c r="G17" s="408" t="str">
        <x:v>https://electro-mechanicalsystems.curtisswright.com/news/news-details/2024/Curtiss-Wright-and-Sintavia-Deliver-First-Submarine-Component-Utilizing-an-Additively-Manufactured-Impeller-to-Be-Installed-in-a-U.S.-Navy-Vessel</x:v>
      </x:c>
      <x:c r="H17" s="311" t="str">
        <x:v>Direct submarine component evidence</x:v>
      </x:c>
    </x:row>
    <x:row r="18" ht="42" customHeight="1">
      <x:c r="A18" s="330" t="n">
        <x:v>5</x:v>
      </x:c>
      <x:c r="B18" s="303" t="str">
        <x:v>N1PJDANWUJ61</x:v>
      </x:c>
      <x:c r="C18" s="303" t="str">
        <x:v>SCOT FORGE COMPANY</x:v>
      </x:c>
      <x:c r="D18" s="338" t="n">
        <x:v>1</x:v>
      </x:c>
      <x:c r="E18" s="303" t="str">
        <x:v>Official company</x:v>
      </x:c>
      <x:c r="F18" s="303" t="str">
        <x:v>Scot Forge — Marine propulsion</x:v>
      </x:c>
      <x:c r="G18" s="408" t="str">
        <x:v>https://www.scotforge.com/market-expertise1/marine-propulsion</x:v>
      </x:c>
      <x:c r="H18" s="311" t="str">
        <x:v>Specific propulsion-shaft and forging products</x:v>
      </x:c>
    </x:row>
    <x:row r="19" ht="42" customHeight="1">
      <x:c r="A19" s="330" t="n">
        <x:v>5</x:v>
      </x:c>
      <x:c r="B19" s="303" t="str">
        <x:v>N1PJDANWUJ61</x:v>
      </x:c>
      <x:c r="C19" s="303" t="str">
        <x:v>SCOT FORGE COMPANY</x:v>
      </x:c>
      <x:c r="D19" s="338" t="n">
        <x:v>2</x:v>
      </x:c>
      <x:c r="E19" s="303" t="str">
        <x:v>Official company</x:v>
      </x:c>
      <x:c r="F19" s="303" t="str">
        <x:v>Scot Forge — Shipbuilding</x:v>
      </x:c>
      <x:c r="G19" s="408" t="str">
        <x:v>https://www.scotforge.com/market-expertise/shipbuilding</x:v>
      </x:c>
      <x:c r="H19" s="311" t="str">
        <x:v>Shipbuilding applications and capabilities</x:v>
      </x:c>
    </x:row>
    <x:row r="20" ht="42" customHeight="1">
      <x:c r="A20" s="330" t="n">
        <x:v>5</x:v>
      </x:c>
      <x:c r="B20" s="303" t="str">
        <x:v>N1PJDANWUJ61</x:v>
      </x:c>
      <x:c r="C20" s="303" t="str">
        <x:v>SCOT FORGE COMPANY</x:v>
      </x:c>
      <x:c r="D20" s="338" t="n">
        <x:v>3</x:v>
      </x:c>
      <x:c r="E20" s="303" t="str">
        <x:v>Official company</x:v>
      </x:c>
      <x:c r="F20" s="303" t="str">
        <x:v>Scot Forge — company home</x:v>
      </x:c>
      <x:c r="G20" s="408" t="str">
        <x:v>https://www.scotforge.com/</x:v>
      </x:c>
      <x:c r="H20" s="311" t="str">
        <x:v>Employee-owned identity and general capability</x:v>
      </x:c>
    </x:row>
    <x:row r="21" ht="42" customHeight="1">
      <x:c r="A21" s="330" t="n">
        <x:v>6</x:v>
      </x:c>
      <x:c r="B21" s="303" t="str">
        <x:v>YNJNTZWVC3H6</x:v>
      </x:c>
      <x:c r="C21" s="303" t="str">
        <x:v>BAE SYSTEMS LAND &amp; ARMAMENTS L.P.</x:v>
      </x:c>
      <x:c r="D21" s="338" t="n">
        <x:v>1</x:v>
      </x:c>
      <x:c r="E21" s="303" t="str">
        <x:v>Official company</x:v>
      </x:c>
      <x:c r="F21" s="303" t="str">
        <x:v>BAE Systems — Virginia Payload Module missile tubes</x:v>
      </x:c>
      <x:c r="G21" s="408" t="str">
        <x:v>https://www.baesystems.com/en-us/article/bae-systems-awarded-%2470-million-contract-for-future-virginia-payload-module-missile-tubes</x:v>
      </x:c>
      <x:c r="H21" s="311" t="str">
        <x:v>Specific missile-tube deliverable</x:v>
      </x:c>
    </x:row>
    <x:row r="22" ht="42" customHeight="1">
      <x:c r="A22" s="330" t="n">
        <x:v>6</x:v>
      </x:c>
      <x:c r="B22" s="303" t="str">
        <x:v>YNJNTZWVC3H6</x:v>
      </x:c>
      <x:c r="C22" s="303" t="str">
        <x:v>BAE SYSTEMS LAND &amp; ARMAMENTS L.P.</x:v>
      </x:c>
      <x:c r="D22" s="338" t="n">
        <x:v>2</x:v>
      </x:c>
      <x:c r="E22" s="303" t="str">
        <x:v>Official company</x:v>
      </x:c>
      <x:c r="F22" s="303" t="str">
        <x:v>BAE Systems — submarine manufacturing facilities</x:v>
      </x:c>
      <x:c r="G22" s="408" t="str">
        <x:v>https://www.baesystems.com/en-us/article/bae-systems-facilities-are-ready-to-scale-to-support-submarine-manufacturing</x:v>
      </x:c>
      <x:c r="H22" s="311" t="str">
        <x:v>Propulsor, bearing-support and module capabilities</x:v>
      </x:c>
    </x:row>
    <x:row r="23" ht="42" customHeight="1">
      <x:c r="A23" s="330" t="n">
        <x:v>6</x:v>
      </x:c>
      <x:c r="B23" s="303" t="str">
        <x:v>YNJNTZWVC3H6</x:v>
      </x:c>
      <x:c r="C23" s="303" t="str">
        <x:v>BAE SYSTEMS LAND &amp; ARMAMENTS L.P.</x:v>
      </x:c>
      <x:c r="D23" s="338" t="n">
        <x:v>3</x:v>
      </x:c>
      <x:c r="E23" s="303" t="str">
        <x:v>Federal registration aggregator</x:v>
      </x:c>
      <x:c r="F23" s="303" t="str">
        <x:v>HigherGov — BAE Systems Land &amp; Armaments entity profile</x:v>
      </x:c>
      <x:c r="G23" s="408" t="str">
        <x:v>https://www.highergov.com/awardee/bae-systems-land-armaments-l-p-10117088/</x:v>
      </x:c>
      <x:c r="H23" s="311" t="str">
        <x:v>UEI/CAGE operating-entity corroboration</x:v>
      </x:c>
    </x:row>
    <x:row r="24" ht="42" customHeight="1">
      <x:c r="A24" s="330" t="n">
        <x:v>7</x:v>
      </x:c>
      <x:c r="B24" s="303" t="str">
        <x:v>J1T1FEN3PWX6</x:v>
      </x:c>
      <x:c r="C24" s="303" t="str">
        <x:v>GENERAL ELECTRIC COMPANY</x:v>
      </x:c>
      <x:c r="D24" s="338" t="n">
        <x:v>1</x:v>
      </x:c>
      <x:c r="E24" s="303" t="str">
        <x:v>Official company</x:v>
      </x:c>
      <x:c r="F24" s="303" t="str">
        <x:v>GE Aerospace — LM2500 marine engine</x:v>
      </x:c>
      <x:c r="G24" s="408" t="str">
        <x:v>https://www.geaerospace.com/military-defense/engines/lm2500</x:v>
      </x:c>
      <x:c r="H24" s="311" t="str">
        <x:v>Product capability</x:v>
      </x:c>
    </x:row>
    <x:row r="25" ht="42" customHeight="1">
      <x:c r="A25" s="330" t="n">
        <x:v>7</x:v>
      </x:c>
      <x:c r="B25" s="303" t="str">
        <x:v>J1T1FEN3PWX6</x:v>
      </x:c>
      <x:c r="C25" s="303" t="str">
        <x:v>GENERAL ELECTRIC COMPANY</x:v>
      </x:c>
      <x:c r="D25" s="338" t="n">
        <x:v>2</x:v>
      </x:c>
      <x:c r="E25" s="303" t="str">
        <x:v>Official company</x:v>
      </x:c>
      <x:c r="F25" s="303" t="str">
        <x:v>GE Aerospace — LM2500s power Arleigh Burke destroyers</x:v>
      </x:c>
      <x:c r="G25" s="408" t="str">
        <x:v>https://www.geaerospace.com/news/press-releases/marine-industrial-engines/forty-ge-lm2500-marine-gas-turbines-power-10-arleigh-burke</x:v>
      </x:c>
      <x:c r="H25" s="311" t="str">
        <x:v>DDG-51 application</x:v>
      </x:c>
    </x:row>
    <x:row r="26" ht="42" customHeight="1">
      <x:c r="A26" s="330" t="n">
        <x:v>7</x:v>
      </x:c>
      <x:c r="B26" s="303" t="str">
        <x:v>J1T1FEN3PWX6</x:v>
      </x:c>
      <x:c r="C26" s="303" t="str">
        <x:v>GENERAL ELECTRIC COMPANY</x:v>
      </x:c>
      <x:c r="D26" s="338" t="n">
        <x:v>3</x:v>
      </x:c>
      <x:c r="E26" s="303" t="str">
        <x:v>Official company</x:v>
      </x:c>
      <x:c r="F26" s="303" t="str">
        <x:v>GE Aerospace — U.S. Navy LM2500 modules</x:v>
      </x:c>
      <x:c r="G26" s="408" t="str">
        <x:v>https://www.geaerospace.com/news/press-releases/marine-industrial-engines/ge-provide-new-lm2500-gas-turbine-modules-united-states</x:v>
      </x:c>
      <x:c r="H26" s="311" t="str">
        <x:v>Packaged module deliverable</x:v>
      </x:c>
    </x:row>
    <x:row r="27" ht="42" customHeight="1">
      <x:c r="A27" s="330" t="n">
        <x:v>8</x:v>
      </x:c>
      <x:c r="B27" s="303" t="str">
        <x:v>SLD5KEGGLLZ3</x:v>
      </x:c>
      <x:c r="C27" s="303" t="str">
        <x:v>JOHNSON CONTROLS NAVY SYSTEMS, LLC</x:v>
      </x:c>
      <x:c r="D27" s="338" t="n">
        <x:v>1</x:v>
      </x:c>
      <x:c r="E27" s="303" t="str">
        <x:v>Official company</x:v>
      </x:c>
      <x:c r="F27" s="303" t="str">
        <x:v>Johnson Controls — Marine and Navy HVAC and refrigeration</x:v>
      </x:c>
      <x:c r="G27" s="408" t="str">
        <x:v>https://www.johnsoncontrols.com/marine-and-navy/hvac-and-refrigeration</x:v>
      </x:c>
      <x:c r="H27" s="311" t="str">
        <x:v>Specific Navy HVAC/refrigeration capabilities</x:v>
      </x:c>
    </x:row>
    <x:row r="28" ht="42" customHeight="1">
      <x:c r="A28" s="330" t="n">
        <x:v>8</x:v>
      </x:c>
      <x:c r="B28" s="303" t="str">
        <x:v>SLD5KEGGLLZ3</x:v>
      </x:c>
      <x:c r="C28" s="303" t="str">
        <x:v>JOHNSON CONTROLS NAVY SYSTEMS, LLC</x:v>
      </x:c>
      <x:c r="D28" s="338" t="n">
        <x:v>2</x:v>
      </x:c>
      <x:c r="E28" s="303" t="str">
        <x:v>Official company</x:v>
      </x:c>
      <x:c r="F28" s="303" t="str">
        <x:v>Johnson Controls — global legal entities</x:v>
      </x:c>
      <x:c r="G28" s="408" t="str">
        <x:v>https://www.johnsoncontrols.com/jci-global-entities</x:v>
      </x:c>
      <x:c r="H28" s="311" t="str">
        <x:v>Corporate-entity and parent context</x:v>
      </x:c>
    </x:row>
    <x:row r="29" ht="42" customHeight="1">
      <x:c r="A29" s="330" t="n">
        <x:v>9</x:v>
      </x:c>
      <x:c r="B29" s="303" t="str">
        <x:v>WJYVCPD5HKK7</x:v>
      </x:c>
      <x:c r="C29" s="303" t="str">
        <x:v>BWXT NUCLEAR OPERATIONS GROUP, INC.</x:v>
      </x:c>
      <x:c r="D29" s="338" t="n">
        <x:v>1</x:v>
      </x:c>
      <x:c r="E29" s="303" t="str">
        <x:v>Official company</x:v>
      </x:c>
      <x:c r="F29" s="303" t="str">
        <x:v>BWXT — Naval nuclear propulsion</x:v>
      </x:c>
      <x:c r="G29" s="408" t="str">
        <x:v>https://www.bwxt.com/sectors/defense-space/sea/naval-nuclear-propulsion/</x:v>
      </x:c>
      <x:c r="H29" s="311" t="str">
        <x:v>Core product and program role</x:v>
      </x:c>
    </x:row>
    <x:row r="30" ht="42" customHeight="1">
      <x:c r="A30" s="330" t="n">
        <x:v>9</x:v>
      </x:c>
      <x:c r="B30" s="303" t="str">
        <x:v>WJYVCPD5HKK7</x:v>
      </x:c>
      <x:c r="C30" s="303" t="str">
        <x:v>BWXT NUCLEAR OPERATIONS GROUP, INC.</x:v>
      </x:c>
      <x:c r="D30" s="338" t="n">
        <x:v>2</x:v>
      </x:c>
      <x:c r="E30" s="303" t="str">
        <x:v>Official company</x:v>
      </x:c>
      <x:c r="F30" s="303" t="str">
        <x:v>BWXT — $2.6 billion naval-reactor-component contracts</x:v>
      </x:c>
      <x:c r="G30" s="408" t="str">
        <x:v>https://www.bwxt.com/bwxt-announces-2-6-billion-in-contracts-for-naval-nuclear-reactor-components/</x:v>
      </x:c>
      <x:c r="H30" s="311" t="str">
        <x:v>Direct component-manufacturing evidence</x:v>
      </x:c>
    </x:row>
    <x:row r="31" ht="42" customHeight="1">
      <x:c r="A31" s="330" t="n">
        <x:v>10</x:v>
      </x:c>
      <x:c r="B31" s="303" t="str">
        <x:v>E8LNMDLEKM35</x:v>
      </x:c>
      <x:c r="C31" s="303" t="str">
        <x:v>D.C. FABRICATORS INC.</x:v>
      </x:c>
      <x:c r="D31" s="338" t="n">
        <x:v>1</x:v>
      </x:c>
      <x:c r="E31" s="303" t="str">
        <x:v>Official company</x:v>
      </x:c>
      <x:c r="F31" s="303" t="str">
        <x:v>D.C. Fabricators — company and capabilities</x:v>
      </x:c>
      <x:c r="G31" s="408" t="str">
        <x:v>https://www.dcfab.com/</x:v>
      </x:c>
      <x:c r="H31" s="311" t="str">
        <x:v>Heat exchangers, condensers, pressure equipment and materials capability</x:v>
      </x:c>
    </x:row>
    <x:row r="32" ht="42" customHeight="1">
      <x:c r="A32" s="330" t="n">
        <x:v>10</x:v>
      </x:c>
      <x:c r="B32" s="303" t="str">
        <x:v>E8LNMDLEKM35</x:v>
      </x:c>
      <x:c r="C32" s="303" t="str">
        <x:v>D.C. FABRICATORS INC.</x:v>
      </x:c>
      <x:c r="D32" s="338" t="n">
        <x:v>2</x:v>
      </x:c>
      <x:c r="E32" s="303" t="str">
        <x:v>Official company</x:v>
      </x:c>
      <x:c r="F32" s="303" t="str">
        <x:v>BWXT — announced Precision Components Group acquisition</x:v>
      </x:c>
      <x:c r="G32" s="408" t="str">
        <x:v>https://www.bwxt.com/bwxt-bolsters-american-nuclear-manufacturing-capability-with-strategic-acquisition/</x:v>
      </x:c>
      <x:c r="H32" s="311" t="str">
        <x:v>Pending acquisition and expected closing date</x:v>
      </x:c>
    </x:row>
    <x:row r="33" ht="42" customHeight="1">
      <x:c r="A33" s="330" t="n">
        <x:v>11</x:v>
      </x:c>
      <x:c r="B33" s="303" t="str">
        <x:v>DK2SLQURMJF3</x:v>
      </x:c>
      <x:c r="C33" s="303" t="str">
        <x:v>BABCOCK MARINE (ROSYTH) LIMITED</x:v>
      </x:c>
      <x:c r="D33" s="338" t="n">
        <x:v>1</x:v>
      </x:c>
      <x:c r="E33" s="303" t="str">
        <x:v>Official company</x:v>
      </x:c>
      <x:c r="F33" s="303" t="str">
        <x:v>Babcock — missile-tube contract extension from Electric Boat</x:v>
      </x:c>
      <x:c r="G33" s="408" t="str">
        <x:v>https://www.babcockinternational.com/news/babcock-awarded-multimillion-pound-missile-tube-contract-extension-by-electric-boat/</x:v>
      </x:c>
      <x:c r="H33" s="311" t="str">
        <x:v>Rosyth manufacture of Common Missile Compartment tactical missile tubes</x:v>
      </x:c>
    </x:row>
    <x:row r="34" ht="42" customHeight="1">
      <x:c r="A34" s="330" t="n">
        <x:v>12</x:v>
      </x:c>
      <x:c r="B34" s="303" t="str">
        <x:v>FLDEFFBLR5P3</x:v>
      </x:c>
      <x:c r="C34" s="303" t="str">
        <x:v>GLOBE COMPOSITE SOLUTIONS, LTD., LIMITED PARTNERSHIP</x:v>
      </x:c>
      <x:c r="D34" s="338" t="n">
        <x:v>1</x:v>
      </x:c>
      <x:c r="E34" s="303" t="str">
        <x:v>Official company</x:v>
      </x:c>
      <x:c r="F34" s="303" t="str">
        <x:v>Globe Composite — composite design and prototyping</x:v>
      </x:c>
      <x:c r="G34" s="408" t="str">
        <x:v>https://www.globecomposite.com/composite-design-prototyping</x:v>
      </x:c>
      <x:c r="H34" s="311" t="str">
        <x:v>Engineering and manufacturing capability</x:v>
      </x:c>
    </x:row>
    <x:row r="35" ht="42" customHeight="1">
      <x:c r="A35" s="330" t="n">
        <x:v>12</x:v>
      </x:c>
      <x:c r="B35" s="303" t="str">
        <x:v>FLDEFFBLR5P3</x:v>
      </x:c>
      <x:c r="C35" s="303" t="str">
        <x:v>GLOBE COMPOSITE SOLUTIONS, LTD., LIMITED PARTNERSHIP</x:v>
      </x:c>
      <x:c r="D35" s="338" t="n">
        <x:v>2</x:v>
      </x:c>
      <x:c r="E35" s="303" t="str">
        <x:v>Official company</x:v>
      </x:c>
      <x:c r="F35" s="303" t="str">
        <x:v>Globe Composite — submersibles</x:v>
      </x:c>
      <x:c r="G35" s="408" t="str">
        <x:v>https://www.globecomposite.com/submersibles</x:v>
      </x:c>
      <x:c r="H35" s="311" t="str">
        <x:v>Undersea and submarine product applications</x:v>
      </x:c>
    </x:row>
    <x:row r="36" ht="42" customHeight="1">
      <x:c r="A36" s="330" t="n">
        <x:v>12</x:v>
      </x:c>
      <x:c r="B36" s="303" t="str">
        <x:v>FLDEFFBLR5P3</x:v>
      </x:c>
      <x:c r="C36" s="303" t="str">
        <x:v>GLOBE COMPOSITE SOLUTIONS, LTD., LIMITED PARTNERSHIP</x:v>
      </x:c>
      <x:c r="D36" s="338" t="n">
        <x:v>3</x:v>
      </x:c>
      <x:c r="E36" s="303" t="str">
        <x:v>Official company</x:v>
      </x:c>
      <x:c r="F36" s="303" t="str">
        <x:v>Globe Composite — Dreadnought-class work</x:v>
      </x:c>
      <x:c r="G36" s="408" t="str">
        <x:v>https://www.globecomposite.com/blog/dreadnought-class</x:v>
      </x:c>
      <x:c r="H36" s="311" t="str">
        <x:v>Submarine acoustic/composite application</x:v>
      </x:c>
    </x:row>
    <x:row r="37" ht="42" customHeight="1">
      <x:c r="A37" s="330" t="n">
        <x:v>12</x:v>
      </x:c>
      <x:c r="B37" s="303" t="str">
        <x:v>FLDEFFBLR5P3</x:v>
      </x:c>
      <x:c r="C37" s="303" t="str">
        <x:v>GLOBE COMPOSITE SOLUTIONS, LTD., LIMITED PARTNERSHIP</x:v>
      </x:c>
      <x:c r="D37" s="338" t="n">
        <x:v>4</x:v>
      </x:c>
      <x:c r="E37" s="303" t="str">
        <x:v>Official company</x:v>
      </x:c>
      <x:c r="F37" s="303" t="str">
        <x:v>ESCO Technologies — company portfolio</x:v>
      </x:c>
      <x:c r="G37" s="408" t="str">
        <x:v>https://www.escotechnologies.com/our-businesses/</x:v>
      </x:c>
      <x:c r="H37" s="311" t="str">
        <x:v>Current parent-company context</x:v>
      </x:c>
    </x:row>
    <x:row r="38" ht="42" customHeight="1">
      <x:c r="A38" s="330" t="n">
        <x:v>13</x:v>
      </x:c>
      <x:c r="B38" s="303" t="str">
        <x:v>YD1GK53355R5</x:v>
      </x:c>
      <x:c r="C38" s="303" t="str">
        <x:v>PRECISION CUSTOM COMPONENTS, LLC</x:v>
      </x:c>
      <x:c r="D38" s="338" t="n">
        <x:v>1</x:v>
      </x:c>
      <x:c r="E38" s="303" t="str">
        <x:v>Official company</x:v>
      </x:c>
      <x:c r="F38" s="303" t="str">
        <x:v>Precision Custom Components — capabilities</x:v>
      </x:c>
      <x:c r="G38" s="408" t="str">
        <x:v>https://www.pcc-york.com/</x:v>
      </x:c>
      <x:c r="H38" s="311" t="str">
        <x:v>Heavy fabrication, machining and pressure-equipment capabilities</x:v>
      </x:c>
    </x:row>
    <x:row r="39" ht="42" customHeight="1">
      <x:c r="A39" s="330" t="n">
        <x:v>13</x:v>
      </x:c>
      <x:c r="B39" s="303" t="str">
        <x:v>YD1GK53355R5</x:v>
      </x:c>
      <x:c r="C39" s="303" t="str">
        <x:v>PRECISION CUSTOM COMPONENTS, LLC</x:v>
      </x:c>
      <x:c r="D39" s="338" t="n">
        <x:v>2</x:v>
      </x:c>
      <x:c r="E39" s="303" t="str">
        <x:v>Official company</x:v>
      </x:c>
      <x:c r="F39" s="303" t="str">
        <x:v>BWXT — announced Precision Components Group acquisition</x:v>
      </x:c>
      <x:c r="G39" s="408" t="str">
        <x:v>https://www.bwxt.com/bwxt-bolsters-american-nuclear-manufacturing-capability-with-strategic-acquisition/</x:v>
      </x:c>
      <x:c r="H39" s="311" t="str">
        <x:v>Parent, operating companies and pending transaction</x:v>
      </x:c>
    </x:row>
    <x:row r="40" ht="42" customHeight="1">
      <x:c r="A40" s="330" t="n">
        <x:v>13</x:v>
      </x:c>
      <x:c r="B40" s="303" t="str">
        <x:v>YD1GK53355R5</x:v>
      </x:c>
      <x:c r="C40" s="303" t="str">
        <x:v>PRECISION CUSTOM COMPONENTS, LLC</x:v>
      </x:c>
      <x:c r="D40" s="338" t="n">
        <x:v>3</x:v>
      </x:c>
      <x:c r="E40" s="303" t="str">
        <x:v>Industrial directory</x:v>
      </x:c>
      <x:c r="F40" s="303" t="str">
        <x:v>Thomasnet — Precision Custom Components profile</x:v>
      </x:c>
      <x:c r="G40" s="408" t="str">
        <x:v>https://www.thomasnet.com/company/precision-custom-components-llc-149347/profile</x:v>
      </x:c>
      <x:c r="H40" s="311" t="str">
        <x:v>Independent capability corroboration</x:v>
      </x:c>
    </x:row>
    <x:row r="41" ht="42" customHeight="1">
      <x:c r="A41" s="330" t="n">
        <x:v>14</x:v>
      </x:c>
      <x:c r="B41" s="303" t="str">
        <x:v>J3AFGKXWYK73</x:v>
      </x:c>
      <x:c r="C41" s="303" t="str">
        <x:v>YORK INTERNATIONAL CORPORATION</x:v>
      </x:c>
      <x:c r="D41" s="338" t="n">
        <x:v>1</x:v>
      </x:c>
      <x:c r="E41" s="303" t="str">
        <x:v>Official company</x:v>
      </x:c>
      <x:c r="F41" s="303" t="str">
        <x:v>Johnson Controls — Marine and Navy HVAC and refrigeration</x:v>
      </x:c>
      <x:c r="G41" s="408" t="str">
        <x:v>https://www.johnsoncontrols.com/marine-and-navy/hvac-and-refrigeration</x:v>
      </x:c>
      <x:c r="H41" s="311" t="str">
        <x:v>YORK shipboard HVAC and refrigeration product lines</x:v>
      </x:c>
    </x:row>
    <x:row r="42" ht="42" customHeight="1">
      <x:c r="A42" s="330" t="n">
        <x:v>14</x:v>
      </x:c>
      <x:c r="B42" s="303" t="str">
        <x:v>J3AFGKXWYK73</x:v>
      </x:c>
      <x:c r="C42" s="303" t="str">
        <x:v>YORK INTERNATIONAL CORPORATION</x:v>
      </x:c>
      <x:c r="D42" s="338" t="n">
        <x:v>2</x:v>
      </x:c>
      <x:c r="E42" s="303" t="str">
        <x:v>Federal procurement record</x:v>
      </x:c>
      <x:c r="F42" s="303" t="str">
        <x:v>SAM.gov — YORK DDG-51 air-conditioning plant procurement</x:v>
      </x:c>
      <x:c r="G42" s="408" t="str">
        <x:v>https://sam.gov/workspace/contract/opp/3996f7e5a59a159981dbee65cb0e31ff/view</x:v>
      </x:c>
      <x:c r="H42" s="311" t="str">
        <x:v>Specific destroyer equipment context</x:v>
      </x:c>
    </x:row>
    <x:row r="43" ht="42" customHeight="1">
      <x:c r="A43" s="330" t="n">
        <x:v>14</x:v>
      </x:c>
      <x:c r="B43" s="303" t="str">
        <x:v>J3AFGKXWYK73</x:v>
      </x:c>
      <x:c r="C43" s="303" t="str">
        <x:v>YORK INTERNATIONAL CORPORATION</x:v>
      </x:c>
      <x:c r="D43" s="338" t="n">
        <x:v>3</x:v>
      </x:c>
      <x:c r="E43" s="303" t="str">
        <x:v>Official company</x:v>
      </x:c>
      <x:c r="F43" s="303" t="str">
        <x:v>Johnson Controls — global legal entities</x:v>
      </x:c>
      <x:c r="G43" s="408" t="str">
        <x:v>https://www.johnsoncontrols.com/jci-global-entities</x:v>
      </x:c>
      <x:c r="H43" s="311" t="str">
        <x:v>Parent-company context</x:v>
      </x:c>
    </x:row>
    <x:row r="44" ht="42" customHeight="1">
      <x:c r="A44" s="330" t="n">
        <x:v>15</x:v>
      </x:c>
      <x:c r="B44" s="303" t="str">
        <x:v>FZPYZ11SFNA6</x:v>
      </x:c>
      <x:c r="C44" s="303" t="str">
        <x:v>TIMKEN GEARS &amp; SERVICES INC.</x:v>
      </x:c>
      <x:c r="D44" s="338" t="n">
        <x:v>1</x:v>
      </x:c>
      <x:c r="E44" s="303" t="str">
        <x:v>Official company</x:v>
      </x:c>
      <x:c r="F44" s="303" t="str">
        <x:v>Timken — powering naval ships</x:v>
      </x:c>
      <x:c r="G44" s="408" t="str">
        <x:v>https://www.timken.com/timken-world/powering-naval-ships-for-decades-of-service/</x:v>
      </x:c>
      <x:c r="H44" s="311" t="str">
        <x:v>Philadelphia Gear naval reduction-gear role</x:v>
      </x:c>
    </x:row>
    <x:row r="45" ht="42" customHeight="1">
      <x:c r="A45" s="330" t="n">
        <x:v>15</x:v>
      </x:c>
      <x:c r="B45" s="303" t="str">
        <x:v>FZPYZ11SFNA6</x:v>
      </x:c>
      <x:c r="C45" s="303" t="str">
        <x:v>TIMKEN GEARS &amp; SERVICES INC.</x:v>
      </x:c>
      <x:c r="D45" s="338" t="n">
        <x:v>2</x:v>
      </x:c>
      <x:c r="E45" s="303" t="str">
        <x:v>Official company</x:v>
      </x:c>
      <x:c r="F45" s="303" t="str">
        <x:v>Timken — DDG-51 main reduction gears</x:v>
      </x:c>
      <x:c r="G45" s="408" t="str">
        <x:v>https://news.timken.com/2023-02-21-Timken-to-Continue-to-Provide-Main-Reduction-Gears-for-U-S-Navy-Arleigh-Burke-DDG-51-Class-Ships</x:v>
      </x:c>
      <x:c r="H45" s="311" t="str">
        <x:v>Specific destroyer deliverable</x:v>
      </x:c>
    </x:row>
    <x:row r="46" ht="42" customHeight="1">
      <x:c r="A46" s="330" t="n">
        <x:v>15</x:v>
      </x:c>
      <x:c r="B46" s="303" t="str">
        <x:v>FZPYZ11SFNA6</x:v>
      </x:c>
      <x:c r="C46" s="303" t="str">
        <x:v>TIMKEN GEARS &amp; SERVICES INC.</x:v>
      </x:c>
      <x:c r="D46" s="338" t="n">
        <x:v>3</x:v>
      </x:c>
      <x:c r="E46" s="303" t="str">
        <x:v>Official company</x:v>
      </x:c>
      <x:c r="F46" s="303" t="str">
        <x:v>Timken — Philadelphia Gear acquisition</x:v>
      </x:c>
      <x:c r="G46" s="408" t="str">
        <x:v>https://news.timken.com/2011-07-01-Timken-Completes-Philadelphia-Gear-Acquisition</x:v>
      </x:c>
      <x:c r="H46" s="311" t="str">
        <x:v>Corporate ownership and operating-brand history</x:v>
      </x:c>
    </x:row>
    <x:row r="47" ht="42" customHeight="1">
      <x:c r="A47" s="330" t="n">
        <x:v>16</x:v>
      </x:c>
      <x:c r="B47" s="303" t="str">
        <x:v>HNAECT5M9TM4</x:v>
      </x:c>
      <x:c r="C47" s="303" t="str">
        <x:v>SOCAIL, LDA</x:v>
      </x:c>
      <x:c r="D47" s="338" t="n">
        <x:v>1</x:v>
      </x:c>
      <x:c r="E47" s="303" t="str">
        <x:v>Business directory</x:v>
      </x:c>
      <x:c r="F47" s="303" t="str">
        <x:v>Rota Nacional — SOCAIL business listing</x:v>
      </x:c>
      <x:c r="G47" s="408" t="str">
        <x:v>https://www.rotanacional.pt/anuncio/48017-socail-sociedade-de-canalizacoes-industriais-lda</x:v>
      </x:c>
      <x:c r="H47" s="311" t="str">
        <x:v>Legal-name expansion and industrial-piping activity</x:v>
      </x:c>
    </x:row>
    <x:row r="48" ht="42" customHeight="1">
      <x:c r="A48" s="330" t="n">
        <x:v>16</x:v>
      </x:c>
      <x:c r="B48" s="303" t="str">
        <x:v>HNAECT5M9TM4</x:v>
      </x:c>
      <x:c r="C48" s="303" t="str">
        <x:v>SOCAIL, LDA</x:v>
      </x:c>
      <x:c r="D48" s="338" t="n">
        <x:v>2</x:v>
      </x:c>
      <x:c r="E48" s="303" t="str">
        <x:v>Business directory</x:v>
      </x:c>
      <x:c r="F48" s="303" t="str">
        <x:v>Guia da Cidade — SOCAIL listing</x:v>
      </x:c>
      <x:c r="G48" s="408" t="str">
        <x:v>https://www.guiadacidade.pt/pt/e/socail-sociedade-de-canalizacoes-industriais-lda-1239978</x:v>
      </x:c>
      <x:c r="H48" s="311" t="str">
        <x:v>Location and piping-business corroboration</x:v>
      </x:c>
    </x:row>
    <x:row r="49" ht="42" customHeight="1">
      <x:c r="A49" s="330" t="n">
        <x:v>16</x:v>
      </x:c>
      <x:c r="B49" s="303" t="str">
        <x:v>HNAECT5M9TM4</x:v>
      </x:c>
      <x:c r="C49" s="303" t="str">
        <x:v>SOCAIL, LDA</x:v>
      </x:c>
      <x:c r="D49" s="338" t="n">
        <x:v>3</x:v>
      </x:c>
      <x:c r="E49" s="303" t="str">
        <x:v>Business directory</x:v>
      </x:c>
      <x:c r="F49" s="303" t="str">
        <x:v>Infoisinfo Seixal — SOCAIL listing</x:v>
      </x:c>
      <x:c r="G49" s="408" t="str">
        <x:v>https://seixal.infoisinfo.com.pt/ficha/socail_sociedade_de_canalizacoes_industriais_lda/76404</x:v>
      </x:c>
      <x:c r="H49" s="311" t="str">
        <x:v>Industrial piping/installation description</x:v>
      </x:c>
    </x:row>
    <x:row r="50" ht="42" customHeight="1">
      <x:c r="A50" s="330" t="n">
        <x:v>17</x:v>
      </x:c>
      <x:c r="B50" s="303" t="str">
        <x:v>KENVPMBVBT39</x:v>
      </x:c>
      <x:c r="C50" s="303" t="str">
        <x:v>RHOADS METAL FABRICATIONS, INC.</x:v>
      </x:c>
      <x:c r="D50" s="338" t="n">
        <x:v>1</x:v>
      </x:c>
      <x:c r="E50" s="303" t="str">
        <x:v>Official company</x:v>
      </x:c>
      <x:c r="F50" s="303" t="str">
        <x:v>Rhoads Industries — company home</x:v>
      </x:c>
      <x:c r="G50" s="408" t="str">
        <x:v>https://www.rhoadsinc.com/</x:v>
      </x:c>
      <x:c r="H50" s="311" t="str">
        <x:v>Operating brand and heavy-manufacturing capability</x:v>
      </x:c>
    </x:row>
    <x:row r="51" ht="42" customHeight="1">
      <x:c r="A51" s="330" t="n">
        <x:v>17</x:v>
      </x:c>
      <x:c r="B51" s="303" t="str">
        <x:v>KENVPMBVBT39</x:v>
      </x:c>
      <x:c r="C51" s="303" t="str">
        <x:v>RHOADS METAL FABRICATIONS, INC.</x:v>
      </x:c>
      <x:c r="D51" s="338" t="n">
        <x:v>2</x:v>
      </x:c>
      <x:c r="E51" s="303" t="str">
        <x:v>Official company</x:v>
      </x:c>
      <x:c r="F51" s="303" t="str">
        <x:v>Rhoads Industries — DoD capabilities</x:v>
      </x:c>
      <x:c r="G51" s="408" t="str">
        <x:v>https://www.rhoadsinc.com/capabilities/dod/</x:v>
      </x:c>
      <x:c r="H51" s="311" t="str">
        <x:v>Defense and submarine fabrication capabilities</x:v>
      </x:c>
    </x:row>
    <x:row r="52" ht="42" customHeight="1">
      <x:c r="A52" s="330" t="n">
        <x:v>17</x:v>
      </x:c>
      <x:c r="B52" s="303" t="str">
        <x:v>KENVPMBVBT39</x:v>
      </x:c>
      <x:c r="C52" s="303" t="str">
        <x:v>RHOADS METAL FABRICATIONS, INC.</x:v>
      </x:c>
      <x:c r="D52" s="338" t="n">
        <x:v>3</x:v>
      </x:c>
      <x:c r="E52" s="303" t="str">
        <x:v>Official company</x:v>
      </x:c>
      <x:c r="F52" s="303" t="str">
        <x:v>Rhoads Industries — Pier 6A submarine support expansion</x:v>
      </x:c>
      <x:c r="G52" s="408" t="str">
        <x:v>https://www.rhoadsinc.com/rhoads-industries-opens-new-high-capacity-pier-6a-to-support-u-s-navy-submarine-programs/</x:v>
      </x:c>
      <x:c r="H52" s="311" t="str">
        <x:v>Direct submarine-program and module-integration evidence</x:v>
      </x:c>
    </x:row>
    <x:row r="53" ht="42" customHeight="1">
      <x:c r="A53" s="330" t="n">
        <x:v>17</x:v>
      </x:c>
      <x:c r="B53" s="303" t="str">
        <x:v>KENVPMBVBT39</x:v>
      </x:c>
      <x:c r="C53" s="303" t="str">
        <x:v>RHOADS METAL FABRICATIONS, INC.</x:v>
      </x:c>
      <x:c r="D53" s="338" t="n">
        <x:v>4</x:v>
      </x:c>
      <x:c r="E53" s="303" t="str">
        <x:v>Official company</x:v>
      </x:c>
      <x:c r="F53" s="303" t="str">
        <x:v>Rhoads Industries — About</x:v>
      </x:c>
      <x:c r="G53" s="408" t="str">
        <x:v>https://www.rhoadsinc.com/about/</x:v>
      </x:c>
      <x:c r="H53" s="311" t="str">
        <x:v>Operating-entity history and site context</x:v>
      </x:c>
    </x:row>
    <x:row r="54" ht="42" customHeight="1">
      <x:c r="A54" s="330" t="n">
        <x:v>18</x:v>
      </x:c>
      <x:c r="B54" s="303" t="str">
        <x:v>JEP5GQGFPUL9</x:v>
      </x:c>
      <x:c r="C54" s="303" t="str">
        <x:v>PORTLAND VALVE LLC</x:v>
      </x:c>
      <x:c r="D54" s="338" t="n">
        <x:v>1</x:v>
      </x:c>
      <x:c r="E54" s="303" t="str">
        <x:v>Official company</x:v>
      </x:c>
      <x:c r="F54" s="303" t="str">
        <x:v>CIRCOR — Portland Valve</x:v>
      </x:c>
      <x:c r="G54" s="408" t="str">
        <x:v>https://www.circor.com/brands/portland-valve</x:v>
      </x:c>
      <x:c r="H54" s="311" t="str">
        <x:v>Brand, Navy products and services</x:v>
      </x:c>
    </x:row>
    <x:row r="55" ht="42" customHeight="1">
      <x:c r="A55" s="330" t="n">
        <x:v>18</x:v>
      </x:c>
      <x:c r="B55" s="303" t="str">
        <x:v>JEP5GQGFPUL9</x:v>
      </x:c>
      <x:c r="C55" s="303" t="str">
        <x:v>PORTLAND VALVE LLC</x:v>
      </x:c>
      <x:c r="D55" s="338" t="n">
        <x:v>2</x:v>
      </x:c>
      <x:c r="E55" s="303" t="str">
        <x:v>Official company</x:v>
      </x:c>
      <x:c r="F55" s="303" t="str">
        <x:v>CIRCOR — Portland Valve 50th anniversary</x:v>
      </x:c>
      <x:c r="G55" s="408" t="str">
        <x:v>https://www.circor.com/news/circor-brand-portland-valve-announces-50-year-anniversary</x:v>
      </x:c>
      <x:c r="H55" s="311" t="str">
        <x:v>Operating history and naval focus</x:v>
      </x:c>
    </x:row>
    <x:row r="56" ht="42" customHeight="1">
      <x:c r="A56" s="330" t="n">
        <x:v>18</x:v>
      </x:c>
      <x:c r="B56" s="303" t="str">
        <x:v>JEP5GQGFPUL9</x:v>
      </x:c>
      <x:c r="C56" s="303" t="str">
        <x:v>PORTLAND VALVE LLC</x:v>
      </x:c>
      <x:c r="D56" s="338" t="n">
        <x:v>3</x:v>
      </x:c>
      <x:c r="E56" s="303" t="str">
        <x:v>Owner website</x:v>
      </x:c>
      <x:c r="F56" s="303" t="str">
        <x:v>KKR — CIRCOR shared ownership program</x:v>
      </x:c>
      <x:c r="G56" s="408" t="str">
        <x:v>https://www.kkr.com/approach/shared-success/circor-international</x:v>
      </x:c>
      <x:c r="H56" s="311" t="str">
        <x:v>KKR ownership context</x:v>
      </x:c>
    </x:row>
    <x:row r="57" ht="42" customHeight="1">
      <x:c r="A57" s="330" t="n">
        <x:v>18</x:v>
      </x:c>
      <x:c r="B57" s="303" t="str">
        <x:v>JEP5GQGFPUL9</x:v>
      </x:c>
      <x:c r="C57" s="303" t="str">
        <x:v>PORTLAND VALVE LLC</x:v>
      </x:c>
      <x:c r="D57" s="338" t="n">
        <x:v>4</x:v>
      </x:c>
      <x:c r="E57" s="303" t="str">
        <x:v>News / transaction report</x:v>
      </x:c>
      <x:c r="F57" s="303" t="str">
        <x:v>Reuters — Parker to buy CIRCOR aerospace business</x:v>
      </x:c>
      <x:c r="G57" s="408" t="str">
        <x:v>https://www.reuters.com/legal/transactional/parker-hannifin-acquire-kkr-owned-circor-255-billion-2026-05-21/</x:v>
      </x:c>
      <x:c r="H57" s="311" t="str">
        <x:v>May 2026 transaction scope; KKR retained naval and industrial businesses</x:v>
      </x:c>
    </x:row>
    <x:row r="58" ht="42" customHeight="1">
      <x:c r="A58" s="330" t="n">
        <x:v>19</x:v>
      </x:c>
      <x:c r="B58" s="303" t="str">
        <x:v>NYGUEDY27AM8</x:v>
      </x:c>
      <x:c r="C58" s="303" t="str">
        <x:v>CURTISS-WRIGHT FLOW CONTROL CORPORATION</x:v>
      </x:c>
      <x:c r="D58" s="338" t="n">
        <x:v>1</x:v>
      </x:c>
      <x:c r="E58" s="303" t="str">
        <x:v>Official company</x:v>
      </x:c>
      <x:c r="F58" s="303" t="str">
        <x:v>Curtiss-Wright — Target Rock</x:v>
      </x:c>
      <x:c r="G58" s="408" t="str">
        <x:v>https://electro-mechanicalsystems.curtisswright.com/target-rock</x:v>
      </x:c>
      <x:c r="H58" s="311" t="str">
        <x:v>Operating unit and product portfolio</x:v>
      </x:c>
    </x:row>
    <x:row r="59" ht="42" customHeight="1">
      <x:c r="A59" s="330" t="n">
        <x:v>19</x:v>
      </x:c>
      <x:c r="B59" s="303" t="str">
        <x:v>NYGUEDY27AM8</x:v>
      </x:c>
      <x:c r="C59" s="303" t="str">
        <x:v>CURTISS-WRIGHT FLOW CONTROL CORPORATION</x:v>
      </x:c>
      <x:c r="D59" s="338" t="n">
        <x:v>2</x:v>
      </x:c>
      <x:c r="E59" s="303" t="str">
        <x:v>Official company</x:v>
      </x:c>
      <x:c r="F59" s="303" t="str">
        <x:v>Target Rock — About us</x:v>
      </x:c>
      <x:c r="G59" s="408" t="str">
        <x:v>https://electro-mechanicalsystems.curtisswright.com/target-rock/about-us</x:v>
      </x:c>
      <x:c r="H59" s="311" t="str">
        <x:v>Naval nuclear history and capability</x:v>
      </x:c>
    </x:row>
    <x:row r="60" ht="42" customHeight="1">
      <x:c r="A60" s="330" t="n">
        <x:v>19</x:v>
      </x:c>
      <x:c r="B60" s="303" t="str">
        <x:v>NYGUEDY27AM8</x:v>
      </x:c>
      <x:c r="C60" s="303" t="str">
        <x:v>CURTISS-WRIGHT FLOW CONTROL CORPORATION</x:v>
      </x:c>
      <x:c r="D60" s="338" t="n">
        <x:v>3</x:v>
      </x:c>
      <x:c r="E60" s="303" t="str">
        <x:v>Official company</x:v>
      </x:c>
      <x:c r="F60" s="303" t="str">
        <x:v>Curtiss-Wright — U.S. naval defense contracts</x:v>
      </x:c>
      <x:c r="G60" s="408" t="str">
        <x:v>https://electro-mechanicalsystems.curtisswright.com/news/news-details/2020/CURTISS-WRIGHT-AWARDED-CONTRACTS-VALUED-IN-EXCESS-OF-220-MILLION-TO-SUPPORT-CRITICAL-U.S.-NAVAL-DEFENSE-PLATFORMS</x:v>
      </x:c>
      <x:c r="H60" s="311" t="str">
        <x:v>Direct naval contract evidence</x:v>
      </x:c>
    </x:row>
    <x:row r="61" ht="42" customHeight="1">
      <x:c r="A61" s="330" t="n">
        <x:v>20</x:v>
      </x:c>
      <x:c r="B61" s="303" t="str">
        <x:v>JKZNKGGWYZ87</x:v>
      </x:c>
      <x:c r="C61" s="303" t="str">
        <x:v>CURTISS-WRIGHT ELECTRO-MECHANICAL CORPORATION</x:v>
      </x:c>
      <x:c r="D61" s="338" t="n">
        <x:v>1</x:v>
      </x:c>
      <x:c r="E61" s="303" t="str">
        <x:v>Official company</x:v>
      </x:c>
      <x:c r="F61" s="303" t="str">
        <x:v>Curtiss-Wright EMD — About us</x:v>
      </x:c>
      <x:c r="G61" s="408" t="str">
        <x:v>https://electro-mechanicalsystems.curtisswright.com/emd/about-us</x:v>
      </x:c>
      <x:c r="H61" s="311" t="str">
        <x:v>Cheswick operating identity and naval products</x:v>
      </x:c>
    </x:row>
    <x:row r="62" ht="42" customHeight="1">
      <x:c r="A62" s="330" t="n">
        <x:v>20</x:v>
      </x:c>
      <x:c r="B62" s="303" t="str">
        <x:v>JKZNKGGWYZ87</x:v>
      </x:c>
      <x:c r="C62" s="303" t="str">
        <x:v>CURTISS-WRIGHT ELECTRO-MECHANICAL CORPORATION</x:v>
      </x:c>
      <x:c r="D62" s="338" t="n">
        <x:v>2</x:v>
      </x:c>
      <x:c r="E62" s="303" t="str">
        <x:v>Official company</x:v>
      </x:c>
      <x:c r="F62" s="303" t="str">
        <x:v>Curtiss-Wright Electro-Mechanical Systems</x:v>
      </x:c>
      <x:c r="G62" s="408" t="str">
        <x:v>https://electro-mechanicalsystems.curtisswright.com/</x:v>
      </x:c>
      <x:c r="H62" s="311" t="str">
        <x:v>Division portfolio</x:v>
      </x:c>
    </x:row>
    <x:row r="63" ht="42" customHeight="1">
      <x:c r="A63" s="330" t="n">
        <x:v>20</x:v>
      </x:c>
      <x:c r="B63" s="303" t="str">
        <x:v>JKZNKGGWYZ87</x:v>
      </x:c>
      <x:c r="C63" s="303" t="str">
        <x:v>CURTISS-WRIGHT ELECTRO-MECHANICAL CORPORATION</x:v>
      </x:c>
      <x:c r="D63" s="338" t="n">
        <x:v>3</x:v>
      </x:c>
      <x:c r="E63" s="303" t="str">
        <x:v>Official company</x:v>
      </x:c>
      <x:c r="F63" s="303" t="str">
        <x:v>Curtiss-Wright — naval-defense contracts in western Pennsylvania</x:v>
      </x:c>
      <x:c r="G63" s="408" t="str">
        <x:v>https://electro-mechanicalsystems.curtisswright.com/news/news-details/2023/Deluzio-Announces-More-Than-100-Million-in-Naval-Defense-Contracts-for-Local-Business-in-His-Western-Pennsylvania-District</x:v>
      </x:c>
      <x:c r="H63" s="311" t="str">
        <x:v>Direct naval contract evidence</x:v>
      </x:c>
    </x:row>
    <x:row r="64" ht="42" customHeight="1">
      <x:c r="A64" s="330" t="n">
        <x:v>21</x:v>
      </x:c>
      <x:c r="B64" s="303" t="str">
        <x:v>PQGNEEY9W5M3</x:v>
      </x:c>
      <x:c r="C64" s="303" t="str">
        <x:v>NORTHROP GRUMMAN SYSTEMS CORPORATION</x:v>
      </x:c>
      <x:c r="D64" s="338" t="n">
        <x:v>1</x:v>
      </x:c>
      <x:c r="E64" s="303" t="str">
        <x:v>Official company</x:v>
      </x:c>
      <x:c r="F64" s="303" t="str">
        <x:v>Northrop Grumman — integrated bridge, navigation and steering systems</x:v>
      </x:c>
      <x:c r="G64" s="408" t="str">
        <x:v>https://investor.northropgrumman.com/news-releases/news-release-details/northrop-grumman-provide-integrated-bridge-navigation-and</x:v>
      </x:c>
      <x:c r="H64" s="311" t="str">
        <x:v>DDG-51 bridge/navigation system role</x:v>
      </x:c>
    </x:row>
    <x:row r="65" ht="42" customHeight="1">
      <x:c r="A65" s="330" t="n">
        <x:v>21</x:v>
      </x:c>
      <x:c r="B65" s="303" t="str">
        <x:v>PQGNEEY9W5M3</x:v>
      </x:c>
      <x:c r="C65" s="303" t="str">
        <x:v>NORTHROP GRUMMAN SYSTEMS CORPORATION</x:v>
      </x:c>
      <x:c r="D65" s="338" t="n">
        <x:v>2</x:v>
      </x:c>
      <x:c r="E65" s="303" t="str">
        <x:v>Official company</x:v>
      </x:c>
      <x:c r="F65" s="303" t="str">
        <x:v>Northrop Grumman — maritime navigation sensor</x:v>
      </x:c>
      <x:c r="G65" s="408" t="str">
        <x:v>https://news.northropgrumman.com/navigation-systems/northrop-grumman-to-produce-new-maritime-navigation-sensor-for-u-s-navy</x:v>
      </x:c>
      <x:c r="H65" s="311" t="str">
        <x:v>Inertial-navigation capability</x:v>
      </x:c>
    </x:row>
    <x:row r="66" ht="42" customHeight="1">
      <x:c r="A66" s="330" t="n">
        <x:v>21</x:v>
      </x:c>
      <x:c r="B66" s="303" t="str">
        <x:v>PQGNEEY9W5M3</x:v>
      </x:c>
      <x:c r="C66" s="303" t="str">
        <x:v>NORTHROP GRUMMAN SYSTEMS CORPORATION</x:v>
      </x:c>
      <x:c r="D66" s="338" t="n">
        <x:v>3</x:v>
      </x:c>
      <x:c r="E66" s="303" t="str">
        <x:v>Official company</x:v>
      </x:c>
      <x:c r="F66" s="303" t="str">
        <x:v>Northrop Grumman — steering gear systems for Arleigh Burke destroyers</x:v>
      </x:c>
      <x:c r="G66" s="408" t="str">
        <x:v>https://investor.northropgrumman.com/news-releases/news-release-details/northrop-grumman-supply-steering-gear-systems-arleigh-burke</x:v>
      </x:c>
      <x:c r="H66" s="311" t="str">
        <x:v>Specific steering-system deliverable</x:v>
      </x:c>
    </x:row>
    <x:row r="67" ht="42" customHeight="1">
      <x:c r="A67" s="330" t="n">
        <x:v>21</x:v>
      </x:c>
      <x:c r="B67" s="303" t="str">
        <x:v>PQGNEEY9W5M3</x:v>
      </x:c>
      <x:c r="C67" s="303" t="str">
        <x:v>NORTHROP GRUMMAN SYSTEMS CORPORATION</x:v>
      </x:c>
      <x:c r="D67" s="338" t="n">
        <x:v>4</x:v>
      </x:c>
      <x:c r="E67" s="303" t="str">
        <x:v>Federal registration aggregator</x:v>
      </x:c>
      <x:c r="F67" s="303" t="str">
        <x:v>HigherGov — Northrop Grumman Charlottesville entity profile</x:v>
      </x:c>
      <x:c r="G67" s="408" t="str">
        <x:v>https://www.highergov.com/awardee/northrop-grumman-systems-corporation-10111509/</x:v>
      </x:c>
      <x:c r="H67" s="311" t="str">
        <x:v>CAGE/site corroboration</x:v>
      </x:c>
    </x:row>
    <x:row r="68" ht="42" customHeight="1">
      <x:c r="A68" s="330" t="n">
        <x:v>22</x:v>
      </x:c>
      <x:c r="B68" s="303" t="str">
        <x:v>SX6BF52K2WB1</x:v>
      </x:c>
      <x:c r="C68" s="303" t="str">
        <x:v>VACCO INDUSTRIES</x:v>
      </x:c>
      <x:c r="D68" s="338" t="n">
        <x:v>1</x:v>
      </x:c>
      <x:c r="E68" s="303" t="str">
        <x:v>Official company</x:v>
      </x:c>
      <x:c r="F68" s="303" t="str">
        <x:v>VACCO — Navy overview</x:v>
      </x:c>
      <x:c r="G68" s="408" t="str">
        <x:v>https://www.vacco.com/index.php/navy/overview</x:v>
      </x:c>
      <x:c r="H68" s="311" t="str">
        <x:v>Naval fluid-control products and applications</x:v>
      </x:c>
    </x:row>
    <x:row r="69" ht="42" customHeight="1">
      <x:c r="A69" s="330" t="n">
        <x:v>22</x:v>
      </x:c>
      <x:c r="B69" s="303" t="str">
        <x:v>SX6BF52K2WB1</x:v>
      </x:c>
      <x:c r="C69" s="303" t="str">
        <x:v>VACCO INDUSTRIES</x:v>
      </x:c>
      <x:c r="D69" s="338" t="n">
        <x:v>2</x:v>
      </x:c>
      <x:c r="E69" s="303" t="str">
        <x:v>Official company</x:v>
      </x:c>
      <x:c r="F69" s="303" t="str">
        <x:v>VACCO Industries — company home</x:v>
      </x:c>
      <x:c r="G69" s="408" t="str">
        <x:v>https://www.vacco.com/</x:v>
      </x:c>
      <x:c r="H69" s="311" t="str">
        <x:v>Operating-company identity and capabilities</x:v>
      </x:c>
    </x:row>
    <x:row r="70" ht="42" customHeight="1">
      <x:c r="A70" s="330" t="n">
        <x:v>22</x:v>
      </x:c>
      <x:c r="B70" s="303" t="str">
        <x:v>SX6BF52K2WB1</x:v>
      </x:c>
      <x:c r="C70" s="303" t="str">
        <x:v>VACCO INDUSTRIES</x:v>
      </x:c>
      <x:c r="D70" s="338" t="n">
        <x:v>3</x:v>
      </x:c>
      <x:c r="E70" s="303" t="str">
        <x:v>Official company</x:v>
      </x:c>
      <x:c r="F70" s="303" t="str">
        <x:v>RBC Bearings — completed VACCO acquisition</x:v>
      </x:c>
      <x:c r="G70" s="408" t="str">
        <x:v>https://investor.rbcbearings.com/news-releases/news-release-details/rbc-bearings-incorporated-completes-acquisition-vacco-industries</x:v>
      </x:c>
      <x:c r="H70" s="311" t="str">
        <x:v>Current ownership effective July 2025</x:v>
      </x:c>
    </x:row>
    <x:row r="71" ht="42" customHeight="1">
      <x:c r="A71" s="330" t="n">
        <x:v>23</x:v>
      </x:c>
      <x:c r="B71" s="303" t="str">
        <x:v>ZW3UMG9YVNA9</x:v>
      </x:c>
      <x:c r="C71" s="303" t="str">
        <x:v>L-3 COMMUNICATIONS WESTWOOD CORPORATION</x:v>
      </x:c>
      <x:c r="D71" s="338" t="n">
        <x:v>1</x:v>
      </x:c>
      <x:c r="E71" s="303" t="str">
        <x:v>Official company</x:v>
      </x:c>
      <x:c r="F71" s="303" t="str">
        <x:v>L3Harris — Marine power distribution</x:v>
      </x:c>
      <x:c r="G71" s="408" t="str">
        <x:v>https://www.l3harris.com/all-capabilities/marine-power-distribution</x:v>
      </x:c>
      <x:c r="H71" s="311" t="str">
        <x:v>Operating portfolio</x:v>
      </x:c>
    </x:row>
    <x:row r="72" ht="42" customHeight="1">
      <x:c r="A72" s="330" t="n">
        <x:v>23</x:v>
      </x:c>
      <x:c r="B72" s="303" t="str">
        <x:v>ZW3UMG9YVNA9</x:v>
      </x:c>
      <x:c r="C72" s="303" t="str">
        <x:v>L-3 COMMUNICATIONS WESTWOOD CORPORATION</x:v>
      </x:c>
      <x:c r="D72" s="338" t="n">
        <x:v>2</x:v>
      </x:c>
      <x:c r="E72" s="303" t="str">
        <x:v>Official company</x:v>
      </x:c>
      <x:c r="F72" s="303" t="str">
        <x:v>L3Harris — military specification switchboards and loadcenters</x:v>
      </x:c>
      <x:c r="G72" s="408" t="str">
        <x:v>https://www.l3harris.com/all-capabilities/military-specification-switchboards-and-loadcenters</x:v>
      </x:c>
      <x:c r="H72" s="311" t="str">
        <x:v>Specific products</x:v>
      </x:c>
    </x:row>
    <x:row r="73" ht="42" customHeight="1">
      <x:c r="A73" s="330" t="n">
        <x:v>23</x:v>
      </x:c>
      <x:c r="B73" s="303" t="str">
        <x:v>ZW3UMG9YVNA9</x:v>
      </x:c>
      <x:c r="C73" s="303" t="str">
        <x:v>L-3 COMMUNICATIONS WESTWOOD CORPORATION</x:v>
      </x:c>
      <x:c r="D73" s="338" t="n">
        <x:v>3</x:v>
      </x:c>
      <x:c r="E73" s="303" t="str">
        <x:v>Official company</x:v>
      </x:c>
      <x:c r="F73" s="303" t="str">
        <x:v>L3Harris — distribution panels, consoles and panelboards</x:v>
      </x:c>
      <x:c r="G73" s="408" t="str">
        <x:v>https://www.l3harris.com/all-capabilities/power-distribution-panels-control-console-workstation-and-panel-boards</x:v>
      </x:c>
      <x:c r="H73" s="311" t="str">
        <x:v>Additional product lines</x:v>
      </x:c>
    </x:row>
    <x:row r="74" ht="42" customHeight="1">
      <x:c r="A74" s="330" t="n">
        <x:v>24</x:v>
      </x:c>
      <x:c r="B74" s="303" t="str">
        <x:v>WMXDDH6HJNA5</x:v>
      </x:c>
      <x:c r="C74" s="303" t="str">
        <x:v>HUNTINGTON INGALLS INCORPORATED</x:v>
      </x:c>
      <x:c r="D74" s="338" t="n">
        <x:v>1</x:v>
      </x:c>
      <x:c r="E74" s="303" t="str">
        <x:v>Official company</x:v>
      </x:c>
      <x:c r="F74" s="303" t="str">
        <x:v>HII — Submarines capability</x:v>
      </x:c>
      <x:c r="G74" s="408" t="str">
        <x:v>https://www.hii.com/capabilities/submarines</x:v>
      </x:c>
      <x:c r="H74" s="311" t="str">
        <x:v>Newport News Shipbuilding submarine role</x:v>
      </x:c>
    </x:row>
    <x:row r="75" ht="42" customHeight="1">
      <x:c r="A75" s="330" t="n">
        <x:v>24</x:v>
      </x:c>
      <x:c r="B75" s="303" t="str">
        <x:v>WMXDDH6HJNA5</x:v>
      </x:c>
      <x:c r="C75" s="303" t="str">
        <x:v>HUNTINGTON INGALLS INCORPORATED</x:v>
      </x:c>
      <x:c r="D75" s="338" t="n">
        <x:v>2</x:v>
      </x:c>
      <x:c r="E75" s="303" t="str">
        <x:v>Official company</x:v>
      </x:c>
      <x:c r="F75" s="303" t="str">
        <x:v>HII — first Columbia-class submarine modules contract</x:v>
      </x:c>
      <x:c r="G75" s="408" t="str">
        <x:v>https://hii.com/news/huntington-ingalls-industries-awarded-contract-for-construction-of-first-two-columbia-class-submarine-modules</x:v>
      </x:c>
      <x:c r="H75" s="311" t="str">
        <x:v>Specific module-construction scope</x:v>
      </x:c>
    </x:row>
    <x:row r="76" ht="42" customHeight="1">
      <x:c r="A76" s="330" t="n">
        <x:v>24</x:v>
      </x:c>
      <x:c r="B76" s="303" t="str">
        <x:v>WMXDDH6HJNA5</x:v>
      </x:c>
      <x:c r="C76" s="303" t="str">
        <x:v>HUNTINGTON INGALLS INCORPORATED</x:v>
      </x:c>
      <x:c r="D76" s="338" t="n">
        <x:v>3</x:v>
      </x:c>
      <x:c r="E76" s="303" t="str">
        <x:v>Official company</x:v>
      </x:c>
      <x:c r="F76" s="303" t="str">
        <x:v>HII — first Columbia-class stern delivery</x:v>
      </x:c>
      <x:c r="G76" s="408" t="str">
        <x:v>https://hii.com/news/hii-newport-news-shipbuilding-delivers-first-columbia-class-stern</x:v>
      </x:c>
      <x:c r="H76" s="311" t="str">
        <x:v>Specific delivered module</x:v>
      </x:c>
    </x:row>
    <x:row r="77" ht="42" customHeight="1">
      <x:c r="A77" s="330" t="n">
        <x:v>25</x:v>
      </x:c>
      <x:c r="B77" s="303" t="str">
        <x:v>G9HKMXL5L973</x:v>
      </x:c>
      <x:c r="C77" s="303" t="str">
        <x:v>OIL STATES INDUSTRIES, INC</x:v>
      </x:c>
      <x:c r="D77" s="338" t="n">
        <x:v>1</x:v>
      </x:c>
      <x:c r="E77" s="303" t="str">
        <x:v>Official company</x:v>
      </x:c>
      <x:c r="F77" s="303" t="str">
        <x:v>Oil States International — Offshore/industrial products group</x:v>
      </x:c>
      <x:c r="G77" s="408" t="str">
        <x:v>https://www.oilstatesintl.com/our-company/offshore-construction-group-523.html</x:v>
      </x:c>
      <x:c r="H77" s="311" t="str">
        <x:v>Parent-company and engineered-products context</x:v>
      </x:c>
    </x:row>
    <x:row r="78" ht="42" customHeight="1">
      <x:c r="A78" s="330" t="n">
        <x:v>25</x:v>
      </x:c>
      <x:c r="B78" s="303" t="str">
        <x:v>G9HKMXL5L973</x:v>
      </x:c>
      <x:c r="C78" s="303" t="str">
        <x:v>OIL STATES INDUSTRIES, INC</x:v>
      </x:c>
      <x:c r="D78" s="338" t="n">
        <x:v>2</x:v>
      </x:c>
      <x:c r="E78" s="303" t="str">
        <x:v>NSN / procurement data</x:v>
      </x:c>
      <x:c r="F78" s="303" t="str">
        <x:v>WBParts — Oil States resilient mount NSN</x:v>
      </x:c>
      <x:c r="G78" s="408" t="str">
        <x:v>https://www.wbparts.com/rfq/5342-01-020-5071.html</x:v>
      </x:c>
      <x:c r="H78" s="311" t="str">
        <x:v>Manufacturer and resilient-mount item corroboration</x:v>
      </x:c>
    </x:row>
    <x:row r="79" ht="42" customHeight="1">
      <x:c r="A79" s="330" t="n">
        <x:v>25</x:v>
      </x:c>
      <x:c r="B79" s="303" t="str">
        <x:v>G9HKMXL5L973</x:v>
      </x:c>
      <x:c r="C79" s="303" t="str">
        <x:v>OIL STATES INDUSTRIES, INC</x:v>
      </x:c>
      <x:c r="D79" s="338" t="n">
        <x:v>3</x:v>
      </x:c>
      <x:c r="E79" s="303" t="str">
        <x:v>Federal procurement aggregator</x:v>
      </x:c>
      <x:c r="F79" s="303" t="str">
        <x:v>HigherGov — Navy resilient mount solicitation</x:v>
      </x:c>
      <x:c r="G79" s="408" t="str">
        <x:v>https://www.highergov.com/contract-opportunity/5342-resilient-mount-n0040625q0306-o-09ea3/</x:v>
      </x:c>
      <x:c r="H79" s="311" t="str">
        <x:v>Navy resilient-mount procurement context</x:v>
      </x:c>
    </x:row>
    <x:row r="80" ht="42" customHeight="1">
      <x:c r="A80" s="330" t="n">
        <x:v>26</x:v>
      </x:c>
      <x:c r="B80" s="303" t="str">
        <x:v>FK17Z7DJWLL1</x:v>
      </x:c>
      <x:c r="C80" s="303" t="str">
        <x:v>Apco Technologies SA</x:v>
      </x:c>
      <x:c r="D80" s="338" t="n">
        <x:v>1</x:v>
      </x:c>
      <x:c r="E80" s="303" t="str">
        <x:v>Official company</x:v>
      </x:c>
      <x:c r="F80" s="303" t="str">
        <x:v>APCO Technologies — company and capabilities</x:v>
      </x:c>
      <x:c r="G80" s="408" t="str">
        <x:v>https://www.apco-technologies.eu/</x:v>
      </x:c>
      <x:c r="H80" s="311" t="str">
        <x:v>Family ownership, engineering, manufacturing, positioning, robotics and shipbuilding solutions</x:v>
      </x:c>
    </x:row>
    <x:row r="81" ht="42" customHeight="1">
      <x:c r="A81" s="330" t="n">
        <x:v>27</x:v>
      </x:c>
      <x:c r="B81" s="303" t="str">
        <x:v>F42BKS7EHCL8</x:v>
      </x:c>
      <x:c r="C81" s="303" t="str">
        <x:v>EMS DEVELOPMENT CORPORATION</x:v>
      </x:c>
      <x:c r="D81" s="338" t="n">
        <x:v>1</x:v>
      </x:c>
      <x:c r="E81" s="303" t="str">
        <x:v>Official company</x:v>
      </x:c>
      <x:c r="F81" s="303" t="str">
        <x:v>ESCO Technologies — completed Signature Management &amp; Power acquisition</x:v>
      </x:c>
      <x:c r="G81" s="408" t="str">
        <x:v>https://investor.escotechnologies.com/news-releases/news-release-details/esco-completes-acquisition-smp</x:v>
      </x:c>
      <x:c r="H81" s="311" t="str">
        <x:v>Current ownership and signature/power-management portfolio</x:v>
      </x:c>
    </x:row>
    <x:row r="82" ht="42" customHeight="1">
      <x:c r="A82" s="330" t="n">
        <x:v>27</x:v>
      </x:c>
      <x:c r="B82" s="303" t="str">
        <x:v>F42BKS7EHCL8</x:v>
      </x:c>
      <x:c r="C82" s="303" t="str">
        <x:v>EMS DEVELOPMENT CORPORATION</x:v>
      </x:c>
      <x:c r="D82" s="338" t="n">
        <x:v>2</x:v>
      </x:c>
      <x:c r="E82" s="303" t="str">
        <x:v>Federal registration aggregator</x:v>
      </x:c>
      <x:c r="F82" s="303" t="str">
        <x:v>HigherGov — EMS Development Corporation entity profile</x:v>
      </x:c>
      <x:c r="G82" s="408" t="str">
        <x:v>https://www.highergov.com/awardee/ems-development-corporation-10119694/</x:v>
      </x:c>
      <x:c r="H82" s="311" t="str">
        <x:v>UEI/CAGE and federal-registration corroboration</x:v>
      </x:c>
    </x:row>
    <x:row r="83" ht="42" customHeight="1">
      <x:c r="A83" s="330" t="n">
        <x:v>27</x:v>
      </x:c>
      <x:c r="B83" s="303" t="str">
        <x:v>F42BKS7EHCL8</x:v>
      </x:c>
      <x:c r="C83" s="303" t="str">
        <x:v>EMS DEVELOPMENT CORPORATION</x:v>
      </x:c>
      <x:c r="D83" s="338" t="n">
        <x:v>3</x:v>
      </x:c>
      <x:c r="E83" s="303" t="str">
        <x:v>Employer / industry profile</x:v>
      </x:c>
      <x:c r="F83" s="303" t="str">
        <x:v>CircaWorks — EMS Development company profile</x:v>
      </x:c>
      <x:c r="G83" s="408" t="str">
        <x:v>https://employer.circaworks.com/company/profile/EMS-Development-Corporation/6BF164B4A40A4E3CB377EFC0857DFA7F</x:v>
      </x:c>
      <x:c r="H83" s="311" t="str">
        <x:v>Operating products and capabilities corroboration</x:v>
      </x:c>
    </x:row>
    <x:row r="84" ht="42" customHeight="1">
      <x:c r="A84" s="330" t="n">
        <x:v>28</x:v>
      </x:c>
      <x:c r="B84" s="303" t="str">
        <x:v>PAH8M4BJACA5</x:v>
      </x:c>
      <x:c r="C84" s="303" t="str">
        <x:v>TELEDYNE INSTRUMENTS, INC.</x:v>
      </x:c>
      <x:c r="D84" s="338" t="n">
        <x:v>1</x:v>
      </x:c>
      <x:c r="E84" s="303" t="str">
        <x:v>Official company</x:v>
      </x:c>
      <x:c r="F84" s="303" t="str">
        <x:v>Teledyne Marine — D.G. O’Brien brand</x:v>
      </x:c>
      <x:c r="G84" s="408" t="str">
        <x:v>https://www.teledynemarine.com/brands/dgo</x:v>
      </x:c>
      <x:c r="H84" s="311" t="str">
        <x:v>Operating-unit identity</x:v>
      </x:c>
    </x:row>
    <x:row r="85" ht="42" customHeight="1">
      <x:c r="A85" s="330" t="n">
        <x:v>28</x:v>
      </x:c>
      <x:c r="B85" s="303" t="str">
        <x:v>PAH8M4BJACA5</x:v>
      </x:c>
      <x:c r="C85" s="303" t="str">
        <x:v>TELEDYNE INSTRUMENTS, INC.</x:v>
      </x:c>
      <x:c r="D85" s="338" t="n">
        <x:v>2</x:v>
      </x:c>
      <x:c r="E85" s="303" t="str">
        <x:v>Official company</x:v>
      </x:c>
      <x:c r="F85" s="303" t="str">
        <x:v>Teledyne Marine — pressure hull penetrator</x:v>
      </x:c>
      <x:c r="G85" s="408" t="str">
        <x:v>https://www.teledynemarine.com/brands/dgo/pressure-hull-penetrator</x:v>
      </x:c>
      <x:c r="H85" s="311" t="str">
        <x:v>Specific product</x:v>
      </x:c>
    </x:row>
    <x:row r="86" ht="42" customHeight="1">
      <x:c r="A86" s="330" t="n">
        <x:v>28</x:v>
      </x:c>
      <x:c r="B86" s="303" t="str">
        <x:v>PAH8M4BJACA5</x:v>
      </x:c>
      <x:c r="C86" s="303" t="str">
        <x:v>TELEDYNE INSTRUMENTS, INC.</x:v>
      </x:c>
      <x:c r="D86" s="338" t="n">
        <x:v>3</x:v>
      </x:c>
      <x:c r="E86" s="303" t="str">
        <x:v>Official company</x:v>
      </x:c>
      <x:c r="F86" s="303" t="str">
        <x:v>Teledyne Marine — DGO products</x:v>
      </x:c>
      <x:c r="G86" s="408" t="str">
        <x:v>https://www.teledynemarine.com/dgo-products</x:v>
      </x:c>
      <x:c r="H86" s="311" t="str">
        <x:v>Connector, penetrator and cable product portfolio</x:v>
      </x:c>
    </x:row>
    <x:row r="87" ht="42" customHeight="1">
      <x:c r="A87" s="330" t="n">
        <x:v>28</x:v>
      </x:c>
      <x:c r="B87" s="303" t="str">
        <x:v>PAH8M4BJACA5</x:v>
      </x:c>
      <x:c r="C87" s="303" t="str">
        <x:v>TELEDYNE INSTRUMENTS, INC.</x:v>
      </x:c>
      <x:c r="D87" s="338" t="n">
        <x:v>4</x:v>
      </x:c>
      <x:c r="E87" s="303" t="str">
        <x:v>CAGE directory</x:v>
      </x:c>
      <x:c r="F87" s="303" t="str">
        <x:v>LQ Lite — CAGE 17476</x:v>
      </x:c>
      <x:c r="G87" s="408" t="str">
        <x:v>https://www.lqlite.com/CAGE/17476/1</x:v>
      </x:c>
      <x:c r="H87" s="311" t="str">
        <x:v>CAGE/site corroboration</x:v>
      </x:c>
    </x:row>
    <x:row r="88" ht="42" customHeight="1">
      <x:c r="A88" s="330" t="n">
        <x:v>29</x:v>
      </x:c>
      <x:c r="B88" s="303" t="str">
        <x:v>F2LEAK3EK9R3</x:v>
      </x:c>
      <x:c r="C88" s="303" t="str">
        <x:v>THE GRAHAM CORPORATION</x:v>
      </x:c>
      <x:c r="D88" s="338" t="n">
        <x:v>1</x:v>
      </x:c>
      <x:c r="E88" s="303" t="str">
        <x:v>Official company</x:v>
      </x:c>
      <x:c r="F88" s="303" t="str">
        <x:v>Graham Corporation Form 10-K — naval applications</x:v>
      </x:c>
      <x:c r="G88" s="408" t="str">
        <x:v>https://ir.grahamcorp.com/sec-filings/all-sec-filings/content/0000950170-24-070222/ghm-20240331.htm</x:v>
      </x:c>
      <x:c r="H88" s="311" t="str">
        <x:v>Product portfolio and naval nuclear market</x:v>
      </x:c>
    </x:row>
    <x:row r="89" ht="42" customHeight="1">
      <x:c r="A89" s="330" t="n">
        <x:v>29</x:v>
      </x:c>
      <x:c r="B89" s="303" t="str">
        <x:v>F2LEAK3EK9R3</x:v>
      </x:c>
      <x:c r="C89" s="303" t="str">
        <x:v>THE GRAHAM CORPORATION</x:v>
      </x:c>
      <x:c r="D89" s="338" t="n">
        <x:v>2</x:v>
      </x:c>
      <x:c r="E89" s="303" t="str">
        <x:v>Official company</x:v>
      </x:c>
      <x:c r="F89" s="303" t="str">
        <x:v>Graham — shipment of U.S. Navy first-article units</x:v>
      </x:c>
      <x:c r="G89" s="408" t="str">
        <x:v>https://ir.grahamcorp.com/news-events/press-releases/detail/345/graham-corporation-ships-final-first-article-units-for-u-s</x:v>
      </x:c>
      <x:c r="H89" s="311" t="str">
        <x:v>Direct Navy equipment delivery</x:v>
      </x:c>
    </x:row>
    <x:row r="90" ht="42" customHeight="1">
      <x:c r="A90" s="330" t="n">
        <x:v>29</x:v>
      </x:c>
      <x:c r="B90" s="303" t="str">
        <x:v>F2LEAK3EK9R3</x:v>
      </x:c>
      <x:c r="C90" s="303" t="str">
        <x:v>THE GRAHAM CORPORATION</x:v>
      </x:c>
      <x:c r="D90" s="338" t="n">
        <x:v>3</x:v>
      </x:c>
      <x:c r="E90" s="303" t="str">
        <x:v>Federal registration aggregator</x:v>
      </x:c>
      <x:c r="F90" s="303" t="str">
        <x:v>HigherGov — Graham Corporation entity profile</x:v>
      </x:c>
      <x:c r="G90" s="408" t="str">
        <x:v>https://www.highergov.com/awardee/graham-corporation-10036571/</x:v>
      </x:c>
      <x:c r="H90" s="311" t="str">
        <x:v>UEI/CAGE corroboration</x:v>
      </x:c>
    </x:row>
    <x:row r="91" ht="42" customHeight="1">
      <x:c r="A91" s="330" t="n">
        <x:v>30</x:v>
      </x:c>
      <x:c r="B91" s="303" t="str">
        <x:v>QGB4RDYJNJT9</x:v>
      </x:c>
      <x:c r="C91" s="303" t="str">
        <x:v>ELLWOOD NATIONAL FORGE COMPANY</x:v>
      </x:c>
      <x:c r="D91" s="338" t="n">
        <x:v>1</x:v>
      </x:c>
      <x:c r="E91" s="303" t="str">
        <x:v>Official company</x:v>
      </x:c>
      <x:c r="F91" s="303" t="str">
        <x:v>ELLWOOD National Forge — Shipbuilding</x:v>
      </x:c>
      <x:c r="G91" s="408" t="str">
        <x:v>https://www.ellwoodnationalforge.com/markets-served/shipbuilding/</x:v>
      </x:c>
      <x:c r="H91" s="311" t="str">
        <x:v>Defense shipbuilding products and customer role</x:v>
      </x:c>
    </x:row>
    <x:row r="92" ht="42" customHeight="1">
      <x:c r="A92" s="330" t="n">
        <x:v>30</x:v>
      </x:c>
      <x:c r="B92" s="303" t="str">
        <x:v>QGB4RDYJNJT9</x:v>
      </x:c>
      <x:c r="C92" s="303" t="str">
        <x:v>ELLWOOD NATIONAL FORGE COMPANY</x:v>
      </x:c>
      <x:c r="D92" s="338" t="n">
        <x:v>2</x:v>
      </x:c>
      <x:c r="E92" s="303" t="str">
        <x:v>Official company</x:v>
      </x:c>
      <x:c r="F92" s="303" t="str">
        <x:v>ELLWOOD National Forge — Forging capabilities</x:v>
      </x:c>
      <x:c r="G92" s="408" t="str">
        <x:v>https://www.ellwoodnationalforge.com/capabilities/forging/</x:v>
      </x:c>
      <x:c r="H92" s="311" t="str">
        <x:v>Open-die forging processes and product forms</x:v>
      </x:c>
    </x:row>
    <x:row r="93" ht="42" customHeight="1">
      <x:c r="A93" s="330" t="n">
        <x:v>31</x:v>
      </x:c>
      <x:c r="B93" s="303" t="str">
        <x:v>RG6LJJM6JBS3</x:v>
      </x:c>
      <x:c r="C93" s="303" t="str">
        <x:v>AUSTAL USA, LLC</x:v>
      </x:c>
      <x:c r="D93" s="338" t="n">
        <x:v>1</x:v>
      </x:c>
      <x:c r="E93" s="303" t="str">
        <x:v>Official company</x:v>
      </x:c>
      <x:c r="F93" s="303" t="str">
        <x:v>Austal USA — Submarines</x:v>
      </x:c>
      <x:c r="G93" s="408" t="str">
        <x:v>https://www.austalusa.com/submarines</x:v>
      </x:c>
      <x:c r="H93" s="311" t="str">
        <x:v>Virginia- and Columbia-class module products</x:v>
      </x:c>
    </x:row>
    <x:row r="94" ht="42" customHeight="1">
      <x:c r="A94" s="330" t="n">
        <x:v>31</x:v>
      </x:c>
      <x:c r="B94" s="303" t="str">
        <x:v>RG6LJJM6JBS3</x:v>
      </x:c>
      <x:c r="C94" s="303" t="str">
        <x:v>AUSTAL USA, LLC</x:v>
      </x:c>
      <x:c r="D94" s="338" t="n">
        <x:v>2</x:v>
      </x:c>
      <x:c r="E94" s="303" t="str">
        <x:v>Official company</x:v>
      </x:c>
      <x:c r="F94" s="303" t="str">
        <x:v>Austal USA — Who we are</x:v>
      </x:c>
      <x:c r="G94" s="408" t="str">
        <x:v>https://www.austalusa.com/who-we-are</x:v>
      </x:c>
      <x:c r="H94" s="311" t="str">
        <x:v>Operating-company identity and ownership context</x:v>
      </x:c>
    </x:row>
    <x:row r="95" ht="42" customHeight="1">
      <x:c r="A95" s="330" t="n">
        <x:v>31</x:v>
      </x:c>
      <x:c r="B95" s="303" t="str">
        <x:v>RG6LJJM6JBS3</x:v>
      </x:c>
      <x:c r="C95" s="303" t="str">
        <x:v>AUSTAL USA, LLC</x:v>
      </x:c>
      <x:c r="D95" s="338" t="n">
        <x:v>3</x:v>
      </x:c>
      <x:c r="E95" s="303" t="str">
        <x:v>Official company</x:v>
      </x:c>
      <x:c r="F95" s="303" t="str">
        <x:v>Austal USA — company home</x:v>
      </x:c>
      <x:c r="G95" s="408" t="str">
        <x:v>https://www.austalusa.com/</x:v>
      </x:c>
      <x:c r="H95" s="311" t="str">
        <x:v>Broader U.S. shipbuilding capability</x:v>
      </x:c>
    </x:row>
    <x:row r="96" ht="42" customHeight="1">
      <x:c r="A96" s="330" t="n">
        <x:v>32</x:v>
      </x:c>
      <x:c r="B96" s="303" t="str">
        <x:v>XQW8RJNNAXX8</x:v>
      </x:c>
      <x:c r="C96" s="303" t="str">
        <x:v>W INTERNATIONAL, LLC</x:v>
      </x:c>
      <x:c r="D96" s="338" t="n">
        <x:v>1</x:v>
      </x:c>
      <x:c r="E96" s="303" t="str">
        <x:v>SEC filing</x:v>
      </x:c>
      <x:c r="F96" s="303" t="str">
        <x:v>HII Form 10-K — W International operating-asset acquisition</x:v>
      </x:c>
      <x:c r="G96" s="408" t="str">
        <x:v>https://www.sec.gov/Archives/edgar/data/1501585/000150158525000006/hii-20241231.htm</x:v>
      </x:c>
      <x:c r="H96" s="311" t="str">
        <x:v>January 2025 asset transaction and scope</x:v>
      </x:c>
    </x:row>
    <x:row r="97" ht="42" customHeight="1">
      <x:c r="A97" s="330" t="n">
        <x:v>32</x:v>
      </x:c>
      <x:c r="B97" s="303" t="str">
        <x:v>XQW8RJNNAXX8</x:v>
      </x:c>
      <x:c r="C97" s="303" t="str">
        <x:v>W INTERNATIONAL, LLC</x:v>
      </x:c>
      <x:c r="D97" s="338" t="n">
        <x:v>2</x:v>
      </x:c>
      <x:c r="E97" s="303" t="str">
        <x:v>Official company</x:v>
      </x:c>
      <x:c r="F97" s="303" t="str">
        <x:v>HII — distributed shipbuilding / Charleston operations</x:v>
      </x:c>
      <x:c r="G97" s="408" t="str">
        <x:v>https://hii.com/news/hii-increases-throughput-expands-industrial-base-through-distributed-shipbuilding</x:v>
      </x:c>
      <x:c r="H97" s="311" t="str">
        <x:v>Current operation of acquired South Carolina facility</x:v>
      </x:c>
    </x:row>
    <x:row r="98" ht="42" customHeight="1">
      <x:c r="A98" s="330" t="n">
        <x:v>32</x:v>
      </x:c>
      <x:c r="B98" s="303" t="str">
        <x:v>XQW8RJNNAXX8</x:v>
      </x:c>
      <x:c r="C98" s="303" t="str">
        <x:v>W INTERNATIONAL, LLC</x:v>
      </x:c>
      <x:c r="D98" s="338" t="n">
        <x:v>3</x:v>
      </x:c>
      <x:c r="E98" s="303" t="str">
        <x:v>News report</x:v>
      </x:c>
      <x:c r="F98" s="303" t="str">
        <x:v>ABC News 4 — W International settlement</x:v>
      </x:c>
      <x:c r="G98" s="408" t="str">
        <x:v>https://abcnews4.com/news/local/sc-based-w-international-llc-at-center-of-105m-federal-overcharging-settlement-law-lawsuit-metal-company-charleston-south-carolina-ncis-fbi-doj-ceo-news-court</x:v>
      </x:c>
      <x:c r="H98" s="311" t="str">
        <x:v>Evidence that legacy legal entity remained separately named</x:v>
      </x:c>
    </x:row>
    <x:row r="99" ht="42" customHeight="1">
      <x:c r="A99" s="330" t="n">
        <x:v>32</x:v>
      </x:c>
      <x:c r="B99" s="303" t="str">
        <x:v>XQW8RJNNAXX8</x:v>
      </x:c>
      <x:c r="C99" s="303" t="str">
        <x:v>W INTERNATIONAL, LLC</x:v>
      </x:c>
      <x:c r="D99" s="338" t="n">
        <x:v>4</x:v>
      </x:c>
      <x:c r="E99" s="303" t="str">
        <x:v>Federal registration aggregator</x:v>
      </x:c>
      <x:c r="F99" s="303" t="str">
        <x:v>GovTribe — W International LLC entity profile</x:v>
      </x:c>
      <x:c r="G99" s="408" t="str">
        <x:v>https://govtribe.com/vendors/w-international-llc-6ujs1</x:v>
      </x:c>
      <x:c r="H99" s="311" t="str">
        <x:v>UEI/CAGE corroboration</x:v>
      </x:c>
    </x:row>
    <x:row r="100" ht="42" customHeight="1">
      <x:c r="A100" s="330" t="n">
        <x:v>33</x:v>
      </x:c>
      <x:c r="B100" s="303" t="str">
        <x:v>DJG7NEG7QRK5</x:v>
      </x:c>
      <x:c r="C100" s="303" t="str">
        <x:v>HUNT VALVE COMPANY, INC.</x:v>
      </x:c>
      <x:c r="D100" s="338" t="n">
        <x:v>1</x:v>
      </x:c>
      <x:c r="E100" s="303" t="str">
        <x:v>Official company</x:v>
      </x:c>
      <x:c r="F100" s="303" t="str">
        <x:v>Fairbanks Morse Defense — valve solutions</x:v>
      </x:c>
      <x:c r="G100" s="408" t="str">
        <x:v>https://www.fairbanksmorsedefense.com/solutions/valves/</x:v>
      </x:c>
      <x:c r="H100" s="311" t="str">
        <x:v>Hunt Valve product portfolio</x:v>
      </x:c>
    </x:row>
    <x:row r="101" ht="42" customHeight="1">
      <x:c r="A101" s="330" t="n">
        <x:v>33</x:v>
      </x:c>
      <x:c r="B101" s="303" t="str">
        <x:v>DJG7NEG7QRK5</x:v>
      </x:c>
      <x:c r="C101" s="303" t="str">
        <x:v>HUNT VALVE COMPANY, INC.</x:v>
      </x:c>
      <x:c r="D101" s="338" t="n">
        <x:v>2</x:v>
      </x:c>
      <x:c r="E101" s="303" t="str">
        <x:v>Official company</x:v>
      </x:c>
      <x:c r="F101" s="303" t="str">
        <x:v>FMD — Hunt Valve submarine orders</x:v>
      </x:c>
      <x:c r="G101" s="408" t="str">
        <x:v>https://www.fairbanksmorsedefense.com/blog/fairbanks-morse-defenses-hunt-valve-awarded-96-million-in-pos-to-deliver-essential-valves-for-virginia-and-columbia-class-submarine-programs/</x:v>
      </x:c>
      <x:c r="H101" s="311" t="str">
        <x:v>Direct submarine-program supply</x:v>
      </x:c>
    </x:row>
    <x:row r="102" ht="42" customHeight="1">
      <x:c r="A102" s="330" t="n">
        <x:v>33</x:v>
      </x:c>
      <x:c r="B102" s="303" t="str">
        <x:v>DJG7NEG7QRK5</x:v>
      </x:c>
      <x:c r="C102" s="303" t="str">
        <x:v>HUNT VALVE COMPANY, INC.</x:v>
      </x:c>
      <x:c r="D102" s="338" t="n">
        <x:v>3</x:v>
      </x:c>
      <x:c r="E102" s="303" t="str">
        <x:v>Official company</x:v>
      </x:c>
      <x:c r="F102" s="303" t="str">
        <x:v>FMD — acquisition of Hunt Valve</x:v>
      </x:c>
      <x:c r="G102" s="408" t="str">
        <x:v>https://www.fairbanksmorsedefense.com/blog/fairbanks-morse-defense-acquires-hunt-valve-company-inc-1/</x:v>
      </x:c>
      <x:c r="H102" s="311" t="str">
        <x:v>Corporate parent and ownership date</x:v>
      </x:c>
    </x:row>
    <x:row r="103" ht="42" customHeight="1">
      <x:c r="A103" s="330" t="n">
        <x:v>34</x:v>
      </x:c>
      <x:c r="B103" s="303" t="str">
        <x:v>LSMBJZFLN8L9</x:v>
      </x:c>
      <x:c r="C103" s="303" t="str">
        <x:v>ROSYTH ROYAL DOCKYARD LIMITED</x:v>
      </x:c>
      <x:c r="D103" s="338" t="n">
        <x:v>1</x:v>
      </x:c>
      <x:c r="E103" s="303" t="str">
        <x:v>Official company</x:v>
      </x:c>
      <x:c r="F103" s="303" t="str">
        <x:v>Babcock — missile-tube contract extension from Electric Boat</x:v>
      </x:c>
      <x:c r="G103" s="408" t="str">
        <x:v>https://www.babcockinternational.com/news/babcock-awarded-multimillion-pound-missile-tube-contract-extension-by-electric-boat/</x:v>
      </x:c>
      <x:c r="H103" s="311" t="str">
        <x:v>Rosyth tactical missile-tube manufacturing</x:v>
      </x:c>
    </x:row>
    <x:row r="104" ht="42" customHeight="1">
      <x:c r="A104" s="330" t="n">
        <x:v>34</x:v>
      </x:c>
      <x:c r="B104" s="303" t="str">
        <x:v>LSMBJZFLN8L9</x:v>
      </x:c>
      <x:c r="C104" s="303" t="str">
        <x:v>ROSYTH ROYAL DOCKYARD LIMITED</x:v>
      </x:c>
      <x:c r="D104" s="338" t="n">
        <x:v>2</x:v>
      </x:c>
      <x:c r="E104" s="303" t="str">
        <x:v>Federal registration aggregator</x:v>
      </x:c>
      <x:c r="F104" s="303" t="str">
        <x:v>HigherGov — Rosyth Royal Dockyard Limited profile</x:v>
      </x:c>
      <x:c r="G104" s="408" t="str">
        <x:v>https://www.highergov.com/awardee/rosyth-royal-dockyard-limited-205374282/</x:v>
      </x:c>
      <x:c r="H104" s="311" t="str">
        <x:v>UEI/CAGE and ownership corroboration</x:v>
      </x:c>
    </x:row>
    <x:row r="105" ht="42" customHeight="1">
      <x:c r="A105" s="330" t="n">
        <x:v>35</x:v>
      </x:c>
      <x:c r="B105" s="303" t="str">
        <x:v>CFXRGJSB9UB6</x:v>
      </x:c>
      <x:c r="C105" s="303" t="str">
        <x:v>SPD ELECTRICAL SYSTEMS, INC</x:v>
      </x:c>
      <x:c r="D105" s="338" t="n">
        <x:v>1</x:v>
      </x:c>
      <x:c r="E105" s="303" t="str">
        <x:v>Federal registration aggregator</x:v>
      </x:c>
      <x:c r="F105" s="303" t="str">
        <x:v>HigherGov — L3Harris Maritime Power &amp; Energy Solutions profile</x:v>
      </x:c>
      <x:c r="G105" s="408" t="str">
        <x:v>https://www.highergov.com/awardee/l3harris-maritime-power-energy-solutions-inc-10107022/</x:v>
      </x:c>
      <x:c r="H105" s="311" t="str">
        <x:v>Current legal entity and CAGE/registration context</x:v>
      </x:c>
    </x:row>
    <x:row r="106" ht="42" customHeight="1">
      <x:c r="A106" s="330" t="n">
        <x:v>35</x:v>
      </x:c>
      <x:c r="B106" s="303" t="str">
        <x:v>CFXRGJSB9UB6</x:v>
      </x:c>
      <x:c r="C106" s="303" t="str">
        <x:v>SPD ELECTRICAL SYSTEMS, INC</x:v>
      </x:c>
      <x:c r="D106" s="338" t="n">
        <x:v>2</x:v>
      </x:c>
      <x:c r="E106" s="303" t="str">
        <x:v>Federal registration aggregator</x:v>
      </x:c>
      <x:c r="F106" s="303" t="str">
        <x:v>GovTribe — SPD Electrical Systems profile</x:v>
      </x:c>
      <x:c r="G106" s="408" t="str">
        <x:v>https://govtribe.com/vendors/spd-electrical-systems-inc-dot-30086</x:v>
      </x:c>
      <x:c r="H106" s="311" t="str">
        <x:v>Legacy name and CAGE corroboration</x:v>
      </x:c>
    </x:row>
    <x:row r="107" ht="42" customHeight="1">
      <x:c r="A107" s="330" t="n">
        <x:v>35</x:v>
      </x:c>
      <x:c r="B107" s="303" t="str">
        <x:v>CFXRGJSB9UB6</x:v>
      </x:c>
      <x:c r="C107" s="303" t="str">
        <x:v>SPD ELECTRICAL SYSTEMS, INC</x:v>
      </x:c>
      <x:c r="D107" s="338" t="n">
        <x:v>3</x:v>
      </x:c>
      <x:c r="E107" s="303" t="str">
        <x:v>Federal procurement aggregator</x:v>
      </x:c>
      <x:c r="F107" s="303" t="str">
        <x:v>GovTribe — OEM SPD circuit-breaker parts notice</x:v>
      </x:c>
      <x:c r="G107" s="408" t="str">
        <x:v>https://govtribe.com/opportunity/federal-contract-opportunity/brand-name-oem-l3-harris-maritime-power-energy-dba-spd-electrical-systems-circuit-breaker-racking-parts-n0040626q0195</x:v>
      </x:c>
      <x:c r="H107" s="311" t="str">
        <x:v>Specific OEM product evidence</x:v>
      </x:c>
    </x:row>
    <x:row r="108" ht="42" customHeight="1">
      <x:c r="A108" s="330" t="n">
        <x:v>36</x:v>
      </x:c>
      <x:c r="B108" s="303" t="str">
        <x:v>Y6X3BDLEPNJ6</x:v>
      </x:c>
      <x:c r="C108" s="303" t="str">
        <x:v>W INTERNATIONAL SC, LLC</x:v>
      </x:c>
      <x:c r="D108" s="338" t="n">
        <x:v>1</x:v>
      </x:c>
      <x:c r="E108" s="303" t="str">
        <x:v>SEC filing</x:v>
      </x:c>
      <x:c r="F108" s="303" t="str">
        <x:v>HII Form 10-K — W International SC asset acquisition</x:v>
      </x:c>
      <x:c r="G108" s="408" t="str">
        <x:v>https://www.sec.gov/Archives/edgar/data/1501585/000150158525000006/hii-20241231.htm</x:v>
      </x:c>
      <x:c r="H108" s="311" t="str">
        <x:v>Transaction structure and January 2025 timing</x:v>
      </x:c>
    </x:row>
    <x:row r="109" ht="42" customHeight="1">
      <x:c r="A109" s="330" t="n">
        <x:v>36</x:v>
      </x:c>
      <x:c r="B109" s="303" t="str">
        <x:v>Y6X3BDLEPNJ6</x:v>
      </x:c>
      <x:c r="C109" s="303" t="str">
        <x:v>W INTERNATIONAL SC, LLC</x:v>
      </x:c>
      <x:c r="D109" s="338" t="n">
        <x:v>2</x:v>
      </x:c>
      <x:c r="E109" s="303" t="str">
        <x:v>Official company</x:v>
      </x:c>
      <x:c r="F109" s="303" t="str">
        <x:v>HII — distributed shipbuilding / Charleston operations</x:v>
      </x:c>
      <x:c r="G109" s="408" t="str">
        <x:v>https://hii.com/news/hii-increases-throughput-expands-industrial-base-through-distributed-shipbuilding</x:v>
      </x:c>
      <x:c r="H109" s="311" t="str">
        <x:v>Current facility use and submarine-work expansion</x:v>
      </x:c>
    </x:row>
    <x:row r="110" ht="42" customHeight="1">
      <x:c r="A110" s="330" t="n">
        <x:v>36</x:v>
      </x:c>
      <x:c r="B110" s="303" t="str">
        <x:v>Y6X3BDLEPNJ6</x:v>
      </x:c>
      <x:c r="C110" s="303" t="str">
        <x:v>W INTERNATIONAL SC, LLC</x:v>
      </x:c>
      <x:c r="D110" s="338" t="n">
        <x:v>3</x:v>
      </x:c>
      <x:c r="E110" s="303" t="str">
        <x:v>Official company</x:v>
      </x:c>
      <x:c r="F110" s="303" t="str">
        <x:v>HII — Matt Needy leadership bio</x:v>
      </x:c>
      <x:c r="G110" s="408" t="str">
        <x:v>https://hii.com/leadership/matt-needy</x:v>
      </x:c>
      <x:c r="H110" s="311" t="str">
        <x:v>Newport News Shipbuilding–Charleston Operations identity</x:v>
      </x:c>
    </x:row>
    <x:row r="111" ht="42" customHeight="1">
      <x:c r="A111" s="330" t="n">
        <x:v>36</x:v>
      </x:c>
      <x:c r="B111" s="303" t="str">
        <x:v>Y6X3BDLEPNJ6</x:v>
      </x:c>
      <x:c r="C111" s="303" t="str">
        <x:v>W INTERNATIONAL SC, LLC</x:v>
      </x:c>
      <x:c r="D111" s="338" t="n">
        <x:v>4</x:v>
      </x:c>
      <x:c r="E111" s="303" t="str">
        <x:v>News report</x:v>
      </x:c>
      <x:c r="F111" s="303" t="str">
        <x:v>ABC News 4 — W International settlement</x:v>
      </x:c>
      <x:c r="G111" s="408" t="str">
        <x:v>https://abcnews4.com/news/local/sc-based-w-international-llc-at-center-of-105m-federal-overcharging-settlement-law-lawsuit-metal-company-charleston-south-carolina-ncis-fbi-doj-ceo-news-court</x:v>
      </x:c>
      <x:c r="H111" s="311" t="str">
        <x:v>Legacy legal-entity continuity context</x:v>
      </x:c>
    </x:row>
    <x:row r="112" ht="42" customHeight="1">
      <x:c r="A112" s="330" t="n">
        <x:v>37</x:v>
      </x:c>
      <x:c r="B112" s="303" t="str">
        <x:v>VJMTKNLENX24</x:v>
      </x:c>
      <x:c r="C112" s="303" t="str">
        <x:v>ENGINEERED COIL COMPANY</x:v>
      </x:c>
      <x:c r="D112" s="338" t="n">
        <x:v>1</x:v>
      </x:c>
      <x:c r="E112" s="303" t="str">
        <x:v>Official company</x:v>
      </x:c>
      <x:c r="F112" s="303" t="str">
        <x:v>Leonardo DRS — Navy and marine coils</x:v>
      </x:c>
      <x:c r="G112" s="408" t="str">
        <x:v>https://www.leonardodrs.com/what-we-do/products-and-services/navy-and-marine-coils/</x:v>
      </x:c>
      <x:c r="H112" s="311" t="str">
        <x:v>Specific product lines</x:v>
      </x:c>
    </x:row>
    <x:row r="113" ht="42" customHeight="1">
      <x:c r="A113" s="330" t="n">
        <x:v>37</x:v>
      </x:c>
      <x:c r="B113" s="303" t="str">
        <x:v>VJMTKNLENX24</x:v>
      </x:c>
      <x:c r="C113" s="303" t="str">
        <x:v>ENGINEERED COIL COMPANY</x:v>
      </x:c>
      <x:c r="D113" s="338" t="n">
        <x:v>2</x:v>
      </x:c>
      <x:c r="E113" s="303" t="str">
        <x:v>Official company</x:v>
      </x:c>
      <x:c r="F113" s="303" t="str">
        <x:v>Leonardo DRS — Marlo Heat Transfer Solutions, High Ridge</x:v>
      </x:c>
      <x:c r="G113" s="408" t="str">
        <x:v>https://www.leonardodrs.com/locations/naval-power-systems-marlo-heat-transfer-solutions-high-ridge-mo/</x:v>
      </x:c>
      <x:c r="H113" s="311" t="str">
        <x:v>Operating-site identity and capabilities</x:v>
      </x:c>
    </x:row>
    <x:row r="114" ht="42" customHeight="1">
      <x:c r="A114" s="330" t="n">
        <x:v>37</x:v>
      </x:c>
      <x:c r="B114" s="303" t="str">
        <x:v>VJMTKNLENX24</x:v>
      </x:c>
      <x:c r="C114" s="303" t="str">
        <x:v>ENGINEERED COIL COMPANY</x:v>
      </x:c>
      <x:c r="D114" s="338" t="n">
        <x:v>3</x:v>
      </x:c>
      <x:c r="E114" s="303" t="str">
        <x:v>CAGE directory</x:v>
      </x:c>
      <x:c r="F114" s="303" t="str">
        <x:v>LQ Lite — CAGE 38450</x:v>
      </x:c>
      <x:c r="G114" s="408" t="str">
        <x:v>https://www.lqlite.com/LQ_CAGE.aspx?CAGE=38450&amp;page=2</x:v>
      </x:c>
      <x:c r="H114" s="311" t="str">
        <x:v>Legal-name/CAGE corroboration</x:v>
      </x:c>
    </x:row>
    <x:row r="115" ht="42" customHeight="1">
      <x:c r="A115" s="330" t="n">
        <x:v>38</x:v>
      </x:c>
      <x:c r="B115" s="303" t="str">
        <x:v>Q35JL9GFCAK3</x:v>
      </x:c>
      <x:c r="C115" s="303" t="str">
        <x:v>MAROTTA CONTROLS, INC.</x:v>
      </x:c>
      <x:c r="D115" s="338" t="n">
        <x:v>1</x:v>
      </x:c>
      <x:c r="E115" s="303" t="str">
        <x:v>Official company</x:v>
      </x:c>
      <x:c r="F115" s="303" t="str">
        <x:v>Marotta Controls — About</x:v>
      </x:c>
      <x:c r="G115" s="408" t="str">
        <x:v>https://marotta.com/about/</x:v>
      </x:c>
      <x:c r="H115" s="311" t="str">
        <x:v>Company identity and ownership context</x:v>
      </x:c>
    </x:row>
    <x:row r="116" ht="42" customHeight="1">
      <x:c r="A116" s="330" t="n">
        <x:v>38</x:v>
      </x:c>
      <x:c r="B116" s="303" t="str">
        <x:v>Q35JL9GFCAK3</x:v>
      </x:c>
      <x:c r="C116" s="303" t="str">
        <x:v>MAROTTA CONTROLS, INC.</x:v>
      </x:c>
      <x:c r="D116" s="338" t="n">
        <x:v>2</x:v>
      </x:c>
      <x:c r="E116" s="303" t="str">
        <x:v>Official company</x:v>
      </x:c>
      <x:c r="F116" s="303" t="str">
        <x:v>Marotta Controls — Naval market</x:v>
      </x:c>
      <x:c r="G116" s="408" t="str">
        <x:v>https://marotta.com/markets/naval/</x:v>
      </x:c>
      <x:c r="H116" s="311" t="str">
        <x:v>Submarine and surface-ship applications</x:v>
      </x:c>
    </x:row>
    <x:row r="117" ht="42" customHeight="1">
      <x:c r="A117" s="330" t="n">
        <x:v>38</x:v>
      </x:c>
      <x:c r="B117" s="303" t="str">
        <x:v>Q35JL9GFCAK3</x:v>
      </x:c>
      <x:c r="C117" s="303" t="str">
        <x:v>MAROTTA CONTROLS, INC.</x:v>
      </x:c>
      <x:c r="D117" s="338" t="n">
        <x:v>3</x:v>
      </x:c>
      <x:c r="E117" s="303" t="str">
        <x:v>Official company</x:v>
      </x:c>
      <x:c r="F117" s="303" t="str">
        <x:v>Marotta Controls — Shipboard controls</x:v>
      </x:c>
      <x:c r="G117" s="408" t="str">
        <x:v>https://marotta.com/products/flow-controls/shipboard-controls/</x:v>
      </x:c>
      <x:c r="H117" s="311" t="str">
        <x:v>Specific valves, manifolds and controls</x:v>
      </x:c>
    </x:row>
    <x:row r="118" ht="42" customHeight="1">
      <x:c r="A118" s="330" t="n">
        <x:v>39</x:v>
      </x:c>
      <x:c r="B118" s="303" t="str">
        <x:v>Z89SS59265U9</x:v>
      </x:c>
      <x:c r="C118" s="303" t="str">
        <x:v>ESPEY MFG. &amp; ELECTRONICS CORP.</x:v>
      </x:c>
      <x:c r="D118" s="338" t="n">
        <x:v>1</x:v>
      </x:c>
      <x:c r="E118" s="303" t="str">
        <x:v>Official company</x:v>
      </x:c>
      <x:c r="F118" s="303" t="str">
        <x:v>Espey — Military power systems and magnetics</x:v>
      </x:c>
      <x:c r="G118" s="408" t="str">
        <x:v>https://www.espey.com/products/military-power-systems-magnetics/</x:v>
      </x:c>
      <x:c r="H118" s="311" t="str">
        <x:v>Specific military/naval product portfolio</x:v>
      </x:c>
    </x:row>
    <x:row r="119" ht="42" customHeight="1">
      <x:c r="A119" s="330" t="n">
        <x:v>39</x:v>
      </x:c>
      <x:c r="B119" s="303" t="str">
        <x:v>Z89SS59265U9</x:v>
      </x:c>
      <x:c r="C119" s="303" t="str">
        <x:v>ESPEY MFG. &amp; ELECTRONICS CORP.</x:v>
      </x:c>
      <x:c r="D119" s="338" t="n">
        <x:v>2</x:v>
      </x:c>
      <x:c r="E119" s="303" t="str">
        <x:v>Official company</x:v>
      </x:c>
      <x:c r="F119" s="303" t="str">
        <x:v>Espey — company home</x:v>
      </x:c>
      <x:c r="G119" s="408" t="str">
        <x:v>https://www.espey.com/</x:v>
      </x:c>
      <x:c r="H119" s="311" t="str">
        <x:v>Operating-company identity</x:v>
      </x:c>
    </x:row>
    <x:row r="120" ht="42" customHeight="1">
      <x:c r="A120" s="330" t="n">
        <x:v>40</x:v>
      </x:c>
      <x:c r="B120" s="303" t="str">
        <x:v>CBMZJ3Z5SC89</x:v>
      </x:c>
      <x:c r="C120" s="303" t="str">
        <x:v>GOODRICH CORPORATION</x:v>
      </x:c>
      <x:c r="D120" s="338" t="n">
        <x:v>1</x:v>
      </x:c>
      <x:c r="E120" s="303" t="str">
        <x:v>Official company</x:v>
      </x:c>
      <x:c r="F120" s="303" t="str">
        <x:v>Collins Aerospace — composites and urethane rubber products</x:v>
      </x:c>
      <x:c r="G120" s="408" t="str">
        <x:v>https://www.collinsaerospace.com/what-we-do/industries/military-and-defense/submarines-and-surface-ships/composites-urethane-rubber-products</x:v>
      </x:c>
      <x:c r="H120" s="311" t="str">
        <x:v>Specific naval acoustic and polymer products</x:v>
      </x:c>
    </x:row>
    <x:row r="121" ht="42" customHeight="1">
      <x:c r="A121" s="330" t="n">
        <x:v>40</x:v>
      </x:c>
      <x:c r="B121" s="303" t="str">
        <x:v>CBMZJ3Z5SC89</x:v>
      </x:c>
      <x:c r="C121" s="303" t="str">
        <x:v>GOODRICH CORPORATION</x:v>
      </x:c>
      <x:c r="D121" s="338" t="n">
        <x:v>2</x:v>
      </x:c>
      <x:c r="E121" s="303" t="str">
        <x:v>Federal procurement record</x:v>
      </x:c>
      <x:c r="F121" s="303" t="str">
        <x:v>SAM.gov — Goodrich Engineered Polymer Products procurement</x:v>
      </x:c>
      <x:c r="G121" s="408" t="str">
        <x:v>https://sam.gov/workspace/contract/opp/4b9cfe19a39b6f8f5deffb3683c74d19/view</x:v>
      </x:c>
      <x:c r="H121" s="311" t="str">
        <x:v>Operating-unit/product corroboration</x:v>
      </x:c>
    </x:row>
    <x:row r="122" ht="42" customHeight="1">
      <x:c r="A122" s="330" t="n">
        <x:v>40</x:v>
      </x:c>
      <x:c r="B122" s="303" t="str">
        <x:v>CBMZJ3Z5SC89</x:v>
      </x:c>
      <x:c r="C122" s="303" t="str">
        <x:v>GOODRICH CORPORATION</x:v>
      </x:c>
      <x:c r="D122" s="338" t="n">
        <x:v>3</x:v>
      </x:c>
      <x:c r="E122" s="303" t="str">
        <x:v>Official company</x:v>
      </x:c>
      <x:c r="F122" s="303" t="str">
        <x:v>RTX — We are RTX</x:v>
      </x:c>
      <x:c r="G122" s="408" t="str">
        <x:v>https://www.rtx.com/who-we-are/we-are-rtx</x:v>
      </x:c>
      <x:c r="H122" s="311" t="str">
        <x:v>Current ultimate-owner name</x:v>
      </x:c>
    </x:row>
    <x:row r="123" ht="42" customHeight="1">
      <x:c r="A123" s="330" t="n">
        <x:v>40</x:v>
      </x:c>
      <x:c r="B123" s="303" t="str">
        <x:v>CBMZJ3Z5SC89</x:v>
      </x:c>
      <x:c r="C123" s="303" t="str">
        <x:v>GOODRICH CORPORATION</x:v>
      </x:c>
      <x:c r="D123" s="338" t="n">
        <x:v>4</x:v>
      </x:c>
      <x:c r="E123" s="303" t="str">
        <x:v>Federal contracting aggregator</x:v>
      </x:c>
      <x:c r="F123" s="303" t="str">
        <x:v>HigherGov — Goodrich naval contract record</x:v>
      </x:c>
      <x:c r="G123" s="408" t="str">
        <x:v>https://www.highergov.com/contract/N0016721C0006/</x:v>
      </x:c>
      <x:c r="H123" s="311" t="str">
        <x:v>CAGE and Navy-contract corroboration</x:v>
      </x:c>
    </x:row>
    <x:row r="124" ht="42" customHeight="1">
      <x:c r="A124" s="330" t="n">
        <x:v>41</x:v>
      </x:c>
      <x:c r="B124" s="303" t="str">
        <x:v>MMCKJNNMSG23</x:v>
      </x:c>
      <x:c r="C124" s="303" t="str">
        <x:v>ADVANCE MFG.CO., INC.</x:v>
      </x:c>
      <x:c r="D124" s="338" t="n">
        <x:v>1</x:v>
      </x:c>
      <x:c r="E124" s="303" t="str">
        <x:v>Official company</x:v>
      </x:c>
      <x:c r="F124" s="303" t="str">
        <x:v>Advance Manufacturing — About</x:v>
      </x:c>
      <x:c r="G124" s="408" t="str">
        <x:v>https://www.advancemfg.com/pages/about/about.html</x:v>
      </x:c>
      <x:c r="H124" s="311" t="str">
        <x:v>Family ownership, markets and precision-machining capability</x:v>
      </x:c>
    </x:row>
    <x:row r="125" ht="42" customHeight="1">
      <x:c r="A125" s="330" t="n">
        <x:v>41</x:v>
      </x:c>
      <x:c r="B125" s="303" t="str">
        <x:v>MMCKJNNMSG23</x:v>
      </x:c>
      <x:c r="C125" s="303" t="str">
        <x:v>ADVANCE MFG.CO., INC.</x:v>
      </x:c>
      <x:c r="D125" s="338" t="n">
        <x:v>2</x:v>
      </x:c>
      <x:c r="E125" s="303" t="str">
        <x:v>Official company</x:v>
      </x:c>
      <x:c r="F125" s="303" t="str">
        <x:v>Advance Manufacturing — EDM and machining capabilities</x:v>
      </x:c>
      <x:c r="G125" s="408" t="str">
        <x:v>https://m.advancemfg.com/capabilities/group5/edm/</x:v>
      </x:c>
      <x:c r="H125" s="311" t="str">
        <x:v>Specific production processes</x:v>
      </x:c>
    </x:row>
    <x:row r="126" ht="42" customHeight="1">
      <x:c r="A126" s="330" t="n">
        <x:v>41</x:v>
      </x:c>
      <x:c r="B126" s="303" t="str">
        <x:v>MMCKJNNMSG23</x:v>
      </x:c>
      <x:c r="C126" s="303" t="str">
        <x:v>ADVANCE MFG.CO., INC.</x:v>
      </x:c>
      <x:c r="D126" s="338" t="n">
        <x:v>3</x:v>
      </x:c>
      <x:c r="E126" s="303" t="str">
        <x:v>Federal registration aggregator</x:v>
      </x:c>
      <x:c r="F126" s="303" t="str">
        <x:v>GovTribe — Advance Mfg. entity profile</x:v>
      </x:c>
      <x:c r="G126" s="408" t="str">
        <x:v>https://govtribe.com/vendors/advance-mfg-dot-co-dot-inc-dot-29293</x:v>
      </x:c>
      <x:c r="H126" s="311" t="str">
        <x:v>UEI/CAGE and defense-market corroboration</x:v>
      </x:c>
    </x:row>
    <x:row r="127" ht="42" customHeight="1">
      <x:c r="A127" s="330" t="n">
        <x:v>42</x:v>
      </x:c>
      <x:c r="B127" s="303" t="str">
        <x:v>WJ45NXW2TVD7</x:v>
      </x:c>
      <x:c r="C127" s="303" t="str">
        <x:v>MOOG INC.</x:v>
      </x:c>
      <x:c r="D127" s="338" t="n">
        <x:v>1</x:v>
      </x:c>
      <x:c r="E127" s="303" t="str">
        <x:v>Official company</x:v>
      </x:c>
      <x:c r="F127" s="303" t="str">
        <x:v>Moog — Virginia-class mission-critical actuators</x:v>
      </x:c>
      <x:c r="G127" s="408" t="str">
        <x:v>https://www.moog.com/news/corporate-press-releases/2014/moog-awarded-contract-for-mission-critical-actuators-for-us-navy-virginia-class-nuclear-submarines.html</x:v>
      </x:c>
      <x:c r="H127" s="311" t="str">
        <x:v>Specific submarine functions and deliverables</x:v>
      </x:c>
    </x:row>
    <x:row r="128" ht="42" customHeight="1">
      <x:c r="A128" s="330" t="n">
        <x:v>42</x:v>
      </x:c>
      <x:c r="B128" s="303" t="str">
        <x:v>WJ45NXW2TVD7</x:v>
      </x:c>
      <x:c r="C128" s="303" t="str">
        <x:v>MOOG INC.</x:v>
      </x:c>
      <x:c r="D128" s="338" t="n">
        <x:v>2</x:v>
      </x:c>
      <x:c r="E128" s="303" t="str">
        <x:v>Official company</x:v>
      </x:c>
      <x:c r="F128" s="303" t="str">
        <x:v>Moog — Marine market</x:v>
      </x:c>
      <x:c r="G128" s="408" t="str">
        <x:v>https://www.moog.com/markets/marine.html</x:v>
      </x:c>
      <x:c r="H128" s="311" t="str">
        <x:v>Marine motion-control capability</x:v>
      </x:c>
    </x:row>
    <x:row r="129" ht="42" customHeight="1">
      <x:c r="A129" s="330" t="n">
        <x:v>42</x:v>
      </x:c>
      <x:c r="B129" s="303" t="str">
        <x:v>WJ45NXW2TVD7</x:v>
      </x:c>
      <x:c r="C129" s="303" t="str">
        <x:v>MOOG INC.</x:v>
      </x:c>
      <x:c r="D129" s="338" t="n">
        <x:v>3</x:v>
      </x:c>
      <x:c r="E129" s="303" t="str">
        <x:v>Federal registration aggregator</x:v>
      </x:c>
      <x:c r="F129" s="303" t="str">
        <x:v>HigherGov — Moog entity profile</x:v>
      </x:c>
      <x:c r="G129" s="408" t="str">
        <x:v>https://www.highergov.com/awardee/moog-inc-10110703/</x:v>
      </x:c>
      <x:c r="H129" s="311" t="str">
        <x:v>CAGE/site corroboration</x:v>
      </x:c>
    </x:row>
    <x:row r="130" ht="42" customHeight="1">
      <x:c r="A130" s="330" t="n">
        <x:v>43</x:v>
      </x:c>
      <x:c r="B130" s="303" t="str">
        <x:v>KYURG7LRSC89</x:v>
      </x:c>
      <x:c r="C130" s="303" t="str">
        <x:v>WARREN PUMPS LLC</x:v>
      </x:c>
      <x:c r="D130" s="338" t="n">
        <x:v>1</x:v>
      </x:c>
      <x:c r="E130" s="303" t="str">
        <x:v>Official company</x:v>
      </x:c>
      <x:c r="F130" s="303" t="str">
        <x:v>Warren Pumps — company home</x:v>
      </x:c>
      <x:c r="G130" s="408" t="str">
        <x:v>https://www.warrenpumps.com/</x:v>
      </x:c>
      <x:c r="H130" s="311" t="str">
        <x:v>Operating identity and pump portfolio</x:v>
      </x:c>
    </x:row>
    <x:row r="131" ht="42" customHeight="1">
      <x:c r="A131" s="330" t="n">
        <x:v>43</x:v>
      </x:c>
      <x:c r="B131" s="303" t="str">
        <x:v>KYURG7LRSC89</x:v>
      </x:c>
      <x:c r="C131" s="303" t="str">
        <x:v>WARREN PUMPS LLC</x:v>
      </x:c>
      <x:c r="D131" s="338" t="n">
        <x:v>2</x:v>
      </x:c>
      <x:c r="E131" s="303" t="str">
        <x:v>Official company</x:v>
      </x:c>
      <x:c r="F131" s="303" t="str">
        <x:v>Warren Pumps — Military applications</x:v>
      </x:c>
      <x:c r="G131" s="408" t="str">
        <x:v>https://www.warrenpumps.com/military.htm</x:v>
      </x:c>
      <x:c r="H131" s="311" t="str">
        <x:v>Navy ship and submarine pump applications</x:v>
      </x:c>
    </x:row>
    <x:row r="132" ht="42" customHeight="1">
      <x:c r="A132" s="330" t="n">
        <x:v>43</x:v>
      </x:c>
      <x:c r="B132" s="303" t="str">
        <x:v>KYURG7LRSC89</x:v>
      </x:c>
      <x:c r="C132" s="303" t="str">
        <x:v>WARREN PUMPS LLC</x:v>
      </x:c>
      <x:c r="D132" s="338" t="n">
        <x:v>3</x:v>
      </x:c>
      <x:c r="E132" s="303" t="str">
        <x:v>Official company</x:v>
      </x:c>
      <x:c r="F132" s="303" t="str">
        <x:v>CIRCOR — Warren Pumps 125th anniversary</x:v>
      </x:c>
      <x:c r="G132" s="408" t="str">
        <x:v>https://www.circor.com/news/circor-brand-warren-pumps-holds-125th-year-anniversary-event</x:v>
      </x:c>
      <x:c r="H132" s="311" t="str">
        <x:v>CIRCOR brand ownership and naval focus</x:v>
      </x:c>
    </x:row>
    <x:row r="133" ht="42" customHeight="1">
      <x:c r="A133" s="330" t="n">
        <x:v>43</x:v>
      </x:c>
      <x:c r="B133" s="303" t="str">
        <x:v>KYURG7LRSC89</x:v>
      </x:c>
      <x:c r="C133" s="303" t="str">
        <x:v>WARREN PUMPS LLC</x:v>
      </x:c>
      <x:c r="D133" s="338" t="n">
        <x:v>4</x:v>
      </x:c>
      <x:c r="E133" s="303" t="str">
        <x:v>Federal registration aggregator</x:v>
      </x:c>
      <x:c r="F133" s="303" t="str">
        <x:v>HigherGov — CIRCOR Naval Solutions profile</x:v>
      </x:c>
      <x:c r="G133" s="408" t="str">
        <x:v>https://www.highergov.com/awardee/circor-naval-solutions-llc-10110392/</x:v>
      </x:c>
      <x:c r="H133" s="311" t="str">
        <x:v>Current legal/DBA identity</x:v>
      </x:c>
    </x:row>
    <x:row r="134" ht="42" customHeight="1">
      <x:c r="A134" s="330" t="n">
        <x:v>43</x:v>
      </x:c>
      <x:c r="B134" s="303" t="str">
        <x:v>KYURG7LRSC89</x:v>
      </x:c>
      <x:c r="C134" s="303" t="str">
        <x:v>WARREN PUMPS LLC</x:v>
      </x:c>
      <x:c r="D134" s="338" t="n">
        <x:v>5</x:v>
      </x:c>
      <x:c r="E134" s="303" t="str">
        <x:v>News / transaction report</x:v>
      </x:c>
      <x:c r="F134" s="303" t="str">
        <x:v>Reuters — Parker to buy CIRCOR aerospace business</x:v>
      </x:c>
      <x:c r="G134" s="408" t="str">
        <x:v>https://www.reuters.com/legal/transactional/parker-hannifin-acquire-kkr-owned-circor-255-billion-2026-05-21/</x:v>
      </x:c>
      <x:c r="H134" s="311" t="str">
        <x:v>2026 transaction scope; naval business retained by KKR</x:v>
      </x:c>
    </x:row>
    <x:row r="135" ht="42" customHeight="1">
      <x:c r="A135" s="330" t="n">
        <x:v>44</x:v>
      </x:c>
      <x:c r="B135" s="303" t="str">
        <x:v>CPHLNLBGWFN5</x:v>
      </x:c>
      <x:c r="C135" s="303" t="str">
        <x:v>DRS CONSOLIDATED CONTROLS, INC.</x:v>
      </x:c>
      <x:c r="D135" s="338" t="n">
        <x:v>1</x:v>
      </x:c>
      <x:c r="E135" s="303" t="str">
        <x:v>Official company</x:v>
      </x:c>
      <x:c r="F135" s="303" t="str">
        <x:v>Leonardo DRS — Nuclear instrumentation and controls</x:v>
      </x:c>
      <x:c r="G135" s="408" t="str">
        <x:v>https://www.leonardodrs.com/what-we-do/our-solutions/power-propulsion/nuclear-instrumentation-and-controls/</x:v>
      </x:c>
      <x:c r="H135" s="311" t="str">
        <x:v>Product and naval nuclear scope</x:v>
      </x:c>
    </x:row>
    <x:row r="136" ht="42" customHeight="1">
      <x:c r="A136" s="330" t="n">
        <x:v>44</x:v>
      </x:c>
      <x:c r="B136" s="303" t="str">
        <x:v>CPHLNLBGWFN5</x:v>
      </x:c>
      <x:c r="C136" s="303" t="str">
        <x:v>DRS CONSOLIDATED CONTROLS, INC.</x:v>
      </x:c>
      <x:c r="D136" s="338" t="n">
        <x:v>2</x:v>
      </x:c>
      <x:c r="E136" s="303" t="str">
        <x:v>Official company</x:v>
      </x:c>
      <x:c r="F136" s="303" t="str">
        <x:v>Leonardo DRS — Naval Power Systems, Danbury</x:v>
      </x:c>
      <x:c r="G136" s="408" t="str">
        <x:v>https://www.leonardodrs.com/locations/naval-power-systems-danbury-ct/</x:v>
      </x:c>
      <x:c r="H136" s="311" t="str">
        <x:v>Operating-site identity</x:v>
      </x:c>
    </x:row>
    <x:row r="137" ht="42" customHeight="1">
      <x:c r="A137" s="330" t="n">
        <x:v>44</x:v>
      </x:c>
      <x:c r="B137" s="303" t="str">
        <x:v>CPHLNLBGWFN5</x:v>
      </x:c>
      <x:c r="C137" s="303" t="str">
        <x:v>DRS CONSOLIDATED CONTROLS, INC.</x:v>
      </x:c>
      <x:c r="D137" s="338" t="n">
        <x:v>3</x:v>
      </x:c>
      <x:c r="E137" s="303" t="str">
        <x:v>SEC filing</x:v>
      </x:c>
      <x:c r="F137" s="303" t="str">
        <x:v>Leonardo DRS SEC filing</x:v>
      </x:c>
      <x:c r="G137" s="408" t="str">
        <x:v>https://investors.leonardodrs.com/node/7301/html</x:v>
      </x:c>
      <x:c r="H137" s="311" t="str">
        <x:v>Corporate ownership and operating-business context</x:v>
      </x:c>
    </x:row>
    <x:row r="138" ht="42" customHeight="1">
      <x:c r="A138" s="330" t="n">
        <x:v>45</x:v>
      </x:c>
      <x:c r="B138" s="303" t="str">
        <x:v>MSYWUDGYPKF5</x:v>
      </x:c>
      <x:c r="C138" s="303" t="str">
        <x:v>CP INDUSTRIES HOLDINGS, INC.</x:v>
      </x:c>
      <x:c r="D138" s="338" t="n">
        <x:v>1</x:v>
      </x:c>
      <x:c r="E138" s="303" t="str">
        <x:v>Official company</x:v>
      </x:c>
      <x:c r="F138" s="303" t="str">
        <x:v>CP Industries — company home</x:v>
      </x:c>
      <x:c r="G138" s="408" t="str">
        <x:v>https://cp-industries.com/</x:v>
      </x:c>
      <x:c r="H138" s="311" t="str">
        <x:v>Seamless high-pressure vessel capability</x:v>
      </x:c>
    </x:row>
    <x:row r="139" ht="42" customHeight="1">
      <x:c r="A139" s="330" t="n">
        <x:v>45</x:v>
      </x:c>
      <x:c r="B139" s="303" t="str">
        <x:v>MSYWUDGYPKF5</x:v>
      </x:c>
      <x:c r="C139" s="303" t="str">
        <x:v>CP INDUSTRIES HOLDINGS, INC.</x:v>
      </x:c>
      <x:c r="D139" s="338" t="n">
        <x:v>2</x:v>
      </x:c>
      <x:c r="E139" s="303" t="str">
        <x:v>Official company</x:v>
      </x:c>
      <x:c r="F139" s="303" t="str">
        <x:v>CP Industries — Military applications</x:v>
      </x:c>
      <x:c r="G139" s="408" t="str">
        <x:v>https://cp-industries.com/products/applications/military</x:v>
      </x:c>
      <x:c r="H139" s="311" t="str">
        <x:v>Military and naval storage applications</x:v>
      </x:c>
    </x:row>
    <x:row r="140" ht="42" customHeight="1">
      <x:c r="A140" s="330" t="n">
        <x:v>45</x:v>
      </x:c>
      <x:c r="B140" s="303" t="str">
        <x:v>MSYWUDGYPKF5</x:v>
      </x:c>
      <x:c r="C140" s="303" t="str">
        <x:v>CP INDUSTRIES HOLDINGS, INC.</x:v>
      </x:c>
      <x:c r="D140" s="338" t="n">
        <x:v>3</x:v>
      </x:c>
      <x:c r="E140" s="303" t="str">
        <x:v>Official company</x:v>
      </x:c>
      <x:c r="F140" s="303" t="str">
        <x:v>Everest Kanto Cylinder — CP Industries subsidiary</x:v>
      </x:c>
      <x:c r="G140" s="408" t="str">
        <x:v>https://everestkanto.com/subsidiaries-2/cp-industries-holding-inc/</x:v>
      </x:c>
      <x:c r="H140" s="311" t="str">
        <x:v>Current ownership</x:v>
      </x:c>
    </x:row>
    <x:row r="141" ht="42" customHeight="1">
      <x:c r="A141" s="330" t="n">
        <x:v>45</x:v>
      </x:c>
      <x:c r="B141" s="303" t="str">
        <x:v>MSYWUDGYPKF5</x:v>
      </x:c>
      <x:c r="C141" s="303" t="str">
        <x:v>CP INDUSTRIES HOLDINGS, INC.</x:v>
      </x:c>
      <x:c r="D141" s="338" t="n">
        <x:v>4</x:v>
      </x:c>
      <x:c r="E141" s="303" t="str">
        <x:v>Official company</x:v>
      </x:c>
      <x:c r="F141" s="303" t="str">
        <x:v>Everest Kanto Cylinder — manufacturing plants</x:v>
      </x:c>
      <x:c r="G141" s="408" t="str">
        <x:v>https://everestkanto.com/about-us/manufacturing-plants/</x:v>
      </x:c>
      <x:c r="H141" s="311" t="str">
        <x:v>U.S. operating location and parent context</x:v>
      </x:c>
    </x:row>
    <x:row r="142" ht="42" customHeight="1">
      <x:c r="A142" s="330" t="n">
        <x:v>46</x:v>
      </x:c>
      <x:c r="B142" s="303" t="str">
        <x:v>WREEAHYMRQ45</x:v>
      </x:c>
      <x:c r="C142" s="303" t="str">
        <x:v>PCB PIEZOTRONICS, INC.</x:v>
      </x:c>
      <x:c r="D142" s="338" t="n">
        <x:v>1</x:v>
      </x:c>
      <x:c r="E142" s="303" t="str">
        <x:v>Official company</x:v>
      </x:c>
      <x:c r="F142" s="303" t="str">
        <x:v>PCB Piezotronics — Underwater sensors</x:v>
      </x:c>
      <x:c r="G142" s="408" t="str">
        <x:v>https://www.pcb.com/applications/aerospace-defense/underwater-sensors</x:v>
      </x:c>
      <x:c r="H142" s="311" t="str">
        <x:v>Hydrophones and underwater pressure sensors</x:v>
      </x:c>
    </x:row>
    <x:row r="143" ht="42" customHeight="1">
      <x:c r="A143" s="330" t="n">
        <x:v>46</x:v>
      </x:c>
      <x:c r="B143" s="303" t="str">
        <x:v>WREEAHYMRQ45</x:v>
      </x:c>
      <x:c r="C143" s="303" t="str">
        <x:v>PCB PIEZOTRONICS, INC.</x:v>
      </x:c>
      <x:c r="D143" s="338" t="n">
        <x:v>2</x:v>
      </x:c>
      <x:c r="E143" s="303" t="str">
        <x:v>Official company</x:v>
      </x:c>
      <x:c r="F143" s="303" t="str">
        <x:v>PCB Piezotronics — Program/OEM business</x:v>
      </x:c>
      <x:c r="G143" s="408" t="str">
        <x:v>https://www.pcb.com/applications/program-oem-business</x:v>
      </x:c>
      <x:c r="H143" s="311" t="str">
        <x:v>Custom OEM sensor integration</x:v>
      </x:c>
    </x:row>
    <x:row r="144" ht="42" customHeight="1">
      <x:c r="A144" s="330" t="n">
        <x:v>46</x:v>
      </x:c>
      <x:c r="B144" s="303" t="str">
        <x:v>WREEAHYMRQ45</x:v>
      </x:c>
      <x:c r="C144" s="303" t="str">
        <x:v>PCB PIEZOTRONICS, INC.</x:v>
      </x:c>
      <x:c r="D144" s="338" t="n">
        <x:v>3</x:v>
      </x:c>
      <x:c r="E144" s="303" t="str">
        <x:v>Official company</x:v>
      </x:c>
      <x:c r="F144" s="303" t="str">
        <x:v>PCB Piezotronics — Company history</x:v>
      </x:c>
      <x:c r="G144" s="408" t="str">
        <x:v>https://www.pcb.com/about/history</x:v>
      </x:c>
      <x:c r="H144" s="311" t="str">
        <x:v>Company and ownership history</x:v>
      </x:c>
    </x:row>
    <x:row r="145" ht="42" customHeight="1">
      <x:c r="A145" s="330" t="n">
        <x:v>46</x:v>
      </x:c>
      <x:c r="B145" s="303" t="str">
        <x:v>WREEAHYMRQ45</x:v>
      </x:c>
      <x:c r="C145" s="303" t="str">
        <x:v>PCB PIEZOTRONICS, INC.</x:v>
      </x:c>
      <x:c r="D145" s="338" t="n">
        <x:v>4</x:v>
      </x:c>
      <x:c r="E145" s="303" t="str">
        <x:v>Official company</x:v>
      </x:c>
      <x:c r="F145" s="303" t="str">
        <x:v>PCB Piezotronics — Divisions of PCB</x:v>
      </x:c>
      <x:c r="G145" s="408" t="str">
        <x:v>https://www.pcb.com/about/divisions-of-pcb</x:v>
      </x:c>
      <x:c r="H145" s="311" t="str">
        <x:v>Amphenol ownership context</x:v>
      </x:c>
    </x:row>
    <x:row r="146" ht="42" customHeight="1">
      <x:c r="A146" s="330" t="n">
        <x:v>46</x:v>
      </x:c>
      <x:c r="B146" s="303" t="str">
        <x:v>WREEAHYMRQ45</x:v>
      </x:c>
      <x:c r="C146" s="303" t="str">
        <x:v>PCB PIEZOTRONICS, INC.</x:v>
      </x:c>
      <x:c r="D146" s="338" t="n">
        <x:v>5</x:v>
      </x:c>
      <x:c r="E146" s="303" t="str">
        <x:v>NSN / procurement data</x:v>
      </x:c>
      <x:c r="F146" s="303" t="str">
        <x:v>WBParts — PCB sensor NSN record</x:v>
      </x:c>
      <x:c r="G146" s="408" t="str">
        <x:v>https://www.wbparts.com/rfq/6680-01-589-2611.html</x:v>
      </x:c>
      <x:c r="H146" s="311" t="str">
        <x:v>Virginia-class part/application corroboration</x:v>
      </x:c>
    </x:row>
    <x:row r="147" ht="42" customHeight="1">
      <x:c r="A147" s="330" t="n">
        <x:v>47</x:v>
      </x:c>
      <x:c r="B147" s="303" t="str">
        <x:v>TZVRTYNM3MN3</x:v>
      </x:c>
      <x:c r="C147" s="303" t="str">
        <x:v>PEGASUS STEEL LLC</x:v>
      </x:c>
      <x:c r="D147" s="338" t="n">
        <x:v>1</x:v>
      </x:c>
      <x:c r="E147" s="303" t="str">
        <x:v>Official company</x:v>
      </x:c>
      <x:c r="F147" s="303" t="str">
        <x:v>Arlington Capital Partners — acquisition of Pegasus Steel</x:v>
      </x:c>
      <x:c r="G147" s="408" t="str">
        <x:v>https://arlingtoncap.com/news/arlington-capital-partners-announces-the-acquisition-of-pegasus-steel/</x:v>
      </x:c>
      <x:c r="H147" s="311" t="str">
        <x:v>Ownership transaction</x:v>
      </x:c>
    </x:row>
    <x:row r="148" ht="42" customHeight="1">
      <x:c r="A148" s="330" t="n">
        <x:v>47</x:v>
      </x:c>
      <x:c r="B148" s="303" t="str">
        <x:v>TZVRTYNM3MN3</x:v>
      </x:c>
      <x:c r="C148" s="303" t="str">
        <x:v>PEGASUS STEEL LLC</x:v>
      </x:c>
      <x:c r="D148" s="338" t="n">
        <x:v>2</x:v>
      </x:c>
      <x:c r="E148" s="303" t="str">
        <x:v>Official company</x:v>
      </x:c>
      <x:c r="F148" s="303" t="str">
        <x:v>Keel — company home</x:v>
      </x:c>
      <x:c r="G148" s="408" t="str">
        <x:v>https://keelusa.com/</x:v>
      </x:c>
      <x:c r="H148" s="311" t="str">
        <x:v>Current operating platform and naval manufacturing scope</x:v>
      </x:c>
    </x:row>
    <x:row r="149" ht="42" customHeight="1">
      <x:c r="A149" s="330" t="n">
        <x:v>47</x:v>
      </x:c>
      <x:c r="B149" s="303" t="str">
        <x:v>TZVRTYNM3MN3</x:v>
      </x:c>
      <x:c r="C149" s="303" t="str">
        <x:v>PEGASUS STEEL LLC</x:v>
      </x:c>
      <x:c r="D149" s="338" t="n">
        <x:v>3</x:v>
      </x:c>
      <x:c r="E149" s="303" t="str">
        <x:v>Official company</x:v>
      </x:c>
      <x:c r="F149" s="303" t="str">
        <x:v>Keel — Virginia-class nuclear submarine case study</x:v>
      </x:c>
      <x:c r="G149" s="408" t="str">
        <x:v>https://keelusa.com/virginia-class-nuclear-submarine-case-study/</x:v>
      </x:c>
      <x:c r="H149" s="311" t="str">
        <x:v>Specific submarine structures/modules</x:v>
      </x:c>
    </x:row>
    <x:row r="150" ht="42" customHeight="1">
      <x:c r="A150" s="330" t="n">
        <x:v>47</x:v>
      </x:c>
      <x:c r="B150" s="303" t="str">
        <x:v>TZVRTYNM3MN3</x:v>
      </x:c>
      <x:c r="C150" s="303" t="str">
        <x:v>PEGASUS STEEL LLC</x:v>
      </x:c>
      <x:c r="D150" s="338" t="n">
        <x:v>4</x:v>
      </x:c>
      <x:c r="E150" s="303" t="str">
        <x:v>Official company</x:v>
      </x:c>
      <x:c r="F150" s="303" t="str">
        <x:v>Keel — formation announcement</x:v>
      </x:c>
      <x:c r="G150" s="408" t="str">
        <x:v>https://keelusa.com/arlington-capital-partners-announces-the-formation-of-keel-a-new-leader-in-defense-manufacturing-and-its-acquisitions-of-merrill-technologies-group-and-metal-trades-llc/</x:v>
      </x:c>
      <x:c r="H150" s="311" t="str">
        <x:v>Parent platform and sponsor context</x:v>
      </x:c>
    </x:row>
    <x:row r="151" ht="42" customHeight="1">
      <x:c r="A151" s="330" t="n">
        <x:v>48</x:v>
      </x:c>
      <x:c r="B151" s="303" t="str">
        <x:v>DK14KTLXA9M5</x:v>
      </x:c>
      <x:c r="C151" s="303" t="str">
        <x:v>KME AMERICA MARINE TUBE &amp; FITTING, LLC</x:v>
      </x:c>
      <x:c r="D151" s="338" t="n">
        <x:v>1</x:v>
      </x:c>
      <x:c r="E151" s="303" t="str">
        <x:v>Official company</x:v>
      </x:c>
      <x:c r="F151" s="303" t="str">
        <x:v>KME America Marine Tube &amp; Fitting — company home</x:v>
      </x:c>
      <x:c r="G151" s="408" t="str">
        <x:v>https://kmetf.com/</x:v>
      </x:c>
      <x:c r="H151" s="311" t="str">
        <x:v>Specific fittings/flanges, processes and Navy applications</x:v>
      </x:c>
    </x:row>
    <x:row r="152" ht="42" customHeight="1">
      <x:c r="A152" s="330" t="n">
        <x:v>48</x:v>
      </x:c>
      <x:c r="B152" s="303" t="str">
        <x:v>DK14KTLXA9M5</x:v>
      </x:c>
      <x:c r="C152" s="303" t="str">
        <x:v>KME AMERICA MARINE TUBE &amp; FITTING, LLC</x:v>
      </x:c>
      <x:c r="D152" s="338" t="n">
        <x:v>2</x:v>
      </x:c>
      <x:c r="E152" s="303" t="str">
        <x:v>Official company</x:v>
      </x:c>
      <x:c r="F152" s="303" t="str">
        <x:v>cunova — Global contacts</x:v>
      </x:c>
      <x:c r="G152" s="408" t="str">
        <x:v>https://cunova.com/en/contact</x:v>
      </x:c>
      <x:c r="H152" s="311" t="str">
        <x:v>Current listing of KME America Marine Tube &amp; Fitting within cunova network</x:v>
      </x:c>
    </x:row>
    <x:row r="153" ht="42" customHeight="1">
      <x:c r="A153" s="330" t="n">
        <x:v>48</x:v>
      </x:c>
      <x:c r="B153" s="303" t="str">
        <x:v>DK14KTLXA9M5</x:v>
      </x:c>
      <x:c r="C153" s="303" t="str">
        <x:v>KME AMERICA MARINE TUBE &amp; FITTING, LLC</x:v>
      </x:c>
      <x:c r="D153" s="338" t="n">
        <x:v>3</x:v>
      </x:c>
      <x:c r="E153" s="303" t="str">
        <x:v>Federal registration aggregator</x:v>
      </x:c>
      <x:c r="F153" s="303" t="str">
        <x:v>HigherGov — KME America Marine Tube &amp; Fitting profile</x:v>
      </x:c>
      <x:c r="G153" s="408" t="str">
        <x:v>https://www.highergov.com/awardee/kme-america-marine-tube-fitting-llc-10085327/</x:v>
      </x:c>
      <x:c r="H153" s="311" t="str">
        <x:v>UEI/CAGE, current registration and foreign-owned status</x:v>
      </x:c>
    </x:row>
    <x:row r="154" ht="42" customHeight="1">
      <x:c r="A154" s="330" t="n">
        <x:v>48</x:v>
      </x:c>
      <x:c r="B154" s="303" t="str">
        <x:v>DK14KTLXA9M5</x:v>
      </x:c>
      <x:c r="C154" s="303" t="str">
        <x:v>KME AMERICA MARINE TUBE &amp; FITTING, LLC</x:v>
      </x:c>
      <x:c r="D154" s="338" t="n">
        <x:v>4</x:v>
      </x:c>
      <x:c r="E154" s="303" t="str">
        <x:v>SEC filing</x:v>
      </x:c>
      <x:c r="F154" s="303" t="str">
        <x:v>SEC — cunova/KME transaction agreement</x:v>
      </x:c>
      <x:c r="G154" s="408" t="str">
        <x:v>https://www.sec.gov/Archives/edgar/data/1846975/000182912624001009/sdcledgeacq_ex2-1.htm</x:v>
      </x:c>
      <x:c r="H154" s="311" t="str">
        <x:v>Corporate transaction and KME America references</x:v>
      </x:c>
    </x:row>
    <x:row r="155" ht="42" customHeight="1">
      <x:c r="A155" s="330" t="n">
        <x:v>49</x:v>
      </x:c>
      <x:c r="B155" s="303" t="str">
        <x:v>V1MQFNQB56Z5</x:v>
      </x:c>
      <x:c r="C155" s="303" t="str">
        <x:v>RIX INDUSTRIES</x:v>
      </x:c>
      <x:c r="D155" s="338" t="n">
        <x:v>1</x:v>
      </x:c>
      <x:c r="E155" s="303" t="str">
        <x:v>Official company</x:v>
      </x:c>
      <x:c r="F155" s="303" t="str">
        <x:v>RIX Industries — Naval systems</x:v>
      </x:c>
      <x:c r="G155" s="408" t="str">
        <x:v>https://www.rixindustries.com/naval-systems</x:v>
      </x:c>
      <x:c r="H155" s="311" t="str">
        <x:v>Specific naval compressor and gas-system products</x:v>
      </x:c>
    </x:row>
    <x:row r="156" ht="42" customHeight="1">
      <x:c r="A156" s="330" t="n">
        <x:v>49</x:v>
      </x:c>
      <x:c r="B156" s="303" t="str">
        <x:v>V1MQFNQB56Z5</x:v>
      </x:c>
      <x:c r="C156" s="303" t="str">
        <x:v>RIX INDUSTRIES</x:v>
      </x:c>
      <x:c r="D156" s="338" t="n">
        <x:v>2</x:v>
      </x:c>
      <x:c r="E156" s="303" t="str">
        <x:v>Official company</x:v>
      </x:c>
      <x:c r="F156" s="303" t="str">
        <x:v>RIX Industries — Nitrogen systems</x:v>
      </x:c>
      <x:c r="G156" s="408" t="str">
        <x:v>https://www.rixindustries.com/nitrogen</x:v>
      </x:c>
      <x:c r="H156" s="311" t="str">
        <x:v>Integrated nitrogen-generation capability</x:v>
      </x:c>
    </x:row>
    <x:row r="157" ht="42" customHeight="1">
      <x:c r="A157" s="330" t="n">
        <x:v>49</x:v>
      </x:c>
      <x:c r="B157" s="303" t="str">
        <x:v>V1MQFNQB56Z5</x:v>
      </x:c>
      <x:c r="C157" s="303" t="str">
        <x:v>RIX INDUSTRIES</x:v>
      </x:c>
      <x:c r="D157" s="338" t="n">
        <x:v>3</x:v>
      </x:c>
      <x:c r="E157" s="303" t="str">
        <x:v>Official company</x:v>
      </x:c>
      <x:c r="F157" s="303" t="str">
        <x:v>RIX Industries — Markets and products</x:v>
      </x:c>
      <x:c r="G157" s="408" t="str">
        <x:v>https://www.rixindustries.com/test-markets-page</x:v>
      </x:c>
      <x:c r="H157" s="311" t="str">
        <x:v>Broader compressor applications</x:v>
      </x:c>
    </x:row>
    <x:row r="158" ht="42" customHeight="1">
      <x:c r="A158" s="330" t="n">
        <x:v>49</x:v>
      </x:c>
      <x:c r="B158" s="303" t="str">
        <x:v>V1MQFNQB56Z5</x:v>
      </x:c>
      <x:c r="C158" s="303" t="str">
        <x:v>RIX INDUSTRIES</x:v>
      </x:c>
      <x:c r="D158" s="338" t="n">
        <x:v>4</x:v>
      </x:c>
      <x:c r="E158" s="303" t="str">
        <x:v>Federal registration aggregator</x:v>
      </x:c>
      <x:c r="F158" s="303" t="str">
        <x:v>HigherGov — RIX Industries profile</x:v>
      </x:c>
      <x:c r="G158" s="408" t="str">
        <x:v>https://www.highergov.com/awardee/rix-industries-10004600/</x:v>
      </x:c>
      <x:c r="H158" s="311" t="str">
        <x:v>UEI/CAGE and ownership corroboration</x:v>
      </x:c>
    </x:row>
    <x:row r="159" ht="42" customHeight="1">
      <x:c r="A159" s="330" t="n">
        <x:v>50</x:v>
      </x:c>
      <x:c r="B159" s="303" t="str">
        <x:v>CMT4S6G76QB5</x:v>
      </x:c>
      <x:c r="C159" s="303" t="str">
        <x:v>BWX TECHNOLOGIES, INC.</x:v>
      </x:c>
      <x:c r="D159" s="338" t="n">
        <x:v>1</x:v>
      </x:c>
      <x:c r="E159" s="303" t="str">
        <x:v>Federal registration aggregator</x:v>
      </x:c>
      <x:c r="F159" s="303" t="str">
        <x:v>HigherGov — BWX Technologies, Inc. corporate entity profile</x:v>
      </x:c>
      <x:c r="G159" s="408" t="str">
        <x:v>https://www.highergov.com/awardee/bwx-technologies-inc-10008491/</x:v>
      </x:c>
      <x:c r="H159" s="311" t="str">
        <x:v>Corporate-office UEI, current NAICS and registration context</x:v>
      </x:c>
    </x:row>
    <x:row r="160" ht="42" customHeight="1">
      <x:c r="A160" s="330" t="n">
        <x:v>50</x:v>
      </x:c>
      <x:c r="B160" s="303" t="str">
        <x:v>CMT4S6G76QB5</x:v>
      </x:c>
      <x:c r="C160" s="303" t="str">
        <x:v>BWX TECHNOLOGIES, INC.</x:v>
      </x:c>
      <x:c r="D160" s="338" t="n">
        <x:v>2</x:v>
      </x:c>
      <x:c r="E160" s="303" t="str">
        <x:v>Official company</x:v>
      </x:c>
      <x:c r="F160" s="303" t="str">
        <x:v>BWXT — Naval nuclear propulsion</x:v>
      </x:c>
      <x:c r="G160" s="408" t="str">
        <x:v>https://www.bwxt.com/sectors/defense-space/sea/naval-nuclear-propulsion/</x:v>
      </x:c>
      <x:c r="H160" s="311" t="str">
        <x:v>Group-level naval products and operating-subsidiary role</x:v>
      </x:c>
    </x:row>
    <x:row r="161" ht="42" customHeight="1">
      <x:c r="A161" s="331" t="n">
        <x:v>50</x:v>
      </x:c>
      <x:c r="B161" s="313" t="str">
        <x:v>CMT4S6G76QB5</x:v>
      </x:c>
      <x:c r="C161" s="313" t="str">
        <x:v>BWX TECHNOLOGIES, INC.</x:v>
      </x:c>
      <x:c r="D161" s="340" t="n">
        <x:v>3</x:v>
      </x:c>
      <x:c r="E161" s="313" t="str">
        <x:v>Official company</x:v>
      </x:c>
      <x:c r="F161" s="313" t="str">
        <x:v>BWXT — company home</x:v>
      </x:c>
      <x:c r="G161" s="409" t="str">
        <x:v>https://www.bwxt.com/</x:v>
      </x:c>
      <x:c r="H161" s="314" t="str">
        <x:v>Corporate identity and subsidiary disclaimer</x:v>
      </x:c>
    </x:row>
  </x:sheetData>
  <x:mergeCells>
    <x:mergeCell ref="A1:H1"/>
    <x:mergeCell ref="A2:H2"/>
  </x:mergeCells>
  <x:pageMargins left="0.7" right="0.7" top="0.75" bottom="0.75" header="0.3" footer="0.3"/>
  <x:tableParts count="1">
    <x:tablePart xmlns:r="http://schemas.openxmlformats.org/officeDocument/2006/relationships" r:id="R351d66de2ba6423b"/>
  </x:tableParts>
</x:worksheet>
</file>

<file path=xl/worksheets/sheet4.xml><?xml version="1.0" encoding="utf-8"?>
<x:worksheet xmlns:x="http://schemas.openxmlformats.org/spreadsheetml/2006/main">
  <x:sheetFormatPr defaultRowHeight="15"/>
  <x:cols>
    <x:col min="1" max="1" width="7" hidden="0" customWidth="1"/>
    <x:col min="2" max="2" width="16" hidden="0" customWidth="1"/>
    <x:col min="3" max="3" width="34" hidden="0" customWidth="1"/>
    <x:col min="4" max="4" width="31" hidden="0" customWidth="1"/>
    <x:col min="5" max="5" width="12" hidden="0" customWidth="1"/>
    <x:col min="6" max="6" width="12" hidden="0" customWidth="1"/>
    <x:col min="7" max="7" width="55" hidden="0" customWidth="1"/>
    <x:col min="8" max="8" width="58" hidden="0" customWidth="1"/>
  </x:cols>
  <x:sheetData>
    <x:row r="1" ht="34" customHeight="1">
      <x:c r="A1" s="5" t="str">
        <x:v>Review Queue — Entity, Ownership and Evidence Flags</x:v>
      </x:c>
      <x:c r="B1" s="5"/>
      <x:c r="C1" s="5"/>
      <x:c r="D1" s="5"/>
      <x:c r="E1" s="5"/>
      <x:c r="F1" s="5"/>
      <x:c r="G1" s="5"/>
      <x:c r="H1" s="5"/>
    </x:row>
    <x:row r="2" ht="30" customHeight="1">
      <x:c r="A2" s="13" t="str">
        <x:v>These records are usable, but reviewers should preserve the dated ownership/entity notes or seek additional primary evidence before outreach or legal-entity matching.</x:v>
      </x:c>
      <x:c r="B2" s="13"/>
      <x:c r="C2" s="13"/>
      <x:c r="D2" s="13"/>
      <x:c r="E2" s="13"/>
      <x:c r="F2" s="13"/>
      <x:c r="G2" s="13"/>
      <x:c r="H2" s="13"/>
    </x:row>
    <x:row r="4" ht="38" customHeight="1">
      <x:c r="A4" s="296" t="str">
        <x:v>Rank</x:v>
      </x:c>
      <x:c r="B4" s="296" t="str">
        <x:v>UEI</x:v>
      </x:c>
      <x:c r="C4" s="296" t="str">
        <x:v>Vendor</x:v>
      </x:c>
      <x:c r="D4" s="296" t="str">
        <x:v>Review Reason</x:v>
      </x:c>
      <x:c r="E4" s="296" t="str">
        <x:v>Confidence</x:v>
      </x:c>
      <x:c r="F4" s="296" t="str">
        <x:v>Ships</x:v>
      </x:c>
      <x:c r="G4" s="296" t="str">
        <x:v>NAICS Issue</x:v>
      </x:c>
      <x:c r="H4" s="296" t="str">
        <x:v>Recommended Follow-up</x:v>
      </x:c>
    </x:row>
    <x:row r="5" ht="66" customHeight="1">
      <x:c r="A5" s="329" t="n">
        <x:v>3</x:v>
      </x:c>
      <x:c r="B5" s="308" t="str">
        <x:v>HLVBPCA2LH41</x:v>
      </x:c>
      <x:c r="C5" s="308" t="str">
        <x:v>ROLLS-ROYCE MARINE NORTH AMERICA INC.</x:v>
      </x:c>
      <x:c r="D5" s="308" t="str">
        <x:v>Legacy entity after asset sale</x:v>
      </x:c>
      <x:c r="E5" s="336" t="str">
        <x:v>high</x:v>
      </x:c>
      <x:c r="F5" s="336" t="str">
        <x:v>yes</x:v>
      </x:c>
      <x:c r="G5" s="308" t="str">
        <x:v>Missing. No primary NAICS is resolved in the file. The demonstrated activity is marine propulsion-equipment manufacturing and support, not a generic Rolls-Royce corporate activity.</x:v>
      </x:c>
      <x:c r="H5" s="309" t="str">
        <x:v>Confirm current contracting UEI/name for Fairbanks Morse Defense’s former Rolls-Royce Walpole operation.</x:v>
      </x:c>
    </x:row>
    <x:row r="6" ht="66" customHeight="1">
      <x:c r="A6" s="330" t="n">
        <x:v>10</x:v>
      </x:c>
      <x:c r="B6" s="303" t="str">
        <x:v>E8LNMDLEKM35</x:v>
      </x:c>
      <x:c r="C6" s="303" t="str">
        <x:v>D.C. FABRICATORS INC.</x:v>
      </x:c>
      <x:c r="D6" s="303" t="str">
        <x:v>Pending acquisition</x:v>
      </x:c>
      <x:c r="E6" s="338" t="str">
        <x:v>high</x:v>
      </x:c>
      <x:c r="F6" s="338" t="str">
        <x:v>yes</x:v>
      </x:c>
      <x:c r="G6" s="303" t="str">
        <x:v>Misleading. NAICS 332312 (fabricated structural metal) does not capture the company’s main identity as a custom heat-exchanger, condenser and pressure-equipment manufacturer; 332410 is more descriptive.</x:v>
      </x:c>
      <x:c r="H6" s="311" t="str">
        <x:v>Recheck whether BWXT’s Precision Components Group acquisition closed after June 18, 2026.</x:v>
      </x:c>
    </x:row>
    <x:row r="7" ht="66" customHeight="1">
      <x:c r="A7" s="330" t="n">
        <x:v>13</x:v>
      </x:c>
      <x:c r="B7" s="303" t="str">
        <x:v>YD1GK53355R5</x:v>
      </x:c>
      <x:c r="C7" s="303" t="str">
        <x:v>PRECISION CUSTOM COMPONENTS, LLC</x:v>
      </x:c>
      <x:c r="D7" s="303" t="str">
        <x:v>Pending acquisition</x:v>
      </x:c>
      <x:c r="E7" s="338" t="str">
        <x:v>high</x:v>
      </x:c>
      <x:c r="F7" s="338" t="str">
        <x:v>yes</x:v>
      </x:c>
      <x:c r="G7" s="303" t="str">
        <x:v>Partially correct. NAICS 332313 captures plate-work manufacturing, but not the full pressure-vessel, heat-exchanger, large machining and nuclear-quality scope.</x:v>
      </x:c>
      <x:c r="H7" s="311" t="str">
        <x:v>Recheck whether BWXT’s Precision Components Group acquisition closed after June 18, 2026.</x:v>
      </x:c>
    </x:row>
    <x:row r="8" ht="66" customHeight="1">
      <x:c r="A8" s="330" t="n">
        <x:v>16</x:v>
      </x:c>
      <x:c r="B8" s="303" t="str">
        <x:v>HNAECT5M9TM4</x:v>
      </x:c>
      <x:c r="C8" s="303" t="str">
        <x:v>SOCAIL, LDA</x:v>
      </x:c>
      <x:c r="D8" s="303" t="str">
        <x:v>Low-authority public evidence</x:v>
      </x:c>
      <x:c r="E8" s="338" t="str">
        <x:v>low</x:v>
      </x:c>
      <x:c r="F8" s="338" t="str">
        <x:v>partial</x:v>
      </x:c>
      <x:c r="G8" s="303" t="str">
        <x:v>Missing. No primary NAICS is resolved in the file. Available evidence points to industrial piping/installation, but the exact manufacturing-versus-installation mix is uncertain.</x:v>
      </x:c>
      <x:c r="H8" s="311" t="str">
        <x:v>Obtain Portuguese registry extract, company response, purchase-order description or prime-supplier confirmation for the exact DDG-51 work.</x:v>
      </x:c>
    </x:row>
    <x:row r="9" ht="66" customHeight="1">
      <x:c r="A9" s="330" t="n">
        <x:v>18</x:v>
      </x:c>
      <x:c r="B9" s="303" t="str">
        <x:v>JEP5GQGFPUL9</x:v>
      </x:c>
      <x:c r="C9" s="303" t="str">
        <x:v>PORTLAND VALVE LLC</x:v>
      </x:c>
      <x:c r="D9" s="303" t="str">
        <x:v>Current-owner transaction boundary</x:v>
      </x:c>
      <x:c r="E9" s="338" t="str">
        <x:v>high</x:v>
      </x:c>
      <x:c r="F9" s="338" t="str">
        <x:v>yes</x:v>
      </x:c>
      <x:c r="G9" s="303" t="str">
        <x:v>Correct. NAICS 332911 accurately reflects industrial-valve manufacturing.</x:v>
      </x:c>
      <x:c r="H9" s="311" t="str">
        <x:v>Preserve note that the May 2026 Parker transaction covered CIRCOR aerospace, not the retained naval business.</x:v>
      </x:c>
    </x:row>
    <x:row r="10" ht="66" customHeight="1">
      <x:c r="A10" s="330" t="n">
        <x:v>22</x:v>
      </x:c>
      <x:c r="B10" s="303" t="str">
        <x:v>SX6BF52K2WB1</x:v>
      </x:c>
      <x:c r="C10" s="303" t="str">
        <x:v>VACCO INDUSTRIES</x:v>
      </x:c>
      <x:c r="D10" s="303" t="str">
        <x:v>Recent ownership change</x:v>
      </x:c>
      <x:c r="E10" s="338" t="str">
        <x:v>high</x:v>
      </x:c>
      <x:c r="F10" s="338" t="str">
        <x:v>yes</x:v>
      </x:c>
      <x:c r="G10" s="303" t="str">
        <x:v>Correct. NAICS 332912 is well aligned with precision fluid-power valves and fittings, though it does not show VACCO’s ultraquiet naval specialization.</x:v>
      </x:c>
      <x:c r="H10" s="311" t="str">
        <x:v>Use RBC Bearings—not ESCO Technologies—as current owner after July 21, 2025.</x:v>
      </x:c>
    </x:row>
    <x:row r="11" ht="66" customHeight="1">
      <x:c r="A11" s="330" t="n">
        <x:v>27</x:v>
      </x:c>
      <x:c r="B11" s="303" t="str">
        <x:v>F42BKS7EHCL8</x:v>
      </x:c>
      <x:c r="C11" s="303" t="str">
        <x:v>EMS DEVELOPMENT CORPORATION</x:v>
      </x:c>
      <x:c r="D11" s="303" t="str">
        <x:v>Recent ownership change</x:v>
      </x:c>
      <x:c r="E11" s="338" t="str">
        <x:v>high</x:v>
      </x:c>
      <x:c r="F11" s="338" t="str">
        <x:v>yes</x:v>
      </x:c>
      <x:c r="G11" s="303" t="str">
        <x:v>Partially correct. NAICS 334416 captures transformers, inductors and related magnetics, but not the integrated degaussing, signature-management and power-electronics systems.</x:v>
      </x:c>
      <x:c r="H11" s="311" t="str">
        <x:v>Use ESCO Maritime Solutions / ESCO Technologies after the April 25, 2025 acquisition from Ultra Maritime.</x:v>
      </x:c>
    </x:row>
    <x:row r="12" ht="66" customHeight="1">
      <x:c r="A12" s="330" t="n">
        <x:v>32</x:v>
      </x:c>
      <x:c r="B12" s="303" t="str">
        <x:v>XQW8RJNNAXX8</x:v>
      </x:c>
      <x:c r="C12" s="303" t="str">
        <x:v>W INTERNATIONAL, LLC</x:v>
      </x:c>
      <x:c r="D12" s="303" t="str">
        <x:v>Legacy legal entity after asset acquisition</x:v>
      </x:c>
      <x:c r="E12" s="338" t="str">
        <x:v>medium</x:v>
      </x:c>
      <x:c r="F12" s="338" t="str">
        <x:v>yes</x:v>
      </x:c>
      <x:c r="G12" s="303" t="str">
        <x:v>Misleading. NAICS 336992 concerns military armored vehicles and tank components, not naval structural fabrication or ship modules.</x:v>
      </x:c>
      <x:c r="H12" s="311" t="str">
        <x:v>Do not assume HII acquired this exact LLC; validate current registration and relationship to transferred operating assets.</x:v>
      </x:c>
    </x:row>
    <x:row r="13" ht="66" customHeight="1">
      <x:c r="A13" s="330" t="n">
        <x:v>35</x:v>
      </x:c>
      <x:c r="B13" s="303" t="str">
        <x:v>CFXRGJSB9UB6</x:v>
      </x:c>
      <x:c r="C13" s="303" t="str">
        <x:v>SPD ELECTRICAL SYSTEMS, INC</x:v>
      </x:c>
      <x:c r="D13" s="303" t="str">
        <x:v>Legacy legal name / DBA</x:v>
      </x:c>
      <x:c r="E13" s="338" t="str">
        <x:v>high</x:v>
      </x:c>
      <x:c r="F13" s="338" t="str">
        <x:v>yes</x:v>
      </x:c>
      <x:c r="G13" s="303" t="str">
        <x:v>Correct. NAICS 335313 is a good match for switchgear and switchboard-apparatus manufacturing.</x:v>
      </x:c>
      <x:c r="H13" s="311" t="str">
        <x:v>Match SPD Electrical Systems to current L3Harris Maritime Power &amp; Energy Solutions records before outreach.</x:v>
      </x:c>
    </x:row>
    <x:row r="14" ht="66" customHeight="1">
      <x:c r="A14" s="330" t="n">
        <x:v>36</x:v>
      </x:c>
      <x:c r="B14" s="303" t="str">
        <x:v>Y6X3BDLEPNJ6</x:v>
      </x:c>
      <x:c r="C14" s="303" t="str">
        <x:v>W INTERNATIONAL SC, LLC</x:v>
      </x:c>
      <x:c r="D14" s="303" t="str">
        <x:v>Legacy UEI after asset acquisition</x:v>
      </x:c>
      <x:c r="E14" s="338" t="str">
        <x:v>medium</x:v>
      </x:c>
      <x:c r="F14" s="338" t="str">
        <x:v>yes</x:v>
      </x:c>
      <x:c r="G14" s="303" t="str">
        <x:v>Correct for historical operations. NAICS 336611 fits the facility’s naval module and ship-structure manufacturing, though the entity was not a complete-ship prime.</x:v>
      </x:c>
      <x:c r="H14" s="311" t="str">
        <x:v>Use HII Newport News Shipbuilding–Charleston Operations for current facility identity; validate whether the old UEI remains active.</x:v>
      </x:c>
    </x:row>
    <x:row r="15" ht="66" customHeight="1">
      <x:c r="A15" s="330" t="n">
        <x:v>40</x:v>
      </x:c>
      <x:c r="B15" s="303" t="str">
        <x:v>CBMZJ3Z5SC89</x:v>
      </x:c>
      <x:c r="C15" s="303" t="str">
        <x:v>GOODRICH CORPORATION</x:v>
      </x:c>
      <x:c r="D15" s="303" t="str">
        <x:v>Stale ultimate-owner name</x:v>
      </x:c>
      <x:c r="E15" s="338" t="str">
        <x:v>high</x:v>
      </x:c>
      <x:c r="F15" s="338" t="str">
        <x:v>yes</x:v>
      </x:c>
      <x:c r="G15" s="303" t="str">
        <x:v>Misleading. NAICS 326130 concerns laminated-plastics sheet and shapes, while this operation makes engineered finished elastomer/composite acoustic products; molded rubber and plastics-product codes are more representative.</x:v>
      </x:c>
      <x:c r="H15" s="311" t="str">
        <x:v>Update Raytheon Technologies references to RTX Corporation while preserving Goodrich/Collins operating lineage.</x:v>
      </x:c>
    </x:row>
    <x:row r="16" ht="66" customHeight="1">
      <x:c r="A16" s="330" t="n">
        <x:v>43</x:v>
      </x:c>
      <x:c r="B16" s="303" t="str">
        <x:v>KYURG7LRSC89</x:v>
      </x:c>
      <x:c r="C16" s="303" t="str">
        <x:v>WARREN PUMPS LLC</x:v>
      </x:c>
      <x:c r="D16" s="303" t="str">
        <x:v>Current legal/DBA identity</x:v>
      </x:c>
      <x:c r="E16" s="338" t="str">
        <x:v>high</x:v>
      </x:c>
      <x:c r="F16" s="338" t="str">
        <x:v>yes</x:v>
      </x:c>
      <x:c r="G16" s="303" t="str">
        <x:v>Correct. NAICS 333914 is a strong match for pump manufacturing.</x:v>
      </x:c>
      <x:c r="H16" s="311" t="str">
        <x:v>Match Warren Pumps to CIRCOR Naval Solutions LLC dba Warren Pumps; preserve retained-naval ownership note.</x:v>
      </x:c>
    </x:row>
    <x:row r="17" ht="66" customHeight="1">
      <x:c r="A17" s="330" t="n">
        <x:v>48</x:v>
      </x:c>
      <x:c r="B17" s="303" t="str">
        <x:v>DK14KTLXA9M5</x:v>
      </x:c>
      <x:c r="C17" s="303" t="str">
        <x:v>KME AMERICA MARINE TUBE &amp; FITTING, LLC</x:v>
      </x:c>
      <x:c r="D17" s="303" t="str">
        <x:v>Complex cross-border ownership history</x:v>
      </x:c>
      <x:c r="E17" s="338" t="str">
        <x:v>high</x:v>
      </x:c>
      <x:c r="F17" s="338" t="str">
        <x:v>yes</x:v>
      </x:c>
      <x:c r="G17" s="303" t="str">
        <x:v>Correct. NAICS 332919 closely matches metal valve and pipe-fitting manufacturing and is representative of the company’s output.</x:v>
      </x:c>
      <x:c r="H17" s="311" t="str">
        <x:v>Reconfirm current legal parent if a transaction-specific or export-control determination requires more than the current SAM/cunova evidence.</x:v>
      </x:c>
    </x:row>
    <x:row r="18" ht="66" customHeight="1">
      <x:c r="A18" s="331" t="n">
        <x:v>50</x:v>
      </x:c>
      <x:c r="B18" s="313" t="str">
        <x:v>CMT4S6G76QB5</x:v>
      </x:c>
      <x:c r="C18" s="313" t="str">
        <x:v>BWX TECHNOLOGIES, INC.</x:v>
      </x:c>
      <x:c r="D18" s="313" t="str">
        <x:v>Corporate-office UEI attribution</x:v>
      </x:c>
      <x:c r="E18" s="340" t="str">
        <x:v>medium</x:v>
      </x:c>
      <x:c r="F18" s="340" t="str">
        <x:v>partial</x:v>
      </x:c>
      <x:c r="G18" s="313" t="str">
        <x:v>File field is missing, but current federal-registration data identify NAICS 551114 (Corporate, Subsidiary, and Regional Managing Offices), which is appropriate for this exact corporate UEI. It would be misleading if interpreted as the NAICS for BWXT’s manufacturing subsidiaries.</x:v>
      </x:c>
      <x:c r="H18" s="314" t="str">
        <x:v>Separate corporate managing-office dollars from BWXT Nuclear Operations Group hardware when transaction-level descriptions become available.</x:v>
      </x:c>
    </x:row>
  </x:sheetData>
  <x:mergeCells>
    <x:mergeCell ref="A1:H1"/>
    <x:mergeCell ref="A2:H2"/>
  </x:mergeCells>
  <x:conditionalFormatting sqref="E5:E18">
    <x:cfRule type="expression" dxfId="9" priority="1">
      <x:formula>E5="high"</x:formula>
    </x:cfRule>
    <x:cfRule type="expression" dxfId="10" priority="2">
      <x:formula>E5="medium"</x:formula>
    </x:cfRule>
    <x:cfRule type="expression" dxfId="11" priority="3">
      <x:formula>E5="low"</x:formula>
    </x:cfRule>
  </x:conditionalFormatting>
  <x:pageMargins left="0.7" right="0.7" top="0.75" bottom="0.75" header="0.3" footer="0.3"/>
  <x:tableParts count="1">
    <x:tablePart xmlns:r="http://schemas.openxmlformats.org/officeDocument/2006/relationships" r:id="Rafcbce3c57ed4019"/>
  </x:tableParts>
</x:worksheet>
</file>