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efaultThemeVersion="166925"/>
  <bookViews>
    <workbookView xWindow="0" yWindow="0" windowWidth="28800" windowHeight="16800"/>
  </bookViews>
  <sheets>
    <sheet name="Executive Summary" sheetId="1" r:id="rId1"/>
    <sheet name="Methodology" sheetId="2" r:id="rId2"/>
    <sheet name="Assumptions" sheetId="3" r:id="rId3"/>
    <sheet name="TAM Build" sheetId="4" r:id="rId4"/>
    <sheet name="SAM Build" sheetId="5" r:id="rId5"/>
    <sheet name="Outlook" sheetId="6" r:id="rId6"/>
    <sheet name="Deflators" sheetId="7" r:id="rId7"/>
    <sheet name="SCN Budget" sheetId="8" r:id="rId8"/>
    <sheet name="OBBBA Mandatory" sheetId="9" r:id="rId9"/>
    <sheet name="AP Bridge" sheetId="10" r:id="rId10"/>
    <sheet name="FYDP Outyears" sheetId="11" r:id="rId11"/>
    <sheet name="POP Corpus" sheetId="12" r:id="rId12"/>
    <sheet name="Entity Master" sheetId="13" r:id="rId13"/>
    <sheet name="Location Master" sheetId="14" r:id="rId14"/>
    <sheet name="Worktype Evidence" sheetId="15" r:id="rId15"/>
    <sheet name="Worktype by FY" sheetId="16" r:id="rId16"/>
    <sheet name="Figure Register" sheetId="17" r:id="rId17"/>
    <sheet name="SIB Excluded" sheetId="18" r:id="rId18"/>
    <sheet name="Sensitivity" sheetId="19" r:id="rId19"/>
    <sheet name="POP Source Audit" sheetId="20" r:id="rId20"/>
    <sheet name="Source Index" sheetId="21" r:id="rId21"/>
    <sheet name="References" sheetId="22" r:id="rId22"/>
    <sheet name="z_ChartData" sheetId="23" r:id="rId23"/>
  </sheets>
  <definedNames>
    <definedName name="portfolio_tam_annual">'TAM Build'!$C$143</definedName>
    <definedName name="portfolio_tam_cumulative">'TAM Build'!$C$141</definedName>
    <definedName name="portfolio_tam">'TAM Build'!$C$141</definedName>
    <definedName name="broad_sam_annual">'SAM Build'!$C$120</definedName>
    <definedName name="broad_sam_cumulative">'SAM Build'!$D$120</definedName>
    <definedName name="sam_broad">'SAM Build'!$D$120</definedName>
    <definedName name="fiscal_year_count">'TAM Build'!$C$142</definedName>
    <definedName name="bc_supplier_coeff_va">'TAM Build'!$C$62</definedName>
    <definedName name="bc_supplier_coeff_col">'TAM Build'!$C$63</definedName>
    <definedName name="ap_lltm_supplier_coeff">'TAM Build'!$C$65</definedName>
  </definedNames>
  <calcPr calcId="191029" fullCalcOnLoad="1" forceFullCalc="1"/>
</workbook>
</file>

<file path=xl/comments2.xml><?xml version="1.0" encoding="utf-8"?>
<comments xmlns="http://schemas.openxmlformats.org/spreadsheetml/2006/main">
  <authors>
    <author>Model</author>
  </authors>
  <commentList>
    <comment ref="D7" authorId="0">
      <text>
        <r>
          <rPr>
            <sz val="8"/>
            <color indexed="81"/>
            <rFont val="Arial"/>
            <family val="2"/>
          </rPr>
          <t xml:space="preserve">Opportunity ceiling, not a forecast: per-class BC base x its funding construction master's announced-POP coefficient (Virginia 34.0% Block V, Columbia 22.0% Build I).</t>
        </r>
      </text>
    </comment>
    <comment ref="D8" authorId="0">
      <text>
        <r>
          <rPr>
            <sz val="8"/>
            <color indexed="81"/>
            <rFont val="Arial"/>
            <family val="2"/>
          </rPr>
          <t xml:space="preserve">Scenario cuts of TAM. Buckets overlap, so shares exceed 100% and must not be summed.</t>
        </r>
      </text>
    </comment>
    <comment ref="D10" authorId="0">
      <text>
        <r>
          <rPr>
            <sz val="8"/>
            <color indexed="81"/>
            <rFont val="Arial"/>
            <family val="2"/>
          </rPr>
          <t xml:space="preserve">Held at $0: supplier LLTM already sits inside Basic Construction, so adding the ~$44.7B P-10 gross would double-count. Reference only.</t>
        </r>
      </text>
    </comment>
    <comment ref="D13" authorId="0">
      <text>
        <r>
          <rPr>
            <sz val="8"/>
            <color indexed="81"/>
            <rFont val="Arial"/>
            <family val="2"/>
          </rPr>
          <t xml:space="preserve">~$4,252M of SIB capacity / workforce / R&amp;D pass-throughs (mostly BlueForge) - future capacity, not component manufacture. Role, not size, decides. (SIB = MIB in earlier files.)</t>
        </r>
      </text>
    </comment>
    <comment ref="D11" authorId="0">
      <text>
        <r>
          <rPr>
            <sz val="8"/>
            <color indexed="81"/>
            <rFont val="Arial"/>
            <family val="2"/>
          </rPr>
          <t xml:space="preserve">PL 119-21 Title II, Sec. 20002 (FY 2026 Mandatory Funding Allocation Plan): $29.2B shipbuilding, all FY2026 budget authority. Only item 16 (second FY26 Virginia boat, $4.6B) is new-construction procurement and feeds TAM; capacity / workforce lines are memo-excluded like SIB. FY27 receives dollars only via the spillover control.</t>
        </r>
      </text>
    </comment>
  </commentList>
</comments>
</file>

<file path=xl/comments3.xml><?xml version="1.0" encoding="utf-8"?>
<comments xmlns="http://schemas.openxmlformats.org/spreadsheetml/2006/main">
  <authors>
    <author>Model</author>
  </authors>
  <commentList>
    <comment ref="B26" authorId="0">
      <text>
        <r>
          <rPr>
            <sz val="8"/>
            <color indexed="81"/>
            <rFont val="Arial"/>
            <family val="2"/>
          </rPr>
          <t xml:space="preserve">Held at 0: P-10 supplier LLTM already sits inside P-5c BC (an additive base would double-count). The AP/LLTM coefficient is corpus-measured (~48.5%) but reference-only - see TAM Build §3a and AP Bridge.</t>
        </r>
      </text>
    </comment>
    <comment ref="B55" authorId="0">
      <text>
        <r>
          <rPr>
            <sz val="8"/>
            <color indexed="81"/>
            <rFont val="Arial"/>
            <family val="2"/>
          </rPr>
          <t xml:space="preserve">Announced POP of the construction contracts funding the in-window boats. Virginia Block V (DoD announcement 2019-12-02, article 2030017, $22,209.9M, nine boats FY19-23): 'Newport News (25%); Quonset Point (21%); Groton (20%); Sunnyvale (8%); named cities 3%; other US below 1% (22%); outside US below 1% (1%)'. Columbia Build I (2020-11-05, article 2406922, $9,473.5M, SSBN 826 + 827): 'Groton (36%); Newport News (25%); Quonset Point (17%); other US sites each less than 1% (22%)'. Below-1% aggregates count as other-US (corpus parse convention). Each class coefficient = other-US + foreign of its own master (TAM Build §3a). Block VI construction is unawarded; restate the Virginia row on its announcement.</t>
        </r>
      </text>
    </comment>
    <comment ref="C93" authorId="0">
      <text>
        <r>
          <rPr>
            <sz val="8"/>
            <color indexed="81"/>
            <rFont val="Arial"/>
            <family val="2"/>
          </rPr>
          <t xml:space="preserve">Outlook upper bound = each class's FY22-25 average penetration x (1 + this uplift). Basis: stated industry intent to grow outsourced manhours ~30% (HII statement; citation pending - swap in the source when confirmed).</t>
        </r>
      </text>
    </comment>
  </commentList>
</comments>
</file>

<file path=xl/styles.xml><?xml version="1.0" encoding="utf-8"?>
<styleSheet xmlns="http://schemas.openxmlformats.org/spreadsheetml/2006/main">
  <numFmts count="6">
    <numFmt numFmtId="164" formatCode="#,##0.0;-#,##0.0;&quot;-&quot;"/>
    <numFmt numFmtId="165" formatCode="0.0%;-0.0%;&quot;-&quot;"/>
    <numFmt numFmtId="166" formatCode="&quot;$&quot;#,##0&quot;M&quot;"/>
    <numFmt numFmtId="167" formatCode="&quot;$&quot;0.0&quot;B&quot;"/>
    <numFmt numFmtId="168" formatCode="#,##0;-#,##0;&quot;-&quot;"/>
    <numFmt numFmtId="169" formatCode="yyyy\-mm\-dd"/>
  </numFmts>
  <fonts count="10">
    <font>
      <sz val="8"/>
      <name val="Arial"/>
      <color rgb="FF000000"/>
    </font>
    <font>
      <sz val="8"/>
      <name val="Arial"/>
      <b/>
      <color rgb="FF000000"/>
    </font>
    <font>
      <sz val="8"/>
      <name val="Arial"/>
      <b/>
      <color rgb="FFFFFFFF"/>
    </font>
    <font>
      <sz val="8"/>
      <name val="Arial"/>
      <color rgb="FF0000FF"/>
    </font>
    <font>
      <sz val="8"/>
      <name val="Arial"/>
      <color rgb="FF008000"/>
    </font>
    <font>
      <sz val="8"/>
      <name val="Arial"/>
      <i/>
      <color rgb="FF000000"/>
    </font>
    <font>
      <sz val="8"/>
      <name val="Arial"/>
      <i/>
      <color rgb="FF0000FF"/>
    </font>
    <font>
      <sz val="8"/>
      <name val="Arial"/>
      <i/>
      <color rgb="FF008000"/>
    </font>
    <font>
      <sz val="8"/>
      <name val="Arial"/>
      <b/>
      <i/>
      <color rgb="FF000000"/>
    </font>
    <font>
      <sz val="8"/>
      <name val="Arial"/>
      <i/>
      <color rgb="FF808080"/>
    </font>
  </fonts>
  <fills count="6">
    <fill>
      <patternFill patternType="none"/>
    </fill>
    <fill>
      <patternFill patternType="gray125"/>
    </fill>
    <fill>
      <patternFill patternType="solid">
        <fgColor rgb="FF000000"/>
      </patternFill>
    </fill>
    <fill>
      <patternFill patternType="solid">
        <fgColor rgb="FF808080"/>
      </patternFill>
    </fill>
    <fill>
      <patternFill patternType="solid">
        <fgColor rgb="FFF2F2F2"/>
      </patternFill>
    </fill>
    <fill>
      <patternFill patternType="solid">
        <fgColor rgb="FFFFFACD"/>
      </patternFill>
    </fill>
  </fills>
  <borders count="10">
    <border>
      <left/>
      <right/>
      <top/>
      <bottom/>
    </border>
    <border>
      <left/>
      <right/>
      <top/>
      <bottom style="thin">
        <color rgb="FF000000"/>
      </bottom>
    </border>
    <border>
      <left/>
      <right/>
      <top style="medium">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right/>
      <top/>
      <bottom/>
    </border>
    <border>
      <left/>
      <right style="thin">
        <color rgb="FF000000"/>
      </right>
      <top/>
      <bottom/>
    </border>
  </borders>
  <cellStyleXfs count="1">
    <xf numFmtId="0" fontId="0" fillId="0" borderId="0"/>
  </cellStyleXfs>
  <cellXfs count="54">
    <xf numFmtId="0" fontId="0" fillId="0" borderId="0" xfId="0"/>
    <xf numFmtId="0" fontId="1" fillId="0" borderId="0" xfId="0" applyFont="1"/>
    <xf numFmtId="0" fontId="1" fillId="0" borderId="1" xfId="0" applyFont="1" applyBorder="1" applyAlignment="1">
      <alignment horizontal="left" vertical="center"/>
    </xf>
    <xf numFmtId="0" fontId="1" fillId="0" borderId="2" xfId="0" applyFont="1" applyBorder="1"/>
    <xf numFmtId="164" fontId="0" fillId="0" borderId="0" xfId="0" applyNumberFormat="1"/>
    <xf numFmtId="164" fontId="3" fillId="0" borderId="0" xfId="0" applyNumberFormat="1" applyFont="1"/>
    <xf numFmtId="165" fontId="5" fillId="0" borderId="0" xfId="0" applyNumberFormat="1" applyFont="1"/>
    <xf numFmtId="165" fontId="6" fillId="0" borderId="0" xfId="0" applyNumberFormat="1" applyFont="1"/>
    <xf numFmtId="0" fontId="2" fillId="2" borderId="0" xfId="0" applyFont="1" applyFill="1" applyAlignment="1">
      <alignment horizontal="left" vertical="center"/>
    </xf>
    <xf numFmtId="0" fontId="2" fillId="3" borderId="0" xfId="0" applyFont="1" applyFill="1" applyAlignment="1">
      <alignment horizontal="left" vertical="center"/>
    </xf>
    <xf numFmtId="0" fontId="1" fillId="4" borderId="0" xfId="0" applyFont="1" applyFill="1" applyAlignment="1">
      <alignment horizontal="left" vertical="center"/>
    </xf>
    <xf numFmtId="164" fontId="4" fillId="0" borderId="0" xfId="0" applyNumberFormat="1" applyFont="1"/>
    <xf numFmtId="165" fontId="7" fillId="0" borderId="0" xfId="0" applyNumberFormat="1" applyFont="1"/>
    <xf numFmtId="164" fontId="1" fillId="0" borderId="2" xfId="0" applyNumberFormat="1" applyFont="1" applyBorder="1"/>
    <xf numFmtId="165" fontId="8" fillId="0" borderId="2" xfId="0" applyNumberFormat="1" applyFont="1" applyBorder="1"/>
    <xf numFmtId="164" fontId="3" fillId="0" borderId="2" xfId="0" applyNumberFormat="1" applyFont="1" applyBorder="1"/>
    <xf numFmtId="0" fontId="0" fillId="0" borderId="2" xfId="0" applyBorder="1"/>
    <xf numFmtId="165" fontId="6" fillId="0" borderId="2" xfId="0" applyNumberFormat="1" applyFont="1" applyBorder="1"/>
    <xf numFmtId="164" fontId="4" fillId="0" borderId="2" xfId="0" applyNumberFormat="1" applyFont="1" applyBorder="1"/>
    <xf numFmtId="165" fontId="7" fillId="0" borderId="2" xfId="0" applyNumberFormat="1" applyFont="1" applyBorder="1"/>
    <xf numFmtId="0" fontId="0" fillId="0" borderId="0" xfId="0" applyAlignment="1">
      <alignment horizontal="left" vertical="center" indent="1"/>
    </xf>
    <xf numFmtId="0" fontId="0" fillId="0" borderId="0" xfId="0" applyAlignment="1">
      <alignment horizontal="left" vertical="center" indent="2"/>
    </xf>
    <xf numFmtId="0" fontId="1" fillId="0" borderId="1" xfId="0" applyFont="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0" fillId="5" borderId="8" xfId="0" applyFill="1" applyBorder="1" applyAlignment="1">
      <alignment horizontal="left" vertical="center"/>
    </xf>
    <xf numFmtId="0" fontId="0" fillId="5" borderId="6" xfId="0" applyFill="1" applyBorder="1" applyAlignment="1">
      <alignment horizontal="left" vertical="center"/>
    </xf>
    <xf numFmtId="166" fontId="0" fillId="5" borderId="6" xfId="0" applyNumberFormat="1" applyFill="1" applyBorder="1"/>
    <xf numFmtId="166" fontId="0" fillId="5" borderId="1" xfId="0" applyNumberFormat="1" applyFill="1" applyBorder="1"/>
    <xf numFmtId="166" fontId="0" fillId="5" borderId="7" xfId="0" applyNumberFormat="1" applyFill="1" applyBorder="1"/>
    <xf numFmtId="166" fontId="0" fillId="5" borderId="9" xfId="0" applyNumberFormat="1" applyFill="1" applyBorder="1"/>
    <xf numFmtId="166" fontId="0" fillId="5" borderId="0" xfId="0" applyNumberFormat="1" applyFill="1"/>
    <xf numFmtId="167" fontId="0" fillId="5" borderId="6" xfId="0" applyNumberFormat="1" applyFill="1" applyBorder="1"/>
    <xf numFmtId="167" fontId="0" fillId="5" borderId="1" xfId="0" applyNumberFormat="1" applyFill="1" applyBorder="1"/>
    <xf numFmtId="167" fontId="0" fillId="5" borderId="7" xfId="0" applyNumberFormat="1" applyFill="1" applyBorder="1"/>
    <xf numFmtId="167" fontId="0" fillId="5" borderId="9" xfId="0" applyNumberFormat="1" applyFill="1" applyBorder="1"/>
    <xf numFmtId="167" fontId="0" fillId="5" borderId="0" xfId="0" applyNumberFormat="1" applyFill="1"/>
    <xf numFmtId="165" fontId="0" fillId="5" borderId="6" xfId="0" applyNumberFormat="1" applyFill="1" applyBorder="1"/>
    <xf numFmtId="165" fontId="0" fillId="5" borderId="1" xfId="0" applyNumberFormat="1" applyFill="1" applyBorder="1"/>
    <xf numFmtId="165" fontId="0" fillId="5" borderId="7" xfId="0" applyNumberFormat="1" applyFill="1" applyBorder="1"/>
    <xf numFmtId="165" fontId="0" fillId="5" borderId="9" xfId="0" applyNumberFormat="1" applyFill="1" applyBorder="1"/>
    <xf numFmtId="165" fontId="0" fillId="5" borderId="0" xfId="0" applyNumberFormat="1" applyFill="1"/>
    <xf numFmtId="0" fontId="9" fillId="0" borderId="0" xfId="0" applyFont="1" applyAlignment="1">
      <alignment horizontal="left" vertical="center"/>
    </xf>
    <xf numFmtId="168" fontId="0" fillId="0" borderId="0" xfId="0" applyNumberFormat="1"/>
    <xf numFmtId="168" fontId="3" fillId="0" borderId="0" xfId="0" applyNumberFormat="1" applyFont="1"/>
    <xf numFmtId="168" fontId="4" fillId="0" borderId="0" xfId="0" applyNumberFormat="1" applyFont="1"/>
    <xf numFmtId="168" fontId="1" fillId="0" borderId="2" xfId="0" applyNumberFormat="1" applyFont="1" applyBorder="1"/>
    <xf numFmtId="168" fontId="3" fillId="0" borderId="2" xfId="0" applyNumberFormat="1" applyFont="1" applyBorder="1"/>
    <xf numFmtId="168" fontId="4" fillId="0" borderId="2" xfId="0" applyNumberFormat="1" applyFont="1" applyBorder="1"/>
    <xf numFmtId="169" fontId="3" fillId="0" borderId="0" xfId="0" applyNumberFormat="1" applyFont="1"/>
    <xf numFmtId="169" fontId="3" fillId="0" borderId="2" xfId="0" applyNumberFormat="1" applyFont="1" applyBorder="1"/>
    <xf numFmtId="169" fontId="4" fillId="0" borderId="0" xfId="0" applyNumberFormat="1" applyFont="1"/>
    <xf numFmtId="169" fontId="4" fillId="0" borderId="2" xfId="0" applyNumberFormat="1" applyFont="1" applyBorder="1"/>
  </cellXfs>
  <cellStyles count="1">
    <cellStyle name="Normal" xfId="0" builtinId="0"/>
  </cellStyles>
  <dxfs count="1">
    <dxf/>
  </dxfs>
  <tableStyles count="1" defaultTableStyle="WorkbookCore_NoFormatTable" defaultPivotStyle="PivotStyleLight16">
    <tableStyle name="WorkbookCore_NoFormatTable" pivot="0" table="1" count="13">
      <tableStyleElement type="wholeTable" dxfId="0"/>
      <tableStyleElement type="headerRow" dxfId="0"/>
      <tableStyleElement type="totalRow" dxfId="0"/>
      <tableStyleElement type="firstColumn" dxfId="0"/>
      <tableStyleElement type="lastColumn" dxfId="0"/>
      <tableStyleElement type="firstHeaderCell" dxfId="0"/>
      <tableStyleElement type="lastHeaderCell" dxfId="0"/>
      <tableStyleElement type="firstTotalCell" dxfId="0"/>
      <tableStyleElement type="lastTotalCell" dxfId="0"/>
      <tableStyleElement type="firstRowStripe" dxfId="0" size="1"/>
      <tableStyleElement type="secondRowStripe" dxfId="0" size="1"/>
      <tableStyleElement type="firstColumnStripe" dxfId="0" size="1"/>
      <tableStyleElement type="secondColumnStripe" dxfId="0" size="1"/>
    </tableStyle>
  </table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styles" Target="styles.xml"/></Relationships>
</file>

<file path=xl/tables/table1.xml><?xml version="1.0" encoding="utf-8"?>
<table xmlns="http://schemas.openxmlformats.org/spreadsheetml/2006/main" id="1" name="tbl_sub_pop_parse" displayName="tbl_sub_pop_parse" ref="B16:O674" totalsRowShown="0">
  <autoFilter ref="B16:O674"/>
  <tableColumns count="14">
    <tableColumn id="1" name="Date"/>
    <tableColumn id="2" name="PIID"/>
    <tableColumn id="3" name="Program"/>
    <tableColumn id="4" name="Work Type"/>
    <tableColumn id="5" name="Scope Class"/>
    <tableColumn id="6" name="Stream"/>
    <tableColumn id="7" name="Gate"/>
    <tableColumn id="8" name="GFE/Excl"/>
    <tableColumn id="9" name="Confirmed"/>
    <tableColumn id="10" name="$M"/>
    <tableColumn id="11" name="EB %"/>
    <tableColumn id="12" name="HII %"/>
    <tableColumn id="13" name="Other US %"/>
    <tableColumn id="14" name="Foreign %"/>
  </tableColumns>
  <tableStyleInfo name="WorkbookCore_NoFormatTable" showFirstColumn="0" showLastColumn="0" showRowStripes="0" showColumnStripes="0"/>
</table>
</file>

<file path=xl/tables/table2.xml><?xml version="1.0" encoding="utf-8"?>
<table xmlns="http://schemas.openxmlformats.org/spreadsheetml/2006/main" id="2" name="tbl_sub_entity_master" displayName="tbl_sub_entity_master" ref="B16:U944" totalsRowShown="0">
  <autoFilter ref="B16:U944"/>
  <tableColumns count="20">
    <tableColumn id="1" name="Vendor"/>
    <tableColumn id="2" name="UEI"/>
    <tableColumn id="3" name="Country"/>
    <tableColumn id="4" name="NAICS-4"/>
    <tableColumn id="5" name="NAICS desc"/>
    <tableColumn id="6" name="$M"/>
    <tableColumn id="7" name="Role"/>
    <tableColumn id="8" name="Bucket"/>
    <tableColumn id="9" name="Class rule"/>
    <tableColumn id="10" name="Modular"/>
    <tableColumn id="11" name="VLS"/>
    <tableColumn id="12" name="GDEB $M"/>
    <tableColumn id="13" name="Va FY22"/>
    <tableColumn id="14" name="Va FY23"/>
    <tableColumn id="15" name="Va FY24"/>
    <tableColumn id="16" name="Va FY25"/>
    <tableColumn id="17" name="Col FY22"/>
    <tableColumn id="18" name="Col FY23"/>
    <tableColumn id="19" name="Col FY24"/>
    <tableColumn id="20" name="Col FY25"/>
  </tableColumns>
  <tableStyleInfo name="WorkbookCore_NoFormatTable" showFirstColumn="0" showLastColumn="0" showRowStripes="0" showColumnStripes="0"/>
</table>
</file>

<file path=xl/tables/table3.xml><?xml version="1.0" encoding="utf-8"?>
<table xmlns="http://schemas.openxmlformats.org/spreadsheetml/2006/main" id="3" name="tbl_sub_location_states" displayName="tbl_sub_location_states" ref="B15:F30" totalsRowShown="0">
  <autoFilter ref="B15:F30"/>
  <tableColumns count="5">
    <tableColumn id="1" name="State"/>
    <tableColumn id="2" name="Name"/>
    <tableColumn id="3" name="$M"/>
    <tableColumn id="4" name="% of US"/>
    <tableColumn id="5" name="Prime-controlled site"/>
  </tableColumns>
  <tableStyleInfo name="WorkbookCore_NoFormatTable" showFirstColumn="0" showLastColumn="0" showRowStripes="0" showColumnStripes="0"/>
</table>
</file>

<file path=xl/tables/table4.xml><?xml version="1.0" encoding="utf-8"?>
<table xmlns="http://schemas.openxmlformats.org/spreadsheetml/2006/main" id="4" name="tbl_sub_figure_register" displayName="tbl_sub_figure_register" ref="B15:H81" totalsRowShown="0">
  <autoFilter ref="B15:H81"/>
  <tableColumns count="7">
    <tableColumn id="1" name="Figure ID"/>
    <tableColumn id="2" name="Slide"/>
    <tableColumn id="3" name="Label"/>
    <tableColumn id="4" name="Value"/>
    <tableColumn id="5" name="Unit"/>
    <tableColumn id="6" name="Source cell"/>
    <tableColumn id="7" name="Producer tab"/>
  </tableColumns>
  <tableStyleInfo name="WorkbookCore_NoFormatTable" showFirstColumn="0" showLastColumn="0" showRowStripes="0" showColumnStripes="0"/>
</table>
</file>

<file path=xl/tables/table5.xml><?xml version="1.0" encoding="utf-8"?>
<table xmlns="http://schemas.openxmlformats.org/spreadsheetml/2006/main" id="5" name="tbl_sub_source_index_data" displayName="tbl_sub_source_index_data" ref="B6:D13" totalsRowShown="0">
  <autoFilter ref="B6:D13"/>
  <tableColumns count="3">
    <tableColumn id="1" name="Source"/>
    <tableColumn id="2" name="Retrieved"/>
    <tableColumn id="3" name="Location"/>
  </tableColumns>
  <tableStyleInfo name="WorkbookCore_NoFormatTable" showFirstColumn="0" showLastColumn="0" showRowStripes="0" showColumnStripes="0"/>
</table>
</file>

<file path=xl/tables/table6.xml><?xml version="1.0" encoding="utf-8"?>
<table xmlns="http://schemas.openxmlformats.org/spreadsheetml/2006/main" id="6" name="tbl_sub_source_index_budget" displayName="tbl_sub_source_index_budget" ref="B18:D23" totalsRowShown="0">
  <autoFilter ref="B18:D23"/>
  <tableColumns count="3">
    <tableColumn id="1" name="Source"/>
    <tableColumn id="2" name="Retrieved"/>
    <tableColumn id="3" name="Location"/>
  </tableColumns>
  <tableStyleInfo name="WorkbookCore_NoFormatTable" showFirstColumn="0" showLastColumn="0" showRowStripes="0" showColumnStripes="0"/>
</table>
</file>

<file path=xl/tables/table7.xml><?xml version="1.0" encoding="utf-8"?>
<table xmlns="http://schemas.openxmlformats.org/spreadsheetml/2006/main" id="7" name="tbl_sub_source_index_docs" displayName="tbl_sub_source_index_docs" ref="B28:D32" totalsRowShown="0">
  <autoFilter ref="B28:D32"/>
  <tableColumns count="3">
    <tableColumn id="1" name="Source"/>
    <tableColumn id="2" name="Retrieved"/>
    <tableColumn id="3" name="Location"/>
  </tableColumns>
  <tableStyleInfo name="WorkbookCore_NoFormatTable" showFirstColumn="0" showLastColumn="0" showRowStripes="0" showColumnStripes="0"/>
</table>
</file>

<file path=xl/tables/table8.xml><?xml version="1.0" encoding="utf-8"?>
<table xmlns="http://schemas.openxmlformats.org/spreadsheetml/2006/main" id="8" name="tbl_sub_references_claims" displayName="tbl_sub_references_claims" ref="B6:J40" totalsRowShown="0">
  <autoFilter ref="B6:J40"/>
  <tableColumns count="9">
    <tableColumn id="1" name="Claim ID"/>
    <tableColumn id="2" name="Label"/>
    <tableColumn id="3" name="Value"/>
    <tableColumn id="4" name="Unit"/>
    <tableColumn id="5" name="Source ID"/>
    <tableColumn id="6" name="Date"/>
    <tableColumn id="7" name="Source title"/>
    <tableColumn id="8" name="Source URL"/>
    <tableColumn id="9" name="Quoted text"/>
  </tableColumns>
  <tableStyleInfo name="WorkbookCore_NoFormatTable" showFirstColumn="0" showLastColumn="0" showRowStripes="0" showColumnStripes="0"/>
</table>
</file>

<file path=xl/tables/table9.xml><?xml version="1.0" encoding="utf-8"?>
<table xmlns="http://schemas.openxmlformats.org/spreadsheetml/2006/main" id="9" name="tbl_sub_references_exec" displayName="tbl_sub_references_exec" ref="B45:I66" totalsRowShown="0">
  <autoFilter ref="B45:I66"/>
  <tableColumns count="8">
    <tableColumn id="1" name="Quote ID"/>
    <tableColumn id="2" name="Date"/>
    <tableColumn id="3" name="Speaker"/>
    <tableColumn id="4" name="Role"/>
    <tableColumn id="5" name="Company"/>
    <tableColumn id="6" name="Topic"/>
    <tableColumn id="7" name="Quote"/>
    <tableColumn id="8" name="Source URL"/>
  </tableColumns>
  <tableStyleInfo name="WorkbookCore_NoFormatTable" showFirstColumn="0" showLastColumn="0" showRowStripes="0" showColumnStripes="0"/>
</table>
</file>

<file path=xl/worksheets/_rels/sheet2.xml.rels><?xml version="1.0" encoding="UTF-8" standalone="yes"?><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12.xml.rels><?xml version="1.0" encoding="UTF-8" standalone="yes"?><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6.xml"/><Relationship Id="rId3" Type="http://schemas.openxmlformats.org/officeDocument/2006/relationships/table" Target="../tables/table7.xml"/></Relationships>
</file>

<file path=xl/worksheets/_rels/sheet22.xml.rels><?xml version="1.0" encoding="UTF-8" standalone="yes"?><Relationships xmlns="http://schemas.openxmlformats.org/package/2006/relationships"><Relationship Id="rId1" Type="http://schemas.openxmlformats.org/officeDocument/2006/relationships/table" Target="../tables/table8.xml"/><Relationship Id="rId2"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sheetPr>
    <tabColor rgb="FF6A4C93"/>
    <outlinePr summaryBelow="0"/>
  </sheetPr>
  <sheetViews>
    <sheetView showGridLines="0" workbookViewId="0" showOutlineSymbols="0"/>
  </sheetViews>
  <sheetFormatPr defaultRowHeight="10" customHeight="1"/>
  <cols>
    <col min="1" max="1" width="2.2109375" customWidth="1"/>
    <col min="2" max="2" width="40" customWidth="1"/>
    <col min="3" max="3" width="18" customWidth="1"/>
    <col min="4" max="4" width="18" customWidth="1"/>
    <col min="5" max="5" width="18" customWidth="1"/>
    <col min="6" max="6" width="30" customWidth="1"/>
  </cols>
  <sheetData>
    <row r="1"/>
    <row r="2">
      <c r="B2" s="8" t="inlineStr">
        <is>
          <t xml:space="preserve">Executive Summary</t>
        </is>
      </c>
      <c r="C2" s="8"/>
      <c r="D2" s="8"/>
      <c r="E2" s="8"/>
      <c r="F2" s="8"/>
    </row>
    <row r="4">
      <c r="A4" s="0" t="inlineStr">
        <is>
          <t xml:space="preserve">x</t>
        </is>
      </c>
      <c r="B4" s="9" t="inlineStr">
        <is>
          <t xml:space="preserve">§1 - Key takeaways</t>
        </is>
      </c>
      <c r="C4" s="9"/>
      <c r="D4" s="9"/>
      <c r="E4" s="9"/>
      <c r="F4" s="9"/>
    </row>
    <row r="6">
      <c r="B6" s="2" t="inlineStr">
        <is>
          <t xml:space="preserve">Metric</t>
        </is>
      </c>
      <c r="C6" s="22" t="inlineStr">
        <is>
          <t xml:space="preserve">Value</t>
        </is>
      </c>
      <c r="D6" s="2" t="inlineStr">
        <is>
          <t xml:space="preserve">Source</t>
        </is>
      </c>
    </row>
    <row r="7" outlineLevel="1">
      <c r="B7" s="1" t="inlineStr">
        <is>
          <t xml:space="preserve">Average annual portfolio TAM $M</t>
        </is>
      </c>
      <c r="C7" s="11">
        <f>'TAM Build'!C143</f>
      </c>
      <c r="D7" s="0" t="inlineStr">
        <is>
          <t xml:space="preserve">TAM Build</t>
        </is>
      </c>
    </row>
    <row r="8" outlineLevel="1">
      <c r="B8" s="1" t="inlineStr">
        <is>
          <t xml:space="preserve">FY22-FY27 cumulative portfolio TAM $M</t>
        </is>
      </c>
      <c r="C8" s="11">
        <f>'TAM Build'!C141</f>
      </c>
      <c r="D8" s="0" t="inlineStr">
        <is>
          <t xml:space="preserve">TAM Build</t>
        </is>
      </c>
    </row>
    <row r="9" outlineLevel="1">
      <c r="B9" s="0" t="inlineStr">
        <is>
          <t xml:space="preserve">incl. OBBBA mandatory TAM $M (Sec. 20002(16), 1 boat)</t>
        </is>
      </c>
      <c r="C9" s="11">
        <f>'TAM Build'!C146</f>
      </c>
      <c r="D9" s="0" t="inlineStr">
        <is>
          <t xml:space="preserve">TAM Build</t>
        </is>
      </c>
    </row>
    <row r="10" outlineLevel="1">
      <c r="B10" s="1" t="inlineStr">
        <is>
          <t xml:space="preserve">Average annual broad SAM $M</t>
        </is>
      </c>
      <c r="C10" s="11">
        <f>'SAM Build'!C120</f>
      </c>
      <c r="D10" s="0" t="inlineStr">
        <is>
          <t xml:space="preserve">SAM Build</t>
        </is>
      </c>
    </row>
    <row r="11" outlineLevel="1">
      <c r="B11" s="0" t="inlineStr">
        <is>
          <t xml:space="preserve">FY22-FY27 cumulative broad SAM $M</t>
        </is>
      </c>
      <c r="C11" s="11">
        <f>'SAM Build'!D120</f>
      </c>
      <c r="D11" s="0" t="inlineStr">
        <is>
          <t xml:space="preserve">SAM Build</t>
        </is>
      </c>
    </row>
    <row r="12" outlineLevel="1">
      <c r="B12" s="0" t="inlineStr">
        <is>
          <t xml:space="preserve">Virginia BC coefficient (Block V announced POP)</t>
        </is>
      </c>
      <c r="C12" s="12">
        <f>'TAM Build'!C62</f>
      </c>
      <c r="D12" s="0" t="inlineStr">
        <is>
          <t xml:space="preserve">TAM Build</t>
        </is>
      </c>
    </row>
    <row r="13" outlineLevel="1">
      <c r="B13" s="0" t="inlineStr">
        <is>
          <t xml:space="preserve">Columbia BC coefficient (Build I announced POP)</t>
        </is>
      </c>
      <c r="C13" s="12">
        <f>'TAM Build'!C63</f>
      </c>
      <c r="D13" s="0" t="inlineStr">
        <is>
          <t xml:space="preserve">TAM Build</t>
        </is>
      </c>
    </row>
    <row r="14" outlineLevel="1">
      <c r="B14" s="0" t="inlineStr">
        <is>
          <t xml:space="preserve">AP/LLTM additive base $M</t>
        </is>
      </c>
      <c r="C14" s="11">
        <f>'AP Bridge'!C66</f>
      </c>
      <c r="D14" s="0" t="inlineStr">
        <is>
          <t xml:space="preserve">AP Bridge</t>
        </is>
      </c>
    </row>
    <row r="15" outlineLevel="1">
      <c r="B15" s="0" t="inlineStr">
        <is>
          <t xml:space="preserve">Outsourced BC penetration, FY22-27</t>
        </is>
      </c>
      <c r="C15" s="12">
        <f>'Outlook'!C36</f>
      </c>
      <c r="D15" s="0" t="inlineStr">
        <is>
          <t xml:space="preserve">Outlook</t>
        </is>
      </c>
    </row>
    <row r="16" outlineLevel="1">
      <c r="B16" s="0" t="inlineStr">
        <is>
          <t xml:space="preserve">Implied outyear Outsourced BC, low $M/yr</t>
        </is>
      </c>
      <c r="C16" s="11">
        <f>'Outlook'!C60</f>
      </c>
      <c r="D16" s="0" t="inlineStr">
        <is>
          <t xml:space="preserve">Outlook</t>
        </is>
      </c>
    </row>
    <row r="17" outlineLevel="1">
      <c r="B17" s="0" t="inlineStr">
        <is>
          <t xml:space="preserve">Implied outyear Outsourced BC, high $M/yr</t>
        </is>
      </c>
      <c r="C17" s="11">
        <f>'Outlook'!C61</f>
      </c>
      <c r="D17" s="0" t="inlineStr">
        <is>
          <t xml:space="preserve">Outlook</t>
        </is>
      </c>
    </row>
    <row r="18" outlineLevel="1">
      <c r="B18" s="0" t="inlineStr">
        <is>
          <t xml:space="preserve">FY22-25 average annual TAM $M/yr</t>
        </is>
      </c>
      <c r="C18" s="11">
        <f>'Outlook'!C69</f>
      </c>
      <c r="D18" s="0" t="inlineStr">
        <is>
          <t xml:space="preserve">Outlook</t>
        </is>
      </c>
    </row>
    <row r="21">
      <c r="A21" s="0" t="inlineStr">
        <is>
          <t xml:space="preserve">x</t>
        </is>
      </c>
      <c r="B21" s="9" t="inlineStr">
        <is>
          <t xml:space="preserve">§2 - TAM bridge</t>
        </is>
      </c>
      <c r="C21" s="9"/>
      <c r="D21" s="9"/>
      <c r="E21" s="9"/>
      <c r="F21" s="9"/>
    </row>
    <row r="23">
      <c r="A23" s="0" t="inlineStr">
        <is>
          <t xml:space="preserve">x</t>
        </is>
      </c>
      <c r="B23" s="10" t="inlineStr">
        <is>
          <t xml:space="preserve">§2a - BC stream</t>
        </is>
      </c>
      <c r="C23" s="10"/>
      <c r="D23" s="10"/>
      <c r="E23" s="10"/>
      <c r="F23" s="10"/>
    </row>
    <row r="25">
      <c r="B25" s="2" t="inlineStr">
        <is>
          <t xml:space="preserve">Step</t>
        </is>
      </c>
      <c r="C25" s="22" t="inlineStr">
        <is>
          <t xml:space="preserve">$M / %</t>
        </is>
      </c>
      <c r="D25" s="2" t="inlineStr">
        <is>
          <t xml:space="preserve">Source</t>
        </is>
      </c>
    </row>
    <row r="26" outlineLevel="1">
      <c r="B26" s="0" t="inlineStr">
        <is>
          <t xml:space="preserve">BC construction base (FY22-27)</t>
        </is>
      </c>
      <c r="C26" s="11">
        <f>'TAM Build'!C144</f>
      </c>
      <c r="D26" s="0" t="inlineStr">
        <is>
          <t xml:space="preserve">TAM Build</t>
        </is>
      </c>
    </row>
    <row r="27" outlineLevel="1">
      <c r="B27" s="0" t="inlineStr">
        <is>
          <t xml:space="preserve">x Virginia BC coefficient (Block V announced POP)</t>
        </is>
      </c>
      <c r="C27" s="12">
        <f>'TAM Build'!C62</f>
      </c>
      <c r="D27" s="0" t="inlineStr">
        <is>
          <t xml:space="preserve">TAM Build</t>
        </is>
      </c>
    </row>
    <row r="28" outlineLevel="1">
      <c r="B28" s="0" t="inlineStr">
        <is>
          <t xml:space="preserve">x Columbia BC coefficient (Build I announced POP)</t>
        </is>
      </c>
      <c r="C28" s="12">
        <f>'TAM Build'!C63</f>
      </c>
      <c r="D28" s="0" t="inlineStr">
        <is>
          <t xml:space="preserve">TAM Build</t>
        </is>
      </c>
    </row>
    <row r="29" outlineLevel="1">
      <c r="B29" s="1" t="inlineStr">
        <is>
          <t xml:space="preserve">BC-stream supplier TAM (per-class coeff x per-class base)</t>
        </is>
      </c>
      <c r="C29" s="4">
        <f>N('TAM Build'!C132)+N('TAM Build'!D132)+N('TAM Build'!E132)+N('TAM Build'!F132)+N('TAM Build'!G132)+N('TAM Build'!H132)</f>
      </c>
      <c r="D29" s="0" t="inlineStr">
        <is>
          <t xml:space="preserve">TAM Build</t>
        </is>
      </c>
    </row>
    <row r="31">
      <c r="A31" s="0" t="inlineStr">
        <is>
          <t xml:space="preserve">x</t>
        </is>
      </c>
      <c r="B31" s="10" t="inlineStr">
        <is>
          <t xml:space="preserve">§2b - AP/LLTM stream</t>
        </is>
      </c>
      <c r="C31" s="10"/>
      <c r="D31" s="10"/>
      <c r="E31" s="10"/>
      <c r="F31" s="10"/>
    </row>
    <row r="33">
      <c r="B33" s="2" t="inlineStr">
        <is>
          <t xml:space="preserve">Step</t>
        </is>
      </c>
      <c r="C33" s="22" t="inlineStr">
        <is>
          <t xml:space="preserve">$M / %</t>
        </is>
      </c>
      <c r="D33" s="2" t="inlineStr">
        <is>
          <t xml:space="preserve">Source</t>
        </is>
      </c>
    </row>
    <row r="34" outlineLevel="1">
      <c r="B34" s="1" t="inlineStr">
        <is>
          <t xml:space="preserve">P-10 gross AP top-line</t>
        </is>
      </c>
      <c r="C34" s="11">
        <f>'AP Bridge'!C62</f>
      </c>
      <c r="D34" s="0" t="inlineStr">
        <is>
          <t xml:space="preserve">AP Bridge</t>
        </is>
      </c>
    </row>
    <row r="35" outlineLevel="1">
      <c r="B35" s="20" t="inlineStr">
        <is>
          <t xml:space="preserve">less GFE / design / weapons</t>
        </is>
      </c>
      <c r="C35" s="11">
        <f>'AP Bridge'!C63</f>
      </c>
      <c r="D35" s="0" t="inlineStr">
        <is>
          <t xml:space="preserve">AP Bridge</t>
        </is>
      </c>
    </row>
    <row r="36" outlineLevel="1">
      <c r="B36" s="20" t="inlineStr">
        <is>
          <t xml:space="preserve">less already inside P-5c BC</t>
        </is>
      </c>
      <c r="C36" s="11">
        <f>'AP Bridge'!C64</f>
      </c>
      <c r="D36" s="0" t="inlineStr">
        <is>
          <t xml:space="preserve">AP Bridge</t>
        </is>
      </c>
    </row>
    <row r="37" outlineLevel="1">
      <c r="B37" s="20" t="inlineStr">
        <is>
          <t xml:space="preserve">less un-itemized overlap</t>
        </is>
      </c>
      <c r="C37" s="11">
        <f>'AP Bridge'!C65</f>
      </c>
      <c r="D37" s="0" t="inlineStr">
        <is>
          <t xml:space="preserve">AP Bridge</t>
        </is>
      </c>
    </row>
    <row r="38" outlineLevel="1">
      <c r="B38" s="1" t="inlineStr">
        <is>
          <t xml:space="preserve">AP/LLTM additive base</t>
        </is>
      </c>
      <c r="C38" s="11">
        <f>'AP Bridge'!C66</f>
      </c>
      <c r="D38" s="0" t="inlineStr">
        <is>
          <t xml:space="preserve">AP Bridge</t>
        </is>
      </c>
    </row>
    <row r="39" outlineLevel="1">
      <c r="B39" s="0" t="inlineStr">
        <is>
          <t xml:space="preserve">AP/LLTM reference coefficient</t>
        </is>
      </c>
      <c r="C39" s="12">
        <f>'TAM Build'!C65</f>
      </c>
      <c r="D39" s="0" t="inlineStr">
        <is>
          <t xml:space="preserve">TAM Build</t>
        </is>
      </c>
    </row>
    <row r="40" outlineLevel="1">
      <c r="B40" s="0" t="inlineStr">
        <is>
          <t xml:space="preserve">AP/LLTM-stream supplier TAM</t>
        </is>
      </c>
      <c r="C40" s="4">
        <f>N('TAM Build'!C133)+N('TAM Build'!D133)+N('TAM Build'!E133)+N('TAM Build'!F133)+N('TAM Build'!G133)+N('TAM Build'!H133)</f>
      </c>
      <c r="D40" s="0" t="inlineStr">
        <is>
          <t xml:space="preserve">TAM Build</t>
        </is>
      </c>
    </row>
    <row r="42">
      <c r="A42" s="0" t="inlineStr">
        <is>
          <t xml:space="preserve">x</t>
        </is>
      </c>
      <c r="B42" s="10" t="inlineStr">
        <is>
          <t xml:space="preserve">§2c - OBBBA mandatory (Sec. 20002(16))</t>
        </is>
      </c>
      <c r="C42" s="10"/>
      <c r="D42" s="10"/>
      <c r="E42" s="10"/>
      <c r="F42" s="10"/>
    </row>
    <row r="44">
      <c r="B44" s="2" t="inlineStr">
        <is>
          <t xml:space="preserve">Step</t>
        </is>
      </c>
      <c r="C44" s="22" t="inlineStr">
        <is>
          <t xml:space="preserve">$M / %</t>
        </is>
      </c>
      <c r="D44" s="2" t="inlineStr">
        <is>
          <t xml:space="preserve">Source</t>
        </is>
      </c>
    </row>
    <row r="45" outlineLevel="1">
      <c r="B45" s="1" t="inlineStr">
        <is>
          <t xml:space="preserve">Gross award (Sec. 20002(16), 2nd FY26 Virginia boat)</t>
        </is>
      </c>
      <c r="C45" s="11">
        <f>'OBBBA Mandatory'!I28</f>
      </c>
      <c r="D45" s="0" t="inlineStr">
        <is>
          <t xml:space="preserve">OBBBA Mandatory</t>
        </is>
      </c>
    </row>
    <row r="46" outlineLevel="1">
      <c r="B46" s="0" t="inlineStr">
        <is>
          <t xml:space="preserve">OBBBA BC share of award</t>
        </is>
      </c>
      <c r="C46" s="12">
        <f>'Assumptions'!E49</f>
      </c>
      <c r="D46" s="0" t="inlineStr">
        <is>
          <t xml:space="preserve">Assumptions</t>
        </is>
      </c>
    </row>
    <row r="47" outlineLevel="1">
      <c r="B47" s="0" t="inlineStr">
        <is>
          <t xml:space="preserve">OBBBA mandatory BC base (FY22-27)</t>
        </is>
      </c>
      <c r="C47" s="11">
        <f>'TAM Build'!C145</f>
      </c>
      <c r="D47" s="0" t="inlineStr">
        <is>
          <t xml:space="preserve">TAM Build</t>
        </is>
      </c>
    </row>
    <row r="48" outlineLevel="1">
      <c r="B48" s="0" t="inlineStr">
        <is>
          <t xml:space="preserve">x Virginia BC coefficient (the OBBBA boat is a Virginia)</t>
        </is>
      </c>
      <c r="C48" s="12">
        <f>'TAM Build'!C62</f>
      </c>
      <c r="D48" s="0" t="inlineStr">
        <is>
          <t xml:space="preserve">TAM Build</t>
        </is>
      </c>
    </row>
    <row r="49" outlineLevel="1">
      <c r="B49" s="1" t="inlineStr">
        <is>
          <t xml:space="preserve">OBBBA mandatory supplier TAM</t>
        </is>
      </c>
      <c r="C49" s="11">
        <f>'TAM Build'!C146</f>
      </c>
      <c r="D49" s="0" t="inlineStr">
        <is>
          <t xml:space="preserve">TAM Build</t>
        </is>
      </c>
    </row>
    <row r="50" outlineLevel="1">
      <c r="B50" s="0" t="inlineStr">
        <is>
          <t xml:space="preserve">FY2027 execution spillover assumption</t>
        </is>
      </c>
      <c r="C50" s="12">
        <f>'Assumptions'!C46</f>
      </c>
      <c r="D50" s="0" t="inlineStr">
        <is>
          <t xml:space="preserve">Assumptions</t>
        </is>
      </c>
    </row>
    <row r="52">
      <c r="A52" s="0" t="inlineStr">
        <is>
          <t xml:space="preserve">x</t>
        </is>
      </c>
      <c r="B52" s="10" t="inlineStr">
        <is>
          <t xml:space="preserve">§2d - Portfolio TAM</t>
        </is>
      </c>
      <c r="C52" s="10"/>
      <c r="D52" s="10"/>
      <c r="E52" s="10"/>
      <c r="F52" s="10"/>
    </row>
    <row r="54">
      <c r="B54" s="2" t="inlineStr">
        <is>
          <t xml:space="preserve">Step</t>
        </is>
      </c>
      <c r="C54" s="22" t="inlineStr">
        <is>
          <t xml:space="preserve">$M</t>
        </is>
      </c>
      <c r="D54" s="2" t="inlineStr">
        <is>
          <t xml:space="preserve">Source</t>
        </is>
      </c>
    </row>
    <row r="55" outlineLevel="1">
      <c r="B55" s="0" t="inlineStr">
        <is>
          <t xml:space="preserve">BC-stream supplier TAM</t>
        </is>
      </c>
      <c r="C55" s="4">
        <f>N('TAM Build'!C132)+N('TAM Build'!D132)+N('TAM Build'!E132)+N('TAM Build'!F132)+N('TAM Build'!G132)+N('TAM Build'!H132)</f>
      </c>
      <c r="D55" s="0" t="inlineStr">
        <is>
          <t xml:space="preserve">TAM Build</t>
        </is>
      </c>
    </row>
    <row r="56" outlineLevel="1">
      <c r="B56" s="0" t="inlineStr">
        <is>
          <t xml:space="preserve">AP/LLTM-stream supplier TAM</t>
        </is>
      </c>
      <c r="C56" s="4">
        <f>N('TAM Build'!C133)+N('TAM Build'!D133)+N('TAM Build'!E133)+N('TAM Build'!F133)+N('TAM Build'!G133)+N('TAM Build'!H133)</f>
      </c>
      <c r="D56" s="0" t="inlineStr">
        <is>
          <t xml:space="preserve">TAM Build</t>
        </is>
      </c>
    </row>
    <row r="57" outlineLevel="1">
      <c r="B57" s="0" t="inlineStr">
        <is>
          <t xml:space="preserve">OBBBA mandatory supplier TAM</t>
        </is>
      </c>
      <c r="C57" s="11">
        <f>'TAM Build'!C146</f>
      </c>
      <c r="D57" s="0" t="inlineStr">
        <is>
          <t xml:space="preserve">TAM Build</t>
        </is>
      </c>
    </row>
    <row r="58" outlineLevel="1">
      <c r="B58" s="1" t="inlineStr">
        <is>
          <t xml:space="preserve">Total portfolio TAM</t>
        </is>
      </c>
      <c r="C58" s="11">
        <f>'TAM Build'!C141</f>
      </c>
      <c r="D58" s="0" t="inlineStr">
        <is>
          <t xml:space="preserve">TAM Build</t>
        </is>
      </c>
    </row>
    <row r="61">
      <c r="A61" s="0" t="inlineStr">
        <is>
          <t xml:space="preserve">x</t>
        </is>
      </c>
      <c r="B61" s="9" t="inlineStr">
        <is>
          <t xml:space="preserve">§3 - TAM by fiscal year</t>
        </is>
      </c>
      <c r="C61" s="9"/>
      <c r="D61" s="9"/>
      <c r="E61" s="9"/>
      <c r="F61" s="9"/>
    </row>
    <row r="63">
      <c r="B63" s="2" t="inlineStr">
        <is>
          <t xml:space="preserve">Fiscal year</t>
        </is>
      </c>
      <c r="C63" s="22" t="inlineStr">
        <is>
          <t xml:space="preserve">BC-stream TAM $M</t>
        </is>
      </c>
      <c r="D63" s="22" t="inlineStr">
        <is>
          <t xml:space="preserve">AP/LLTM-stream TAM $M</t>
        </is>
      </c>
      <c r="E63" s="22" t="inlineStr">
        <is>
          <t xml:space="preserve">OBBBA mandatory TAM $M</t>
        </is>
      </c>
      <c r="F63" s="22" t="inlineStr">
        <is>
          <t xml:space="preserve">Portfolio TAM $M</t>
        </is>
      </c>
    </row>
    <row r="64" outlineLevel="1">
      <c r="B64" s="0" t="inlineStr">
        <is>
          <t xml:space="preserve">FY2022</t>
        </is>
      </c>
      <c r="C64" s="11">
        <f>'TAM Build'!C132</f>
      </c>
      <c r="D64" s="11">
        <f>'TAM Build'!C133</f>
      </c>
      <c r="E64" s="11">
        <f>'TAM Build'!C134</f>
      </c>
      <c r="F64" s="11">
        <f>'TAM Build'!C135</f>
      </c>
    </row>
    <row r="65" outlineLevel="1">
      <c r="B65" s="0" t="inlineStr">
        <is>
          <t xml:space="preserve">FY2023</t>
        </is>
      </c>
      <c r="C65" s="11">
        <f>'TAM Build'!D132</f>
      </c>
      <c r="D65" s="11">
        <f>'TAM Build'!D133</f>
      </c>
      <c r="E65" s="11">
        <f>'TAM Build'!D134</f>
      </c>
      <c r="F65" s="11">
        <f>'TAM Build'!D135</f>
      </c>
    </row>
    <row r="66" outlineLevel="1">
      <c r="B66" s="0" t="inlineStr">
        <is>
          <t xml:space="preserve">FY2024</t>
        </is>
      </c>
      <c r="C66" s="11">
        <f>'TAM Build'!E132</f>
      </c>
      <c r="D66" s="11">
        <f>'TAM Build'!E133</f>
      </c>
      <c r="E66" s="11">
        <f>'TAM Build'!E134</f>
      </c>
      <c r="F66" s="11">
        <f>'TAM Build'!E135</f>
      </c>
    </row>
    <row r="67" outlineLevel="1">
      <c r="B67" s="0" t="inlineStr">
        <is>
          <t xml:space="preserve">FY2025</t>
        </is>
      </c>
      <c r="C67" s="11">
        <f>'TAM Build'!F132</f>
      </c>
      <c r="D67" s="11">
        <f>'TAM Build'!F133</f>
      </c>
      <c r="E67" s="11">
        <f>'TAM Build'!F134</f>
      </c>
      <c r="F67" s="11">
        <f>'TAM Build'!F135</f>
      </c>
    </row>
    <row r="68" outlineLevel="1">
      <c r="B68" s="0" t="inlineStr">
        <is>
          <t xml:space="preserve">FY2026</t>
        </is>
      </c>
      <c r="C68" s="11">
        <f>'TAM Build'!G132</f>
      </c>
      <c r="D68" s="11">
        <f>'TAM Build'!G133</f>
      </c>
      <c r="E68" s="11">
        <f>'TAM Build'!G134</f>
      </c>
      <c r="F68" s="11">
        <f>'TAM Build'!G135</f>
      </c>
    </row>
    <row r="69" outlineLevel="1">
      <c r="B69" s="0" t="inlineStr">
        <is>
          <t xml:space="preserve">FY2027</t>
        </is>
      </c>
      <c r="C69" s="11">
        <f>'TAM Build'!H132</f>
      </c>
      <c r="D69" s="11">
        <f>'TAM Build'!H133</f>
      </c>
      <c r="E69" s="11">
        <f>'TAM Build'!H134</f>
      </c>
      <c r="F69" s="11">
        <f>'TAM Build'!H135</f>
      </c>
    </row>
    <row r="70">
      <c r="B70" s="3" t="inlineStr">
        <is>
          <t xml:space="preserve">Total (FY22-27)</t>
        </is>
      </c>
      <c r="C70" s="13">
        <f>N('TAM Build'!C132)+N('TAM Build'!D132)+N('TAM Build'!E132)+N('TAM Build'!F132)+N('TAM Build'!G132)+N('TAM Build'!H132)</f>
      </c>
      <c r="D70" s="13">
        <f>N('TAM Build'!C133)+N('TAM Build'!D133)+N('TAM Build'!E133)+N('TAM Build'!F133)+N('TAM Build'!G133)+N('TAM Build'!H133)</f>
      </c>
      <c r="E70" s="18">
        <f>'TAM Build'!C146</f>
      </c>
      <c r="F70" s="18">
        <f>'TAM Build'!C141</f>
      </c>
    </row>
    <row r="73">
      <c r="A73" s="0" t="inlineStr">
        <is>
          <t xml:space="preserve">x</t>
        </is>
      </c>
      <c r="B73" s="9" t="inlineStr">
        <is>
          <t xml:space="preserve">§4 - SAM scenario menu</t>
        </is>
      </c>
      <c r="C73" s="9"/>
      <c r="D73" s="9"/>
      <c r="E73" s="9"/>
      <c r="F73" s="9"/>
    </row>
    <row r="75">
      <c r="B75" s="2" t="inlineStr">
        <is>
          <t xml:space="preserve">Scenario</t>
        </is>
      </c>
      <c r="C75" s="22" t="inlineStr">
        <is>
          <t xml:space="preserve">Cumulative SAM $M</t>
        </is>
      </c>
      <c r="D75" s="22" t="inlineStr">
        <is>
          <t xml:space="preserve">% of TAM</t>
        </is>
      </c>
      <c r="E75" s="22" t="inlineStr">
        <is>
          <t xml:space="preserve">Avg annual SAM $M</t>
        </is>
      </c>
      <c r="F75" s="2" t="inlineStr">
        <is>
          <t xml:space="preserve">Interpretation</t>
        </is>
      </c>
    </row>
    <row r="76" outlineLevel="1">
      <c r="B76" s="0" t="inlineStr">
        <is>
          <t xml:space="preserve">Metal components</t>
        </is>
      </c>
      <c r="C76" s="11">
        <f>'SAM Build'!D116</f>
      </c>
      <c r="D76" s="12">
        <f>'SAM Build'!E116</f>
      </c>
      <c r="E76" s="11">
        <f>'SAM Build'!C116</f>
      </c>
      <c r="F76" s="0" t="inlineStr">
        <is>
          <t xml:space="preserve">structural + castings + machining</t>
        </is>
      </c>
    </row>
    <row r="77" outlineLevel="1">
      <c r="B77" s="0" t="inlineStr">
        <is>
          <t xml:space="preserve">HM&amp;E components</t>
        </is>
      </c>
      <c r="C77" s="11">
        <f>'SAM Build'!D117</f>
      </c>
      <c r="D77" s="12">
        <f>'SAM Build'!E117</f>
      </c>
      <c r="E77" s="11">
        <f>'SAM Build'!C117</f>
      </c>
      <c r="F77" s="0" t="inlineStr">
        <is>
          <t xml:space="preserve">machining + piping + electrical + HVAC</t>
        </is>
      </c>
    </row>
    <row r="78" outlineLevel="1">
      <c r="B78" s="0" t="inlineStr">
        <is>
          <t xml:space="preserve">Electrical / power</t>
        </is>
      </c>
      <c r="C78" s="11">
        <f>'SAM Build'!D118</f>
      </c>
      <c r="D78" s="12">
        <f>'SAM Build'!E118</f>
      </c>
      <c r="E78" s="11">
        <f>'SAM Build'!C118</f>
      </c>
      <c r="F78" s="0" t="inlineStr">
        <is>
          <t xml:space="preserve">electrical power / distribution / generation only</t>
        </is>
      </c>
    </row>
    <row r="79" outlineLevel="1">
      <c r="B79" s="0" t="inlineStr">
        <is>
          <t xml:space="preserve">Modular assemblies</t>
        </is>
      </c>
      <c r="C79" s="11">
        <f>'SAM Build'!D119</f>
      </c>
      <c r="D79" s="12">
        <f>'SAM Build'!E119</f>
      </c>
      <c r="E79" s="11">
        <f>'SAM Build'!C119</f>
      </c>
      <c r="F79" s="0" t="inlineStr">
        <is>
          <t xml:space="preserve">entity-flagged modular assemblers (registry, not a bucket union)</t>
        </is>
      </c>
    </row>
    <row r="80" outlineLevel="1">
      <c r="B80" s="0" t="inlineStr">
        <is>
          <t xml:space="preserve">Broad component mfg</t>
        </is>
      </c>
      <c r="C80" s="11">
        <f>'SAM Build'!D120</f>
      </c>
      <c r="D80" s="12">
        <f>'SAM Build'!E120</f>
      </c>
      <c r="E80" s="11">
        <f>'SAM Build'!C120</f>
      </c>
      <c r="F80" s="0" t="inlineStr">
        <is>
          <t xml:space="preserve">all seven buckets</t>
        </is>
      </c>
    </row>
  </sheetData>
</worksheet>
</file>

<file path=xl/worksheets/sheet2.xml><?xml version="1.0" encoding="utf-8"?>
<worksheet xmlns="http://schemas.openxmlformats.org/spreadsheetml/2006/main" xmlns:r="http://schemas.openxmlformats.org/officeDocument/2006/relationships">
  <sheetPr>
    <tabColor rgb="FF2C6E6E"/>
    <outlinePr summaryBelow="0"/>
  </sheetPr>
  <sheetViews>
    <sheetView showGridLines="0" workbookViewId="0" showOutlineSymbols="0"/>
  </sheetViews>
  <sheetFormatPr defaultRowHeight="10" customHeight="1"/>
  <cols>
    <col min="1" max="1" width="2.2109375" customWidth="1"/>
    <col min="2" max="2" width="24" customWidth="1"/>
    <col min="3" max="3" width="42" customWidth="1"/>
    <col min="4" max="4" width="38" customWidth="1"/>
    <col min="5" max="5" width="22" customWidth="1"/>
  </cols>
  <sheetData>
    <row r="1"/>
    <row r="2">
      <c r="B2" s="8" t="inlineStr">
        <is>
          <t xml:space="preserve">Methodology</t>
        </is>
      </c>
      <c r="C2" s="8"/>
      <c r="D2" s="8"/>
      <c r="E2" s="8"/>
    </row>
    <row r="4">
      <c r="A4" s="0" t="inlineStr">
        <is>
          <t xml:space="preserve">x</t>
        </is>
      </c>
      <c r="B4" s="9" t="inlineStr">
        <is>
          <t xml:space="preserve">§1 - Definitions</t>
        </is>
      </c>
      <c r="C4" s="9"/>
      <c r="D4" s="9"/>
      <c r="E4" s="9"/>
    </row>
    <row r="6">
      <c r="B6" s="2" t="inlineStr">
        <is>
          <t xml:space="preserve">Term</t>
        </is>
      </c>
      <c r="C6" s="2" t="inlineStr">
        <is>
          <t xml:space="preserve">Definition</t>
        </is>
      </c>
      <c r="D6" s="2" t="inlineStr">
        <is>
          <t xml:space="preserve">Treatment</t>
        </is>
      </c>
    </row>
    <row r="7" outlineLevel="1">
      <c r="B7" s="1" t="inlineStr">
        <is>
          <t xml:space="preserve">TAM</t>
        </is>
      </c>
      <c r="C7" s="0" t="inlineStr">
        <is>
          <t xml:space="preserve">non-GFE/SIB new-construction supplier opportunity</t>
        </is>
      </c>
      <c r="D7" s="0" t="inlineStr">
        <is>
          <t xml:space="preserve">BC base x coeff + AP/LLTM base x coeff</t>
        </is>
      </c>
    </row>
    <row r="8" outlineLevel="1">
      <c r="B8" s="1" t="inlineStr">
        <is>
          <t xml:space="preserve">SAM</t>
        </is>
      </c>
      <c r="C8" s="0" t="inlineStr">
        <is>
          <t xml:space="preserve">portion of TAM in targeted work-type buckets</t>
        </is>
      </c>
      <c r="D8" s="0" t="inlineStr">
        <is>
          <t xml:space="preserve">scenario menu</t>
        </is>
      </c>
    </row>
    <row r="9" outlineLevel="1">
      <c r="B9" s="1" t="inlineStr">
        <is>
          <t xml:space="preserve">BC</t>
        </is>
      </c>
      <c r="C9" s="0" t="inlineStr">
        <is>
          <t xml:space="preserve">Basic Construction (P-5c, GFE-free)</t>
        </is>
      </c>
      <c r="D9" s="0" t="inlineStr">
        <is>
          <t xml:space="preserve">the headline TAM stream</t>
        </is>
      </c>
    </row>
    <row r="10" outlineLevel="1">
      <c r="B10" s="1" t="inlineStr">
        <is>
          <t xml:space="preserve">AP/LLTM</t>
        </is>
      </c>
      <c r="C10" s="0" t="inlineStr">
        <is>
          <t xml:space="preserve">advance procurement / long-lead material</t>
        </is>
      </c>
      <c r="D10" s="0" t="inlineStr">
        <is>
          <t xml:space="preserve">reference stream; additive base = 0</t>
        </is>
      </c>
    </row>
    <row r="11" outlineLevel="1">
      <c r="B11" s="1" t="inlineStr">
        <is>
          <t xml:space="preserve">OBBBA mandatory</t>
        </is>
      </c>
      <c r="C11" s="0" t="inlineStr">
        <is>
          <t xml:space="preserve">Sec. 20002 mandatory new-construction funding</t>
        </is>
      </c>
      <c r="D11" s="0" t="inlineStr">
        <is>
          <t xml:space="preserve">gross x BC share x BC coeff; FY26 BA (spillover lever to FY27)</t>
        </is>
      </c>
    </row>
    <row r="12" outlineLevel="1">
      <c r="B12" s="1" t="inlineStr">
        <is>
          <t xml:space="preserve">GFE</t>
        </is>
      </c>
      <c r="C12" s="0" t="inlineStr">
        <is>
          <t xml:space="preserve">government-furnished equipment / weapons</t>
        </is>
      </c>
      <c r="D12" s="0" t="inlineStr">
        <is>
          <t xml:space="preserve">excluded from TAM</t>
        </is>
      </c>
    </row>
    <row r="13" outlineLevel="1">
      <c r="B13" s="1" t="inlineStr">
        <is>
          <t xml:space="preserve">SIB</t>
        </is>
      </c>
      <c r="C13" s="0" t="inlineStr">
        <is>
          <t xml:space="preserve">submarine industrial base / capacity grants</t>
        </is>
      </c>
      <c r="D13" s="0" t="inlineStr">
        <is>
          <t xml:space="preserve">excluded from SAM</t>
        </is>
      </c>
    </row>
    <row r="14" outlineLevel="1">
      <c r="B14" s="1" t="inlineStr">
        <is>
          <t xml:space="preserve">POP</t>
        </is>
      </c>
      <c r="C14" s="0" t="inlineStr">
        <is>
          <t xml:space="preserve">place of performance</t>
        </is>
      </c>
      <c r="D14" s="0" t="inlineStr">
        <is>
          <t xml:space="preserve">drives the supplier coefficient</t>
        </is>
      </c>
    </row>
    <row r="15" outlineLevel="1">
      <c r="B15" s="1" t="inlineStr">
        <is>
          <t xml:space="preserve">Supplier coefficient</t>
        </is>
      </c>
      <c r="C15" s="0" t="inlineStr">
        <is>
          <t xml:space="preserve">$-weighted supplier+foreign POP share</t>
        </is>
      </c>
      <c r="D15" s="0" t="inlineStr">
        <is>
          <t xml:space="preserve">applied to each stream base</t>
        </is>
      </c>
    </row>
    <row r="16" outlineLevel="1">
      <c r="B16" s="1" t="inlineStr">
        <is>
          <t xml:space="preserve">Worktype share gate</t>
        </is>
      </c>
      <c r="C16" s="0" t="inlineStr">
        <is>
          <t xml:space="preserve">per-class bucket shares measured on GDEB-PIID subawards, FY2022-25 window</t>
        </is>
      </c>
      <c r="D16" s="0" t="inlineStr">
        <is>
          <t xml:space="preserve">non-GDEB prime records excluded</t>
        </is>
      </c>
    </row>
    <row r="17" outlineLevel="1">
      <c r="B17" s="1" t="inlineStr">
        <is>
          <t xml:space="preserve">Distributed-production view</t>
        </is>
      </c>
      <c r="C17" s="0" t="inlineStr">
        <is>
          <t xml:space="preserve">work away from the final-assembly yard</t>
        </is>
      </c>
      <c r="D17" s="0" t="inlineStr">
        <is>
          <t xml:space="preserve">appendix context only</t>
        </is>
      </c>
    </row>
    <row r="20">
      <c r="A20" s="0" t="inlineStr">
        <is>
          <t xml:space="preserve">x</t>
        </is>
      </c>
      <c r="B20" s="9" t="inlineStr">
        <is>
          <t xml:space="preserve">§2 - Formula framework</t>
        </is>
      </c>
      <c r="C20" s="9"/>
      <c r="D20" s="9"/>
      <c r="E20" s="9"/>
    </row>
    <row r="22">
      <c r="A22" s="0" t="inlineStr">
        <is>
          <t xml:space="preserve">x</t>
        </is>
      </c>
      <c r="B22" s="10" t="inlineStr">
        <is>
          <t xml:space="preserve">§2a - TAM framework</t>
        </is>
      </c>
      <c r="C22" s="10"/>
      <c r="D22" s="10"/>
      <c r="E22" s="10"/>
    </row>
    <row r="24">
      <c r="B24" s="0" t="inlineStr">
        <is>
          <t xml:space="preserve">TAM = BC base x class-vintage BC supplier coefficient + AP/LLTM base x AP/LLTM supplier coefficient</t>
        </is>
      </c>
    </row>
    <row r="25">
      <c r="B25" s="0" t="inlineStr">
        <is>
          <t xml:space="preserve">Applied: per-class BC base x its funding construction master's announced-POP coefficient + $0 AP/LLTM base x AP/LLTM reference coeff</t>
        </is>
      </c>
    </row>
    <row r="26">
      <c r="B26" s="2" t="inlineStr">
        <is>
          <t xml:space="preserve">Coefficient (live)</t>
        </is>
      </c>
      <c r="C26" s="22" t="inlineStr">
        <is>
          <t xml:space="preserve">Value</t>
        </is>
      </c>
    </row>
    <row r="27" outlineLevel="1">
      <c r="B27" s="0" t="inlineStr">
        <is>
          <t xml:space="preserve">Virginia BC coefficient (Block V announced POP)</t>
        </is>
      </c>
      <c r="C27" s="12">
        <f>'TAM Build'!C62</f>
      </c>
    </row>
    <row r="28" outlineLevel="1">
      <c r="B28" s="0" t="inlineStr">
        <is>
          <t xml:space="preserve">Columbia BC coefficient (Build I announced POP)</t>
        </is>
      </c>
      <c r="C28" s="12">
        <f>'TAM Build'!C63</f>
      </c>
    </row>
    <row r="29" outlineLevel="1">
      <c r="B29" s="0" t="inlineStr">
        <is>
          <t xml:space="preserve">AP/LLTM reference coefficient</t>
        </is>
      </c>
      <c r="C29" s="12">
        <f>'TAM Build'!C65</f>
      </c>
    </row>
    <row r="31">
      <c r="B31" s="10" t="inlineStr">
        <is>
          <t xml:space="preserve">§2b - SAM framework</t>
        </is>
      </c>
      <c r="C31" s="10"/>
      <c r="D31" s="10"/>
      <c r="E31" s="10"/>
    </row>
    <row r="33">
      <c r="B33" s="0" t="inlineStr">
        <is>
          <t xml:space="preserve">SAM scenario = SUMPRODUCT(bucket TAM, scenario inclusion flag)</t>
        </is>
      </c>
    </row>
    <row r="34">
      <c r="B34" s="0" t="inlineStr">
        <is>
          <t xml:space="preserve">Bucket shares are per-class per-FY vectors measured on gated evidence: GDEB construction/LLTM PIIDs only (BPMI / LM / BAE / RR prime records excluded), Virginia and Columbia separately, FY2022-FY2025 reporting years -&gt; Worktype by FY.</t>
        </is>
      </c>
    </row>
    <row r="35">
      <c r="B35" s="0" t="inlineStr">
        <is>
          <t xml:space="preserve">Each class's annual TAM is allocated at its own FY's vector; FY2026-27 use the FY22-25 window vector (no usable subaward reporting yet).</t>
        </is>
      </c>
    </row>
    <row r="37">
      <c r="A37" s="0" t="inlineStr">
        <is>
          <t xml:space="preserve">x</t>
        </is>
      </c>
      <c r="B37" s="10" t="inlineStr">
        <is>
          <t xml:space="preserve">§2c - Penetration &amp; outyear outlook</t>
        </is>
      </c>
      <c r="C37" s="10"/>
      <c r="D37" s="10"/>
      <c r="E37" s="10"/>
    </row>
    <row r="39">
      <c r="B39" s="0" t="inlineStr">
        <is>
          <t xml:space="preserve">Penetration = Outsourced BC TAM (all streams) / total ship spend (Va + Col Total Ship Estimate + OBBBA gross), constant FY2026 $, measured per class.</t>
        </is>
      </c>
    </row>
    <row r="40">
      <c r="B40" s="0" t="inlineStr">
        <is>
          <t xml:space="preserve">Window averages are ratios of sums; implied FY28-31 Outsourced BC = each class's PB2027 FYDP gross x its penetration assumption, low = class FY22-25 average, high = low x (1 + stated outsourcing-intent uplift, Assumptions §9); portfolio = Virginia + Columbia.</t>
        </is>
      </c>
    </row>
    <row r="41">
      <c r="B41" s="0" t="inlineStr">
        <is>
          <t xml:space="preserve">FYDP outyears are the PB2027 request, not appropriation; FY2030-FY2031 deflators are extrapolated (Deflators tab).</t>
        </is>
      </c>
    </row>
    <row r="44">
      <c r="A44" s="0" t="inlineStr">
        <is>
          <t xml:space="preserve">x</t>
        </is>
      </c>
      <c r="B44" s="10" t="inlineStr">
        <is>
          <t xml:space="preserve">§2d - Evidence basis by fiscal year</t>
        </is>
      </c>
      <c r="C44" s="10"/>
      <c r="D44" s="10"/>
      <c r="E44" s="10"/>
    </row>
    <row r="46">
      <c r="B46" s="2" t="inlineStr">
        <is>
          <t xml:space="preserve">FY</t>
        </is>
      </c>
      <c r="C46" s="2" t="inlineStr">
        <is>
          <t xml:space="preserve">Dollar basis</t>
        </is>
      </c>
      <c r="D46" s="2" t="inlineStr">
        <is>
          <t xml:space="preserve">Outsourced % basis</t>
        </is>
      </c>
    </row>
    <row r="47" outlineLevel="1">
      <c r="B47" s="0" t="inlineStr">
        <is>
          <t xml:space="preserve">2022-2025</t>
        </is>
      </c>
      <c r="C47" s="0" t="inlineStr">
        <is>
          <t xml:space="preserve">Settled actuals (PB &gt;= FY+2 vintage rule)</t>
        </is>
      </c>
      <c r="D47" s="0" t="inlineStr">
        <is>
          <t xml:space="preserve">Class-vintage announced POP of the funding construction masters: Virginia 34% (Block V, 2019-12-02 bulletin), Columbia 22% (Build I, 2020-11-05 bulletin)</t>
        </is>
      </c>
    </row>
    <row r="48" outlineLevel="1">
      <c r="B48" s="0" t="inlineStr">
        <is>
          <t xml:space="preserve">2026</t>
        </is>
      </c>
      <c r="C48" s="0" t="inlineStr">
        <is>
          <t xml:space="preserve">Enacted: PB2027 P-5c + OBBBA PL 119-21 Sec. 20002(16) mandatory</t>
        </is>
      </c>
      <c r="D48" s="0" t="inlineStr">
        <is>
          <t xml:space="preserve">Same class coefficients (OBBBA boat is a Virginia -&gt; 34%); the OBBBA BC share (observed Virginia FY26 P-5c ratio, ~58.2%) is the one assumption layer</t>
        </is>
      </c>
    </row>
    <row r="49" outlineLevel="1">
      <c r="B49" s="0" t="inlineStr">
        <is>
          <t xml:space="preserve">2027</t>
        </is>
      </c>
      <c r="C49" s="0" t="inlineStr">
        <is>
          <t xml:space="preserve">PB2027 request - not yet appropriated</t>
        </is>
      </c>
      <c r="D49" s="0" t="inlineStr">
        <is>
          <t xml:space="preserve">Same class coefficients; OBBBA FY27 execution spillover defaults to 0 - estimate until appropriation</t>
        </is>
      </c>
    </row>
    <row r="50" outlineLevel="1">
      <c r="B50" s="0" t="inlineStr">
        <is>
          <t xml:space="preserve">2028-2031</t>
        </is>
      </c>
      <c r="C50" s="0" t="inlineStr">
        <is>
          <t xml:space="preserve">PB2027 FYDP request (Outlook only; outside TAM)</t>
        </is>
      </c>
      <c r="D50" s="0" t="inlineStr">
        <is>
          <t xml:space="preserve">Penetration assumption, not announcement POP - styled as an estimate</t>
        </is>
      </c>
    </row>
    <row r="51">
      <c r="B51" s="0" t="inlineStr">
        <is>
          <t xml:space="preserve">Announced POP is the contract-level planned distribution ('Work will be performed in...'), not realized per-FY actuals.</t>
        </is>
      </c>
    </row>
    <row r="52">
      <c r="B52" s="0" t="inlineStr">
        <is>
          <t xml:space="preserve">The pooled 2022-2026 corpus coefficient (35.0%) is retained on TAM Build §3a as a reference; Block VI construction is unawarded, so the Virginia row restates on its announcement.</t>
        </is>
      </c>
    </row>
    <row r="53">
      <c r="B53" s="0" t="inlineStr">
        <is>
          <t xml:space="preserve">The AP/LLTM additive base is 0 (P-10 supplier LLTM already sits inside P-5c BC); no AP coefficient is applied.</t>
        </is>
      </c>
    </row>
    <row r="56">
      <c r="A56" s="0" t="inlineStr">
        <is>
          <t xml:space="preserve">x</t>
        </is>
      </c>
      <c r="B56" s="9" t="inlineStr">
        <is>
          <t xml:space="preserve">§3 - Market-sizing flow</t>
        </is>
      </c>
      <c r="C56" s="9"/>
      <c r="D56" s="9"/>
      <c r="E56" s="9"/>
    </row>
    <row r="58">
      <c r="B58" s="2" t="inlineStr">
        <is>
          <t xml:space="preserve">Step</t>
        </is>
      </c>
      <c r="C58" s="2" t="inlineStr">
        <is>
          <t xml:space="preserve">Input</t>
        </is>
      </c>
      <c r="D58" s="2" t="inlineStr">
        <is>
          <t xml:space="preserve">Method</t>
        </is>
      </c>
      <c r="E58" s="2" t="inlineStr">
        <is>
          <t xml:space="preserve">Output tab</t>
        </is>
      </c>
    </row>
    <row r="59" outlineLevel="1">
      <c r="B59" s="0" t="inlineStr">
        <is>
          <t xml:space="preserve">Budget base</t>
        </is>
      </c>
      <c r="C59" s="0" t="inlineStr">
        <is>
          <t xml:space="preserve">SCN P-5c + P-10</t>
        </is>
      </c>
      <c r="D59" s="0" t="inlineStr">
        <is>
          <t xml:space="preserve">extract per class/FY</t>
        </is>
      </c>
      <c r="E59" s="0" t="inlineStr">
        <is>
          <t xml:space="preserve">SCN Annual / LLTM AP</t>
        </is>
      </c>
    </row>
    <row r="60" outlineLevel="1">
      <c r="B60" s="0" t="inlineStr">
        <is>
          <t xml:space="preserve">Add OBBBA mandatory BC (Sec. 20002(16))</t>
        </is>
      </c>
      <c r="C60" s="0" t="inlineStr">
        <is>
          <t xml:space="preserve">mandatory allocation plan</t>
        </is>
      </c>
      <c r="D60" s="0" t="inlineStr">
        <is>
          <t xml:space="preserve">gross x BC share</t>
        </is>
      </c>
      <c r="E60" s="0" t="inlineStr">
        <is>
          <t xml:space="preserve">OBBBA Mandatory</t>
        </is>
      </c>
    </row>
    <row r="61" outlineLevel="1">
      <c r="B61" s="0" t="inlineStr">
        <is>
          <t xml:space="preserve">Remove GFE / non-addressable / dup AP</t>
        </is>
      </c>
      <c r="C61" s="0" t="inlineStr">
        <is>
          <t xml:space="preserve">budget base</t>
        </is>
      </c>
      <c r="D61" s="0" t="inlineStr">
        <is>
          <t xml:space="preserve">exclusion rules</t>
        </is>
      </c>
      <c r="E61" s="0" t="inlineStr">
        <is>
          <t xml:space="preserve">TAM Build</t>
        </is>
      </c>
    </row>
    <row r="62" outlineLevel="1">
      <c r="B62" s="0" t="inlineStr">
        <is>
          <t xml:space="preserve">Apply POP supplier coefficient</t>
        </is>
      </c>
      <c r="C62" s="0" t="inlineStr">
        <is>
          <t xml:space="preserve">in-scope base</t>
        </is>
      </c>
      <c r="D62" s="0" t="inlineStr">
        <is>
          <t xml:space="preserve">POP $-weighted share</t>
        </is>
      </c>
      <c r="E62" s="0" t="inlineStr">
        <is>
          <t xml:space="preserve">TAM Build</t>
        </is>
      </c>
    </row>
    <row r="63" outlineLevel="1">
      <c r="B63" s="0" t="inlineStr">
        <is>
          <t xml:space="preserve">Portfolio TAM</t>
        </is>
      </c>
      <c r="C63" s="0" t="inlineStr">
        <is>
          <t xml:space="preserve">BC + AP/LLTM + OBBBA streams</t>
        </is>
      </c>
      <c r="D63" s="0" t="inlineStr">
        <is>
          <t xml:space="preserve">base x coefficient</t>
        </is>
      </c>
      <c r="E63" s="0" t="inlineStr">
        <is>
          <t xml:space="preserve">TAM Build</t>
        </is>
      </c>
    </row>
    <row r="64" outlineLevel="1">
      <c r="B64" s="0" t="inlineStr">
        <is>
          <t xml:space="preserve">Gate work-type share evidence</t>
        </is>
      </c>
      <c r="C64" s="0" t="inlineStr">
        <is>
          <t xml:space="preserve">FFATA subawards</t>
        </is>
      </c>
      <c r="D64" s="0" t="inlineStr">
        <is>
          <t xml:space="preserve">GDEB PIIDs, per class, FY22-25 window</t>
        </is>
      </c>
      <c r="E64" s="0" t="inlineStr">
        <is>
          <t xml:space="preserve">Worktype by FY</t>
        </is>
      </c>
    </row>
    <row r="65" outlineLevel="1">
      <c r="B65" s="0" t="inlineStr">
        <is>
          <t xml:space="preserve">Allocate TAM into buckets</t>
        </is>
      </c>
      <c r="C65" s="0" t="inlineStr">
        <is>
          <t xml:space="preserve">annual class TAM</t>
        </is>
      </c>
      <c r="D65" s="0" t="inlineStr">
        <is>
          <t xml:space="preserve">x per-class per-FY modeled share</t>
        </is>
      </c>
      <c r="E65" s="0" t="inlineStr">
        <is>
          <t xml:space="preserve">SAM Build</t>
        </is>
      </c>
    </row>
    <row r="66" outlineLevel="1">
      <c r="B66" s="0" t="inlineStr">
        <is>
          <t xml:space="preserve">Apply target scenario flags</t>
        </is>
      </c>
      <c r="C66" s="0" t="inlineStr">
        <is>
          <t xml:space="preserve">bucket TAM</t>
        </is>
      </c>
      <c r="D66" s="0" t="inlineStr">
        <is>
          <t xml:space="preserve">SUMPRODUCT with flags</t>
        </is>
      </c>
      <c r="E66" s="0" t="inlineStr">
        <is>
          <t xml:space="preserve">SAM Build</t>
        </is>
      </c>
    </row>
    <row r="67" outlineLevel="1">
      <c r="B67" s="0" t="inlineStr">
        <is>
          <t xml:space="preserve">SAM scenario output</t>
        </is>
      </c>
      <c r="C67" s="0" t="inlineStr">
        <is>
          <t xml:space="preserve">scenario selection</t>
        </is>
      </c>
      <c r="D67" s="0" t="inlineStr">
        <is>
          <t xml:space="preserve">scenario menu</t>
        </is>
      </c>
      <c r="E67" s="0" t="inlineStr">
        <is>
          <t xml:space="preserve">SAM Build</t>
        </is>
      </c>
    </row>
    <row r="68" outlineLevel="1">
      <c r="B68" s="0" t="inlineStr">
        <is>
          <t xml:space="preserve">Penetration &amp; outyear outlook</t>
        </is>
      </c>
      <c r="C68" s="0" t="inlineStr">
        <is>
          <t xml:space="preserve">TAM + ship spend + PB2027 FYDP gross</t>
        </is>
      </c>
      <c r="D68" s="0" t="inlineStr">
        <is>
          <t xml:space="preserve">TAM / spend; FYDP x penetration range</t>
        </is>
      </c>
      <c r="E68" s="0" t="inlineStr">
        <is>
          <t xml:space="preserve">Outlook</t>
        </is>
      </c>
    </row>
    <row r="71">
      <c r="A71" s="0" t="inlineStr">
        <is>
          <t xml:space="preserve">x</t>
        </is>
      </c>
      <c r="B71" s="9" t="inlineStr">
        <is>
          <t xml:space="preserve">§4 - Scope boundary</t>
        </is>
      </c>
      <c r="C71" s="9"/>
      <c r="D71" s="9"/>
      <c r="E71" s="9"/>
    </row>
    <row r="73">
      <c r="A73" s="0" t="inlineStr">
        <is>
          <t xml:space="preserve">x</t>
        </is>
      </c>
      <c r="B73" s="10" t="inlineStr">
        <is>
          <t xml:space="preserve">§4a - In TAM</t>
        </is>
      </c>
      <c r="C73" s="10"/>
      <c r="D73" s="10"/>
      <c r="E73" s="10"/>
    </row>
    <row r="75" outlineLevel="1">
      <c r="B75" s="0" t="inlineStr">
        <is>
          <t xml:space="preserve">Basic Construction, non-GFE</t>
        </is>
      </c>
    </row>
    <row r="76" outlineLevel="1">
      <c r="B76" s="0" t="inlineStr">
        <is>
          <t xml:space="preserve">Supplier-addressable component procurement</t>
        </is>
      </c>
    </row>
    <row r="77" outlineLevel="1">
      <c r="B77" s="0" t="inlineStr">
        <is>
          <t xml:space="preserve">Work away from prime / co-prime / GFE sites</t>
        </is>
      </c>
    </row>
    <row r="78" outlineLevel="1">
      <c r="B78" s="0" t="inlineStr">
        <is>
          <t xml:space="preserve">Eligible AP/LLTM/EOQ only if additive</t>
        </is>
      </c>
    </row>
    <row r="79" outlineLevel="1">
      <c r="B79" s="0" t="inlineStr">
        <is>
          <t xml:space="preserve">OBBBA mandatory BC share (Sec. 20002(16): one FY2026 Virginia boat)</t>
        </is>
      </c>
    </row>
    <row r="81">
      <c r="A81" s="0" t="inlineStr">
        <is>
          <t xml:space="preserve">x</t>
        </is>
      </c>
      <c r="B81" s="10" t="inlineStr">
        <is>
          <t xml:space="preserve">§4b - Out of TAM</t>
        </is>
      </c>
      <c r="C81" s="10"/>
      <c r="D81" s="10"/>
      <c r="E81" s="10"/>
    </row>
    <row r="83" outlineLevel="1">
      <c r="B83" s="0" t="inlineStr">
        <is>
          <t xml:space="preserve">GFE / weapons / sensors / ordnance</t>
        </is>
      </c>
    </row>
    <row r="84" outlineLevel="1">
      <c r="B84" s="0" t="inlineStr">
        <is>
          <t xml:space="preserve">SIB / industrial-base capacity grants</t>
        </is>
      </c>
    </row>
    <row r="85" outlineLevel="1">
      <c r="B85" s="0" t="inlineStr">
        <is>
          <t xml:space="preserve">Sustainment / depot / design-only work</t>
        </is>
      </c>
    </row>
    <row r="86" outlineLevel="1">
      <c r="B86" s="0" t="inlineStr">
        <is>
          <t xml:space="preserve">Prime / co-prime final-assembly yard work</t>
        </is>
      </c>
    </row>
    <row r="87" outlineLevel="1">
      <c r="B87" s="0" t="inlineStr">
        <is>
          <t xml:space="preserve">AP/LLTM already inside BC</t>
        </is>
      </c>
    </row>
    <row r="88" outlineLevel="1">
      <c r="B88" s="0" t="inlineStr">
        <is>
          <t xml:space="preserve">OBBBA capacity / workforce / repair / nuclear lines (memo on OBBBA Mandatory)</t>
        </is>
      </c>
    </row>
    <row r="91">
      <c r="A91" s="0" t="inlineStr">
        <is>
          <t xml:space="preserve">x</t>
        </is>
      </c>
      <c r="B91" s="9" t="inlineStr">
        <is>
          <t xml:space="preserve">§5 - Exclusion rules</t>
        </is>
      </c>
      <c r="C91" s="9"/>
      <c r="D91" s="9"/>
      <c r="E91" s="9"/>
    </row>
    <row r="93">
      <c r="B93" s="2" t="inlineStr">
        <is>
          <t xml:space="preserve">Exclusion category</t>
        </is>
      </c>
      <c r="C93" s="2" t="inlineStr">
        <is>
          <t xml:space="preserve">Treatment</t>
        </is>
      </c>
      <c r="D93" s="2" t="inlineStr">
        <is>
          <t xml:space="preserve">Rationale</t>
        </is>
      </c>
      <c r="E93" s="2" t="inlineStr">
        <is>
          <t xml:space="preserve">Evidence tab</t>
        </is>
      </c>
    </row>
    <row r="94" outlineLevel="1">
      <c r="B94" s="0" t="inlineStr">
        <is>
          <t xml:space="preserve">Mission systems</t>
        </is>
      </c>
      <c r="C94" s="0" t="inlineStr">
        <is>
          <t xml:space="preserve">exclude</t>
        </is>
      </c>
      <c r="D94" s="0" t="inlineStr">
        <is>
          <t xml:space="preserve">combat/electronics (sonar, EW, fire-control) - different market</t>
        </is>
      </c>
      <c r="E94" s="0" t="inlineStr">
        <is>
          <t xml:space="preserve">Entity Master</t>
        </is>
      </c>
    </row>
    <row r="95" outlineLevel="1">
      <c r="B95" s="0" t="inlineStr">
        <is>
          <t xml:space="preserve">GFE</t>
        </is>
      </c>
      <c r="C95" s="0" t="inlineStr">
        <is>
          <t xml:space="preserve">exclude</t>
        </is>
      </c>
      <c r="D95" s="0" t="inlineStr">
        <is>
          <t xml:space="preserve">Navy-furnished equipment / weapons</t>
        </is>
      </c>
      <c r="E95" s="0" t="inlineStr">
        <is>
          <t xml:space="preserve">SCN Annual</t>
        </is>
      </c>
    </row>
    <row r="96" outlineLevel="1">
      <c r="B96" s="0" t="inlineStr">
        <is>
          <t xml:space="preserve">SIB</t>
        </is>
      </c>
      <c r="C96" s="0" t="inlineStr">
        <is>
          <t xml:space="preserve">exclude</t>
        </is>
      </c>
      <c r="D96" s="0" t="inlineStr">
        <is>
          <t xml:space="preserve">capacity grants, not construction</t>
        </is>
      </c>
      <c r="E96" s="0" t="inlineStr">
        <is>
          <t xml:space="preserve">SIB Excluded</t>
        </is>
      </c>
    </row>
    <row r="97" outlineLevel="1">
      <c r="B97" s="0" t="inlineStr">
        <is>
          <t xml:space="preserve">OBBBA capacity lines</t>
        </is>
      </c>
      <c r="C97" s="0" t="inlineStr">
        <is>
          <t xml:space="preserve">exclude</t>
        </is>
      </c>
      <c r="D97" s="0" t="inlineStr">
        <is>
          <t xml:space="preserve">capacity / workforce grants, not construction</t>
        </is>
      </c>
      <c r="E97" s="0" t="inlineStr">
        <is>
          <t xml:space="preserve">OBBBA Mandatory</t>
        </is>
      </c>
    </row>
    <row r="98" outlineLevel="1">
      <c r="B98" s="0" t="inlineStr">
        <is>
          <t xml:space="preserve">BPMI / naval nuclear</t>
        </is>
      </c>
      <c r="C98" s="0" t="inlineStr">
        <is>
          <t xml:space="preserve">exclude</t>
        </is>
      </c>
      <c r="D98" s="0" t="inlineStr">
        <is>
          <t xml:space="preserve">GFE reactor line; out of BC corpus</t>
        </is>
      </c>
      <c r="E98" s="0" t="inlineStr">
        <is>
          <t xml:space="preserve">Sensitivity</t>
        </is>
      </c>
    </row>
    <row r="99" outlineLevel="1">
      <c r="B99" s="0" t="inlineStr">
        <is>
          <t xml:space="preserve">Prime yard</t>
        </is>
      </c>
      <c r="C99" s="0" t="inlineStr">
        <is>
          <t xml:space="preserve">exclude</t>
        </is>
      </c>
      <c r="D99" s="0" t="inlineStr">
        <is>
          <t xml:space="preserve">final-assembly work, not addressable</t>
        </is>
      </c>
      <c r="E99" s="0" t="inlineStr">
        <is>
          <t xml:space="preserve">POP Location Parse</t>
        </is>
      </c>
    </row>
    <row r="100" outlineLevel="1">
      <c r="B100" s="0" t="inlineStr">
        <is>
          <t xml:space="preserve">Co-prime yard</t>
        </is>
      </c>
      <c r="C100" s="0" t="inlineStr">
        <is>
          <t xml:space="preserve">exclude</t>
        </is>
      </c>
      <c r="D100" s="0" t="inlineStr">
        <is>
          <t xml:space="preserve">co-prime site work, not addressable</t>
        </is>
      </c>
      <c r="E100" s="0" t="inlineStr">
        <is>
          <t xml:space="preserve">POP Location Parse</t>
        </is>
      </c>
    </row>
    <row r="101" outlineLevel="1">
      <c r="B101" s="0" t="inlineStr">
        <is>
          <t xml:space="preserve">Foreign / FMS</t>
        </is>
      </c>
      <c r="C101" s="0" t="inlineStr">
        <is>
          <t xml:space="preserve">exclude</t>
        </is>
      </c>
      <c r="D101" s="0" t="inlineStr">
        <is>
          <t xml:space="preserve">foreign supplier / FMS, not US yard-side</t>
        </is>
      </c>
      <c r="E101" s="0" t="inlineStr">
        <is>
          <t xml:space="preserve">Entity Master</t>
        </is>
      </c>
    </row>
    <row r="102" outlineLevel="1">
      <c r="B102" s="0" t="inlineStr">
        <is>
          <t xml:space="preserve">Holding / IT / services</t>
        </is>
      </c>
      <c r="C102" s="0" t="inlineStr">
        <is>
          <t xml:space="preserve">exclude</t>
        </is>
      </c>
      <c r="D102" s="0" t="inlineStr">
        <is>
          <t xml:space="preserve">holding co (5511), IT resellers, eng services</t>
        </is>
      </c>
      <c r="E102" s="0" t="inlineStr">
        <is>
          <t xml:space="preserve">Entity Master</t>
        </is>
      </c>
    </row>
    <row r="103" outlineLevel="1">
      <c r="B103" s="0" t="inlineStr">
        <is>
          <t xml:space="preserve">Design-only</t>
        </is>
      </c>
      <c r="C103" s="0" t="inlineStr">
        <is>
          <t xml:space="preserve">exclude</t>
        </is>
      </c>
      <c r="D103" s="0" t="inlineStr">
        <is>
          <t xml:space="preserve">lead-yard design (Plan Costs)</t>
        </is>
      </c>
      <c r="E103" s="0" t="inlineStr">
        <is>
          <t xml:space="preserve">LLTM AP</t>
        </is>
      </c>
    </row>
    <row r="104" outlineLevel="1">
      <c r="B104" s="0" t="inlineStr">
        <is>
          <t xml:space="preserve">AP/LLTM already in BC</t>
        </is>
      </c>
      <c r="C104" s="0" t="inlineStr">
        <is>
          <t xml:space="preserve">exclude</t>
        </is>
      </c>
      <c r="D104" s="0" t="inlineStr">
        <is>
          <t xml:space="preserve">supplier LLTM booked inside BC</t>
        </is>
      </c>
      <c r="E104" s="0" t="inlineStr">
        <is>
          <t xml:space="preserve">LLTM AP</t>
        </is>
      </c>
    </row>
    <row r="105" outlineLevel="1">
      <c r="B105" s="0" t="inlineStr">
        <is>
          <t xml:space="preserve">Service / non-component</t>
        </is>
      </c>
      <c r="C105" s="0" t="inlineStr">
        <is>
          <t xml:space="preserve">exclude</t>
        </is>
      </c>
      <c r="D105" s="0" t="inlineStr">
        <is>
          <t xml:space="preserve">service NAICS, not manufacturing</t>
        </is>
      </c>
      <c r="E105" s="0" t="inlineStr">
        <is>
          <t xml:space="preserve">Entity Master</t>
        </is>
      </c>
    </row>
    <row r="107">
      <c r="A107" s="0" t="inlineStr">
        <is>
          <t xml:space="preserve">x</t>
        </is>
      </c>
      <c r="B107" s="10" t="inlineStr">
        <is>
          <t xml:space="preserve">§5a - Effect on the corpus (live)</t>
        </is>
      </c>
      <c r="C107" s="10"/>
      <c r="D107" s="10"/>
      <c r="E107" s="10"/>
    </row>
    <row r="109">
      <c r="B109" s="2" t="inlineStr">
        <is>
          <t xml:space="preserve">Measure</t>
        </is>
      </c>
      <c r="C109" s="22" t="inlineStr">
        <is>
          <t xml:space="preserve">$M</t>
        </is>
      </c>
    </row>
    <row r="110" outlineLevel="1">
      <c r="B110" s="0" t="inlineStr">
        <is>
          <t xml:space="preserve">Gated TAM corpus</t>
        </is>
      </c>
      <c r="C110" s="11">
        <f>'POP Source Audit'!D18</f>
      </c>
    </row>
    <row r="111" outlineLevel="1">
      <c r="B111" s="0" t="inlineStr">
        <is>
          <t xml:space="preserve">less: GFE / excluded scope</t>
        </is>
      </c>
      <c r="C111" s="11">
        <f>'POP Source Audit'!D19</f>
      </c>
    </row>
    <row r="112" outlineLevel="1">
      <c r="B112" s="0" t="inlineStr">
        <is>
          <t xml:space="preserve">SIB exclusion (subaward-level)</t>
        </is>
      </c>
      <c r="C112" s="11">
        <f>'SIB Excluded'!D17</f>
      </c>
    </row>
    <row r="115">
      <c r="A115" s="0" t="inlineStr">
        <is>
          <t xml:space="preserve">x</t>
        </is>
      </c>
      <c r="B115" s="9" t="inlineStr">
        <is>
          <t xml:space="preserve">§6 - Bucket taxonomy</t>
        </is>
      </c>
      <c r="C115" s="9"/>
      <c r="D115" s="9"/>
      <c r="E115" s="9"/>
    </row>
    <row r="117">
      <c r="B117" s="2" t="inlineStr">
        <is>
          <t xml:space="preserve">Bucket key</t>
        </is>
      </c>
      <c r="C117" s="2" t="inlineStr">
        <is>
          <t xml:space="preserve">Display name</t>
        </is>
      </c>
      <c r="D117" s="2" t="inlineStr">
        <is>
          <t xml:space="preserve">Definition</t>
        </is>
      </c>
      <c r="E117" s="2" t="inlineStr">
        <is>
          <t xml:space="preserve">Typical evidence</t>
        </is>
      </c>
    </row>
    <row r="118" outlineLevel="1">
      <c r="B118" s="0" t="inlineStr">
        <is>
          <t xml:space="preserve">structural</t>
        </is>
      </c>
      <c r="C118" s="0" t="inlineStr">
        <is>
          <t xml:space="preserve">Structural fabrication &amp; modules</t>
        </is>
      </c>
      <c r="D118" s="0" t="inlineStr">
        <is>
          <t xml:space="preserve">hull sections, fabricated structural metal, pre-outfit modules</t>
        </is>
      </c>
      <c r="E118" s="0" t="inlineStr">
        <is>
          <t xml:space="preserve">Worktype Evidence</t>
        </is>
      </c>
    </row>
    <row r="119" outlineLevel="1">
      <c r="B119" s="0" t="inlineStr">
        <is>
          <t xml:space="preserve">machining</t>
        </is>
      </c>
      <c r="C119" s="0" t="inlineStr">
        <is>
          <t xml:space="preserve">Machining / mechanical / propulsion</t>
        </is>
      </c>
      <c r="D119" s="0" t="inlineStr">
        <is>
          <t xml:space="preserve">machine shops, precision machining, mechanical power transmission, propulsion machinery</t>
        </is>
      </c>
      <c r="E119" s="0" t="inlineStr">
        <is>
          <t xml:space="preserve">Worktype Evidence</t>
        </is>
      </c>
    </row>
    <row r="120" outlineLevel="1">
      <c r="B120" s="0" t="inlineStr">
        <is>
          <t xml:space="preserve">castings</t>
        </is>
      </c>
      <c r="C120" s="0" t="inlineStr">
        <is>
          <t xml:space="preserve">Castings &amp; forgings</t>
        </is>
      </c>
      <c r="D120" s="0" t="inlineStr">
        <is>
          <t xml:space="preserve">iron/steel forging, steel foundries, cast components</t>
        </is>
      </c>
      <c r="E120" s="0" t="inlineStr">
        <is>
          <t xml:space="preserve">Worktype Evidence</t>
        </is>
      </c>
    </row>
    <row r="121" outlineLevel="1">
      <c r="B121" s="0" t="inlineStr">
        <is>
          <t xml:space="preserve">piping</t>
        </is>
      </c>
      <c r="C121" s="0" t="inlineStr">
        <is>
          <t xml:space="preserve">Piping / fluid handling</t>
        </is>
      </c>
      <c r="D121" s="0" t="inlineStr">
        <is>
          <t xml:space="preserve">industrial valves, pumps, measuring/dispensing, pipe &amp; fittings</t>
        </is>
      </c>
      <c r="E121" s="0" t="inlineStr">
        <is>
          <t xml:space="preserve">Worktype Evidence</t>
        </is>
      </c>
    </row>
    <row r="122" outlineLevel="1">
      <c r="B122" s="0" t="inlineStr">
        <is>
          <t xml:space="preserve">electrical</t>
        </is>
      </c>
      <c r="C122" s="0" t="inlineStr">
        <is>
          <t xml:space="preserve">Electrical power / distribution / generation</t>
        </is>
      </c>
      <c r="D122" s="0" t="inlineStr">
        <is>
          <t xml:space="preserve">switchgear, transformers, turbine generators, motors, ship power distribution</t>
        </is>
      </c>
      <c r="E122" s="0" t="inlineStr">
        <is>
          <t xml:space="preserve">Worktype Evidence</t>
        </is>
      </c>
    </row>
    <row r="123" outlineLevel="1">
      <c r="B123" s="0" t="inlineStr">
        <is>
          <t xml:space="preserve">hvac</t>
        </is>
      </c>
      <c r="C123" s="0" t="inlineStr">
        <is>
          <t xml:space="preserve">HVAC / ventilation / chilled water</t>
        </is>
      </c>
      <c r="D123" s="0" t="inlineStr">
        <is>
          <t xml:space="preserve">air-conditioning, warm-air heating, shipboard ventilation</t>
        </is>
      </c>
      <c r="E123" s="0" t="inlineStr">
        <is>
          <t xml:space="preserve">Worktype Evidence</t>
        </is>
      </c>
    </row>
    <row r="124" outlineLevel="1">
      <c r="B124" s="0" t="inlineStr">
        <is>
          <t xml:space="preserve">coatings</t>
        </is>
      </c>
      <c r="C124" s="0" t="inlineStr">
        <is>
          <t xml:space="preserve">Coatings / insulation / decking</t>
        </is>
      </c>
      <c r="D124" s="0" t="inlineStr">
        <is>
          <t xml:space="preserve">rubber/synthetic, composites, coatings &amp; insulation</t>
        </is>
      </c>
      <c r="E124" s="0" t="inlineStr">
        <is>
          <t xml:space="preserve">Worktype Evidence</t>
        </is>
      </c>
    </row>
    <row r="125" outlineLevel="1">
      <c r="B125" s="0" t="inlineStr">
        <is>
          <t xml:space="preserve">unbucketed</t>
        </is>
      </c>
      <c r="C125" s="0" t="inlineStr">
        <is>
          <t xml:space="preserve">Unbucketed / ambiguous</t>
        </is>
      </c>
      <c r="D125" s="0" t="inlineStr">
        <is>
          <t xml:space="preserve">parent-unknown or no clean NAICS</t>
        </is>
      </c>
      <c r="E125" s="0" t="inlineStr">
        <is>
          <t xml:space="preserve">Worktype Evidence</t>
        </is>
      </c>
    </row>
    <row r="127">
      <c r="A127" s="0" t="inlineStr">
        <is>
          <t xml:space="preserve">x</t>
        </is>
      </c>
      <c r="B127" s="10" t="inlineStr">
        <is>
          <t xml:space="preserve">§6a - Governing signal: operating-entity resolution (registry)</t>
        </is>
      </c>
      <c r="C127" s="10"/>
      <c r="D127" s="10"/>
      <c r="E127" s="10"/>
    </row>
    <row r="129">
      <c r="B129" s="2" t="inlineStr">
        <is>
          <t xml:space="preserve">Step</t>
        </is>
      </c>
      <c r="C129" s="2" t="inlineStr">
        <is>
          <t xml:space="preserve">Method</t>
        </is>
      </c>
    </row>
    <row r="130" outlineLevel="1">
      <c r="B130" s="0" t="inlineStr">
        <is>
          <t xml:space="preserve">Key</t>
        </is>
      </c>
      <c r="C130" s="0" t="inlineStr">
        <is>
          <t xml:space="preserve">each subaward's sub_entity_uei = the operating entity that received the dollars</t>
        </is>
      </c>
    </row>
    <row r="131" outlineLevel="1">
      <c r="B131" s="0" t="inlineStr">
        <is>
          <t xml:space="preserve">Resolve</t>
        </is>
      </c>
      <c r="C131" s="0" t="inlineStr">
        <is>
          <t xml:space="preserve">SAM Entity API -&gt; operating-entity legal name + primary NAICS</t>
        </is>
      </c>
    </row>
    <row r="132" outlineLevel="1">
      <c r="B132" s="0" t="inlineStr">
        <is>
          <t xml:space="preserve">Adjudicate</t>
        </is>
      </c>
      <c r="C132" s="0" t="inlineStr">
        <is>
          <t xml:space="preserve">evidence registry assigns role + bucket per entity (signed dollars)</t>
        </is>
      </c>
    </row>
    <row r="133" outlineLevel="1">
      <c r="B133" s="0" t="inlineStr">
        <is>
          <t xml:space="preserve">Why</t>
        </is>
      </c>
      <c r="C133" s="0" t="inlineStr">
        <is>
          <t xml:space="preserve">Northrop Sunnyvale turbine generators -&gt; electrical (real ship power), not the brand</t>
        </is>
      </c>
    </row>
    <row r="135">
      <c r="A135" s="0" t="inlineStr">
        <is>
          <t xml:space="preserve">x</t>
        </is>
      </c>
      <c r="B135" s="10" t="inlineStr">
        <is>
          <t xml:space="preserve">§6b - NAICS-4 -&gt; bucket crosswalk (fallback for entities not in the registry)</t>
        </is>
      </c>
      <c r="C135" s="10"/>
      <c r="D135" s="10"/>
      <c r="E135" s="10"/>
    </row>
    <row r="137">
      <c r="B137" s="22" t="inlineStr">
        <is>
          <t xml:space="preserve">NAICS-4</t>
        </is>
      </c>
      <c r="C137" s="2" t="inlineStr">
        <is>
          <t xml:space="preserve">Bucket</t>
        </is>
      </c>
    </row>
    <row r="138" outlineLevel="1">
      <c r="B138" s="0" t="inlineStr">
        <is>
          <t xml:space="preserve">3252</t>
        </is>
      </c>
      <c r="C138" s="0" t="inlineStr">
        <is>
          <t xml:space="preserve">coatings</t>
        </is>
      </c>
    </row>
    <row r="139" outlineLevel="1">
      <c r="B139" s="0" t="inlineStr">
        <is>
          <t xml:space="preserve">3259</t>
        </is>
      </c>
      <c r="C139" s="0" t="inlineStr">
        <is>
          <t xml:space="preserve">coatings</t>
        </is>
      </c>
    </row>
    <row r="140" outlineLevel="1">
      <c r="B140" s="0" t="inlineStr">
        <is>
          <t xml:space="preserve">3262</t>
        </is>
      </c>
      <c r="C140" s="0" t="inlineStr">
        <is>
          <t xml:space="preserve">coatings</t>
        </is>
      </c>
    </row>
    <row r="141" outlineLevel="1">
      <c r="B141" s="0" t="inlineStr">
        <is>
          <t xml:space="preserve">3312</t>
        </is>
      </c>
      <c r="C141" s="0" t="inlineStr">
        <is>
          <t xml:space="preserve">castings</t>
        </is>
      </c>
    </row>
    <row r="142" outlineLevel="1">
      <c r="B142" s="0" t="inlineStr">
        <is>
          <t xml:space="preserve">3315</t>
        </is>
      </c>
      <c r="C142" s="0" t="inlineStr">
        <is>
          <t xml:space="preserve">castings</t>
        </is>
      </c>
    </row>
    <row r="143" outlineLevel="1">
      <c r="B143" s="0" t="inlineStr">
        <is>
          <t xml:space="preserve">3321</t>
        </is>
      </c>
      <c r="C143" s="0" t="inlineStr">
        <is>
          <t xml:space="preserve">castings</t>
        </is>
      </c>
    </row>
    <row r="144" outlineLevel="1">
      <c r="B144" s="0" t="inlineStr">
        <is>
          <t xml:space="preserve">3323</t>
        </is>
      </c>
      <c r="C144" s="0" t="inlineStr">
        <is>
          <t xml:space="preserve">structural</t>
        </is>
      </c>
    </row>
    <row r="145" outlineLevel="1">
      <c r="B145" s="0" t="inlineStr">
        <is>
          <t xml:space="preserve">3324</t>
        </is>
      </c>
      <c r="C145" s="0" t="inlineStr">
        <is>
          <t xml:space="preserve">structural</t>
        </is>
      </c>
    </row>
    <row r="146" outlineLevel="1">
      <c r="B146" s="0" t="inlineStr">
        <is>
          <t xml:space="preserve">3327</t>
        </is>
      </c>
      <c r="C146" s="0" t="inlineStr">
        <is>
          <t xml:space="preserve">machining</t>
        </is>
      </c>
    </row>
    <row r="147" outlineLevel="1">
      <c r="B147" s="0" t="inlineStr">
        <is>
          <t xml:space="preserve">3329</t>
        </is>
      </c>
      <c r="C147" s="0" t="inlineStr">
        <is>
          <t xml:space="preserve">piping</t>
        </is>
      </c>
    </row>
    <row r="148" outlineLevel="1">
      <c r="B148" s="0" t="inlineStr">
        <is>
          <t xml:space="preserve">3334</t>
        </is>
      </c>
      <c r="C148" s="0" t="inlineStr">
        <is>
          <t xml:space="preserve">hvac</t>
        </is>
      </c>
    </row>
    <row r="149" outlineLevel="1">
      <c r="B149" s="0" t="inlineStr">
        <is>
          <t xml:space="preserve">3336</t>
        </is>
      </c>
      <c r="C149" s="0" t="inlineStr">
        <is>
          <t xml:space="preserve">machining</t>
        </is>
      </c>
    </row>
    <row r="150" outlineLevel="1">
      <c r="B150" s="0" t="inlineStr">
        <is>
          <t xml:space="preserve">3339</t>
        </is>
      </c>
      <c r="C150" s="0" t="inlineStr">
        <is>
          <t xml:space="preserve">piping</t>
        </is>
      </c>
    </row>
    <row r="151" outlineLevel="1">
      <c r="B151" s="0" t="inlineStr">
        <is>
          <t xml:space="preserve">3353</t>
        </is>
      </c>
      <c r="C151" s="0" t="inlineStr">
        <is>
          <t xml:space="preserve">electrical</t>
        </is>
      </c>
    </row>
    <row r="152" outlineLevel="1">
      <c r="B152" s="0" t="inlineStr">
        <is>
          <t xml:space="preserve">3359</t>
        </is>
      </c>
      <c r="C152" s="0" t="inlineStr">
        <is>
          <t xml:space="preserve">electrical</t>
        </is>
      </c>
    </row>
    <row r="153" outlineLevel="1">
      <c r="B153" s="0" t="inlineStr">
        <is>
          <t xml:space="preserve">3366</t>
        </is>
      </c>
      <c r="C153" s="0" t="inlineStr">
        <is>
          <t xml:space="preserve">structural</t>
        </is>
      </c>
    </row>
    <row r="154" outlineLevel="1">
      <c r="B154" s="0" t="inlineStr">
        <is>
          <t xml:space="preserve">3369</t>
        </is>
      </c>
      <c r="C154" s="0" t="inlineStr">
        <is>
          <t xml:space="preserve">structural</t>
        </is>
      </c>
    </row>
    <row r="155" outlineLevel="1">
      <c r="B155" s="0" t="inlineStr">
        <is>
          <t xml:space="preserve">4235</t>
        </is>
      </c>
      <c r="C155" s="0" t="inlineStr">
        <is>
          <t xml:space="preserve">piping</t>
        </is>
      </c>
    </row>
    <row r="158">
      <c r="A158" s="0" t="inlineStr">
        <is>
          <t xml:space="preserve">x</t>
        </is>
      </c>
      <c r="B158" s="9" t="inlineStr">
        <is>
          <t xml:space="preserve">§7 - Classification precedence (first match wins)</t>
        </is>
      </c>
      <c r="C158" s="9"/>
      <c r="D158" s="9"/>
      <c r="E158" s="9"/>
    </row>
    <row r="160">
      <c r="B160" s="22" t="inlineStr">
        <is>
          <t xml:space="preserve">Priority</t>
        </is>
      </c>
      <c r="C160" s="2" t="inlineStr">
        <is>
          <t xml:space="preserve">Rule</t>
        </is>
      </c>
      <c r="D160" s="2" t="inlineStr">
        <is>
          <t xml:space="preserve">Result</t>
        </is>
      </c>
      <c r="E160" s="2" t="inlineStr">
        <is>
          <t xml:space="preserve">Example</t>
        </is>
      </c>
    </row>
    <row r="161" outlineLevel="1">
      <c r="B161" s="0" t="inlineStr">
        <is>
          <t xml:space="preserve">1</t>
        </is>
      </c>
      <c r="C161" s="0" t="inlineStr">
        <is>
          <t xml:space="preserve">Evidence registry (operating-entity UEI)</t>
        </is>
      </c>
      <c r="D161" s="0" t="inlineStr">
        <is>
          <t xml:space="preserve">role + bucket per registry</t>
        </is>
      </c>
      <c r="E161" s="0" t="inlineStr">
        <is>
          <t xml:space="preserve">DRS Naval Power -&gt; electrical</t>
        </is>
      </c>
    </row>
    <row r="162" outlineLevel="1">
      <c r="B162" s="0" t="inlineStr">
        <is>
          <t xml:space="preserve">2</t>
        </is>
      </c>
      <c r="C162" s="0" t="inlineStr">
        <is>
          <t xml:space="preserve">Prime / co-prime name</t>
        </is>
      </c>
      <c r="D162" s="0" t="inlineStr">
        <is>
          <t xml:space="preserve">role=prime/co_prime</t>
        </is>
      </c>
      <c r="E162" s="0" t="inlineStr">
        <is>
          <t xml:space="preserve">Electric Boat, HII-NNS</t>
        </is>
      </c>
    </row>
    <row r="163" outlineLevel="1">
      <c r="B163" s="0" t="inlineStr">
        <is>
          <t xml:space="preserve">3</t>
        </is>
      </c>
      <c r="C163" s="0" t="inlineStr">
        <is>
          <t xml:space="preserve">GFE / SIB name</t>
        </is>
      </c>
      <c r="D163" s="0" t="inlineStr">
        <is>
          <t xml:space="preserve">role=gfe_sib</t>
        </is>
      </c>
      <c r="E163" s="0" t="inlineStr">
        <is>
          <t xml:space="preserve">Lockheed, BlueForge</t>
        </is>
      </c>
    </row>
    <row r="164" outlineLevel="1">
      <c r="B164" s="0" t="inlineStr">
        <is>
          <t xml:space="preserve">4</t>
        </is>
      </c>
      <c r="C164" s="0" t="inlineStr">
        <is>
          <t xml:space="preserve">Vendor-name override</t>
        </is>
      </c>
      <c r="D164" s="0" t="inlineStr">
        <is>
          <t xml:space="preserve">bucket per override</t>
        </is>
      </c>
      <c r="E164" s="0" t="inlineStr">
        <is>
          <t xml:space="preserve">Circor-&gt;piping</t>
        </is>
      </c>
    </row>
    <row r="165" outlineLevel="1">
      <c r="B165" s="0" t="inlineStr">
        <is>
          <t xml:space="preserve">5</t>
        </is>
      </c>
      <c r="C165" s="0" t="inlineStr">
        <is>
          <t xml:space="preserve">NAICS-4 crosswalk (no 3364/3344)</t>
        </is>
      </c>
      <c r="D165" s="0" t="inlineStr">
        <is>
          <t xml:space="preserve">role=supplier, bucket per NAICS</t>
        </is>
      </c>
      <c r="E165" s="0" t="inlineStr">
        <is>
          <t xml:space="preserve">3329-&gt;piping</t>
        </is>
      </c>
    </row>
    <row r="166" outlineLevel="1">
      <c r="B166" s="0" t="inlineStr">
        <is>
          <t xml:space="preserve">6</t>
        </is>
      </c>
      <c r="C166" s="0" t="inlineStr">
        <is>
          <t xml:space="preserve">Service / non-component NAICS</t>
        </is>
      </c>
      <c r="D166" s="0" t="inlineStr">
        <is>
          <t xml:space="preserve">role=service</t>
        </is>
      </c>
      <c r="E166" s="0" t="inlineStr">
        <is>
          <t xml:space="preserve">5416 mgmt, 5413 eng</t>
        </is>
      </c>
    </row>
    <row r="167" outlineLevel="1">
      <c r="B167" s="0" t="inlineStr">
        <is>
          <t xml:space="preserve">7</t>
        </is>
      </c>
      <c r="C167" s="0" t="inlineStr">
        <is>
          <t xml:space="preserve">Holding (NAICS 5511)</t>
        </is>
      </c>
      <c r="D167" s="0" t="inlineStr">
        <is>
          <t xml:space="preserve">role=holding (excluded)</t>
        </is>
      </c>
      <c r="E167" s="0" t="inlineStr">
        <is>
          <t xml:space="preserve">parent-only holding co</t>
        </is>
      </c>
    </row>
    <row r="168" outlineLevel="1">
      <c r="B168" s="0" t="inlineStr">
        <is>
          <t xml:space="preserve">8</t>
        </is>
      </c>
      <c r="C168" s="0" t="inlineStr">
        <is>
          <t xml:space="preserve">Foreign-flagged, no NAICS</t>
        </is>
      </c>
      <c r="D168" s="0" t="inlineStr">
        <is>
          <t xml:space="preserve">role=foreign_fms (excluded)</t>
        </is>
      </c>
      <c r="E168" s="0" t="inlineStr">
        <is>
          <t xml:space="preserve">foreign supplier / FMS</t>
        </is>
      </c>
    </row>
    <row r="169" outlineLevel="1">
      <c r="B169" s="0" t="inlineStr">
        <is>
          <t xml:space="preserve">9</t>
        </is>
      </c>
      <c r="C169" s="0" t="inlineStr">
        <is>
          <t xml:space="preserve">Residual</t>
        </is>
      </c>
      <c r="D169" s="0" t="inlineStr">
        <is>
          <t xml:space="preserve">role=supplier, bucket=unbucketed</t>
        </is>
      </c>
      <c r="E169" s="0" t="inlineStr">
        <is>
          <t xml:space="preserve">blank-NAICS, not in registry</t>
        </is>
      </c>
    </row>
  </sheetData>
  <legacyDrawing r:id="rId2"/>
</worksheet>
</file>

<file path=xl/worksheets/sheet3.xml><?xml version="1.0" encoding="utf-8"?>
<worksheet xmlns="http://schemas.openxmlformats.org/spreadsheetml/2006/main" xmlns:r="http://schemas.openxmlformats.org/officeDocument/2006/relationships">
  <sheetPr>
    <tabColor rgb="FFB8860B"/>
    <outlinePr summaryBelow="0"/>
  </sheetPr>
  <sheetViews>
    <sheetView showGridLines="0" workbookViewId="0" showOutlineSymbols="0"/>
  </sheetViews>
  <sheetFormatPr defaultRowHeight="10" customHeight="1"/>
  <cols>
    <col min="1" max="1" width="2.2109375" customWidth="1"/>
    <col min="2" max="2" width="40" customWidth="1"/>
    <col min="3" max="3" width="16" customWidth="1"/>
    <col min="4" max="4" width="12" customWidth="1"/>
    <col min="5" max="5" width="14" customWidth="1"/>
    <col min="6" max="6" width="14" customWidth="1"/>
    <col min="7" max="7" width="12" customWidth="1"/>
    <col min="8" max="8" width="12" customWidth="1"/>
  </cols>
  <sheetData>
    <row r="1"/>
    <row r="2">
      <c r="B2" s="8" t="inlineStr">
        <is>
          <t xml:space="preserve">Assumptions</t>
        </is>
      </c>
      <c r="C2" s="8"/>
      <c r="D2" s="8"/>
      <c r="E2" s="8"/>
      <c r="F2" s="8"/>
      <c r="G2" s="8"/>
      <c r="H2" s="8"/>
    </row>
    <row r="4">
      <c r="A4" s="0" t="inlineStr">
        <is>
          <t xml:space="preserve">x</t>
        </is>
      </c>
      <c r="B4" s="9" t="inlineStr">
        <is>
          <t xml:space="preserve">§1 - Run settings</t>
        </is>
      </c>
      <c r="C4" s="9"/>
      <c r="D4" s="9"/>
      <c r="E4" s="9"/>
      <c r="F4" s="9"/>
      <c r="G4" s="9"/>
      <c r="H4" s="9"/>
    </row>
    <row r="6">
      <c r="B6" s="2" t="inlineStr">
        <is>
          <t xml:space="preserve">Setting</t>
        </is>
      </c>
      <c r="C6" s="2" t="inlineStr">
        <is>
          <t xml:space="preserve">Value</t>
        </is>
      </c>
    </row>
    <row r="7" outlineLevel="1">
      <c r="B7" s="0" t="inlineStr">
        <is>
          <t xml:space="preserve">Program</t>
        </is>
      </c>
      <c r="C7" s="0" t="inlineStr">
        <is>
          <t xml:space="preserve">Submarine</t>
        </is>
      </c>
    </row>
    <row r="8" outlineLevel="1">
      <c r="B8" s="0" t="inlineStr">
        <is>
          <t xml:space="preserve">FY range start</t>
        </is>
      </c>
      <c r="C8" s="0">
        <v>2022</v>
      </c>
    </row>
    <row r="9" outlineLevel="1">
      <c r="B9" s="0" t="inlineStr">
        <is>
          <t xml:space="preserve">FY range end</t>
        </is>
      </c>
      <c r="C9" s="0">
        <v>2027</v>
      </c>
    </row>
    <row r="10" outlineLevel="1">
      <c r="B10" s="0" t="inlineStr">
        <is>
          <t xml:space="preserve">Units</t>
        </is>
      </c>
      <c r="C10" s="0" t="inlineStr">
        <is>
          <t xml:space="preserve">Constant FY2026 $M (then-year source retained)</t>
        </is>
      </c>
    </row>
    <row r="11" outlineLevel="1">
      <c r="B11" s="0" t="inlineStr">
        <is>
          <t xml:space="preserve">Default SAM scenario</t>
        </is>
      </c>
      <c r="C11" s="0" t="inlineStr">
        <is>
          <t xml:space="preserve">Broad component mfg</t>
        </is>
      </c>
    </row>
    <row r="14">
      <c r="A14" s="0" t="inlineStr">
        <is>
          <t xml:space="preserve">x</t>
        </is>
      </c>
      <c r="B14" s="9" t="inlineStr">
        <is>
          <t xml:space="preserve">§2 - Stream controls</t>
        </is>
      </c>
      <c r="C14" s="9"/>
      <c r="D14" s="9"/>
      <c r="E14" s="9"/>
      <c r="F14" s="9"/>
      <c r="G14" s="9"/>
      <c r="H14" s="9"/>
    </row>
    <row r="16">
      <c r="B16" s="2" t="inlineStr">
        <is>
          <t xml:space="preserve">Control</t>
        </is>
      </c>
      <c r="C16" s="2" t="inlineStr">
        <is>
          <t xml:space="preserve">Value</t>
        </is>
      </c>
    </row>
    <row r="17" outlineLevel="1">
      <c r="B17" s="0" t="inlineStr">
        <is>
          <t xml:space="preserve">Include BC stream</t>
        </is>
      </c>
      <c r="C17" s="5">
        <v>1</v>
      </c>
    </row>
    <row r="18" outlineLevel="1">
      <c r="B18" s="0" t="inlineStr">
        <is>
          <t xml:space="preserve">Include AP/LLTM stream</t>
        </is>
      </c>
      <c r="C18" s="5">
        <v>1</v>
      </c>
    </row>
    <row r="19" outlineLevel="1">
      <c r="B19" s="0" t="inlineStr">
        <is>
          <t xml:space="preserve">Include OBBBA mandatory (Sec. 20002(16)) stream</t>
        </is>
      </c>
      <c r="C19" s="5">
        <v>1</v>
      </c>
    </row>
    <row r="20" outlineLevel="1">
      <c r="B20" s="0" t="inlineStr">
        <is>
          <t xml:space="preserve">Prior-year AP credit treatment</t>
        </is>
      </c>
      <c r="C20" s="0" t="inlineStr">
        <is>
          <t xml:space="preserve">none (credits = 0)</t>
        </is>
      </c>
    </row>
    <row r="23">
      <c r="A23" s="0" t="inlineStr">
        <is>
          <t xml:space="preserve">x</t>
        </is>
      </c>
      <c r="B23" s="9" t="inlineStr">
        <is>
          <t xml:space="preserve">§3 - AP/LLTM additive base ($M, confirmed 0)</t>
        </is>
      </c>
      <c r="C23" s="9"/>
      <c r="D23" s="9"/>
      <c r="E23" s="9"/>
      <c r="F23" s="9"/>
      <c r="G23" s="9"/>
      <c r="H23" s="9"/>
    </row>
    <row r="25">
      <c r="B25" s="2" t="inlineStr">
        <is>
          <t xml:space="preserve">Class</t>
        </is>
      </c>
      <c r="C25" s="22">
        <v>2022</v>
      </c>
      <c r="D25" s="22">
        <v>2023</v>
      </c>
      <c r="E25" s="22">
        <v>2024</v>
      </c>
      <c r="F25" s="22">
        <v>2025</v>
      </c>
      <c r="G25" s="22">
        <v>2026</v>
      </c>
      <c r="H25" s="22">
        <v>2027</v>
      </c>
    </row>
    <row r="26" outlineLevel="1">
      <c r="B26" s="1" t="inlineStr">
        <is>
          <t xml:space="preserve">Virginia (LI 2013)</t>
        </is>
      </c>
      <c r="C26" s="5">
        <v>0</v>
      </c>
      <c r="D26" s="5">
        <v>0</v>
      </c>
      <c r="E26" s="5">
        <v>0</v>
      </c>
      <c r="F26" s="5">
        <v>0</v>
      </c>
      <c r="G26" s="5">
        <v>0</v>
      </c>
      <c r="H26" s="5">
        <v>0</v>
      </c>
    </row>
    <row r="27" outlineLevel="1">
      <c r="B27" s="1" t="inlineStr">
        <is>
          <t xml:space="preserve">Columbia (LI 1045)</t>
        </is>
      </c>
      <c r="C27" s="5">
        <v>0</v>
      </c>
      <c r="D27" s="5">
        <v>0</v>
      </c>
      <c r="E27" s="5">
        <v>0</v>
      </c>
      <c r="F27" s="5">
        <v>0</v>
      </c>
      <c r="G27" s="5">
        <v>0</v>
      </c>
      <c r="H27" s="5">
        <v>0</v>
      </c>
    </row>
    <row r="28">
      <c r="B28" s="3" t="inlineStr">
        <is>
          <t xml:space="preserve">Total (Va + Col)</t>
        </is>
      </c>
      <c r="C28" s="13">
        <f>N(C26)+N(C27)</f>
      </c>
      <c r="D28" s="13">
        <f>N(D26)+N(D27)</f>
      </c>
      <c r="E28" s="13">
        <f>N(E26)+N(E27)</f>
      </c>
      <c r="F28" s="13">
        <f>N(F26)+N(F27)</f>
      </c>
      <c r="G28" s="13">
        <f>N(G26)+N(G27)</f>
      </c>
      <c r="H28" s="13">
        <f>N(H26)+N(H27)</f>
      </c>
    </row>
    <row r="30">
      <c r="A30" s="0" t="inlineStr">
        <is>
          <t xml:space="preserve">x</t>
        </is>
      </c>
      <c r="B30" s="10" t="inlineStr">
        <is>
          <t xml:space="preserve">§3b - Constant FY2026 $M (then-year x deflator)</t>
        </is>
      </c>
      <c r="C30" s="10"/>
      <c r="D30" s="10"/>
      <c r="E30" s="10"/>
      <c r="F30" s="10"/>
      <c r="G30" s="10"/>
      <c r="H30" s="10"/>
    </row>
    <row r="32">
      <c r="B32" s="2" t="inlineStr">
        <is>
          <t xml:space="preserve">Class</t>
        </is>
      </c>
      <c r="C32" s="22">
        <v>2022</v>
      </c>
      <c r="D32" s="22">
        <v>2023</v>
      </c>
      <c r="E32" s="22">
        <v>2024</v>
      </c>
      <c r="F32" s="22">
        <v>2025</v>
      </c>
      <c r="G32" s="22">
        <v>2026</v>
      </c>
      <c r="H32" s="22">
        <v>2027</v>
      </c>
    </row>
    <row r="33" outlineLevel="1">
      <c r="B33" s="1" t="inlineStr">
        <is>
          <t xml:space="preserve">Virginia (LI 2013)</t>
        </is>
      </c>
      <c r="C33" s="11">
        <f>C26*'Deflators'!D7</f>
      </c>
      <c r="D33" s="11">
        <f>D26*'Deflators'!D8</f>
      </c>
      <c r="E33" s="11">
        <f>E26*'Deflators'!D9</f>
      </c>
      <c r="F33" s="11">
        <f>F26*'Deflators'!D10</f>
      </c>
      <c r="G33" s="11">
        <f>G26*'Deflators'!D11</f>
      </c>
      <c r="H33" s="11">
        <f>H26*'Deflators'!D12</f>
      </c>
    </row>
    <row r="34" outlineLevel="1">
      <c r="B34" s="1" t="inlineStr">
        <is>
          <t xml:space="preserve">Columbia (LI 1045)</t>
        </is>
      </c>
      <c r="C34" s="11">
        <f>C27*'Deflators'!D7</f>
      </c>
      <c r="D34" s="11">
        <f>D27*'Deflators'!D8</f>
      </c>
      <c r="E34" s="11">
        <f>E27*'Deflators'!D9</f>
      </c>
      <c r="F34" s="11">
        <f>F27*'Deflators'!D10</f>
      </c>
      <c r="G34" s="11">
        <f>G27*'Deflators'!D11</f>
      </c>
      <c r="H34" s="11">
        <f>H27*'Deflators'!D12</f>
      </c>
    </row>
    <row r="36">
      <c r="A36" s="0" t="inlineStr">
        <is>
          <t xml:space="preserve">x</t>
        </is>
      </c>
      <c r="B36" s="10" t="inlineStr">
        <is>
          <t xml:space="preserve">§3a - P-10 gross AP reference ($M, overlaps BC)</t>
        </is>
      </c>
      <c r="C36" s="10"/>
      <c r="D36" s="10"/>
      <c r="E36" s="10"/>
      <c r="F36" s="10"/>
      <c r="G36" s="10"/>
      <c r="H36" s="10"/>
    </row>
    <row r="38">
      <c r="B38" s="2" t="inlineStr">
        <is>
          <t xml:space="preserve">Class</t>
        </is>
      </c>
      <c r="C38" s="22">
        <v>2022</v>
      </c>
      <c r="D38" s="22">
        <v>2023</v>
      </c>
      <c r="E38" s="22">
        <v>2024</v>
      </c>
      <c r="F38" s="22">
        <v>2025</v>
      </c>
      <c r="G38" s="22">
        <v>2026</v>
      </c>
      <c r="H38" s="22">
        <v>2027</v>
      </c>
    </row>
    <row r="39" outlineLevel="1">
      <c r="B39" s="1" t="inlineStr">
        <is>
          <t xml:space="preserve">Virginia (LI 2013)</t>
        </is>
      </c>
      <c r="C39" s="5">
        <v>2105.407</v>
      </c>
      <c r="D39" s="5">
        <v>2025.651</v>
      </c>
      <c r="E39" s="5">
        <v>3358.782</v>
      </c>
      <c r="F39" s="5">
        <v>3720.303</v>
      </c>
      <c r="G39" s="5">
        <v>3126.816</v>
      </c>
      <c r="H39" s="5">
        <v>4143.618</v>
      </c>
    </row>
    <row r="40" outlineLevel="1">
      <c r="B40" s="1" t="inlineStr">
        <is>
          <t xml:space="preserve">Columbia (LI 1045)</t>
        </is>
      </c>
      <c r="C40" s="5">
        <v>1773.98</v>
      </c>
      <c r="D40" s="5">
        <v>2778.553</v>
      </c>
      <c r="E40" s="5">
        <v>5345.734</v>
      </c>
      <c r="F40" s="5">
        <v>6215.939</v>
      </c>
      <c r="G40" s="5">
        <v>5350.766</v>
      </c>
      <c r="H40" s="5">
        <v>4763.342</v>
      </c>
    </row>
    <row r="43">
      <c r="A43" s="0" t="inlineStr">
        <is>
          <t xml:space="preserve">x</t>
        </is>
      </c>
      <c r="B43" s="9" t="inlineStr">
        <is>
          <t xml:space="preserve">§4 - OBBBA mandatory controls (Sec. 20002(16))</t>
        </is>
      </c>
      <c r="C43" s="9"/>
      <c r="D43" s="9"/>
      <c r="E43" s="9"/>
      <c r="F43" s="9"/>
      <c r="G43" s="9"/>
      <c r="H43" s="9"/>
    </row>
    <row r="45">
      <c r="B45" s="2" t="inlineStr">
        <is>
          <t xml:space="preserve">Control</t>
        </is>
      </c>
      <c r="C45" s="2" t="inlineStr">
        <is>
          <t xml:space="preserve">Value</t>
        </is>
      </c>
    </row>
    <row r="46" outlineLevel="1">
      <c r="B46" s="0" t="inlineStr">
        <is>
          <t xml:space="preserve">FY2027 execution spillover (share of FY26 award)</t>
        </is>
      </c>
      <c r="C46" s="7">
        <v>0</v>
      </c>
    </row>
    <row r="48">
      <c r="B48" s="2" t="inlineStr">
        <is>
          <t xml:space="preserve">Measure</t>
        </is>
      </c>
      <c r="C48" s="22" t="inlineStr">
        <is>
          <t xml:space="preserve">Observed</t>
        </is>
      </c>
      <c r="D48" s="22" t="inlineStr">
        <is>
          <t xml:space="preserve">Adjustment</t>
        </is>
      </c>
      <c r="E48" s="22" t="inlineStr">
        <is>
          <t xml:space="preserve">Modeled</t>
        </is>
      </c>
    </row>
    <row r="49" outlineLevel="1">
      <c r="B49" s="0" t="inlineStr">
        <is>
          <t xml:space="preserve">OBBBA BC share of award (Virginia FY26 P-5c)</t>
        </is>
      </c>
      <c r="C49" s="12">
        <f>'SCN Budget'!G38</f>
      </c>
      <c r="D49" s="7">
        <v>0</v>
      </c>
      <c r="E49" s="6">
        <f>C49+D49</f>
      </c>
    </row>
    <row r="52">
      <c r="A52" s="0" t="inlineStr">
        <is>
          <t xml:space="preserve">x</t>
        </is>
      </c>
      <c r="B52" s="9" t="inlineStr">
        <is>
          <t xml:space="preserve">§5 - Construction-master announced POP (class-vintage BC coefficients)</t>
        </is>
      </c>
      <c r="C52" s="9"/>
      <c r="D52" s="9"/>
      <c r="E52" s="9"/>
      <c r="F52" s="9"/>
      <c r="G52" s="9"/>
      <c r="H52" s="9"/>
    </row>
    <row r="54">
      <c r="B54" s="2" t="inlineStr">
        <is>
          <t xml:space="preserve">Master</t>
        </is>
      </c>
      <c r="C54" s="2" t="inlineStr">
        <is>
          <t xml:space="preserve">PIID</t>
        </is>
      </c>
      <c r="D54" s="22" t="inlineStr">
        <is>
          <t xml:space="preserve">$M</t>
        </is>
      </c>
      <c r="E54" s="22" t="inlineStr">
        <is>
          <t xml:space="preserve">EB %</t>
        </is>
      </c>
      <c r="F54" s="22" t="inlineStr">
        <is>
          <t xml:space="preserve">HII %</t>
        </is>
      </c>
      <c r="G54" s="22" t="inlineStr">
        <is>
          <t xml:space="preserve">Other-US %</t>
        </is>
      </c>
      <c r="H54" s="22" t="inlineStr">
        <is>
          <t xml:space="preserve">Foreign %</t>
        </is>
      </c>
    </row>
    <row r="55" outlineLevel="1">
      <c r="B55" s="1" t="inlineStr">
        <is>
          <t xml:space="preserve">Virginia Block V (FY19-23 boats)</t>
        </is>
      </c>
      <c r="C55" s="0" t="inlineStr">
        <is>
          <t xml:space="preserve">N00024-17-C-2100</t>
        </is>
      </c>
      <c r="D55" s="5">
        <v>22209.893</v>
      </c>
      <c r="E55" s="7">
        <v>0.41</v>
      </c>
      <c r="F55" s="7">
        <v>0.25</v>
      </c>
      <c r="G55" s="7">
        <v>0.33</v>
      </c>
      <c r="H55" s="7">
        <v>0.01</v>
      </c>
    </row>
    <row r="56" outlineLevel="1">
      <c r="B56" s="1" t="inlineStr">
        <is>
          <t xml:space="preserve">Columbia Build I (SSBN 826 + 827)</t>
        </is>
      </c>
      <c r="C56" s="0" t="inlineStr">
        <is>
          <t xml:space="preserve">N00024-17-C-2117</t>
        </is>
      </c>
      <c r="D56" s="5">
        <v>9473.511</v>
      </c>
      <c r="E56" s="7">
        <v>0.53</v>
      </c>
      <c r="F56" s="7">
        <v>0.25</v>
      </c>
      <c r="G56" s="7">
        <v>0.22</v>
      </c>
      <c r="H56" s="7">
        <v>0.0</v>
      </c>
    </row>
    <row r="59">
      <c r="A59" s="0" t="inlineStr">
        <is>
          <t xml:space="preserve">x</t>
        </is>
      </c>
      <c r="B59" s="9" t="inlineStr">
        <is>
          <t xml:space="preserve">§6 - Scenario selector</t>
        </is>
      </c>
      <c r="C59" s="9"/>
      <c r="D59" s="9"/>
      <c r="E59" s="9"/>
      <c r="F59" s="9"/>
      <c r="G59" s="9"/>
      <c r="H59" s="9"/>
    </row>
    <row r="61">
      <c r="B61" s="2" t="inlineStr">
        <is>
          <t xml:space="preserve">Selected scenario</t>
        </is>
      </c>
      <c r="C61" s="22" t="inlineStr">
        <is>
          <t xml:space="preserve">Cumulative SAM $M</t>
        </is>
      </c>
      <c r="D61" s="22" t="inlineStr">
        <is>
          <t xml:space="preserve">% of TAM</t>
        </is>
      </c>
      <c r="E61" s="22" t="inlineStr">
        <is>
          <t xml:space="preserve">Avg annual SAM $M</t>
        </is>
      </c>
    </row>
    <row r="62" outlineLevel="1">
      <c r="B62" s="0">
        <f>C11</f>
      </c>
      <c r="C62" s="11">
        <f>'SAM Build'!D126</f>
      </c>
      <c r="D62" s="12">
        <f>'SAM Build'!E126</f>
      </c>
      <c r="E62" s="11">
        <f>'SAM Build'!C126</f>
      </c>
    </row>
    <row r="65">
      <c r="A65" s="0" t="inlineStr">
        <is>
          <t xml:space="preserve">x</t>
        </is>
      </c>
      <c r="B65" s="9" t="inlineStr">
        <is>
          <t xml:space="preserve">§7 - Target scenario matrix (1 = targets bucket)</t>
        </is>
      </c>
      <c r="C65" s="9"/>
      <c r="D65" s="9"/>
      <c r="E65" s="9"/>
      <c r="F65" s="9"/>
      <c r="G65" s="9"/>
      <c r="H65" s="9"/>
    </row>
    <row r="67">
      <c r="B67" s="0" t="inlineStr">
        <is>
          <t xml:space="preserve">Scenario key:  Metal = Metal components   ·   HM&amp;E = HM&amp;E components   ·   Electrical = Electrical / power   ·   Modular = Modular assemblies   ·   Broad = Broad component mfg</t>
        </is>
      </c>
    </row>
    <row r="68">
      <c r="B68" s="2" t="inlineStr">
        <is>
          <t xml:space="preserve">Bucket</t>
        </is>
      </c>
      <c r="C68" s="22" t="inlineStr">
        <is>
          <t xml:space="preserve">Metal</t>
        </is>
      </c>
      <c r="D68" s="22" t="inlineStr">
        <is>
          <t xml:space="preserve">HM&amp;E</t>
        </is>
      </c>
      <c r="E68" s="22" t="inlineStr">
        <is>
          <t xml:space="preserve">Electrical</t>
        </is>
      </c>
      <c r="F68" s="22" t="inlineStr">
        <is>
          <t xml:space="preserve">Modular</t>
        </is>
      </c>
      <c r="G68" s="22" t="inlineStr">
        <is>
          <t xml:space="preserve">Broad</t>
        </is>
      </c>
    </row>
    <row r="69" outlineLevel="1">
      <c r="B69" s="0" t="inlineStr">
        <is>
          <t xml:space="preserve">Structural fabrication &amp; modules</t>
        </is>
      </c>
      <c r="C69" s="5">
        <v>1</v>
      </c>
      <c r="D69" s="5">
        <v>0</v>
      </c>
      <c r="E69" s="5">
        <v>0</v>
      </c>
      <c r="F69" s="5">
        <v>0</v>
      </c>
      <c r="G69" s="5">
        <v>1</v>
      </c>
    </row>
    <row r="70" outlineLevel="1">
      <c r="B70" s="0" t="inlineStr">
        <is>
          <t xml:space="preserve">Machining / mechanical / propulsion</t>
        </is>
      </c>
      <c r="C70" s="5">
        <v>1</v>
      </c>
      <c r="D70" s="5">
        <v>1</v>
      </c>
      <c r="E70" s="5">
        <v>0</v>
      </c>
      <c r="F70" s="5">
        <v>0</v>
      </c>
      <c r="G70" s="5">
        <v>1</v>
      </c>
    </row>
    <row r="71" outlineLevel="1">
      <c r="B71" s="0" t="inlineStr">
        <is>
          <t xml:space="preserve">Castings &amp; forgings</t>
        </is>
      </c>
      <c r="C71" s="5">
        <v>1</v>
      </c>
      <c r="D71" s="5">
        <v>0</v>
      </c>
      <c r="E71" s="5">
        <v>0</v>
      </c>
      <c r="F71" s="5">
        <v>0</v>
      </c>
      <c r="G71" s="5">
        <v>1</v>
      </c>
    </row>
    <row r="72" outlineLevel="1">
      <c r="B72" s="0" t="inlineStr">
        <is>
          <t xml:space="preserve">Piping / fluid handling</t>
        </is>
      </c>
      <c r="C72" s="5">
        <v>0</v>
      </c>
      <c r="D72" s="5">
        <v>1</v>
      </c>
      <c r="E72" s="5">
        <v>0</v>
      </c>
      <c r="F72" s="5">
        <v>0</v>
      </c>
      <c r="G72" s="5">
        <v>1</v>
      </c>
    </row>
    <row r="73" outlineLevel="1">
      <c r="B73" s="0" t="inlineStr">
        <is>
          <t xml:space="preserve">Electrical power / distribution / generation</t>
        </is>
      </c>
      <c r="C73" s="5">
        <v>0</v>
      </c>
      <c r="D73" s="5">
        <v>1</v>
      </c>
      <c r="E73" s="5">
        <v>1</v>
      </c>
      <c r="F73" s="5">
        <v>0</v>
      </c>
      <c r="G73" s="5">
        <v>1</v>
      </c>
    </row>
    <row r="74" outlineLevel="1">
      <c r="B74" s="0" t="inlineStr">
        <is>
          <t xml:space="preserve">HVAC / ventilation / chilled water</t>
        </is>
      </c>
      <c r="C74" s="5">
        <v>0</v>
      </c>
      <c r="D74" s="5">
        <v>1</v>
      </c>
      <c r="E74" s="5">
        <v>0</v>
      </c>
      <c r="F74" s="5">
        <v>0</v>
      </c>
      <c r="G74" s="5">
        <v>1</v>
      </c>
    </row>
    <row r="75" outlineLevel="1">
      <c r="B75" s="0" t="inlineStr">
        <is>
          <t xml:space="preserve">Coatings / insulation / decking</t>
        </is>
      </c>
      <c r="C75" s="5">
        <v>0</v>
      </c>
      <c r="D75" s="5">
        <v>0</v>
      </c>
      <c r="E75" s="5">
        <v>0</v>
      </c>
      <c r="F75" s="5">
        <v>0</v>
      </c>
      <c r="G75" s="5">
        <v>1</v>
      </c>
    </row>
    <row r="78">
      <c r="A78" s="0" t="inlineStr">
        <is>
          <t xml:space="preserve">x</t>
        </is>
      </c>
      <c r="B78" s="9" t="inlineStr">
        <is>
          <t xml:space="preserve">§8 - Bucket share adjustments (applied to both class share vectors -&gt; SAM Build)</t>
        </is>
      </c>
      <c r="C78" s="9"/>
      <c r="D78" s="9"/>
      <c r="E78" s="9"/>
      <c r="F78" s="9"/>
      <c r="G78" s="9"/>
      <c r="H78" s="9"/>
    </row>
    <row r="80">
      <c r="B80" s="2" t="inlineStr">
        <is>
          <t xml:space="preserve">Bucket</t>
        </is>
      </c>
      <c r="C80" s="22" t="inlineStr">
        <is>
          <t xml:space="preserve">Adjustment</t>
        </is>
      </c>
    </row>
    <row r="81" outlineLevel="1">
      <c r="B81" s="0" t="inlineStr">
        <is>
          <t xml:space="preserve">Structural fabrication &amp; modules</t>
        </is>
      </c>
      <c r="C81" s="7">
        <v>0</v>
      </c>
    </row>
    <row r="82" outlineLevel="1">
      <c r="B82" s="0" t="inlineStr">
        <is>
          <t xml:space="preserve">Machining / mechanical / propulsion</t>
        </is>
      </c>
      <c r="C82" s="7">
        <v>0</v>
      </c>
    </row>
    <row r="83" outlineLevel="1">
      <c r="B83" s="0" t="inlineStr">
        <is>
          <t xml:space="preserve">Castings &amp; forgings</t>
        </is>
      </c>
      <c r="C83" s="7">
        <v>0</v>
      </c>
    </row>
    <row r="84" outlineLevel="1">
      <c r="B84" s="0" t="inlineStr">
        <is>
          <t xml:space="preserve">Piping / fluid handling</t>
        </is>
      </c>
      <c r="C84" s="7">
        <v>0</v>
      </c>
    </row>
    <row r="85" outlineLevel="1">
      <c r="B85" s="0" t="inlineStr">
        <is>
          <t xml:space="preserve">Electrical power / distribution / generation</t>
        </is>
      </c>
      <c r="C85" s="7">
        <v>0</v>
      </c>
    </row>
    <row r="86" outlineLevel="1">
      <c r="B86" s="0" t="inlineStr">
        <is>
          <t xml:space="preserve">HVAC / ventilation / chilled water</t>
        </is>
      </c>
      <c r="C86" s="7">
        <v>0</v>
      </c>
    </row>
    <row r="87" outlineLevel="1">
      <c r="B87" s="0" t="inlineStr">
        <is>
          <t xml:space="preserve">Coatings / insulation / decking</t>
        </is>
      </c>
      <c r="C87" s="7">
        <v>0</v>
      </c>
    </row>
    <row r="90">
      <c r="A90" s="0" t="inlineStr">
        <is>
          <t xml:space="preserve">x</t>
        </is>
      </c>
      <c r="B90" s="9" t="inlineStr">
        <is>
          <t xml:space="preserve">§9 - Outlook outyear penetration bounds</t>
        </is>
      </c>
      <c r="C90" s="9"/>
      <c r="D90" s="9"/>
      <c r="E90" s="9"/>
      <c r="F90" s="9"/>
      <c r="G90" s="9"/>
      <c r="H90" s="9"/>
    </row>
    <row r="92">
      <c r="B92" s="2" t="inlineStr">
        <is>
          <t xml:space="preserve">Knob</t>
        </is>
      </c>
      <c r="C92" s="22" t="inlineStr">
        <is>
          <t xml:space="preserve">Value</t>
        </is>
      </c>
    </row>
    <row r="93" outlineLevel="1">
      <c r="B93" s="0" t="inlineStr">
        <is>
          <t xml:space="preserve">Outsourcing intent uplift vs FY22-25 average</t>
        </is>
      </c>
      <c r="C93" s="7">
        <v>0.3</v>
      </c>
    </row>
  </sheetData>
  <dataValidations count="6">
    <dataValidation type="list" allowBlank="1" showInputMessage="1" showErrorMessage="1" sqref="C11">
      <formula1>"Metal components,HM&amp;E components,Electrical / power,Modular assemblies,Broad component mfg"</formula1>
    </dataValidation>
    <dataValidation type="list" allowBlank="1" showInputMessage="1" showErrorMessage="1" sqref="C17">
      <formula1>"0,1"</formula1>
    </dataValidation>
    <dataValidation type="list" allowBlank="1" showInputMessage="1" showErrorMessage="1" sqref="C18">
      <formula1>"0,1"</formula1>
    </dataValidation>
    <dataValidation type="list" allowBlank="1" showInputMessage="1" showErrorMessage="1" sqref="C19">
      <formula1>"0,1"</formula1>
    </dataValidation>
    <dataValidation type="decimal" operator="between" allowBlank="1" showErrorMessage="1" sqref="E55:H56">
      <formula1>0</formula1>
      <formula2>1</formula2>
    </dataValidation>
    <dataValidation type="decimal" operator="between" allowBlank="1" showErrorMessage="1" sqref="C93">
      <formula1>0</formula1>
      <formula2>1</formula2>
    </dataValidation>
  </dataValidations>
  <legacyDrawing r:id="rId2"/>
</worksheet>
</file>

<file path=xl/worksheets/sheet4.xml><?xml version="1.0" encoding="utf-8"?>
<worksheet xmlns="http://schemas.openxmlformats.org/spreadsheetml/2006/main" xmlns:r="http://schemas.openxmlformats.org/officeDocument/2006/relationships">
  <sheetPr>
    <tabColor rgb="FF34406B"/>
    <outlinePr summaryBelow="0"/>
  </sheetPr>
  <sheetViews>
    <sheetView showGridLines="0" workbookViewId="0" showOutlineSymbols="0"/>
  </sheetViews>
  <sheetFormatPr defaultRowHeight="10" customHeight="1"/>
  <cols>
    <col min="1" max="1" width="2.2109375" customWidth="1"/>
    <col min="2" max="2" width="40" customWidth="1"/>
    <col min="3" max="3" width="12" customWidth="1"/>
    <col min="4" max="4" width="14" customWidth="1"/>
    <col min="5" max="5" width="12" customWidth="1"/>
    <col min="6" max="6" width="12" customWidth="1"/>
    <col min="7" max="7" width="12" customWidth="1"/>
    <col min="8" max="8" width="12" customWidth="1"/>
  </cols>
  <sheetData>
    <row r="1"/>
    <row r="2">
      <c r="B2" s="8" t="inlineStr">
        <is>
          <t xml:space="preserve">TAM Build</t>
        </is>
      </c>
      <c r="C2" s="8"/>
      <c r="D2" s="8"/>
      <c r="E2" s="8"/>
      <c r="F2" s="8"/>
      <c r="G2" s="8"/>
      <c r="H2" s="8"/>
    </row>
    <row r="4">
      <c r="B4" s="9" t="inlineStr">
        <is>
          <t xml:space="preserve">§1 - Headline TAM</t>
        </is>
      </c>
      <c r="C4" s="9"/>
      <c r="D4" s="9"/>
      <c r="E4" s="9"/>
      <c r="F4" s="9"/>
      <c r="G4" s="9"/>
      <c r="H4" s="9"/>
    </row>
    <row r="6">
      <c r="B6" s="2" t="inlineStr">
        <is>
          <t xml:space="preserve">Measure</t>
        </is>
      </c>
      <c r="C6" s="22" t="inlineStr">
        <is>
          <t xml:space="preserve">Value</t>
        </is>
      </c>
    </row>
    <row r="7">
      <c r="B7" s="1" t="inlineStr">
        <is>
          <t xml:space="preserve">Cumulative portfolio TAM (FY22-27)</t>
        </is>
      </c>
      <c r="C7" s="4">
        <f>'TAM Build'!C141</f>
      </c>
    </row>
    <row r="8">
      <c r="B8" s="1" t="inlineStr">
        <is>
          <t xml:space="preserve">Average annual portfolio TAM</t>
        </is>
      </c>
      <c r="C8" s="4">
        <f>'TAM Build'!C143</f>
      </c>
    </row>
    <row r="9">
      <c r="B9" s="0" t="inlineStr">
        <is>
          <t xml:space="preserve">incl. OBBBA mandatory TAM (Sec. 20002(16))</t>
        </is>
      </c>
      <c r="C9" s="4">
        <f>'TAM Build'!C146</f>
      </c>
    </row>
    <row r="10">
      <c r="B10" s="0" t="inlineStr">
        <is>
          <t xml:space="preserve">Virginia BC coefficient (Block V announced POP)</t>
        </is>
      </c>
      <c r="C10" s="6">
        <f>'TAM Build'!C62</f>
      </c>
    </row>
    <row r="11">
      <c r="B11" s="0" t="inlineStr">
        <is>
          <t xml:space="preserve">Columbia BC coefficient (Build I announced POP)</t>
        </is>
      </c>
      <c r="C11" s="6">
        <f>'TAM Build'!C63</f>
      </c>
    </row>
    <row r="12">
      <c r="B12" s="0" t="inlineStr">
        <is>
          <t xml:space="preserve">AP/LLTM reference coefficient</t>
        </is>
      </c>
      <c r="C12" s="6">
        <f>'TAM Build'!C65</f>
      </c>
    </row>
    <row r="15">
      <c r="A15" s="0" t="inlineStr">
        <is>
          <t xml:space="preserve">x</t>
        </is>
      </c>
      <c r="B15" s="9" t="inlineStr">
        <is>
          <t xml:space="preserve">§2 - Budget normalized (TAM stream bases per class/FY)</t>
        </is>
      </c>
      <c r="C15" s="9"/>
      <c r="D15" s="9"/>
      <c r="E15" s="9"/>
      <c r="F15" s="9"/>
      <c r="G15" s="9"/>
      <c r="H15" s="9"/>
    </row>
    <row r="17">
      <c r="A17" s="0" t="inlineStr">
        <is>
          <t xml:space="preserve">x</t>
        </is>
      </c>
      <c r="B17" s="10" t="inlineStr">
        <is>
          <t xml:space="preserve">§2a - Applied stream toggles (1 = include)</t>
        </is>
      </c>
      <c r="C17" s="10"/>
      <c r="D17" s="10"/>
      <c r="E17" s="10"/>
      <c r="F17" s="10"/>
      <c r="G17" s="10"/>
      <c r="H17" s="10"/>
    </row>
    <row r="19">
      <c r="B19" s="2" t="inlineStr">
        <is>
          <t xml:space="preserve">Toggle</t>
        </is>
      </c>
      <c r="C19" s="22" t="inlineStr">
        <is>
          <t xml:space="preserve">Value</t>
        </is>
      </c>
    </row>
    <row r="20" outlineLevel="1">
      <c r="B20" s="0" t="inlineStr">
        <is>
          <t xml:space="preserve">Include BC stream</t>
        </is>
      </c>
      <c r="C20" s="11">
        <f>'Assumptions'!C17</f>
      </c>
    </row>
    <row r="21" outlineLevel="1">
      <c r="B21" s="0" t="inlineStr">
        <is>
          <t xml:space="preserve">Include AP/LLTM stream</t>
        </is>
      </c>
      <c r="C21" s="11">
        <f>'Assumptions'!C18</f>
      </c>
    </row>
    <row r="22" outlineLevel="1">
      <c r="B22" s="0" t="inlineStr">
        <is>
          <t xml:space="preserve">Include OBBBA mandatory (Sec. 20002(16))</t>
        </is>
      </c>
      <c r="C22" s="11">
        <f>'Assumptions'!C19</f>
      </c>
    </row>
    <row r="24">
      <c r="A24" s="0" t="inlineStr">
        <is>
          <t xml:space="preserve">x</t>
        </is>
      </c>
      <c r="B24" s="10" t="inlineStr">
        <is>
          <t xml:space="preserve">§2b - Virginia (LI 2013) stream bases ($M, FY22-27)</t>
        </is>
      </c>
      <c r="C24" s="10"/>
      <c r="D24" s="10"/>
      <c r="E24" s="10"/>
      <c r="F24" s="10"/>
      <c r="G24" s="10"/>
      <c r="H24" s="10"/>
    </row>
    <row r="26">
      <c r="B26" s="2" t="inlineStr">
        <is>
          <t xml:space="preserve">Metric</t>
        </is>
      </c>
      <c r="C26" s="22">
        <v>2022</v>
      </c>
      <c r="D26" s="22">
        <v>2023</v>
      </c>
      <c r="E26" s="22">
        <v>2024</v>
      </c>
      <c r="F26" s="22">
        <v>2025</v>
      </c>
      <c r="G26" s="22">
        <v>2026</v>
      </c>
      <c r="H26" s="22">
        <v>2027</v>
      </c>
    </row>
    <row r="27" outlineLevel="1">
      <c r="B27" s="1" t="inlineStr">
        <is>
          <t xml:space="preserve">BC base (P-5c Basic Construction)</t>
        </is>
      </c>
      <c r="C27" s="11">
        <f>'SCN Budget'!C54</f>
      </c>
      <c r="D27" s="11">
        <f>'SCN Budget'!D54</f>
      </c>
      <c r="E27" s="11">
        <f>'SCN Budget'!E54</f>
      </c>
      <c r="F27" s="11">
        <f>'SCN Budget'!F54</f>
      </c>
      <c r="G27" s="11">
        <f>'SCN Budget'!G54</f>
      </c>
      <c r="H27" s="11">
        <f>'SCN Budget'!H54</f>
      </c>
    </row>
    <row r="28" outlineLevel="1">
      <c r="B28" s="1" t="inlineStr">
        <is>
          <t xml:space="preserve">AP/LLTM base (P-10, confirmed 0)</t>
        </is>
      </c>
      <c r="C28" s="11">
        <f>'Assumptions'!C33</f>
      </c>
      <c r="D28" s="11">
        <f>'Assumptions'!D33</f>
      </c>
      <c r="E28" s="11">
        <f>'Assumptions'!E33</f>
      </c>
      <c r="F28" s="11">
        <f>'Assumptions'!F33</f>
      </c>
      <c r="G28" s="11">
        <f>'Assumptions'!G33</f>
      </c>
      <c r="H28" s="11">
        <f>'Assumptions'!H33</f>
      </c>
    </row>
    <row r="29" outlineLevel="1">
      <c r="B29" s="0" t="inlineStr">
        <is>
          <t xml:space="preserve">Less: prior-yr AP credit</t>
        </is>
      </c>
      <c r="C29" s="5">
        <v>0</v>
      </c>
      <c r="D29" s="5">
        <v>0</v>
      </c>
      <c r="E29" s="5">
        <v>0</v>
      </c>
      <c r="F29" s="5">
        <v>0</v>
      </c>
      <c r="G29" s="5">
        <v>0</v>
      </c>
      <c r="H29" s="5">
        <v>0</v>
      </c>
    </row>
    <row r="30" outlineLevel="1">
      <c r="B30" s="1" t="inlineStr">
        <is>
          <t xml:space="preserve">OBBBA mandatory BC base (Sec. 20002(16))</t>
        </is>
      </c>
      <c r="C30" s="11">
        <f>'OBBBA Mandatory'!C43</f>
      </c>
      <c r="D30" s="11">
        <f>'OBBBA Mandatory'!D43</f>
      </c>
      <c r="E30" s="11">
        <f>'OBBBA Mandatory'!E43</f>
      </c>
      <c r="F30" s="11">
        <f>'OBBBA Mandatory'!F43</f>
      </c>
      <c r="G30" s="11">
        <f>'OBBBA Mandatory'!G43</f>
      </c>
      <c r="H30" s="11">
        <f>'OBBBA Mandatory'!H43</f>
      </c>
    </row>
    <row r="31" outlineLevel="1">
      <c r="B31" s="0" t="inlineStr">
        <is>
          <t xml:space="preserve">BC base in TAM</t>
        </is>
      </c>
      <c r="C31" s="4">
        <f>IF(C27=0,"",'Assumptions'!C17*C27)</f>
      </c>
      <c r="D31" s="4">
        <f>IF(D27=0,"",'Assumptions'!C17*D27)</f>
      </c>
      <c r="E31" s="4">
        <f>IF(E27=0,"",'Assumptions'!C17*E27)</f>
      </c>
      <c r="F31" s="4">
        <f>IF(F27=0,"",'Assumptions'!C17*F27)</f>
      </c>
      <c r="G31" s="4">
        <f>IF(G27=0,"",'Assumptions'!C17*G27)</f>
      </c>
      <c r="H31" s="4">
        <f>IF(H27=0,"",'Assumptions'!C17*H27)</f>
      </c>
    </row>
    <row r="32" outlineLevel="1">
      <c r="B32" s="0" t="inlineStr">
        <is>
          <t xml:space="preserve">AP/LLTM base in TAM</t>
        </is>
      </c>
      <c r="C32" s="4">
        <f>IF(C28=0,"",'Assumptions'!C18*(C28-C29))</f>
      </c>
      <c r="D32" s="4">
        <f>IF(D28=0,"",'Assumptions'!C18*(D28-D29))</f>
      </c>
      <c r="E32" s="4">
        <f>IF(E28=0,"",'Assumptions'!C18*(E28-E29))</f>
      </c>
      <c r="F32" s="4">
        <f>IF(F28=0,"",'Assumptions'!C18*(F28-F29))</f>
      </c>
      <c r="G32" s="4">
        <f>IF(G28=0,"",'Assumptions'!C18*(G28-G29))</f>
      </c>
      <c r="H32" s="4">
        <f>IF(H28=0,"",'Assumptions'!C18*(H28-H29))</f>
      </c>
    </row>
    <row r="33" outlineLevel="1">
      <c r="B33" s="0" t="inlineStr">
        <is>
          <t xml:space="preserve">OBBBA base in TAM</t>
        </is>
      </c>
      <c r="C33" s="4">
        <f>IF(N(C30)=0,"",'Assumptions'!C19*C30)</f>
      </c>
      <c r="D33" s="4">
        <f>IF(N(D30)=0,"",'Assumptions'!C19*D30)</f>
      </c>
      <c r="E33" s="4">
        <f>IF(N(E30)=0,"",'Assumptions'!C19*E30)</f>
      </c>
      <c r="F33" s="4">
        <f>IF(N(F30)=0,"",'Assumptions'!C19*F30)</f>
      </c>
      <c r="G33" s="4">
        <f>IF(N(G30)=0,"",'Assumptions'!C19*G30)</f>
      </c>
      <c r="H33" s="4">
        <f>IF(N(H30)=0,"",'Assumptions'!C19*H30)</f>
      </c>
    </row>
    <row r="34" outlineLevel="1">
      <c r="B34" s="1" t="inlineStr">
        <is>
          <t xml:space="preserve">TAM base (BC + AP/LLTM + OBBBA)</t>
        </is>
      </c>
      <c r="C34" s="4">
        <f>N(C31)+N(C32)+N(C33)</f>
      </c>
      <c r="D34" s="4">
        <f>N(D31)+N(D32)+N(D33)</f>
      </c>
      <c r="E34" s="4">
        <f>N(E31)+N(E32)+N(E33)</f>
      </c>
      <c r="F34" s="4">
        <f>N(F31)+N(F32)+N(F33)</f>
      </c>
      <c r="G34" s="4">
        <f>N(G31)+N(G32)+N(G33)</f>
      </c>
      <c r="H34" s="4">
        <f>N(H31)+N(H32)+N(H33)</f>
      </c>
    </row>
    <row r="36">
      <c r="A36" s="0" t="inlineStr">
        <is>
          <t xml:space="preserve">x</t>
        </is>
      </c>
      <c r="B36" s="10" t="inlineStr">
        <is>
          <t xml:space="preserve">§2c - Columbia (LI 1045) stream bases ($M, FY22-27)</t>
        </is>
      </c>
      <c r="C36" s="10"/>
      <c r="D36" s="10"/>
      <c r="E36" s="10"/>
      <c r="F36" s="10"/>
      <c r="G36" s="10"/>
      <c r="H36" s="10"/>
    </row>
    <row r="38">
      <c r="B38" s="2" t="inlineStr">
        <is>
          <t xml:space="preserve">Metric</t>
        </is>
      </c>
      <c r="C38" s="22">
        <v>2022</v>
      </c>
      <c r="D38" s="22">
        <v>2023</v>
      </c>
      <c r="E38" s="22">
        <v>2024</v>
      </c>
      <c r="F38" s="22">
        <v>2025</v>
      </c>
      <c r="G38" s="22">
        <v>2026</v>
      </c>
      <c r="H38" s="22">
        <v>2027</v>
      </c>
    </row>
    <row r="39" outlineLevel="1">
      <c r="B39" s="1" t="inlineStr">
        <is>
          <t xml:space="preserve">BC base (P-5c Basic Construction)</t>
        </is>
      </c>
      <c r="C39" s="11">
        <f>'SCN Budget'!C96</f>
      </c>
      <c r="D39" s="11">
        <f>'SCN Budget'!D96</f>
      </c>
      <c r="E39" s="11">
        <f>'SCN Budget'!E96</f>
      </c>
      <c r="F39" s="11">
        <f>'SCN Budget'!F96</f>
      </c>
      <c r="G39" s="11">
        <f>'SCN Budget'!G96</f>
      </c>
      <c r="H39" s="11">
        <f>'SCN Budget'!H96</f>
      </c>
    </row>
    <row r="40" outlineLevel="1">
      <c r="B40" s="1" t="inlineStr">
        <is>
          <t xml:space="preserve">AP/LLTM base (P-10, confirmed 0)</t>
        </is>
      </c>
      <c r="C40" s="11">
        <f>'Assumptions'!C34</f>
      </c>
      <c r="D40" s="11">
        <f>'Assumptions'!D34</f>
      </c>
      <c r="E40" s="11">
        <f>'Assumptions'!E34</f>
      </c>
      <c r="F40" s="11">
        <f>'Assumptions'!F34</f>
      </c>
      <c r="G40" s="11">
        <f>'Assumptions'!G34</f>
      </c>
      <c r="H40" s="11">
        <f>'Assumptions'!H34</f>
      </c>
    </row>
    <row r="41" outlineLevel="1">
      <c r="B41" s="0" t="inlineStr">
        <is>
          <t xml:space="preserve">Less: prior-yr AP credit</t>
        </is>
      </c>
      <c r="C41" s="5">
        <v>0</v>
      </c>
      <c r="D41" s="5">
        <v>0</v>
      </c>
      <c r="E41" s="5">
        <v>0</v>
      </c>
      <c r="F41" s="5">
        <v>0</v>
      </c>
      <c r="G41" s="5">
        <v>0</v>
      </c>
      <c r="H41" s="5">
        <v>0</v>
      </c>
    </row>
    <row r="42" outlineLevel="1">
      <c r="B42" s="1" t="inlineStr">
        <is>
          <t xml:space="preserve">OBBBA mandatory BC base (Sec. 20002(16))</t>
        </is>
      </c>
      <c r="C42" s="11">
        <f>'OBBBA Mandatory'!C44</f>
      </c>
      <c r="D42" s="11">
        <f>'OBBBA Mandatory'!D44</f>
      </c>
      <c r="E42" s="11">
        <f>'OBBBA Mandatory'!E44</f>
      </c>
      <c r="F42" s="11">
        <f>'OBBBA Mandatory'!F44</f>
      </c>
      <c r="G42" s="11">
        <f>'OBBBA Mandatory'!G44</f>
      </c>
      <c r="H42" s="11">
        <f>'OBBBA Mandatory'!H44</f>
      </c>
    </row>
    <row r="43" outlineLevel="1">
      <c r="B43" s="0" t="inlineStr">
        <is>
          <t xml:space="preserve">BC base in TAM</t>
        </is>
      </c>
      <c r="C43" s="4">
        <f>IF(C39=0,"",'Assumptions'!C17*C39)</f>
      </c>
      <c r="D43" s="4">
        <f>IF(D39=0,"",'Assumptions'!C17*D39)</f>
      </c>
      <c r="E43" s="4">
        <f>IF(E39=0,"",'Assumptions'!C17*E39)</f>
      </c>
      <c r="F43" s="4">
        <f>IF(F39=0,"",'Assumptions'!C17*F39)</f>
      </c>
      <c r="G43" s="4">
        <f>IF(G39=0,"",'Assumptions'!C17*G39)</f>
      </c>
      <c r="H43" s="4">
        <f>IF(H39=0,"",'Assumptions'!C17*H39)</f>
      </c>
    </row>
    <row r="44" outlineLevel="1">
      <c r="B44" s="0" t="inlineStr">
        <is>
          <t xml:space="preserve">AP/LLTM base in TAM</t>
        </is>
      </c>
      <c r="C44" s="4">
        <f>IF(C40=0,"",'Assumptions'!C18*(C40-C41))</f>
      </c>
      <c r="D44" s="4">
        <f>IF(D40=0,"",'Assumptions'!C18*(D40-D41))</f>
      </c>
      <c r="E44" s="4">
        <f>IF(E40=0,"",'Assumptions'!C18*(E40-E41))</f>
      </c>
      <c r="F44" s="4">
        <f>IF(F40=0,"",'Assumptions'!C18*(F40-F41))</f>
      </c>
      <c r="G44" s="4">
        <f>IF(G40=0,"",'Assumptions'!C18*(G40-G41))</f>
      </c>
      <c r="H44" s="4">
        <f>IF(H40=0,"",'Assumptions'!C18*(H40-H41))</f>
      </c>
    </row>
    <row r="45" outlineLevel="1">
      <c r="B45" s="0" t="inlineStr">
        <is>
          <t xml:space="preserve">OBBBA base in TAM</t>
        </is>
      </c>
      <c r="C45" s="4">
        <f>IF(N(C42)=0,"",'Assumptions'!C19*C42)</f>
      </c>
      <c r="D45" s="4">
        <f>IF(N(D42)=0,"",'Assumptions'!C19*D42)</f>
      </c>
      <c r="E45" s="4">
        <f>IF(N(E42)=0,"",'Assumptions'!C19*E42)</f>
      </c>
      <c r="F45" s="4">
        <f>IF(N(F42)=0,"",'Assumptions'!C19*F42)</f>
      </c>
      <c r="G45" s="4">
        <f>IF(N(G42)=0,"",'Assumptions'!C19*G42)</f>
      </c>
      <c r="H45" s="4">
        <f>IF(N(H42)=0,"",'Assumptions'!C19*H42)</f>
      </c>
    </row>
    <row r="46" outlineLevel="1">
      <c r="B46" s="1" t="inlineStr">
        <is>
          <t xml:space="preserve">TAM base (BC + AP/LLTM + OBBBA)</t>
        </is>
      </c>
      <c r="C46" s="4">
        <f>N(C43)+N(C44)+N(C45)</f>
      </c>
      <c r="D46" s="4">
        <f>N(D43)+N(D44)+N(D45)</f>
      </c>
      <c r="E46" s="4">
        <f>N(E43)+N(E44)+N(E45)</f>
      </c>
      <c r="F46" s="4">
        <f>N(F43)+N(F44)+N(F45)</f>
      </c>
      <c r="G46" s="4">
        <f>N(G43)+N(G44)+N(G45)</f>
      </c>
      <c r="H46" s="4">
        <f>N(H43)+N(H44)+N(H45)</f>
      </c>
    </row>
    <row r="48">
      <c r="A48" s="0" t="inlineStr">
        <is>
          <t xml:space="preserve">x</t>
        </is>
      </c>
      <c r="B48" s="10" t="inlineStr">
        <is>
          <t xml:space="preserve">§2d - Portfolio stream-base totals (Va + Col)</t>
        </is>
      </c>
      <c r="C48" s="10"/>
      <c r="D48" s="10"/>
      <c r="E48" s="10"/>
      <c r="F48" s="10"/>
      <c r="G48" s="10"/>
      <c r="H48" s="10"/>
    </row>
    <row r="50">
      <c r="B50" s="2" t="inlineStr">
        <is>
          <t xml:space="preserve">Metric</t>
        </is>
      </c>
      <c r="C50" s="22">
        <v>2022</v>
      </c>
      <c r="D50" s="22">
        <v>2023</v>
      </c>
      <c r="E50" s="22">
        <v>2024</v>
      </c>
      <c r="F50" s="22">
        <v>2025</v>
      </c>
      <c r="G50" s="22">
        <v>2026</v>
      </c>
      <c r="H50" s="22">
        <v>2027</v>
      </c>
    </row>
    <row r="51" outlineLevel="1">
      <c r="B51" s="0" t="inlineStr">
        <is>
          <t xml:space="preserve">BC base in TAM</t>
        </is>
      </c>
      <c r="C51" s="4">
        <f>N(C31)+N(C43)</f>
      </c>
      <c r="D51" s="4">
        <f>N(D31)+N(D43)</f>
      </c>
      <c r="E51" s="4">
        <f>N(E31)+N(E43)</f>
      </c>
      <c r="F51" s="4">
        <f>N(F31)+N(F43)</f>
      </c>
      <c r="G51" s="4">
        <f>N(G31)+N(G43)</f>
      </c>
      <c r="H51" s="4">
        <f>N(H31)+N(H43)</f>
      </c>
    </row>
    <row r="52" outlineLevel="1">
      <c r="B52" s="0" t="inlineStr">
        <is>
          <t xml:space="preserve">AP/LLTM base in TAM</t>
        </is>
      </c>
      <c r="C52" s="4">
        <f>N(C32)+N(C44)</f>
      </c>
      <c r="D52" s="4">
        <f>N(D32)+N(D44)</f>
      </c>
      <c r="E52" s="4">
        <f>N(E32)+N(E44)</f>
      </c>
      <c r="F52" s="4">
        <f>N(F32)+N(F44)</f>
      </c>
      <c r="G52" s="4">
        <f>N(G32)+N(G44)</f>
      </c>
      <c r="H52" s="4">
        <f>N(H32)+N(H44)</f>
      </c>
    </row>
    <row r="53" outlineLevel="1">
      <c r="B53" s="0" t="inlineStr">
        <is>
          <t xml:space="preserve">OBBBA base in TAM</t>
        </is>
      </c>
      <c r="C53" s="4">
        <f>N(C33)+N(C45)</f>
      </c>
      <c r="D53" s="4">
        <f>N(D33)+N(D45)</f>
      </c>
      <c r="E53" s="4">
        <f>N(E33)+N(E45)</f>
      </c>
      <c r="F53" s="4">
        <f>N(F33)+N(F45)</f>
      </c>
      <c r="G53" s="4">
        <f>N(G33)+N(G45)</f>
      </c>
      <c r="H53" s="4">
        <f>N(H33)+N(H45)</f>
      </c>
    </row>
    <row r="54" outlineLevel="1">
      <c r="B54" s="1" t="inlineStr">
        <is>
          <t xml:space="preserve">TAM base</t>
        </is>
      </c>
      <c r="C54" s="4">
        <f>N(C34)+N(C46)</f>
      </c>
      <c r="D54" s="4">
        <f>N(D34)+N(D46)</f>
      </c>
      <c r="E54" s="4">
        <f>N(E34)+N(E46)</f>
      </c>
      <c r="F54" s="4">
        <f>N(F34)+N(F46)</f>
      </c>
      <c r="G54" s="4">
        <f>N(G34)+N(G46)</f>
      </c>
      <c r="H54" s="4">
        <f>N(H34)+N(H46)</f>
      </c>
    </row>
    <row r="57">
      <c r="A57" s="0" t="inlineStr">
        <is>
          <t xml:space="preserve">x</t>
        </is>
      </c>
      <c r="B57" s="9" t="inlineStr">
        <is>
          <t xml:space="preserve">§3 - POP coefficients (per-stream TAM supplier coefficients)</t>
        </is>
      </c>
      <c r="C57" s="9"/>
      <c r="D57" s="9"/>
      <c r="E57" s="9"/>
      <c r="F57" s="9"/>
      <c r="G57" s="9"/>
      <c r="H57" s="9"/>
    </row>
    <row r="59">
      <c r="A59" s="0" t="inlineStr">
        <is>
          <t xml:space="preserve">x</t>
        </is>
      </c>
      <c r="B59" s="10" t="inlineStr">
        <is>
          <t xml:space="preserve">§3a - Supplier coefficients (class-vintage applied; corpus measures reference)</t>
        </is>
      </c>
      <c r="C59" s="10"/>
      <c r="D59" s="10"/>
      <c r="E59" s="10"/>
      <c r="F59" s="10"/>
      <c r="G59" s="10"/>
      <c r="H59" s="10"/>
    </row>
    <row r="61">
      <c r="B61" s="2" t="inlineStr">
        <is>
          <t xml:space="preserve">Coefficient</t>
        </is>
      </c>
      <c r="C61" s="22" t="inlineStr">
        <is>
          <t xml:space="preserve">Value</t>
        </is>
      </c>
    </row>
    <row r="62" outlineLevel="1">
      <c r="B62" s="1" t="inlineStr">
        <is>
          <t xml:space="preserve">Virginia BC coefficient (Block V announced POP; applied)</t>
        </is>
      </c>
      <c r="C62" s="6">
        <f>N('Assumptions'!G55)+N('Assumptions'!H55)</f>
      </c>
    </row>
    <row r="63" outlineLevel="1">
      <c r="B63" s="1" t="inlineStr">
        <is>
          <t xml:space="preserve">Columbia BC coefficient (Build I announced POP; applied)</t>
        </is>
      </c>
      <c r="C63" s="6">
        <f>N('Assumptions'!G56)+N('Assumptions'!H56)</f>
      </c>
    </row>
    <row r="64" outlineLevel="1">
      <c r="B64" s="0" t="inlineStr">
        <is>
          <t xml:space="preserve">Pooled corpus BC coefficient (reference; not applied)</t>
        </is>
      </c>
      <c r="C64" s="6">
        <f>IF(SUMPRODUCT('POP Corpus'!H17:H674*(1-'POP Corpus'!I17:I674)*'POP Corpus'!J17:J674*('POP Corpus'!G17:G674="BC")*'POP Corpus'!K17:K674)=0,"",SUMPRODUCT('POP Corpus'!H17:H674*(1-'POP Corpus'!I17:I674)*'POP Corpus'!J17:J674*('POP Corpus'!G17:G674="BC")*'POP Corpus'!K17:K674*('POP Corpus'!N17:N674+'POP Corpus'!O17:O674))/SUMPRODUCT('POP Corpus'!H17:H674*(1-'POP Corpus'!I17:I674)*'POP Corpus'!J17:J674*('POP Corpus'!G17:G674="BC")*'POP Corpus'!K17:K674))</f>
      </c>
    </row>
    <row r="65" outlineLevel="1">
      <c r="B65" s="1" t="inlineStr">
        <is>
          <t xml:space="preserve">AP/LLTM coefficient (reference; base = 0)</t>
        </is>
      </c>
      <c r="C65" s="6">
        <f>IF(SUMPRODUCT('POP Corpus'!H17:H674*(1-'POP Corpus'!I17:I674)*'POP Corpus'!J17:J674*('POP Corpus'!G17:G674="AP_LLTM")*'POP Corpus'!K17:K674)=0,"",SUMPRODUCT('POP Corpus'!H17:H674*(1-'POP Corpus'!I17:I674)*'POP Corpus'!J17:J674*('POP Corpus'!G17:G674="AP_LLTM")*'POP Corpus'!K17:K674*('POP Corpus'!N17:N674+'POP Corpus'!O17:O674))/SUMPRODUCT('POP Corpus'!H17:H674*(1-'POP Corpus'!I17:I674)*'POP Corpus'!J17:J674*('POP Corpus'!G17:G674="AP_LLTM")*'POP Corpus'!K17:K674))</f>
      </c>
    </row>
    <row r="66" outlineLevel="1">
      <c r="B66" s="0" t="inlineStr">
        <is>
          <t xml:space="preserve">Total weighted (corpus, display)</t>
        </is>
      </c>
      <c r="C66" s="6">
        <f>IF(SUMPRODUCT('POP Corpus'!H17:H674*(1-'POP Corpus'!I17:I674)*'POP Corpus'!J17:J674*'POP Corpus'!K17:K674)=0,"",SUMPRODUCT('POP Corpus'!H17:H674*(1-'POP Corpus'!I17:I674)*'POP Corpus'!J17:J674*'POP Corpus'!K17:K674*('POP Corpus'!N17:N674+'POP Corpus'!O17:O674))/SUMPRODUCT('POP Corpus'!H17:H674*(1-'POP Corpus'!I17:I674)*'POP Corpus'!J17:J674*'POP Corpus'!K17:K674))</f>
      </c>
    </row>
    <row r="68">
      <c r="A68" s="0" t="inlineStr">
        <is>
          <t xml:space="preserve">x</t>
        </is>
      </c>
      <c r="B68" s="10" t="inlineStr">
        <is>
          <t xml:space="preserve">§3b - All-gated POP shares (dollar-weighted building blocks)</t>
        </is>
      </c>
      <c r="C68" s="10"/>
      <c r="D68" s="10"/>
      <c r="E68" s="10"/>
      <c r="F68" s="10"/>
      <c r="G68" s="10"/>
      <c r="H68" s="10"/>
    </row>
    <row r="70">
      <c r="B70" s="2" t="inlineStr">
        <is>
          <t xml:space="preserve">POP class</t>
        </is>
      </c>
      <c r="C70" s="22" t="inlineStr">
        <is>
          <t xml:space="preserve">Share</t>
        </is>
      </c>
    </row>
    <row r="71" outlineLevel="1">
      <c r="B71" s="0" t="inlineStr">
        <is>
          <t xml:space="preserve">EB site %</t>
        </is>
      </c>
      <c r="C71" s="6">
        <f>IF(SUMPRODUCT('POP Corpus'!H17:H674*'POP Corpus'!K17:K674)=0,"",SUMPRODUCT('POP Corpus'!H17:H674*'POP Corpus'!K17:K674*'POP Corpus'!L17:L674)/SUMPRODUCT('POP Corpus'!H17:H674*'POP Corpus'!K17:K674))</f>
      </c>
    </row>
    <row r="72" outlineLevel="1">
      <c r="B72" s="0" t="inlineStr">
        <is>
          <t xml:space="preserve">HII site %</t>
        </is>
      </c>
      <c r="C72" s="6">
        <f>IF(SUMPRODUCT('POP Corpus'!H17:H674*'POP Corpus'!K17:K674)=0,"",SUMPRODUCT('POP Corpus'!H17:H674*'POP Corpus'!K17:K674*'POP Corpus'!M17:M674)/SUMPRODUCT('POP Corpus'!H17:H674*'POP Corpus'!K17:K674))</f>
      </c>
    </row>
    <row r="73" outlineLevel="1">
      <c r="B73" s="0" t="inlineStr">
        <is>
          <t xml:space="preserve">Other-US supplier %</t>
        </is>
      </c>
      <c r="C73" s="6">
        <f>IF(SUMPRODUCT('POP Corpus'!H17:H674*'POP Corpus'!K17:K674)=0,"",SUMPRODUCT('POP Corpus'!H17:H674*'POP Corpus'!K17:K674*'POP Corpus'!N17:N674)/SUMPRODUCT('POP Corpus'!H17:H674*'POP Corpus'!K17:K674))</f>
      </c>
    </row>
    <row r="74" outlineLevel="1">
      <c r="B74" s="0" t="inlineStr">
        <is>
          <t xml:space="preserve">Foreign %</t>
        </is>
      </c>
      <c r="C74" s="6">
        <f>IF(SUMPRODUCT('POP Corpus'!H17:H674*'POP Corpus'!K17:K674)=0,"",SUMPRODUCT('POP Corpus'!H17:H674*'POP Corpus'!K17:K674*'POP Corpus'!O17:O674)/SUMPRODUCT('POP Corpus'!H17:H674*'POP Corpus'!K17:K674))</f>
      </c>
    </row>
    <row r="75" outlineLevel="1">
      <c r="B75" s="0" t="inlineStr">
        <is>
          <t xml:space="preserve">Unparsed %</t>
        </is>
      </c>
      <c r="C75" s="6">
        <f>1-C71-C72-C73-C74</f>
      </c>
    </row>
    <row r="77">
      <c r="A77" s="0" t="inlineStr">
        <is>
          <t xml:space="preserve">x</t>
        </is>
      </c>
      <c r="B77" s="10" t="inlineStr">
        <is>
          <t xml:space="preserve">§3c - Distributed-production view (appendix; broader than commercial TAM)</t>
        </is>
      </c>
      <c r="C77" s="10"/>
      <c r="D77" s="10"/>
      <c r="E77" s="10"/>
      <c r="F77" s="10"/>
      <c r="G77" s="10"/>
      <c r="H77" s="10"/>
    </row>
    <row r="79">
      <c r="B79" s="2" t="inlineStr">
        <is>
          <t xml:space="preserve">Coefficient</t>
        </is>
      </c>
      <c r="C79" s="22" t="inlineStr">
        <is>
          <t xml:space="preserve">Value</t>
        </is>
      </c>
    </row>
    <row r="80" outlineLevel="1">
      <c r="B80" s="1" t="inlineStr">
        <is>
          <t xml:space="preserve">Distributed (confirmed)</t>
        </is>
      </c>
      <c r="C80" s="6">
        <f>C72+C73+C74</f>
      </c>
    </row>
    <row r="81" outlineLevel="1">
      <c r="B81" s="1" t="inlineStr">
        <is>
          <t xml:space="preserve">Distributed (incl-unparsed)</t>
        </is>
      </c>
      <c r="C81" s="6">
        <f>1-C71</f>
      </c>
    </row>
    <row r="83">
      <c r="A83" s="0" t="inlineStr">
        <is>
          <t xml:space="preserve">x</t>
        </is>
      </c>
      <c r="B83" s="10" t="inlineStr">
        <is>
          <t xml:space="preserve">§3d - Reconciliation &amp; scope variants (reference; not applied to TAM)</t>
        </is>
      </c>
      <c r="C83" s="10"/>
      <c r="D83" s="10"/>
      <c r="E83" s="10"/>
      <c r="F83" s="10"/>
      <c r="G83" s="10"/>
      <c r="H83" s="10"/>
    </row>
    <row r="85">
      <c r="B85" s="2" t="inlineStr">
        <is>
          <t xml:space="preserve">Variant</t>
        </is>
      </c>
      <c r="C85" s="22" t="inlineStr">
        <is>
          <t xml:space="preserve">Value</t>
        </is>
      </c>
    </row>
    <row r="86" outlineLevel="1">
      <c r="B86" s="0" t="inlineStr">
        <is>
          <t xml:space="preserve">BC stream incl-GFE (handoff ref)</t>
        </is>
      </c>
      <c r="C86" s="6">
        <f>IF(SUMPRODUCT('POP Corpus'!H17:H674*('POP Corpus'!G17:G674="BC")*'POP Corpus'!K17:K674)=0,"",SUMPRODUCT('POP Corpus'!H17:H674*('POP Corpus'!G17:G674="BC")*'POP Corpus'!K17:K674*('POP Corpus'!N17:N674+'POP Corpus'!O17:O674))/SUMPRODUCT('POP Corpus'!H17:H674*('POP Corpus'!G17:G674="BC")*'POP Corpus'!K17:K674))</f>
      </c>
    </row>
    <row r="87" outlineLevel="1">
      <c r="B87" s="0" t="inlineStr">
        <is>
          <t xml:space="preserve">All-gated, GFE-excluded</t>
        </is>
      </c>
      <c r="C87" s="6">
        <f>IF(SUMPRODUCT('POP Corpus'!H17:H674*(1-'POP Corpus'!I17:I674)*'POP Corpus'!K17:K674)=0,"",SUMPRODUCT('POP Corpus'!H17:H674*(1-'POP Corpus'!I17:I674)*'POP Corpus'!K17:K674*('POP Corpus'!N17:N674+'POP Corpus'!O17:O674))/SUMPRODUCT('POP Corpus'!H17:H674*(1-'POP Corpus'!I17:I674)*'POP Corpus'!K17:K674))</f>
      </c>
    </row>
    <row r="89">
      <c r="A89" s="0" t="inlineStr">
        <is>
          <t xml:space="preserve">x</t>
        </is>
      </c>
      <c r="B89" s="10" t="inlineStr">
        <is>
          <t xml:space="preserve">§3e - Anchor regression</t>
        </is>
      </c>
      <c r="C89" s="10"/>
      <c r="D89" s="10"/>
      <c r="E89" s="10"/>
      <c r="F89" s="10"/>
      <c r="G89" s="10"/>
      <c r="H89" s="10"/>
    </row>
    <row r="91">
      <c r="B91" s="2" t="inlineStr">
        <is>
          <t xml:space="preserve">Check</t>
        </is>
      </c>
      <c r="C91" s="22" t="inlineStr">
        <is>
          <t xml:space="preserve">Value</t>
        </is>
      </c>
    </row>
    <row r="92" outlineLevel="1">
      <c r="B92" s="0" t="inlineStr">
        <is>
          <t xml:space="preserve">Published anchor</t>
        </is>
      </c>
      <c r="C92" s="7">
        <v>0.518</v>
      </c>
    </row>
    <row r="93" outlineLevel="1">
      <c r="B93" s="0" t="inlineStr">
        <is>
          <t xml:space="preserve">Computed all-gated primary</t>
        </is>
      </c>
      <c r="C93" s="6">
        <f>IF(SUMPRODUCT('POP Corpus'!H17:H674*'POP Corpus'!K17:K674)=0,"",SUMPRODUCT('POP Corpus'!H17:H674*'POP Corpus'!K17:K674*('POP Corpus'!N17:N674+'POP Corpus'!O17:O674))/SUMPRODUCT('POP Corpus'!H17:H674*'POP Corpus'!K17:K674))</f>
      </c>
    </row>
    <row r="94" outlineLevel="1">
      <c r="B94" s="0" t="inlineStr">
        <is>
          <t xml:space="preserve">Delta</t>
        </is>
      </c>
      <c r="C94" s="6">
        <f>C93-C92</f>
      </c>
    </row>
    <row r="95" outlineLevel="1">
      <c r="B95" s="0" t="inlineStr">
        <is>
          <t xml:space="preserve">Anchor OK?</t>
        </is>
      </c>
      <c r="C95" s="0">
        <f>IF(ABS(C94)&lt;0.01,"OK","FAIL")</f>
      </c>
    </row>
    <row r="98">
      <c r="A98" s="0" t="inlineStr">
        <is>
          <t xml:space="preserve">x</t>
        </is>
      </c>
      <c r="B98" s="9" t="inlineStr">
        <is>
          <t xml:space="preserve">§4 - TAM bridge</t>
        </is>
      </c>
      <c r="C98" s="9"/>
      <c r="D98" s="9"/>
      <c r="E98" s="9"/>
      <c r="F98" s="9"/>
      <c r="G98" s="9"/>
      <c r="H98" s="9"/>
    </row>
    <row r="100">
      <c r="A100" s="0" t="inlineStr">
        <is>
          <t xml:space="preserve">x</t>
        </is>
      </c>
      <c r="B100" s="10" t="inlineStr">
        <is>
          <t xml:space="preserve">§4a - Applied per-stream supplier coefficients (class-vintage)</t>
        </is>
      </c>
      <c r="C100" s="10"/>
      <c r="D100" s="10"/>
      <c r="E100" s="10"/>
      <c r="F100" s="10"/>
      <c r="G100" s="10"/>
      <c r="H100" s="10"/>
    </row>
    <row r="102">
      <c r="B102" s="2" t="inlineStr">
        <is>
          <t xml:space="preserve">Coefficient</t>
        </is>
      </c>
      <c r="C102" s="22" t="inlineStr">
        <is>
          <t xml:space="preserve">Value</t>
        </is>
      </c>
    </row>
    <row r="103" outlineLevel="1">
      <c r="B103" s="1" t="inlineStr">
        <is>
          <t xml:space="preserve">Virginia BC coefficient (Block V announced POP)</t>
        </is>
      </c>
      <c r="C103" s="6">
        <f>'TAM Build'!C62</f>
      </c>
    </row>
    <row r="104" outlineLevel="1">
      <c r="B104" s="1" t="inlineStr">
        <is>
          <t xml:space="preserve">Columbia BC coefficient (Build I announced POP)</t>
        </is>
      </c>
      <c r="C104" s="6">
        <f>'TAM Build'!C63</f>
      </c>
    </row>
    <row r="105" outlineLevel="1">
      <c r="B105" s="1" t="inlineStr">
        <is>
          <t xml:space="preserve">AP/LLTM coefficient (reference; base = 0)</t>
        </is>
      </c>
      <c r="C105" s="6">
        <f>'TAM Build'!C65</f>
      </c>
    </row>
    <row r="107">
      <c r="A107" s="0" t="inlineStr">
        <is>
          <t xml:space="preserve">x</t>
        </is>
      </c>
      <c r="B107" s="10" t="inlineStr">
        <is>
          <t xml:space="preserve">§4b - Virginia (LI 2013) TAM ($M, FY22-27)</t>
        </is>
      </c>
      <c r="C107" s="10"/>
      <c r="D107" s="10"/>
      <c r="E107" s="10"/>
      <c r="F107" s="10"/>
      <c r="G107" s="10"/>
      <c r="H107" s="10"/>
    </row>
    <row r="109">
      <c r="B109" s="2" t="inlineStr">
        <is>
          <t xml:space="preserve">Metric</t>
        </is>
      </c>
      <c r="C109" s="22">
        <v>2022</v>
      </c>
      <c r="D109" s="22">
        <v>2023</v>
      </c>
      <c r="E109" s="22">
        <v>2024</v>
      </c>
      <c r="F109" s="22">
        <v>2025</v>
      </c>
      <c r="G109" s="22">
        <v>2026</v>
      </c>
      <c r="H109" s="22">
        <v>2027</v>
      </c>
    </row>
    <row r="110" outlineLevel="1">
      <c r="B110" s="0" t="inlineStr">
        <is>
          <t xml:space="preserve">BC base</t>
        </is>
      </c>
      <c r="C110" s="4">
        <f>'TAM Build'!C31</f>
      </c>
      <c r="D110" s="4">
        <f>'TAM Build'!D31</f>
      </c>
      <c r="E110" s="4">
        <f>'TAM Build'!E31</f>
      </c>
      <c r="F110" s="4">
        <f>'TAM Build'!F31</f>
      </c>
      <c r="G110" s="4">
        <f>'TAM Build'!G31</f>
      </c>
      <c r="H110" s="4">
        <f>'TAM Build'!H31</f>
      </c>
    </row>
    <row r="111" outlineLevel="1">
      <c r="B111" s="0" t="inlineStr">
        <is>
          <t xml:space="preserve">TAM - BC stream (class coeff)</t>
        </is>
      </c>
      <c r="C111" s="4">
        <f>IF(N(C110)=0,"",N(C110)*$C$103)</f>
      </c>
      <c r="D111" s="4">
        <f>IF(N(D110)=0,"",N(D110)*$C$103)</f>
      </c>
      <c r="E111" s="4">
        <f>IF(N(E110)=0,"",N(E110)*$C$103)</f>
      </c>
      <c r="F111" s="4">
        <f>IF(N(F110)=0,"",N(F110)*$C$103)</f>
      </c>
      <c r="G111" s="4">
        <f>IF(N(G110)=0,"",N(G110)*$C$103)</f>
      </c>
      <c r="H111" s="4">
        <f>IF(N(H110)=0,"",N(H110)*$C$103)</f>
      </c>
    </row>
    <row r="112" outlineLevel="1">
      <c r="B112" s="0" t="inlineStr">
        <is>
          <t xml:space="preserve">AP/LLTM base</t>
        </is>
      </c>
      <c r="C112" s="4">
        <f>'TAM Build'!C32</f>
      </c>
      <c r="D112" s="4">
        <f>'TAM Build'!D32</f>
      </c>
      <c r="E112" s="4">
        <f>'TAM Build'!E32</f>
      </c>
      <c r="F112" s="4">
        <f>'TAM Build'!F32</f>
      </c>
      <c r="G112" s="4">
        <f>'TAM Build'!G32</f>
      </c>
      <c r="H112" s="4">
        <f>'TAM Build'!H32</f>
      </c>
    </row>
    <row r="113" outlineLevel="1">
      <c r="B113" s="0" t="inlineStr">
        <is>
          <t xml:space="preserve">TAM - AP/LLTM stream</t>
        </is>
      </c>
      <c r="C113" s="4">
        <f>IF(N(C112)=0,"",N(C112)*$C$105)</f>
      </c>
      <c r="D113" s="4">
        <f>IF(N(D112)=0,"",N(D112)*$C$105)</f>
      </c>
      <c r="E113" s="4">
        <f>IF(N(E112)=0,"",N(E112)*$C$105)</f>
      </c>
      <c r="F113" s="4">
        <f>IF(N(F112)=0,"",N(F112)*$C$105)</f>
      </c>
      <c r="G113" s="4">
        <f>IF(N(G112)=0,"",N(G112)*$C$105)</f>
      </c>
      <c r="H113" s="4">
        <f>IF(N(H112)=0,"",N(H112)*$C$105)</f>
      </c>
    </row>
    <row r="114" outlineLevel="1">
      <c r="B114" s="0" t="inlineStr">
        <is>
          <t xml:space="preserve">OBBBA base</t>
        </is>
      </c>
      <c r="C114" s="4">
        <f>'TAM Build'!C33</f>
      </c>
      <c r="D114" s="4">
        <f>'TAM Build'!D33</f>
      </c>
      <c r="E114" s="4">
        <f>'TAM Build'!E33</f>
      </c>
      <c r="F114" s="4">
        <f>'TAM Build'!F33</f>
      </c>
      <c r="G114" s="4">
        <f>'TAM Build'!G33</f>
      </c>
      <c r="H114" s="4">
        <f>'TAM Build'!H33</f>
      </c>
    </row>
    <row r="115" outlineLevel="1">
      <c r="B115" s="0" t="inlineStr">
        <is>
          <t xml:space="preserve">TAM - OBBBA mandatory (class BC coeff)</t>
        </is>
      </c>
      <c r="C115" s="4">
        <f>IF(N(C114)=0,"",N(C114)*$C$103)</f>
      </c>
      <c r="D115" s="4">
        <f>IF(N(D114)=0,"",N(D114)*$C$103)</f>
      </c>
      <c r="E115" s="4">
        <f>IF(N(E114)=0,"",N(E114)*$C$103)</f>
      </c>
      <c r="F115" s="4">
        <f>IF(N(F114)=0,"",N(F114)*$C$103)</f>
      </c>
      <c r="G115" s="4">
        <f>IF(N(G114)=0,"",N(G114)*$C$103)</f>
      </c>
      <c r="H115" s="4">
        <f>IF(N(H114)=0,"",N(H114)*$C$103)</f>
      </c>
    </row>
    <row r="116" outlineLevel="1">
      <c r="B116" s="1" t="inlineStr">
        <is>
          <t xml:space="preserve">TAM (all streams)</t>
        </is>
      </c>
      <c r="C116" s="4">
        <f>N(C111)+N(C113)+N(C115)</f>
      </c>
      <c r="D116" s="4">
        <f>N(D111)+N(D113)+N(D115)</f>
      </c>
      <c r="E116" s="4">
        <f>N(E111)+N(E113)+N(E115)</f>
      </c>
      <c r="F116" s="4">
        <f>N(F111)+N(F113)+N(F115)</f>
      </c>
      <c r="G116" s="4">
        <f>N(G111)+N(G113)+N(G115)</f>
      </c>
      <c r="H116" s="4">
        <f>N(H111)+N(H113)+N(H115)</f>
      </c>
    </row>
    <row r="118">
      <c r="A118" s="0" t="inlineStr">
        <is>
          <t xml:space="preserve">x</t>
        </is>
      </c>
      <c r="B118" s="10" t="inlineStr">
        <is>
          <t xml:space="preserve">§4c - Columbia (LI 1045) TAM ($M, FY22-27)</t>
        </is>
      </c>
      <c r="C118" s="10"/>
      <c r="D118" s="10"/>
      <c r="E118" s="10"/>
      <c r="F118" s="10"/>
      <c r="G118" s="10"/>
      <c r="H118" s="10"/>
    </row>
    <row r="120">
      <c r="B120" s="2" t="inlineStr">
        <is>
          <t xml:space="preserve">Metric</t>
        </is>
      </c>
      <c r="C120" s="22">
        <v>2022</v>
      </c>
      <c r="D120" s="22">
        <v>2023</v>
      </c>
      <c r="E120" s="22">
        <v>2024</v>
      </c>
      <c r="F120" s="22">
        <v>2025</v>
      </c>
      <c r="G120" s="22">
        <v>2026</v>
      </c>
      <c r="H120" s="22">
        <v>2027</v>
      </c>
    </row>
    <row r="121" outlineLevel="1">
      <c r="B121" s="0" t="inlineStr">
        <is>
          <t xml:space="preserve">BC base</t>
        </is>
      </c>
      <c r="C121" s="4">
        <f>'TAM Build'!C43</f>
      </c>
      <c r="D121" s="4">
        <f>'TAM Build'!D43</f>
      </c>
      <c r="E121" s="4">
        <f>'TAM Build'!E43</f>
      </c>
      <c r="F121" s="4">
        <f>'TAM Build'!F43</f>
      </c>
      <c r="G121" s="4">
        <f>'TAM Build'!G43</f>
      </c>
      <c r="H121" s="4">
        <f>'TAM Build'!H43</f>
      </c>
    </row>
    <row r="122" outlineLevel="1">
      <c r="B122" s="0" t="inlineStr">
        <is>
          <t xml:space="preserve">TAM - BC stream (class coeff)</t>
        </is>
      </c>
      <c r="C122" s="4">
        <f>IF(N(C121)=0,"",N(C121)*$C$104)</f>
      </c>
      <c r="D122" s="4">
        <f>IF(N(D121)=0,"",N(D121)*$C$104)</f>
      </c>
      <c r="E122" s="4">
        <f>IF(N(E121)=0,"",N(E121)*$C$104)</f>
      </c>
      <c r="F122" s="4">
        <f>IF(N(F121)=0,"",N(F121)*$C$104)</f>
      </c>
      <c r="G122" s="4">
        <f>IF(N(G121)=0,"",N(G121)*$C$104)</f>
      </c>
      <c r="H122" s="4">
        <f>IF(N(H121)=0,"",N(H121)*$C$104)</f>
      </c>
    </row>
    <row r="123" outlineLevel="1">
      <c r="B123" s="0" t="inlineStr">
        <is>
          <t xml:space="preserve">AP/LLTM base</t>
        </is>
      </c>
      <c r="C123" s="4">
        <f>'TAM Build'!C44</f>
      </c>
      <c r="D123" s="4">
        <f>'TAM Build'!D44</f>
      </c>
      <c r="E123" s="4">
        <f>'TAM Build'!E44</f>
      </c>
      <c r="F123" s="4">
        <f>'TAM Build'!F44</f>
      </c>
      <c r="G123" s="4">
        <f>'TAM Build'!G44</f>
      </c>
      <c r="H123" s="4">
        <f>'TAM Build'!H44</f>
      </c>
    </row>
    <row r="124" outlineLevel="1">
      <c r="B124" s="0" t="inlineStr">
        <is>
          <t xml:space="preserve">TAM - AP/LLTM stream</t>
        </is>
      </c>
      <c r="C124" s="4">
        <f>IF(N(C123)=0,"",N(C123)*$C$105)</f>
      </c>
      <c r="D124" s="4">
        <f>IF(N(D123)=0,"",N(D123)*$C$105)</f>
      </c>
      <c r="E124" s="4">
        <f>IF(N(E123)=0,"",N(E123)*$C$105)</f>
      </c>
      <c r="F124" s="4">
        <f>IF(N(F123)=0,"",N(F123)*$C$105)</f>
      </c>
      <c r="G124" s="4">
        <f>IF(N(G123)=0,"",N(G123)*$C$105)</f>
      </c>
      <c r="H124" s="4">
        <f>IF(N(H123)=0,"",N(H123)*$C$105)</f>
      </c>
    </row>
    <row r="125" outlineLevel="1">
      <c r="B125" s="0" t="inlineStr">
        <is>
          <t xml:space="preserve">OBBBA base</t>
        </is>
      </c>
      <c r="C125" s="4">
        <f>'TAM Build'!C45</f>
      </c>
      <c r="D125" s="4">
        <f>'TAM Build'!D45</f>
      </c>
      <c r="E125" s="4">
        <f>'TAM Build'!E45</f>
      </c>
      <c r="F125" s="4">
        <f>'TAM Build'!F45</f>
      </c>
      <c r="G125" s="4">
        <f>'TAM Build'!G45</f>
      </c>
      <c r="H125" s="4">
        <f>'TAM Build'!H45</f>
      </c>
    </row>
    <row r="126" outlineLevel="1">
      <c r="B126" s="0" t="inlineStr">
        <is>
          <t xml:space="preserve">TAM - OBBBA mandatory (class BC coeff)</t>
        </is>
      </c>
      <c r="C126" s="4">
        <f>IF(N(C125)=0,"",N(C125)*$C$104)</f>
      </c>
      <c r="D126" s="4">
        <f>IF(N(D125)=0,"",N(D125)*$C$104)</f>
      </c>
      <c r="E126" s="4">
        <f>IF(N(E125)=0,"",N(E125)*$C$104)</f>
      </c>
      <c r="F126" s="4">
        <f>IF(N(F125)=0,"",N(F125)*$C$104)</f>
      </c>
      <c r="G126" s="4">
        <f>IF(N(G125)=0,"",N(G125)*$C$104)</f>
      </c>
      <c r="H126" s="4">
        <f>IF(N(H125)=0,"",N(H125)*$C$104)</f>
      </c>
    </row>
    <row r="127" outlineLevel="1">
      <c r="B127" s="1" t="inlineStr">
        <is>
          <t xml:space="preserve">TAM (all streams)</t>
        </is>
      </c>
      <c r="C127" s="4">
        <f>N(C122)+N(C124)+N(C126)</f>
      </c>
      <c r="D127" s="4">
        <f>N(D122)+N(D124)+N(D126)</f>
      </c>
      <c r="E127" s="4">
        <f>N(E122)+N(E124)+N(E126)</f>
      </c>
      <c r="F127" s="4">
        <f>N(F122)+N(F124)+N(F126)</f>
      </c>
      <c r="G127" s="4">
        <f>N(G122)+N(G124)+N(G126)</f>
      </c>
      <c r="H127" s="4">
        <f>N(H122)+N(H124)+N(H126)</f>
      </c>
    </row>
    <row r="129">
      <c r="A129" s="0" t="inlineStr">
        <is>
          <t xml:space="preserve">x</t>
        </is>
      </c>
      <c r="B129" s="10" t="inlineStr">
        <is>
          <t xml:space="preserve">§4d - Portfolio TAM + stream bridge (Virginia + Columbia)</t>
        </is>
      </c>
      <c r="C129" s="10"/>
      <c r="D129" s="10"/>
      <c r="E129" s="10"/>
      <c r="F129" s="10"/>
      <c r="G129" s="10"/>
      <c r="H129" s="10"/>
    </row>
    <row r="131">
      <c r="B131" s="2" t="inlineStr">
        <is>
          <t xml:space="preserve">Metric</t>
        </is>
      </c>
      <c r="C131" s="22">
        <v>2022</v>
      </c>
      <c r="D131" s="22">
        <v>2023</v>
      </c>
      <c r="E131" s="22">
        <v>2024</v>
      </c>
      <c r="F131" s="22">
        <v>2025</v>
      </c>
      <c r="G131" s="22">
        <v>2026</v>
      </c>
      <c r="H131" s="22">
        <v>2027</v>
      </c>
    </row>
    <row r="132" outlineLevel="1">
      <c r="B132" s="0" t="inlineStr">
        <is>
          <t xml:space="preserve">BC stream TAM</t>
        </is>
      </c>
      <c r="C132" s="4">
        <f>N(C111)+N(C122)</f>
      </c>
      <c r="D132" s="4">
        <f>N(D111)+N(D122)</f>
      </c>
      <c r="E132" s="4">
        <f>N(E111)+N(E122)</f>
      </c>
      <c r="F132" s="4">
        <f>N(F111)+N(F122)</f>
      </c>
      <c r="G132" s="4">
        <f>N(G111)+N(G122)</f>
      </c>
      <c r="H132" s="4">
        <f>N(H111)+N(H122)</f>
      </c>
    </row>
    <row r="133" outlineLevel="1">
      <c r="B133" s="0" t="inlineStr">
        <is>
          <t xml:space="preserve">AP/LLTM stream TAM</t>
        </is>
      </c>
      <c r="C133" s="4">
        <f>N(C113)+N(C124)</f>
      </c>
      <c r="D133" s="4">
        <f>N(D113)+N(D124)</f>
      </c>
      <c r="E133" s="4">
        <f>N(E113)+N(E124)</f>
      </c>
      <c r="F133" s="4">
        <f>N(F113)+N(F124)</f>
      </c>
      <c r="G133" s="4">
        <f>N(G113)+N(G124)</f>
      </c>
      <c r="H133" s="4">
        <f>N(H113)+N(H124)</f>
      </c>
    </row>
    <row r="134" outlineLevel="1">
      <c r="B134" s="0" t="inlineStr">
        <is>
          <t xml:space="preserve">OBBBA mandatory TAM</t>
        </is>
      </c>
      <c r="C134" s="4">
        <f>N(C115)+N(C126)</f>
      </c>
      <c r="D134" s="4">
        <f>N(D115)+N(D126)</f>
      </c>
      <c r="E134" s="4">
        <f>N(E115)+N(E126)</f>
      </c>
      <c r="F134" s="4">
        <f>N(F115)+N(F126)</f>
      </c>
      <c r="G134" s="4">
        <f>N(G115)+N(G126)</f>
      </c>
      <c r="H134" s="4">
        <f>N(H115)+N(H126)</f>
      </c>
    </row>
    <row r="135" outlineLevel="1">
      <c r="B135" s="1" t="inlineStr">
        <is>
          <t xml:space="preserve">TAM (portfolio)</t>
        </is>
      </c>
      <c r="C135" s="4">
        <f>N(C116)+N(C127)</f>
      </c>
      <c r="D135" s="4">
        <f>N(D116)+N(D127)</f>
      </c>
      <c r="E135" s="4">
        <f>N(E116)+N(E127)</f>
      </c>
      <c r="F135" s="4">
        <f>N(F116)+N(F127)</f>
      </c>
      <c r="G135" s="4">
        <f>N(G116)+N(G127)</f>
      </c>
      <c r="H135" s="4">
        <f>N(H116)+N(H127)</f>
      </c>
    </row>
    <row r="136" outlineLevel="1">
      <c r="B136" s="1" t="inlineStr">
        <is>
          <t xml:space="preserve">Total weighted coefficient (TAM / TAM base, all FY)</t>
        </is>
      </c>
      <c r="C136" s="6">
        <f>IF((SUM(C110:H110)+SUM(C112:H112)+SUM(C114:H114)+SUM(C121:H121)+SUM(C123:H123)+SUM(C125:H125))=0,"",SUM(C135:H135)/(SUM(C110:H110)+SUM(C112:H112)+SUM(C114:H114)+SUM(C121:H121)+SUM(C123:H123)+SUM(C125:H125)))</f>
      </c>
    </row>
    <row r="138">
      <c r="A138" s="0" t="inlineStr">
        <is>
          <t xml:space="preserve">x</t>
        </is>
      </c>
      <c r="B138" s="10" t="inlineStr">
        <is>
          <t xml:space="preserve">§4e - Annualization + deck-bridge figures (FY22-27)</t>
        </is>
      </c>
      <c r="C138" s="10"/>
      <c r="D138" s="10"/>
      <c r="E138" s="10"/>
      <c r="F138" s="10"/>
      <c r="G138" s="10"/>
      <c r="H138" s="10"/>
    </row>
    <row r="140">
      <c r="B140" s="2" t="inlineStr">
        <is>
          <t xml:space="preserve">Measure</t>
        </is>
      </c>
      <c r="C140" s="22" t="inlineStr">
        <is>
          <t xml:space="preserve">Value</t>
        </is>
      </c>
    </row>
    <row r="141" outlineLevel="1">
      <c r="B141" s="1" t="inlineStr">
        <is>
          <t xml:space="preserve">Cumulative portfolio TAM (FY22-27)</t>
        </is>
      </c>
      <c r="C141" s="4">
        <f>SUM(C135:H135)</f>
      </c>
    </row>
    <row r="142" outlineLevel="1">
      <c r="B142" s="0" t="inlineStr">
        <is>
          <t xml:space="preserve">Number of fiscal years</t>
        </is>
      </c>
      <c r="C142" s="4">
        <f>'Assumptions'!C9-'Assumptions'!C8+1</f>
      </c>
    </row>
    <row r="143" outlineLevel="1">
      <c r="B143" s="1" t="inlineStr">
        <is>
          <t xml:space="preserve">Average annual portfolio TAM</t>
        </is>
      </c>
      <c r="C143" s="4">
        <f>C141/C142</f>
      </c>
    </row>
    <row r="144" outlineLevel="1">
      <c r="B144" s="0" t="inlineStr">
        <is>
          <t xml:space="preserve">Cumulative BC construction base (FY22-27)</t>
        </is>
      </c>
      <c r="C144" s="4">
        <f>N('TAM Build'!C51)+N('TAM Build'!D51)+N('TAM Build'!E51)+N('TAM Build'!F51)+N('TAM Build'!G51)+N('TAM Build'!H51)</f>
      </c>
    </row>
    <row r="145" outlineLevel="1">
      <c r="B145" s="0" t="inlineStr">
        <is>
          <t xml:space="preserve">Cumulative OBBBA mandatory BC base (FY22-27)</t>
        </is>
      </c>
      <c r="C145" s="4">
        <f>N('TAM Build'!C53)+N('TAM Build'!D53)+N('TAM Build'!E53)+N('TAM Build'!F53)+N('TAM Build'!G53)+N('TAM Build'!H53)</f>
      </c>
    </row>
    <row r="146" outlineLevel="1">
      <c r="B146" s="0" t="inlineStr">
        <is>
          <t xml:space="preserve">Cumulative OBBBA mandatory TAM (FY22-27)</t>
        </is>
      </c>
      <c r="C146" s="4">
        <f>SUM(C134:H134)</f>
      </c>
    </row>
    <row r="147" outlineLevel="1">
      <c r="B147" s="0" t="inlineStr">
        <is>
          <t xml:space="preserve">Removed by POP (prime / co-prime / GFE)</t>
        </is>
      </c>
      <c r="C147" s="4">
        <f>C144+C145-C141</f>
      </c>
    </row>
    <row r="150">
      <c r="A150" s="0" t="inlineStr">
        <is>
          <t xml:space="preserve">x</t>
        </is>
      </c>
      <c r="B150" s="9" t="inlineStr">
        <is>
          <t xml:space="preserve">§5 - TAM checks</t>
        </is>
      </c>
      <c r="C150" s="9"/>
      <c r="D150" s="9"/>
      <c r="E150" s="9"/>
      <c r="F150" s="9"/>
      <c r="G150" s="9"/>
      <c r="H150" s="9"/>
    </row>
    <row r="152">
      <c r="B152" s="2" t="inlineStr">
        <is>
          <t xml:space="preserve">Check</t>
        </is>
      </c>
      <c r="C152" s="2" t="inlineStr">
        <is>
          <t xml:space="preserve">Status</t>
        </is>
      </c>
    </row>
    <row r="153" outlineLevel="1">
      <c r="B153" s="0" t="inlineStr">
        <is>
          <t xml:space="preserve">Portfolio TAM = BC TAM + AP/LLTM TAM + OBBBA TAM</t>
        </is>
      </c>
      <c r="C153" s="0">
        <f>IF(ABS(('TAM Build'!C141)-((N('TAM Build'!C132)+N('TAM Build'!D132)+N('TAM Build'!E132)+N('TAM Build'!F132)+N('TAM Build'!G132)+N('TAM Build'!H132))+(N('TAM Build'!C133)+N('TAM Build'!D133)+N('TAM Build'!E133)+N('TAM Build'!F133)+N('TAM Build'!G133)+N('TAM Build'!H133))+(N('TAM Build'!C134)+N('TAM Build'!D134)+N('TAM Build'!E134)+N('TAM Build'!F134)+N('TAM Build'!G134)+N('TAM Build'!H134))))&lt;0.5,"OK","FAIL")</f>
      </c>
    </row>
    <row r="154" outlineLevel="1">
      <c r="B154" s="0" t="inlineStr">
        <is>
          <t xml:space="preserve">Average annual = cumulative / fiscal years</t>
        </is>
      </c>
      <c r="C154" s="0">
        <f>IF(ABS(('TAM Build'!C143)*('TAM Build'!C142)-('TAM Build'!C141))&lt;0.5,"OK","FAIL")</f>
      </c>
    </row>
    <row r="155" outlineLevel="1">
      <c r="B155" s="0" t="inlineStr">
        <is>
          <t xml:space="preserve">Anchor regression holds</t>
        </is>
      </c>
      <c r="C155" s="0">
        <f>'TAM Build'!C95</f>
      </c>
    </row>
    <row r="156" outlineLevel="1">
      <c r="B156" s="0" t="inlineStr">
        <is>
          <t xml:space="preserve">Virginia FY26 ship estimate ties to PB2027</t>
        </is>
      </c>
      <c r="C156" s="0">
        <f>IF(ABS('SCN Budget'!G44-5389.109)&lt;1,"OK","FAIL")</f>
      </c>
    </row>
  </sheetData>
</worksheet>
</file>

<file path=xl/worksheets/sheet5.xml><?xml version="1.0" encoding="utf-8"?>
<worksheet xmlns="http://schemas.openxmlformats.org/spreadsheetml/2006/main" xmlns:r="http://schemas.openxmlformats.org/officeDocument/2006/relationships">
  <sheetPr>
    <tabColor rgb="FF34406B"/>
    <outlinePr summaryBelow="0"/>
  </sheetPr>
  <sheetViews>
    <sheetView showGridLines="0" workbookViewId="0" showOutlineSymbols="0"/>
  </sheetViews>
  <sheetFormatPr defaultRowHeight="10" customHeight="1"/>
  <cols>
    <col min="1" max="1" width="2.2109375" customWidth="1"/>
    <col min="2" max="2" width="44" customWidth="1"/>
    <col min="3" max="3" width="22" customWidth="1"/>
    <col min="4" max="4" width="14" customWidth="1"/>
    <col min="5" max="5" width="14" customWidth="1"/>
    <col min="6" max="6" width="14" customWidth="1"/>
    <col min="7" max="7" width="12" customWidth="1"/>
    <col min="8" max="8" width="12" customWidth="1"/>
  </cols>
  <sheetData>
    <row r="1"/>
    <row r="2">
      <c r="B2" s="8" t="inlineStr">
        <is>
          <t xml:space="preserve">SAM Build</t>
        </is>
      </c>
      <c r="C2" s="8"/>
      <c r="D2" s="8"/>
      <c r="E2" s="8"/>
      <c r="F2" s="8"/>
      <c r="G2" s="8"/>
      <c r="H2" s="8"/>
    </row>
    <row r="4">
      <c r="B4" s="9" t="inlineStr">
        <is>
          <t xml:space="preserve">§1 - SAM scenario menu</t>
        </is>
      </c>
      <c r="C4" s="9"/>
      <c r="D4" s="9"/>
      <c r="E4" s="9"/>
      <c r="F4" s="9"/>
      <c r="G4" s="9"/>
      <c r="H4" s="9"/>
    </row>
    <row r="6">
      <c r="B6" s="2" t="inlineStr">
        <is>
          <t xml:space="preserve">Measure</t>
        </is>
      </c>
      <c r="C6" s="2" t="inlineStr">
        <is>
          <t xml:space="preserve">Value</t>
        </is>
      </c>
    </row>
    <row r="7">
      <c r="B7" s="1" t="inlineStr">
        <is>
          <t xml:space="preserve">Broad component-mfg SAM (avg annual FY22-27)</t>
        </is>
      </c>
      <c r="C7" s="4">
        <f>'SAM Build'!C120</f>
      </c>
    </row>
    <row r="8">
      <c r="B8" s="0" t="inlineStr">
        <is>
          <t xml:space="preserve">Broad component-mfg SAM (FY22-27 cumulative)</t>
        </is>
      </c>
      <c r="C8" s="4">
        <f>'SAM Build'!D120</f>
      </c>
    </row>
    <row r="9">
      <c r="B9" s="0" t="inlineStr">
        <is>
          <t xml:space="preserve">Broad SAM as % of TAM</t>
        </is>
      </c>
      <c r="C9" s="6">
        <f>'SAM Build'!E120</f>
      </c>
    </row>
    <row r="10">
      <c r="B10" s="0" t="inlineStr">
        <is>
          <t xml:space="preserve">Selected SAM scenario</t>
        </is>
      </c>
      <c r="C10" s="11">
        <f>'Assumptions'!C11</f>
      </c>
    </row>
    <row r="11">
      <c r="B11" s="1" t="inlineStr">
        <is>
          <t xml:space="preserve">Selected SAM (avg annual)</t>
        </is>
      </c>
      <c r="C11" s="4">
        <f>'SAM Build'!C126</f>
      </c>
    </row>
    <row r="14">
      <c r="A14" s="0" t="inlineStr">
        <is>
          <t xml:space="preserve">x</t>
        </is>
      </c>
      <c r="B14" s="9" t="inlineStr">
        <is>
          <t xml:space="preserve">§2 - Scenario matrix</t>
        </is>
      </c>
      <c r="C14" s="9"/>
      <c r="D14" s="9"/>
      <c r="E14" s="9"/>
      <c r="F14" s="9"/>
      <c r="G14" s="9"/>
      <c r="H14" s="9"/>
    </row>
    <row r="16">
      <c r="B16" s="2" t="inlineStr">
        <is>
          <t xml:space="preserve">Bucket</t>
        </is>
      </c>
      <c r="C16" s="22" t="inlineStr">
        <is>
          <t xml:space="preserve">Metal</t>
        </is>
      </c>
      <c r="D16" s="22" t="inlineStr">
        <is>
          <t xml:space="preserve">HM&amp;E</t>
        </is>
      </c>
      <c r="E16" s="22" t="inlineStr">
        <is>
          <t xml:space="preserve">Electrical</t>
        </is>
      </c>
      <c r="F16" s="22" t="inlineStr">
        <is>
          <t xml:space="preserve">Modular</t>
        </is>
      </c>
      <c r="G16" s="22" t="inlineStr">
        <is>
          <t xml:space="preserve">Broad</t>
        </is>
      </c>
    </row>
    <row r="17" outlineLevel="1">
      <c r="B17" s="0" t="inlineStr">
        <is>
          <t xml:space="preserve">Structural fabrication &amp; modules</t>
        </is>
      </c>
      <c r="C17" s="11">
        <f>'Assumptions'!C69</f>
      </c>
      <c r="D17" s="11">
        <f>'Assumptions'!D69</f>
      </c>
      <c r="E17" s="11">
        <f>'Assumptions'!E69</f>
      </c>
      <c r="F17" s="11">
        <f>'Assumptions'!F69</f>
      </c>
      <c r="G17" s="11">
        <f>'Assumptions'!G69</f>
      </c>
    </row>
    <row r="18" outlineLevel="1">
      <c r="B18" s="0" t="inlineStr">
        <is>
          <t xml:space="preserve">Machining / mechanical / propulsion</t>
        </is>
      </c>
      <c r="C18" s="11">
        <f>'Assumptions'!C70</f>
      </c>
      <c r="D18" s="11">
        <f>'Assumptions'!D70</f>
      </c>
      <c r="E18" s="11">
        <f>'Assumptions'!E70</f>
      </c>
      <c r="F18" s="11">
        <f>'Assumptions'!F70</f>
      </c>
      <c r="G18" s="11">
        <f>'Assumptions'!G70</f>
      </c>
    </row>
    <row r="19" outlineLevel="1">
      <c r="B19" s="0" t="inlineStr">
        <is>
          <t xml:space="preserve">Castings &amp; forgings</t>
        </is>
      </c>
      <c r="C19" s="11">
        <f>'Assumptions'!C71</f>
      </c>
      <c r="D19" s="11">
        <f>'Assumptions'!D71</f>
      </c>
      <c r="E19" s="11">
        <f>'Assumptions'!E71</f>
      </c>
      <c r="F19" s="11">
        <f>'Assumptions'!F71</f>
      </c>
      <c r="G19" s="11">
        <f>'Assumptions'!G71</f>
      </c>
    </row>
    <row r="20" outlineLevel="1">
      <c r="B20" s="0" t="inlineStr">
        <is>
          <t xml:space="preserve">Piping / fluid handling</t>
        </is>
      </c>
      <c r="C20" s="11">
        <f>'Assumptions'!C72</f>
      </c>
      <c r="D20" s="11">
        <f>'Assumptions'!D72</f>
      </c>
      <c r="E20" s="11">
        <f>'Assumptions'!E72</f>
      </c>
      <c r="F20" s="11">
        <f>'Assumptions'!F72</f>
      </c>
      <c r="G20" s="11">
        <f>'Assumptions'!G72</f>
      </c>
    </row>
    <row r="21" outlineLevel="1">
      <c r="B21" s="0" t="inlineStr">
        <is>
          <t xml:space="preserve">Electrical power / distribution / generation</t>
        </is>
      </c>
      <c r="C21" s="11">
        <f>'Assumptions'!C73</f>
      </c>
      <c r="D21" s="11">
        <f>'Assumptions'!D73</f>
      </c>
      <c r="E21" s="11">
        <f>'Assumptions'!E73</f>
      </c>
      <c r="F21" s="11">
        <f>'Assumptions'!F73</f>
      </c>
      <c r="G21" s="11">
        <f>'Assumptions'!G73</f>
      </c>
    </row>
    <row r="22" outlineLevel="1">
      <c r="B22" s="0" t="inlineStr">
        <is>
          <t xml:space="preserve">HVAC / ventilation / chilled water</t>
        </is>
      </c>
      <c r="C22" s="11">
        <f>'Assumptions'!C74</f>
      </c>
      <c r="D22" s="11">
        <f>'Assumptions'!D74</f>
      </c>
      <c r="E22" s="11">
        <f>'Assumptions'!E74</f>
      </c>
      <c r="F22" s="11">
        <f>'Assumptions'!F74</f>
      </c>
      <c r="G22" s="11">
        <f>'Assumptions'!G74</f>
      </c>
    </row>
    <row r="23" outlineLevel="1">
      <c r="B23" s="0" t="inlineStr">
        <is>
          <t xml:space="preserve">Coatings / insulation / decking</t>
        </is>
      </c>
      <c r="C23" s="11">
        <f>'Assumptions'!C75</f>
      </c>
      <c r="D23" s="11">
        <f>'Assumptions'!D75</f>
      </c>
      <c r="E23" s="11">
        <f>'Assumptions'!E75</f>
      </c>
      <c r="F23" s="11">
        <f>'Assumptions'!F75</f>
      </c>
      <c r="G23" s="11">
        <f>'Assumptions'!G75</f>
      </c>
    </row>
    <row r="26">
      <c r="A26" s="0" t="inlineStr">
        <is>
          <t xml:space="preserve">x</t>
        </is>
      </c>
      <c r="B26" s="9" t="inlineStr">
        <is>
          <t xml:space="preserve">§3 - Modeled bucket shares by FY (gated evidence + Inputs adjustment)</t>
        </is>
      </c>
      <c r="C26" s="9"/>
      <c r="D26" s="9"/>
      <c r="E26" s="9"/>
      <c r="F26" s="9"/>
      <c r="G26" s="9"/>
      <c r="H26" s="9"/>
    </row>
    <row r="28">
      <c r="A28" s="0" t="inlineStr">
        <is>
          <t xml:space="preserve">x</t>
        </is>
      </c>
      <c r="B28" s="10" t="inlineStr">
        <is>
          <t xml:space="preserve">§3a - Virginia (= Worktype by FY observed + adjustment; FY26-27 use the window vector)</t>
        </is>
      </c>
      <c r="C28" s="10"/>
      <c r="D28" s="10"/>
      <c r="E28" s="10"/>
      <c r="F28" s="10"/>
      <c r="G28" s="10"/>
      <c r="H28" s="10"/>
    </row>
    <row r="30">
      <c r="B30" s="2" t="inlineStr">
        <is>
          <t xml:space="preserve">Bucket</t>
        </is>
      </c>
      <c r="C30" s="22" t="inlineStr">
        <is>
          <t xml:space="preserve">Adj (Inputs)</t>
        </is>
      </c>
      <c r="D30" s="22" t="inlineStr">
        <is>
          <t xml:space="preserve">FY2022</t>
        </is>
      </c>
      <c r="E30" s="22" t="inlineStr">
        <is>
          <t xml:space="preserve">FY2023</t>
        </is>
      </c>
      <c r="F30" s="22" t="inlineStr">
        <is>
          <t xml:space="preserve">FY2024</t>
        </is>
      </c>
      <c r="G30" s="22" t="inlineStr">
        <is>
          <t xml:space="preserve">FY2025</t>
        </is>
      </c>
      <c r="H30" s="22" t="inlineStr">
        <is>
          <t xml:space="preserve">FY26-27 (window)</t>
        </is>
      </c>
    </row>
    <row r="31" outlineLevel="1">
      <c r="B31" s="0" t="inlineStr">
        <is>
          <t xml:space="preserve">Structural fabrication &amp; modules</t>
        </is>
      </c>
      <c r="C31" s="12">
        <f>'Assumptions'!C81</f>
      </c>
      <c r="D31" s="6">
        <f>N('Worktype by FY'!C31)+$C31</f>
      </c>
      <c r="E31" s="6">
        <f>N('Worktype by FY'!D31)+$C31</f>
      </c>
      <c r="F31" s="6">
        <f>N('Worktype by FY'!E31)+$C31</f>
      </c>
      <c r="G31" s="6">
        <f>N('Worktype by FY'!F31)+$C31</f>
      </c>
      <c r="H31" s="6">
        <f>N('Worktype by FY'!G31)+$C31</f>
      </c>
    </row>
    <row r="32" outlineLevel="1">
      <c r="B32" s="0" t="inlineStr">
        <is>
          <t xml:space="preserve">Machining / mechanical / propulsion</t>
        </is>
      </c>
      <c r="C32" s="12">
        <f>'Assumptions'!C82</f>
      </c>
      <c r="D32" s="6">
        <f>N('Worktype by FY'!C32)+$C32</f>
      </c>
      <c r="E32" s="6">
        <f>N('Worktype by FY'!D32)+$C32</f>
      </c>
      <c r="F32" s="6">
        <f>N('Worktype by FY'!E32)+$C32</f>
      </c>
      <c r="G32" s="6">
        <f>N('Worktype by FY'!F32)+$C32</f>
      </c>
      <c r="H32" s="6">
        <f>N('Worktype by FY'!G32)+$C32</f>
      </c>
    </row>
    <row r="33" outlineLevel="1">
      <c r="B33" s="0" t="inlineStr">
        <is>
          <t xml:space="preserve">Castings &amp; forgings</t>
        </is>
      </c>
      <c r="C33" s="12">
        <f>'Assumptions'!C83</f>
      </c>
      <c r="D33" s="6">
        <f>N('Worktype by FY'!C33)+$C33</f>
      </c>
      <c r="E33" s="6">
        <f>N('Worktype by FY'!D33)+$C33</f>
      </c>
      <c r="F33" s="6">
        <f>N('Worktype by FY'!E33)+$C33</f>
      </c>
      <c r="G33" s="6">
        <f>N('Worktype by FY'!F33)+$C33</f>
      </c>
      <c r="H33" s="6">
        <f>N('Worktype by FY'!G33)+$C33</f>
      </c>
    </row>
    <row r="34" outlineLevel="1">
      <c r="B34" s="0" t="inlineStr">
        <is>
          <t xml:space="preserve">Piping / fluid handling</t>
        </is>
      </c>
      <c r="C34" s="12">
        <f>'Assumptions'!C84</f>
      </c>
      <c r="D34" s="6">
        <f>N('Worktype by FY'!C34)+$C34</f>
      </c>
      <c r="E34" s="6">
        <f>N('Worktype by FY'!D34)+$C34</f>
      </c>
      <c r="F34" s="6">
        <f>N('Worktype by FY'!E34)+$C34</f>
      </c>
      <c r="G34" s="6">
        <f>N('Worktype by FY'!F34)+$C34</f>
      </c>
      <c r="H34" s="6">
        <f>N('Worktype by FY'!G34)+$C34</f>
      </c>
    </row>
    <row r="35" outlineLevel="1">
      <c r="B35" s="0" t="inlineStr">
        <is>
          <t xml:space="preserve">Electrical power / distribution / generation</t>
        </is>
      </c>
      <c r="C35" s="12">
        <f>'Assumptions'!C85</f>
      </c>
      <c r="D35" s="6">
        <f>N('Worktype by FY'!C35)+$C35</f>
      </c>
      <c r="E35" s="6">
        <f>N('Worktype by FY'!D35)+$C35</f>
      </c>
      <c r="F35" s="6">
        <f>N('Worktype by FY'!E35)+$C35</f>
      </c>
      <c r="G35" s="6">
        <f>N('Worktype by FY'!F35)+$C35</f>
      </c>
      <c r="H35" s="6">
        <f>N('Worktype by FY'!G35)+$C35</f>
      </c>
    </row>
    <row r="36" outlineLevel="1">
      <c r="B36" s="0" t="inlineStr">
        <is>
          <t xml:space="preserve">HVAC / ventilation / chilled water</t>
        </is>
      </c>
      <c r="C36" s="12">
        <f>'Assumptions'!C86</f>
      </c>
      <c r="D36" s="6">
        <f>N('Worktype by FY'!C36)+$C36</f>
      </c>
      <c r="E36" s="6">
        <f>N('Worktype by FY'!D36)+$C36</f>
      </c>
      <c r="F36" s="6">
        <f>N('Worktype by FY'!E36)+$C36</f>
      </c>
      <c r="G36" s="6">
        <f>N('Worktype by FY'!F36)+$C36</f>
      </c>
      <c r="H36" s="6">
        <f>N('Worktype by FY'!G36)+$C36</f>
      </c>
    </row>
    <row r="37" outlineLevel="1">
      <c r="B37" s="0" t="inlineStr">
        <is>
          <t xml:space="preserve">Coatings / insulation / decking</t>
        </is>
      </c>
      <c r="C37" s="12">
        <f>'Assumptions'!C87</f>
      </c>
      <c r="D37" s="6">
        <f>N('Worktype by FY'!C37)+$C37</f>
      </c>
      <c r="E37" s="6">
        <f>N('Worktype by FY'!D37)+$C37</f>
      </c>
      <c r="F37" s="6">
        <f>N('Worktype by FY'!E37)+$C37</f>
      </c>
      <c r="G37" s="6">
        <f>N('Worktype by FY'!F37)+$C37</f>
      </c>
      <c r="H37" s="6">
        <f>N('Worktype by FY'!G37)+$C37</f>
      </c>
    </row>
    <row r="38" outlineLevel="1">
      <c r="B38" s="0" t="inlineStr">
        <is>
          <t xml:space="preserve">Unbucketed / ambiguous</t>
        </is>
      </c>
      <c r="D38" s="6">
        <f>1-SUM(D31:D37)</f>
      </c>
      <c r="E38" s="6">
        <f>1-SUM(E31:E37)</f>
      </c>
      <c r="F38" s="6">
        <f>1-SUM(F31:F37)</f>
      </c>
      <c r="G38" s="6">
        <f>1-SUM(G31:G37)</f>
      </c>
      <c r="H38" s="6">
        <f>1-SUM(H31:H37)</f>
      </c>
    </row>
    <row r="39">
      <c r="B39" s="3" t="inlineStr">
        <is>
          <t xml:space="preserve">Total modeled share</t>
        </is>
      </c>
      <c r="C39" s="16"/>
      <c r="D39" s="14">
        <f>SUM(D31:D38)</f>
      </c>
      <c r="E39" s="14">
        <f>SUM(E31:E38)</f>
      </c>
      <c r="F39" s="14">
        <f>SUM(F31:F38)</f>
      </c>
      <c r="G39" s="14">
        <f>SUM(G31:G38)</f>
      </c>
      <c r="H39" s="14">
        <f>SUM(H31:H38)</f>
      </c>
    </row>
    <row r="42">
      <c r="A42" s="0" t="inlineStr">
        <is>
          <t xml:space="preserve">x</t>
        </is>
      </c>
      <c r="B42" s="10" t="inlineStr">
        <is>
          <t xml:space="preserve">§3b - Columbia (= Worktype by FY observed + adjustment; FY26-27 use the window vector)</t>
        </is>
      </c>
      <c r="C42" s="10"/>
      <c r="D42" s="10"/>
      <c r="E42" s="10"/>
      <c r="F42" s="10"/>
      <c r="G42" s="10"/>
      <c r="H42" s="10"/>
    </row>
    <row r="44">
      <c r="B44" s="2" t="inlineStr">
        <is>
          <t xml:space="preserve">Bucket</t>
        </is>
      </c>
      <c r="C44" s="22" t="inlineStr">
        <is>
          <t xml:space="preserve">Adj (Inputs)</t>
        </is>
      </c>
      <c r="D44" s="22" t="inlineStr">
        <is>
          <t xml:space="preserve">FY2022</t>
        </is>
      </c>
      <c r="E44" s="22" t="inlineStr">
        <is>
          <t xml:space="preserve">FY2023</t>
        </is>
      </c>
      <c r="F44" s="22" t="inlineStr">
        <is>
          <t xml:space="preserve">FY2024</t>
        </is>
      </c>
      <c r="G44" s="22" t="inlineStr">
        <is>
          <t xml:space="preserve">FY2025</t>
        </is>
      </c>
      <c r="H44" s="22" t="inlineStr">
        <is>
          <t xml:space="preserve">FY26-27 (window)</t>
        </is>
      </c>
    </row>
    <row r="45" outlineLevel="1">
      <c r="B45" s="0" t="inlineStr">
        <is>
          <t xml:space="preserve">Structural fabrication &amp; modules</t>
        </is>
      </c>
      <c r="C45" s="12">
        <f>'Assumptions'!C81</f>
      </c>
      <c r="D45" s="6">
        <f>N('Worktype by FY'!C59)+$C45</f>
      </c>
      <c r="E45" s="6">
        <f>N('Worktype by FY'!D59)+$C45</f>
      </c>
      <c r="F45" s="6">
        <f>N('Worktype by FY'!E59)+$C45</f>
      </c>
      <c r="G45" s="6">
        <f>N('Worktype by FY'!F59)+$C45</f>
      </c>
      <c r="H45" s="6">
        <f>N('Worktype by FY'!G59)+$C45</f>
      </c>
    </row>
    <row r="46" outlineLevel="1">
      <c r="B46" s="0" t="inlineStr">
        <is>
          <t xml:space="preserve">Machining / mechanical / propulsion</t>
        </is>
      </c>
      <c r="C46" s="12">
        <f>'Assumptions'!C82</f>
      </c>
      <c r="D46" s="6">
        <f>N('Worktype by FY'!C60)+$C46</f>
      </c>
      <c r="E46" s="6">
        <f>N('Worktype by FY'!D60)+$C46</f>
      </c>
      <c r="F46" s="6">
        <f>N('Worktype by FY'!E60)+$C46</f>
      </c>
      <c r="G46" s="6">
        <f>N('Worktype by FY'!F60)+$C46</f>
      </c>
      <c r="H46" s="6">
        <f>N('Worktype by FY'!G60)+$C46</f>
      </c>
    </row>
    <row r="47" outlineLevel="1">
      <c r="B47" s="0" t="inlineStr">
        <is>
          <t xml:space="preserve">Castings &amp; forgings</t>
        </is>
      </c>
      <c r="C47" s="12">
        <f>'Assumptions'!C83</f>
      </c>
      <c r="D47" s="6">
        <f>N('Worktype by FY'!C61)+$C47</f>
      </c>
      <c r="E47" s="6">
        <f>N('Worktype by FY'!D61)+$C47</f>
      </c>
      <c r="F47" s="6">
        <f>N('Worktype by FY'!E61)+$C47</f>
      </c>
      <c r="G47" s="6">
        <f>N('Worktype by FY'!F61)+$C47</f>
      </c>
      <c r="H47" s="6">
        <f>N('Worktype by FY'!G61)+$C47</f>
      </c>
    </row>
    <row r="48" outlineLevel="1">
      <c r="B48" s="0" t="inlineStr">
        <is>
          <t xml:space="preserve">Piping / fluid handling</t>
        </is>
      </c>
      <c r="C48" s="12">
        <f>'Assumptions'!C84</f>
      </c>
      <c r="D48" s="6">
        <f>N('Worktype by FY'!C62)+$C48</f>
      </c>
      <c r="E48" s="6">
        <f>N('Worktype by FY'!D62)+$C48</f>
      </c>
      <c r="F48" s="6">
        <f>N('Worktype by FY'!E62)+$C48</f>
      </c>
      <c r="G48" s="6">
        <f>N('Worktype by FY'!F62)+$C48</f>
      </c>
      <c r="H48" s="6">
        <f>N('Worktype by FY'!G62)+$C48</f>
      </c>
    </row>
    <row r="49" outlineLevel="1">
      <c r="B49" s="0" t="inlineStr">
        <is>
          <t xml:space="preserve">Electrical power / distribution / generation</t>
        </is>
      </c>
      <c r="C49" s="12">
        <f>'Assumptions'!C85</f>
      </c>
      <c r="D49" s="6">
        <f>N('Worktype by FY'!C63)+$C49</f>
      </c>
      <c r="E49" s="6">
        <f>N('Worktype by FY'!D63)+$C49</f>
      </c>
      <c r="F49" s="6">
        <f>N('Worktype by FY'!E63)+$C49</f>
      </c>
      <c r="G49" s="6">
        <f>N('Worktype by FY'!F63)+$C49</f>
      </c>
      <c r="H49" s="6">
        <f>N('Worktype by FY'!G63)+$C49</f>
      </c>
    </row>
    <row r="50" outlineLevel="1">
      <c r="B50" s="0" t="inlineStr">
        <is>
          <t xml:space="preserve">HVAC / ventilation / chilled water</t>
        </is>
      </c>
      <c r="C50" s="12">
        <f>'Assumptions'!C86</f>
      </c>
      <c r="D50" s="6">
        <f>N('Worktype by FY'!C64)+$C50</f>
      </c>
      <c r="E50" s="6">
        <f>N('Worktype by FY'!D64)+$C50</f>
      </c>
      <c r="F50" s="6">
        <f>N('Worktype by FY'!E64)+$C50</f>
      </c>
      <c r="G50" s="6">
        <f>N('Worktype by FY'!F64)+$C50</f>
      </c>
      <c r="H50" s="6">
        <f>N('Worktype by FY'!G64)+$C50</f>
      </c>
    </row>
    <row r="51" outlineLevel="1">
      <c r="B51" s="0" t="inlineStr">
        <is>
          <t xml:space="preserve">Coatings / insulation / decking</t>
        </is>
      </c>
      <c r="C51" s="12">
        <f>'Assumptions'!C87</f>
      </c>
      <c r="D51" s="6">
        <f>N('Worktype by FY'!C65)+$C51</f>
      </c>
      <c r="E51" s="6">
        <f>N('Worktype by FY'!D65)+$C51</f>
      </c>
      <c r="F51" s="6">
        <f>N('Worktype by FY'!E65)+$C51</f>
      </c>
      <c r="G51" s="6">
        <f>N('Worktype by FY'!F65)+$C51</f>
      </c>
      <c r="H51" s="6">
        <f>N('Worktype by FY'!G65)+$C51</f>
      </c>
    </row>
    <row r="52" outlineLevel="1">
      <c r="B52" s="0" t="inlineStr">
        <is>
          <t xml:space="preserve">Unbucketed / ambiguous</t>
        </is>
      </c>
      <c r="D52" s="6">
        <f>1-SUM(D45:D51)</f>
      </c>
      <c r="E52" s="6">
        <f>1-SUM(E45:E51)</f>
      </c>
      <c r="F52" s="6">
        <f>1-SUM(F45:F51)</f>
      </c>
      <c r="G52" s="6">
        <f>1-SUM(G45:G51)</f>
      </c>
      <c r="H52" s="6">
        <f>1-SUM(H45:H51)</f>
      </c>
    </row>
    <row r="53">
      <c r="B53" s="3" t="inlineStr">
        <is>
          <t xml:space="preserve">Total modeled share</t>
        </is>
      </c>
      <c r="C53" s="16"/>
      <c r="D53" s="14">
        <f>SUM(D45:D52)</f>
      </c>
      <c r="E53" s="14">
        <f>SUM(E45:E52)</f>
      </c>
      <c r="F53" s="14">
        <f>SUM(F45:F52)</f>
      </c>
      <c r="G53" s="14">
        <f>SUM(G45:G52)</f>
      </c>
      <c r="H53" s="14">
        <f>SUM(H45:H52)</f>
      </c>
    </row>
    <row r="56">
      <c r="A56" s="0" t="inlineStr">
        <is>
          <t xml:space="preserve">x</t>
        </is>
      </c>
      <c r="B56" s="10" t="inlineStr">
        <is>
          <t xml:space="preserve">§3c - Excluded roles (full corpus - not supplier-addressable)</t>
        </is>
      </c>
      <c r="C56" s="10"/>
      <c r="D56" s="10"/>
      <c r="E56" s="10"/>
      <c r="F56" s="10"/>
      <c r="G56" s="10"/>
      <c r="H56" s="10"/>
    </row>
    <row r="58">
      <c r="B58" s="2" t="inlineStr">
        <is>
          <t xml:space="preserve">Role</t>
        </is>
      </c>
      <c r="C58" s="22" t="inlineStr">
        <is>
          <t xml:space="preserve">$M</t>
        </is>
      </c>
    </row>
    <row r="59" outlineLevel="1">
      <c r="B59" s="0" t="inlineStr">
        <is>
          <t xml:space="preserve">Mission systems (combat/electronics)</t>
        </is>
      </c>
      <c r="C59" s="11">
        <f>'Entity Master'!C951</f>
      </c>
    </row>
    <row r="60" outlineLevel="1">
      <c r="B60" s="0" t="inlineStr">
        <is>
          <t xml:space="preserve">Service / non-component / IT</t>
        </is>
      </c>
      <c r="C60" s="11">
        <f>'Entity Master'!C952</f>
      </c>
    </row>
    <row r="61" outlineLevel="1">
      <c r="B61" s="0" t="inlineStr">
        <is>
          <t xml:space="preserve">Holding / parent unknown</t>
        </is>
      </c>
      <c r="C61" s="11">
        <f>'Entity Master'!C953</f>
      </c>
    </row>
    <row r="62" outlineLevel="1">
      <c r="B62" s="0" t="inlineStr">
        <is>
          <t xml:space="preserve">Foreign / FMS</t>
        </is>
      </c>
      <c r="C62" s="11">
        <f>'Entity Master'!C954</f>
      </c>
    </row>
    <row r="63" outlineLevel="1">
      <c r="B63" s="0" t="inlineStr">
        <is>
          <t xml:space="preserve">Prime yard (final assembly)</t>
        </is>
      </c>
      <c r="C63" s="11">
        <f>'Entity Master'!C955</f>
      </c>
    </row>
    <row r="64" outlineLevel="1">
      <c r="B64" s="0" t="inlineStr">
        <is>
          <t xml:space="preserve">Co-prime yard</t>
        </is>
      </c>
      <c r="C64" s="11">
        <f>'Entity Master'!C956</f>
      </c>
    </row>
    <row r="65" outlineLevel="1">
      <c r="B65" s="0" t="inlineStr">
        <is>
          <t xml:space="preserve">GFE / SIB (Navy-directed, BlueForge)</t>
        </is>
      </c>
      <c r="C65" s="11">
        <f>'Entity Master'!C957</f>
      </c>
    </row>
    <row r="66">
      <c r="B66" s="3" t="inlineStr">
        <is>
          <t xml:space="preserve">Grand total (all recipients)</t>
        </is>
      </c>
      <c r="C66" s="18">
        <f>'Entity Master'!C958</f>
      </c>
    </row>
    <row r="69">
      <c r="A69" s="0" t="inlineStr">
        <is>
          <t xml:space="preserve">x</t>
        </is>
      </c>
      <c r="B69" s="9" t="inlineStr">
        <is>
          <t xml:space="preserve">§4 - TAM bucket allocation (annual class TAM x per-FY modeled share)</t>
        </is>
      </c>
      <c r="C69" s="9"/>
      <c r="D69" s="9"/>
      <c r="E69" s="9"/>
      <c r="F69" s="9"/>
      <c r="G69" s="9"/>
      <c r="H69" s="9"/>
    </row>
    <row r="71" outlineLevel="1">
      <c r="B71" s="1" t="inlineStr">
        <is>
          <t xml:space="preserve">Portfolio TAM (Va + Col, both streams, FY22-27)</t>
        </is>
      </c>
      <c r="C71" s="4">
        <f>'TAM Build'!C135+'TAM Build'!D135+'TAM Build'!E135+'TAM Build'!F135+'TAM Build'!G135+'TAM Build'!H135</f>
      </c>
    </row>
    <row r="73">
      <c r="A73" s="0" t="inlineStr">
        <is>
          <t xml:space="preserve">x</t>
        </is>
      </c>
      <c r="B73" s="10" t="inlineStr">
        <is>
          <t xml:space="preserve">§4a - Virginia bucket TAM</t>
        </is>
      </c>
      <c r="C73" s="10"/>
      <c r="D73" s="10"/>
      <c r="E73" s="10"/>
      <c r="F73" s="10"/>
      <c r="G73" s="10"/>
      <c r="H73" s="10"/>
    </row>
    <row r="75">
      <c r="B75" s="2" t="inlineStr">
        <is>
          <t xml:space="preserve">Bucket</t>
        </is>
      </c>
      <c r="C75" s="22" t="inlineStr">
        <is>
          <t xml:space="preserve">Bucket TAM $M</t>
        </is>
      </c>
    </row>
    <row r="76" outlineLevel="1">
      <c r="B76" s="0" t="inlineStr">
        <is>
          <t xml:space="preserve">Structural fabrication &amp; modules</t>
        </is>
      </c>
      <c r="C76" s="4">
        <f>N('TAM Build'!C116)*D31+N('TAM Build'!D116)*E31+N('TAM Build'!E116)*F31+N('TAM Build'!F116)*G31+(N('TAM Build'!G116)+N('TAM Build'!H116))*H31</f>
      </c>
    </row>
    <row r="77" outlineLevel="1">
      <c r="B77" s="0" t="inlineStr">
        <is>
          <t xml:space="preserve">Machining / mechanical / propulsion</t>
        </is>
      </c>
      <c r="C77" s="4">
        <f>N('TAM Build'!C116)*D32+N('TAM Build'!D116)*E32+N('TAM Build'!E116)*F32+N('TAM Build'!F116)*G32+(N('TAM Build'!G116)+N('TAM Build'!H116))*H32</f>
      </c>
    </row>
    <row r="78" outlineLevel="1">
      <c r="B78" s="0" t="inlineStr">
        <is>
          <t xml:space="preserve">Castings &amp; forgings</t>
        </is>
      </c>
      <c r="C78" s="4">
        <f>N('TAM Build'!C116)*D33+N('TAM Build'!D116)*E33+N('TAM Build'!E116)*F33+N('TAM Build'!F116)*G33+(N('TAM Build'!G116)+N('TAM Build'!H116))*H33</f>
      </c>
    </row>
    <row r="79" outlineLevel="1">
      <c r="B79" s="0" t="inlineStr">
        <is>
          <t xml:space="preserve">Piping / fluid handling</t>
        </is>
      </c>
      <c r="C79" s="4">
        <f>N('TAM Build'!C116)*D34+N('TAM Build'!D116)*E34+N('TAM Build'!E116)*F34+N('TAM Build'!F116)*G34+(N('TAM Build'!G116)+N('TAM Build'!H116))*H34</f>
      </c>
    </row>
    <row r="80" outlineLevel="1">
      <c r="B80" s="0" t="inlineStr">
        <is>
          <t xml:space="preserve">Electrical power / distribution / generation</t>
        </is>
      </c>
      <c r="C80" s="4">
        <f>N('TAM Build'!C116)*D35+N('TAM Build'!D116)*E35+N('TAM Build'!E116)*F35+N('TAM Build'!F116)*G35+(N('TAM Build'!G116)+N('TAM Build'!H116))*H35</f>
      </c>
    </row>
    <row r="81" outlineLevel="1">
      <c r="B81" s="0" t="inlineStr">
        <is>
          <t xml:space="preserve">HVAC / ventilation / chilled water</t>
        </is>
      </c>
      <c r="C81" s="4">
        <f>N('TAM Build'!C116)*D36+N('TAM Build'!D116)*E36+N('TAM Build'!E116)*F36+N('TAM Build'!F116)*G36+(N('TAM Build'!G116)+N('TAM Build'!H116))*H36</f>
      </c>
    </row>
    <row r="82" outlineLevel="1">
      <c r="B82" s="0" t="inlineStr">
        <is>
          <t xml:space="preserve">Coatings / insulation / decking</t>
        </is>
      </c>
      <c r="C82" s="4">
        <f>N('TAM Build'!C116)*D37+N('TAM Build'!D116)*E37+N('TAM Build'!E116)*F37+N('TAM Build'!F116)*G37+(N('TAM Build'!G116)+N('TAM Build'!H116))*H37</f>
      </c>
    </row>
    <row r="83" outlineLevel="1">
      <c r="B83" s="0" t="inlineStr">
        <is>
          <t xml:space="preserve">Unbucketed / ambiguous</t>
        </is>
      </c>
      <c r="C83" s="4">
        <f>N('TAM Build'!C116)*D38+N('TAM Build'!D116)*E38+N('TAM Build'!E116)*F38+N('TAM Build'!F116)*G38+(N('TAM Build'!G116)+N('TAM Build'!H116))*H38</f>
      </c>
    </row>
    <row r="84">
      <c r="B84" s="3" t="inlineStr">
        <is>
          <t xml:space="preserve">Virginia TAM (all buckets)</t>
        </is>
      </c>
      <c r="C84" s="13">
        <f>SUM(C76:C83)</f>
      </c>
    </row>
    <row r="86">
      <c r="A86" s="0" t="inlineStr">
        <is>
          <t xml:space="preserve">x</t>
        </is>
      </c>
      <c r="B86" s="10" t="inlineStr">
        <is>
          <t xml:space="preserve">§4b - Columbia bucket TAM</t>
        </is>
      </c>
      <c r="C86" s="10"/>
      <c r="D86" s="10"/>
      <c r="E86" s="10"/>
      <c r="F86" s="10"/>
      <c r="G86" s="10"/>
      <c r="H86" s="10"/>
    </row>
    <row r="88">
      <c r="B88" s="2" t="inlineStr">
        <is>
          <t xml:space="preserve">Bucket</t>
        </is>
      </c>
      <c r="C88" s="22" t="inlineStr">
        <is>
          <t xml:space="preserve">Bucket TAM $M</t>
        </is>
      </c>
    </row>
    <row r="89" outlineLevel="1">
      <c r="B89" s="0" t="inlineStr">
        <is>
          <t xml:space="preserve">Structural fabrication &amp; modules</t>
        </is>
      </c>
      <c r="C89" s="4">
        <f>N('TAM Build'!C127)*D45+N('TAM Build'!D127)*E45+N('TAM Build'!E127)*F45+N('TAM Build'!F127)*G45+(N('TAM Build'!G127)+N('TAM Build'!H127))*H45</f>
      </c>
    </row>
    <row r="90" outlineLevel="1">
      <c r="B90" s="0" t="inlineStr">
        <is>
          <t xml:space="preserve">Machining / mechanical / propulsion</t>
        </is>
      </c>
      <c r="C90" s="4">
        <f>N('TAM Build'!C127)*D46+N('TAM Build'!D127)*E46+N('TAM Build'!E127)*F46+N('TAM Build'!F127)*G46+(N('TAM Build'!G127)+N('TAM Build'!H127))*H46</f>
      </c>
    </row>
    <row r="91" outlineLevel="1">
      <c r="B91" s="0" t="inlineStr">
        <is>
          <t xml:space="preserve">Castings &amp; forgings</t>
        </is>
      </c>
      <c r="C91" s="4">
        <f>N('TAM Build'!C127)*D47+N('TAM Build'!D127)*E47+N('TAM Build'!E127)*F47+N('TAM Build'!F127)*G47+(N('TAM Build'!G127)+N('TAM Build'!H127))*H47</f>
      </c>
    </row>
    <row r="92" outlineLevel="1">
      <c r="B92" s="0" t="inlineStr">
        <is>
          <t xml:space="preserve">Piping / fluid handling</t>
        </is>
      </c>
      <c r="C92" s="4">
        <f>N('TAM Build'!C127)*D48+N('TAM Build'!D127)*E48+N('TAM Build'!E127)*F48+N('TAM Build'!F127)*G48+(N('TAM Build'!G127)+N('TAM Build'!H127))*H48</f>
      </c>
    </row>
    <row r="93" outlineLevel="1">
      <c r="B93" s="0" t="inlineStr">
        <is>
          <t xml:space="preserve">Electrical power / distribution / generation</t>
        </is>
      </c>
      <c r="C93" s="4">
        <f>N('TAM Build'!C127)*D49+N('TAM Build'!D127)*E49+N('TAM Build'!E127)*F49+N('TAM Build'!F127)*G49+(N('TAM Build'!G127)+N('TAM Build'!H127))*H49</f>
      </c>
    </row>
    <row r="94" outlineLevel="1">
      <c r="B94" s="0" t="inlineStr">
        <is>
          <t xml:space="preserve">HVAC / ventilation / chilled water</t>
        </is>
      </c>
      <c r="C94" s="4">
        <f>N('TAM Build'!C127)*D50+N('TAM Build'!D127)*E50+N('TAM Build'!E127)*F50+N('TAM Build'!F127)*G50+(N('TAM Build'!G127)+N('TAM Build'!H127))*H50</f>
      </c>
    </row>
    <row r="95" outlineLevel="1">
      <c r="B95" s="0" t="inlineStr">
        <is>
          <t xml:space="preserve">Coatings / insulation / decking</t>
        </is>
      </c>
      <c r="C95" s="4">
        <f>N('TAM Build'!C127)*D51+N('TAM Build'!D127)*E51+N('TAM Build'!E127)*F51+N('TAM Build'!F127)*G51+(N('TAM Build'!G127)+N('TAM Build'!H127))*H51</f>
      </c>
    </row>
    <row r="96" outlineLevel="1">
      <c r="B96" s="0" t="inlineStr">
        <is>
          <t xml:space="preserve">Unbucketed / ambiguous</t>
        </is>
      </c>
      <c r="C96" s="4">
        <f>N('TAM Build'!C127)*D52+N('TAM Build'!D127)*E52+N('TAM Build'!E127)*F52+N('TAM Build'!F127)*G52+(N('TAM Build'!G127)+N('TAM Build'!H127))*H52</f>
      </c>
    </row>
    <row r="97">
      <c r="B97" s="3" t="inlineStr">
        <is>
          <t xml:space="preserve">Columbia TAM (all buckets)</t>
        </is>
      </c>
      <c r="C97" s="13">
        <f>SUM(C89:C96)</f>
      </c>
    </row>
    <row r="99">
      <c r="A99" s="0" t="inlineStr">
        <is>
          <t xml:space="preserve">x</t>
        </is>
      </c>
      <c r="B99" s="10" t="inlineStr">
        <is>
          <t xml:space="preserve">§4c - Combined bucket TAM (Virginia + Columbia)</t>
        </is>
      </c>
      <c r="C99" s="10"/>
      <c r="D99" s="10"/>
      <c r="E99" s="10"/>
      <c r="F99" s="10"/>
      <c r="G99" s="10"/>
      <c r="H99" s="10"/>
    </row>
    <row r="101">
      <c r="B101" s="2" t="inlineStr">
        <is>
          <t xml:space="preserve">Bucket</t>
        </is>
      </c>
      <c r="C101" s="22" t="inlineStr">
        <is>
          <t xml:space="preserve">Bucket TAM $M</t>
        </is>
      </c>
      <c r="D101" s="22" t="inlineStr">
        <is>
          <t xml:space="preserve">Effective share</t>
        </is>
      </c>
    </row>
    <row r="102" outlineLevel="1">
      <c r="B102" s="0" t="inlineStr">
        <is>
          <t xml:space="preserve">Structural fabrication &amp; modules</t>
        </is>
      </c>
      <c r="C102" s="4">
        <f>C76+C89</f>
      </c>
      <c r="D102" s="6">
        <f>C102/$C$71</f>
      </c>
    </row>
    <row r="103" outlineLevel="1">
      <c r="B103" s="0" t="inlineStr">
        <is>
          <t xml:space="preserve">Machining / mechanical / propulsion</t>
        </is>
      </c>
      <c r="C103" s="4">
        <f>C77+C90</f>
      </c>
      <c r="D103" s="6">
        <f>C103/$C$71</f>
      </c>
    </row>
    <row r="104" outlineLevel="1">
      <c r="B104" s="0" t="inlineStr">
        <is>
          <t xml:space="preserve">Castings &amp; forgings</t>
        </is>
      </c>
      <c r="C104" s="4">
        <f>C78+C91</f>
      </c>
      <c r="D104" s="6">
        <f>C104/$C$71</f>
      </c>
    </row>
    <row r="105" outlineLevel="1">
      <c r="B105" s="0" t="inlineStr">
        <is>
          <t xml:space="preserve">Piping / fluid handling</t>
        </is>
      </c>
      <c r="C105" s="4">
        <f>C79+C92</f>
      </c>
      <c r="D105" s="6">
        <f>C105/$C$71</f>
      </c>
    </row>
    <row r="106" outlineLevel="1">
      <c r="B106" s="0" t="inlineStr">
        <is>
          <t xml:space="preserve">Electrical power / distribution / generation</t>
        </is>
      </c>
      <c r="C106" s="4">
        <f>C80+C93</f>
      </c>
      <c r="D106" s="6">
        <f>C106/$C$71</f>
      </c>
    </row>
    <row r="107" outlineLevel="1">
      <c r="B107" s="0" t="inlineStr">
        <is>
          <t xml:space="preserve">HVAC / ventilation / chilled water</t>
        </is>
      </c>
      <c r="C107" s="4">
        <f>C81+C94</f>
      </c>
      <c r="D107" s="6">
        <f>C107/$C$71</f>
      </c>
    </row>
    <row r="108" outlineLevel="1">
      <c r="B108" s="0" t="inlineStr">
        <is>
          <t xml:space="preserve">Coatings / insulation / decking</t>
        </is>
      </c>
      <c r="C108" s="4">
        <f>C82+C95</f>
      </c>
      <c r="D108" s="6">
        <f>C108/$C$71</f>
      </c>
    </row>
    <row r="109" outlineLevel="1">
      <c r="B109" s="0" t="inlineStr">
        <is>
          <t xml:space="preserve">Unbucketed / ambiguous (not in scenario SAM)</t>
        </is>
      </c>
      <c r="C109" s="4">
        <f>C83+C96</f>
      </c>
      <c r="D109" s="6">
        <f>C109/$C$71</f>
      </c>
    </row>
    <row r="110">
      <c r="B110" s="3" t="inlineStr">
        <is>
          <t xml:space="preserve">Total (7 buckets + unbucketed = TAM)</t>
        </is>
      </c>
      <c r="C110" s="13">
        <f>SUM(C102:C109)</f>
      </c>
      <c r="D110" s="16"/>
    </row>
    <row r="113">
      <c r="A113" s="0" t="inlineStr">
        <is>
          <t xml:space="preserve">x</t>
        </is>
      </c>
      <c r="B113" s="9" t="inlineStr">
        <is>
          <t xml:space="preserve">§5 - Scenario SAM</t>
        </is>
      </c>
      <c r="C113" s="9"/>
      <c r="D113" s="9"/>
      <c r="E113" s="9"/>
      <c r="F113" s="9"/>
      <c r="G113" s="9"/>
      <c r="H113" s="9"/>
    </row>
    <row r="115">
      <c r="B115" s="2" t="inlineStr">
        <is>
          <t xml:space="preserve">Scenario</t>
        </is>
      </c>
      <c r="C115" s="22" t="inlineStr">
        <is>
          <t xml:space="preserve">Avg annual $M</t>
        </is>
      </c>
      <c r="D115" s="22" t="inlineStr">
        <is>
          <t xml:space="preserve">Cumulative SAM $M</t>
        </is>
      </c>
      <c r="E115" s="22" t="inlineStr">
        <is>
          <t xml:space="preserve">% of TAM</t>
        </is>
      </c>
    </row>
    <row r="116" outlineLevel="1">
      <c r="B116" s="0" t="inlineStr">
        <is>
          <t xml:space="preserve">Metal components</t>
        </is>
      </c>
      <c r="C116" s="4">
        <f>D116/'TAM Build'!C142</f>
      </c>
      <c r="D116" s="4">
        <f>SUMPRODUCT('SAM Build'!C102:C108,'Assumptions'!C69:C75)</f>
      </c>
      <c r="E116" s="6">
        <f>D116/$C$71</f>
      </c>
    </row>
    <row r="117" outlineLevel="1">
      <c r="B117" s="0" t="inlineStr">
        <is>
          <t xml:space="preserve">HM&amp;E components</t>
        </is>
      </c>
      <c r="C117" s="4">
        <f>D117/'TAM Build'!C142</f>
      </c>
      <c r="D117" s="4">
        <f>SUMPRODUCT('SAM Build'!C102:C108,'Assumptions'!D69:D75)</f>
      </c>
      <c r="E117" s="6">
        <f>D117/$C$71</f>
      </c>
    </row>
    <row r="118" outlineLevel="1">
      <c r="B118" s="0" t="inlineStr">
        <is>
          <t xml:space="preserve">Electrical / power</t>
        </is>
      </c>
      <c r="C118" s="4">
        <f>D118/'TAM Build'!C142</f>
      </c>
      <c r="D118" s="4">
        <f>SUMPRODUCT('SAM Build'!C102:C108,'Assumptions'!E69:E75)</f>
      </c>
      <c r="E118" s="6">
        <f>D118/$C$71</f>
      </c>
    </row>
    <row r="119" outlineLevel="1">
      <c r="B119" s="0" t="inlineStr">
        <is>
          <t xml:space="preserve">Modular assemblies</t>
        </is>
      </c>
      <c r="C119" s="4">
        <f>D119/'TAM Build'!C142</f>
      </c>
      <c r="D119" s="4">
        <f>N(C84)*N('Worktype by FY'!C74)+N(C97)*N('Worktype by FY'!C76)</f>
      </c>
      <c r="E119" s="6">
        <f>D119/$C$71</f>
      </c>
    </row>
    <row r="120" outlineLevel="1">
      <c r="B120" s="0" t="inlineStr">
        <is>
          <t xml:space="preserve">Broad component mfg</t>
        </is>
      </c>
      <c r="C120" s="4">
        <f>D120/'TAM Build'!C142</f>
      </c>
      <c r="D120" s="4">
        <f>SUMPRODUCT('SAM Build'!C102:C108,'Assumptions'!G69:G75)</f>
      </c>
      <c r="E120" s="6">
        <f>D120/$C$71</f>
      </c>
    </row>
    <row r="123">
      <c r="A123" s="0" t="inlineStr">
        <is>
          <t xml:space="preserve">x</t>
        </is>
      </c>
      <c r="B123" s="9" t="inlineStr">
        <is>
          <t xml:space="preserve">§6 - Selected scenario</t>
        </is>
      </c>
      <c r="C123" s="9"/>
      <c r="D123" s="9"/>
      <c r="E123" s="9"/>
      <c r="F123" s="9"/>
      <c r="G123" s="9"/>
      <c r="H123" s="9"/>
    </row>
    <row r="125">
      <c r="B125" s="2" t="inlineStr">
        <is>
          <t xml:space="preserve">Selected scenario</t>
        </is>
      </c>
      <c r="C125" s="22" t="inlineStr">
        <is>
          <t xml:space="preserve">Avg annual $M</t>
        </is>
      </c>
      <c r="D125" s="22" t="inlineStr">
        <is>
          <t xml:space="preserve">Cumulative SAM $M</t>
        </is>
      </c>
      <c r="E125" s="22" t="inlineStr">
        <is>
          <t xml:space="preserve">% of TAM</t>
        </is>
      </c>
    </row>
    <row r="126" outlineLevel="1">
      <c r="B126" s="0">
        <f>'Assumptions'!C11</f>
      </c>
      <c r="C126" s="4">
        <f>INDEX(C116:C120,MATCH('Assumptions'!C11,B116:B120,0))</f>
      </c>
      <c r="D126" s="4">
        <f>INDEX(D116:D120,MATCH('Assumptions'!C11,B116:B120,0))</f>
      </c>
      <c r="E126" s="6">
        <f>INDEX(E116:E120,MATCH('Assumptions'!C11,B116:B120,0))</f>
      </c>
    </row>
    <row r="129">
      <c r="A129" s="0" t="inlineStr">
        <is>
          <t xml:space="preserve">x</t>
        </is>
      </c>
      <c r="B129" s="9" t="inlineStr">
        <is>
          <t xml:space="preserve">§7 - Annual SAM by fiscal year</t>
        </is>
      </c>
      <c r="C129" s="9"/>
      <c r="D129" s="9"/>
      <c r="E129" s="9"/>
      <c r="F129" s="9"/>
      <c r="G129" s="9"/>
      <c r="H129" s="9"/>
    </row>
    <row r="131">
      <c r="B131" s="2" t="inlineStr">
        <is>
          <t xml:space="preserve">Fiscal year</t>
        </is>
      </c>
      <c r="C131" s="22" t="inlineStr">
        <is>
          <t xml:space="preserve">Annual TAM $M</t>
        </is>
      </c>
      <c r="D131" s="22" t="inlineStr">
        <is>
          <t xml:space="preserve">Metal</t>
        </is>
      </c>
      <c r="E131" s="22" t="inlineStr">
        <is>
          <t xml:space="preserve">HM&amp;E</t>
        </is>
      </c>
      <c r="F131" s="22" t="inlineStr">
        <is>
          <t xml:space="preserve">Electrical</t>
        </is>
      </c>
      <c r="G131" s="22" t="inlineStr">
        <is>
          <t xml:space="preserve">Modular</t>
        </is>
      </c>
      <c r="H131" s="22" t="inlineStr">
        <is>
          <t xml:space="preserve">Broad</t>
        </is>
      </c>
    </row>
    <row r="132" outlineLevel="1">
      <c r="B132" s="0" t="inlineStr">
        <is>
          <t xml:space="preserve">FY2022</t>
        </is>
      </c>
      <c r="C132" s="11">
        <f>'TAM Build'!C135</f>
      </c>
      <c r="D132" s="4">
        <f>N('TAM Build'!C116)*SUMPRODUCT(D31:D37,'Assumptions'!C69:C75)+N('TAM Build'!C127)*SUMPRODUCT(D45:D51,'Assumptions'!C69:C75)</f>
      </c>
      <c r="E132" s="4">
        <f>N('TAM Build'!C116)*SUMPRODUCT(D31:D37,'Assumptions'!D69:D75)+N('TAM Build'!C127)*SUMPRODUCT(D45:D51,'Assumptions'!D69:D75)</f>
      </c>
      <c r="F132" s="4">
        <f>N('TAM Build'!C116)*SUMPRODUCT(D31:D37,'Assumptions'!E69:E75)+N('TAM Build'!C127)*SUMPRODUCT(D45:D51,'Assumptions'!E69:E75)</f>
      </c>
      <c r="G132" s="4">
        <f>N('TAM Build'!C116)*N('Worktype by FY'!C74)+N('TAM Build'!C127)*N('Worktype by FY'!C76)</f>
      </c>
      <c r="H132" s="4">
        <f>N('TAM Build'!C116)*SUMPRODUCT(D31:D37,'Assumptions'!G69:G75)+N('TAM Build'!C127)*SUMPRODUCT(D45:D51,'Assumptions'!G69:G75)</f>
      </c>
    </row>
    <row r="133" outlineLevel="1">
      <c r="B133" s="0" t="inlineStr">
        <is>
          <t xml:space="preserve">FY2023</t>
        </is>
      </c>
      <c r="C133" s="11">
        <f>'TAM Build'!D135</f>
      </c>
      <c r="D133" s="4">
        <f>N('TAM Build'!D116)*SUMPRODUCT(E31:E37,'Assumptions'!C69:C75)+N('TAM Build'!D127)*SUMPRODUCT(E45:E51,'Assumptions'!C69:C75)</f>
      </c>
      <c r="E133" s="4">
        <f>N('TAM Build'!D116)*SUMPRODUCT(E31:E37,'Assumptions'!D69:D75)+N('TAM Build'!D127)*SUMPRODUCT(E45:E51,'Assumptions'!D69:D75)</f>
      </c>
      <c r="F133" s="4">
        <f>N('TAM Build'!D116)*SUMPRODUCT(E31:E37,'Assumptions'!E69:E75)+N('TAM Build'!D127)*SUMPRODUCT(E45:E51,'Assumptions'!E69:E75)</f>
      </c>
      <c r="G133" s="4">
        <f>N('TAM Build'!D116)*N('Worktype by FY'!C74)+N('TAM Build'!D127)*N('Worktype by FY'!C76)</f>
      </c>
      <c r="H133" s="4">
        <f>N('TAM Build'!D116)*SUMPRODUCT(E31:E37,'Assumptions'!G69:G75)+N('TAM Build'!D127)*SUMPRODUCT(E45:E51,'Assumptions'!G69:G75)</f>
      </c>
    </row>
    <row r="134" outlineLevel="1">
      <c r="B134" s="0" t="inlineStr">
        <is>
          <t xml:space="preserve">FY2024</t>
        </is>
      </c>
      <c r="C134" s="11">
        <f>'TAM Build'!E135</f>
      </c>
      <c r="D134" s="4">
        <f>N('TAM Build'!E116)*SUMPRODUCT(F31:F37,'Assumptions'!C69:C75)+N('TAM Build'!E127)*SUMPRODUCT(F45:F51,'Assumptions'!C69:C75)</f>
      </c>
      <c r="E134" s="4">
        <f>N('TAM Build'!E116)*SUMPRODUCT(F31:F37,'Assumptions'!D69:D75)+N('TAM Build'!E127)*SUMPRODUCT(F45:F51,'Assumptions'!D69:D75)</f>
      </c>
      <c r="F134" s="4">
        <f>N('TAM Build'!E116)*SUMPRODUCT(F31:F37,'Assumptions'!E69:E75)+N('TAM Build'!E127)*SUMPRODUCT(F45:F51,'Assumptions'!E69:E75)</f>
      </c>
      <c r="G134" s="4">
        <f>N('TAM Build'!E116)*N('Worktype by FY'!C74)+N('TAM Build'!E127)*N('Worktype by FY'!C76)</f>
      </c>
      <c r="H134" s="4">
        <f>N('TAM Build'!E116)*SUMPRODUCT(F31:F37,'Assumptions'!G69:G75)+N('TAM Build'!E127)*SUMPRODUCT(F45:F51,'Assumptions'!G69:G75)</f>
      </c>
    </row>
    <row r="135" outlineLevel="1">
      <c r="B135" s="0" t="inlineStr">
        <is>
          <t xml:space="preserve">FY2025</t>
        </is>
      </c>
      <c r="C135" s="11">
        <f>'TAM Build'!F135</f>
      </c>
      <c r="D135" s="4">
        <f>N('TAM Build'!F116)*SUMPRODUCT(G31:G37,'Assumptions'!C69:C75)+N('TAM Build'!F127)*SUMPRODUCT(G45:G51,'Assumptions'!C69:C75)</f>
      </c>
      <c r="E135" s="4">
        <f>N('TAM Build'!F116)*SUMPRODUCT(G31:G37,'Assumptions'!D69:D75)+N('TAM Build'!F127)*SUMPRODUCT(G45:G51,'Assumptions'!D69:D75)</f>
      </c>
      <c r="F135" s="4">
        <f>N('TAM Build'!F116)*SUMPRODUCT(G31:G37,'Assumptions'!E69:E75)+N('TAM Build'!F127)*SUMPRODUCT(G45:G51,'Assumptions'!E69:E75)</f>
      </c>
      <c r="G135" s="4">
        <f>N('TAM Build'!F116)*N('Worktype by FY'!C74)+N('TAM Build'!F127)*N('Worktype by FY'!C76)</f>
      </c>
      <c r="H135" s="4">
        <f>N('TAM Build'!F116)*SUMPRODUCT(G31:G37,'Assumptions'!G69:G75)+N('TAM Build'!F127)*SUMPRODUCT(G45:G51,'Assumptions'!G69:G75)</f>
      </c>
    </row>
    <row r="136" outlineLevel="1">
      <c r="B136" s="0" t="inlineStr">
        <is>
          <t xml:space="preserve">FY2026</t>
        </is>
      </c>
      <c r="C136" s="11">
        <f>'TAM Build'!G135</f>
      </c>
      <c r="D136" s="4">
        <f>N('TAM Build'!G116)*SUMPRODUCT(H31:H37,'Assumptions'!C69:C75)+N('TAM Build'!G127)*SUMPRODUCT(H45:H51,'Assumptions'!C69:C75)</f>
      </c>
      <c r="E136" s="4">
        <f>N('TAM Build'!G116)*SUMPRODUCT(H31:H37,'Assumptions'!D69:D75)+N('TAM Build'!G127)*SUMPRODUCT(H45:H51,'Assumptions'!D69:D75)</f>
      </c>
      <c r="F136" s="4">
        <f>N('TAM Build'!G116)*SUMPRODUCT(H31:H37,'Assumptions'!E69:E75)+N('TAM Build'!G127)*SUMPRODUCT(H45:H51,'Assumptions'!E69:E75)</f>
      </c>
      <c r="G136" s="4">
        <f>N('TAM Build'!G116)*N('Worktype by FY'!C74)+N('TAM Build'!G127)*N('Worktype by FY'!C76)</f>
      </c>
      <c r="H136" s="4">
        <f>N('TAM Build'!G116)*SUMPRODUCT(H31:H37,'Assumptions'!G69:G75)+N('TAM Build'!G127)*SUMPRODUCT(H45:H51,'Assumptions'!G69:G75)</f>
      </c>
    </row>
    <row r="137" outlineLevel="1">
      <c r="B137" s="0" t="inlineStr">
        <is>
          <t xml:space="preserve">FY2027</t>
        </is>
      </c>
      <c r="C137" s="11">
        <f>'TAM Build'!H135</f>
      </c>
      <c r="D137" s="4">
        <f>N('TAM Build'!H116)*SUMPRODUCT(H31:H37,'Assumptions'!C69:C75)+N('TAM Build'!H127)*SUMPRODUCT(H45:H51,'Assumptions'!C69:C75)</f>
      </c>
      <c r="E137" s="4">
        <f>N('TAM Build'!H116)*SUMPRODUCT(H31:H37,'Assumptions'!D69:D75)+N('TAM Build'!H127)*SUMPRODUCT(H45:H51,'Assumptions'!D69:D75)</f>
      </c>
      <c r="F137" s="4">
        <f>N('TAM Build'!H116)*SUMPRODUCT(H31:H37,'Assumptions'!E69:E75)+N('TAM Build'!H127)*SUMPRODUCT(H45:H51,'Assumptions'!E69:E75)</f>
      </c>
      <c r="G137" s="4">
        <f>N('TAM Build'!H116)*N('Worktype by FY'!C74)+N('TAM Build'!H127)*N('Worktype by FY'!C76)</f>
      </c>
      <c r="H137" s="4">
        <f>N('TAM Build'!H116)*SUMPRODUCT(H31:H37,'Assumptions'!G69:G75)+N('TAM Build'!H127)*SUMPRODUCT(H45:H51,'Assumptions'!G69:G75)</f>
      </c>
    </row>
    <row r="140">
      <c r="A140" s="0" t="inlineStr">
        <is>
          <t xml:space="preserve">x</t>
        </is>
      </c>
      <c r="B140" s="9" t="inlineStr">
        <is>
          <t xml:space="preserve">§8 - SAM checks</t>
        </is>
      </c>
      <c r="C140" s="9"/>
      <c r="D140" s="9"/>
      <c r="E140" s="9"/>
      <c r="F140" s="9"/>
      <c r="G140" s="9"/>
      <c r="H140" s="9"/>
    </row>
    <row r="142">
      <c r="B142" s="2" t="inlineStr">
        <is>
          <t xml:space="preserve">Check</t>
        </is>
      </c>
      <c r="C142" s="2" t="inlineStr">
        <is>
          <t xml:space="preserve">Status</t>
        </is>
      </c>
    </row>
    <row r="143" outlineLevel="1">
      <c r="B143" s="0" t="inlineStr">
        <is>
          <t xml:space="preserve">Virginia modeled shares sum to 100% (all FY columns)</t>
        </is>
      </c>
      <c r="C143" s="0">
        <f>IF(AND(ABS(D39-1)&lt;0.001,ABS(E39-1)&lt;0.001,ABS(F39-1)&lt;0.001,ABS(G39-1)&lt;0.001,ABS(H39-1)&lt;0.001),"OK","FAIL")</f>
      </c>
    </row>
    <row r="144" outlineLevel="1">
      <c r="B144" s="0" t="inlineStr">
        <is>
          <t xml:space="preserve">Columbia modeled shares sum to 100% (all FY columns)</t>
        </is>
      </c>
      <c r="C144" s="0">
        <f>IF(AND(ABS(D53-1)&lt;0.001,ABS(E53-1)&lt;0.001,ABS(F53-1)&lt;0.001,ABS(G53-1)&lt;0.001,ABS(H53-1)&lt;0.001),"OK","FAIL")</f>
      </c>
    </row>
    <row r="145" outlineLevel="1">
      <c r="B145" s="0" t="inlineStr">
        <is>
          <t xml:space="preserve">Bucketed TAM = portfolio TAM</t>
        </is>
      </c>
      <c r="C145" s="0">
        <f>IF(ABS('SAM Build'!C110-'SAM Build'!C71)&lt;0.5,"OK","FAIL")</f>
      </c>
    </row>
    <row r="146" outlineLevel="1">
      <c r="B146" s="0" t="inlineStr">
        <is>
          <t xml:space="preserve">Broad SAM = TAM - unbucketed</t>
        </is>
      </c>
      <c r="C146" s="0">
        <f>IF(ABS('SAM Build'!D120-('SAM Build'!C71-'SAM Build'!C109))&lt;0.5,"OK","FAIL")</f>
      </c>
    </row>
    <row r="147" outlineLevel="1">
      <c r="B147" s="0" t="inlineStr">
        <is>
          <t xml:space="preserve">Broad SAM &lt;= TAM</t>
        </is>
      </c>
      <c r="C147" s="0">
        <f>IF('SAM Build'!D120&lt;='SAM Build'!C71+0.5,"OK","FAIL")</f>
      </c>
    </row>
    <row r="148" outlineLevel="1">
      <c r="B148" s="0" t="inlineStr">
        <is>
          <t xml:space="preserve">Annual broad SAM sums to cumulative</t>
        </is>
      </c>
      <c r="C148" s="0">
        <f>IF(ABS(SUM(H132:H137)-'SAM Build'!D120)&lt;0.5,"OK","FAIL")</f>
      </c>
    </row>
  </sheetData>
</worksheet>
</file>

<file path=xl/worksheets/sheet6.xml><?xml version="1.0" encoding="utf-8"?>
<worksheet xmlns="http://schemas.openxmlformats.org/spreadsheetml/2006/main" xmlns:r="http://schemas.openxmlformats.org/officeDocument/2006/relationships">
  <sheetPr>
    <tabColor rgb="FF34406B"/>
    <outlinePr summaryBelow="0"/>
  </sheetPr>
  <sheetViews>
    <sheetView showGridLines="0" workbookViewId="0" showOutlineSymbols="0"/>
  </sheetViews>
  <sheetFormatPr defaultRowHeight="10" customHeight="1"/>
  <cols>
    <col min="1" max="1" width="2.2109375" customWidth="1"/>
    <col min="2" max="2" width="46" customWidth="1"/>
    <col min="3" max="3" width="13" customWidth="1"/>
    <col min="4" max="4" width="13" customWidth="1"/>
    <col min="5" max="5" width="13" customWidth="1"/>
    <col min="6" max="6" width="13" customWidth="1"/>
    <col min="7" max="7" width="13" customWidth="1"/>
    <col min="8" max="8" width="13" customWidth="1"/>
  </cols>
  <sheetData>
    <row r="1"/>
    <row r="2">
      <c r="B2" s="8" t="inlineStr">
        <is>
          <t xml:space="preserve">Outlook</t>
        </is>
      </c>
      <c r="C2" s="8"/>
      <c r="D2" s="8"/>
      <c r="E2" s="8"/>
      <c r="F2" s="8"/>
      <c r="G2" s="8"/>
      <c r="H2" s="8"/>
    </row>
    <row r="4">
      <c r="B4" s="9" t="inlineStr">
        <is>
          <t xml:space="preserve">§1 - Penetration &amp; outyear outlook</t>
        </is>
      </c>
      <c r="C4" s="9"/>
      <c r="D4" s="9"/>
      <c r="E4" s="9"/>
      <c r="F4" s="9"/>
      <c r="G4" s="9"/>
      <c r="H4" s="9"/>
    </row>
    <row r="6">
      <c r="B6" s="2" t="inlineStr">
        <is>
          <t xml:space="preserve">Measure</t>
        </is>
      </c>
      <c r="C6" s="22" t="inlineStr">
        <is>
          <t xml:space="preserve">Value</t>
        </is>
      </c>
    </row>
    <row r="7">
      <c r="B7" s="1" t="inlineStr">
        <is>
          <t xml:space="preserve">Virginia outsourced penetration, FY22-25 (outyear low)</t>
        </is>
      </c>
      <c r="C7" s="6">
        <f>C33</f>
      </c>
    </row>
    <row r="8">
      <c r="B8" s="1" t="inlineStr">
        <is>
          <t xml:space="preserve">Columbia outsourced penetration, FY22-25 (outyear low)</t>
        </is>
      </c>
      <c r="C8" s="6">
        <f>C34</f>
      </c>
    </row>
    <row r="9">
      <c r="B9" s="0" t="inlineStr">
        <is>
          <t xml:space="preserve">Implied outyear Outsourced BC, low $M/yr</t>
        </is>
      </c>
      <c r="C9" s="4">
        <f>C60</f>
      </c>
    </row>
    <row r="10">
      <c r="B10" s="0" t="inlineStr">
        <is>
          <t xml:space="preserve">Implied outyear Outsourced BC, high $M/yr</t>
        </is>
      </c>
      <c r="C10" s="4">
        <f>C61</f>
      </c>
    </row>
    <row r="11">
      <c r="B11" s="0" t="inlineStr">
        <is>
          <t xml:space="preserve">FY22-25 average annual TAM $M/yr</t>
        </is>
      </c>
      <c r="C11" s="4">
        <f>C69</f>
      </c>
    </row>
    <row r="14">
      <c r="A14" s="0" t="inlineStr">
        <is>
          <t xml:space="preserve">x</t>
        </is>
      </c>
      <c r="B14" s="9" t="inlineStr">
        <is>
          <t xml:space="preserve">§2 - Outsourced BC penetration by FY (constant FY2026 $, per class)</t>
        </is>
      </c>
      <c r="C14" s="9"/>
      <c r="D14" s="9"/>
      <c r="E14" s="9"/>
      <c r="F14" s="9"/>
      <c r="G14" s="9"/>
      <c r="H14" s="9"/>
    </row>
    <row r="16">
      <c r="B16" s="2" t="inlineStr">
        <is>
          <t xml:space="preserve">Metric</t>
        </is>
      </c>
      <c r="C16" s="22">
        <v>2022</v>
      </c>
      <c r="D16" s="22">
        <v>2023</v>
      </c>
      <c r="E16" s="22">
        <v>2024</v>
      </c>
      <c r="F16" s="22">
        <v>2025</v>
      </c>
      <c r="G16" s="22">
        <v>2026</v>
      </c>
      <c r="H16" s="22">
        <v>2027</v>
      </c>
    </row>
    <row r="17" outlineLevel="1">
      <c r="B17" s="0" t="inlineStr">
        <is>
          <t xml:space="preserve">Virginia Outsourced BC TAM incl. OBBBA stream ($M)</t>
        </is>
      </c>
      <c r="C17" s="11">
        <f>N('TAM Build'!C116)</f>
      </c>
      <c r="D17" s="11">
        <f>N('TAM Build'!D116)</f>
      </c>
      <c r="E17" s="11">
        <f>N('TAM Build'!E116)</f>
      </c>
      <c r="F17" s="11">
        <f>N('TAM Build'!F116)</f>
      </c>
      <c r="G17" s="11">
        <f>N('TAM Build'!G116)</f>
      </c>
      <c r="H17" s="11">
        <f>N('TAM Build'!H116)</f>
      </c>
    </row>
    <row r="18" outlineLevel="1">
      <c r="B18" s="0" t="inlineStr">
        <is>
          <t xml:space="preserve">Columbia Outsourced BC TAM ($M)</t>
        </is>
      </c>
      <c r="C18" s="11">
        <f>N('TAM Build'!C127)</f>
      </c>
      <c r="D18" s="11">
        <f>N('TAM Build'!D127)</f>
      </c>
      <c r="E18" s="11">
        <f>N('TAM Build'!E127)</f>
      </c>
      <c r="F18" s="11">
        <f>N('TAM Build'!F127)</f>
      </c>
      <c r="G18" s="11">
        <f>N('TAM Build'!G127)</f>
      </c>
      <c r="H18" s="11">
        <f>N('TAM Build'!H127)</f>
      </c>
    </row>
    <row r="19" outlineLevel="1">
      <c r="B19" s="1" t="inlineStr">
        <is>
          <t xml:space="preserve">Outsourced BC TAM, all streams (portfolio $M)</t>
        </is>
      </c>
      <c r="C19" s="11">
        <f>N('TAM Build'!C135)</f>
      </c>
      <c r="D19" s="11">
        <f>N('TAM Build'!D135)</f>
      </c>
      <c r="E19" s="11">
        <f>N('TAM Build'!E135)</f>
      </c>
      <c r="F19" s="11">
        <f>N('TAM Build'!F135)</f>
      </c>
      <c r="G19" s="11">
        <f>N('TAM Build'!G135)</f>
      </c>
      <c r="H19" s="11">
        <f>N('TAM Build'!H135)</f>
      </c>
    </row>
    <row r="20" outlineLevel="1">
      <c r="B20" s="0" t="inlineStr">
        <is>
          <t xml:space="preserve">Virginia P-5c Total Ship Estimate ($M)</t>
        </is>
      </c>
      <c r="C20" s="11">
        <f>'SCN Budget'!C44</f>
      </c>
      <c r="D20" s="11">
        <f>'SCN Budget'!D44</f>
      </c>
      <c r="E20" s="11">
        <f>'SCN Budget'!E44</f>
      </c>
      <c r="F20" s="11">
        <f>'SCN Budget'!F44</f>
      </c>
      <c r="G20" s="11">
        <f>'SCN Budget'!G44</f>
      </c>
      <c r="H20" s="11">
        <f>'SCN Budget'!H44</f>
      </c>
    </row>
    <row r="21" outlineLevel="1">
      <c r="B21" s="0" t="inlineStr">
        <is>
          <t xml:space="preserve">plus OBBBA gross award ($M; rides Virginia, toggle-gated, FY27 via spillover)</t>
        </is>
      </c>
      <c r="C21" s="4">
        <v>0</v>
      </c>
      <c r="D21" s="4">
        <v>0</v>
      </c>
      <c r="E21" s="4">
        <v>0</v>
      </c>
      <c r="F21" s="4">
        <v>0</v>
      </c>
      <c r="G21" s="11">
        <f>(N('OBBBA Mandatory'!G26)+N('OBBBA Mandatory'!G27))*(1-'Assumptions'!C46)*'Deflators'!D11*'Assumptions'!C19</f>
      </c>
      <c r="H21" s="11">
        <f>(N('OBBBA Mandatory'!G26)+N('OBBBA Mandatory'!G27))*'Assumptions'!C46*'Deflators'!D12*'Assumptions'!C19</f>
      </c>
    </row>
    <row r="22" outlineLevel="1">
      <c r="B22" s="1" t="inlineStr">
        <is>
          <t xml:space="preserve">Virginia total spend incl. OBBBA ($M)</t>
        </is>
      </c>
      <c r="C22" s="4">
        <f>C20+N(C21)</f>
      </c>
      <c r="D22" s="4">
        <f>D20+N(D21)</f>
      </c>
      <c r="E22" s="4">
        <f>E20+N(E21)</f>
      </c>
      <c r="F22" s="4">
        <f>F20+N(F21)</f>
      </c>
      <c r="G22" s="4">
        <f>G20+N(G21)</f>
      </c>
      <c r="H22" s="4">
        <f>H20+N(H21)</f>
      </c>
    </row>
    <row r="23" outlineLevel="1">
      <c r="B23" s="1" t="inlineStr">
        <is>
          <t xml:space="preserve">Columbia total spend: P-5c Total Ship Estimate ($M)</t>
        </is>
      </c>
      <c r="C23" s="11">
        <f>'SCN Budget'!C86</f>
      </c>
      <c r="D23" s="11">
        <f>'SCN Budget'!D86</f>
      </c>
      <c r="E23" s="11">
        <f>'SCN Budget'!E86</f>
      </c>
      <c r="F23" s="11">
        <f>'SCN Budget'!F86</f>
      </c>
      <c r="G23" s="11">
        <f>'SCN Budget'!G86</f>
      </c>
      <c r="H23" s="11">
        <f>'SCN Budget'!H86</f>
      </c>
    </row>
    <row r="24">
      <c r="B24" s="3" t="inlineStr">
        <is>
          <t xml:space="preserve">Total ship spend incl. OBBBA (portfolio $M)</t>
        </is>
      </c>
      <c r="C24" s="13">
        <f>C22+C23</f>
      </c>
      <c r="D24" s="13">
        <f>D22+D23</f>
      </c>
      <c r="E24" s="13">
        <f>E22+E23</f>
      </c>
      <c r="F24" s="13">
        <f>F22+F23</f>
      </c>
      <c r="G24" s="13">
        <f>G22+G23</f>
      </c>
      <c r="H24" s="13">
        <f>H22+H23</f>
      </c>
    </row>
    <row r="25" outlineLevel="1">
      <c r="B25" s="0" t="inlineStr">
        <is>
          <t xml:space="preserve">Virginia penetration: TAM / total spend</t>
        </is>
      </c>
      <c r="C25" s="6">
        <f>IF(C22=0,"",C17/C22)</f>
      </c>
      <c r="D25" s="6">
        <f>IF(D22=0,"",D17/D22)</f>
      </c>
      <c r="E25" s="6">
        <f>IF(E22=0,"",E17/E22)</f>
      </c>
      <c r="F25" s="6">
        <f>IF(F22=0,"",F17/F22)</f>
      </c>
      <c r="G25" s="6">
        <f>IF(G22=0,"",G17/G22)</f>
      </c>
      <c r="H25" s="6">
        <f>IF(H22=0,"",H17/H22)</f>
      </c>
    </row>
    <row r="26" outlineLevel="1">
      <c r="B26" s="0" t="inlineStr">
        <is>
          <t xml:space="preserve">Columbia penetration: TAM / total spend</t>
        </is>
      </c>
      <c r="C26" s="6">
        <f>IF(C23=0,"",C18/C23)</f>
      </c>
      <c r="D26" s="6">
        <f>IF(D23=0,"",D18/D23)</f>
      </c>
      <c r="E26" s="6">
        <f>IF(E23=0,"",E18/E23)</f>
      </c>
      <c r="F26" s="6">
        <f>IF(F23=0,"",F18/F23)</f>
      </c>
      <c r="G26" s="6">
        <f>IF(G23=0,"",G18/G23)</f>
      </c>
      <c r="H26" s="6">
        <f>IF(H23=0,"",H18/H23)</f>
      </c>
    </row>
    <row r="27" outlineLevel="1">
      <c r="B27" s="1" t="inlineStr">
        <is>
          <t xml:space="preserve">Portfolio penetration: TAM / total ship spend</t>
        </is>
      </c>
      <c r="C27" s="6">
        <f>IF(C24=0,"",C19/C24)</f>
      </c>
      <c r="D27" s="6">
        <f>IF(D24=0,"",D19/D24)</f>
      </c>
      <c r="E27" s="6">
        <f>IF(E24=0,"",E19/E24)</f>
      </c>
      <c r="F27" s="6">
        <f>IF(F24=0,"",F19/F24)</f>
      </c>
      <c r="G27" s="6">
        <f>IF(G24=0,"",G19/G24)</f>
      </c>
      <c r="H27" s="6">
        <f>IF(H24=0,"",H19/H24)</f>
      </c>
    </row>
    <row r="30">
      <c r="A30" s="0" t="inlineStr">
        <is>
          <t xml:space="preserve">x</t>
        </is>
      </c>
      <c r="B30" s="9" t="inlineStr">
        <is>
          <t xml:space="preserve">§3 - Window-average penetration (ratio of sums) + outyear assumptions</t>
        </is>
      </c>
      <c r="C30" s="9"/>
      <c r="D30" s="9"/>
      <c r="E30" s="9"/>
      <c r="F30" s="9"/>
      <c r="G30" s="9"/>
      <c r="H30" s="9"/>
    </row>
    <row r="32">
      <c r="B32" s="2" t="inlineStr">
        <is>
          <t xml:space="preserve">Measure</t>
        </is>
      </c>
      <c r="C32" s="22" t="inlineStr">
        <is>
          <t xml:space="preserve">Value</t>
        </is>
      </c>
    </row>
    <row r="33" outlineLevel="1">
      <c r="B33" s="1" t="inlineStr">
        <is>
          <t xml:space="preserve">Virginia FY22-25 average (sum TAM / sum spend; complete historical years)</t>
        </is>
      </c>
      <c r="C33" s="6">
        <f>SUM(C17:F17)/SUM(C22:F22)</f>
      </c>
    </row>
    <row r="34" outlineLevel="1">
      <c r="B34" s="1" t="inlineStr">
        <is>
          <t xml:space="preserve">Columbia FY22-25 average (sum TAM / sum spend; complete historical years)</t>
        </is>
      </c>
      <c r="C34" s="6">
        <f>SUM(C18:F18)/SUM(C23:F23)</f>
      </c>
    </row>
    <row r="35" outlineLevel="1">
      <c r="B35" s="0" t="inlineStr">
        <is>
          <t xml:space="preserve">Portfolio FY22-25 average (sum TAM / sum spend; memo)</t>
        </is>
      </c>
      <c r="C35" s="6">
        <f>SUM(C19:F19)/SUM(C24:F24)</f>
      </c>
    </row>
    <row r="36" outlineLevel="1">
      <c r="B36" s="0" t="inlineStr">
        <is>
          <t xml:space="preserve">Portfolio FY22-27 average (sum TAM / sum spend; memo)</t>
        </is>
      </c>
      <c r="C36" s="6">
        <f>SUM(C19:H19)/SUM(C24:H24)</f>
      </c>
    </row>
    <row r="37" outlineLevel="1">
      <c r="B37" s="0" t="inlineStr">
        <is>
          <t xml:space="preserve">Portfolio FY26-27 average (sum TAM / sum spend; memo)</t>
        </is>
      </c>
      <c r="C37" s="6">
        <f>SUM(G19:H19)/SUM(G24:H24)</f>
      </c>
    </row>
    <row r="38" outlineLevel="1">
      <c r="B38" s="0" t="inlineStr">
        <is>
          <t xml:space="preserve">Outsourcing intent uplift (Assumptions §9)</t>
        </is>
      </c>
      <c r="C38" s="12">
        <f>'Assumptions'!C93</f>
      </c>
    </row>
    <row r="39" outlineLevel="1">
      <c r="B39" s="1" t="inlineStr">
        <is>
          <t xml:space="preserve">Virginia assumption, low (= class FY22-25 average)</t>
        </is>
      </c>
      <c r="C39" s="6">
        <f>C33</f>
      </c>
    </row>
    <row r="40" outlineLevel="1">
      <c r="B40" s="1" t="inlineStr">
        <is>
          <t xml:space="preserve">Virginia assumption, high (= low x (1 + intent uplift))</t>
        </is>
      </c>
      <c r="C40" s="6">
        <f>C39*(1+C38)</f>
      </c>
    </row>
    <row r="41" outlineLevel="1">
      <c r="B41" s="1" t="inlineStr">
        <is>
          <t xml:space="preserve">Columbia assumption, low (= class FY22-25 average)</t>
        </is>
      </c>
      <c r="C41" s="6">
        <f>C34</f>
      </c>
    </row>
    <row r="42" outlineLevel="1">
      <c r="B42" s="1" t="inlineStr">
        <is>
          <t xml:space="preserve">Columbia assumption, high (= low x (1 + intent uplift))</t>
        </is>
      </c>
      <c r="C42" s="6">
        <f>C41*(1+C38)</f>
      </c>
    </row>
    <row r="43" outlineLevel="1">
      <c r="B43" s="0" t="inlineStr">
        <is>
          <t xml:space="preserve">Window average = sum of TAM / sum of spend over the window, not the mean of annual ratios.</t>
        </is>
      </c>
    </row>
    <row r="46">
      <c r="A46" s="0" t="inlineStr">
        <is>
          <t xml:space="preserve">x</t>
        </is>
      </c>
      <c r="B46" s="9" t="inlineStr">
        <is>
          <t xml:space="preserve">§4 - Implied outyear Outsourced BC (FY2028-FY2031, per class)</t>
        </is>
      </c>
      <c r="C46" s="9"/>
      <c r="D46" s="9"/>
      <c r="E46" s="9"/>
      <c r="F46" s="9"/>
      <c r="G46" s="9"/>
      <c r="H46" s="9"/>
    </row>
    <row r="48">
      <c r="B48" s="2" t="inlineStr">
        <is>
          <t xml:space="preserve">Metric</t>
        </is>
      </c>
      <c r="C48" s="22">
        <v>2028</v>
      </c>
      <c r="D48" s="22">
        <v>2029</v>
      </c>
      <c r="E48" s="22">
        <v>2030</v>
      </c>
      <c r="F48" s="22">
        <v>2031</v>
      </c>
    </row>
    <row r="49" outlineLevel="1">
      <c r="B49" s="0" t="inlineStr">
        <is>
          <t xml:space="preserve">Virginia FYDP gross, constant FY2026 $M</t>
        </is>
      </c>
      <c r="C49" s="11">
        <f>'FYDP Outyears'!F33</f>
      </c>
      <c r="D49" s="11">
        <f>'FYDP Outyears'!G33</f>
      </c>
      <c r="E49" s="11">
        <f>'FYDP Outyears'!H33</f>
      </c>
      <c r="F49" s="11">
        <f>'FYDP Outyears'!I33</f>
      </c>
    </row>
    <row r="50" outlineLevel="1">
      <c r="B50" s="0" t="inlineStr">
        <is>
          <t xml:space="preserve">Columbia FYDP gross, constant FY2026 $M</t>
        </is>
      </c>
      <c r="C50" s="11">
        <f>'FYDP Outyears'!F34</f>
      </c>
      <c r="D50" s="11">
        <f>'FYDP Outyears'!G34</f>
      </c>
      <c r="E50" s="11">
        <f>'FYDP Outyears'!H34</f>
      </c>
      <c r="F50" s="11">
        <f>'FYDP Outyears'!I34</f>
      </c>
    </row>
    <row r="51" outlineLevel="1">
      <c r="B51" s="1" t="inlineStr">
        <is>
          <t xml:space="preserve">Portfolio FYDP gross (PB2027 request), constant FY2026 $M</t>
        </is>
      </c>
      <c r="C51" s="11">
        <f>'FYDP Outyears'!F35</f>
      </c>
      <c r="D51" s="11">
        <f>'FYDP Outyears'!G35</f>
      </c>
      <c r="E51" s="11">
        <f>'FYDP Outyears'!H35</f>
      </c>
      <c r="F51" s="11">
        <f>'FYDP Outyears'!I35</f>
      </c>
    </row>
    <row r="52" outlineLevel="1">
      <c r="B52" s="0" t="inlineStr">
        <is>
          <t xml:space="preserve">Virginia implied Outsourced BC, low ($M)</t>
        </is>
      </c>
      <c r="C52" s="4">
        <f>C49*$C$39</f>
      </c>
      <c r="D52" s="4">
        <f>D49*$C$39</f>
      </c>
      <c r="E52" s="4">
        <f>E49*$C$39</f>
      </c>
      <c r="F52" s="4">
        <f>F49*$C$39</f>
      </c>
    </row>
    <row r="53" outlineLevel="1">
      <c r="B53" s="0" t="inlineStr">
        <is>
          <t xml:space="preserve">Virginia implied Outsourced BC, high ($M)</t>
        </is>
      </c>
      <c r="C53" s="4">
        <f>C49*$C$40</f>
      </c>
      <c r="D53" s="4">
        <f>D49*$C$40</f>
      </c>
      <c r="E53" s="4">
        <f>E49*$C$40</f>
      </c>
      <c r="F53" s="4">
        <f>F49*$C$40</f>
      </c>
    </row>
    <row r="54" outlineLevel="1">
      <c r="B54" s="0" t="inlineStr">
        <is>
          <t xml:space="preserve">Columbia implied Outsourced BC, low ($M)</t>
        </is>
      </c>
      <c r="C54" s="4">
        <f>C50*$C$41</f>
      </c>
      <c r="D54" s="4">
        <f>D50*$C$41</f>
      </c>
      <c r="E54" s="4">
        <f>E50*$C$41</f>
      </c>
      <c r="F54" s="4">
        <f>F50*$C$41</f>
      </c>
    </row>
    <row r="55" outlineLevel="1">
      <c r="B55" s="0" t="inlineStr">
        <is>
          <t xml:space="preserve">Columbia implied Outsourced BC, high ($M)</t>
        </is>
      </c>
      <c r="C55" s="4">
        <f>C50*$C$42</f>
      </c>
      <c r="D55" s="4">
        <f>D50*$C$42</f>
      </c>
      <c r="E55" s="4">
        <f>E50*$C$42</f>
      </c>
      <c r="F55" s="4">
        <f>F50*$C$42</f>
      </c>
    </row>
    <row r="56" outlineLevel="1">
      <c r="B56" s="1" t="inlineStr">
        <is>
          <t xml:space="preserve">Portfolio implied Outsourced BC, low ($M)</t>
        </is>
      </c>
      <c r="C56" s="4">
        <f>C52+C54</f>
      </c>
      <c r="D56" s="4">
        <f>D52+D54</f>
      </c>
      <c r="E56" s="4">
        <f>E52+E54</f>
      </c>
      <c r="F56" s="4">
        <f>F52+F54</f>
      </c>
    </row>
    <row r="57" outlineLevel="1">
      <c r="B57" s="1" t="inlineStr">
        <is>
          <t xml:space="preserve">Portfolio implied Outsourced BC, high ($M)</t>
        </is>
      </c>
      <c r="C57" s="4">
        <f>C53+C55</f>
      </c>
      <c r="D57" s="4">
        <f>D53+D55</f>
      </c>
      <c r="E57" s="4">
        <f>E53+E55</f>
      </c>
      <c r="F57" s="4">
        <f>F53+F55</f>
      </c>
    </row>
    <row r="58" outlineLevel="1">
      <c r="B58" s="0" t="inlineStr">
        <is>
          <t xml:space="preserve">Range, high - low ($M)</t>
        </is>
      </c>
      <c r="C58" s="4">
        <f>C57-C56</f>
      </c>
      <c r="D58" s="4">
        <f>D57-D56</f>
      </c>
      <c r="E58" s="4">
        <f>E57-E56</f>
      </c>
      <c r="F58" s="4">
        <f>F57-F56</f>
      </c>
    </row>
    <row r="60" outlineLevel="1">
      <c r="B60" s="0" t="inlineStr">
        <is>
          <t xml:space="preserve">Portfolio implied low, FY28-31 average ($M/yr)</t>
        </is>
      </c>
      <c r="C60" s="4">
        <f>SUM(C56:F56)/4</f>
      </c>
    </row>
    <row r="61" outlineLevel="1">
      <c r="B61" s="0" t="inlineStr">
        <is>
          <t xml:space="preserve">Portfolio implied high, FY28-31 average ($M/yr)</t>
        </is>
      </c>
      <c r="C61" s="4">
        <f>SUM(C57:F57)/4</f>
      </c>
    </row>
    <row r="62" outlineLevel="1">
      <c r="B62" s="0" t="inlineStr">
        <is>
          <t xml:space="preserve">Effective blended assumption, low (portfolio implied / FYDP gross)</t>
        </is>
      </c>
      <c r="C62" s="6">
        <f>SUM(C56:F56)/SUM(C51:F51)</f>
      </c>
    </row>
    <row r="63" outlineLevel="1">
      <c r="B63" s="0" t="inlineStr">
        <is>
          <t xml:space="preserve">Effective blended assumption, high (portfolio implied / FYDP gross)</t>
        </is>
      </c>
      <c r="C63" s="6">
        <f>SUM(C57:F57)/SUM(C51:F51)</f>
      </c>
    </row>
    <row r="66">
      <c r="A66" s="0" t="inlineStr">
        <is>
          <t xml:space="preserve">x</t>
        </is>
      </c>
      <c r="B66" s="9" t="inlineStr">
        <is>
          <t xml:space="preserve">§5 - FY22-25 average annual TAM</t>
        </is>
      </c>
      <c r="C66" s="9"/>
      <c r="D66" s="9"/>
      <c r="E66" s="9"/>
      <c r="F66" s="9"/>
      <c r="G66" s="9"/>
      <c r="H66" s="9"/>
    </row>
    <row r="68">
      <c r="B68" s="2" t="inlineStr">
        <is>
          <t xml:space="preserve">Measure</t>
        </is>
      </c>
      <c r="C68" s="22" t="inlineStr">
        <is>
          <t xml:space="preserve">Value</t>
        </is>
      </c>
    </row>
    <row r="69" outlineLevel="1">
      <c r="B69" s="1" t="inlineStr">
        <is>
          <t xml:space="preserve">Average annual TAM, FY22-25 (portfolio $M/yr)</t>
        </is>
      </c>
      <c r="C69" s="4">
        <f>(N('TAM Build'!C135)+N('TAM Build'!D135)+N('TAM Build'!E135)+N('TAM Build'!F135))/4</f>
      </c>
    </row>
    <row r="70" outlineLevel="1">
      <c r="B70" s="0" t="inlineStr">
        <is>
          <t xml:space="preserve">Virginia average annual TAM, FY22-25 ($M/yr)</t>
        </is>
      </c>
      <c r="C70" s="4">
        <f>SUM(C17:F17)/4</f>
      </c>
    </row>
    <row r="71" outlineLevel="1">
      <c r="B71" s="0" t="inlineStr">
        <is>
          <t xml:space="preserve">Columbia average annual TAM, FY22-25 ($M/yr)</t>
        </is>
      </c>
      <c r="C71" s="4">
        <f>SUM(C18:F18)/4</f>
      </c>
    </row>
    <row r="74">
      <c r="A74" s="0" t="inlineStr">
        <is>
          <t xml:space="preserve">x</t>
        </is>
      </c>
      <c r="B74" s="9" t="inlineStr">
        <is>
          <t xml:space="preserve">§6 - Checks</t>
        </is>
      </c>
      <c r="C74" s="9"/>
      <c r="D74" s="9"/>
      <c r="E74" s="9"/>
      <c r="F74" s="9"/>
      <c r="G74" s="9"/>
      <c r="H74" s="9"/>
    </row>
    <row r="76">
      <c r="B76" s="2" t="inlineStr">
        <is>
          <t xml:space="preserve">Check</t>
        </is>
      </c>
      <c r="C76" s="2" t="inlineStr">
        <is>
          <t xml:space="preserve">Status</t>
        </is>
      </c>
    </row>
    <row r="77" outlineLevel="1">
      <c r="B77" s="0" t="inlineStr">
        <is>
          <t xml:space="preserve">Virginia FY27 FYDP gross ties to SCN Budget FY27 TSE (constant)</t>
        </is>
      </c>
      <c r="C77" s="0">
        <f>IF(ABS(N('FYDP Outyears'!E33)-N('SCN Budget'!H44))&lt;1,"OK","FAIL")</f>
      </c>
    </row>
    <row r="78" outlineLevel="1">
      <c r="B78" s="0" t="inlineStr">
        <is>
          <t xml:space="preserve">Columbia FY27 FYDP gross ties to SCN Budget FY27 TSE (constant)</t>
        </is>
      </c>
      <c r="C78" s="0">
        <f>IF(ABS(N('FYDP Outyears'!E34)-N('SCN Budget'!H86))&lt;1,"OK","FAIL")</f>
      </c>
    </row>
    <row r="79" outlineLevel="1">
      <c r="B79" s="0" t="inlineStr">
        <is>
          <t xml:space="preserve">Virginia FY26 FYDP gross ties to PB2027 ($5,389.1M, one boat)</t>
        </is>
      </c>
      <c r="C79" s="0">
        <f>IF(ABS(N('FYDP Outyears'!D16)-5389.109)&lt;1,"OK","FAIL")</f>
      </c>
    </row>
    <row r="80" outlineLevel="1">
      <c r="B80" s="0" t="inlineStr">
        <is>
          <t xml:space="preserve">Va + Col class TAM sums to portfolio TAM each FY</t>
        </is>
      </c>
      <c r="C80" s="0">
        <f>IF(SUMPRODUCT(ABS(C17:H17+C18:H18-C19:H19))&lt;0.5,"OK","FAIL")</f>
      </c>
    </row>
    <row r="81" outlineLevel="1">
      <c r="B81" s="0" t="inlineStr">
        <is>
          <t xml:space="preserve">Penetration at or below 100% each FY (portfolio)</t>
        </is>
      </c>
      <c r="C81" s="0">
        <f>IF(COUNTIF(C27:H27,"&gt;1")=0,"OK","REVIEW")</f>
      </c>
    </row>
    <row r="82" outlineLevel="1">
      <c r="B82" s="0" t="inlineStr">
        <is>
          <t xml:space="preserve">Class penetration at or below 100% each FY</t>
        </is>
      </c>
      <c r="C82" s="0">
        <f>IF(COUNTIF(C25:H25,"&gt;1")+COUNTIF(C26:H26,"&gt;1")=0,"OK","REVIEW")</f>
      </c>
    </row>
    <row r="83" outlineLevel="1">
      <c r="B83" s="0" t="inlineStr">
        <is>
          <t xml:space="preserve">Low assumption at or below high (each class)</t>
        </is>
      </c>
      <c r="C83" s="0">
        <f>IF(AND(C39&lt;=C40,C41&lt;=C42),"OK","FAIL")</f>
      </c>
    </row>
  </sheetData>
</worksheet>
</file>

<file path=xl/worksheets/sheet7.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10" customWidth="1"/>
    <col min="3" max="3" width="44" customWidth="1"/>
    <col min="4" max="4" width="30" customWidth="1"/>
    <col min="5" max="5" width="28" customWidth="1"/>
  </cols>
  <sheetData>
    <row r="1"/>
    <row r="2">
      <c r="B2" s="8" t="inlineStr">
        <is>
          <t xml:space="preserve">Deflators</t>
        </is>
      </c>
      <c r="C2" s="8"/>
      <c r="D2" s="8"/>
      <c r="E2" s="8"/>
    </row>
    <row r="4">
      <c r="A4" s="0" t="inlineStr">
        <is>
          <t xml:space="preserve">x</t>
        </is>
      </c>
      <c r="B4" s="9" t="inlineStr">
        <is>
          <t xml:space="preserve">§1 - DoD price deflators (Green Book Procurement TOA, rebased FY2026)</t>
        </is>
      </c>
      <c r="C4" s="9"/>
      <c r="D4" s="9"/>
      <c r="E4" s="9"/>
    </row>
    <row r="6">
      <c r="B6" s="2" t="inlineStr">
        <is>
          <t xml:space="preserve">FY</t>
        </is>
      </c>
      <c r="C6" s="22" t="inlineStr">
        <is>
          <t xml:space="preserve">Procurement deflator (FY2025=100)</t>
        </is>
      </c>
      <c r="D6" s="22" t="inlineStr">
        <is>
          <t xml:space="preserve">Factor to constant FY2026 $</t>
        </is>
      </c>
      <c r="E6" s="2" t="inlineStr">
        <is>
          <t xml:space="preserve">Basis</t>
        </is>
      </c>
    </row>
    <row r="7" outlineLevel="1">
      <c r="B7" s="1" t="inlineStr">
        <is>
          <t xml:space="preserve">FY2022</t>
        </is>
      </c>
      <c r="C7" s="5">
        <v>93.13</v>
      </c>
      <c r="D7" s="4" t="inlineStr">
        <is>
          <t xml:space="preserve">1.10</t>
        </is>
      </c>
      <c r="E7" s="0" t="inlineStr">
        <is>
          <t xml:space="preserve">Green Book Table 5-4</t>
        </is>
      </c>
    </row>
    <row r="8" outlineLevel="1">
      <c r="B8" s="1" t="inlineStr">
        <is>
          <t xml:space="preserve">FY2023</t>
        </is>
      </c>
      <c r="C8" s="5">
        <v>95.77</v>
      </c>
      <c r="D8" s="4" t="inlineStr">
        <is>
          <t xml:space="preserve">1.07</t>
        </is>
      </c>
      <c r="E8" s="0" t="inlineStr">
        <is>
          <t xml:space="preserve">Green Book Table 5-4</t>
        </is>
      </c>
    </row>
    <row r="9" outlineLevel="1">
      <c r="B9" s="1" t="inlineStr">
        <is>
          <t xml:space="preserve">FY2024</t>
        </is>
      </c>
      <c r="C9" s="5">
        <v>97.92</v>
      </c>
      <c r="D9" s="4" t="inlineStr">
        <is>
          <t xml:space="preserve">1.04</t>
        </is>
      </c>
      <c r="E9" s="0" t="inlineStr">
        <is>
          <t xml:space="preserve">Green Book Table 5-4</t>
        </is>
      </c>
    </row>
    <row r="10" outlineLevel="1">
      <c r="B10" s="1" t="inlineStr">
        <is>
          <t xml:space="preserve">FY2025</t>
        </is>
      </c>
      <c r="C10" s="5">
        <v>100.0</v>
      </c>
      <c r="D10" s="4" t="inlineStr">
        <is>
          <t xml:space="preserve">1.02</t>
        </is>
      </c>
      <c r="E10" s="0" t="inlineStr">
        <is>
          <t xml:space="preserve">Green Book Table 5-4</t>
        </is>
      </c>
    </row>
    <row r="11" outlineLevel="1">
      <c r="B11" s="1" t="inlineStr">
        <is>
          <t xml:space="preserve">FY2026</t>
        </is>
      </c>
      <c r="C11" s="5">
        <v>102.1</v>
      </c>
      <c r="D11" s="4" t="inlineStr">
        <is>
          <t xml:space="preserve">1.00</t>
        </is>
      </c>
      <c r="E11" s="0" t="inlineStr">
        <is>
          <t xml:space="preserve">Green Book Table 5-4</t>
        </is>
      </c>
    </row>
    <row r="12" outlineLevel="1">
      <c r="B12" s="1" t="inlineStr">
        <is>
          <t xml:space="preserve">FY2027</t>
        </is>
      </c>
      <c r="C12" s="5">
        <v>104.24</v>
      </c>
      <c r="D12" s="4" t="inlineStr">
        <is>
          <t xml:space="preserve">0.98</t>
        </is>
      </c>
      <c r="E12" s="0" t="inlineStr">
        <is>
          <t xml:space="preserve">Green Book Table 5-4</t>
        </is>
      </c>
    </row>
    <row r="13" outlineLevel="1">
      <c r="B13" s="1" t="inlineStr">
        <is>
          <t xml:space="preserve">FY2028</t>
        </is>
      </c>
      <c r="C13" s="5">
        <v>106.43</v>
      </c>
      <c r="D13" s="4" t="inlineStr">
        <is>
          <t xml:space="preserve">0.96</t>
        </is>
      </c>
      <c r="E13" s="0" t="inlineStr">
        <is>
          <t xml:space="preserve">Green Book Table 5-4</t>
        </is>
      </c>
    </row>
    <row r="14" outlineLevel="1">
      <c r="B14" s="1" t="inlineStr">
        <is>
          <t xml:space="preserve">FY2029</t>
        </is>
      </c>
      <c r="C14" s="5">
        <v>108.67</v>
      </c>
      <c r="D14" s="4" t="inlineStr">
        <is>
          <t xml:space="preserve">0.94</t>
        </is>
      </c>
      <c r="E14" s="0" t="inlineStr">
        <is>
          <t xml:space="preserve">Green Book Table 5-4</t>
        </is>
      </c>
    </row>
    <row r="15" outlineLevel="1">
      <c r="B15" s="1" t="inlineStr">
        <is>
          <t xml:space="preserve">FY2030</t>
        </is>
      </c>
      <c r="C15" s="5">
        <v>110.95</v>
      </c>
      <c r="D15" s="4" t="inlineStr">
        <is>
          <t xml:space="preserve">0.92</t>
        </is>
      </c>
      <c r="E15" s="0" t="inlineStr">
        <is>
          <t xml:space="preserve">Extrapolated @ 2.1%/yr</t>
        </is>
      </c>
    </row>
    <row r="16" outlineLevel="1">
      <c r="B16" s="1" t="inlineStr">
        <is>
          <t xml:space="preserve">FY2031</t>
        </is>
      </c>
      <c r="C16" s="5">
        <v>113.28</v>
      </c>
      <c r="D16" s="4" t="inlineStr">
        <is>
          <t xml:space="preserve">0.90</t>
        </is>
      </c>
      <c r="E16" s="0" t="inlineStr">
        <is>
          <t xml:space="preserve">Extrapolated @ 2.1%/yr</t>
        </is>
      </c>
    </row>
    <row r="19">
      <c r="A19" s="0" t="inlineStr">
        <is>
          <t xml:space="preserve">x</t>
        </is>
      </c>
      <c r="B19" s="9" t="inlineStr">
        <is>
          <t xml:space="preserve">§2 - Sources</t>
        </is>
      </c>
      <c r="C19" s="9"/>
      <c r="D19" s="9"/>
      <c r="E19" s="9"/>
    </row>
    <row r="21">
      <c r="B21" s="2" t="inlineStr">
        <is>
          <t xml:space="preserve">Series</t>
        </is>
      </c>
      <c r="C21" s="2" t="inlineStr">
        <is>
          <t xml:space="preserve">Source</t>
        </is>
      </c>
    </row>
    <row r="22" outlineLevel="1">
      <c r="B22" s="1" t="inlineStr">
        <is>
          <t xml:space="preserve">Green Book Procurement TOA</t>
        </is>
      </c>
      <c r="C22" s="0" t="inlineStr">
        <is>
          <t xml:space="preserve">OSD National Defense Budget Estimates for FY2025 (Green Book), Table 5-4 Procurement TOA, FY2025=100 (pp. 58-59 / PDF pp. 65-66); rebased to FY2026=1.000</t>
        </is>
      </c>
    </row>
    <row r="23" outlineLevel="1">
      <c r="B23" s="1" t="inlineStr">
        <is>
          <t xml:space="preserve">FY2030-FY2031 outyears</t>
        </is>
      </c>
      <c r="C23" s="0" t="inlineStr">
        <is>
          <t xml:space="preserve">FY2030-FY2031 extrapolated at 2.1%/yr (Green Book Table 5-3 steady-state purchases inflation); Table 5-4 ends at FY2029</t>
        </is>
      </c>
    </row>
  </sheetData>
</worksheet>
</file>

<file path=xl/worksheets/sheet8.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34" customWidth="1"/>
    <col min="3" max="3" width="9" customWidth="1"/>
    <col min="4" max="4" width="9" customWidth="1"/>
    <col min="5" max="5" width="9" customWidth="1"/>
    <col min="6" max="6" width="9" customWidth="1"/>
    <col min="7" max="7" width="9" customWidth="1"/>
    <col min="8" max="8" width="9" customWidth="1"/>
    <col min="9" max="9" width="12" customWidth="1"/>
  </cols>
  <sheetData>
    <row r="1"/>
    <row r="2">
      <c r="B2" s="8" t="inlineStr">
        <is>
          <t xml:space="preserve">SCN Budget</t>
        </is>
      </c>
      <c r="C2" s="8"/>
      <c r="D2" s="8"/>
      <c r="E2" s="8"/>
      <c r="F2" s="8"/>
      <c r="G2" s="8"/>
      <c r="H2" s="8"/>
      <c r="I2" s="8"/>
    </row>
    <row r="4">
      <c r="B4" s="9" t="inlineStr">
        <is>
          <t xml:space="preserve">§1 - Basic Construction &amp; GFE by FY ($M)</t>
        </is>
      </c>
      <c r="C4" s="9"/>
      <c r="D4" s="9"/>
      <c r="E4" s="9"/>
      <c r="F4" s="9"/>
      <c r="G4" s="9"/>
      <c r="H4" s="9"/>
      <c r="I4" s="9"/>
    </row>
    <row r="6">
      <c r="B6" s="2" t="inlineStr">
        <is>
          <t xml:space="preserve">Measure</t>
        </is>
      </c>
      <c r="C6" s="22">
        <v>2022</v>
      </c>
      <c r="D6" s="22">
        <v>2023</v>
      </c>
      <c r="E6" s="22">
        <v>2024</v>
      </c>
      <c r="F6" s="22">
        <v>2025</v>
      </c>
      <c r="G6" s="22">
        <v>2026</v>
      </c>
      <c r="H6" s="22">
        <v>2027</v>
      </c>
      <c r="I6" s="22" t="inlineStr">
        <is>
          <t xml:space="preserve">Total</t>
        </is>
      </c>
    </row>
    <row r="7">
      <c r="B7" s="1" t="inlineStr">
        <is>
          <t xml:space="preserve">Virginia Basic Construction</t>
        </is>
      </c>
      <c r="C7" s="4">
        <f>'SCN Budget'!C54</f>
      </c>
      <c r="D7" s="4">
        <f>'SCN Budget'!D54</f>
      </c>
      <c r="E7" s="4">
        <f>'SCN Budget'!E54</f>
      </c>
      <c r="F7" s="4">
        <f>'SCN Budget'!F54</f>
      </c>
      <c r="G7" s="4">
        <f>'SCN Budget'!G54</f>
      </c>
      <c r="H7" s="4">
        <f>'SCN Budget'!H54</f>
      </c>
      <c r="I7" s="4">
        <f>SUM(C7:H7)</f>
      </c>
    </row>
    <row r="8">
      <c r="B8" s="1" t="inlineStr">
        <is>
          <t xml:space="preserve">Columbia Basic Construction</t>
        </is>
      </c>
      <c r="C8" s="4">
        <f>'SCN Budget'!C96</f>
      </c>
      <c r="D8" s="4">
        <f>'SCN Budget'!D96</f>
      </c>
      <c r="E8" s="4">
        <f>'SCN Budget'!E96</f>
      </c>
      <c r="F8" s="4">
        <f>'SCN Budget'!F96</f>
      </c>
      <c r="G8" s="4">
        <f>'SCN Budget'!G96</f>
      </c>
      <c r="H8" s="4">
        <f>'SCN Budget'!H96</f>
      </c>
      <c r="I8" s="4">
        <f>SUM(C8:H8)</f>
      </c>
    </row>
    <row r="9">
      <c r="B9" s="1" t="inlineStr">
        <is>
          <t xml:space="preserve">Portfolio Basic Construction</t>
        </is>
      </c>
      <c r="C9" s="4">
        <f>N('SCN Budget'!C54)+N('SCN Budget'!C96)</f>
      </c>
      <c r="D9" s="4">
        <f>N('SCN Budget'!D54)+N('SCN Budget'!D96)</f>
      </c>
      <c r="E9" s="4">
        <f>N('SCN Budget'!E54)+N('SCN Budget'!E96)</f>
      </c>
      <c r="F9" s="4">
        <f>N('SCN Budget'!F54)+N('SCN Budget'!F96)</f>
      </c>
      <c r="G9" s="4">
        <f>N('SCN Budget'!G54)+N('SCN Budget'!G96)</f>
      </c>
      <c r="H9" s="4">
        <f>N('SCN Budget'!H54)+N('SCN Budget'!H96)</f>
      </c>
      <c r="I9" s="4">
        <f>SUM(C9:H9)</f>
      </c>
    </row>
    <row r="10">
      <c r="B10" s="0" t="inlineStr">
        <is>
          <t xml:space="preserve">Virginia GFE sum</t>
        </is>
      </c>
      <c r="C10" s="4">
        <f>'SCN Budget'!C52</f>
      </c>
      <c r="D10" s="4">
        <f>'SCN Budget'!D52</f>
      </c>
      <c r="E10" s="4">
        <f>'SCN Budget'!E52</f>
      </c>
      <c r="F10" s="4">
        <f>'SCN Budget'!F52</f>
      </c>
      <c r="G10" s="4">
        <f>'SCN Budget'!G52</f>
      </c>
      <c r="H10" s="4">
        <f>'SCN Budget'!H52</f>
      </c>
      <c r="I10" s="4">
        <f>SUM(C10:H10)</f>
      </c>
    </row>
    <row r="11">
      <c r="B11" s="0" t="inlineStr">
        <is>
          <t xml:space="preserve">Columbia GFE sum</t>
        </is>
      </c>
      <c r="C11" s="4">
        <f>'SCN Budget'!C94</f>
      </c>
      <c r="D11" s="4">
        <f>'SCN Budget'!D94</f>
      </c>
      <c r="E11" s="4">
        <f>'SCN Budget'!E94</f>
      </c>
      <c r="F11" s="4">
        <f>'SCN Budget'!F94</f>
      </c>
      <c r="G11" s="4">
        <f>'SCN Budget'!G94</f>
      </c>
      <c r="H11" s="4">
        <f>'SCN Budget'!H94</f>
      </c>
      <c r="I11" s="4">
        <f>SUM(C11:H11)</f>
      </c>
    </row>
    <row r="12">
      <c r="B12" s="0" t="inlineStr">
        <is>
          <t xml:space="preserve">Portfolio GFE sum</t>
        </is>
      </c>
      <c r="C12" s="4">
        <f>N('SCN Budget'!C52)+N('SCN Budget'!C94)</f>
      </c>
      <c r="D12" s="4">
        <f>N('SCN Budget'!D52)+N('SCN Budget'!D94)</f>
      </c>
      <c r="E12" s="4">
        <f>N('SCN Budget'!E52)+N('SCN Budget'!E94)</f>
      </c>
      <c r="F12" s="4">
        <f>N('SCN Budget'!F52)+N('SCN Budget'!F94)</f>
      </c>
      <c r="G12" s="4">
        <f>N('SCN Budget'!G52)+N('SCN Budget'!G94)</f>
      </c>
      <c r="H12" s="4">
        <f>N('SCN Budget'!H52)+N('SCN Budget'!H94)</f>
      </c>
      <c r="I12" s="4">
        <f>SUM(C12:H12)</f>
      </c>
    </row>
    <row r="15">
      <c r="A15" s="0" t="inlineStr">
        <is>
          <t xml:space="preserve">x</t>
        </is>
      </c>
      <c r="B15" s="9" t="inlineStr">
        <is>
          <t xml:space="preserve">§2 - Virginia (LI 2013) SCN P-5c per FY ($M)</t>
        </is>
      </c>
      <c r="C15" s="9"/>
      <c r="D15" s="9"/>
      <c r="E15" s="9"/>
      <c r="F15" s="9"/>
      <c r="G15" s="9"/>
      <c r="H15" s="9"/>
      <c r="I15" s="9"/>
    </row>
    <row r="17">
      <c r="B17" s="2" t="inlineStr">
        <is>
          <t xml:space="preserve">Metric</t>
        </is>
      </c>
      <c r="C17" s="22">
        <v>2022</v>
      </c>
      <c r="D17" s="22">
        <v>2023</v>
      </c>
      <c r="E17" s="22">
        <v>2024</v>
      </c>
      <c r="F17" s="22">
        <v>2025</v>
      </c>
      <c r="G17" s="22">
        <v>2026</v>
      </c>
      <c r="H17" s="22">
        <v>2027</v>
      </c>
    </row>
    <row r="18" outlineLevel="1">
      <c r="B18" s="1" t="inlineStr">
        <is>
          <t xml:space="preserve">Total Ship Estimate</t>
        </is>
      </c>
      <c r="C18" s="5">
        <v>6915.757</v>
      </c>
      <c r="D18" s="5">
        <v>7250.579</v>
      </c>
      <c r="E18" s="5">
        <v>11377.643</v>
      </c>
      <c r="F18" s="5">
        <v>9500.534</v>
      </c>
      <c r="G18" s="5">
        <v>5389.109</v>
      </c>
      <c r="H18" s="5">
        <v>11437.036</v>
      </c>
    </row>
    <row r="19" outlineLevel="1">
      <c r="B19" s="1" t="inlineStr">
        <is>
          <t xml:space="preserve">Plans Costs</t>
        </is>
      </c>
      <c r="C19" s="5">
        <v>252.399</v>
      </c>
      <c r="D19" s="5">
        <v>192.169</v>
      </c>
      <c r="E19" s="5">
        <v>207.166</v>
      </c>
      <c r="F19" s="5">
        <v>2595.816</v>
      </c>
      <c r="G19" s="5">
        <v>219.603</v>
      </c>
      <c r="H19" s="5">
        <v>223.443</v>
      </c>
    </row>
    <row r="21">
      <c r="A21" s="0" t="inlineStr">
        <is>
          <t xml:space="preserve">x</t>
        </is>
      </c>
      <c r="B21" s="10" t="inlineStr">
        <is>
          <t xml:space="preserve">§2a - GFE components</t>
        </is>
      </c>
      <c r="C21" s="10"/>
      <c r="D21" s="10"/>
      <c r="E21" s="10"/>
      <c r="F21" s="10"/>
      <c r="G21" s="10"/>
      <c r="H21" s="10"/>
      <c r="I21" s="10"/>
    </row>
    <row r="23" outlineLevel="1">
      <c r="B23" s="1" t="inlineStr">
        <is>
          <t xml:space="preserve">Propulsion Equipment</t>
        </is>
      </c>
      <c r="C23" s="5">
        <v>1046.83</v>
      </c>
      <c r="D23" s="5">
        <v>1083.115</v>
      </c>
      <c r="E23" s="5">
        <v>1121.47</v>
      </c>
      <c r="F23" s="5">
        <v>1004.95</v>
      </c>
      <c r="G23" s="5">
        <v>1035.07</v>
      </c>
      <c r="H23" s="5">
        <v>1273.09</v>
      </c>
    </row>
    <row r="24" outlineLevel="1">
      <c r="B24" s="1" t="inlineStr">
        <is>
          <t xml:space="preserve">Electronics</t>
        </is>
      </c>
      <c r="C24" s="5">
        <v>540.536</v>
      </c>
      <c r="D24" s="5">
        <v>551.346</v>
      </c>
      <c r="E24" s="5">
        <v>562.372</v>
      </c>
      <c r="F24" s="5">
        <v>313.264</v>
      </c>
      <c r="G24" s="5">
        <v>598.515</v>
      </c>
      <c r="H24" s="5">
        <v>624.898</v>
      </c>
    </row>
    <row r="25" outlineLevel="1">
      <c r="B25" s="1" t="inlineStr">
        <is>
          <t xml:space="preserve">Hull, Mechanical, Electrical (HM&amp;E)</t>
        </is>
      </c>
      <c r="C25" s="5">
        <v>139.293</v>
      </c>
      <c r="D25" s="5">
        <v>141.566</v>
      </c>
      <c r="E25" s="5">
        <v>144.189</v>
      </c>
      <c r="F25" s="5">
        <v>98.937</v>
      </c>
      <c r="G25" s="5">
        <v>150.015</v>
      </c>
      <c r="H25" s="5">
        <v>153.016</v>
      </c>
    </row>
    <row r="26" outlineLevel="1">
      <c r="B26" s="1" t="inlineStr">
        <is>
          <t xml:space="preserve">Ordnance</t>
        </is>
      </c>
      <c r="C26" s="5"/>
      <c r="D26" s="5"/>
      <c r="E26" s="5"/>
      <c r="F26" s="5"/>
      <c r="G26" s="5"/>
      <c r="H26" s="5"/>
    </row>
    <row r="27" outlineLevel="1">
      <c r="B27" s="1" t="inlineStr">
        <is>
          <t xml:space="preserve">Other Cost</t>
        </is>
      </c>
      <c r="C27" s="5">
        <v>67.806</v>
      </c>
      <c r="D27" s="5">
        <v>69.162</v>
      </c>
      <c r="E27" s="5">
        <v>70.546</v>
      </c>
      <c r="F27" s="5">
        <v>35.978</v>
      </c>
      <c r="G27" s="5">
        <v>73.395</v>
      </c>
      <c r="H27" s="5">
        <v>74.863</v>
      </c>
    </row>
    <row r="28" outlineLevel="1">
      <c r="B28" s="1" t="inlineStr">
        <is>
          <t xml:space="preserve">Technology Insertion</t>
        </is>
      </c>
      <c r="C28" s="5">
        <v>15.398</v>
      </c>
      <c r="D28" s="5">
        <v>15.706</v>
      </c>
      <c r="E28" s="5">
        <v>16.02</v>
      </c>
      <c r="F28" s="5">
        <v>16.34</v>
      </c>
      <c r="G28" s="5">
        <v>16.667</v>
      </c>
      <c r="H28" s="5">
        <v>17.001</v>
      </c>
    </row>
    <row r="29" outlineLevel="1">
      <c r="B29" s="1" t="inlineStr">
        <is>
          <t xml:space="preserve">GFE Sum</t>
        </is>
      </c>
      <c r="C29" s="5">
        <v>1587.366</v>
      </c>
      <c r="D29" s="5">
        <v>1634.461</v>
      </c>
      <c r="E29" s="5">
        <v>1683.842</v>
      </c>
      <c r="F29" s="5">
        <v>1318.214</v>
      </c>
      <c r="G29" s="5">
        <v>1633.585</v>
      </c>
      <c r="H29" s="5">
        <v>1897.988</v>
      </c>
    </row>
    <row r="31">
      <c r="A31" s="0" t="inlineStr">
        <is>
          <t xml:space="preserve">x</t>
        </is>
      </c>
      <c r="B31" s="10" t="inlineStr">
        <is>
          <t xml:space="preserve">§2b - Construction</t>
        </is>
      </c>
      <c r="C31" s="10"/>
      <c r="D31" s="10"/>
      <c r="E31" s="10"/>
      <c r="F31" s="10"/>
      <c r="G31" s="10"/>
      <c r="H31" s="10"/>
      <c r="I31" s="10"/>
    </row>
    <row r="33" outlineLevel="1">
      <c r="B33" s="1" t="inlineStr">
        <is>
          <t xml:space="preserve">Change Orders</t>
        </is>
      </c>
      <c r="C33" s="5">
        <v>95.212</v>
      </c>
      <c r="D33" s="5">
        <v>102.067</v>
      </c>
      <c r="E33" s="5">
        <v>185.118</v>
      </c>
      <c r="F33" s="5">
        <v>108.705</v>
      </c>
      <c r="G33" s="5">
        <v>159.052</v>
      </c>
      <c r="H33" s="5">
        <v>181.415</v>
      </c>
    </row>
    <row r="34" outlineLevel="1">
      <c r="B34" s="1" t="inlineStr">
        <is>
          <t xml:space="preserve">Basic Construction</t>
        </is>
      </c>
      <c r="C34" s="5">
        <v>4758.283</v>
      </c>
      <c r="D34" s="5">
        <v>5095.448</v>
      </c>
      <c r="E34" s="5">
        <v>9070.762</v>
      </c>
      <c r="F34" s="5">
        <v>5326.544</v>
      </c>
      <c r="G34" s="5">
        <v>3136.792</v>
      </c>
      <c r="H34" s="5">
        <v>8889.31</v>
      </c>
    </row>
    <row r="36">
      <c r="A36" s="0" t="inlineStr">
        <is>
          <t xml:space="preserve">x</t>
        </is>
      </c>
      <c r="B36" s="10" t="inlineStr">
        <is>
          <t xml:space="preserve">§2c - Derived ratios</t>
        </is>
      </c>
      <c r="C36" s="10"/>
      <c r="D36" s="10"/>
      <c r="E36" s="10"/>
      <c r="F36" s="10"/>
      <c r="G36" s="10"/>
      <c r="H36" s="10"/>
      <c r="I36" s="10"/>
    </row>
    <row r="38" outlineLevel="1">
      <c r="B38" s="1" t="inlineStr">
        <is>
          <t xml:space="preserve">BC % of Total</t>
        </is>
      </c>
      <c r="C38" s="6">
        <f>IF(C18=0,"",C34/C18)</f>
      </c>
      <c r="D38" s="6">
        <f>IF(D18=0,"",D34/D18)</f>
      </c>
      <c r="E38" s="6">
        <f>IF(E18=0,"",E34/E18)</f>
      </c>
      <c r="F38" s="6">
        <f>IF(F18=0,"",F34/F18)</f>
      </c>
      <c r="G38" s="6">
        <f>IF(G18=0,"",G34/G18)</f>
      </c>
      <c r="H38" s="6">
        <f>IF(H18=0,"",H34/H18)</f>
      </c>
    </row>
    <row r="39" outlineLevel="1">
      <c r="B39" s="1" t="inlineStr">
        <is>
          <t xml:space="preserve">GFE % of Total</t>
        </is>
      </c>
      <c r="C39" s="6">
        <f>IF(C18=0,"",C29/C18)</f>
      </c>
      <c r="D39" s="6">
        <f>IF(D18=0,"",D29/D18)</f>
      </c>
      <c r="E39" s="6">
        <f>IF(E18=0,"",E29/E18)</f>
      </c>
      <c r="F39" s="6">
        <f>IF(F18=0,"",F29/F18)</f>
      </c>
      <c r="G39" s="6">
        <f>IF(G18=0,"",G29/G18)</f>
      </c>
      <c r="H39" s="6">
        <f>IF(H18=0,"",H29/H18)</f>
      </c>
    </row>
    <row r="41">
      <c r="A41" s="0" t="inlineStr">
        <is>
          <t xml:space="preserve">x</t>
        </is>
      </c>
      <c r="B41" s="10" t="inlineStr">
        <is>
          <t xml:space="preserve">§2d - Constant FY2026 $M (then-year x deflator)</t>
        </is>
      </c>
      <c r="C41" s="10"/>
      <c r="D41" s="10"/>
      <c r="E41" s="10"/>
      <c r="F41" s="10"/>
      <c r="G41" s="10"/>
      <c r="H41" s="10"/>
      <c r="I41" s="10"/>
    </row>
    <row r="43">
      <c r="B43" s="2" t="inlineStr">
        <is>
          <t xml:space="preserve">Metric</t>
        </is>
      </c>
      <c r="C43" s="22">
        <v>2022</v>
      </c>
      <c r="D43" s="22">
        <v>2023</v>
      </c>
      <c r="E43" s="22">
        <v>2024</v>
      </c>
      <c r="F43" s="22">
        <v>2025</v>
      </c>
      <c r="G43" s="22">
        <v>2026</v>
      </c>
      <c r="H43" s="22">
        <v>2027</v>
      </c>
    </row>
    <row r="44" outlineLevel="1">
      <c r="B44" s="1" t="inlineStr">
        <is>
          <t xml:space="preserve">Total Ship Estimate</t>
        </is>
      </c>
      <c r="C44" s="11">
        <f>C18*'Deflators'!D7</f>
      </c>
      <c r="D44" s="11">
        <f>D18*'Deflators'!D8</f>
      </c>
      <c r="E44" s="11">
        <f>E18*'Deflators'!D9</f>
      </c>
      <c r="F44" s="11">
        <f>F18*'Deflators'!D10</f>
      </c>
      <c r="G44" s="11">
        <f>G18*'Deflators'!D11</f>
      </c>
      <c r="H44" s="11">
        <f>H18*'Deflators'!D12</f>
      </c>
    </row>
    <row r="45" outlineLevel="1">
      <c r="B45" s="1" t="inlineStr">
        <is>
          <t xml:space="preserve">Plans Costs</t>
        </is>
      </c>
      <c r="C45" s="11">
        <f>C19*'Deflators'!D7</f>
      </c>
      <c r="D45" s="11">
        <f>D19*'Deflators'!D8</f>
      </c>
      <c r="E45" s="11">
        <f>E19*'Deflators'!D9</f>
      </c>
      <c r="F45" s="11">
        <f>F19*'Deflators'!D10</f>
      </c>
      <c r="G45" s="11">
        <f>G19*'Deflators'!D11</f>
      </c>
      <c r="H45" s="11">
        <f>H19*'Deflators'!D12</f>
      </c>
    </row>
    <row r="46" outlineLevel="1">
      <c r="B46" s="1" t="inlineStr">
        <is>
          <t xml:space="preserve">Propulsion Equipment</t>
        </is>
      </c>
      <c r="C46" s="11">
        <f>C23*'Deflators'!D7</f>
      </c>
      <c r="D46" s="11">
        <f>D23*'Deflators'!D8</f>
      </c>
      <c r="E46" s="11">
        <f>E23*'Deflators'!D9</f>
      </c>
      <c r="F46" s="11">
        <f>F23*'Deflators'!D10</f>
      </c>
      <c r="G46" s="11">
        <f>G23*'Deflators'!D11</f>
      </c>
      <c r="H46" s="11">
        <f>H23*'Deflators'!D12</f>
      </c>
    </row>
    <row r="47" outlineLevel="1">
      <c r="B47" s="1" t="inlineStr">
        <is>
          <t xml:space="preserve">Electronics</t>
        </is>
      </c>
      <c r="C47" s="11">
        <f>C24*'Deflators'!D7</f>
      </c>
      <c r="D47" s="11">
        <f>D24*'Deflators'!D8</f>
      </c>
      <c r="E47" s="11">
        <f>E24*'Deflators'!D9</f>
      </c>
      <c r="F47" s="11">
        <f>F24*'Deflators'!D10</f>
      </c>
      <c r="G47" s="11">
        <f>G24*'Deflators'!D11</f>
      </c>
      <c r="H47" s="11">
        <f>H24*'Deflators'!D12</f>
      </c>
    </row>
    <row r="48" outlineLevel="1">
      <c r="B48" s="1" t="inlineStr">
        <is>
          <t xml:space="preserve">Hull, Mechanical, Electrical (HM&amp;E)</t>
        </is>
      </c>
      <c r="C48" s="11">
        <f>C25*'Deflators'!D7</f>
      </c>
      <c r="D48" s="11">
        <f>D25*'Deflators'!D8</f>
      </c>
      <c r="E48" s="11">
        <f>E25*'Deflators'!D9</f>
      </c>
      <c r="F48" s="11">
        <f>F25*'Deflators'!D10</f>
      </c>
      <c r="G48" s="11">
        <f>G25*'Deflators'!D11</f>
      </c>
      <c r="H48" s="11">
        <f>H25*'Deflators'!D12</f>
      </c>
    </row>
    <row r="49" outlineLevel="1">
      <c r="B49" s="1" t="inlineStr">
        <is>
          <t xml:space="preserve">Ordnance</t>
        </is>
      </c>
      <c r="C49" s="11">
        <f>C26*'Deflators'!D7</f>
      </c>
      <c r="D49" s="11">
        <f>D26*'Deflators'!D8</f>
      </c>
      <c r="E49" s="11">
        <f>E26*'Deflators'!D9</f>
      </c>
      <c r="F49" s="11">
        <f>F26*'Deflators'!D10</f>
      </c>
      <c r="G49" s="11">
        <f>G26*'Deflators'!D11</f>
      </c>
      <c r="H49" s="11">
        <f>H26*'Deflators'!D12</f>
      </c>
    </row>
    <row r="50" outlineLevel="1">
      <c r="B50" s="1" t="inlineStr">
        <is>
          <t xml:space="preserve">Other Cost</t>
        </is>
      </c>
      <c r="C50" s="11">
        <f>C27*'Deflators'!D7</f>
      </c>
      <c r="D50" s="11">
        <f>D27*'Deflators'!D8</f>
      </c>
      <c r="E50" s="11">
        <f>E27*'Deflators'!D9</f>
      </c>
      <c r="F50" s="11">
        <f>F27*'Deflators'!D10</f>
      </c>
      <c r="G50" s="11">
        <f>G27*'Deflators'!D11</f>
      </c>
      <c r="H50" s="11">
        <f>H27*'Deflators'!D12</f>
      </c>
    </row>
    <row r="51" outlineLevel="1">
      <c r="B51" s="1" t="inlineStr">
        <is>
          <t xml:space="preserve">Technology Insertion</t>
        </is>
      </c>
      <c r="C51" s="11">
        <f>C28*'Deflators'!D7</f>
      </c>
      <c r="D51" s="11">
        <f>D28*'Deflators'!D8</f>
      </c>
      <c r="E51" s="11">
        <f>E28*'Deflators'!D9</f>
      </c>
      <c r="F51" s="11">
        <f>F28*'Deflators'!D10</f>
      </c>
      <c r="G51" s="11">
        <f>G28*'Deflators'!D11</f>
      </c>
      <c r="H51" s="11">
        <f>H28*'Deflators'!D12</f>
      </c>
    </row>
    <row r="52" outlineLevel="1">
      <c r="B52" s="1" t="inlineStr">
        <is>
          <t xml:space="preserve">GFE Sum</t>
        </is>
      </c>
      <c r="C52" s="11">
        <f>C29*'Deflators'!D7</f>
      </c>
      <c r="D52" s="11">
        <f>D29*'Deflators'!D8</f>
      </c>
      <c r="E52" s="11">
        <f>E29*'Deflators'!D9</f>
      </c>
      <c r="F52" s="11">
        <f>F29*'Deflators'!D10</f>
      </c>
      <c r="G52" s="11">
        <f>G29*'Deflators'!D11</f>
      </c>
      <c r="H52" s="11">
        <f>H29*'Deflators'!D12</f>
      </c>
    </row>
    <row r="53" outlineLevel="1">
      <c r="B53" s="1" t="inlineStr">
        <is>
          <t xml:space="preserve">Change Orders</t>
        </is>
      </c>
      <c r="C53" s="11">
        <f>C33*'Deflators'!D7</f>
      </c>
      <c r="D53" s="11">
        <f>D33*'Deflators'!D8</f>
      </c>
      <c r="E53" s="11">
        <f>E33*'Deflators'!D9</f>
      </c>
      <c r="F53" s="11">
        <f>F33*'Deflators'!D10</f>
      </c>
      <c r="G53" s="11">
        <f>G33*'Deflators'!D11</f>
      </c>
      <c r="H53" s="11">
        <f>H33*'Deflators'!D12</f>
      </c>
    </row>
    <row r="54" outlineLevel="1">
      <c r="B54" s="1" t="inlineStr">
        <is>
          <t xml:space="preserve">Basic Construction</t>
        </is>
      </c>
      <c r="C54" s="11">
        <f>C34*'Deflators'!D7</f>
      </c>
      <c r="D54" s="11">
        <f>D34*'Deflators'!D8</f>
      </c>
      <c r="E54" s="11">
        <f>E34*'Deflators'!D9</f>
      </c>
      <c r="F54" s="11">
        <f>F34*'Deflators'!D10</f>
      </c>
      <c r="G54" s="11">
        <f>G34*'Deflators'!D11</f>
      </c>
      <c r="H54" s="11">
        <f>H34*'Deflators'!D12</f>
      </c>
    </row>
    <row r="57">
      <c r="A57" s="0" t="inlineStr">
        <is>
          <t xml:space="preserve">x</t>
        </is>
      </c>
      <c r="B57" s="9" t="inlineStr">
        <is>
          <t xml:space="preserve">§3 - Columbia (LI 1045) SCN P-5c per FY ($M)</t>
        </is>
      </c>
      <c r="C57" s="9"/>
      <c r="D57" s="9"/>
      <c r="E57" s="9"/>
      <c r="F57" s="9"/>
      <c r="G57" s="9"/>
      <c r="H57" s="9"/>
      <c r="I57" s="9"/>
    </row>
    <row r="59">
      <c r="B59" s="2" t="inlineStr">
        <is>
          <t xml:space="preserve">Metric</t>
        </is>
      </c>
      <c r="C59" s="22">
        <v>2022</v>
      </c>
      <c r="D59" s="22">
        <v>2023</v>
      </c>
      <c r="E59" s="22">
        <v>2024</v>
      </c>
      <c r="F59" s="22">
        <v>2025</v>
      </c>
      <c r="G59" s="22">
        <v>2026</v>
      </c>
      <c r="H59" s="22">
        <v>2027</v>
      </c>
    </row>
    <row r="60" outlineLevel="1">
      <c r="B60" s="1" t="inlineStr">
        <is>
          <t xml:space="preserve">Total Ship Estimate</t>
        </is>
      </c>
      <c r="C60" s="5"/>
      <c r="D60" s="5"/>
      <c r="E60" s="5">
        <v>10688.811</v>
      </c>
      <c r="F60" s="5"/>
      <c r="G60" s="5">
        <v>10744.317</v>
      </c>
      <c r="H60" s="5">
        <v>10486.369</v>
      </c>
    </row>
    <row r="61" outlineLevel="1">
      <c r="B61" s="1" t="inlineStr">
        <is>
          <t xml:space="preserve">Plans Costs</t>
        </is>
      </c>
      <c r="C61" s="5"/>
      <c r="D61" s="5"/>
      <c r="E61" s="5">
        <v>1443.3</v>
      </c>
      <c r="F61" s="5"/>
      <c r="G61" s="5">
        <v>1095.773</v>
      </c>
      <c r="H61" s="5">
        <v>861.527</v>
      </c>
    </row>
    <row r="63">
      <c r="A63" s="0" t="inlineStr">
        <is>
          <t xml:space="preserve">x</t>
        </is>
      </c>
      <c r="B63" s="10" t="inlineStr">
        <is>
          <t xml:space="preserve">§3a - GFE components</t>
        </is>
      </c>
      <c r="C63" s="10"/>
      <c r="D63" s="10"/>
      <c r="E63" s="10"/>
      <c r="F63" s="10"/>
      <c r="G63" s="10"/>
      <c r="H63" s="10"/>
      <c r="I63" s="10"/>
    </row>
    <row r="65" outlineLevel="1">
      <c r="B65" s="1" t="inlineStr">
        <is>
          <t xml:space="preserve">Propulsion Equipment</t>
        </is>
      </c>
      <c r="C65" s="5"/>
      <c r="D65" s="5"/>
      <c r="E65" s="5">
        <v>1613.999</v>
      </c>
      <c r="F65" s="5"/>
      <c r="G65" s="5">
        <v>1294.878</v>
      </c>
      <c r="H65" s="5">
        <v>1541.973</v>
      </c>
    </row>
    <row r="66" outlineLevel="1">
      <c r="B66" s="1" t="inlineStr">
        <is>
          <t xml:space="preserve">Electronics</t>
        </is>
      </c>
      <c r="C66" s="5"/>
      <c r="D66" s="5"/>
      <c r="E66" s="5">
        <v>349.701</v>
      </c>
      <c r="F66" s="5"/>
      <c r="G66" s="5">
        <v>361.283</v>
      </c>
      <c r="H66" s="5">
        <v>367.634</v>
      </c>
    </row>
    <row r="67" outlineLevel="1">
      <c r="B67" s="1" t="inlineStr">
        <is>
          <t xml:space="preserve">Hull, Mechanical, Electrical (HM&amp;E)</t>
        </is>
      </c>
      <c r="C67" s="5"/>
      <c r="D67" s="5"/>
      <c r="E67" s="5">
        <v>119.107</v>
      </c>
      <c r="F67" s="5"/>
      <c r="G67" s="5">
        <v>102.496</v>
      </c>
      <c r="H67" s="5">
        <v>101.71</v>
      </c>
    </row>
    <row r="68" outlineLevel="1">
      <c r="B68" s="1" t="inlineStr">
        <is>
          <t xml:space="preserve">Ordnance</t>
        </is>
      </c>
      <c r="C68" s="5"/>
      <c r="D68" s="5"/>
      <c r="E68" s="5">
        <v>596.757</v>
      </c>
      <c r="F68" s="5"/>
      <c r="G68" s="5">
        <v>468.84</v>
      </c>
      <c r="H68" s="5">
        <v>512.585</v>
      </c>
    </row>
    <row r="69" outlineLevel="1">
      <c r="B69" s="1" t="inlineStr">
        <is>
          <t xml:space="preserve">Other Cost</t>
        </is>
      </c>
      <c r="C69" s="5"/>
      <c r="D69" s="5"/>
      <c r="E69" s="5">
        <v>66.618</v>
      </c>
      <c r="F69" s="5"/>
      <c r="G69" s="5">
        <v>43.887</v>
      </c>
      <c r="H69" s="5">
        <v>40.078</v>
      </c>
    </row>
    <row r="70" outlineLevel="1">
      <c r="B70" s="1" t="inlineStr">
        <is>
          <t xml:space="preserve">Technology Insertion</t>
        </is>
      </c>
      <c r="C70" s="5"/>
      <c r="D70" s="5"/>
      <c r="E70" s="5"/>
      <c r="F70" s="5"/>
      <c r="G70" s="5"/>
      <c r="H70" s="5"/>
    </row>
    <row r="71" outlineLevel="1">
      <c r="B71" s="1" t="inlineStr">
        <is>
          <t xml:space="preserve">GFE Sum</t>
        </is>
      </c>
      <c r="C71" s="5"/>
      <c r="D71" s="5"/>
      <c r="E71" s="5">
        <v>2560.457</v>
      </c>
      <c r="F71" s="5"/>
      <c r="G71" s="5">
        <v>2125.001</v>
      </c>
      <c r="H71" s="5">
        <v>2422.192</v>
      </c>
    </row>
    <row r="73">
      <c r="A73" s="0" t="inlineStr">
        <is>
          <t xml:space="preserve">x</t>
        </is>
      </c>
      <c r="B73" s="10" t="inlineStr">
        <is>
          <t xml:space="preserve">§3b - Construction</t>
        </is>
      </c>
      <c r="C73" s="10"/>
      <c r="D73" s="10"/>
      <c r="E73" s="10"/>
      <c r="F73" s="10"/>
      <c r="G73" s="10"/>
      <c r="H73" s="10"/>
      <c r="I73" s="10"/>
    </row>
    <row r="75" outlineLevel="1">
      <c r="B75" s="1" t="inlineStr">
        <is>
          <t xml:space="preserve">Change Orders</t>
        </is>
      </c>
      <c r="C75" s="5"/>
      <c r="D75" s="5"/>
      <c r="E75" s="5">
        <v>143.242</v>
      </c>
      <c r="F75" s="5"/>
      <c r="G75" s="5">
        <v>217.392</v>
      </c>
      <c r="H75" s="5">
        <v>207.129</v>
      </c>
    </row>
    <row r="76" outlineLevel="1">
      <c r="B76" s="1" t="inlineStr">
        <is>
          <t xml:space="preserve">Basic Construction</t>
        </is>
      </c>
      <c r="C76" s="5"/>
      <c r="D76" s="5"/>
      <c r="E76" s="5">
        <v>6356.087</v>
      </c>
      <c r="F76" s="5"/>
      <c r="G76" s="5">
        <v>7159.768</v>
      </c>
      <c r="H76" s="5">
        <v>6853.733</v>
      </c>
    </row>
    <row r="78">
      <c r="A78" s="0" t="inlineStr">
        <is>
          <t xml:space="preserve">x</t>
        </is>
      </c>
      <c r="B78" s="10" t="inlineStr">
        <is>
          <t xml:space="preserve">§3c - Derived ratios</t>
        </is>
      </c>
      <c r="C78" s="10"/>
      <c r="D78" s="10"/>
      <c r="E78" s="10"/>
      <c r="F78" s="10"/>
      <c r="G78" s="10"/>
      <c r="H78" s="10"/>
      <c r="I78" s="10"/>
    </row>
    <row r="80" outlineLevel="1">
      <c r="B80" s="1" t="inlineStr">
        <is>
          <t xml:space="preserve">BC % of Total</t>
        </is>
      </c>
      <c r="C80" s="6">
        <f>IF(C60=0,"",C76/C60)</f>
      </c>
      <c r="D80" s="6">
        <f>IF(D60=0,"",D76/D60)</f>
      </c>
      <c r="E80" s="6">
        <f>IF(E60=0,"",E76/E60)</f>
      </c>
      <c r="F80" s="6">
        <f>IF(F60=0,"",F76/F60)</f>
      </c>
      <c r="G80" s="6">
        <f>IF(G60=0,"",G76/G60)</f>
      </c>
      <c r="H80" s="6">
        <f>IF(H60=0,"",H76/H60)</f>
      </c>
    </row>
    <row r="81" outlineLevel="1">
      <c r="B81" s="1" t="inlineStr">
        <is>
          <t xml:space="preserve">GFE % of Total</t>
        </is>
      </c>
      <c r="C81" s="6">
        <f>IF(C60=0,"",C71/C60)</f>
      </c>
      <c r="D81" s="6">
        <f>IF(D60=0,"",D71/D60)</f>
      </c>
      <c r="E81" s="6">
        <f>IF(E60=0,"",E71/E60)</f>
      </c>
      <c r="F81" s="6">
        <f>IF(F60=0,"",F71/F60)</f>
      </c>
      <c r="G81" s="6">
        <f>IF(G60=0,"",G71/G60)</f>
      </c>
      <c r="H81" s="6">
        <f>IF(H60=0,"",H71/H60)</f>
      </c>
    </row>
    <row r="83">
      <c r="A83" s="0" t="inlineStr">
        <is>
          <t xml:space="preserve">x</t>
        </is>
      </c>
      <c r="B83" s="10" t="inlineStr">
        <is>
          <t xml:space="preserve">§3d - Constant FY2026 $M (then-year x deflator)</t>
        </is>
      </c>
      <c r="C83" s="10"/>
      <c r="D83" s="10"/>
      <c r="E83" s="10"/>
      <c r="F83" s="10"/>
      <c r="G83" s="10"/>
      <c r="H83" s="10"/>
      <c r="I83" s="10"/>
    </row>
    <row r="85">
      <c r="B85" s="2" t="inlineStr">
        <is>
          <t xml:space="preserve">Metric</t>
        </is>
      </c>
      <c r="C85" s="22">
        <v>2022</v>
      </c>
      <c r="D85" s="22">
        <v>2023</v>
      </c>
      <c r="E85" s="22">
        <v>2024</v>
      </c>
      <c r="F85" s="22">
        <v>2025</v>
      </c>
      <c r="G85" s="22">
        <v>2026</v>
      </c>
      <c r="H85" s="22">
        <v>2027</v>
      </c>
    </row>
    <row r="86" outlineLevel="1">
      <c r="B86" s="1" t="inlineStr">
        <is>
          <t xml:space="preserve">Total Ship Estimate</t>
        </is>
      </c>
      <c r="C86" s="11">
        <f>C60*'Deflators'!D7</f>
      </c>
      <c r="D86" s="11">
        <f>D60*'Deflators'!D8</f>
      </c>
      <c r="E86" s="11">
        <f>E60*'Deflators'!D9</f>
      </c>
      <c r="F86" s="11">
        <f>F60*'Deflators'!D10</f>
      </c>
      <c r="G86" s="11">
        <f>G60*'Deflators'!D11</f>
      </c>
      <c r="H86" s="11">
        <f>H60*'Deflators'!D12</f>
      </c>
    </row>
    <row r="87" outlineLevel="1">
      <c r="B87" s="1" t="inlineStr">
        <is>
          <t xml:space="preserve">Plans Costs</t>
        </is>
      </c>
      <c r="C87" s="11">
        <f>C61*'Deflators'!D7</f>
      </c>
      <c r="D87" s="11">
        <f>D61*'Deflators'!D8</f>
      </c>
      <c r="E87" s="11">
        <f>E61*'Deflators'!D9</f>
      </c>
      <c r="F87" s="11">
        <f>F61*'Deflators'!D10</f>
      </c>
      <c r="G87" s="11">
        <f>G61*'Deflators'!D11</f>
      </c>
      <c r="H87" s="11">
        <f>H61*'Deflators'!D12</f>
      </c>
    </row>
    <row r="88" outlineLevel="1">
      <c r="B88" s="1" t="inlineStr">
        <is>
          <t xml:space="preserve">Propulsion Equipment</t>
        </is>
      </c>
      <c r="C88" s="11">
        <f>C65*'Deflators'!D7</f>
      </c>
      <c r="D88" s="11">
        <f>D65*'Deflators'!D8</f>
      </c>
      <c r="E88" s="11">
        <f>E65*'Deflators'!D9</f>
      </c>
      <c r="F88" s="11">
        <f>F65*'Deflators'!D10</f>
      </c>
      <c r="G88" s="11">
        <f>G65*'Deflators'!D11</f>
      </c>
      <c r="H88" s="11">
        <f>H65*'Deflators'!D12</f>
      </c>
    </row>
    <row r="89" outlineLevel="1">
      <c r="B89" s="1" t="inlineStr">
        <is>
          <t xml:space="preserve">Electronics</t>
        </is>
      </c>
      <c r="C89" s="11">
        <f>C66*'Deflators'!D7</f>
      </c>
      <c r="D89" s="11">
        <f>D66*'Deflators'!D8</f>
      </c>
      <c r="E89" s="11">
        <f>E66*'Deflators'!D9</f>
      </c>
      <c r="F89" s="11">
        <f>F66*'Deflators'!D10</f>
      </c>
      <c r="G89" s="11">
        <f>G66*'Deflators'!D11</f>
      </c>
      <c r="H89" s="11">
        <f>H66*'Deflators'!D12</f>
      </c>
    </row>
    <row r="90" outlineLevel="1">
      <c r="B90" s="1" t="inlineStr">
        <is>
          <t xml:space="preserve">Hull, Mechanical, Electrical (HM&amp;E)</t>
        </is>
      </c>
      <c r="C90" s="11">
        <f>C67*'Deflators'!D7</f>
      </c>
      <c r="D90" s="11">
        <f>D67*'Deflators'!D8</f>
      </c>
      <c r="E90" s="11">
        <f>E67*'Deflators'!D9</f>
      </c>
      <c r="F90" s="11">
        <f>F67*'Deflators'!D10</f>
      </c>
      <c r="G90" s="11">
        <f>G67*'Deflators'!D11</f>
      </c>
      <c r="H90" s="11">
        <f>H67*'Deflators'!D12</f>
      </c>
    </row>
    <row r="91" outlineLevel="1">
      <c r="B91" s="1" t="inlineStr">
        <is>
          <t xml:space="preserve">Ordnance</t>
        </is>
      </c>
      <c r="C91" s="11">
        <f>C68*'Deflators'!D7</f>
      </c>
      <c r="D91" s="11">
        <f>D68*'Deflators'!D8</f>
      </c>
      <c r="E91" s="11">
        <f>E68*'Deflators'!D9</f>
      </c>
      <c r="F91" s="11">
        <f>F68*'Deflators'!D10</f>
      </c>
      <c r="G91" s="11">
        <f>G68*'Deflators'!D11</f>
      </c>
      <c r="H91" s="11">
        <f>H68*'Deflators'!D12</f>
      </c>
    </row>
    <row r="92" outlineLevel="1">
      <c r="B92" s="1" t="inlineStr">
        <is>
          <t xml:space="preserve">Other Cost</t>
        </is>
      </c>
      <c r="C92" s="11">
        <f>C69*'Deflators'!D7</f>
      </c>
      <c r="D92" s="11">
        <f>D69*'Deflators'!D8</f>
      </c>
      <c r="E92" s="11">
        <f>E69*'Deflators'!D9</f>
      </c>
      <c r="F92" s="11">
        <f>F69*'Deflators'!D10</f>
      </c>
      <c r="G92" s="11">
        <f>G69*'Deflators'!D11</f>
      </c>
      <c r="H92" s="11">
        <f>H69*'Deflators'!D12</f>
      </c>
    </row>
    <row r="93" outlineLevel="1">
      <c r="B93" s="1" t="inlineStr">
        <is>
          <t xml:space="preserve">Technology Insertion</t>
        </is>
      </c>
      <c r="C93" s="11">
        <f>C70*'Deflators'!D7</f>
      </c>
      <c r="D93" s="11">
        <f>D70*'Deflators'!D8</f>
      </c>
      <c r="E93" s="11">
        <f>E70*'Deflators'!D9</f>
      </c>
      <c r="F93" s="11">
        <f>F70*'Deflators'!D10</f>
      </c>
      <c r="G93" s="11">
        <f>G70*'Deflators'!D11</f>
      </c>
      <c r="H93" s="11">
        <f>H70*'Deflators'!D12</f>
      </c>
    </row>
    <row r="94" outlineLevel="1">
      <c r="B94" s="1" t="inlineStr">
        <is>
          <t xml:space="preserve">GFE Sum</t>
        </is>
      </c>
      <c r="C94" s="11">
        <f>C71*'Deflators'!D7</f>
      </c>
      <c r="D94" s="11">
        <f>D71*'Deflators'!D8</f>
      </c>
      <c r="E94" s="11">
        <f>E71*'Deflators'!D9</f>
      </c>
      <c r="F94" s="11">
        <f>F71*'Deflators'!D10</f>
      </c>
      <c r="G94" s="11">
        <f>G71*'Deflators'!D11</f>
      </c>
      <c r="H94" s="11">
        <f>H71*'Deflators'!D12</f>
      </c>
    </row>
    <row r="95" outlineLevel="1">
      <c r="B95" s="1" t="inlineStr">
        <is>
          <t xml:space="preserve">Change Orders</t>
        </is>
      </c>
      <c r="C95" s="11">
        <f>C75*'Deflators'!D7</f>
      </c>
      <c r="D95" s="11">
        <f>D75*'Deflators'!D8</f>
      </c>
      <c r="E95" s="11">
        <f>E75*'Deflators'!D9</f>
      </c>
      <c r="F95" s="11">
        <f>F75*'Deflators'!D10</f>
      </c>
      <c r="G95" s="11">
        <f>G75*'Deflators'!D11</f>
      </c>
      <c r="H95" s="11">
        <f>H75*'Deflators'!D12</f>
      </c>
    </row>
    <row r="96" outlineLevel="1">
      <c r="B96" s="1" t="inlineStr">
        <is>
          <t xml:space="preserve">Basic Construction</t>
        </is>
      </c>
      <c r="C96" s="11">
        <f>C76*'Deflators'!D7</f>
      </c>
      <c r="D96" s="11">
        <f>D76*'Deflators'!D8</f>
      </c>
      <c r="E96" s="11">
        <f>E76*'Deflators'!D9</f>
      </c>
      <c r="F96" s="11">
        <f>F76*'Deflators'!D10</f>
      </c>
      <c r="G96" s="11">
        <f>G76*'Deflators'!D11</f>
      </c>
      <c r="H96" s="11">
        <f>H76*'Deflators'!D12</f>
      </c>
    </row>
    <row r="99">
      <c r="A99" s="0" t="inlineStr">
        <is>
          <t xml:space="preserve">x</t>
        </is>
      </c>
      <c r="B99" s="9" t="inlineStr">
        <is>
          <t xml:space="preserve">§4 - Portfolio rollup (Virginia + Columbia, $M by FY)</t>
        </is>
      </c>
      <c r="C99" s="9"/>
      <c r="D99" s="9"/>
      <c r="E99" s="9"/>
      <c r="F99" s="9"/>
      <c r="G99" s="9"/>
      <c r="H99" s="9"/>
      <c r="I99" s="9"/>
    </row>
    <row r="101">
      <c r="B101" s="2" t="inlineStr">
        <is>
          <t xml:space="preserve">Metric</t>
        </is>
      </c>
      <c r="C101" s="22">
        <v>2022</v>
      </c>
      <c r="D101" s="22">
        <v>2023</v>
      </c>
      <c r="E101" s="22">
        <v>2024</v>
      </c>
      <c r="F101" s="22">
        <v>2025</v>
      </c>
      <c r="G101" s="22">
        <v>2026</v>
      </c>
      <c r="H101" s="22">
        <v>2027</v>
      </c>
      <c r="I101" s="22" t="inlineStr">
        <is>
          <t xml:space="preserve">Total</t>
        </is>
      </c>
    </row>
    <row r="102" outlineLevel="1">
      <c r="B102" s="1" t="inlineStr">
        <is>
          <t xml:space="preserve">Total Ship Estimate</t>
        </is>
      </c>
      <c r="C102" s="4">
        <f>N('SCN Budget'!C44)+N('SCN Budget'!C86)</f>
      </c>
      <c r="D102" s="4">
        <f>N('SCN Budget'!D44)+N('SCN Budget'!D86)</f>
      </c>
      <c r="E102" s="4">
        <f>N('SCN Budget'!E44)+N('SCN Budget'!E86)</f>
      </c>
      <c r="F102" s="4">
        <f>N('SCN Budget'!F44)+N('SCN Budget'!F86)</f>
      </c>
      <c r="G102" s="4">
        <f>N('SCN Budget'!G44)+N('SCN Budget'!G86)</f>
      </c>
      <c r="H102" s="4">
        <f>N('SCN Budget'!H44)+N('SCN Budget'!H86)</f>
      </c>
      <c r="I102" s="4">
        <f>SUM(C102:H102)</f>
      </c>
    </row>
    <row r="103" outlineLevel="1">
      <c r="B103" s="1" t="inlineStr">
        <is>
          <t xml:space="preserve">GFE Sum</t>
        </is>
      </c>
      <c r="C103" s="4">
        <f>N('SCN Budget'!C52)+N('SCN Budget'!C94)</f>
      </c>
      <c r="D103" s="4">
        <f>N('SCN Budget'!D52)+N('SCN Budget'!D94)</f>
      </c>
      <c r="E103" s="4">
        <f>N('SCN Budget'!E52)+N('SCN Budget'!E94)</f>
      </c>
      <c r="F103" s="4">
        <f>N('SCN Budget'!F52)+N('SCN Budget'!F94)</f>
      </c>
      <c r="G103" s="4">
        <f>N('SCN Budget'!G52)+N('SCN Budget'!G94)</f>
      </c>
      <c r="H103" s="4">
        <f>N('SCN Budget'!H52)+N('SCN Budget'!H94)</f>
      </c>
      <c r="I103" s="4">
        <f>SUM(C103:H103)</f>
      </c>
    </row>
    <row r="104" outlineLevel="1">
      <c r="B104" s="1" t="inlineStr">
        <is>
          <t xml:space="preserve">Basic Construction</t>
        </is>
      </c>
      <c r="C104" s="4">
        <f>N('SCN Budget'!C54)+N('SCN Budget'!C96)</f>
      </c>
      <c r="D104" s="4">
        <f>N('SCN Budget'!D54)+N('SCN Budget'!D96)</f>
      </c>
      <c r="E104" s="4">
        <f>N('SCN Budget'!E54)+N('SCN Budget'!E96)</f>
      </c>
      <c r="F104" s="4">
        <f>N('SCN Budget'!F54)+N('SCN Budget'!F96)</f>
      </c>
      <c r="G104" s="4">
        <f>N('SCN Budget'!G54)+N('SCN Budget'!G96)</f>
      </c>
      <c r="H104" s="4">
        <f>N('SCN Budget'!H54)+N('SCN Budget'!H96)</f>
      </c>
      <c r="I104" s="4">
        <f>SUM(C104:H104)</f>
      </c>
    </row>
    <row r="105" outlineLevel="1">
      <c r="B105" s="1" t="inlineStr">
        <is>
          <t xml:space="preserve">BC % of Total</t>
        </is>
      </c>
      <c r="C105" s="6">
        <f>IF(C102=0,"",C104/C102)</f>
      </c>
      <c r="D105" s="6">
        <f>IF(D102=0,"",D104/D102)</f>
      </c>
      <c r="E105" s="6">
        <f>IF(E102=0,"",E104/E102)</f>
      </c>
      <c r="F105" s="6">
        <f>IF(F102=0,"",F104/F102)</f>
      </c>
      <c r="G105" s="6">
        <f>IF(G102=0,"",G104/G102)</f>
      </c>
      <c r="H105" s="6">
        <f>IF(H102=0,"",H104/H102)</f>
      </c>
      <c r="I105" s="6">
        <f>IF(I102=0,"",I104/I102)</f>
      </c>
    </row>
    <row r="106" outlineLevel="1">
      <c r="B106" s="1" t="inlineStr">
        <is>
          <t xml:space="preserve">GFE % of Total</t>
        </is>
      </c>
      <c r="C106" s="6">
        <f>IF(C102=0,"",C103/C102)</f>
      </c>
      <c r="D106" s="6">
        <f>IF(D102=0,"",D103/D102)</f>
      </c>
      <c r="E106" s="6">
        <f>IF(E102=0,"",E103/E102)</f>
      </c>
      <c r="F106" s="6">
        <f>IF(F102=0,"",F103/F102)</f>
      </c>
      <c r="G106" s="6">
        <f>IF(G102=0,"",G103/G102)</f>
      </c>
      <c r="H106" s="6">
        <f>IF(H102=0,"",H103/H102)</f>
      </c>
      <c r="I106" s="6">
        <f>IF(I102=0,"",I103/I102)</f>
      </c>
    </row>
    <row r="109">
      <c r="A109" s="0" t="inlineStr">
        <is>
          <t xml:space="preserve">x</t>
        </is>
      </c>
      <c r="B109" s="9" t="inlineStr">
        <is>
          <t xml:space="preserve">§5 - Sources</t>
        </is>
      </c>
      <c r="C109" s="9"/>
      <c r="D109" s="9"/>
      <c r="E109" s="9"/>
      <c r="F109" s="9"/>
      <c r="G109" s="9"/>
      <c r="H109" s="9"/>
      <c r="I109" s="9"/>
    </row>
    <row r="111">
      <c r="B111" s="2" t="inlineStr">
        <is>
          <t xml:space="preserve">Source family</t>
        </is>
      </c>
      <c r="C111" s="2" t="inlineStr">
        <is>
          <t xml:space="preserve">Source Index ID</t>
        </is>
      </c>
      <c r="D111" s="2" t="inlineStr">
        <is>
          <t xml:space="preserve">Refresh</t>
        </is>
      </c>
    </row>
    <row r="112" outlineLevel="1">
      <c r="B112" s="0" t="inlineStr">
        <is>
          <t xml:space="preserve">SCN P-5c (Basic Construction)</t>
        </is>
      </c>
      <c r="C112" s="0" t="inlineStr">
        <is>
          <t xml:space="preserve">Source Index §2</t>
        </is>
      </c>
      <c r="D112" s="0" t="inlineStr">
        <is>
          <t xml:space="preserve">FY22-27 PB</t>
        </is>
      </c>
    </row>
  </sheetData>
</worksheet>
</file>

<file path=xl/worksheets/sheet9.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46" customWidth="1"/>
    <col min="3" max="3" width="10" customWidth="1"/>
    <col min="4" max="4" width="10" customWidth="1"/>
    <col min="5" max="5" width="10" customWidth="1"/>
    <col min="6" max="6" width="10" customWidth="1"/>
    <col min="7" max="7" width="10" customWidth="1"/>
    <col min="8" max="8" width="10" customWidth="1"/>
    <col min="9" max="9" width="12" customWidth="1"/>
  </cols>
  <sheetData>
    <row r="1"/>
    <row r="2">
      <c r="B2" s="8" t="inlineStr">
        <is>
          <t xml:space="preserve">OBBBA Mandatory</t>
        </is>
      </c>
      <c r="C2" s="8"/>
      <c r="D2" s="8"/>
      <c r="E2" s="8"/>
      <c r="F2" s="8"/>
      <c r="G2" s="8"/>
      <c r="H2" s="8"/>
      <c r="I2" s="8"/>
    </row>
    <row r="4">
      <c r="B4" s="9" t="inlineStr">
        <is>
          <t xml:space="preserve">§1 - Mandatory funding ($M)</t>
        </is>
      </c>
      <c r="C4" s="9"/>
      <c r="D4" s="9"/>
      <c r="E4" s="9"/>
      <c r="F4" s="9"/>
      <c r="G4" s="9"/>
      <c r="H4" s="9"/>
      <c r="I4" s="9"/>
    </row>
    <row r="6">
      <c r="B6" s="2" t="inlineStr">
        <is>
          <t xml:space="preserve">Measure</t>
        </is>
      </c>
      <c r="C6" s="22" t="inlineStr">
        <is>
          <t xml:space="preserve">Value</t>
        </is>
      </c>
    </row>
    <row r="7">
      <c r="B7" s="1" t="inlineStr">
        <is>
          <t xml:space="preserve">Gross award (Sec. 20002(16)) $M</t>
        </is>
      </c>
      <c r="C7" s="4">
        <f>I28</f>
      </c>
    </row>
    <row r="8">
      <c r="B8" s="1" t="inlineStr">
        <is>
          <t xml:space="preserve">OBBBA BC base in TAM $M (constant FY2026)</t>
        </is>
      </c>
      <c r="C8" s="4">
        <f>I43+I44</f>
      </c>
    </row>
    <row r="9">
      <c r="B9" s="0" t="inlineStr">
        <is>
          <t xml:space="preserve">Full-gross sensitivity $M (reference; not applied)</t>
        </is>
      </c>
      <c r="C9" s="4">
        <f>I28*'TAM Build'!C62</f>
      </c>
    </row>
    <row r="10">
      <c r="B10" s="0" t="inlineStr">
        <is>
          <t xml:space="preserve">Capacity / cadence memo $M (excluded)</t>
        </is>
      </c>
      <c r="C10" s="4">
        <f>D57</f>
      </c>
    </row>
    <row r="13">
      <c r="A13" s="0" t="inlineStr">
        <is>
          <t xml:space="preserve">x</t>
        </is>
      </c>
      <c r="B13" s="9" t="inlineStr">
        <is>
          <t xml:space="preserve">§2 - Source line (OBBBA Sec. 20002, line 16)</t>
        </is>
      </c>
      <c r="C13" s="9"/>
      <c r="D13" s="9"/>
      <c r="E13" s="9"/>
      <c r="F13" s="9"/>
      <c r="G13" s="9"/>
      <c r="H13" s="9"/>
      <c r="I13" s="9"/>
    </row>
    <row r="15">
      <c r="B15" s="2" t="inlineStr">
        <is>
          <t xml:space="preserve">Field</t>
        </is>
      </c>
      <c r="C15" s="2" t="inlineStr">
        <is>
          <t xml:space="preserve">Value</t>
        </is>
      </c>
    </row>
    <row r="16" outlineLevel="1">
      <c r="B16" s="0" t="inlineStr">
        <is>
          <t xml:space="preserve">Authority</t>
        </is>
      </c>
      <c r="C16" s="0" t="inlineStr">
        <is>
          <t xml:space="preserve">PL 119-21 Title II (OBBBA), Sec. 20002 Shipbuilding, line 16</t>
        </is>
      </c>
    </row>
    <row r="17" outlineLevel="1">
      <c r="B17" s="0" t="inlineStr">
        <is>
          <t xml:space="preserve">Title</t>
        </is>
      </c>
      <c r="C17" s="0" t="inlineStr">
        <is>
          <t xml:space="preserve">Second Virginia-class submarine in fiscal year 2026</t>
        </is>
      </c>
    </row>
    <row r="18" outlineLevel="1">
      <c r="B18" s="0" t="inlineStr">
        <is>
          <t xml:space="preserve">Program</t>
        </is>
      </c>
      <c r="C18" s="0" t="inlineStr">
        <is>
          <t xml:space="preserve">Virginia class (LI 2013) - one boat, additive to the FY26 discretionary request</t>
        </is>
      </c>
    </row>
    <row r="19" outlineLevel="1">
      <c r="B19" s="0" t="inlineStr">
        <is>
          <t xml:space="preserve">Funding type</t>
        </is>
      </c>
      <c r="C19" s="0" t="inlineStr">
        <is>
          <t xml:space="preserve">Mandatory appropriation (reconciliation)</t>
        </is>
      </c>
    </row>
    <row r="20" outlineLevel="1">
      <c r="B20" s="0" t="inlineStr">
        <is>
          <t xml:space="preserve">Scope</t>
        </is>
      </c>
      <c r="C20" s="0" t="inlineStr">
        <is>
          <t xml:space="preserve">Full ship procurement (no cost-category breakout)</t>
        </is>
      </c>
    </row>
    <row r="21" outlineLevel="1">
      <c r="B21" s="0" t="inlineStr">
        <is>
          <t xml:space="preserve">Award timing</t>
        </is>
      </c>
      <c r="C21" s="0" t="inlineStr">
        <is>
          <t xml:space="preserve">FY2026, alongside the discretionary FY26 boat</t>
        </is>
      </c>
    </row>
    <row r="22" outlineLevel="1">
      <c r="B22" s="0" t="inlineStr">
        <is>
          <t xml:space="preserve">Obligation availability</t>
        </is>
      </c>
      <c r="C22" s="0" t="inlineStr">
        <is>
          <t xml:space="preserve">Through 2029-09-30</t>
        </is>
      </c>
    </row>
    <row r="23" outlineLevel="1">
      <c r="B23" s="0" t="inlineStr">
        <is>
          <t xml:space="preserve">Booking basis</t>
        </is>
      </c>
      <c r="C23" s="0" t="inlineStr">
        <is>
          <t xml:space="preserve">Budget-year (all in FY2026)</t>
        </is>
      </c>
    </row>
    <row r="25">
      <c r="B25" s="2" t="inlineStr">
        <is>
          <t xml:space="preserve">Class</t>
        </is>
      </c>
      <c r="C25" s="22">
        <v>2022</v>
      </c>
      <c r="D25" s="22">
        <v>2023</v>
      </c>
      <c r="E25" s="22">
        <v>2024</v>
      </c>
      <c r="F25" s="22">
        <v>2025</v>
      </c>
      <c r="G25" s="22">
        <v>2026</v>
      </c>
      <c r="H25" s="22">
        <v>2027</v>
      </c>
      <c r="I25" s="22" t="inlineStr">
        <is>
          <t xml:space="preserve">Total</t>
        </is>
      </c>
    </row>
    <row r="26" outlineLevel="1">
      <c r="B26" s="1" t="inlineStr">
        <is>
          <t xml:space="preserve">Virginia (LI 2013)</t>
        </is>
      </c>
      <c r="C26" s="5">
        <v>0</v>
      </c>
      <c r="D26" s="5">
        <v>0</v>
      </c>
      <c r="E26" s="5">
        <v>0</v>
      </c>
      <c r="F26" s="5">
        <v>0</v>
      </c>
      <c r="G26" s="5">
        <v>4600.0</v>
      </c>
      <c r="H26" s="5">
        <v>0</v>
      </c>
      <c r="I26" s="4">
        <f>SUM(C26:H26)</f>
      </c>
    </row>
    <row r="27" outlineLevel="1">
      <c r="B27" s="1" t="inlineStr">
        <is>
          <t xml:space="preserve">Columbia (LI 1045)</t>
        </is>
      </c>
      <c r="C27" s="5">
        <v>0</v>
      </c>
      <c r="D27" s="5">
        <v>0</v>
      </c>
      <c r="E27" s="5">
        <v>0</v>
      </c>
      <c r="F27" s="5">
        <v>0</v>
      </c>
      <c r="G27" s="5">
        <v>0</v>
      </c>
      <c r="H27" s="5">
        <v>0</v>
      </c>
      <c r="I27" s="4">
        <f>SUM(C27:H27)</f>
      </c>
    </row>
    <row r="28">
      <c r="B28" s="3" t="inlineStr">
        <is>
          <t xml:space="preserve">Total (Va + Col)</t>
        </is>
      </c>
      <c r="C28" s="13">
        <f>N(C26)+N(C27)</f>
      </c>
      <c r="D28" s="13">
        <f>N(D26)+N(D27)</f>
      </c>
      <c r="E28" s="13">
        <f>N(E26)+N(E27)</f>
      </c>
      <c r="F28" s="13">
        <f>N(F26)+N(F27)</f>
      </c>
      <c r="G28" s="13">
        <f>N(G26)+N(G27)</f>
      </c>
      <c r="H28" s="13">
        <f>N(H26)+N(H27)</f>
      </c>
      <c r="I28" s="13">
        <f>SUM(C28:H28)</f>
      </c>
    </row>
    <row r="31">
      <c r="A31" s="0" t="inlineStr">
        <is>
          <t xml:space="preserve">x</t>
        </is>
      </c>
      <c r="B31" s="9" t="inlineStr">
        <is>
          <t xml:space="preserve">§3 - BC/GFE bridge (gross x BC share, Assumptions §4)</t>
        </is>
      </c>
      <c r="C31" s="9"/>
      <c r="D31" s="9"/>
      <c r="E31" s="9"/>
      <c r="F31" s="9"/>
      <c r="G31" s="9"/>
      <c r="H31" s="9"/>
      <c r="I31" s="9"/>
    </row>
    <row r="33">
      <c r="A33" s="0" t="inlineStr">
        <is>
          <t xml:space="preserve">x</t>
        </is>
      </c>
      <c r="B33" s="10" t="inlineStr">
        <is>
          <t xml:space="preserve">§3a - OBBBA BC base ($M then-year; FY27 = FY26 x spillover)</t>
        </is>
      </c>
      <c r="C33" s="10"/>
      <c r="D33" s="10"/>
      <c r="E33" s="10"/>
      <c r="F33" s="10"/>
      <c r="G33" s="10"/>
      <c r="H33" s="10"/>
      <c r="I33" s="10"/>
    </row>
    <row r="35">
      <c r="B35" s="2" t="inlineStr">
        <is>
          <t xml:space="preserve">Class</t>
        </is>
      </c>
      <c r="C35" s="22">
        <v>2022</v>
      </c>
      <c r="D35" s="22">
        <v>2023</v>
      </c>
      <c r="E35" s="22">
        <v>2024</v>
      </c>
      <c r="F35" s="22">
        <v>2025</v>
      </c>
      <c r="G35" s="22">
        <v>2026</v>
      </c>
      <c r="H35" s="22">
        <v>2027</v>
      </c>
      <c r="I35" s="22" t="inlineStr">
        <is>
          <t xml:space="preserve">Total</t>
        </is>
      </c>
    </row>
    <row r="36" outlineLevel="1">
      <c r="B36" s="1" t="inlineStr">
        <is>
          <t xml:space="preserve">Virginia (LI 2013)</t>
        </is>
      </c>
      <c r="C36" s="4">
        <f>C26*'Assumptions'!E49</f>
      </c>
      <c r="D36" s="4">
        <f>D26*'Assumptions'!E49</f>
      </c>
      <c r="E36" s="4">
        <f>E26*'Assumptions'!E49</f>
      </c>
      <c r="F36" s="4">
        <f>F26*'Assumptions'!E49</f>
      </c>
      <c r="G36" s="4">
        <f>G26*'Assumptions'!E49*(1-'Assumptions'!C46)</f>
      </c>
      <c r="H36" s="4">
        <f>H26*'Assumptions'!E49+G26*'Assumptions'!E49*'Assumptions'!C46</f>
      </c>
      <c r="I36" s="4">
        <f>SUM(C36:H36)</f>
      </c>
    </row>
    <row r="37" outlineLevel="1">
      <c r="B37" s="1" t="inlineStr">
        <is>
          <t xml:space="preserve">Columbia (LI 1045)</t>
        </is>
      </c>
      <c r="C37" s="4">
        <f>C27*'Assumptions'!E49</f>
      </c>
      <c r="D37" s="4">
        <f>D27*'Assumptions'!E49</f>
      </c>
      <c r="E37" s="4">
        <f>E27*'Assumptions'!E49</f>
      </c>
      <c r="F37" s="4">
        <f>F27*'Assumptions'!E49</f>
      </c>
      <c r="G37" s="4">
        <f>G27*'Assumptions'!E49*(1-'Assumptions'!C46)</f>
      </c>
      <c r="H37" s="4">
        <f>H27*'Assumptions'!E49+G27*'Assumptions'!E49*'Assumptions'!C46</f>
      </c>
      <c r="I37" s="4">
        <f>SUM(C37:H37)</f>
      </c>
    </row>
    <row r="38" outlineLevel="1">
      <c r="B38" s="0" t="inlineStr">
        <is>
          <t xml:space="preserve">GFE / non-BC remainder ($M; excluded from TAM)</t>
        </is>
      </c>
      <c r="C38" s="4">
        <f>N(C28)-N(C36)-N(C37)</f>
      </c>
      <c r="D38" s="4">
        <f>N(D28)-N(D36)-N(D37)</f>
      </c>
      <c r="E38" s="4">
        <f>N(E28)-N(E36)-N(E37)</f>
      </c>
      <c r="F38" s="4">
        <f>N(F28)-N(F36)-N(F37)</f>
      </c>
      <c r="G38" s="4">
        <f>N(G28)-N(G36)-N(G37)</f>
      </c>
      <c r="H38" s="4">
        <f>N(H28)-N(H36)-N(H37)</f>
      </c>
      <c r="I38" s="4">
        <f>SUM(C38:H38)</f>
      </c>
    </row>
    <row r="40">
      <c r="A40" s="0" t="inlineStr">
        <is>
          <t xml:space="preserve">x</t>
        </is>
      </c>
      <c r="B40" s="10" t="inlineStr">
        <is>
          <t xml:space="preserve">§3b - Constant FY2026 $M (then-year x deflator)</t>
        </is>
      </c>
      <c r="C40" s="10"/>
      <c r="D40" s="10"/>
      <c r="E40" s="10"/>
      <c r="F40" s="10"/>
      <c r="G40" s="10"/>
      <c r="H40" s="10"/>
      <c r="I40" s="10"/>
    </row>
    <row r="42">
      <c r="B42" s="2" t="inlineStr">
        <is>
          <t xml:space="preserve">Class</t>
        </is>
      </c>
      <c r="C42" s="22">
        <v>2022</v>
      </c>
      <c r="D42" s="22">
        <v>2023</v>
      </c>
      <c r="E42" s="22">
        <v>2024</v>
      </c>
      <c r="F42" s="22">
        <v>2025</v>
      </c>
      <c r="G42" s="22">
        <v>2026</v>
      </c>
      <c r="H42" s="22">
        <v>2027</v>
      </c>
      <c r="I42" s="22" t="inlineStr">
        <is>
          <t xml:space="preserve">Total</t>
        </is>
      </c>
    </row>
    <row r="43" outlineLevel="1">
      <c r="B43" s="1" t="inlineStr">
        <is>
          <t xml:space="preserve">Virginia (LI 2013)</t>
        </is>
      </c>
      <c r="C43" s="11">
        <f>C36*'Deflators'!D7</f>
      </c>
      <c r="D43" s="11">
        <f>D36*'Deflators'!D8</f>
      </c>
      <c r="E43" s="11">
        <f>E36*'Deflators'!D9</f>
      </c>
      <c r="F43" s="11">
        <f>F36*'Deflators'!D10</f>
      </c>
      <c r="G43" s="11">
        <f>G36*'Deflators'!D11</f>
      </c>
      <c r="H43" s="11">
        <f>H36*'Deflators'!D12</f>
      </c>
      <c r="I43" s="4">
        <f>SUM(C43:H43)</f>
      </c>
    </row>
    <row r="44" outlineLevel="1">
      <c r="B44" s="1" t="inlineStr">
        <is>
          <t xml:space="preserve">Columbia (LI 1045)</t>
        </is>
      </c>
      <c r="C44" s="11">
        <f>C37*'Deflators'!D7</f>
      </c>
      <c r="D44" s="11">
        <f>D37*'Deflators'!D8</f>
      </c>
      <c r="E44" s="11">
        <f>E37*'Deflators'!D9</f>
      </c>
      <c r="F44" s="11">
        <f>F37*'Deflators'!D10</f>
      </c>
      <c r="G44" s="11">
        <f>G37*'Deflators'!D11</f>
      </c>
      <c r="H44" s="11">
        <f>H37*'Deflators'!D12</f>
      </c>
      <c r="I44" s="4">
        <f>SUM(C44:H44)</f>
      </c>
    </row>
    <row r="47">
      <c r="A47" s="0" t="inlineStr">
        <is>
          <t xml:space="preserve">x</t>
        </is>
      </c>
      <c r="B47" s="9" t="inlineStr">
        <is>
          <t xml:space="preserve">§4 - Capacity / cadence evidence ($M; memo, excluded from TAM)</t>
        </is>
      </c>
      <c r="C47" s="9"/>
      <c r="D47" s="9"/>
      <c r="E47" s="9"/>
      <c r="F47" s="9"/>
      <c r="G47" s="9"/>
      <c r="H47" s="9"/>
      <c r="I47" s="9"/>
    </row>
    <row r="49">
      <c r="B49" s="2" t="inlineStr">
        <is>
          <t xml:space="preserve">Sec. 20002 item</t>
        </is>
      </c>
      <c r="C49" s="2" t="inlineStr">
        <is>
          <t xml:space="preserve">Description</t>
        </is>
      </c>
      <c r="D49" s="22" t="inlineStr">
        <is>
          <t xml:space="preserve">$M</t>
        </is>
      </c>
    </row>
    <row r="50" outlineLevel="1">
      <c r="B50" s="0" t="inlineStr">
        <is>
          <t xml:space="preserve">20002(1)</t>
        </is>
      </c>
      <c r="C50" s="0" t="inlineStr">
        <is>
          <t xml:space="preserve">Accelerated Training in Defense Mfg ($36.1M CLB + $213.9M VCS wage)</t>
        </is>
      </c>
      <c r="D50" s="5">
        <v>250.0</v>
      </c>
    </row>
    <row r="51" outlineLevel="1">
      <c r="B51" s="0" t="inlineStr">
        <is>
          <t xml:space="preserve">20002(2)</t>
        </is>
      </c>
      <c r="C51" s="0" t="inlineStr">
        <is>
          <t xml:space="preserve">Turbine generators, second supplier (1+2 Columbia/Virginia cadence)</t>
        </is>
      </c>
      <c r="D51" s="5">
        <v>250.0</v>
      </c>
    </row>
    <row r="52" outlineLevel="1">
      <c r="B52" s="0" t="inlineStr">
        <is>
          <t xml:space="preserve">20002(3)</t>
        </is>
      </c>
      <c r="C52" s="0" t="inlineStr">
        <is>
          <t xml:space="preserve">Additive mfg / weld wire / machining capacity (incl. CLB productivity)</t>
        </is>
      </c>
      <c r="D52" s="5">
        <v>450.0</v>
      </c>
    </row>
    <row r="53" outlineLevel="1">
      <c r="B53" s="0" t="inlineStr">
        <is>
          <t xml:space="preserve">20002(10)</t>
        </is>
      </c>
      <c r="C53" s="0" t="inlineStr">
        <is>
          <t xml:space="preserve">Advanced mfg techniques at EB and NNS (factory of the future)</t>
        </is>
      </c>
      <c r="D53" s="5">
        <v>500.0</v>
      </c>
    </row>
    <row r="54" outlineLevel="1">
      <c r="B54" s="0" t="inlineStr">
        <is>
          <t xml:space="preserve">20002(13)</t>
        </is>
      </c>
      <c r="C54" s="0" t="inlineStr">
        <is>
          <t xml:space="preserve">MIB workforce development ($48M CLB + $402M VCS)</t>
        </is>
      </c>
      <c r="D54" s="5">
        <v>450.0</v>
      </c>
    </row>
    <row r="55" outlineLevel="1">
      <c r="B55" s="0" t="inlineStr">
        <is>
          <t xml:space="preserve">20002(14)</t>
        </is>
      </c>
      <c r="C55" s="0" t="inlineStr">
        <is>
          <t xml:space="preserve">Supplier development, sequence-critical suppliers</t>
        </is>
      </c>
      <c r="D55" s="5">
        <v>750.0</v>
      </c>
    </row>
    <row r="56" outlineLevel="1">
      <c r="B56" s="0" t="inlineStr">
        <is>
          <t xml:space="preserve">20002(15)</t>
        </is>
      </c>
      <c r="C56" s="0" t="inlineStr">
        <is>
          <t xml:space="preserve">Advanced mfg processes across naval shipbuilding IB</t>
        </is>
      </c>
      <c r="D56" s="5">
        <v>250.0</v>
      </c>
    </row>
    <row r="57">
      <c r="B57" s="16"/>
      <c r="C57" s="3" t="inlineStr">
        <is>
          <t xml:space="preserve">Total capacity / cadence memo</t>
        </is>
      </c>
      <c r="D57" s="13">
        <f>SUM(D50:D56)</f>
      </c>
    </row>
    <row r="59" outlineLevel="1">
      <c r="B59" s="0" t="inlineStr">
        <is>
          <t xml:space="preserve">20002</t>
        </is>
      </c>
      <c r="C59" s="0" t="inlineStr">
        <is>
          <t xml:space="preserve">Sec. 20002 total (all shipbuilding)</t>
        </is>
      </c>
      <c r="D59" s="5">
        <v>29176.3</v>
      </c>
    </row>
    <row r="60" outlineLevel="1">
      <c r="B60" s="0" t="inlineStr">
        <is>
          <t xml:space="preserve">20002(16)</t>
        </is>
      </c>
      <c r="C60" s="0" t="inlineStr">
        <is>
          <t xml:space="preserve">of which submarine new construction (item 16)</t>
        </is>
      </c>
      <c r="D60" s="4">
        <f>I28</f>
      </c>
    </row>
    <row r="63">
      <c r="A63" s="0" t="inlineStr">
        <is>
          <t xml:space="preserve">x</t>
        </is>
      </c>
      <c r="B63" s="9" t="inlineStr">
        <is>
          <t xml:space="preserve">§5 - Excluded submarine-adjacent lines ($M; memo)</t>
        </is>
      </c>
      <c r="C63" s="9"/>
      <c r="D63" s="9"/>
      <c r="E63" s="9"/>
      <c r="F63" s="9"/>
      <c r="G63" s="9"/>
      <c r="H63" s="9"/>
      <c r="I63" s="9"/>
    </row>
    <row r="65">
      <c r="B65" s="2" t="inlineStr">
        <is>
          <t xml:space="preserve">Item</t>
        </is>
      </c>
      <c r="C65" s="2" t="inlineStr">
        <is>
          <t xml:space="preserve">Description</t>
        </is>
      </c>
      <c r="D65" s="22" t="inlineStr">
        <is>
          <t xml:space="preserve">$M</t>
        </is>
      </c>
      <c r="E65" s="2" t="inlineStr">
        <is>
          <t xml:space="preserve">Reason</t>
        </is>
      </c>
    </row>
    <row r="66" outlineLevel="1">
      <c r="B66" s="0" t="inlineStr">
        <is>
          <t xml:space="preserve">20002(11)</t>
        </is>
      </c>
      <c r="C66" s="0" t="inlineStr">
        <is>
          <t xml:space="preserve">Additional dry-dock capability (Puget Sound DD4)</t>
        </is>
      </c>
      <c r="D66" s="5">
        <v>500.0</v>
      </c>
      <c r="E66" s="0" t="inlineStr">
        <is>
          <t xml:space="preserve">repair</t>
        </is>
      </c>
    </row>
    <row r="67" outlineLevel="1">
      <c r="B67" s="0" t="inlineStr">
        <is>
          <t xml:space="preserve">20002(12)</t>
        </is>
      </c>
      <c r="C67" s="0" t="inlineStr">
        <is>
          <t xml:space="preserve">Cold spray repair technologies</t>
        </is>
      </c>
      <c r="D67" s="5">
        <v>50.0</v>
      </c>
      <c r="E67" s="0" t="inlineStr">
        <is>
          <t xml:space="preserve">repair</t>
        </is>
      </c>
    </row>
    <row r="68" outlineLevel="1">
      <c r="B68" s="0" t="inlineStr">
        <is>
          <t xml:space="preserve">20003(8)</t>
        </is>
      </c>
      <c r="C68" s="0" t="inlineStr">
        <is>
          <t xml:space="preserve">Ohio-class tube conversion for additional missiles</t>
        </is>
      </c>
      <c r="D68" s="5">
        <v>62.0</v>
      </c>
      <c r="E68" s="0" t="inlineStr">
        <is>
          <t xml:space="preserve">nuclear / GFE</t>
        </is>
      </c>
    </row>
    <row r="69">
      <c r="B69" s="16"/>
      <c r="C69" s="3" t="inlineStr">
        <is>
          <t xml:space="preserve">Total excluded memo</t>
        </is>
      </c>
      <c r="D69" s="13">
        <f>SUM(D66:D68)</f>
      </c>
      <c r="E69" s="16"/>
    </row>
  </sheetData>
</worksheet>
</file>

<file path=xl/worksheets/sheet10.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34" customWidth="1"/>
    <col min="3" max="3" width="9" customWidth="1"/>
    <col min="4" max="4" width="9" customWidth="1"/>
    <col min="5" max="5" width="9" customWidth="1"/>
    <col min="6" max="6" width="9" customWidth="1"/>
    <col min="7" max="7" width="9" customWidth="1"/>
    <col min="8" max="8" width="9" customWidth="1"/>
    <col min="9" max="9" width="9" customWidth="1"/>
    <col min="10" max="10" width="9" customWidth="1"/>
    <col min="11" max="11" width="9" customWidth="1"/>
    <col min="12" max="12" width="9" customWidth="1"/>
    <col min="13" max="13" width="9" customWidth="1"/>
    <col min="14" max="14" width="9" customWidth="1"/>
    <col min="15" max="15" width="12" customWidth="1"/>
  </cols>
  <sheetData>
    <row r="1"/>
    <row r="2">
      <c r="B2" s="8" t="inlineStr">
        <is>
          <t xml:space="preserve">AP Bridge</t>
        </is>
      </c>
      <c r="C2" s="8"/>
      <c r="D2" s="8"/>
      <c r="E2" s="8"/>
      <c r="F2" s="8"/>
      <c r="G2" s="8"/>
      <c r="H2" s="8"/>
      <c r="I2" s="8"/>
      <c r="J2" s="8"/>
      <c r="K2" s="8"/>
      <c r="L2" s="8"/>
      <c r="M2" s="8"/>
      <c r="N2" s="8"/>
      <c r="O2" s="8"/>
    </row>
    <row r="4">
      <c r="B4" s="9" t="inlineStr">
        <is>
          <t xml:space="preserve">§1 - P-10 -&gt; TAM bridge ($M, FY22-27)</t>
        </is>
      </c>
      <c r="C4" s="9"/>
      <c r="D4" s="9"/>
      <c r="E4" s="9"/>
      <c r="F4" s="9"/>
      <c r="G4" s="9"/>
      <c r="H4" s="9"/>
      <c r="I4" s="9"/>
      <c r="J4" s="9"/>
      <c r="K4" s="9"/>
      <c r="L4" s="9"/>
      <c r="M4" s="9"/>
      <c r="N4" s="9"/>
      <c r="O4" s="9"/>
    </row>
    <row r="6">
      <c r="B6" s="2" t="inlineStr">
        <is>
          <t xml:space="preserve">Step</t>
        </is>
      </c>
      <c r="C6" s="22" t="inlineStr">
        <is>
          <t xml:space="preserve">$M</t>
        </is>
      </c>
    </row>
    <row r="7">
      <c r="B7" s="1" t="inlineStr">
        <is>
          <t xml:space="preserve">P-10 gross AP top-line</t>
        </is>
      </c>
      <c r="C7" s="4">
        <f>'AP Bridge'!C62</f>
      </c>
    </row>
    <row r="8">
      <c r="B8" s="20" t="inlineStr">
        <is>
          <t xml:space="preserve">less GFE / design / weapons</t>
        </is>
      </c>
      <c r="C8" s="4">
        <f>'AP Bridge'!C63</f>
      </c>
    </row>
    <row r="9">
      <c r="B9" s="20" t="inlineStr">
        <is>
          <t xml:space="preserve">less already inside P-5c BC</t>
        </is>
      </c>
      <c r="C9" s="4">
        <f>'AP Bridge'!C64</f>
      </c>
    </row>
    <row r="10">
      <c r="B10" s="20" t="inlineStr">
        <is>
          <t xml:space="preserve">less un-itemized overlap</t>
        </is>
      </c>
      <c r="C10" s="4">
        <f>'AP Bridge'!C65</f>
      </c>
    </row>
    <row r="11">
      <c r="B11" s="1" t="inlineStr">
        <is>
          <t xml:space="preserve">AP/LLTM additive base</t>
        </is>
      </c>
      <c r="C11" s="4">
        <f>'AP Bridge'!C66</f>
      </c>
    </row>
    <row r="14">
      <c r="A14" s="0" t="inlineStr">
        <is>
          <t xml:space="preserve">x</t>
        </is>
      </c>
      <c r="B14" s="9" t="inlineStr">
        <is>
          <t xml:space="preserve">§2 - Virginia (LI 2013) P-10 AP buckets ($M, FY20-31)</t>
        </is>
      </c>
      <c r="C14" s="9"/>
      <c r="D14" s="9"/>
      <c r="E14" s="9"/>
      <c r="F14" s="9"/>
      <c r="G14" s="9"/>
      <c r="H14" s="9"/>
      <c r="I14" s="9"/>
      <c r="J14" s="9"/>
      <c r="K14" s="9"/>
      <c r="L14" s="9"/>
      <c r="M14" s="9"/>
      <c r="N14" s="9"/>
      <c r="O14" s="9"/>
    </row>
    <row r="16">
      <c r="B16" s="2" t="inlineStr">
        <is>
          <t xml:space="preserve">Bucket</t>
        </is>
      </c>
      <c r="C16" s="22">
        <v>2020</v>
      </c>
      <c r="D16" s="22">
        <v>2021</v>
      </c>
      <c r="E16" s="22">
        <v>2022</v>
      </c>
      <c r="F16" s="22">
        <v>2023</v>
      </c>
      <c r="G16" s="22">
        <v>2024</v>
      </c>
      <c r="H16" s="22">
        <v>2025</v>
      </c>
      <c r="I16" s="22">
        <v>2026</v>
      </c>
      <c r="J16" s="22">
        <v>2027</v>
      </c>
      <c r="K16" s="22">
        <v>2028</v>
      </c>
      <c r="L16" s="22">
        <v>2029</v>
      </c>
      <c r="M16" s="22">
        <v>2030</v>
      </c>
      <c r="N16" s="22">
        <v>2031</v>
      </c>
      <c r="O16" s="22" t="inlineStr">
        <is>
          <t xml:space="preserve">Total</t>
        </is>
      </c>
    </row>
    <row r="17" outlineLevel="1">
      <c r="B17" s="0" t="inlineStr">
        <is>
          <t xml:space="preserve">Plans / SIB</t>
        </is>
      </c>
      <c r="C17" s="5"/>
      <c r="D17" s="5"/>
      <c r="E17" s="5"/>
      <c r="F17" s="5"/>
      <c r="G17" s="5">
        <v>200.0</v>
      </c>
      <c r="H17" s="5"/>
      <c r="I17" s="5">
        <v>130.0</v>
      </c>
      <c r="J17" s="5">
        <v>1768.17</v>
      </c>
      <c r="K17" s="5">
        <v>1943.72</v>
      </c>
      <c r="L17" s="5">
        <v>1602.69</v>
      </c>
      <c r="M17" s="5">
        <v>285.0</v>
      </c>
      <c r="N17" s="5">
        <v>214.0</v>
      </c>
      <c r="O17" s="4">
        <f>SUM(C17:N17)</f>
      </c>
    </row>
    <row r="18" outlineLevel="1">
      <c r="B18" s="0" t="inlineStr">
        <is>
          <t xml:space="preserve">EOQ</t>
        </is>
      </c>
      <c r="C18" s="5">
        <v>881.964</v>
      </c>
      <c r="D18" s="5">
        <v>427.42</v>
      </c>
      <c r="E18" s="5"/>
      <c r="F18" s="5"/>
      <c r="G18" s="5">
        <v>1360.037</v>
      </c>
      <c r="H18" s="5">
        <v>1298.349</v>
      </c>
      <c r="I18" s="5">
        <v>707.862</v>
      </c>
      <c r="J18" s="5"/>
      <c r="K18" s="5"/>
      <c r="L18" s="5">
        <v>1501.595</v>
      </c>
      <c r="M18" s="5">
        <v>1433.476</v>
      </c>
      <c r="N18" s="5">
        <v>781.536</v>
      </c>
      <c r="O18" s="4">
        <f>SUM(C18:N18)</f>
      </c>
    </row>
    <row r="19" outlineLevel="1">
      <c r="B19" s="0" t="inlineStr">
        <is>
          <t xml:space="preserve">Nuclear plant LLTM</t>
        </is>
      </c>
      <c r="C19" s="5">
        <v>1246.83</v>
      </c>
      <c r="D19" s="5">
        <v>883.115</v>
      </c>
      <c r="E19" s="5">
        <v>1121.47</v>
      </c>
      <c r="F19" s="5">
        <v>1004.95</v>
      </c>
      <c r="G19" s="5">
        <v>1035.07</v>
      </c>
      <c r="H19" s="5">
        <v>1273.09</v>
      </c>
      <c r="I19" s="5">
        <v>1336.59</v>
      </c>
      <c r="J19" s="5">
        <v>1403.49</v>
      </c>
      <c r="K19" s="5">
        <v>1473.6</v>
      </c>
      <c r="L19" s="5">
        <v>1547.4</v>
      </c>
      <c r="M19" s="5">
        <v>1624.8</v>
      </c>
      <c r="N19" s="5">
        <v>1706.17</v>
      </c>
      <c r="O19" s="4">
        <f>SUM(C19:N19)</f>
      </c>
    </row>
    <row r="20" outlineLevel="1">
      <c r="B20" s="0" t="inlineStr">
        <is>
          <t xml:space="preserve">Propulsor LLTM</t>
        </is>
      </c>
      <c r="C20" s="5"/>
      <c r="D20" s="5"/>
      <c r="E20" s="5">
        <v>47.214</v>
      </c>
      <c r="F20" s="5">
        <v>48.538</v>
      </c>
      <c r="G20" s="5">
        <v>49.508</v>
      </c>
      <c r="H20" s="5">
        <v>50.498</v>
      </c>
      <c r="I20" s="5">
        <v>51.508</v>
      </c>
      <c r="J20" s="5">
        <v>52.538</v>
      </c>
      <c r="K20" s="5">
        <v>53.589</v>
      </c>
      <c r="L20" s="5">
        <v>54.662</v>
      </c>
      <c r="M20" s="5">
        <v>55.755</v>
      </c>
      <c r="N20" s="5">
        <v>56.87</v>
      </c>
      <c r="O20" s="4">
        <f>SUM(C20:N20)</f>
      </c>
    </row>
    <row r="21" outlineLevel="1">
      <c r="B21" s="0" t="inlineStr">
        <is>
          <t xml:space="preserve">Electronics LLTM</t>
        </is>
      </c>
      <c r="C21" s="5">
        <v>29.94</v>
      </c>
      <c r="D21" s="5">
        <v>30.54</v>
      </c>
      <c r="E21" s="5">
        <v>31.15</v>
      </c>
      <c r="F21" s="5">
        <v>31.774</v>
      </c>
      <c r="G21" s="5">
        <v>32.408</v>
      </c>
      <c r="H21" s="5">
        <v>33.056</v>
      </c>
      <c r="I21" s="5">
        <v>33.718</v>
      </c>
      <c r="J21" s="5">
        <v>34.392</v>
      </c>
      <c r="K21" s="5">
        <v>35.08</v>
      </c>
      <c r="L21" s="5">
        <v>35.783</v>
      </c>
      <c r="M21" s="5">
        <v>36.497</v>
      </c>
      <c r="N21" s="5">
        <v>37.227</v>
      </c>
      <c r="O21" s="4">
        <f>SUM(C21:N21)</f>
      </c>
    </row>
    <row r="22" outlineLevel="1">
      <c r="B22" s="0" t="inlineStr">
        <is>
          <t xml:space="preserve">HM&amp;E LLTM</t>
        </is>
      </c>
      <c r="C22" s="5"/>
      <c r="D22" s="5"/>
      <c r="E22" s="5"/>
      <c r="F22" s="5"/>
      <c r="G22" s="5"/>
      <c r="H22" s="5"/>
      <c r="I22" s="5"/>
      <c r="J22" s="5"/>
      <c r="K22" s="5"/>
      <c r="L22" s="5"/>
      <c r="M22" s="5"/>
      <c r="N22" s="5"/>
      <c r="O22" s="4">
        <f>SUM(C22:N22)</f>
      </c>
    </row>
    <row r="23" outlineLevel="1">
      <c r="B23" s="0" t="inlineStr">
        <is>
          <t xml:space="preserve">Ordnance LLTM</t>
        </is>
      </c>
      <c r="C23" s="5"/>
      <c r="D23" s="5"/>
      <c r="E23" s="5"/>
      <c r="F23" s="5"/>
      <c r="G23" s="5"/>
      <c r="H23" s="5"/>
      <c r="I23" s="5"/>
      <c r="J23" s="5"/>
      <c r="K23" s="5"/>
      <c r="L23" s="5"/>
      <c r="M23" s="5"/>
      <c r="N23" s="5"/>
      <c r="O23" s="4">
        <f>SUM(C23:N23)</f>
      </c>
    </row>
    <row r="24" outlineLevel="1">
      <c r="B24" s="0" t="inlineStr">
        <is>
          <t xml:space="preserve">Missile compartment LLTM</t>
        </is>
      </c>
      <c r="C24" s="5"/>
      <c r="D24" s="5"/>
      <c r="E24" s="5"/>
      <c r="F24" s="5"/>
      <c r="G24" s="5"/>
      <c r="H24" s="5"/>
      <c r="I24" s="5"/>
      <c r="J24" s="5"/>
      <c r="K24" s="5"/>
      <c r="L24" s="5"/>
      <c r="M24" s="5"/>
      <c r="N24" s="5"/>
      <c r="O24" s="4">
        <f>SUM(C24:N24)</f>
      </c>
    </row>
    <row r="25" outlineLevel="1">
      <c r="B25" s="0" t="inlineStr">
        <is>
          <t xml:space="preserve">Shipbuilder-procured LLTM</t>
        </is>
      </c>
      <c r="C25" s="5"/>
      <c r="D25" s="5"/>
      <c r="E25" s="5"/>
      <c r="F25" s="5"/>
      <c r="G25" s="5"/>
      <c r="H25" s="5"/>
      <c r="I25" s="5"/>
      <c r="J25" s="5"/>
      <c r="K25" s="5"/>
      <c r="L25" s="5"/>
      <c r="M25" s="5"/>
      <c r="N25" s="5"/>
      <c r="O25" s="4">
        <f>SUM(C25:N25)</f>
      </c>
    </row>
    <row r="26" outlineLevel="1">
      <c r="B26" s="0" t="inlineStr">
        <is>
          <t xml:space="preserve">Shipbuilder-procured LLTM (CFE)</t>
        </is>
      </c>
      <c r="C26" s="5">
        <v>542.963</v>
      </c>
      <c r="D26" s="5">
        <v>542.188</v>
      </c>
      <c r="E26" s="5">
        <v>533.556</v>
      </c>
      <c r="F26" s="5">
        <v>723.879</v>
      </c>
      <c r="G26" s="5">
        <v>681.759</v>
      </c>
      <c r="H26" s="5">
        <v>1065.31</v>
      </c>
      <c r="I26" s="5">
        <v>867.138</v>
      </c>
      <c r="J26" s="5">
        <v>885.028</v>
      </c>
      <c r="K26" s="5">
        <v>979.344</v>
      </c>
      <c r="L26" s="5">
        <v>959.318</v>
      </c>
      <c r="M26" s="5">
        <v>878.146</v>
      </c>
      <c r="N26" s="5">
        <v>895.709</v>
      </c>
      <c r="O26" s="4">
        <f>SUM(C26:N26)</f>
      </c>
    </row>
    <row r="27">
      <c r="B27" s="3" t="inlineStr">
        <is>
          <t xml:space="preserve">Class total</t>
        </is>
      </c>
      <c r="C27" s="13">
        <f>SUM(C17:C26)</f>
      </c>
      <c r="D27" s="13">
        <f>SUM(D17:D26)</f>
      </c>
      <c r="E27" s="13">
        <f>SUM(E17:E26)</f>
      </c>
      <c r="F27" s="13">
        <f>SUM(F17:F26)</f>
      </c>
      <c r="G27" s="13">
        <f>SUM(G17:G26)</f>
      </c>
      <c r="H27" s="13">
        <f>SUM(H17:H26)</f>
      </c>
      <c r="I27" s="13">
        <f>SUM(I17:I26)</f>
      </c>
      <c r="J27" s="13">
        <f>SUM(J17:J26)</f>
      </c>
      <c r="K27" s="13">
        <f>SUM(K17:K26)</f>
      </c>
      <c r="L27" s="13">
        <f>SUM(L17:L26)</f>
      </c>
      <c r="M27" s="13">
        <f>SUM(M17:M26)</f>
      </c>
      <c r="N27" s="13">
        <f>SUM(N17:N26)</f>
      </c>
      <c r="O27" s="13">
        <f>SUM(O17:O26)</f>
      </c>
    </row>
    <row r="30">
      <c r="A30" s="0" t="inlineStr">
        <is>
          <t xml:space="preserve">x</t>
        </is>
      </c>
      <c r="B30" s="9" t="inlineStr">
        <is>
          <t xml:space="preserve">§3 - Columbia (LI 1045) P-10 AP buckets ($M, FY20-31)</t>
        </is>
      </c>
      <c r="C30" s="9"/>
      <c r="D30" s="9"/>
      <c r="E30" s="9"/>
      <c r="F30" s="9"/>
      <c r="G30" s="9"/>
      <c r="H30" s="9"/>
      <c r="I30" s="9"/>
      <c r="J30" s="9"/>
      <c r="K30" s="9"/>
      <c r="L30" s="9"/>
      <c r="M30" s="9"/>
      <c r="N30" s="9"/>
      <c r="O30" s="9"/>
    </row>
    <row r="32">
      <c r="B32" s="2" t="inlineStr">
        <is>
          <t xml:space="preserve">Bucket</t>
        </is>
      </c>
      <c r="C32" s="22">
        <v>2020</v>
      </c>
      <c r="D32" s="22">
        <v>2021</v>
      </c>
      <c r="E32" s="22">
        <v>2022</v>
      </c>
      <c r="F32" s="22">
        <v>2023</v>
      </c>
      <c r="G32" s="22">
        <v>2024</v>
      </c>
      <c r="H32" s="22">
        <v>2025</v>
      </c>
      <c r="I32" s="22">
        <v>2026</v>
      </c>
      <c r="J32" s="22">
        <v>2027</v>
      </c>
      <c r="K32" s="22">
        <v>2028</v>
      </c>
      <c r="L32" s="22">
        <v>2029</v>
      </c>
      <c r="M32" s="22">
        <v>2030</v>
      </c>
      <c r="N32" s="22">
        <v>2031</v>
      </c>
      <c r="O32" s="22" t="inlineStr">
        <is>
          <t xml:space="preserve">Total</t>
        </is>
      </c>
    </row>
    <row r="33" outlineLevel="1">
      <c r="B33" s="0" t="inlineStr">
        <is>
          <t xml:space="preserve">Plans / SIB</t>
        </is>
      </c>
      <c r="C33" s="5">
        <v>872.662</v>
      </c>
      <c r="D33" s="5">
        <v>85.0</v>
      </c>
      <c r="E33" s="5">
        <v>110.0</v>
      </c>
      <c r="F33" s="5">
        <v>541.0</v>
      </c>
      <c r="G33" s="5">
        <v>2355.0</v>
      </c>
      <c r="H33" s="5">
        <v>2077.189</v>
      </c>
      <c r="I33" s="5">
        <v>1692.249</v>
      </c>
      <c r="J33" s="5">
        <v>809.679</v>
      </c>
      <c r="K33" s="5">
        <v>1018.316</v>
      </c>
      <c r="L33" s="5">
        <v>709.136</v>
      </c>
      <c r="M33" s="5">
        <v>624.179</v>
      </c>
      <c r="N33" s="5">
        <v>631.272</v>
      </c>
      <c r="O33" s="4">
        <f>SUM(C33:N33)</f>
      </c>
    </row>
    <row r="34" outlineLevel="1">
      <c r="B34" s="0" t="inlineStr">
        <is>
          <t xml:space="preserve">EOQ</t>
        </is>
      </c>
      <c r="C34" s="5">
        <v>77.793</v>
      </c>
      <c r="D34" s="5">
        <v>79.705</v>
      </c>
      <c r="E34" s="5">
        <v>176.23</v>
      </c>
      <c r="F34" s="5">
        <v>141.512</v>
      </c>
      <c r="G34" s="5">
        <v>778.925</v>
      </c>
      <c r="H34" s="5">
        <v>494.301</v>
      </c>
      <c r="I34" s="5">
        <v>382.154</v>
      </c>
      <c r="J34" s="5">
        <v>178.331</v>
      </c>
      <c r="K34" s="5">
        <v>191.647</v>
      </c>
      <c r="L34" s="5">
        <v>18.57</v>
      </c>
      <c r="M34" s="5">
        <v>1017.969</v>
      </c>
      <c r="N34" s="5">
        <v>695.466</v>
      </c>
      <c r="O34" s="4">
        <f>SUM(C34:N34)</f>
      </c>
    </row>
    <row r="35" outlineLevel="1">
      <c r="B35" s="0" t="inlineStr">
        <is>
          <t xml:space="preserve">Nuclear plant LLTM</t>
        </is>
      </c>
      <c r="C35" s="5"/>
      <c r="D35" s="5">
        <v>816.737</v>
      </c>
      <c r="E35" s="5">
        <v>797.262</v>
      </c>
      <c r="F35" s="5">
        <v>772.686</v>
      </c>
      <c r="G35" s="5">
        <v>1272.405</v>
      </c>
      <c r="H35" s="5">
        <v>1526.697</v>
      </c>
      <c r="I35" s="5">
        <v>1440.528</v>
      </c>
      <c r="J35" s="5">
        <v>1490.144</v>
      </c>
      <c r="K35" s="5">
        <v>1544.116</v>
      </c>
      <c r="L35" s="5">
        <v>1602.529</v>
      </c>
      <c r="M35" s="5">
        <v>1665.462</v>
      </c>
      <c r="N35" s="5">
        <v>1777.679</v>
      </c>
      <c r="O35" s="4">
        <f>SUM(C35:N35)</f>
      </c>
    </row>
    <row r="36" outlineLevel="1">
      <c r="B36" s="0" t="inlineStr">
        <is>
          <t xml:space="preserve">Propulsor LLTM</t>
        </is>
      </c>
      <c r="C36" s="5"/>
      <c r="D36" s="5"/>
      <c r="E36" s="5"/>
      <c r="F36" s="5"/>
      <c r="G36" s="5"/>
      <c r="H36" s="5"/>
      <c r="I36" s="5"/>
      <c r="J36" s="5"/>
      <c r="K36" s="5"/>
      <c r="L36" s="5"/>
      <c r="M36" s="5"/>
      <c r="N36" s="5"/>
      <c r="O36" s="4">
        <f>SUM(C36:N36)</f>
      </c>
    </row>
    <row r="37" outlineLevel="1">
      <c r="B37" s="0" t="inlineStr">
        <is>
          <t xml:space="preserve">Electronics LLTM</t>
        </is>
      </c>
      <c r="C37" s="5">
        <v>36.39</v>
      </c>
      <c r="D37" s="5"/>
      <c r="E37" s="5">
        <v>8.097</v>
      </c>
      <c r="F37" s="5">
        <v>26.587</v>
      </c>
      <c r="G37" s="5">
        <v>8.43</v>
      </c>
      <c r="H37" s="5">
        <v>129.354</v>
      </c>
      <c r="I37" s="5">
        <v>110.601</v>
      </c>
      <c r="J37" s="5">
        <v>81.76</v>
      </c>
      <c r="K37" s="5">
        <v>83.395</v>
      </c>
      <c r="L37" s="5">
        <v>85.063</v>
      </c>
      <c r="M37" s="5">
        <v>86.765</v>
      </c>
      <c r="N37" s="5">
        <v>88.499</v>
      </c>
      <c r="O37" s="4">
        <f>SUM(C37:N37)</f>
      </c>
    </row>
    <row r="38" outlineLevel="1">
      <c r="B38" s="0" t="inlineStr">
        <is>
          <t xml:space="preserve">HM&amp;E LLTM</t>
        </is>
      </c>
      <c r="C38" s="5">
        <v>41.948</v>
      </c>
      <c r="D38" s="5">
        <v>3.1</v>
      </c>
      <c r="E38" s="5">
        <v>42.857</v>
      </c>
      <c r="F38" s="5">
        <v>86.285</v>
      </c>
      <c r="G38" s="5">
        <v>66.824</v>
      </c>
      <c r="H38" s="5">
        <v>75.475</v>
      </c>
      <c r="I38" s="5">
        <v>86.202</v>
      </c>
      <c r="J38" s="5">
        <v>74.393</v>
      </c>
      <c r="K38" s="5">
        <v>119.156</v>
      </c>
      <c r="L38" s="5">
        <v>78.284</v>
      </c>
      <c r="M38" s="5">
        <v>79.138</v>
      </c>
      <c r="N38" s="5">
        <v>80.929</v>
      </c>
      <c r="O38" s="4">
        <f>SUM(C38:N38)</f>
      </c>
    </row>
    <row r="39" outlineLevel="1">
      <c r="B39" s="0" t="inlineStr">
        <is>
          <t xml:space="preserve">Ordnance LLTM</t>
        </is>
      </c>
      <c r="C39" s="5">
        <v>93.73</v>
      </c>
      <c r="D39" s="5">
        <v>6.324</v>
      </c>
      <c r="E39" s="5">
        <v>123.597</v>
      </c>
      <c r="F39" s="5">
        <v>208.688</v>
      </c>
      <c r="G39" s="5">
        <v>168.772</v>
      </c>
      <c r="H39" s="5">
        <v>217.702</v>
      </c>
      <c r="I39" s="5">
        <v>232.551</v>
      </c>
      <c r="J39" s="5">
        <v>255.312</v>
      </c>
      <c r="K39" s="5">
        <v>277.555</v>
      </c>
      <c r="L39" s="5">
        <v>222.425</v>
      </c>
      <c r="M39" s="5">
        <v>279.101</v>
      </c>
      <c r="N39" s="5">
        <v>172.641</v>
      </c>
      <c r="O39" s="4">
        <f>SUM(C39:N39)</f>
      </c>
    </row>
    <row r="40" outlineLevel="1">
      <c r="B40" s="0" t="inlineStr">
        <is>
          <t xml:space="preserve">Missile compartment LLTM</t>
        </is>
      </c>
      <c r="C40" s="5">
        <v>83.747</v>
      </c>
      <c r="D40" s="5">
        <v>86.288</v>
      </c>
      <c r="E40" s="5">
        <v>177.391</v>
      </c>
      <c r="F40" s="5">
        <v>221.311</v>
      </c>
      <c r="G40" s="5">
        <v>174.136</v>
      </c>
      <c r="H40" s="5">
        <v>216.261</v>
      </c>
      <c r="I40" s="5">
        <v>261.29</v>
      </c>
      <c r="J40" s="5">
        <v>297.347</v>
      </c>
      <c r="K40" s="5">
        <v>301.02</v>
      </c>
      <c r="L40" s="5">
        <v>309.689</v>
      </c>
      <c r="M40" s="5">
        <v>320.267</v>
      </c>
      <c r="N40" s="5">
        <v>271.046</v>
      </c>
      <c r="O40" s="4">
        <f>SUM(C40:N40)</f>
      </c>
    </row>
    <row r="41" outlineLevel="1">
      <c r="B41" s="0" t="inlineStr">
        <is>
          <t xml:space="preserve">Shipbuilder-procured LLTM</t>
        </is>
      </c>
      <c r="C41" s="5">
        <v>614.657</v>
      </c>
      <c r="D41" s="5">
        <v>176.021</v>
      </c>
      <c r="E41" s="5">
        <v>338.546</v>
      </c>
      <c r="F41" s="5">
        <v>780.484</v>
      </c>
      <c r="G41" s="5">
        <v>521.242</v>
      </c>
      <c r="H41" s="5">
        <v>1478.96</v>
      </c>
      <c r="I41" s="5">
        <v>1145.191</v>
      </c>
      <c r="J41" s="5">
        <v>1576.376</v>
      </c>
      <c r="K41" s="5">
        <v>1828.24</v>
      </c>
      <c r="L41" s="5">
        <v>1890.927</v>
      </c>
      <c r="M41" s="5">
        <v>2005.869</v>
      </c>
      <c r="N41" s="5">
        <v>1999.211</v>
      </c>
      <c r="O41" s="4">
        <f>SUM(C41:N41)</f>
      </c>
    </row>
    <row r="42" outlineLevel="1">
      <c r="B42" s="0" t="inlineStr">
        <is>
          <t xml:space="preserve">Shipbuilder-procured LLTM (CFE)</t>
        </is>
      </c>
      <c r="C42" s="5"/>
      <c r="D42" s="5"/>
      <c r="E42" s="5"/>
      <c r="F42" s="5"/>
      <c r="G42" s="5"/>
      <c r="H42" s="5"/>
      <c r="I42" s="5"/>
      <c r="J42" s="5"/>
      <c r="K42" s="5"/>
      <c r="L42" s="5"/>
      <c r="M42" s="5"/>
      <c r="N42" s="5"/>
      <c r="O42" s="4">
        <f>SUM(C42:N42)</f>
      </c>
    </row>
    <row r="43">
      <c r="B43" s="3" t="inlineStr">
        <is>
          <t xml:space="preserve">Class total</t>
        </is>
      </c>
      <c r="C43" s="13">
        <f>SUM(C33:C42)</f>
      </c>
      <c r="D43" s="13">
        <f>SUM(D33:D42)</f>
      </c>
      <c r="E43" s="13">
        <f>SUM(E33:E42)</f>
      </c>
      <c r="F43" s="13">
        <f>SUM(F33:F42)</f>
      </c>
      <c r="G43" s="13">
        <f>SUM(G33:G42)</f>
      </c>
      <c r="H43" s="13">
        <f>SUM(H33:H42)</f>
      </c>
      <c r="I43" s="13">
        <f>SUM(I33:I42)</f>
      </c>
      <c r="J43" s="13">
        <f>SUM(J33:J42)</f>
      </c>
      <c r="K43" s="13">
        <f>SUM(K33:K42)</f>
      </c>
      <c r="L43" s="13">
        <f>SUM(L33:L42)</f>
      </c>
      <c r="M43" s="13">
        <f>SUM(M33:M42)</f>
      </c>
      <c r="N43" s="13">
        <f>SUM(N33:N42)</f>
      </c>
      <c r="O43" s="13">
        <f>SUM(O33:O42)</f>
      </c>
    </row>
    <row r="46">
      <c r="A46" s="0" t="inlineStr">
        <is>
          <t xml:space="preserve">x</t>
        </is>
      </c>
      <c r="B46" s="9" t="inlineStr">
        <is>
          <t xml:space="preserve">§4 - P-10 bucket -&gt; TAM treatment (AP/LLTM base = 0)</t>
        </is>
      </c>
      <c r="C46" s="9"/>
      <c r="D46" s="9"/>
      <c r="E46" s="9"/>
      <c r="F46" s="9"/>
      <c r="G46" s="9"/>
      <c r="H46" s="9"/>
      <c r="I46" s="9"/>
      <c r="J46" s="9"/>
      <c r="K46" s="9"/>
      <c r="L46" s="9"/>
      <c r="M46" s="9"/>
      <c r="N46" s="9"/>
      <c r="O46" s="9"/>
    </row>
    <row r="48">
      <c r="B48" s="2" t="inlineStr">
        <is>
          <t xml:space="preserve">P-10 bucket</t>
        </is>
      </c>
      <c r="C48" s="2" t="inlineStr">
        <is>
          <t xml:space="preserve">TAM treatment</t>
        </is>
      </c>
      <c r="D48" s="2" t="inlineStr">
        <is>
          <t xml:space="preserve">Rationale</t>
        </is>
      </c>
    </row>
    <row r="49" outlineLevel="1">
      <c r="B49" s="0" t="inlineStr">
        <is>
          <t xml:space="preserve">Nuclear plant LLTM</t>
        </is>
      </c>
      <c r="C49" s="1" t="inlineStr">
        <is>
          <t xml:space="preserve">EXCL GFE</t>
        </is>
      </c>
      <c r="D49" s="0" t="inlineStr">
        <is>
          <t xml:space="preserve">BPMI naval reactor - GFE</t>
        </is>
      </c>
    </row>
    <row r="50" outlineLevel="1">
      <c r="B50" s="0" t="inlineStr">
        <is>
          <t xml:space="preserve">Electronics LLTM</t>
        </is>
      </c>
      <c r="C50" s="1" t="inlineStr">
        <is>
          <t xml:space="preserve">EXCL GFE</t>
        </is>
      </c>
      <c r="D50" s="0" t="inlineStr">
        <is>
          <t xml:space="preserve">combat-system electronics - Navy-furnished</t>
        </is>
      </c>
    </row>
    <row r="51" outlineLevel="1">
      <c r="B51" s="0" t="inlineStr">
        <is>
          <t xml:space="preserve">Ordnance LLTM</t>
        </is>
      </c>
      <c r="C51" s="1" t="inlineStr">
        <is>
          <t xml:space="preserve">EXCL wpn</t>
        </is>
      </c>
      <c r="D51" s="0" t="inlineStr">
        <is>
          <t xml:space="preserve">WPN/OPN ordnance, not SCN</t>
        </is>
      </c>
    </row>
    <row r="52" outlineLevel="1">
      <c r="B52" s="0" t="inlineStr">
        <is>
          <t xml:space="preserve">Missile compartment LLTM</t>
        </is>
      </c>
      <c r="C52" s="1" t="inlineStr">
        <is>
          <t xml:space="preserve">EXCL GFE</t>
        </is>
      </c>
      <c r="D52" s="0" t="inlineStr">
        <is>
          <t xml:space="preserve">CMC / tubes - GFE / industrial base</t>
        </is>
      </c>
    </row>
    <row r="53" outlineLevel="1">
      <c r="B53" s="0" t="inlineStr">
        <is>
          <t xml:space="preserve">Plans / SIB</t>
        </is>
      </c>
      <c r="C53" s="1" t="inlineStr">
        <is>
          <t xml:space="preserve">EXCL des</t>
        </is>
      </c>
      <c r="D53" s="0" t="inlineStr">
        <is>
          <t xml:space="preserve">lead-yard design - Plan Costs</t>
        </is>
      </c>
    </row>
    <row r="54" outlineLevel="1">
      <c r="B54" s="0" t="inlineStr">
        <is>
          <t xml:space="preserve">Shipbuilder-procured (+CFE)</t>
        </is>
      </c>
      <c r="C54" s="1" t="inlineStr">
        <is>
          <t xml:space="preserve">IN BC</t>
        </is>
      </c>
      <c r="D54" s="0" t="inlineStr">
        <is>
          <t xml:space="preserve">direct material inside BC</t>
        </is>
      </c>
    </row>
    <row r="55" outlineLevel="1">
      <c r="B55" s="0" t="inlineStr">
        <is>
          <t xml:space="preserve">EOQ</t>
        </is>
      </c>
      <c r="C55" s="1" t="inlineStr">
        <is>
          <t xml:space="preserve">IN BC</t>
        </is>
      </c>
      <c r="D55" s="0" t="inlineStr">
        <is>
          <t xml:space="preserve">economic-order-quantity - inside BC</t>
        </is>
      </c>
    </row>
    <row r="56" outlineLevel="1">
      <c r="B56" s="0" t="inlineStr">
        <is>
          <t xml:space="preserve">HM&amp;E / Propulsor LLTM</t>
        </is>
      </c>
      <c r="C56" s="1" t="inlineStr">
        <is>
          <t xml:space="preserve">IN BC</t>
        </is>
      </c>
      <c r="D56" s="0" t="inlineStr">
        <is>
          <t xml:space="preserve">HM&amp;E / propulsor material inside BC</t>
        </is>
      </c>
    </row>
    <row r="59">
      <c r="A59" s="0" t="inlineStr">
        <is>
          <t xml:space="preserve">x</t>
        </is>
      </c>
      <c r="B59" s="9" t="inlineStr">
        <is>
          <t xml:space="preserve">§5 - P-10 -&gt; TAM reconciliation bridge ($M, FY22-27)</t>
        </is>
      </c>
      <c r="C59" s="9"/>
      <c r="D59" s="9"/>
      <c r="E59" s="9"/>
      <c r="F59" s="9"/>
      <c r="G59" s="9"/>
      <c r="H59" s="9"/>
      <c r="I59" s="9"/>
      <c r="J59" s="9"/>
      <c r="K59" s="9"/>
      <c r="L59" s="9"/>
      <c r="M59" s="9"/>
      <c r="N59" s="9"/>
      <c r="O59" s="9"/>
    </row>
    <row r="61">
      <c r="B61" s="2" t="inlineStr">
        <is>
          <t xml:space="preserve">Step</t>
        </is>
      </c>
      <c r="C61" s="22" t="inlineStr">
        <is>
          <t xml:space="preserve">$M</t>
        </is>
      </c>
      <c r="D61" s="2" t="inlineStr">
        <is>
          <t xml:space="preserve">Rationale</t>
        </is>
      </c>
    </row>
    <row r="62" outlineLevel="1">
      <c r="B62" s="1" t="inlineStr">
        <is>
          <t xml:space="preserve">P-10 gross AP top-line (FY22-27)</t>
        </is>
      </c>
      <c r="C62" s="4">
        <f>N('Assumptions'!C39)+N('Assumptions'!D39)+N('Assumptions'!E39)+N('Assumptions'!F39)+N('Assumptions'!G39)+N('Assumptions'!H39)+N('Assumptions'!C40)+N('Assumptions'!D40)+N('Assumptions'!E40)+N('Assumptions'!F40)+N('Assumptions'!G40)+N('Assumptions'!H40)</f>
      </c>
      <c r="D62" s="0" t="inlineStr">
        <is>
          <t xml:space="preserve">authoritative AP total, Va+Col</t>
        </is>
      </c>
    </row>
    <row r="63" outlineLevel="1">
      <c r="B63" s="20" t="inlineStr">
        <is>
          <t xml:space="preserve">less GFE / design / weapons</t>
        </is>
      </c>
      <c r="C63" s="4">
        <f>-(SUM(E19:J19)+SUM(E35:J35)+SUM(E21:J21)+SUM(E37:J37)+SUM(E23:J23)+SUM(E39:J39)+SUM(E24:J24)+SUM(E40:J40)+SUM(E17:J17)+SUM(E33:J33))</f>
      </c>
      <c r="D63" s="0" t="inlineStr">
        <is>
          <t xml:space="preserve">nuclear+electronics+ordnance+missile+Plans</t>
        </is>
      </c>
    </row>
    <row r="64" outlineLevel="1">
      <c r="B64" s="20" t="inlineStr">
        <is>
          <t xml:space="preserve">less already inside P-5c BC</t>
        </is>
      </c>
      <c r="C64" s="4">
        <f>-(SUM(E20:J20)+SUM(E36:J36)+SUM(E22:J22)+SUM(E38:J38)+SUM(E25:J25)+SUM(E41:J41)+SUM(E26:J26)+SUM(E42:J42)+SUM(E18:J18)+SUM(E34:J34))</f>
      </c>
      <c r="D64" s="0" t="inlineStr">
        <is>
          <t xml:space="preserve">shipbuilder+CFE+EOQ+HM&amp;E+propulsor</t>
        </is>
      </c>
    </row>
    <row r="65" outlineLevel="1">
      <c r="B65" s="20" t="inlineStr">
        <is>
          <t xml:space="preserve">less un-itemized overlap</t>
        </is>
      </c>
      <c r="C65" s="4">
        <f>-(C62+C63+C64)</f>
      </c>
      <c r="D65" s="0" t="inlineStr">
        <is>
          <t xml:space="preserve">early-Va top-line over named detail</t>
        </is>
      </c>
    </row>
    <row r="66">
      <c r="B66" s="3" t="inlineStr">
        <is>
          <t xml:space="preserve">= AP/LLTM additive base = 0</t>
        </is>
      </c>
      <c r="C66" s="13">
        <f>C62+C63+C64+C65</f>
      </c>
      <c r="D66" s="16" t="inlineStr">
        <is>
          <t xml:space="preserve">confirmed $0</t>
        </is>
      </c>
    </row>
    <row r="69">
      <c r="A69" s="0" t="inlineStr">
        <is>
          <t xml:space="preserve">x</t>
        </is>
      </c>
      <c r="B69" s="9" t="inlineStr">
        <is>
          <t xml:space="preserve">§6 - Reconciliation checks</t>
        </is>
      </c>
      <c r="C69" s="9"/>
      <c r="D69" s="9"/>
      <c r="E69" s="9"/>
      <c r="F69" s="9"/>
      <c r="G69" s="9"/>
      <c r="H69" s="9"/>
      <c r="I69" s="9"/>
      <c r="J69" s="9"/>
      <c r="K69" s="9"/>
      <c r="L69" s="9"/>
      <c r="M69" s="9"/>
      <c r="N69" s="9"/>
      <c r="O69" s="9"/>
    </row>
    <row r="71">
      <c r="B71" s="2" t="inlineStr">
        <is>
          <t xml:space="preserve">Check</t>
        </is>
      </c>
      <c r="C71" s="2" t="inlineStr">
        <is>
          <t xml:space="preserve">Status</t>
        </is>
      </c>
    </row>
    <row r="72" outlineLevel="1">
      <c r="B72" s="0" t="inlineStr">
        <is>
          <t xml:space="preserve">Bridge nets to the additive base</t>
        </is>
      </c>
      <c r="C72" s="0">
        <f>IF(ABS('AP Bridge'!C66-('AP Bridge'!C62+'AP Bridge'!C63+'AP Bridge'!C64+'AP Bridge'!C65))&lt;0.5,"OK","FAIL")</f>
      </c>
    </row>
    <row r="73" outlineLevel="1">
      <c r="B73" s="0" t="inlineStr">
        <is>
          <t xml:space="preserve">AP/LLTM additive base = 0</t>
        </is>
      </c>
      <c r="C73" s="0">
        <f>IF(ABS('AP Bridge'!C66)&lt;0.5,"OK","FAIL")</f>
      </c>
    </row>
  </sheetData>
</worksheet>
</file>

<file path=xl/worksheets/sheet11.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46" customWidth="1"/>
    <col min="3" max="3" width="12" customWidth="1"/>
    <col min="4" max="4" width="12" customWidth="1"/>
    <col min="5" max="5" width="12" customWidth="1"/>
    <col min="6" max="6" width="12" customWidth="1"/>
    <col min="7" max="7" width="12" customWidth="1"/>
    <col min="8" max="8" width="12" customWidth="1"/>
    <col min="9" max="9" width="12" customWidth="1"/>
  </cols>
  <sheetData>
    <row r="1"/>
    <row r="2">
      <c r="B2" s="8" t="inlineStr">
        <is>
          <t xml:space="preserve">FYDP Outyears</t>
        </is>
      </c>
      <c r="C2" s="8"/>
      <c r="D2" s="8"/>
      <c r="E2" s="8"/>
      <c r="F2" s="8"/>
      <c r="G2" s="8"/>
      <c r="H2" s="8"/>
      <c r="I2" s="8"/>
    </row>
    <row r="4">
      <c r="A4" s="0" t="inlineStr">
        <is>
          <t xml:space="preserve">x</t>
        </is>
      </c>
      <c r="B4" s="9" t="inlineStr">
        <is>
          <t xml:space="preserve">§1 - Source exhibit (P-40 Resource Summary, PB2027)</t>
        </is>
      </c>
      <c r="C4" s="9"/>
      <c r="D4" s="9"/>
      <c r="E4" s="9"/>
      <c r="F4" s="9"/>
      <c r="G4" s="9"/>
      <c r="H4" s="9"/>
      <c r="I4" s="9"/>
    </row>
    <row r="6">
      <c r="B6" s="2" t="inlineStr">
        <is>
          <t xml:space="preserve">Field</t>
        </is>
      </c>
      <c r="C6" s="2" t="inlineStr">
        <is>
          <t xml:space="preserve">Value</t>
        </is>
      </c>
    </row>
    <row r="7" outlineLevel="1">
      <c r="B7" s="0" t="inlineStr">
        <is>
          <t xml:space="preserve">Exhibit</t>
        </is>
      </c>
      <c r="C7" s="0" t="inlineStr">
        <is>
          <t xml:space="preserve">PB 2027 Navy, Exhibit P-40 (1611N Shipbuilding and Conversion, Navy)</t>
        </is>
      </c>
    </row>
    <row r="8" outlineLevel="1">
      <c r="B8" s="0" t="inlineStr">
        <is>
          <t xml:space="preserve">Programs</t>
        </is>
      </c>
      <c r="C8" s="0" t="inlineStr">
        <is>
          <t xml:space="preserve">Virginia class (LI 2013) and Columbia class (LI 1045)</t>
        </is>
      </c>
    </row>
    <row r="9" outlineLevel="1">
      <c r="B9" s="0" t="inlineStr">
        <is>
          <t xml:space="preserve">Vintage</t>
        </is>
      </c>
      <c r="C9" s="0" t="inlineStr">
        <is>
          <t xml:space="preserve">PB2027 (April 2026); FY2028-FY2031 are the budget request, not appropriation</t>
        </is>
      </c>
    </row>
    <row r="10" outlineLevel="1">
      <c r="B10" s="0" t="inlineStr">
        <is>
          <t xml:space="preserve">Columns</t>
        </is>
      </c>
      <c r="C10" s="0" t="inlineStr">
        <is>
          <t xml:space="preserve">FY2027 = FY 2027 Total (Base + OOC); FY2028-FY2031 = FYDP outyears</t>
        </is>
      </c>
    </row>
    <row r="11" outlineLevel="1">
      <c r="B11" s="0" t="inlineStr">
        <is>
          <t xml:space="preserve">Refresh</t>
        </is>
      </c>
      <c r="C11" s="0" t="inlineStr">
        <is>
          <t xml:space="preserve">At PB2028: re-tie FY2027 gross to SCN Budget and re-base the outyears</t>
        </is>
      </c>
    </row>
    <row r="13">
      <c r="A13" s="0" t="inlineStr">
        <is>
          <t xml:space="preserve">x</t>
        </is>
      </c>
      <c r="B13" s="10" t="inlineStr">
        <is>
          <t xml:space="preserve">§1a - Virginia (LI 2013), then-year $M</t>
        </is>
      </c>
      <c r="C13" s="10"/>
      <c r="D13" s="10"/>
      <c r="E13" s="10"/>
      <c r="F13" s="10"/>
      <c r="G13" s="10"/>
      <c r="H13" s="10"/>
      <c r="I13" s="10"/>
    </row>
    <row r="15">
      <c r="B15" s="2" t="inlineStr">
        <is>
          <t xml:space="preserve">Metric</t>
        </is>
      </c>
      <c r="C15" s="22">
        <v>2025</v>
      </c>
      <c r="D15" s="22">
        <v>2026</v>
      </c>
      <c r="E15" s="22">
        <v>2027</v>
      </c>
      <c r="F15" s="22">
        <v>2028</v>
      </c>
      <c r="G15" s="22">
        <v>2029</v>
      </c>
      <c r="H15" s="22">
        <v>2030</v>
      </c>
      <c r="I15" s="22">
        <v>2031</v>
      </c>
    </row>
    <row r="16" outlineLevel="1">
      <c r="B16" s="1" t="inlineStr">
        <is>
          <t xml:space="preserve">Gross / Weapon System Cost, then-year $M</t>
        </is>
      </c>
      <c r="C16" s="5">
        <v>9500.534</v>
      </c>
      <c r="D16" s="5">
        <v>5389.109</v>
      </c>
      <c r="E16" s="5">
        <v>11437.036</v>
      </c>
      <c r="F16" s="5">
        <v>11284.824</v>
      </c>
      <c r="G16" s="5">
        <v>11098.426</v>
      </c>
      <c r="H16" s="5">
        <v>10196.613</v>
      </c>
      <c r="I16" s="5">
        <v>10594.23</v>
      </c>
    </row>
    <row r="17" outlineLevel="1">
      <c r="B17" s="0" t="inlineStr">
        <is>
          <t xml:space="preserve">Procurement quantity (ships)</t>
        </is>
      </c>
      <c r="C17" s="5">
        <v>1.0</v>
      </c>
      <c r="D17" s="5">
        <v>1.0</v>
      </c>
      <c r="E17" s="5">
        <v>2.0</v>
      </c>
      <c r="F17" s="5">
        <v>2.0</v>
      </c>
      <c r="G17" s="5">
        <v>2.0</v>
      </c>
      <c r="H17" s="5">
        <v>2.0</v>
      </c>
      <c r="I17" s="5">
        <v>2.0</v>
      </c>
    </row>
    <row r="18" outlineLevel="1">
      <c r="B18" s="0" t="inlineStr">
        <is>
          <t xml:space="preserve">Net Procurement (P-1), then-year $M (memo)</t>
        </is>
      </c>
      <c r="C18" s="5">
        <v>7356.904</v>
      </c>
      <c r="D18" s="5">
        <v>2740.305</v>
      </c>
      <c r="E18" s="5">
        <v>8402.316</v>
      </c>
      <c r="F18" s="5">
        <v>8149.065</v>
      </c>
      <c r="G18" s="5">
        <v>7876.466</v>
      </c>
      <c r="H18" s="5">
        <v>7283.37</v>
      </c>
      <c r="I18" s="5">
        <v>7423.079</v>
      </c>
    </row>
    <row r="19" outlineLevel="1">
      <c r="B19" s="0" t="inlineStr">
        <is>
          <t xml:space="preserve">Total Obligation Authority, then-year $M (memo)</t>
        </is>
      </c>
      <c r="C19" s="5">
        <v>13320.211</v>
      </c>
      <c r="D19" s="5">
        <v>6377.536</v>
      </c>
      <c r="E19" s="5">
        <v>13151.309</v>
      </c>
      <c r="F19" s="5">
        <v>13011.118</v>
      </c>
      <c r="G19" s="5">
        <v>14686.814</v>
      </c>
      <c r="H19" s="5">
        <v>12268.711</v>
      </c>
      <c r="I19" s="5">
        <v>12016.801</v>
      </c>
    </row>
    <row r="21">
      <c r="A21" s="0" t="inlineStr">
        <is>
          <t xml:space="preserve">x</t>
        </is>
      </c>
      <c r="B21" s="10" t="inlineStr">
        <is>
          <t xml:space="preserve">§1b - Columbia (LI 1045), then-year $M</t>
        </is>
      </c>
      <c r="C21" s="10"/>
      <c r="D21" s="10"/>
      <c r="E21" s="10"/>
      <c r="F21" s="10"/>
      <c r="G21" s="10"/>
      <c r="H21" s="10"/>
      <c r="I21" s="10"/>
    </row>
    <row r="23">
      <c r="B23" s="2" t="inlineStr">
        <is>
          <t xml:space="preserve">Metric</t>
        </is>
      </c>
      <c r="C23" s="22">
        <v>2025</v>
      </c>
      <c r="D23" s="22">
        <v>2026</v>
      </c>
      <c r="E23" s="22">
        <v>2027</v>
      </c>
      <c r="F23" s="22">
        <v>2028</v>
      </c>
      <c r="G23" s="22">
        <v>2029</v>
      </c>
      <c r="H23" s="22">
        <v>2030</v>
      </c>
      <c r="I23" s="22">
        <v>2031</v>
      </c>
    </row>
    <row r="24" outlineLevel="1">
      <c r="B24" s="1" t="inlineStr">
        <is>
          <t xml:space="preserve">Gross / Weapon System Cost, then-year $M</t>
        </is>
      </c>
      <c r="C24" s="5">
        <v>0.0</v>
      </c>
      <c r="D24" s="5">
        <v>10744.317</v>
      </c>
      <c r="E24" s="5">
        <v>10486.369</v>
      </c>
      <c r="F24" s="5">
        <v>10137.078</v>
      </c>
      <c r="G24" s="5">
        <v>10360.998</v>
      </c>
      <c r="H24" s="5">
        <v>10441.001</v>
      </c>
      <c r="I24" s="5">
        <v>10693.082</v>
      </c>
    </row>
    <row r="25" outlineLevel="1">
      <c r="B25" s="0" t="inlineStr">
        <is>
          <t xml:space="preserve">Procurement quantity (ships)</t>
        </is>
      </c>
      <c r="C25" s="5"/>
      <c r="D25" s="5">
        <v>1.0</v>
      </c>
      <c r="E25" s="5">
        <v>1.0</v>
      </c>
      <c r="F25" s="5">
        <v>1.0</v>
      </c>
      <c r="G25" s="5">
        <v>1.0</v>
      </c>
      <c r="H25" s="5">
        <v>1.0</v>
      </c>
      <c r="I25" s="5">
        <v>1.0</v>
      </c>
    </row>
    <row r="26" outlineLevel="1">
      <c r="B26" s="0" t="inlineStr">
        <is>
          <t xml:space="preserve">Net Procurement (P-1), then-year $M (memo)</t>
        </is>
      </c>
      <c r="C26" s="5">
        <v>0.0</v>
      </c>
      <c r="D26" s="5">
        <v>3928.828</v>
      </c>
      <c r="E26" s="5">
        <v>6904.785</v>
      </c>
      <c r="F26" s="5">
        <v>6379.022</v>
      </c>
      <c r="G26" s="5">
        <v>6057.819</v>
      </c>
      <c r="H26" s="5">
        <v>6011.645</v>
      </c>
      <c r="I26" s="5">
        <v>6303.401</v>
      </c>
    </row>
    <row r="27" outlineLevel="1">
      <c r="B27" s="0" t="inlineStr">
        <is>
          <t xml:space="preserve">Total Obligation Authority, then-year $M (memo)</t>
        </is>
      </c>
      <c r="C27" s="5">
        <v>9580.774</v>
      </c>
      <c r="D27" s="5">
        <v>9279.594</v>
      </c>
      <c r="E27" s="5">
        <v>15583.102</v>
      </c>
      <c r="F27" s="5">
        <v>12834.863</v>
      </c>
      <c r="G27" s="5">
        <v>11351.481</v>
      </c>
      <c r="H27" s="5">
        <v>12359.708</v>
      </c>
      <c r="I27" s="5">
        <v>12020.144</v>
      </c>
    </row>
    <row r="30">
      <c r="A30" s="0" t="inlineStr">
        <is>
          <t xml:space="preserve">x</t>
        </is>
      </c>
      <c r="B30" s="9" t="inlineStr">
        <is>
          <t xml:space="preserve">§2 - Constant FY2026 $M (then-year x deflator)</t>
        </is>
      </c>
      <c r="C30" s="9"/>
      <c r="D30" s="9"/>
      <c r="E30" s="9"/>
      <c r="F30" s="9"/>
      <c r="G30" s="9"/>
      <c r="H30" s="9"/>
      <c r="I30" s="9"/>
    </row>
    <row r="32">
      <c r="B32" s="2" t="inlineStr">
        <is>
          <t xml:space="preserve">Class</t>
        </is>
      </c>
      <c r="C32" s="22">
        <v>2025</v>
      </c>
      <c r="D32" s="22">
        <v>2026</v>
      </c>
      <c r="E32" s="22">
        <v>2027</v>
      </c>
      <c r="F32" s="22">
        <v>2028</v>
      </c>
      <c r="G32" s="22">
        <v>2029</v>
      </c>
      <c r="H32" s="22">
        <v>2030</v>
      </c>
      <c r="I32" s="22">
        <v>2031</v>
      </c>
    </row>
    <row r="33" outlineLevel="1">
      <c r="B33" s="1" t="inlineStr">
        <is>
          <t xml:space="preserve">Virginia (LI 2013)</t>
        </is>
      </c>
      <c r="C33" s="11">
        <f>C16*'Deflators'!D10</f>
      </c>
      <c r="D33" s="11">
        <f>D16*'Deflators'!D11</f>
      </c>
      <c r="E33" s="11">
        <f>E16*'Deflators'!D12</f>
      </c>
      <c r="F33" s="11">
        <f>F16*'Deflators'!D13</f>
      </c>
      <c r="G33" s="11">
        <f>G16*'Deflators'!D14</f>
      </c>
      <c r="H33" s="11">
        <f>H16*'Deflators'!D15</f>
      </c>
      <c r="I33" s="11">
        <f>I16*'Deflators'!D16</f>
      </c>
    </row>
    <row r="34" outlineLevel="1">
      <c r="B34" s="1" t="inlineStr">
        <is>
          <t xml:space="preserve">Columbia (LI 1045)</t>
        </is>
      </c>
      <c r="C34" s="11">
        <f>C24*'Deflators'!D10</f>
      </c>
      <c r="D34" s="11">
        <f>D24*'Deflators'!D11</f>
      </c>
      <c r="E34" s="11">
        <f>E24*'Deflators'!D12</f>
      </c>
      <c r="F34" s="11">
        <f>F24*'Deflators'!D13</f>
      </c>
      <c r="G34" s="11">
        <f>G24*'Deflators'!D14</f>
      </c>
      <c r="H34" s="11">
        <f>H24*'Deflators'!D15</f>
      </c>
      <c r="I34" s="11">
        <f>I24*'Deflators'!D16</f>
      </c>
    </row>
    <row r="35">
      <c r="B35" s="3" t="inlineStr">
        <is>
          <t xml:space="preserve">Portfolio (Va + Col), constant FY2026 $M</t>
        </is>
      </c>
      <c r="C35" s="13">
        <f>N(C33)+N(C34)</f>
      </c>
      <c r="D35" s="13">
        <f>N(D33)+N(D34)</f>
      </c>
      <c r="E35" s="13">
        <f>N(E33)+N(E34)</f>
      </c>
      <c r="F35" s="13">
        <f>N(F33)+N(F34)</f>
      </c>
      <c r="G35" s="13">
        <f>N(G33)+N(G34)</f>
      </c>
      <c r="H35" s="13">
        <f>N(H33)+N(H34)</f>
      </c>
      <c r="I35" s="13">
        <f>N(I33)+N(I34)</f>
      </c>
    </row>
  </sheetData>
</worksheet>
</file>

<file path=xl/worksheets/sheet12.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22" customWidth="1"/>
    <col min="3" max="3" width="18" customWidth="1"/>
    <col min="4" max="4" width="18" customWidth="1"/>
    <col min="5" max="5" width="20" customWidth="1"/>
    <col min="6" max="6" width="18" customWidth="1"/>
    <col min="7" max="7" width="10" customWidth="1"/>
    <col min="8" max="8" width="7" customWidth="1"/>
    <col min="9" max="9" width="9" customWidth="1"/>
    <col min="10" max="10" width="11" customWidth="1"/>
    <col min="11" max="11" width="11" customWidth="1"/>
    <col min="12" max="12" width="9" customWidth="1"/>
    <col min="13" max="13" width="9" customWidth="1"/>
    <col min="14" max="14" width="11" customWidth="1"/>
    <col min="15" max="15" width="11" customWidth="1"/>
  </cols>
  <sheetData>
    <row r="1"/>
    <row r="2">
      <c r="B2" s="8" t="inlineStr">
        <is>
          <t xml:space="preserve">POP Corpus</t>
        </is>
      </c>
      <c r="C2" s="8"/>
      <c r="D2" s="8"/>
      <c r="E2" s="8"/>
      <c r="F2" s="8"/>
      <c r="G2" s="8"/>
      <c r="H2" s="8"/>
      <c r="I2" s="8"/>
      <c r="J2" s="8"/>
      <c r="K2" s="8"/>
      <c r="L2" s="8"/>
      <c r="M2" s="8"/>
      <c r="N2" s="8"/>
      <c r="O2" s="8"/>
    </row>
    <row r="4">
      <c r="B4" s="9" t="inlineStr">
        <is>
          <t xml:space="preserve">§1 - Gated POP corpus</t>
        </is>
      </c>
      <c r="C4" s="9"/>
      <c r="D4" s="9"/>
      <c r="E4" s="9"/>
      <c r="F4" s="9"/>
      <c r="G4" s="9"/>
      <c r="H4" s="9"/>
      <c r="I4" s="9"/>
      <c r="J4" s="9"/>
      <c r="K4" s="9"/>
      <c r="L4" s="9"/>
      <c r="M4" s="9"/>
      <c r="N4" s="9"/>
      <c r="O4" s="9"/>
    </row>
    <row r="6">
      <c r="B6" s="2" t="inlineStr">
        <is>
          <t xml:space="preserve">Measure</t>
        </is>
      </c>
      <c r="C6" s="22" t="inlineStr">
        <is>
          <t xml:space="preserve">Value</t>
        </is>
      </c>
    </row>
    <row r="7">
      <c r="B7" s="0" t="inlineStr">
        <is>
          <t xml:space="preserve">Rows in corpus</t>
        </is>
      </c>
      <c r="C7" s="4">
        <v>658</v>
      </c>
    </row>
    <row r="8">
      <c r="B8" s="0" t="inlineStr">
        <is>
          <t xml:space="preserve">Gated TAM actions</t>
        </is>
      </c>
      <c r="C8" s="4">
        <f>SUMPRODUCT('POP Corpus'!H17:H674)</f>
      </c>
    </row>
    <row r="9">
      <c r="B9" s="1" t="inlineStr">
        <is>
          <t xml:space="preserve">Gated TAM corpus $M</t>
        </is>
      </c>
      <c r="C9" s="4">
        <f>SUMPRODUCT('POP Corpus'!H17:H674*'POP Corpus'!K17:K674)</f>
      </c>
    </row>
    <row r="10">
      <c r="B10" s="0" t="inlineStr">
        <is>
          <t xml:space="preserve">In-scope non-GFE $M</t>
        </is>
      </c>
      <c r="C10" s="4">
        <f>SUMPRODUCT('POP Corpus'!H17:H674*(1-'POP Corpus'!I17:I674)*'POP Corpus'!K17:K674)</f>
      </c>
    </row>
    <row r="11">
      <c r="B11" s="0" t="inlineStr">
        <is>
          <t xml:space="preserve">Confirmed in-scope $M</t>
        </is>
      </c>
      <c r="C11" s="4">
        <f>SUMPRODUCT('POP Corpus'!H17:H674*(1-'POP Corpus'!I17:I674)*'POP Corpus'!J17:J674*'POP Corpus'!K17:K674)</f>
      </c>
    </row>
    <row r="14">
      <c r="A14" s="0" t="inlineStr">
        <is>
          <t xml:space="preserve">x</t>
        </is>
      </c>
      <c r="B14" s="9" t="inlineStr">
        <is>
          <t xml:space="preserve">§2 - POP corpus (658-row place-of-performance gate)</t>
        </is>
      </c>
      <c r="C14" s="9"/>
      <c r="D14" s="9"/>
      <c r="E14" s="9"/>
      <c r="F14" s="9"/>
      <c r="G14" s="9"/>
      <c r="H14" s="9"/>
      <c r="I14" s="9"/>
      <c r="J14" s="9"/>
      <c r="K14" s="9"/>
      <c r="L14" s="9"/>
      <c r="M14" s="9"/>
      <c r="N14" s="9"/>
      <c r="O14" s="9"/>
    </row>
    <row r="16">
      <c r="B16" s="2" t="inlineStr">
        <is>
          <t xml:space="preserve">Date</t>
        </is>
      </c>
      <c r="C16" s="2" t="inlineStr">
        <is>
          <t xml:space="preserve">PIID</t>
        </is>
      </c>
      <c r="D16" s="2" t="inlineStr">
        <is>
          <t xml:space="preserve">Program</t>
        </is>
      </c>
      <c r="E16" s="2" t="inlineStr">
        <is>
          <t xml:space="preserve">Work Type</t>
        </is>
      </c>
      <c r="F16" s="2" t="inlineStr">
        <is>
          <t xml:space="preserve">Scope Class</t>
        </is>
      </c>
      <c r="G16" s="2" t="inlineStr">
        <is>
          <t xml:space="preserve">Stream</t>
        </is>
      </c>
      <c r="H16" s="22" t="inlineStr">
        <is>
          <t xml:space="preserve">Gate</t>
        </is>
      </c>
      <c r="I16" s="22" t="inlineStr">
        <is>
          <t xml:space="preserve">GFE/Excl</t>
        </is>
      </c>
      <c r="J16" s="22" t="inlineStr">
        <is>
          <t xml:space="preserve">Confirmed</t>
        </is>
      </c>
      <c r="K16" s="22" t="inlineStr">
        <is>
          <t xml:space="preserve">$M</t>
        </is>
      </c>
      <c r="L16" s="22" t="inlineStr">
        <is>
          <t xml:space="preserve">EB %</t>
        </is>
      </c>
      <c r="M16" s="22" t="inlineStr">
        <is>
          <t xml:space="preserve">HII %</t>
        </is>
      </c>
      <c r="N16" s="22" t="inlineStr">
        <is>
          <t xml:space="preserve">Other US %</t>
        </is>
      </c>
      <c r="O16" s="22" t="inlineStr">
        <is>
          <t xml:space="preserve">Foreign %</t>
        </is>
      </c>
    </row>
    <row r="17" outlineLevel="1">
      <c r="B17" s="0" t="inlineStr">
        <is>
          <t xml:space="preserve">2026-03-18</t>
        </is>
      </c>
      <c r="C17" s="0" t="inlineStr">
        <is>
          <t xml:space="preserve">N00024-17-C-2117</t>
        </is>
      </c>
      <c r="D17" s="0" t="inlineStr">
        <is>
          <t xml:space="preserve">va_or_col</t>
        </is>
      </c>
      <c r="E17" s="0" t="inlineStr">
        <is>
          <t xml:space="preserve">lead_yard</t>
        </is>
      </c>
      <c r="F17" s="0" t="inlineStr">
        <is>
          <t xml:space="preserve">EXCLUDE_REVIEW</t>
        </is>
      </c>
      <c r="G17" s="0" t="inlineStr">
        <is>
          <t xml:space="preserve">BC</t>
        </is>
      </c>
      <c r="H17" s="5">
        <v>0</v>
      </c>
      <c r="I17" s="5">
        <v>0</v>
      </c>
      <c r="J17" s="5">
        <v>1</v>
      </c>
      <c r="K17" s="5">
        <v>15383.494792</v>
      </c>
      <c r="L17" s="7">
        <v>0.25</v>
      </c>
      <c r="M17" s="7">
        <v>0.06</v>
      </c>
      <c r="N17" s="7">
        <v>0.69</v>
      </c>
      <c r="O17" s="7">
        <v>0.0</v>
      </c>
    </row>
    <row r="18" outlineLevel="1">
      <c r="B18" s="0" t="inlineStr">
        <is>
          <t xml:space="preserve">2025-04-30</t>
        </is>
      </c>
      <c r="C18" s="0" t="inlineStr">
        <is>
          <t xml:space="preserve">-</t>
        </is>
      </c>
      <c r="D18" s="0" t="inlineStr">
        <is>
          <t xml:space="preserve">va</t>
        </is>
      </c>
      <c r="E18" s="0" t="inlineStr">
        <is>
          <t xml:space="preserve">lltm_early_mfg</t>
        </is>
      </c>
      <c r="F18" s="0" t="inlineStr">
        <is>
          <t xml:space="preserve">INCLUDE_AP_LLTM</t>
        </is>
      </c>
      <c r="G18" s="0" t="inlineStr">
        <is>
          <t xml:space="preserve">AP_LLTM</t>
        </is>
      </c>
      <c r="H18" s="5">
        <v>1</v>
      </c>
      <c r="I18" s="5">
        <v>0</v>
      </c>
      <c r="J18" s="5">
        <v>1</v>
      </c>
      <c r="K18" s="5">
        <v>12418.145463</v>
      </c>
      <c r="L18" s="7">
        <v>0.4</v>
      </c>
      <c r="M18" s="7">
        <v>0.32</v>
      </c>
      <c r="N18" s="7">
        <v>0.28</v>
      </c>
      <c r="O18" s="7">
        <v>0.0</v>
      </c>
    </row>
    <row r="19" outlineLevel="1">
      <c r="B19" s="0" t="inlineStr">
        <is>
          <t xml:space="preserve">2024-09-24</t>
        </is>
      </c>
      <c r="C19" s="0" t="inlineStr">
        <is>
          <t xml:space="preserve">N00024-24-C-2473</t>
        </is>
      </c>
      <c r="D19" s="0" t="inlineStr">
        <is>
          <t xml:space="preserve">non_sub</t>
        </is>
      </c>
      <c r="E19" s="0" t="inlineStr">
        <is>
          <t xml:space="preserve">other</t>
        </is>
      </c>
      <c r="F19" s="0" t="inlineStr">
        <is>
          <t xml:space="preserve">EXCLUDE_REVIEW</t>
        </is>
      </c>
      <c r="G19" s="0" t="inlineStr">
        <is>
          <t xml:space="preserve">BC</t>
        </is>
      </c>
      <c r="H19" s="5">
        <v>0</v>
      </c>
      <c r="I19" s="5">
        <v>0</v>
      </c>
      <c r="J19" s="5">
        <v>1</v>
      </c>
      <c r="K19" s="5">
        <v>5798.767376</v>
      </c>
      <c r="L19" s="7">
        <v>0.0</v>
      </c>
      <c r="M19" s="7">
        <v>0.0</v>
      </c>
      <c r="N19" s="7">
        <v>1.0</v>
      </c>
      <c r="O19" s="7">
        <v>0.0</v>
      </c>
    </row>
    <row r="20" outlineLevel="1">
      <c r="B20" s="0" t="inlineStr">
        <is>
          <t xml:space="preserve">2022-12-21</t>
        </is>
      </c>
      <c r="C20" s="0" t="inlineStr">
        <is>
          <t xml:space="preserve">-</t>
        </is>
      </c>
      <c r="D20" s="0" t="inlineStr">
        <is>
          <t xml:space="preserve">non_sub</t>
        </is>
      </c>
      <c r="E20" s="0" t="inlineStr">
        <is>
          <t xml:space="preserve">advance_procurement</t>
        </is>
      </c>
      <c r="F20" s="0" t="inlineStr">
        <is>
          <t xml:space="preserve">INCLUDE_AP_LLTM</t>
        </is>
      </c>
      <c r="G20" s="0" t="inlineStr">
        <is>
          <t xml:space="preserve">AP_LLTM</t>
        </is>
      </c>
      <c r="H20" s="5">
        <v>0</v>
      </c>
      <c r="I20" s="5">
        <v>0</v>
      </c>
      <c r="J20" s="5">
        <v>1</v>
      </c>
      <c r="K20" s="5">
        <v>5134.324189</v>
      </c>
      <c r="L20" s="7">
        <v>0.75</v>
      </c>
      <c r="M20" s="7">
        <v>0.25</v>
      </c>
      <c r="N20" s="7">
        <v>0.0</v>
      </c>
      <c r="O20" s="7">
        <v>0.0</v>
      </c>
    </row>
    <row r="21" outlineLevel="1">
      <c r="B21" s="0" t="inlineStr">
        <is>
          <t xml:space="preserve">2024-09-24</t>
        </is>
      </c>
      <c r="C21" s="0" t="inlineStr">
        <is>
          <t xml:space="preserve">N00024-24-C-2467</t>
        </is>
      </c>
      <c r="D21" s="0" t="inlineStr">
        <is>
          <t xml:space="preserve">non_sub</t>
        </is>
      </c>
      <c r="E21" s="0" t="inlineStr">
        <is>
          <t xml:space="preserve">lltm_early_mfg</t>
        </is>
      </c>
      <c r="F21" s="0" t="inlineStr">
        <is>
          <t xml:space="preserve">INCLUDE_AP_LLTM</t>
        </is>
      </c>
      <c r="G21" s="0" t="inlineStr">
        <is>
          <t xml:space="preserve">AP_LLTM</t>
        </is>
      </c>
      <c r="H21" s="5">
        <v>0</v>
      </c>
      <c r="I21" s="5">
        <v>0</v>
      </c>
      <c r="J21" s="5">
        <v>1</v>
      </c>
      <c r="K21" s="5">
        <v>3673.365244</v>
      </c>
      <c r="L21" s="7">
        <v>0.0</v>
      </c>
      <c r="M21" s="7">
        <v>0.0</v>
      </c>
      <c r="N21" s="7">
        <v>1.0</v>
      </c>
      <c r="O21" s="7">
        <v>0.0</v>
      </c>
    </row>
    <row r="22" outlineLevel="1">
      <c r="B22" s="0" t="inlineStr">
        <is>
          <t xml:space="preserve">2022-10-27</t>
        </is>
      </c>
      <c r="C22" s="0" t="inlineStr">
        <is>
          <t xml:space="preserve">-</t>
        </is>
      </c>
      <c r="D22" s="0" t="inlineStr">
        <is>
          <t xml:space="preserve">non_sub</t>
        </is>
      </c>
      <c r="E22" s="0" t="inlineStr">
        <is>
          <t xml:space="preserve">other</t>
        </is>
      </c>
      <c r="F22" s="0" t="inlineStr">
        <is>
          <t xml:space="preserve">EXCLUDE_REVIEW</t>
        </is>
      </c>
      <c r="G22" s="0" t="inlineStr">
        <is>
          <t xml:space="preserve">BC</t>
        </is>
      </c>
      <c r="H22" s="5">
        <v>0</v>
      </c>
      <c r="I22" s="5">
        <v>0</v>
      </c>
      <c r="J22" s="5">
        <v>1</v>
      </c>
      <c r="K22" s="5">
        <v>2414.0</v>
      </c>
      <c r="L22" s="7">
        <v>0.0</v>
      </c>
      <c r="M22" s="7">
        <v>0.0</v>
      </c>
      <c r="N22" s="7">
        <v>0.86</v>
      </c>
      <c r="O22" s="7">
        <v>0.0</v>
      </c>
    </row>
    <row r="23" outlineLevel="1">
      <c r="B23" s="0" t="inlineStr">
        <is>
          <t xml:space="preserve">2026-05-11</t>
        </is>
      </c>
      <c r="C23" s="0" t="inlineStr">
        <is>
          <t xml:space="preserve">N00024-24-C-2110</t>
        </is>
      </c>
      <c r="D23" s="0" t="inlineStr">
        <is>
          <t xml:space="preserve">va</t>
        </is>
      </c>
      <c r="E23" s="0" t="inlineStr">
        <is>
          <t xml:space="preserve">lltm_early_mfg</t>
        </is>
      </c>
      <c r="F23" s="0" t="inlineStr">
        <is>
          <t xml:space="preserve">INCLUDE_AP_LLTM</t>
        </is>
      </c>
      <c r="G23" s="0" t="inlineStr">
        <is>
          <t xml:space="preserve">AP_LLTM</t>
        </is>
      </c>
      <c r="H23" s="5">
        <v>1</v>
      </c>
      <c r="I23" s="5">
        <v>0</v>
      </c>
      <c r="J23" s="5">
        <v>1</v>
      </c>
      <c r="K23" s="5">
        <v>2305.53</v>
      </c>
      <c r="L23" s="7">
        <v>0.0</v>
      </c>
      <c r="M23" s="7">
        <v>0.02</v>
      </c>
      <c r="N23" s="7">
        <v>0.98</v>
      </c>
      <c r="O23" s="7">
        <v>0.0</v>
      </c>
    </row>
    <row r="24" outlineLevel="1">
      <c r="B24" s="0" t="inlineStr">
        <is>
          <t xml:space="preserve">2025-06-26</t>
        </is>
      </c>
      <c r="C24" s="0" t="inlineStr">
        <is>
          <t xml:space="preserve">N00024-24-C-2110</t>
        </is>
      </c>
      <c r="D24" s="0" t="inlineStr">
        <is>
          <t xml:space="preserve">va</t>
        </is>
      </c>
      <c r="E24" s="0" t="inlineStr">
        <is>
          <t xml:space="preserve">lltm_early_mfg</t>
        </is>
      </c>
      <c r="F24" s="0" t="inlineStr">
        <is>
          <t xml:space="preserve">INCLUDE_AP_LLTM</t>
        </is>
      </c>
      <c r="G24" s="0" t="inlineStr">
        <is>
          <t xml:space="preserve">AP_LLTM</t>
        </is>
      </c>
      <c r="H24" s="5">
        <v>1</v>
      </c>
      <c r="I24" s="5">
        <v>0</v>
      </c>
      <c r="J24" s="5">
        <v>1</v>
      </c>
      <c r="K24" s="5">
        <v>1851.065</v>
      </c>
      <c r="L24" s="7">
        <v>0.0</v>
      </c>
      <c r="M24" s="7">
        <v>0.0</v>
      </c>
      <c r="N24" s="7">
        <v>1.0</v>
      </c>
      <c r="O24" s="7">
        <v>0.0</v>
      </c>
    </row>
    <row r="25" outlineLevel="1">
      <c r="B25" s="0" t="inlineStr">
        <is>
          <t xml:space="preserve">2022-09-30</t>
        </is>
      </c>
      <c r="C25" s="0" t="inlineStr">
        <is>
          <t xml:space="preserve">N00024-18-C-2130</t>
        </is>
      </c>
      <c r="D25" s="0" t="inlineStr">
        <is>
          <t xml:space="preserve">non_sub</t>
        </is>
      </c>
      <c r="E25" s="0" t="inlineStr">
        <is>
          <t xml:space="preserve">other</t>
        </is>
      </c>
      <c r="F25" s="0" t="inlineStr">
        <is>
          <t xml:space="preserve">EXCLUDE_REVIEW</t>
        </is>
      </c>
      <c r="G25" s="0" t="inlineStr">
        <is>
          <t xml:space="preserve">BC</t>
        </is>
      </c>
      <c r="H25" s="5">
        <v>0</v>
      </c>
      <c r="I25" s="5">
        <v>0</v>
      </c>
      <c r="J25" s="5">
        <v>1</v>
      </c>
      <c r="K25" s="5">
        <v>1329.680003</v>
      </c>
      <c r="L25" s="7">
        <v>0.0</v>
      </c>
      <c r="M25" s="7">
        <v>0.0</v>
      </c>
      <c r="N25" s="7">
        <v>1.0</v>
      </c>
      <c r="O25" s="7">
        <v>0.0</v>
      </c>
    </row>
    <row r="26" outlineLevel="1">
      <c r="B26" s="0" t="inlineStr">
        <is>
          <t xml:space="preserve">2023-03-31</t>
        </is>
      </c>
      <c r="C26" s="0" t="inlineStr">
        <is>
          <t xml:space="preserve">-</t>
        </is>
      </c>
      <c r="D26" s="0" t="inlineStr">
        <is>
          <t xml:space="preserve">non_sub</t>
        </is>
      </c>
      <c r="E26" s="0" t="inlineStr">
        <is>
          <t xml:space="preserve">construction</t>
        </is>
      </c>
      <c r="F26" s="0" t="inlineStr">
        <is>
          <t xml:space="preserve">INCLUDE_BC</t>
        </is>
      </c>
      <c r="G26" s="0" t="inlineStr">
        <is>
          <t xml:space="preserve">BC</t>
        </is>
      </c>
      <c r="H26" s="5">
        <v>0</v>
      </c>
      <c r="I26" s="5">
        <v>0</v>
      </c>
      <c r="J26" s="5">
        <v>1</v>
      </c>
      <c r="K26" s="5">
        <v>1295.000013</v>
      </c>
      <c r="L26" s="7">
        <v>0.0</v>
      </c>
      <c r="M26" s="7">
        <v>0.0</v>
      </c>
      <c r="N26" s="7">
        <v>0.89</v>
      </c>
      <c r="O26" s="7">
        <v>0.0</v>
      </c>
    </row>
    <row r="27" outlineLevel="1">
      <c r="B27" s="0" t="inlineStr">
        <is>
          <t xml:space="preserve">2026-04-02</t>
        </is>
      </c>
      <c r="C27" s="0" t="inlineStr">
        <is>
          <t xml:space="preserve">N00024-20-C-2120</t>
        </is>
      </c>
      <c r="D27" s="0" t="inlineStr">
        <is>
          <t xml:space="preserve">va</t>
        </is>
      </c>
      <c r="E27" s="0" t="inlineStr">
        <is>
          <t xml:space="preserve">lead_yard</t>
        </is>
      </c>
      <c r="F27" s="0" t="inlineStr">
        <is>
          <t xml:space="preserve">EXCLUDE_REVIEW</t>
        </is>
      </c>
      <c r="G27" s="0" t="inlineStr">
        <is>
          <t xml:space="preserve">BC</t>
        </is>
      </c>
      <c r="H27" s="5">
        <v>0</v>
      </c>
      <c r="I27" s="5">
        <v>0</v>
      </c>
      <c r="J27" s="5">
        <v>1</v>
      </c>
      <c r="K27" s="5">
        <v>1265.790364</v>
      </c>
      <c r="L27" s="7">
        <v>0.92</v>
      </c>
      <c r="M27" s="7">
        <v>0.08</v>
      </c>
      <c r="N27" s="7">
        <v>0.01</v>
      </c>
      <c r="O27" s="7">
        <v>0.0</v>
      </c>
    </row>
    <row r="28" outlineLevel="1">
      <c r="B28" s="0" t="inlineStr">
        <is>
          <t xml:space="preserve">2024-02-23</t>
        </is>
      </c>
      <c r="C28" s="0" t="inlineStr">
        <is>
          <t xml:space="preserve">-</t>
        </is>
      </c>
      <c r="D28" s="0" t="inlineStr">
        <is>
          <t xml:space="preserve">va</t>
        </is>
      </c>
      <c r="E28" s="0" t="inlineStr">
        <is>
          <t xml:space="preserve">repair_overhaul</t>
        </is>
      </c>
      <c r="F28" s="0" t="inlineStr">
        <is>
          <t xml:space="preserve">EXCLUDE_REVIEW</t>
        </is>
      </c>
      <c r="G28" s="0" t="inlineStr">
        <is>
          <t xml:space="preserve">BC</t>
        </is>
      </c>
      <c r="H28" s="5">
        <v>0</v>
      </c>
      <c r="I28" s="5">
        <v>0</v>
      </c>
      <c r="J28" s="5">
        <v>1</v>
      </c>
      <c r="K28" s="5">
        <v>1173.178011</v>
      </c>
      <c r="L28" s="7">
        <v>0.0</v>
      </c>
      <c r="M28" s="7">
        <v>0.0</v>
      </c>
      <c r="N28" s="7">
        <v>0.0</v>
      </c>
      <c r="O28" s="7">
        <v>0.0</v>
      </c>
    </row>
    <row r="29" outlineLevel="1">
      <c r="B29" s="0" t="inlineStr">
        <is>
          <t xml:space="preserve">2025-09-02</t>
        </is>
      </c>
      <c r="C29" s="0" t="inlineStr">
        <is>
          <t xml:space="preserve">N00024-25-D-4325</t>
        </is>
      </c>
      <c r="D29" s="0" t="inlineStr">
        <is>
          <t xml:space="preserve">sub_repair</t>
        </is>
      </c>
      <c r="E29" s="0" t="inlineStr">
        <is>
          <t xml:space="preserve">repair_overhaul</t>
        </is>
      </c>
      <c r="F29" s="0" t="inlineStr">
        <is>
          <t xml:space="preserve">EXCLUDE_REVIEW</t>
        </is>
      </c>
      <c r="G29" s="0" t="inlineStr">
        <is>
          <t xml:space="preserve">BC</t>
        </is>
      </c>
      <c r="H29" s="5">
        <v>0</v>
      </c>
      <c r="I29" s="5">
        <v>0</v>
      </c>
      <c r="J29" s="5">
        <v>1</v>
      </c>
      <c r="K29" s="5">
        <v>1123.59</v>
      </c>
      <c r="L29" s="7">
        <v>0.0</v>
      </c>
      <c r="M29" s="7">
        <v>0.0</v>
      </c>
      <c r="N29" s="7">
        <v>1.0</v>
      </c>
      <c r="O29" s="7">
        <v>0.0</v>
      </c>
    </row>
    <row r="30" outlineLevel="1">
      <c r="B30" s="0" t="inlineStr">
        <is>
          <t xml:space="preserve">2026-04-22</t>
        </is>
      </c>
      <c r="C30" s="0" t="inlineStr">
        <is>
          <t xml:space="preserve">N00024-26-D-4343</t>
        </is>
      </c>
      <c r="D30" s="0" t="inlineStr">
        <is>
          <t xml:space="preserve">sub_repair</t>
        </is>
      </c>
      <c r="E30" s="0" t="inlineStr">
        <is>
          <t xml:space="preserve">repair_overhaul</t>
        </is>
      </c>
      <c r="F30" s="0" t="inlineStr">
        <is>
          <t xml:space="preserve">EXCLUDE_REVIEW</t>
        </is>
      </c>
      <c r="G30" s="0" t="inlineStr">
        <is>
          <t xml:space="preserve">BC</t>
        </is>
      </c>
      <c r="H30" s="5">
        <v>0</v>
      </c>
      <c r="I30" s="5">
        <v>0</v>
      </c>
      <c r="J30" s="5">
        <v>1</v>
      </c>
      <c r="K30" s="5">
        <v>1123.59</v>
      </c>
      <c r="L30" s="7">
        <v>0.0</v>
      </c>
      <c r="M30" s="7">
        <v>0.0</v>
      </c>
      <c r="N30" s="7">
        <v>1.0</v>
      </c>
      <c r="O30" s="7">
        <v>0.0</v>
      </c>
    </row>
    <row r="31" outlineLevel="1">
      <c r="B31" s="0" t="inlineStr">
        <is>
          <t xml:space="preserve">2025-03-25</t>
        </is>
      </c>
      <c r="C31" s="0" t="inlineStr">
        <is>
          <t xml:space="preserve">N00024-24-C-2110</t>
        </is>
      </c>
      <c r="D31" s="0" t="inlineStr">
        <is>
          <t xml:space="preserve">va</t>
        </is>
      </c>
      <c r="E31" s="0" t="inlineStr">
        <is>
          <t xml:space="preserve">lltm_early_mfg</t>
        </is>
      </c>
      <c r="F31" s="0" t="inlineStr">
        <is>
          <t xml:space="preserve">INCLUDE_AP_LLTM</t>
        </is>
      </c>
      <c r="G31" s="0" t="inlineStr">
        <is>
          <t xml:space="preserve">AP_LLTM</t>
        </is>
      </c>
      <c r="H31" s="5">
        <v>1</v>
      </c>
      <c r="I31" s="5">
        <v>0</v>
      </c>
      <c r="J31" s="5">
        <v>1</v>
      </c>
      <c r="K31" s="5">
        <v>1065.31</v>
      </c>
      <c r="L31" s="7">
        <v>0.0</v>
      </c>
      <c r="M31" s="7">
        <v>0.0</v>
      </c>
      <c r="N31" s="7">
        <v>1.0</v>
      </c>
      <c r="O31" s="7">
        <v>0.0</v>
      </c>
    </row>
    <row r="32" outlineLevel="1">
      <c r="B32" s="0" t="inlineStr">
        <is>
          <t xml:space="preserve">2024-05-23</t>
        </is>
      </c>
      <c r="C32" s="0" t="inlineStr">
        <is>
          <t xml:space="preserve">N00024-20-C-2300</t>
        </is>
      </c>
      <c r="D32" s="0" t="inlineStr">
        <is>
          <t xml:space="preserve">non_sub</t>
        </is>
      </c>
      <c r="E32" s="0" t="inlineStr">
        <is>
          <t xml:space="preserve">design</t>
        </is>
      </c>
      <c r="F32" s="0" t="inlineStr">
        <is>
          <t xml:space="preserve">EXCLUDE_REVIEW</t>
        </is>
      </c>
      <c r="G32" s="0" t="inlineStr">
        <is>
          <t xml:space="preserve">BC</t>
        </is>
      </c>
      <c r="H32" s="5">
        <v>0</v>
      </c>
      <c r="I32" s="5">
        <v>0</v>
      </c>
      <c r="J32" s="5">
        <v>1</v>
      </c>
      <c r="K32" s="5">
        <v>1044.529113</v>
      </c>
      <c r="L32" s="7">
        <v>0.0</v>
      </c>
      <c r="M32" s="7">
        <v>0.0</v>
      </c>
      <c r="N32" s="7">
        <v>1.0</v>
      </c>
      <c r="O32" s="7">
        <v>0.0</v>
      </c>
    </row>
    <row r="33" outlineLevel="1">
      <c r="B33" s="0" t="inlineStr">
        <is>
          <t xml:space="preserve">2025-06-18</t>
        </is>
      </c>
      <c r="C33" s="0" t="inlineStr">
        <is>
          <t xml:space="preserve">-</t>
        </is>
      </c>
      <c r="D33" s="0" t="inlineStr">
        <is>
          <t xml:space="preserve">non_sub</t>
        </is>
      </c>
      <c r="E33" s="0" t="inlineStr">
        <is>
          <t xml:space="preserve">lead_yard</t>
        </is>
      </c>
      <c r="F33" s="0" t="inlineStr">
        <is>
          <t xml:space="preserve">EXCLUDE_REVIEW</t>
        </is>
      </c>
      <c r="G33" s="0" t="inlineStr">
        <is>
          <t xml:space="preserve">BC</t>
        </is>
      </c>
      <c r="H33" s="5">
        <v>0</v>
      </c>
      <c r="I33" s="5">
        <v>0</v>
      </c>
      <c r="J33" s="5">
        <v>1</v>
      </c>
      <c r="K33" s="5">
        <v>986.785825</v>
      </c>
      <c r="L33" s="7">
        <v>0.85</v>
      </c>
      <c r="M33" s="7">
        <v>0.15</v>
      </c>
      <c r="N33" s="7">
        <v>0.0</v>
      </c>
      <c r="O33" s="7">
        <v>0.0</v>
      </c>
    </row>
    <row r="34" outlineLevel="1">
      <c r="B34" s="0" t="inlineStr">
        <is>
          <t xml:space="preserve">2024-11-12</t>
        </is>
      </c>
      <c r="C34" s="0" t="inlineStr">
        <is>
          <t xml:space="preserve">N00024-25-C-5434</t>
        </is>
      </c>
      <c r="D34" s="0" t="inlineStr">
        <is>
          <t xml:space="preserve">non_sub</t>
        </is>
      </c>
      <c r="E34" s="0" t="inlineStr">
        <is>
          <t xml:space="preserve">other</t>
        </is>
      </c>
      <c r="F34" s="0" t="inlineStr">
        <is>
          <t xml:space="preserve">EXCLUDE_REVIEW</t>
        </is>
      </c>
      <c r="G34" s="0" t="inlineStr">
        <is>
          <t xml:space="preserve">BC</t>
        </is>
      </c>
      <c r="H34" s="5">
        <v>0</v>
      </c>
      <c r="I34" s="5">
        <v>0</v>
      </c>
      <c r="J34" s="5">
        <v>1</v>
      </c>
      <c r="K34" s="5">
        <v>960.776576</v>
      </c>
      <c r="L34" s="7">
        <v>0.0</v>
      </c>
      <c r="M34" s="7">
        <v>0.0</v>
      </c>
      <c r="N34" s="7">
        <v>0.9</v>
      </c>
      <c r="O34" s="7">
        <v>0.0</v>
      </c>
    </row>
    <row r="35" outlineLevel="1">
      <c r="B35" s="0" t="inlineStr">
        <is>
          <t xml:space="preserve">2025-03-25</t>
        </is>
      </c>
      <c r="C35" s="0" t="inlineStr">
        <is>
          <t xml:space="preserve">N00024-19-C-2210</t>
        </is>
      </c>
      <c r="D35" s="0" t="inlineStr">
        <is>
          <t xml:space="preserve">non_sub</t>
        </is>
      </c>
      <c r="E35" s="0" t="inlineStr">
        <is>
          <t xml:space="preserve">construction</t>
        </is>
      </c>
      <c r="F35" s="0" t="inlineStr">
        <is>
          <t xml:space="preserve">INCLUDE_BC</t>
        </is>
      </c>
      <c r="G35" s="0" t="inlineStr">
        <is>
          <t xml:space="preserve">BC</t>
        </is>
      </c>
      <c r="H35" s="5">
        <v>0</v>
      </c>
      <c r="I35" s="5">
        <v>0</v>
      </c>
      <c r="J35" s="5">
        <v>1</v>
      </c>
      <c r="K35" s="5">
        <v>951.612999</v>
      </c>
      <c r="L35" s="7">
        <v>0.0</v>
      </c>
      <c r="M35" s="7">
        <v>0.0</v>
      </c>
      <c r="N35" s="7">
        <v>0.77</v>
      </c>
      <c r="O35" s="7">
        <v>0.0</v>
      </c>
    </row>
    <row r="36" outlineLevel="1">
      <c r="B36" s="0" t="inlineStr">
        <is>
          <t xml:space="preserve">2024-09-10</t>
        </is>
      </c>
      <c r="C36" s="0" t="inlineStr">
        <is>
          <t xml:space="preserve">N00024-24-C-2135</t>
        </is>
      </c>
      <c r="D36" s="0" t="inlineStr">
        <is>
          <t xml:space="preserve">sub_other</t>
        </is>
      </c>
      <c r="E36" s="0" t="inlineStr">
        <is>
          <t xml:space="preserve">sib_supplier_dev</t>
        </is>
      </c>
      <c r="F36" s="0" t="inlineStr">
        <is>
          <t xml:space="preserve">EXCLUDE_REVIEW</t>
        </is>
      </c>
      <c r="G36" s="0" t="inlineStr">
        <is>
          <t xml:space="preserve">BC</t>
        </is>
      </c>
      <c r="H36" s="5">
        <v>0</v>
      </c>
      <c r="I36" s="5">
        <v>0</v>
      </c>
      <c r="J36" s="5">
        <v>1</v>
      </c>
      <c r="K36" s="5">
        <v>950.74452</v>
      </c>
      <c r="L36" s="7">
        <v>0.0</v>
      </c>
      <c r="M36" s="7">
        <v>0.0</v>
      </c>
      <c r="N36" s="7">
        <v>0.0</v>
      </c>
      <c r="O36" s="7">
        <v>0.0</v>
      </c>
    </row>
    <row r="37" outlineLevel="1">
      <c r="B37" s="0" t="inlineStr">
        <is>
          <t xml:space="preserve">2025-12-19</t>
        </is>
      </c>
      <c r="C37" s="0" t="inlineStr">
        <is>
          <t xml:space="preserve">N00024-24-C-2114</t>
        </is>
      </c>
      <c r="D37" s="0" t="inlineStr">
        <is>
          <t xml:space="preserve">bpmi_nuclear</t>
        </is>
      </c>
      <c r="E37" s="0" t="inlineStr">
        <is>
          <t xml:space="preserve">component_procurement</t>
        </is>
      </c>
      <c r="F37" s="0" t="inlineStr">
        <is>
          <t xml:space="preserve">EXCLUDE_GFE_NUCLEAR</t>
        </is>
      </c>
      <c r="G37" s="0" t="inlineStr">
        <is>
          <t xml:space="preserve">BC</t>
        </is>
      </c>
      <c r="H37" s="5">
        <v>1</v>
      </c>
      <c r="I37" s="5">
        <v>1</v>
      </c>
      <c r="J37" s="5">
        <v>1</v>
      </c>
      <c r="K37" s="5">
        <v>927.58343</v>
      </c>
      <c r="L37" s="7">
        <v>0.0</v>
      </c>
      <c r="M37" s="7">
        <v>0.0</v>
      </c>
      <c r="N37" s="7">
        <v>1.0</v>
      </c>
      <c r="O37" s="7">
        <v>0.0</v>
      </c>
    </row>
    <row r="38" outlineLevel="1">
      <c r="B38" s="0" t="inlineStr">
        <is>
          <t xml:space="preserve">2023-04-21</t>
        </is>
      </c>
      <c r="C38" s="0" t="inlineStr">
        <is>
          <t xml:space="preserve">N00024-23-D-4100</t>
        </is>
      </c>
      <c r="D38" s="0" t="inlineStr">
        <is>
          <t xml:space="preserve">non_sub</t>
        </is>
      </c>
      <c r="E38" s="0" t="inlineStr">
        <is>
          <t xml:space="preserve">sustainment_maintenance</t>
        </is>
      </c>
      <c r="F38" s="0" t="inlineStr">
        <is>
          <t xml:space="preserve">EXCLUDE_REVIEW</t>
        </is>
      </c>
      <c r="G38" s="0" t="inlineStr">
        <is>
          <t xml:space="preserve">BC</t>
        </is>
      </c>
      <c r="H38" s="5">
        <v>0</v>
      </c>
      <c r="I38" s="5">
        <v>0</v>
      </c>
      <c r="J38" s="5">
        <v>1</v>
      </c>
      <c r="K38" s="5">
        <v>847.262229</v>
      </c>
      <c r="L38" s="7">
        <v>0.0</v>
      </c>
      <c r="M38" s="7">
        <v>0.0</v>
      </c>
      <c r="N38" s="7">
        <v>0.0</v>
      </c>
      <c r="O38" s="7">
        <v>0.0</v>
      </c>
    </row>
    <row r="39" outlineLevel="1">
      <c r="B39" s="0" t="inlineStr">
        <is>
          <t xml:space="preserve">2026-04-29</t>
        </is>
      </c>
      <c r="C39" s="0" t="inlineStr">
        <is>
          <t xml:space="preserve">N00024-24-C-5408</t>
        </is>
      </c>
      <c r="D39" s="0" t="inlineStr">
        <is>
          <t xml:space="preserve">non_sub</t>
        </is>
      </c>
      <c r="E39" s="0" t="inlineStr">
        <is>
          <t xml:space="preserve">other</t>
        </is>
      </c>
      <c r="F39" s="0" t="inlineStr">
        <is>
          <t xml:space="preserve">EXCLUDE_REVIEW</t>
        </is>
      </c>
      <c r="G39" s="0" t="inlineStr">
        <is>
          <t xml:space="preserve">BC</t>
        </is>
      </c>
      <c r="H39" s="5">
        <v>0</v>
      </c>
      <c r="I39" s="5">
        <v>0</v>
      </c>
      <c r="J39" s="5">
        <v>1</v>
      </c>
      <c r="K39" s="5">
        <v>832.997256</v>
      </c>
      <c r="L39" s="7">
        <v>0.0</v>
      </c>
      <c r="M39" s="7">
        <v>0.0</v>
      </c>
      <c r="N39" s="7">
        <v>0.91</v>
      </c>
      <c r="O39" s="7">
        <v>0.0</v>
      </c>
    </row>
    <row r="40" outlineLevel="1">
      <c r="B40" s="0" t="inlineStr">
        <is>
          <t xml:space="preserve">2026-01-21</t>
        </is>
      </c>
      <c r="C40" s="0" t="inlineStr">
        <is>
          <t xml:space="preserve">N00024-24-C-2115</t>
        </is>
      </c>
      <c r="D40" s="0" t="inlineStr">
        <is>
          <t xml:space="preserve">bpmi_nuclear</t>
        </is>
      </c>
      <c r="E40" s="0" t="inlineStr">
        <is>
          <t xml:space="preserve">component_procurement</t>
        </is>
      </c>
      <c r="F40" s="0" t="inlineStr">
        <is>
          <t xml:space="preserve">EXCLUDE_GFE_NUCLEAR</t>
        </is>
      </c>
      <c r="G40" s="0" t="inlineStr">
        <is>
          <t xml:space="preserve">BC</t>
        </is>
      </c>
      <c r="H40" s="5">
        <v>1</v>
      </c>
      <c r="I40" s="5">
        <v>1</v>
      </c>
      <c r="J40" s="5">
        <v>1</v>
      </c>
      <c r="K40" s="5">
        <v>812.147242</v>
      </c>
      <c r="L40" s="7">
        <v>0.0</v>
      </c>
      <c r="M40" s="7">
        <v>0.0</v>
      </c>
      <c r="N40" s="7">
        <v>1.0</v>
      </c>
      <c r="O40" s="7">
        <v>0.0</v>
      </c>
    </row>
    <row r="41" outlineLevel="1">
      <c r="B41" s="0" t="inlineStr">
        <is>
          <t xml:space="preserve">2023-12-22</t>
        </is>
      </c>
      <c r="C41" s="0" t="inlineStr">
        <is>
          <t xml:space="preserve">N00024-24-C-2114</t>
        </is>
      </c>
      <c r="D41" s="0" t="inlineStr">
        <is>
          <t xml:space="preserve">bpmi_nuclear</t>
        </is>
      </c>
      <c r="E41" s="0" t="inlineStr">
        <is>
          <t xml:space="preserve">component_procurement</t>
        </is>
      </c>
      <c r="F41" s="0" t="inlineStr">
        <is>
          <t xml:space="preserve">EXCLUDE_GFE_NUCLEAR</t>
        </is>
      </c>
      <c r="G41" s="0" t="inlineStr">
        <is>
          <t xml:space="preserve">BC</t>
        </is>
      </c>
      <c r="H41" s="5">
        <v>1</v>
      </c>
      <c r="I41" s="5">
        <v>1</v>
      </c>
      <c r="J41" s="5">
        <v>1</v>
      </c>
      <c r="K41" s="5">
        <v>772.299996</v>
      </c>
      <c r="L41" s="7">
        <v>0.0</v>
      </c>
      <c r="M41" s="7">
        <v>0.0</v>
      </c>
      <c r="N41" s="7">
        <v>1.0</v>
      </c>
      <c r="O41" s="7">
        <v>0.0</v>
      </c>
    </row>
    <row r="42" outlineLevel="1">
      <c r="B42" s="0" t="inlineStr">
        <is>
          <t xml:space="preserve">2022-12-02</t>
        </is>
      </c>
      <c r="C42" s="0" t="inlineStr">
        <is>
          <t xml:space="preserve">-</t>
        </is>
      </c>
      <c r="D42" s="0" t="inlineStr">
        <is>
          <t xml:space="preserve">bpmi_nuclear</t>
        </is>
      </c>
      <c r="E42" s="0" t="inlineStr">
        <is>
          <t xml:space="preserve">component_procurement</t>
        </is>
      </c>
      <c r="F42" s="0" t="inlineStr">
        <is>
          <t xml:space="preserve">EXCLUDE_GFE_NUCLEAR</t>
        </is>
      </c>
      <c r="G42" s="0" t="inlineStr">
        <is>
          <t xml:space="preserve">BC</t>
        </is>
      </c>
      <c r="H42" s="5">
        <v>1</v>
      </c>
      <c r="I42" s="5">
        <v>1</v>
      </c>
      <c r="J42" s="5">
        <v>1</v>
      </c>
      <c r="K42" s="5">
        <v>768.485104</v>
      </c>
      <c r="L42" s="7">
        <v>0.0</v>
      </c>
      <c r="M42" s="7">
        <v>0.0</v>
      </c>
      <c r="N42" s="7">
        <v>1.0</v>
      </c>
      <c r="O42" s="7">
        <v>0.0</v>
      </c>
    </row>
    <row r="43" outlineLevel="1">
      <c r="B43" s="0" t="inlineStr">
        <is>
          <t xml:space="preserve">2023-05-22</t>
        </is>
      </c>
      <c r="C43" s="0" t="inlineStr">
        <is>
          <t xml:space="preserve">-</t>
        </is>
      </c>
      <c r="D43" s="0" t="inlineStr">
        <is>
          <t xml:space="preserve">non_sub</t>
        </is>
      </c>
      <c r="E43" s="0" t="inlineStr">
        <is>
          <t xml:space="preserve">design</t>
        </is>
      </c>
      <c r="F43" s="0" t="inlineStr">
        <is>
          <t xml:space="preserve">EXCLUDE_REVIEW</t>
        </is>
      </c>
      <c r="G43" s="0" t="inlineStr">
        <is>
          <t xml:space="preserve">BC</t>
        </is>
      </c>
      <c r="H43" s="5">
        <v>0</v>
      </c>
      <c r="I43" s="5">
        <v>0</v>
      </c>
      <c r="J43" s="5">
        <v>1</v>
      </c>
      <c r="K43" s="5">
        <v>736.160588</v>
      </c>
      <c r="L43" s="7">
        <v>0.0</v>
      </c>
      <c r="M43" s="7">
        <v>0.0</v>
      </c>
      <c r="N43" s="7">
        <v>0.86</v>
      </c>
      <c r="O43" s="7">
        <v>0.0</v>
      </c>
    </row>
    <row r="44" outlineLevel="1">
      <c r="B44" s="0" t="inlineStr">
        <is>
          <t xml:space="preserve">2022-12-23</t>
        </is>
      </c>
      <c r="C44" s="0" t="inlineStr">
        <is>
          <t xml:space="preserve">-</t>
        </is>
      </c>
      <c r="D44" s="0" t="inlineStr">
        <is>
          <t xml:space="preserve">non_sub</t>
        </is>
      </c>
      <c r="E44" s="0" t="inlineStr">
        <is>
          <t xml:space="preserve">other</t>
        </is>
      </c>
      <c r="F44" s="0" t="inlineStr">
        <is>
          <t xml:space="preserve">EXCLUDE_REVIEW</t>
        </is>
      </c>
      <c r="G44" s="0" t="inlineStr">
        <is>
          <t xml:space="preserve">BC</t>
        </is>
      </c>
      <c r="H44" s="5">
        <v>0</v>
      </c>
      <c r="I44" s="5">
        <v>0</v>
      </c>
      <c r="J44" s="5">
        <v>1</v>
      </c>
      <c r="K44" s="5">
        <v>734.972174</v>
      </c>
      <c r="L44" s="7">
        <v>0.0</v>
      </c>
      <c r="M44" s="7">
        <v>0.0</v>
      </c>
      <c r="N44" s="7">
        <v>0.0</v>
      </c>
      <c r="O44" s="7">
        <v>0.0</v>
      </c>
    </row>
    <row r="45" outlineLevel="1">
      <c r="B45" s="0" t="inlineStr">
        <is>
          <t xml:space="preserve">2025-11-17</t>
        </is>
      </c>
      <c r="C45" s="0" t="inlineStr">
        <is>
          <t xml:space="preserve">N00024-17-C-2117</t>
        </is>
      </c>
      <c r="D45" s="0" t="inlineStr">
        <is>
          <t xml:space="preserve">col</t>
        </is>
      </c>
      <c r="E45" s="0" t="inlineStr">
        <is>
          <t xml:space="preserve">advance_procurement</t>
        </is>
      </c>
      <c r="F45" s="0" t="inlineStr">
        <is>
          <t xml:space="preserve">INCLUDE_AP_LLTM</t>
        </is>
      </c>
      <c r="G45" s="0" t="inlineStr">
        <is>
          <t xml:space="preserve">AP_LLTM</t>
        </is>
      </c>
      <c r="H45" s="5">
        <v>1</v>
      </c>
      <c r="I45" s="5">
        <v>0</v>
      </c>
      <c r="J45" s="5">
        <v>1</v>
      </c>
      <c r="K45" s="5">
        <v>698.94876</v>
      </c>
      <c r="L45" s="7">
        <v>0.85</v>
      </c>
      <c r="M45" s="7">
        <v>0.15</v>
      </c>
      <c r="N45" s="7">
        <v>0.0</v>
      </c>
      <c r="O45" s="7">
        <v>0.0</v>
      </c>
    </row>
    <row r="46" outlineLevel="1">
      <c r="B46" s="0" t="inlineStr">
        <is>
          <t xml:space="preserve">2022-07-28</t>
        </is>
      </c>
      <c r="C46" s="0" t="inlineStr">
        <is>
          <t xml:space="preserve">-</t>
        </is>
      </c>
      <c r="D46" s="0" t="inlineStr">
        <is>
          <t xml:space="preserve">va</t>
        </is>
      </c>
      <c r="E46" s="0" t="inlineStr">
        <is>
          <t xml:space="preserve">sustainment_maintenance</t>
        </is>
      </c>
      <c r="F46" s="0" t="inlineStr">
        <is>
          <t xml:space="preserve">EXCLUDE_REVIEW</t>
        </is>
      </c>
      <c r="G46" s="0" t="inlineStr">
        <is>
          <t xml:space="preserve">BC</t>
        </is>
      </c>
      <c r="H46" s="5">
        <v>0</v>
      </c>
      <c r="I46" s="5">
        <v>0</v>
      </c>
      <c r="J46" s="5">
        <v>1</v>
      </c>
      <c r="K46" s="5">
        <v>697.894932</v>
      </c>
      <c r="L46" s="7">
        <v>0.0</v>
      </c>
      <c r="M46" s="7">
        <v>0.0</v>
      </c>
      <c r="N46" s="7">
        <v>0.0</v>
      </c>
      <c r="O46" s="7">
        <v>0.0</v>
      </c>
    </row>
    <row r="47" outlineLevel="1">
      <c r="B47" s="0" t="inlineStr">
        <is>
          <t xml:space="preserve">2025-02-26</t>
        </is>
      </c>
      <c r="C47" s="0" t="inlineStr">
        <is>
          <t xml:space="preserve">N00024-25-D-4110</t>
        </is>
      </c>
      <c r="D47" s="0" t="inlineStr">
        <is>
          <t xml:space="preserve">non_sub</t>
        </is>
      </c>
      <c r="E47" s="0" t="inlineStr">
        <is>
          <t xml:space="preserve">sustainment_maintenance</t>
        </is>
      </c>
      <c r="F47" s="0" t="inlineStr">
        <is>
          <t xml:space="preserve">EXCLUDE_REVIEW</t>
        </is>
      </c>
      <c r="G47" s="0" t="inlineStr">
        <is>
          <t xml:space="preserve">BC</t>
        </is>
      </c>
      <c r="H47" s="5">
        <v>0</v>
      </c>
      <c r="I47" s="5">
        <v>0</v>
      </c>
      <c r="J47" s="5">
        <v>1</v>
      </c>
      <c r="K47" s="5">
        <v>654.668551</v>
      </c>
      <c r="L47" s="7">
        <v>0.0</v>
      </c>
      <c r="M47" s="7">
        <v>0.0</v>
      </c>
      <c r="N47" s="7">
        <v>0.0</v>
      </c>
      <c r="O47" s="7">
        <v>0.0</v>
      </c>
    </row>
    <row r="48" outlineLevel="1">
      <c r="B48" s="0" t="inlineStr">
        <is>
          <t xml:space="preserve">2025-06-06</t>
        </is>
      </c>
      <c r="C48" s="0" t="inlineStr">
        <is>
          <t xml:space="preserve">N00024-22-C-5500</t>
        </is>
      </c>
      <c r="D48" s="0" t="inlineStr">
        <is>
          <t xml:space="preserve">non_sub</t>
        </is>
      </c>
      <c r="E48" s="0" t="inlineStr">
        <is>
          <t xml:space="preserve">other</t>
        </is>
      </c>
      <c r="F48" s="0" t="inlineStr">
        <is>
          <t xml:space="preserve">EXCLUDE_REVIEW</t>
        </is>
      </c>
      <c r="G48" s="0" t="inlineStr">
        <is>
          <t xml:space="preserve">BC</t>
        </is>
      </c>
      <c r="H48" s="5">
        <v>0</v>
      </c>
      <c r="I48" s="5">
        <v>0</v>
      </c>
      <c r="J48" s="5">
        <v>1</v>
      </c>
      <c r="K48" s="5">
        <v>646.519738</v>
      </c>
      <c r="L48" s="7">
        <v>0.0</v>
      </c>
      <c r="M48" s="7">
        <v>0.0</v>
      </c>
      <c r="N48" s="7">
        <v>0.81</v>
      </c>
      <c r="O48" s="7">
        <v>0.0</v>
      </c>
    </row>
    <row r="49" outlineLevel="1">
      <c r="B49" s="0" t="inlineStr">
        <is>
          <t xml:space="preserve">2025-06-17</t>
        </is>
      </c>
      <c r="C49" s="0" t="inlineStr">
        <is>
          <t xml:space="preserve">-</t>
        </is>
      </c>
      <c r="D49" s="0" t="inlineStr">
        <is>
          <t xml:space="preserve">non_sub</t>
        </is>
      </c>
      <c r="E49" s="0" t="inlineStr">
        <is>
          <t xml:space="preserve">other</t>
        </is>
      </c>
      <c r="F49" s="0" t="inlineStr">
        <is>
          <t xml:space="preserve">EXCLUDE_REVIEW</t>
        </is>
      </c>
      <c r="G49" s="0" t="inlineStr">
        <is>
          <t xml:space="preserve">BC</t>
        </is>
      </c>
      <c r="H49" s="5">
        <v>0</v>
      </c>
      <c r="I49" s="5">
        <v>0</v>
      </c>
      <c r="J49" s="5">
        <v>1</v>
      </c>
      <c r="K49" s="5">
        <v>560.493551</v>
      </c>
      <c r="L49" s="7">
        <v>0.0</v>
      </c>
      <c r="M49" s="7">
        <v>0.0</v>
      </c>
      <c r="N49" s="7">
        <v>1.0</v>
      </c>
      <c r="O49" s="7">
        <v>0.0</v>
      </c>
    </row>
    <row r="50" outlineLevel="1">
      <c r="B50" s="0" t="inlineStr">
        <is>
          <t xml:space="preserve">2025-02-03</t>
        </is>
      </c>
      <c r="C50" s="0" t="inlineStr">
        <is>
          <t xml:space="preserve">N00024-25-D-6211</t>
        </is>
      </c>
      <c r="D50" s="0" t="inlineStr">
        <is>
          <t xml:space="preserve">sub_gfe_electronics</t>
        </is>
      </c>
      <c r="E50" s="0" t="inlineStr">
        <is>
          <t xml:space="preserve">component_procurement</t>
        </is>
      </c>
      <c r="F50" s="0" t="inlineStr">
        <is>
          <t xml:space="preserve">EXCLUDE_GFE</t>
        </is>
      </c>
      <c r="G50" s="0" t="inlineStr">
        <is>
          <t xml:space="preserve">BC</t>
        </is>
      </c>
      <c r="H50" s="5">
        <v>1</v>
      </c>
      <c r="I50" s="5">
        <v>1</v>
      </c>
      <c r="J50" s="5">
        <v>1</v>
      </c>
      <c r="K50" s="5">
        <v>551.012019</v>
      </c>
      <c r="L50" s="7">
        <v>0.0</v>
      </c>
      <c r="M50" s="7">
        <v>0.0</v>
      </c>
      <c r="N50" s="7">
        <v>0.0</v>
      </c>
      <c r="O50" s="7">
        <v>0.0</v>
      </c>
    </row>
    <row r="51" outlineLevel="1">
      <c r="B51" s="0" t="inlineStr">
        <is>
          <t xml:space="preserve">2025-05-30</t>
        </is>
      </c>
      <c r="C51" s="0" t="inlineStr">
        <is>
          <t xml:space="preserve">N00024-25-C-5501</t>
        </is>
      </c>
      <c r="D51" s="0" t="inlineStr">
        <is>
          <t xml:space="preserve">non_sub</t>
        </is>
      </c>
      <c r="E51" s="0" t="inlineStr">
        <is>
          <t xml:space="preserve">fms</t>
        </is>
      </c>
      <c r="F51" s="0" t="inlineStr">
        <is>
          <t xml:space="preserve">EXCLUDE_REVIEW</t>
        </is>
      </c>
      <c r="G51" s="0" t="inlineStr">
        <is>
          <t xml:space="preserve">BC</t>
        </is>
      </c>
      <c r="H51" s="5">
        <v>0</v>
      </c>
      <c r="I51" s="5">
        <v>0</v>
      </c>
      <c r="J51" s="5">
        <v>1</v>
      </c>
      <c r="K51" s="5">
        <v>536.750202</v>
      </c>
      <c r="L51" s="7">
        <v>0.0</v>
      </c>
      <c r="M51" s="7">
        <v>0.06</v>
      </c>
      <c r="N51" s="7">
        <v>0.94</v>
      </c>
      <c r="O51" s="7">
        <v>0.0</v>
      </c>
    </row>
    <row r="52" outlineLevel="1">
      <c r="B52" s="0" t="inlineStr">
        <is>
          <t xml:space="preserve">2025-05-30</t>
        </is>
      </c>
      <c r="C52" s="0" t="inlineStr">
        <is>
          <t xml:space="preserve">N00024-25-C-4135</t>
        </is>
      </c>
      <c r="D52" s="0" t="inlineStr">
        <is>
          <t xml:space="preserve">non_sub</t>
        </is>
      </c>
      <c r="E52" s="0" t="inlineStr">
        <is>
          <t xml:space="preserve">other</t>
        </is>
      </c>
      <c r="F52" s="0" t="inlineStr">
        <is>
          <t xml:space="preserve">EXCLUDE_REVIEW</t>
        </is>
      </c>
      <c r="G52" s="0" t="inlineStr">
        <is>
          <t xml:space="preserve">BC</t>
        </is>
      </c>
      <c r="H52" s="5">
        <v>0</v>
      </c>
      <c r="I52" s="5">
        <v>0</v>
      </c>
      <c r="J52" s="5">
        <v>1</v>
      </c>
      <c r="K52" s="5">
        <v>536.749731</v>
      </c>
      <c r="L52" s="7">
        <v>0.0</v>
      </c>
      <c r="M52" s="7">
        <v>0.0</v>
      </c>
      <c r="N52" s="7">
        <v>0.0</v>
      </c>
      <c r="O52" s="7">
        <v>0.0</v>
      </c>
    </row>
    <row r="53" outlineLevel="1">
      <c r="B53" s="0" t="inlineStr">
        <is>
          <t xml:space="preserve">2023-07-24</t>
        </is>
      </c>
      <c r="C53" s="0" t="inlineStr">
        <is>
          <t xml:space="preserve">N00024-23-D-4107</t>
        </is>
      </c>
      <c r="D53" s="0" t="inlineStr">
        <is>
          <t xml:space="preserve">non_sub</t>
        </is>
      </c>
      <c r="E53" s="0" t="inlineStr">
        <is>
          <t xml:space="preserve">sustainment_maintenance</t>
        </is>
      </c>
      <c r="F53" s="0" t="inlineStr">
        <is>
          <t xml:space="preserve">EXCLUDE_REVIEW</t>
        </is>
      </c>
      <c r="G53" s="0" t="inlineStr">
        <is>
          <t xml:space="preserve">BC</t>
        </is>
      </c>
      <c r="H53" s="5">
        <v>0</v>
      </c>
      <c r="I53" s="5">
        <v>0</v>
      </c>
      <c r="J53" s="5">
        <v>1</v>
      </c>
      <c r="K53" s="5">
        <v>528.381355</v>
      </c>
      <c r="L53" s="7">
        <v>0.0</v>
      </c>
      <c r="M53" s="7">
        <v>0.0</v>
      </c>
      <c r="N53" s="7">
        <v>0.0</v>
      </c>
      <c r="O53" s="7">
        <v>0.0</v>
      </c>
    </row>
    <row r="54" outlineLevel="1">
      <c r="B54" s="0" t="inlineStr">
        <is>
          <t xml:space="preserve">2024-09-27</t>
        </is>
      </c>
      <c r="C54" s="0" t="inlineStr">
        <is>
          <t xml:space="preserve">N00024-24-C-5408</t>
        </is>
      </c>
      <c r="D54" s="0" t="inlineStr">
        <is>
          <t xml:space="preserve">non_sub</t>
        </is>
      </c>
      <c r="E54" s="0" t="inlineStr">
        <is>
          <t xml:space="preserve">fms</t>
        </is>
      </c>
      <c r="F54" s="0" t="inlineStr">
        <is>
          <t xml:space="preserve">EXCLUDE_REVIEW</t>
        </is>
      </c>
      <c r="G54" s="0" t="inlineStr">
        <is>
          <t xml:space="preserve">BC</t>
        </is>
      </c>
      <c r="H54" s="5">
        <v>0</v>
      </c>
      <c r="I54" s="5">
        <v>0</v>
      </c>
      <c r="J54" s="5">
        <v>1</v>
      </c>
      <c r="K54" s="5">
        <v>525.539</v>
      </c>
      <c r="L54" s="7">
        <v>0.0</v>
      </c>
      <c r="M54" s="7">
        <v>0.0</v>
      </c>
      <c r="N54" s="7">
        <v>0.9</v>
      </c>
      <c r="O54" s="7">
        <v>0.0</v>
      </c>
    </row>
    <row r="55" outlineLevel="1">
      <c r="B55" s="0" t="inlineStr">
        <is>
          <t xml:space="preserve">2026-03-24</t>
        </is>
      </c>
      <c r="C55" s="0" t="inlineStr">
        <is>
          <t xml:space="preserve">N00024-26-D-6203</t>
        </is>
      </c>
      <c r="D55" s="0" t="inlineStr">
        <is>
          <t xml:space="preserve">sub_gfe_electronics</t>
        </is>
      </c>
      <c r="E55" s="0" t="inlineStr">
        <is>
          <t xml:space="preserve">component_procurement</t>
        </is>
      </c>
      <c r="F55" s="0" t="inlineStr">
        <is>
          <t xml:space="preserve">EXCLUDE_GFE</t>
        </is>
      </c>
      <c r="G55" s="0" t="inlineStr">
        <is>
          <t xml:space="preserve">BC</t>
        </is>
      </c>
      <c r="H55" s="5">
        <v>1</v>
      </c>
      <c r="I55" s="5">
        <v>1</v>
      </c>
      <c r="J55" s="5">
        <v>1</v>
      </c>
      <c r="K55" s="5">
        <v>478.359847</v>
      </c>
      <c r="L55" s="7">
        <v>0.0</v>
      </c>
      <c r="M55" s="7">
        <v>0.0</v>
      </c>
      <c r="N55" s="7">
        <v>0.0</v>
      </c>
      <c r="O55" s="7">
        <v>0.0</v>
      </c>
    </row>
    <row r="56" outlineLevel="1">
      <c r="B56" s="0" t="inlineStr">
        <is>
          <t xml:space="preserve">2025-11-20</t>
        </is>
      </c>
      <c r="C56" s="0" t="inlineStr">
        <is>
          <t xml:space="preserve">N00024-21-D-6400</t>
        </is>
      </c>
      <c r="D56" s="0" t="inlineStr">
        <is>
          <t xml:space="preserve">non_sub</t>
        </is>
      </c>
      <c r="E56" s="0" t="inlineStr">
        <is>
          <t xml:space="preserve">other</t>
        </is>
      </c>
      <c r="F56" s="0" t="inlineStr">
        <is>
          <t xml:space="preserve">EXCLUDE_REVIEW</t>
        </is>
      </c>
      <c r="G56" s="0" t="inlineStr">
        <is>
          <t xml:space="preserve">BC</t>
        </is>
      </c>
      <c r="H56" s="5">
        <v>0</v>
      </c>
      <c r="I56" s="5">
        <v>0</v>
      </c>
      <c r="J56" s="5">
        <v>1</v>
      </c>
      <c r="K56" s="5">
        <v>474.319378</v>
      </c>
      <c r="L56" s="7">
        <v>0.0</v>
      </c>
      <c r="M56" s="7">
        <v>0.0</v>
      </c>
      <c r="N56" s="7">
        <v>0.0</v>
      </c>
      <c r="O56" s="7">
        <v>0.0</v>
      </c>
    </row>
    <row r="57" outlineLevel="1">
      <c r="B57" s="0" t="inlineStr">
        <is>
          <t xml:space="preserve">2024-04-11</t>
        </is>
      </c>
      <c r="C57" s="0" t="inlineStr">
        <is>
          <t xml:space="preserve">-</t>
        </is>
      </c>
      <c r="D57" s="0" t="inlineStr">
        <is>
          <t xml:space="preserve">sub_other</t>
        </is>
      </c>
      <c r="E57" s="0" t="inlineStr">
        <is>
          <t xml:space="preserve">construction</t>
        </is>
      </c>
      <c r="F57" s="0" t="inlineStr">
        <is>
          <t xml:space="preserve">INCLUDE_BC</t>
        </is>
      </c>
      <c r="G57" s="0" t="inlineStr">
        <is>
          <t xml:space="preserve">BC</t>
        </is>
      </c>
      <c r="H57" s="5">
        <v>0</v>
      </c>
      <c r="I57" s="5">
        <v>0</v>
      </c>
      <c r="J57" s="5">
        <v>1</v>
      </c>
      <c r="K57" s="5">
        <v>450.0</v>
      </c>
      <c r="L57" s="7">
        <v>0.0</v>
      </c>
      <c r="M57" s="7">
        <v>0.0</v>
      </c>
      <c r="N57" s="7">
        <v>0.0</v>
      </c>
      <c r="O57" s="7">
        <v>0.0</v>
      </c>
    </row>
    <row r="58" outlineLevel="1">
      <c r="B58" s="0" t="inlineStr">
        <is>
          <t xml:space="preserve">2024-08-01</t>
        </is>
      </c>
      <c r="C58" s="0" t="inlineStr">
        <is>
          <t xml:space="preserve">-</t>
        </is>
      </c>
      <c r="D58" s="0" t="inlineStr">
        <is>
          <t xml:space="preserve">bpmi_nuclear</t>
        </is>
      </c>
      <c r="E58" s="0" t="inlineStr">
        <is>
          <t xml:space="preserve">component_procurement</t>
        </is>
      </c>
      <c r="F58" s="0" t="inlineStr">
        <is>
          <t xml:space="preserve">EXCLUDE_GFE_NUCLEAR</t>
        </is>
      </c>
      <c r="G58" s="0" t="inlineStr">
        <is>
          <t xml:space="preserve">BC</t>
        </is>
      </c>
      <c r="H58" s="5">
        <v>1</v>
      </c>
      <c r="I58" s="5">
        <v>1</v>
      </c>
      <c r="J58" s="5">
        <v>1</v>
      </c>
      <c r="K58" s="5">
        <v>447.0</v>
      </c>
      <c r="L58" s="7">
        <v>0.0</v>
      </c>
      <c r="M58" s="7">
        <v>0.0</v>
      </c>
      <c r="N58" s="7">
        <v>0.0</v>
      </c>
      <c r="O58" s="7">
        <v>0.0</v>
      </c>
    </row>
    <row r="59" outlineLevel="1">
      <c r="B59" s="0" t="inlineStr">
        <is>
          <t xml:space="preserve">2024-12-13</t>
        </is>
      </c>
      <c r="C59" s="0" t="inlineStr">
        <is>
          <t xml:space="preserve">-</t>
        </is>
      </c>
      <c r="D59" s="0" t="inlineStr">
        <is>
          <t xml:space="preserve">bpmi_nuclear</t>
        </is>
      </c>
      <c r="E59" s="0" t="inlineStr">
        <is>
          <t xml:space="preserve">component_procurement</t>
        </is>
      </c>
      <c r="F59" s="0" t="inlineStr">
        <is>
          <t xml:space="preserve">EXCLUDE_GFE_NUCLEAR</t>
        </is>
      </c>
      <c r="G59" s="0" t="inlineStr">
        <is>
          <t xml:space="preserve">BC</t>
        </is>
      </c>
      <c r="H59" s="5">
        <v>1</v>
      </c>
      <c r="I59" s="5">
        <v>1</v>
      </c>
      <c r="J59" s="5">
        <v>1</v>
      </c>
      <c r="K59" s="5">
        <v>395.51</v>
      </c>
      <c r="L59" s="7">
        <v>0.0</v>
      </c>
      <c r="M59" s="7">
        <v>0.0</v>
      </c>
      <c r="N59" s="7">
        <v>0.0</v>
      </c>
      <c r="O59" s="7">
        <v>0.0</v>
      </c>
    </row>
    <row r="60" outlineLevel="1">
      <c r="B60" s="0" t="inlineStr">
        <is>
          <t xml:space="preserve">2025-09-09</t>
        </is>
      </c>
      <c r="C60" s="0" t="inlineStr">
        <is>
          <t xml:space="preserve">N00024-17-D-6421</t>
        </is>
      </c>
      <c r="D60" s="0" t="inlineStr">
        <is>
          <t xml:space="preserve">non_sub</t>
        </is>
      </c>
      <c r="E60" s="0" t="inlineStr">
        <is>
          <t xml:space="preserve">other</t>
        </is>
      </c>
      <c r="F60" s="0" t="inlineStr">
        <is>
          <t xml:space="preserve">EXCLUDE_REVIEW</t>
        </is>
      </c>
      <c r="G60" s="0" t="inlineStr">
        <is>
          <t xml:space="preserve">BC</t>
        </is>
      </c>
      <c r="H60" s="5">
        <v>0</v>
      </c>
      <c r="I60" s="5">
        <v>0</v>
      </c>
      <c r="J60" s="5">
        <v>1</v>
      </c>
      <c r="K60" s="5">
        <v>390.0</v>
      </c>
      <c r="L60" s="7">
        <v>0.0</v>
      </c>
      <c r="M60" s="7">
        <v>0.0</v>
      </c>
      <c r="N60" s="7">
        <v>0.0</v>
      </c>
      <c r="O60" s="7">
        <v>0.0</v>
      </c>
    </row>
    <row r="61" outlineLevel="1">
      <c r="B61" s="0" t="inlineStr">
        <is>
          <t xml:space="preserve">2025-07-03</t>
        </is>
      </c>
      <c r="C61" s="0" t="inlineStr">
        <is>
          <t xml:space="preserve">N00024-23-C-2452</t>
        </is>
      </c>
      <c r="D61" s="0" t="inlineStr">
        <is>
          <t xml:space="preserve">non_sub</t>
        </is>
      </c>
      <c r="E61" s="0" t="inlineStr">
        <is>
          <t xml:space="preserve">construction</t>
        </is>
      </c>
      <c r="F61" s="0" t="inlineStr">
        <is>
          <t xml:space="preserve">INCLUDE_BC</t>
        </is>
      </c>
      <c r="G61" s="0" t="inlineStr">
        <is>
          <t xml:space="preserve">BC</t>
        </is>
      </c>
      <c r="H61" s="5">
        <v>0</v>
      </c>
      <c r="I61" s="5">
        <v>0</v>
      </c>
      <c r="J61" s="5">
        <v>1</v>
      </c>
      <c r="K61" s="5">
        <v>353.961249</v>
      </c>
      <c r="L61" s="7">
        <v>0.0</v>
      </c>
      <c r="M61" s="7">
        <v>0.0</v>
      </c>
      <c r="N61" s="7">
        <v>0.97</v>
      </c>
      <c r="O61" s="7">
        <v>0.0</v>
      </c>
    </row>
    <row r="62" outlineLevel="1">
      <c r="B62" s="0" t="inlineStr">
        <is>
          <t xml:space="preserve">2026-04-30</t>
        </is>
      </c>
      <c r="C62" s="0" t="inlineStr">
        <is>
          <t xml:space="preserve">N00024-25-C-5409</t>
        </is>
      </c>
      <c r="D62" s="0" t="inlineStr">
        <is>
          <t xml:space="preserve">non_sub</t>
        </is>
      </c>
      <c r="E62" s="0" t="inlineStr">
        <is>
          <t xml:space="preserve">other</t>
        </is>
      </c>
      <c r="F62" s="0" t="inlineStr">
        <is>
          <t xml:space="preserve">EXCLUDE_REVIEW</t>
        </is>
      </c>
      <c r="G62" s="0" t="inlineStr">
        <is>
          <t xml:space="preserve">BC</t>
        </is>
      </c>
      <c r="H62" s="5">
        <v>0</v>
      </c>
      <c r="I62" s="5">
        <v>0</v>
      </c>
      <c r="J62" s="5">
        <v>1</v>
      </c>
      <c r="K62" s="5">
        <v>335.110022</v>
      </c>
      <c r="L62" s="7">
        <v>0.0</v>
      </c>
      <c r="M62" s="7">
        <v>0.0</v>
      </c>
      <c r="N62" s="7">
        <v>0.86</v>
      </c>
      <c r="O62" s="7">
        <v>0.0</v>
      </c>
    </row>
    <row r="63" outlineLevel="1">
      <c r="B63" s="0" t="inlineStr">
        <is>
          <t xml:space="preserve">2025-12-17</t>
        </is>
      </c>
      <c r="C63" s="0" t="inlineStr">
        <is>
          <t xml:space="preserve">N00024-20-C-5519</t>
        </is>
      </c>
      <c r="D63" s="0" t="inlineStr">
        <is>
          <t xml:space="preserve">non_sub</t>
        </is>
      </c>
      <c r="E63" s="0" t="inlineStr">
        <is>
          <t xml:space="preserve">other</t>
        </is>
      </c>
      <c r="F63" s="0" t="inlineStr">
        <is>
          <t xml:space="preserve">EXCLUDE_REVIEW</t>
        </is>
      </c>
      <c r="G63" s="0" t="inlineStr">
        <is>
          <t xml:space="preserve">BC</t>
        </is>
      </c>
      <c r="H63" s="5">
        <v>0</v>
      </c>
      <c r="I63" s="5">
        <v>0</v>
      </c>
      <c r="J63" s="5">
        <v>1</v>
      </c>
      <c r="K63" s="5">
        <v>334.419034</v>
      </c>
      <c r="L63" s="7">
        <v>0.0</v>
      </c>
      <c r="M63" s="7">
        <v>0.0</v>
      </c>
      <c r="N63" s="7">
        <v>0.52</v>
      </c>
      <c r="O63" s="7">
        <v>0.0</v>
      </c>
    </row>
    <row r="64" outlineLevel="1">
      <c r="B64" s="0" t="inlineStr">
        <is>
          <t xml:space="preserve">2025-01-08</t>
        </is>
      </c>
      <c r="C64" s="0" t="inlineStr">
        <is>
          <t xml:space="preserve">N00024-25-C-5409</t>
        </is>
      </c>
      <c r="D64" s="0" t="inlineStr">
        <is>
          <t xml:space="preserve">non_sub</t>
        </is>
      </c>
      <c r="E64" s="0" t="inlineStr">
        <is>
          <t xml:space="preserve">lead_yard</t>
        </is>
      </c>
      <c r="F64" s="0" t="inlineStr">
        <is>
          <t xml:space="preserve">EXCLUDE_REVIEW</t>
        </is>
      </c>
      <c r="G64" s="0" t="inlineStr">
        <is>
          <t xml:space="preserve">BC</t>
        </is>
      </c>
      <c r="H64" s="5">
        <v>0</v>
      </c>
      <c r="I64" s="5">
        <v>0</v>
      </c>
      <c r="J64" s="5">
        <v>1</v>
      </c>
      <c r="K64" s="5">
        <v>333.281489</v>
      </c>
      <c r="L64" s="7">
        <v>0.0</v>
      </c>
      <c r="M64" s="7">
        <v>0.0</v>
      </c>
      <c r="N64" s="7">
        <v>1.0</v>
      </c>
      <c r="O64" s="7">
        <v>0.0</v>
      </c>
    </row>
    <row r="65" outlineLevel="1">
      <c r="B65" s="0" t="inlineStr">
        <is>
          <t xml:space="preserve">2026-05-01</t>
        </is>
      </c>
      <c r="C65" s="0" t="inlineStr">
        <is>
          <t xml:space="preserve">N00024-26-D-2210</t>
        </is>
      </c>
      <c r="D65" s="0" t="inlineStr">
        <is>
          <t xml:space="preserve">non_sub</t>
        </is>
      </c>
      <c r="E65" s="0" t="inlineStr">
        <is>
          <t xml:space="preserve">other</t>
        </is>
      </c>
      <c r="F65" s="0" t="inlineStr">
        <is>
          <t xml:space="preserve">EXCLUDE_REVIEW</t>
        </is>
      </c>
      <c r="G65" s="0" t="inlineStr">
        <is>
          <t xml:space="preserve">BC</t>
        </is>
      </c>
      <c r="H65" s="5">
        <v>0</v>
      </c>
      <c r="I65" s="5">
        <v>0</v>
      </c>
      <c r="J65" s="5">
        <v>1</v>
      </c>
      <c r="K65" s="5">
        <v>325.94412</v>
      </c>
      <c r="L65" s="7">
        <v>0.0</v>
      </c>
      <c r="M65" s="7">
        <v>0.0</v>
      </c>
      <c r="N65" s="7">
        <v>0.0</v>
      </c>
      <c r="O65" s="7">
        <v>0.0</v>
      </c>
    </row>
    <row r="66" outlineLevel="1">
      <c r="B66" s="0" t="inlineStr">
        <is>
          <t xml:space="preserve">2025-08-11</t>
        </is>
      </c>
      <c r="C66" s="0" t="inlineStr">
        <is>
          <t xml:space="preserve">N00024-24-C-2124</t>
        </is>
      </c>
      <c r="D66" s="0" t="inlineStr">
        <is>
          <t xml:space="preserve">sub_operational</t>
        </is>
      </c>
      <c r="E66" s="0" t="inlineStr">
        <is>
          <t xml:space="preserve">lead_yard</t>
        </is>
      </c>
      <c r="F66" s="0" t="inlineStr">
        <is>
          <t xml:space="preserve">EXCLUDE_REVIEW</t>
        </is>
      </c>
      <c r="G66" s="0" t="inlineStr">
        <is>
          <t xml:space="preserve">BC</t>
        </is>
      </c>
      <c r="H66" s="5">
        <v>0</v>
      </c>
      <c r="I66" s="5">
        <v>0</v>
      </c>
      <c r="J66" s="5">
        <v>1</v>
      </c>
      <c r="K66" s="5">
        <v>322.593238</v>
      </c>
      <c r="L66" s="7">
        <v>0.7</v>
      </c>
      <c r="M66" s="7">
        <v>0.0</v>
      </c>
      <c r="N66" s="7">
        <v>0.3</v>
      </c>
      <c r="O66" s="7">
        <v>0.0</v>
      </c>
    </row>
    <row r="67" outlineLevel="1">
      <c r="B67" s="0" t="inlineStr">
        <is>
          <t xml:space="preserve">2024-01-08</t>
        </is>
      </c>
      <c r="C67" s="0" t="inlineStr">
        <is>
          <t xml:space="preserve">N00024-19-D-6200</t>
        </is>
      </c>
      <c r="D67" s="0" t="inlineStr">
        <is>
          <t xml:space="preserve">sub_other</t>
        </is>
      </c>
      <c r="E67" s="0" t="inlineStr">
        <is>
          <t xml:space="preserve">other</t>
        </is>
      </c>
      <c r="F67" s="0" t="inlineStr">
        <is>
          <t xml:space="preserve">EXCLUDE_REVIEW</t>
        </is>
      </c>
      <c r="G67" s="0" t="inlineStr">
        <is>
          <t xml:space="preserve">BC</t>
        </is>
      </c>
      <c r="H67" s="5">
        <v>0</v>
      </c>
      <c r="I67" s="5">
        <v>0</v>
      </c>
      <c r="J67" s="5">
        <v>1</v>
      </c>
      <c r="K67" s="5">
        <v>311.995464</v>
      </c>
      <c r="L67" s="7">
        <v>0.0</v>
      </c>
      <c r="M67" s="7">
        <v>0.0</v>
      </c>
      <c r="N67" s="7">
        <v>0.0</v>
      </c>
      <c r="O67" s="7">
        <v>0.0</v>
      </c>
    </row>
    <row r="68" outlineLevel="1">
      <c r="B68" s="0" t="inlineStr">
        <is>
          <t xml:space="preserve">2024-07-12</t>
        </is>
      </c>
      <c r="C68" s="0" t="inlineStr">
        <is>
          <t xml:space="preserve">N00024-21-C-5127</t>
        </is>
      </c>
      <c r="D68" s="0" t="inlineStr">
        <is>
          <t xml:space="preserve">non_sub</t>
        </is>
      </c>
      <c r="E68" s="0" t="inlineStr">
        <is>
          <t xml:space="preserve">fms</t>
        </is>
      </c>
      <c r="F68" s="0" t="inlineStr">
        <is>
          <t xml:space="preserve">EXCLUDE_REVIEW</t>
        </is>
      </c>
      <c r="G68" s="0" t="inlineStr">
        <is>
          <t xml:space="preserve">BC</t>
        </is>
      </c>
      <c r="H68" s="5">
        <v>0</v>
      </c>
      <c r="I68" s="5">
        <v>0</v>
      </c>
      <c r="J68" s="5">
        <v>1</v>
      </c>
      <c r="K68" s="5">
        <v>300.942534</v>
      </c>
      <c r="L68" s="7">
        <v>0.0</v>
      </c>
      <c r="M68" s="7">
        <v>0.0</v>
      </c>
      <c r="N68" s="7">
        <v>1.0</v>
      </c>
      <c r="O68" s="7">
        <v>0.0</v>
      </c>
    </row>
    <row r="69" outlineLevel="1">
      <c r="B69" s="0" t="inlineStr">
        <is>
          <t xml:space="preserve">2022-09-30</t>
        </is>
      </c>
      <c r="C69" s="0" t="inlineStr">
        <is>
          <t xml:space="preserve">N00024-22-D-4427</t>
        </is>
      </c>
      <c r="D69" s="0" t="inlineStr">
        <is>
          <t xml:space="preserve">non_sub</t>
        </is>
      </c>
      <c r="E69" s="0" t="inlineStr">
        <is>
          <t xml:space="preserve">sustainment_maintenance</t>
        </is>
      </c>
      <c r="F69" s="0" t="inlineStr">
        <is>
          <t xml:space="preserve">EXCLUDE_REVIEW</t>
        </is>
      </c>
      <c r="G69" s="0" t="inlineStr">
        <is>
          <t xml:space="preserve">BC</t>
        </is>
      </c>
      <c r="H69" s="5">
        <v>0</v>
      </c>
      <c r="I69" s="5">
        <v>0</v>
      </c>
      <c r="J69" s="5">
        <v>1</v>
      </c>
      <c r="K69" s="5">
        <v>300.185454</v>
      </c>
      <c r="L69" s="7">
        <v>0.0</v>
      </c>
      <c r="M69" s="7">
        <v>0.0</v>
      </c>
      <c r="N69" s="7">
        <v>0.0</v>
      </c>
      <c r="O69" s="7">
        <v>0.0</v>
      </c>
    </row>
    <row r="70" outlineLevel="1">
      <c r="B70" s="0" t="inlineStr">
        <is>
          <t xml:space="preserve">2025-06-17</t>
        </is>
      </c>
      <c r="C70" s="0" t="inlineStr">
        <is>
          <t xml:space="preserve">-</t>
        </is>
      </c>
      <c r="D70" s="0" t="inlineStr">
        <is>
          <t xml:space="preserve">non_sub</t>
        </is>
      </c>
      <c r="E70" s="0" t="inlineStr">
        <is>
          <t xml:space="preserve">other</t>
        </is>
      </c>
      <c r="F70" s="0" t="inlineStr">
        <is>
          <t xml:space="preserve">EXCLUDE_REVIEW</t>
        </is>
      </c>
      <c r="G70" s="0" t="inlineStr">
        <is>
          <t xml:space="preserve">BC</t>
        </is>
      </c>
      <c r="H70" s="5">
        <v>0</v>
      </c>
      <c r="I70" s="5">
        <v>0</v>
      </c>
      <c r="J70" s="5">
        <v>1</v>
      </c>
      <c r="K70" s="5">
        <v>299.694832</v>
      </c>
      <c r="L70" s="7">
        <v>0.0</v>
      </c>
      <c r="M70" s="7">
        <v>0.0</v>
      </c>
      <c r="N70" s="7">
        <v>0.92</v>
      </c>
      <c r="O70" s="7">
        <v>0.0</v>
      </c>
    </row>
    <row r="71" outlineLevel="1">
      <c r="B71" s="0" t="inlineStr">
        <is>
          <t xml:space="preserve">2025-12-30</t>
        </is>
      </c>
      <c r="C71" s="0" t="inlineStr">
        <is>
          <t xml:space="preserve">N00024-23-C-5123</t>
        </is>
      </c>
      <c r="D71" s="0" t="inlineStr">
        <is>
          <t xml:space="preserve">non_sub</t>
        </is>
      </c>
      <c r="E71" s="0" t="inlineStr">
        <is>
          <t xml:space="preserve">sustainment_maintenance</t>
        </is>
      </c>
      <c r="F71" s="0" t="inlineStr">
        <is>
          <t xml:space="preserve">EXCLUDE_REVIEW</t>
        </is>
      </c>
      <c r="G71" s="0" t="inlineStr">
        <is>
          <t xml:space="preserve">BC</t>
        </is>
      </c>
      <c r="H71" s="5">
        <v>0</v>
      </c>
      <c r="I71" s="5">
        <v>0</v>
      </c>
      <c r="J71" s="5">
        <v>1</v>
      </c>
      <c r="K71" s="5">
        <v>297.491836</v>
      </c>
      <c r="L71" s="7">
        <v>0.0</v>
      </c>
      <c r="M71" s="7">
        <v>0.0</v>
      </c>
      <c r="N71" s="7">
        <v>0.0</v>
      </c>
      <c r="O71" s="7">
        <v>0.0</v>
      </c>
    </row>
    <row r="72" outlineLevel="1">
      <c r="B72" s="0" t="inlineStr">
        <is>
          <t xml:space="preserve">2023-03-28</t>
        </is>
      </c>
      <c r="C72" s="0" t="inlineStr">
        <is>
          <t xml:space="preserve">N00024-23-D-4311</t>
        </is>
      </c>
      <c r="D72" s="0" t="inlineStr">
        <is>
          <t xml:space="preserve">non_sub</t>
        </is>
      </c>
      <c r="E72" s="0" t="inlineStr">
        <is>
          <t xml:space="preserve">other</t>
        </is>
      </c>
      <c r="F72" s="0" t="inlineStr">
        <is>
          <t xml:space="preserve">EXCLUDE_REVIEW</t>
        </is>
      </c>
      <c r="G72" s="0" t="inlineStr">
        <is>
          <t xml:space="preserve">BC</t>
        </is>
      </c>
      <c r="H72" s="5">
        <v>0</v>
      </c>
      <c r="I72" s="5">
        <v>0</v>
      </c>
      <c r="J72" s="5">
        <v>1</v>
      </c>
      <c r="K72" s="5">
        <v>295.9</v>
      </c>
      <c r="L72" s="7">
        <v>0.0</v>
      </c>
      <c r="M72" s="7">
        <v>0.0</v>
      </c>
      <c r="N72" s="7">
        <v>0.0</v>
      </c>
      <c r="O72" s="7">
        <v>0.0</v>
      </c>
    </row>
    <row r="73" outlineLevel="1">
      <c r="B73" s="0" t="inlineStr">
        <is>
          <t xml:space="preserve">2025-06-06</t>
        </is>
      </c>
      <c r="C73" s="0" t="inlineStr">
        <is>
          <t xml:space="preserve">-</t>
        </is>
      </c>
      <c r="D73" s="0" t="inlineStr">
        <is>
          <t xml:space="preserve">non_sub</t>
        </is>
      </c>
      <c r="E73" s="0" t="inlineStr">
        <is>
          <t xml:space="preserve">sustainment_maintenance</t>
        </is>
      </c>
      <c r="F73" s="0" t="inlineStr">
        <is>
          <t xml:space="preserve">EXCLUDE_REVIEW</t>
        </is>
      </c>
      <c r="G73" s="0" t="inlineStr">
        <is>
          <t xml:space="preserve">BC</t>
        </is>
      </c>
      <c r="H73" s="5">
        <v>0</v>
      </c>
      <c r="I73" s="5">
        <v>0</v>
      </c>
      <c r="J73" s="5">
        <v>1</v>
      </c>
      <c r="K73" s="5">
        <v>294.019257</v>
      </c>
      <c r="L73" s="7">
        <v>0.0</v>
      </c>
      <c r="M73" s="7">
        <v>0.0</v>
      </c>
      <c r="N73" s="7">
        <v>1.0</v>
      </c>
      <c r="O73" s="7">
        <v>0.0</v>
      </c>
    </row>
    <row r="74" outlineLevel="1">
      <c r="B74" s="0" t="inlineStr">
        <is>
          <t xml:space="preserve">2026-02-27</t>
        </is>
      </c>
      <c r="C74" s="0" t="inlineStr">
        <is>
          <t xml:space="preserve">-</t>
        </is>
      </c>
      <c r="D74" s="0" t="inlineStr">
        <is>
          <t xml:space="preserve">non_sub</t>
        </is>
      </c>
      <c r="E74" s="0" t="inlineStr">
        <is>
          <t xml:space="preserve">other</t>
        </is>
      </c>
      <c r="F74" s="0" t="inlineStr">
        <is>
          <t xml:space="preserve">EXCLUDE_REVIEW</t>
        </is>
      </c>
      <c r="G74" s="0" t="inlineStr">
        <is>
          <t xml:space="preserve">BC</t>
        </is>
      </c>
      <c r="H74" s="5">
        <v>0</v>
      </c>
      <c r="I74" s="5">
        <v>0</v>
      </c>
      <c r="J74" s="5">
        <v>1</v>
      </c>
      <c r="K74" s="5">
        <v>291.794</v>
      </c>
      <c r="L74" s="7">
        <v>0.0</v>
      </c>
      <c r="M74" s="7">
        <v>0.0</v>
      </c>
      <c r="N74" s="7">
        <v>0.0</v>
      </c>
      <c r="O74" s="7">
        <v>0.0</v>
      </c>
    </row>
    <row r="75" outlineLevel="1">
      <c r="B75" s="0" t="inlineStr">
        <is>
          <t xml:space="preserve">2026-04-28</t>
        </is>
      </c>
      <c r="C75" s="0" t="inlineStr">
        <is>
          <t xml:space="preserve">N00024-26-C-2306</t>
        </is>
      </c>
      <c r="D75" s="0" t="inlineStr">
        <is>
          <t xml:space="preserve">non_sub</t>
        </is>
      </c>
      <c r="E75" s="0" t="inlineStr">
        <is>
          <t xml:space="preserve">lead_yard</t>
        </is>
      </c>
      <c r="F75" s="0" t="inlineStr">
        <is>
          <t xml:space="preserve">EXCLUDE_REVIEW</t>
        </is>
      </c>
      <c r="G75" s="0" t="inlineStr">
        <is>
          <t xml:space="preserve">BC</t>
        </is>
      </c>
      <c r="H75" s="5">
        <v>0</v>
      </c>
      <c r="I75" s="5">
        <v>0</v>
      </c>
      <c r="J75" s="5">
        <v>1</v>
      </c>
      <c r="K75" s="5">
        <v>282.885933</v>
      </c>
      <c r="L75" s="7">
        <v>0.0</v>
      </c>
      <c r="M75" s="7">
        <v>0.0</v>
      </c>
      <c r="N75" s="7">
        <v>0.0</v>
      </c>
      <c r="O75" s="7">
        <v>0.0</v>
      </c>
    </row>
    <row r="76" outlineLevel="1">
      <c r="B76" s="0" t="inlineStr">
        <is>
          <t xml:space="preserve">2025-01-17</t>
        </is>
      </c>
      <c r="C76" s="0" t="inlineStr">
        <is>
          <t xml:space="preserve">-</t>
        </is>
      </c>
      <c r="D76" s="0" t="inlineStr">
        <is>
          <t xml:space="preserve">non_sub</t>
        </is>
      </c>
      <c r="E76" s="0" t="inlineStr">
        <is>
          <t xml:space="preserve">sustainment_maintenance</t>
        </is>
      </c>
      <c r="F76" s="0" t="inlineStr">
        <is>
          <t xml:space="preserve">EXCLUDE_REVIEW</t>
        </is>
      </c>
      <c r="G76" s="0" t="inlineStr">
        <is>
          <t xml:space="preserve">BC</t>
        </is>
      </c>
      <c r="H76" s="5">
        <v>0</v>
      </c>
      <c r="I76" s="5">
        <v>0</v>
      </c>
      <c r="J76" s="5">
        <v>1</v>
      </c>
      <c r="K76" s="5">
        <v>280.418928</v>
      </c>
      <c r="L76" s="7">
        <v>0.0</v>
      </c>
      <c r="M76" s="7">
        <v>0.0</v>
      </c>
      <c r="N76" s="7">
        <v>0.0</v>
      </c>
      <c r="O76" s="7">
        <v>0.0</v>
      </c>
    </row>
    <row r="77" outlineLevel="1">
      <c r="B77" s="0" t="inlineStr">
        <is>
          <t xml:space="preserve">2025-08-08</t>
        </is>
      </c>
      <c r="C77" s="0" t="inlineStr">
        <is>
          <t xml:space="preserve">N00024-24-C-2106</t>
        </is>
      </c>
      <c r="D77" s="0" t="inlineStr">
        <is>
          <t xml:space="preserve">non_sub</t>
        </is>
      </c>
      <c r="E77" s="0" t="inlineStr">
        <is>
          <t xml:space="preserve">repair_overhaul</t>
        </is>
      </c>
      <c r="F77" s="0" t="inlineStr">
        <is>
          <t xml:space="preserve">EXCLUDE_REVIEW</t>
        </is>
      </c>
      <c r="G77" s="0" t="inlineStr">
        <is>
          <t xml:space="preserve">BC</t>
        </is>
      </c>
      <c r="H77" s="5">
        <v>0</v>
      </c>
      <c r="I77" s="5">
        <v>0</v>
      </c>
      <c r="J77" s="5">
        <v>1</v>
      </c>
      <c r="K77" s="5">
        <v>276.131707</v>
      </c>
      <c r="L77" s="7">
        <v>0.0</v>
      </c>
      <c r="M77" s="7">
        <v>0.0</v>
      </c>
      <c r="N77" s="7">
        <v>0.0</v>
      </c>
      <c r="O77" s="7">
        <v>0.0</v>
      </c>
    </row>
    <row r="78" outlineLevel="1">
      <c r="B78" s="0" t="inlineStr">
        <is>
          <t xml:space="preserve">2025-08-12</t>
        </is>
      </c>
      <c r="C78" s="0" t="inlineStr">
        <is>
          <t xml:space="preserve">N00024-25-C-5413</t>
        </is>
      </c>
      <c r="D78" s="0" t="inlineStr">
        <is>
          <t xml:space="preserve">non_sub</t>
        </is>
      </c>
      <c r="E78" s="0" t="inlineStr">
        <is>
          <t xml:space="preserve">fms</t>
        </is>
      </c>
      <c r="F78" s="0" t="inlineStr">
        <is>
          <t xml:space="preserve">EXCLUDE_REVIEW</t>
        </is>
      </c>
      <c r="G78" s="0" t="inlineStr">
        <is>
          <t xml:space="preserve">BC</t>
        </is>
      </c>
      <c r="H78" s="5">
        <v>0</v>
      </c>
      <c r="I78" s="5">
        <v>0</v>
      </c>
      <c r="J78" s="5">
        <v>1</v>
      </c>
      <c r="K78" s="5">
        <v>258.74233</v>
      </c>
      <c r="L78" s="7">
        <v>0.0</v>
      </c>
      <c r="M78" s="7">
        <v>0.0</v>
      </c>
      <c r="N78" s="7">
        <v>0.94</v>
      </c>
      <c r="O78" s="7">
        <v>0.0</v>
      </c>
    </row>
    <row r="79" outlineLevel="1">
      <c r="B79" s="0" t="inlineStr">
        <is>
          <t xml:space="preserve">2024-09-27</t>
        </is>
      </c>
      <c r="C79" s="0" t="inlineStr">
        <is>
          <t xml:space="preserve">-</t>
        </is>
      </c>
      <c r="D79" s="0" t="inlineStr">
        <is>
          <t xml:space="preserve">non_sub</t>
        </is>
      </c>
      <c r="E79" s="0" t="inlineStr">
        <is>
          <t xml:space="preserve">other</t>
        </is>
      </c>
      <c r="F79" s="0" t="inlineStr">
        <is>
          <t xml:space="preserve">EXCLUDE_REVIEW</t>
        </is>
      </c>
      <c r="G79" s="0" t="inlineStr">
        <is>
          <t xml:space="preserve">BC</t>
        </is>
      </c>
      <c r="H79" s="5">
        <v>0</v>
      </c>
      <c r="I79" s="5">
        <v>0</v>
      </c>
      <c r="J79" s="5">
        <v>1</v>
      </c>
      <c r="K79" s="5">
        <v>254.462442</v>
      </c>
      <c r="L79" s="7">
        <v>0.0</v>
      </c>
      <c r="M79" s="7">
        <v>0.0</v>
      </c>
      <c r="N79" s="7">
        <v>0.99</v>
      </c>
      <c r="O79" s="7">
        <v>0.0</v>
      </c>
    </row>
    <row r="80" outlineLevel="1">
      <c r="B80" s="0" t="inlineStr">
        <is>
          <t xml:space="preserve">2022-08-10</t>
        </is>
      </c>
      <c r="C80" s="0" t="inlineStr">
        <is>
          <t xml:space="preserve">-</t>
        </is>
      </c>
      <c r="D80" s="0" t="inlineStr">
        <is>
          <t xml:space="preserve">sub_operational</t>
        </is>
      </c>
      <c r="E80" s="0" t="inlineStr">
        <is>
          <t xml:space="preserve">lead_yard</t>
        </is>
      </c>
      <c r="F80" s="0" t="inlineStr">
        <is>
          <t xml:space="preserve">EXCLUDE_REVIEW</t>
        </is>
      </c>
      <c r="G80" s="0" t="inlineStr">
        <is>
          <t xml:space="preserve">BC</t>
        </is>
      </c>
      <c r="H80" s="5">
        <v>0</v>
      </c>
      <c r="I80" s="5">
        <v>0</v>
      </c>
      <c r="J80" s="5">
        <v>1</v>
      </c>
      <c r="K80" s="5">
        <v>236.182606</v>
      </c>
      <c r="L80" s="7">
        <v>0.7</v>
      </c>
      <c r="M80" s="7">
        <v>0.0</v>
      </c>
      <c r="N80" s="7">
        <v>0.3</v>
      </c>
      <c r="O80" s="7">
        <v>0.0</v>
      </c>
    </row>
    <row r="81" outlineLevel="1">
      <c r="B81" s="0" t="inlineStr">
        <is>
          <t xml:space="preserve">2023-03-31</t>
        </is>
      </c>
      <c r="C81" s="0" t="inlineStr">
        <is>
          <t xml:space="preserve">-</t>
        </is>
      </c>
      <c r="D81" s="0" t="inlineStr">
        <is>
          <t xml:space="preserve">non_sub</t>
        </is>
      </c>
      <c r="E81" s="0" t="inlineStr">
        <is>
          <t xml:space="preserve">other</t>
        </is>
      </c>
      <c r="F81" s="0" t="inlineStr">
        <is>
          <t xml:space="preserve">EXCLUDE_REVIEW</t>
        </is>
      </c>
      <c r="G81" s="0" t="inlineStr">
        <is>
          <t xml:space="preserve">BC</t>
        </is>
      </c>
      <c r="H81" s="5">
        <v>0</v>
      </c>
      <c r="I81" s="5">
        <v>0</v>
      </c>
      <c r="J81" s="5">
        <v>1</v>
      </c>
      <c r="K81" s="5">
        <v>235.904196</v>
      </c>
      <c r="L81" s="7">
        <v>0.0</v>
      </c>
      <c r="M81" s="7">
        <v>0.0</v>
      </c>
      <c r="N81" s="7">
        <v>0.96</v>
      </c>
      <c r="O81" s="7">
        <v>0.0</v>
      </c>
    </row>
    <row r="82" outlineLevel="1">
      <c r="B82" s="0" t="inlineStr">
        <is>
          <t xml:space="preserve">2026-04-22</t>
        </is>
      </c>
      <c r="C82" s="0" t="inlineStr">
        <is>
          <t xml:space="preserve">N00024-24-C-4212</t>
        </is>
      </c>
      <c r="D82" s="0" t="inlineStr">
        <is>
          <t xml:space="preserve">non_sub</t>
        </is>
      </c>
      <c r="E82" s="0" t="inlineStr">
        <is>
          <t xml:space="preserve">lead_yard</t>
        </is>
      </c>
      <c r="F82" s="0" t="inlineStr">
        <is>
          <t xml:space="preserve">EXCLUDE_REVIEW</t>
        </is>
      </c>
      <c r="G82" s="0" t="inlineStr">
        <is>
          <t xml:space="preserve">BC</t>
        </is>
      </c>
      <c r="H82" s="5">
        <v>0</v>
      </c>
      <c r="I82" s="5">
        <v>0</v>
      </c>
      <c r="J82" s="5">
        <v>1</v>
      </c>
      <c r="K82" s="5">
        <v>230.495111</v>
      </c>
      <c r="L82" s="7">
        <v>0.0</v>
      </c>
      <c r="M82" s="7">
        <v>0.0</v>
      </c>
      <c r="N82" s="7">
        <v>0.0</v>
      </c>
      <c r="O82" s="7">
        <v>0.0</v>
      </c>
    </row>
    <row r="83" outlineLevel="1">
      <c r="B83" s="0" t="inlineStr">
        <is>
          <t xml:space="preserve">2024-08-30</t>
        </is>
      </c>
      <c r="C83" s="0" t="inlineStr">
        <is>
          <t xml:space="preserve">-</t>
        </is>
      </c>
      <c r="D83" s="0" t="inlineStr">
        <is>
          <t xml:space="preserve">non_sub</t>
        </is>
      </c>
      <c r="E83" s="0" t="inlineStr">
        <is>
          <t xml:space="preserve">sustainment_maintenance</t>
        </is>
      </c>
      <c r="F83" s="0" t="inlineStr">
        <is>
          <t xml:space="preserve">EXCLUDE_REVIEW</t>
        </is>
      </c>
      <c r="G83" s="0" t="inlineStr">
        <is>
          <t xml:space="preserve">BC</t>
        </is>
      </c>
      <c r="H83" s="5">
        <v>0</v>
      </c>
      <c r="I83" s="5">
        <v>0</v>
      </c>
      <c r="J83" s="5">
        <v>1</v>
      </c>
      <c r="K83" s="5">
        <v>228.293732</v>
      </c>
      <c r="L83" s="7">
        <v>0.0</v>
      </c>
      <c r="M83" s="7">
        <v>0.0</v>
      </c>
      <c r="N83" s="7">
        <v>0.91</v>
      </c>
      <c r="O83" s="7">
        <v>0.0</v>
      </c>
    </row>
    <row r="84" outlineLevel="1">
      <c r="B84" s="0" t="inlineStr">
        <is>
          <t xml:space="preserve">2026-05-13</t>
        </is>
      </c>
      <c r="C84" s="0" t="inlineStr">
        <is>
          <t xml:space="preserve">N00024-21-D-4114</t>
        </is>
      </c>
      <c r="D84" s="0" t="inlineStr">
        <is>
          <t xml:space="preserve">non_sub</t>
        </is>
      </c>
      <c r="E84" s="0" t="inlineStr">
        <is>
          <t xml:space="preserve">repair_overhaul</t>
        </is>
      </c>
      <c r="F84" s="0" t="inlineStr">
        <is>
          <t xml:space="preserve">EXCLUDE_REVIEW</t>
        </is>
      </c>
      <c r="G84" s="0" t="inlineStr">
        <is>
          <t xml:space="preserve">BC</t>
        </is>
      </c>
      <c r="H84" s="5">
        <v>0</v>
      </c>
      <c r="I84" s="5">
        <v>0</v>
      </c>
      <c r="J84" s="5">
        <v>1</v>
      </c>
      <c r="K84" s="5">
        <v>220.654563</v>
      </c>
      <c r="L84" s="7">
        <v>0.0</v>
      </c>
      <c r="M84" s="7">
        <v>0.0</v>
      </c>
      <c r="N84" s="7">
        <v>0.0</v>
      </c>
      <c r="O84" s="7">
        <v>0.0</v>
      </c>
    </row>
    <row r="85" outlineLevel="1">
      <c r="B85" s="0" t="inlineStr">
        <is>
          <t xml:space="preserve">2023-10-13</t>
        </is>
      </c>
      <c r="C85" s="0" t="inlineStr">
        <is>
          <t xml:space="preserve">N00024-24-C-2110</t>
        </is>
      </c>
      <c r="D85" s="0" t="inlineStr">
        <is>
          <t xml:space="preserve">va</t>
        </is>
      </c>
      <c r="E85" s="0" t="inlineStr">
        <is>
          <t xml:space="preserve">lltm_early_mfg</t>
        </is>
      </c>
      <c r="F85" s="0" t="inlineStr">
        <is>
          <t xml:space="preserve">INCLUDE_AP_LLTM</t>
        </is>
      </c>
      <c r="G85" s="0" t="inlineStr">
        <is>
          <t xml:space="preserve">AP_LLTM</t>
        </is>
      </c>
      <c r="H85" s="5">
        <v>1</v>
      </c>
      <c r="I85" s="5">
        <v>0</v>
      </c>
      <c r="J85" s="5">
        <v>1</v>
      </c>
      <c r="K85" s="5">
        <v>216.51</v>
      </c>
      <c r="L85" s="7">
        <v>0.0</v>
      </c>
      <c r="M85" s="7">
        <v>0.0</v>
      </c>
      <c r="N85" s="7">
        <v>1.0</v>
      </c>
      <c r="O85" s="7">
        <v>0.0</v>
      </c>
    </row>
    <row r="86" outlineLevel="1">
      <c r="B86" s="0" t="inlineStr">
        <is>
          <t xml:space="preserve">2025-05-14</t>
        </is>
      </c>
      <c r="C86" s="0" t="inlineStr">
        <is>
          <t xml:space="preserve">N00024-24-C-4212</t>
        </is>
      </c>
      <c r="D86" s="0" t="inlineStr">
        <is>
          <t xml:space="preserve">non_sub</t>
        </is>
      </c>
      <c r="E86" s="0" t="inlineStr">
        <is>
          <t xml:space="preserve">lead_yard</t>
        </is>
      </c>
      <c r="F86" s="0" t="inlineStr">
        <is>
          <t xml:space="preserve">EXCLUDE_REVIEW</t>
        </is>
      </c>
      <c r="G86" s="0" t="inlineStr">
        <is>
          <t xml:space="preserve">BC</t>
        </is>
      </c>
      <c r="H86" s="5">
        <v>0</v>
      </c>
      <c r="I86" s="5">
        <v>0</v>
      </c>
      <c r="J86" s="5">
        <v>1</v>
      </c>
      <c r="K86" s="5">
        <v>216.493753</v>
      </c>
      <c r="L86" s="7">
        <v>0.0</v>
      </c>
      <c r="M86" s="7">
        <v>0.0</v>
      </c>
      <c r="N86" s="7">
        <v>0.0</v>
      </c>
      <c r="O86" s="7">
        <v>0.0</v>
      </c>
    </row>
    <row r="87" outlineLevel="1">
      <c r="B87" s="0" t="inlineStr">
        <is>
          <t xml:space="preserve">2026-04-20</t>
        </is>
      </c>
      <c r="C87" s="0" t="inlineStr">
        <is>
          <t xml:space="preserve">N00024-22-C-5522</t>
        </is>
      </c>
      <c r="D87" s="0" t="inlineStr">
        <is>
          <t xml:space="preserve">non_sub</t>
        </is>
      </c>
      <c r="E87" s="0" t="inlineStr">
        <is>
          <t xml:space="preserve">sustainment_maintenance</t>
        </is>
      </c>
      <c r="F87" s="0" t="inlineStr">
        <is>
          <t xml:space="preserve">EXCLUDE_REVIEW</t>
        </is>
      </c>
      <c r="G87" s="0" t="inlineStr">
        <is>
          <t xml:space="preserve">BC</t>
        </is>
      </c>
      <c r="H87" s="5">
        <v>0</v>
      </c>
      <c r="I87" s="5">
        <v>0</v>
      </c>
      <c r="J87" s="5">
        <v>1</v>
      </c>
      <c r="K87" s="5">
        <v>213.387048</v>
      </c>
      <c r="L87" s="7">
        <v>0.0</v>
      </c>
      <c r="M87" s="7">
        <v>0.0</v>
      </c>
      <c r="N87" s="7">
        <v>1.0</v>
      </c>
      <c r="O87" s="7">
        <v>0.0</v>
      </c>
    </row>
    <row r="88" outlineLevel="1">
      <c r="B88" s="0" t="inlineStr">
        <is>
          <t xml:space="preserve">2025-09-05</t>
        </is>
      </c>
      <c r="C88" s="0" t="inlineStr">
        <is>
          <t xml:space="preserve">N00024-24-C-5406</t>
        </is>
      </c>
      <c r="D88" s="0" t="inlineStr">
        <is>
          <t xml:space="preserve">non_sub</t>
        </is>
      </c>
      <c r="E88" s="0" t="inlineStr">
        <is>
          <t xml:space="preserve">other</t>
        </is>
      </c>
      <c r="F88" s="0" t="inlineStr">
        <is>
          <t xml:space="preserve">EXCLUDE_REVIEW</t>
        </is>
      </c>
      <c r="G88" s="0" t="inlineStr">
        <is>
          <t xml:space="preserve">BC</t>
        </is>
      </c>
      <c r="H88" s="5">
        <v>0</v>
      </c>
      <c r="I88" s="5">
        <v>0</v>
      </c>
      <c r="J88" s="5">
        <v>1</v>
      </c>
      <c r="K88" s="5">
        <v>205.113738</v>
      </c>
      <c r="L88" s="7">
        <v>0.0</v>
      </c>
      <c r="M88" s="7">
        <v>0.0</v>
      </c>
      <c r="N88" s="7">
        <v>0.75</v>
      </c>
      <c r="O88" s="7">
        <v>0.0</v>
      </c>
    </row>
    <row r="89" outlineLevel="1">
      <c r="B89" s="0" t="inlineStr">
        <is>
          <t xml:space="preserve">2024-06-14</t>
        </is>
      </c>
      <c r="C89" s="0" t="inlineStr">
        <is>
          <t xml:space="preserve">N00024-24-C-4212</t>
        </is>
      </c>
      <c r="D89" s="0" t="inlineStr">
        <is>
          <t xml:space="preserve">non_sub</t>
        </is>
      </c>
      <c r="E89" s="0" t="inlineStr">
        <is>
          <t xml:space="preserve">lead_yard</t>
        </is>
      </c>
      <c r="F89" s="0" t="inlineStr">
        <is>
          <t xml:space="preserve">EXCLUDE_REVIEW</t>
        </is>
      </c>
      <c r="G89" s="0" t="inlineStr">
        <is>
          <t xml:space="preserve">BC</t>
        </is>
      </c>
      <c r="H89" s="5">
        <v>0</v>
      </c>
      <c r="I89" s="5">
        <v>0</v>
      </c>
      <c r="J89" s="5">
        <v>1</v>
      </c>
      <c r="K89" s="5">
        <v>202.73309</v>
      </c>
      <c r="L89" s="7">
        <v>0.0</v>
      </c>
      <c r="M89" s="7">
        <v>0.0</v>
      </c>
      <c r="N89" s="7">
        <v>0.0</v>
      </c>
      <c r="O89" s="7">
        <v>0.0</v>
      </c>
    </row>
    <row r="90" outlineLevel="1">
      <c r="B90" s="0" t="inlineStr">
        <is>
          <t xml:space="preserve">2025-07-23</t>
        </is>
      </c>
      <c r="C90" s="0" t="inlineStr">
        <is>
          <t xml:space="preserve">N00024-25-D-4141</t>
        </is>
      </c>
      <c r="D90" s="0" t="inlineStr">
        <is>
          <t xml:space="preserve">non_sub</t>
        </is>
      </c>
      <c r="E90" s="0" t="inlineStr">
        <is>
          <t xml:space="preserve">sustainment_maintenance</t>
        </is>
      </c>
      <c r="F90" s="0" t="inlineStr">
        <is>
          <t xml:space="preserve">EXCLUDE_REVIEW</t>
        </is>
      </c>
      <c r="G90" s="0" t="inlineStr">
        <is>
          <t xml:space="preserve">BC</t>
        </is>
      </c>
      <c r="H90" s="5">
        <v>0</v>
      </c>
      <c r="I90" s="5">
        <v>0</v>
      </c>
      <c r="J90" s="5">
        <v>1</v>
      </c>
      <c r="K90" s="5">
        <v>199.0</v>
      </c>
      <c r="L90" s="7">
        <v>0.0</v>
      </c>
      <c r="M90" s="7">
        <v>0.0</v>
      </c>
      <c r="N90" s="7">
        <v>0.0</v>
      </c>
      <c r="O90" s="7">
        <v>0.0</v>
      </c>
    </row>
    <row r="91" outlineLevel="1">
      <c r="B91" s="0" t="inlineStr">
        <is>
          <t xml:space="preserve">2025-08-05</t>
        </is>
      </c>
      <c r="C91" s="0" t="inlineStr">
        <is>
          <t xml:space="preserve">N00024-25-D-4141</t>
        </is>
      </c>
      <c r="D91" s="0" t="inlineStr">
        <is>
          <t xml:space="preserve">non_sub</t>
        </is>
      </c>
      <c r="E91" s="0" t="inlineStr">
        <is>
          <t xml:space="preserve">sustainment_maintenance</t>
        </is>
      </c>
      <c r="F91" s="0" t="inlineStr">
        <is>
          <t xml:space="preserve">EXCLUDE_REVIEW</t>
        </is>
      </c>
      <c r="G91" s="0" t="inlineStr">
        <is>
          <t xml:space="preserve">BC</t>
        </is>
      </c>
      <c r="H91" s="5">
        <v>0</v>
      </c>
      <c r="I91" s="5">
        <v>0</v>
      </c>
      <c r="J91" s="5">
        <v>1</v>
      </c>
      <c r="K91" s="5">
        <v>199.0</v>
      </c>
      <c r="L91" s="7">
        <v>0.0</v>
      </c>
      <c r="M91" s="7">
        <v>0.0</v>
      </c>
      <c r="N91" s="7">
        <v>0.0</v>
      </c>
      <c r="O91" s="7">
        <v>0.0</v>
      </c>
    </row>
    <row r="92" outlineLevel="1">
      <c r="B92" s="0" t="inlineStr">
        <is>
          <t xml:space="preserve">2025-07-10</t>
        </is>
      </c>
      <c r="C92" s="0" t="inlineStr">
        <is>
          <t xml:space="preserve">N00024-20-C-6117</t>
        </is>
      </c>
      <c r="D92" s="0" t="inlineStr">
        <is>
          <t xml:space="preserve">non_sub</t>
        </is>
      </c>
      <c r="E92" s="0" t="inlineStr">
        <is>
          <t xml:space="preserve">design</t>
        </is>
      </c>
      <c r="F92" s="0" t="inlineStr">
        <is>
          <t xml:space="preserve">EXCLUDE_REVIEW</t>
        </is>
      </c>
      <c r="G92" s="0" t="inlineStr">
        <is>
          <t xml:space="preserve">BC</t>
        </is>
      </c>
      <c r="H92" s="5">
        <v>0</v>
      </c>
      <c r="I92" s="5">
        <v>0</v>
      </c>
      <c r="J92" s="5">
        <v>1</v>
      </c>
      <c r="K92" s="5">
        <v>197.477596</v>
      </c>
      <c r="L92" s="7">
        <v>0.0</v>
      </c>
      <c r="M92" s="7">
        <v>0.0</v>
      </c>
      <c r="N92" s="7">
        <v>1.0</v>
      </c>
      <c r="O92" s="7">
        <v>0.0</v>
      </c>
    </row>
    <row r="93" outlineLevel="1">
      <c r="B93" s="0" t="inlineStr">
        <is>
          <t xml:space="preserve">2026-04-23</t>
        </is>
      </c>
      <c r="C93" s="0" t="inlineStr">
        <is>
          <t xml:space="preserve">N00024-26-C-2132</t>
        </is>
      </c>
      <c r="D93" s="0" t="inlineStr">
        <is>
          <t xml:space="preserve">sub_other</t>
        </is>
      </c>
      <c r="E93" s="0" t="inlineStr">
        <is>
          <t xml:space="preserve">lead_yard</t>
        </is>
      </c>
      <c r="F93" s="0" t="inlineStr">
        <is>
          <t xml:space="preserve">EXCLUDE_REVIEW</t>
        </is>
      </c>
      <c r="G93" s="0" t="inlineStr">
        <is>
          <t xml:space="preserve">BC</t>
        </is>
      </c>
      <c r="H93" s="5">
        <v>0</v>
      </c>
      <c r="I93" s="5">
        <v>0</v>
      </c>
      <c r="J93" s="5">
        <v>1</v>
      </c>
      <c r="K93" s="5">
        <v>196.554317</v>
      </c>
      <c r="L93" s="7">
        <v>0.77</v>
      </c>
      <c r="M93" s="7">
        <v>0.0</v>
      </c>
      <c r="N93" s="7">
        <v>0.09</v>
      </c>
      <c r="O93" s="7">
        <v>0.13</v>
      </c>
    </row>
    <row r="94" outlineLevel="1">
      <c r="B94" s="0" t="inlineStr">
        <is>
          <t xml:space="preserve">2023-06-27</t>
        </is>
      </c>
      <c r="C94" s="0" t="inlineStr">
        <is>
          <t xml:space="preserve">-</t>
        </is>
      </c>
      <c r="D94" s="0" t="inlineStr">
        <is>
          <t xml:space="preserve">non_sub</t>
        </is>
      </c>
      <c r="E94" s="0" t="inlineStr">
        <is>
          <t xml:space="preserve">design</t>
        </is>
      </c>
      <c r="F94" s="0" t="inlineStr">
        <is>
          <t xml:space="preserve">EXCLUDE_REVIEW</t>
        </is>
      </c>
      <c r="G94" s="0" t="inlineStr">
        <is>
          <t xml:space="preserve">BC</t>
        </is>
      </c>
      <c r="H94" s="5">
        <v>0</v>
      </c>
      <c r="I94" s="5">
        <v>0</v>
      </c>
      <c r="J94" s="5">
        <v>1</v>
      </c>
      <c r="K94" s="5">
        <v>188.482241</v>
      </c>
      <c r="L94" s="7">
        <v>0.0</v>
      </c>
      <c r="M94" s="7">
        <v>0.0</v>
      </c>
      <c r="N94" s="7">
        <v>1.0</v>
      </c>
      <c r="O94" s="7">
        <v>0.0</v>
      </c>
    </row>
    <row r="95" outlineLevel="1">
      <c r="B95" s="0" t="inlineStr">
        <is>
          <t xml:space="preserve">2025-01-08</t>
        </is>
      </c>
      <c r="C95" s="0" t="inlineStr">
        <is>
          <t xml:space="preserve">-</t>
        </is>
      </c>
      <c r="D95" s="0" t="inlineStr">
        <is>
          <t xml:space="preserve">va</t>
        </is>
      </c>
      <c r="E95" s="0" t="inlineStr">
        <is>
          <t xml:space="preserve">construction</t>
        </is>
      </c>
      <c r="F95" s="0" t="inlineStr">
        <is>
          <t xml:space="preserve">INCLUDE_BC</t>
        </is>
      </c>
      <c r="G95" s="0" t="inlineStr">
        <is>
          <t xml:space="preserve">BC</t>
        </is>
      </c>
      <c r="H95" s="5">
        <v>1</v>
      </c>
      <c r="I95" s="5">
        <v>0</v>
      </c>
      <c r="J95" s="5">
        <v>1</v>
      </c>
      <c r="K95" s="5">
        <v>188.0</v>
      </c>
      <c r="L95" s="7">
        <v>0.0</v>
      </c>
      <c r="M95" s="7">
        <v>0.02</v>
      </c>
      <c r="N95" s="7">
        <v>0.98</v>
      </c>
      <c r="O95" s="7">
        <v>0.0</v>
      </c>
    </row>
    <row r="96" outlineLevel="1">
      <c r="B96" s="0" t="inlineStr">
        <is>
          <t xml:space="preserve">2024-07-12</t>
        </is>
      </c>
      <c r="C96" s="0" t="inlineStr">
        <is>
          <t xml:space="preserve">N00024-18-C-5218</t>
        </is>
      </c>
      <c r="D96" s="0" t="inlineStr">
        <is>
          <t xml:space="preserve">non_sub</t>
        </is>
      </c>
      <c r="E96" s="0" t="inlineStr">
        <is>
          <t xml:space="preserve">other</t>
        </is>
      </c>
      <c r="F96" s="0" t="inlineStr">
        <is>
          <t xml:space="preserve">EXCLUDE_REVIEW</t>
        </is>
      </c>
      <c r="G96" s="0" t="inlineStr">
        <is>
          <t xml:space="preserve">BC</t>
        </is>
      </c>
      <c r="H96" s="5">
        <v>0</v>
      </c>
      <c r="I96" s="5">
        <v>0</v>
      </c>
      <c r="J96" s="5">
        <v>1</v>
      </c>
      <c r="K96" s="5">
        <v>180.49647</v>
      </c>
      <c r="L96" s="7">
        <v>0.0</v>
      </c>
      <c r="M96" s="7">
        <v>0.0</v>
      </c>
      <c r="N96" s="7">
        <v>1.0</v>
      </c>
      <c r="O96" s="7">
        <v>0.0</v>
      </c>
    </row>
    <row r="97" outlineLevel="1">
      <c r="B97" s="0" t="inlineStr">
        <is>
          <t xml:space="preserve">2025-01-10</t>
        </is>
      </c>
      <c r="C97" s="0" t="inlineStr">
        <is>
          <t xml:space="preserve">-</t>
        </is>
      </c>
      <c r="D97" s="0" t="inlineStr">
        <is>
          <t xml:space="preserve">bpmi_nuclear</t>
        </is>
      </c>
      <c r="E97" s="0" t="inlineStr">
        <is>
          <t xml:space="preserve">component_procurement</t>
        </is>
      </c>
      <c r="F97" s="0" t="inlineStr">
        <is>
          <t xml:space="preserve">EXCLUDE_GFE_NUCLEAR</t>
        </is>
      </c>
      <c r="G97" s="0" t="inlineStr">
        <is>
          <t xml:space="preserve">BC</t>
        </is>
      </c>
      <c r="H97" s="5">
        <v>1</v>
      </c>
      <c r="I97" s="5">
        <v>1</v>
      </c>
      <c r="J97" s="5">
        <v>1</v>
      </c>
      <c r="K97" s="5">
        <v>175.647555</v>
      </c>
      <c r="L97" s="7">
        <v>0.0</v>
      </c>
      <c r="M97" s="7">
        <v>0.0</v>
      </c>
      <c r="N97" s="7">
        <v>1.0</v>
      </c>
      <c r="O97" s="7">
        <v>0.0</v>
      </c>
    </row>
    <row r="98" outlineLevel="1">
      <c r="B98" s="0" t="inlineStr">
        <is>
          <t xml:space="preserve">2022-09-30</t>
        </is>
      </c>
      <c r="C98" s="0" t="inlineStr">
        <is>
          <t xml:space="preserve">N66604-22-C-0663</t>
        </is>
      </c>
      <c r="D98" s="0" t="inlineStr">
        <is>
          <t xml:space="preserve">sub_other</t>
        </is>
      </c>
      <c r="E98" s="0" t="inlineStr">
        <is>
          <t xml:space="preserve">engineering</t>
        </is>
      </c>
      <c r="F98" s="0" t="inlineStr">
        <is>
          <t xml:space="preserve">EXCLUDE_REVIEW</t>
        </is>
      </c>
      <c r="G98" s="0" t="inlineStr">
        <is>
          <t xml:space="preserve">BC</t>
        </is>
      </c>
      <c r="H98" s="5">
        <v>0</v>
      </c>
      <c r="I98" s="5">
        <v>0</v>
      </c>
      <c r="J98" s="5">
        <v>1</v>
      </c>
      <c r="K98" s="5">
        <v>173.179537</v>
      </c>
      <c r="L98" s="7">
        <v>0.0</v>
      </c>
      <c r="M98" s="7">
        <v>0.0</v>
      </c>
      <c r="N98" s="7">
        <v>0.0</v>
      </c>
      <c r="O98" s="7">
        <v>0.0</v>
      </c>
    </row>
    <row r="99" outlineLevel="1">
      <c r="B99" s="0" t="inlineStr">
        <is>
          <t xml:space="preserve">2023-12-11</t>
        </is>
      </c>
      <c r="C99" s="0" t="inlineStr">
        <is>
          <t xml:space="preserve">-</t>
        </is>
      </c>
      <c r="D99" s="0" t="inlineStr">
        <is>
          <t xml:space="preserve">bpmi_nuclear</t>
        </is>
      </c>
      <c r="E99" s="0" t="inlineStr">
        <is>
          <t xml:space="preserve">component_procurement</t>
        </is>
      </c>
      <c r="F99" s="0" t="inlineStr">
        <is>
          <t xml:space="preserve">EXCLUDE_GFE_NUCLEAR</t>
        </is>
      </c>
      <c r="G99" s="0" t="inlineStr">
        <is>
          <t xml:space="preserve">BC</t>
        </is>
      </c>
      <c r="H99" s="5">
        <v>1</v>
      </c>
      <c r="I99" s="5">
        <v>1</v>
      </c>
      <c r="J99" s="5">
        <v>1</v>
      </c>
      <c r="K99" s="5">
        <v>172.999995</v>
      </c>
      <c r="L99" s="7">
        <v>0.0</v>
      </c>
      <c r="M99" s="7">
        <v>0.0</v>
      </c>
      <c r="N99" s="7">
        <v>1.0</v>
      </c>
      <c r="O99" s="7">
        <v>0.0</v>
      </c>
    </row>
    <row r="100" outlineLevel="1">
      <c r="B100" s="0" t="inlineStr">
        <is>
          <t xml:space="preserve">2025-02-07</t>
        </is>
      </c>
      <c r="C100" s="0" t="inlineStr">
        <is>
          <t xml:space="preserve">N00024-25-C-2405</t>
        </is>
      </c>
      <c r="D100" s="0" t="inlineStr">
        <is>
          <t xml:space="preserve">non_sub</t>
        </is>
      </c>
      <c r="E100" s="0" t="inlineStr">
        <is>
          <t xml:space="preserve">other</t>
        </is>
      </c>
      <c r="F100" s="0" t="inlineStr">
        <is>
          <t xml:space="preserve">EXCLUDE_REVIEW</t>
        </is>
      </c>
      <c r="G100" s="0" t="inlineStr">
        <is>
          <t xml:space="preserve">BC</t>
        </is>
      </c>
      <c r="H100" s="5">
        <v>0</v>
      </c>
      <c r="I100" s="5">
        <v>0</v>
      </c>
      <c r="J100" s="5">
        <v>1</v>
      </c>
      <c r="K100" s="5">
        <v>167.383203</v>
      </c>
      <c r="L100" s="7">
        <v>0.0</v>
      </c>
      <c r="M100" s="7">
        <v>0.0</v>
      </c>
      <c r="N100" s="7">
        <v>0.0</v>
      </c>
      <c r="O100" s="7">
        <v>0.0</v>
      </c>
    </row>
    <row r="101" outlineLevel="1">
      <c r="B101" s="0" t="inlineStr">
        <is>
          <t xml:space="preserve">2025-09-11</t>
        </is>
      </c>
      <c r="C101" s="0" t="inlineStr">
        <is>
          <t xml:space="preserve">-</t>
        </is>
      </c>
      <c r="D101" s="0" t="inlineStr">
        <is>
          <t xml:space="preserve">non_sub</t>
        </is>
      </c>
      <c r="E101" s="0" t="inlineStr">
        <is>
          <t xml:space="preserve">repair_overhaul</t>
        </is>
      </c>
      <c r="F101" s="0" t="inlineStr">
        <is>
          <t xml:space="preserve">EXCLUDE_REVIEW</t>
        </is>
      </c>
      <c r="G101" s="0" t="inlineStr">
        <is>
          <t xml:space="preserve">BC</t>
        </is>
      </c>
      <c r="H101" s="5">
        <v>0</v>
      </c>
      <c r="I101" s="5">
        <v>0</v>
      </c>
      <c r="J101" s="5">
        <v>1</v>
      </c>
      <c r="K101" s="5">
        <v>160.094898</v>
      </c>
      <c r="L101" s="7">
        <v>0.0</v>
      </c>
      <c r="M101" s="7">
        <v>0.0</v>
      </c>
      <c r="N101" s="7">
        <v>0.0</v>
      </c>
      <c r="O101" s="7">
        <v>0.0</v>
      </c>
    </row>
    <row r="102" outlineLevel="1">
      <c r="B102" s="0" t="inlineStr">
        <is>
          <t xml:space="preserve">2025-07-21</t>
        </is>
      </c>
      <c r="C102" s="0" t="inlineStr">
        <is>
          <t xml:space="preserve">N00024-17-C-2100</t>
        </is>
      </c>
      <c r="D102" s="0" t="inlineStr">
        <is>
          <t xml:space="preserve">va</t>
        </is>
      </c>
      <c r="E102" s="0" t="inlineStr">
        <is>
          <t xml:space="preserve">component_procurement</t>
        </is>
      </c>
      <c r="F102" s="0" t="inlineStr">
        <is>
          <t xml:space="preserve">INCLUDE_BC</t>
        </is>
      </c>
      <c r="G102" s="0" t="inlineStr">
        <is>
          <t xml:space="preserve">BC</t>
        </is>
      </c>
      <c r="H102" s="5">
        <v>1</v>
      </c>
      <c r="I102" s="5">
        <v>0</v>
      </c>
      <c r="J102" s="5">
        <v>1</v>
      </c>
      <c r="K102" s="5">
        <v>159.675741</v>
      </c>
      <c r="L102" s="7">
        <v>0.0</v>
      </c>
      <c r="M102" s="7">
        <v>0.0</v>
      </c>
      <c r="N102" s="7">
        <v>0.0</v>
      </c>
      <c r="O102" s="7">
        <v>0.0</v>
      </c>
    </row>
    <row r="103" outlineLevel="1">
      <c r="B103" s="0" t="inlineStr">
        <is>
          <t xml:space="preserve">2024-02-23</t>
        </is>
      </c>
      <c r="C103" s="0" t="inlineStr">
        <is>
          <t xml:space="preserve">-</t>
        </is>
      </c>
      <c r="D103" s="0" t="inlineStr">
        <is>
          <t xml:space="preserve">va</t>
        </is>
      </c>
      <c r="E103" s="0" t="inlineStr">
        <is>
          <t xml:space="preserve">lltm_early_mfg</t>
        </is>
      </c>
      <c r="F103" s="0" t="inlineStr">
        <is>
          <t xml:space="preserve">INCLUDE_AP_LLTM</t>
        </is>
      </c>
      <c r="G103" s="0" t="inlineStr">
        <is>
          <t xml:space="preserve">AP_LLTM</t>
        </is>
      </c>
      <c r="H103" s="5">
        <v>1</v>
      </c>
      <c r="I103" s="5">
        <v>0</v>
      </c>
      <c r="J103" s="5">
        <v>1</v>
      </c>
      <c r="K103" s="5">
        <v>150.984</v>
      </c>
      <c r="L103" s="7">
        <v>0.0</v>
      </c>
      <c r="M103" s="7">
        <v>0.0</v>
      </c>
      <c r="N103" s="7">
        <v>1.0</v>
      </c>
      <c r="O103" s="7">
        <v>0.0</v>
      </c>
    </row>
    <row r="104" outlineLevel="1">
      <c r="B104" s="0" t="inlineStr">
        <is>
          <t xml:space="preserve">2025-12-23</t>
        </is>
      </c>
      <c r="C104" s="0" t="inlineStr">
        <is>
          <t xml:space="preserve">N00024-26-C-5403</t>
        </is>
      </c>
      <c r="D104" s="0" t="inlineStr">
        <is>
          <t xml:space="preserve">non_sub</t>
        </is>
      </c>
      <c r="E104" s="0" t="inlineStr">
        <is>
          <t xml:space="preserve">fms</t>
        </is>
      </c>
      <c r="F104" s="0" t="inlineStr">
        <is>
          <t xml:space="preserve">EXCLUDE_REVIEW</t>
        </is>
      </c>
      <c r="G104" s="0" t="inlineStr">
        <is>
          <t xml:space="preserve">BC</t>
        </is>
      </c>
      <c r="H104" s="5">
        <v>0</v>
      </c>
      <c r="I104" s="5">
        <v>0</v>
      </c>
      <c r="J104" s="5">
        <v>1</v>
      </c>
      <c r="K104" s="5">
        <v>146.205116</v>
      </c>
      <c r="L104" s="7">
        <v>0.0</v>
      </c>
      <c r="M104" s="7">
        <v>0.0</v>
      </c>
      <c r="N104" s="7">
        <v>0.95</v>
      </c>
      <c r="O104" s="7">
        <v>0.0</v>
      </c>
    </row>
    <row r="105" outlineLevel="1">
      <c r="B105" s="0" t="inlineStr">
        <is>
          <t xml:space="preserve">2024-03-21</t>
        </is>
      </c>
      <c r="C105" s="0" t="inlineStr">
        <is>
          <t xml:space="preserve">N00024-19-C-2125</t>
        </is>
      </c>
      <c r="D105" s="0" t="inlineStr">
        <is>
          <t xml:space="preserve">sub_operational</t>
        </is>
      </c>
      <c r="E105" s="0" t="inlineStr">
        <is>
          <t xml:space="preserve">lead_yard</t>
        </is>
      </c>
      <c r="F105" s="0" t="inlineStr">
        <is>
          <t xml:space="preserve">EXCLUDE_REVIEW</t>
        </is>
      </c>
      <c r="G105" s="0" t="inlineStr">
        <is>
          <t xml:space="preserve">BC</t>
        </is>
      </c>
      <c r="H105" s="5">
        <v>0</v>
      </c>
      <c r="I105" s="5">
        <v>0</v>
      </c>
      <c r="J105" s="5">
        <v>1</v>
      </c>
      <c r="K105" s="5">
        <v>145.0</v>
      </c>
      <c r="L105" s="7">
        <v>0.7</v>
      </c>
      <c r="M105" s="7">
        <v>0.0</v>
      </c>
      <c r="N105" s="7">
        <v>0.3</v>
      </c>
      <c r="O105" s="7">
        <v>0.0</v>
      </c>
    </row>
    <row r="106" outlineLevel="1">
      <c r="B106" s="0" t="inlineStr">
        <is>
          <t xml:space="preserve">2023-12-22</t>
        </is>
      </c>
      <c r="C106" s="0" t="inlineStr">
        <is>
          <t xml:space="preserve">-</t>
        </is>
      </c>
      <c r="D106" s="0" t="inlineStr">
        <is>
          <t xml:space="preserve">non_sub</t>
        </is>
      </c>
      <c r="E106" s="0" t="inlineStr">
        <is>
          <t xml:space="preserve">sustainment_maintenance</t>
        </is>
      </c>
      <c r="F106" s="0" t="inlineStr">
        <is>
          <t xml:space="preserve">EXCLUDE_REVIEW</t>
        </is>
      </c>
      <c r="G106" s="0" t="inlineStr">
        <is>
          <t xml:space="preserve">BC</t>
        </is>
      </c>
      <c r="H106" s="5">
        <v>0</v>
      </c>
      <c r="I106" s="5">
        <v>0</v>
      </c>
      <c r="J106" s="5">
        <v>1</v>
      </c>
      <c r="K106" s="5">
        <v>141.510746</v>
      </c>
      <c r="L106" s="7">
        <v>0.0</v>
      </c>
      <c r="M106" s="7">
        <v>0.0</v>
      </c>
      <c r="N106" s="7">
        <v>0.0</v>
      </c>
      <c r="O106" s="7">
        <v>0.0</v>
      </c>
    </row>
    <row r="107" outlineLevel="1">
      <c r="B107" s="0" t="inlineStr">
        <is>
          <t xml:space="preserve">2025-03-20</t>
        </is>
      </c>
      <c r="C107" s="0" t="inlineStr">
        <is>
          <t xml:space="preserve">N00024-21-C-5411</t>
        </is>
      </c>
      <c r="D107" s="0" t="inlineStr">
        <is>
          <t xml:space="preserve">non_sub</t>
        </is>
      </c>
      <c r="E107" s="0" t="inlineStr">
        <is>
          <t xml:space="preserve">fms</t>
        </is>
      </c>
      <c r="F107" s="0" t="inlineStr">
        <is>
          <t xml:space="preserve">EXCLUDE_REVIEW</t>
        </is>
      </c>
      <c r="G107" s="0" t="inlineStr">
        <is>
          <t xml:space="preserve">BC</t>
        </is>
      </c>
      <c r="H107" s="5">
        <v>0</v>
      </c>
      <c r="I107" s="5">
        <v>0</v>
      </c>
      <c r="J107" s="5">
        <v>1</v>
      </c>
      <c r="K107" s="5">
        <v>141.05</v>
      </c>
      <c r="L107" s="7">
        <v>0.0</v>
      </c>
      <c r="M107" s="7">
        <v>0.0</v>
      </c>
      <c r="N107" s="7">
        <v>1.0</v>
      </c>
      <c r="O107" s="7">
        <v>0.0</v>
      </c>
    </row>
    <row r="108" outlineLevel="1">
      <c r="B108" s="0" t="inlineStr">
        <is>
          <t xml:space="preserve">2025-04-30</t>
        </is>
      </c>
      <c r="C108" s="0" t="inlineStr">
        <is>
          <t xml:space="preserve">N00024-22-C-6419</t>
        </is>
      </c>
      <c r="D108" s="0" t="inlineStr">
        <is>
          <t xml:space="preserve">non_sub</t>
        </is>
      </c>
      <c r="E108" s="0" t="inlineStr">
        <is>
          <t xml:space="preserve">fms</t>
        </is>
      </c>
      <c r="F108" s="0" t="inlineStr">
        <is>
          <t xml:space="preserve">EXCLUDE_REVIEW</t>
        </is>
      </c>
      <c r="G108" s="0" t="inlineStr">
        <is>
          <t xml:space="preserve">BC</t>
        </is>
      </c>
      <c r="H108" s="5">
        <v>0</v>
      </c>
      <c r="I108" s="5">
        <v>0</v>
      </c>
      <c r="J108" s="5">
        <v>1</v>
      </c>
      <c r="K108" s="5">
        <v>136.427161</v>
      </c>
      <c r="L108" s="7">
        <v>0.0</v>
      </c>
      <c r="M108" s="7">
        <v>0.0</v>
      </c>
      <c r="N108" s="7">
        <v>1.0</v>
      </c>
      <c r="O108" s="7">
        <v>0.0</v>
      </c>
    </row>
    <row r="109" outlineLevel="1">
      <c r="B109" s="0" t="inlineStr">
        <is>
          <t xml:space="preserve">2023-03-31</t>
        </is>
      </c>
      <c r="C109" s="0" t="inlineStr">
        <is>
          <t xml:space="preserve">-</t>
        </is>
      </c>
      <c r="D109" s="0" t="inlineStr">
        <is>
          <t xml:space="preserve">non_sub</t>
        </is>
      </c>
      <c r="E109" s="0" t="inlineStr">
        <is>
          <t xml:space="preserve">fms</t>
        </is>
      </c>
      <c r="F109" s="0" t="inlineStr">
        <is>
          <t xml:space="preserve">EXCLUDE_REVIEW</t>
        </is>
      </c>
      <c r="G109" s="0" t="inlineStr">
        <is>
          <t xml:space="preserve">BC</t>
        </is>
      </c>
      <c r="H109" s="5">
        <v>0</v>
      </c>
      <c r="I109" s="5">
        <v>0</v>
      </c>
      <c r="J109" s="5">
        <v>1</v>
      </c>
      <c r="K109" s="5">
        <v>132.485525</v>
      </c>
      <c r="L109" s="7">
        <v>0.0</v>
      </c>
      <c r="M109" s="7">
        <v>0.0</v>
      </c>
      <c r="N109" s="7">
        <v>1.0</v>
      </c>
      <c r="O109" s="7">
        <v>0.0</v>
      </c>
    </row>
    <row r="110" outlineLevel="1">
      <c r="B110" s="0" t="inlineStr">
        <is>
          <t xml:space="preserve">2025-12-22</t>
        </is>
      </c>
      <c r="C110" s="0" t="inlineStr">
        <is>
          <t xml:space="preserve">N00024-24-C-2112</t>
        </is>
      </c>
      <c r="D110" s="0" t="inlineStr">
        <is>
          <t xml:space="preserve">bpmi_nuclear</t>
        </is>
      </c>
      <c r="E110" s="0" t="inlineStr">
        <is>
          <t xml:space="preserve">component_procurement</t>
        </is>
      </c>
      <c r="F110" s="0" t="inlineStr">
        <is>
          <t xml:space="preserve">EXCLUDE_GFE_NUCLEAR</t>
        </is>
      </c>
      <c r="G110" s="0" t="inlineStr">
        <is>
          <t xml:space="preserve">BC</t>
        </is>
      </c>
      <c r="H110" s="5">
        <v>1</v>
      </c>
      <c r="I110" s="5">
        <v>1</v>
      </c>
      <c r="J110" s="5">
        <v>1</v>
      </c>
      <c r="K110" s="5">
        <v>128.478836</v>
      </c>
      <c r="L110" s="7">
        <v>0.0</v>
      </c>
      <c r="M110" s="7">
        <v>0.0</v>
      </c>
      <c r="N110" s="7">
        <v>1.0</v>
      </c>
      <c r="O110" s="7">
        <v>0.0</v>
      </c>
    </row>
    <row r="111" outlineLevel="1">
      <c r="B111" s="0" t="inlineStr">
        <is>
          <t xml:space="preserve">2024-04-11</t>
        </is>
      </c>
      <c r="C111" s="0" t="inlineStr">
        <is>
          <t xml:space="preserve">-</t>
        </is>
      </c>
      <c r="D111" s="0" t="inlineStr">
        <is>
          <t xml:space="preserve">non_sub</t>
        </is>
      </c>
      <c r="E111" s="0" t="inlineStr">
        <is>
          <t xml:space="preserve">engineering</t>
        </is>
      </c>
      <c r="F111" s="0" t="inlineStr">
        <is>
          <t xml:space="preserve">EXCLUDE_REVIEW</t>
        </is>
      </c>
      <c r="G111" s="0" t="inlineStr">
        <is>
          <t xml:space="preserve">BC</t>
        </is>
      </c>
      <c r="H111" s="5">
        <v>0</v>
      </c>
      <c r="I111" s="5">
        <v>0</v>
      </c>
      <c r="J111" s="5">
        <v>1</v>
      </c>
      <c r="K111" s="5">
        <v>126.989166</v>
      </c>
      <c r="L111" s="7">
        <v>0.0</v>
      </c>
      <c r="M111" s="7">
        <v>0.0</v>
      </c>
      <c r="N111" s="7">
        <v>0.0</v>
      </c>
      <c r="O111" s="7">
        <v>0.0</v>
      </c>
    </row>
    <row r="112" outlineLevel="1">
      <c r="B112" s="0" t="inlineStr">
        <is>
          <t xml:space="preserve">2026-03-26</t>
        </is>
      </c>
      <c r="C112" s="0" t="inlineStr">
        <is>
          <t xml:space="preserve">N00024-21-C-2209</t>
        </is>
      </c>
      <c r="D112" s="0" t="inlineStr">
        <is>
          <t xml:space="preserve">non_sub</t>
        </is>
      </c>
      <c r="E112" s="0" t="inlineStr">
        <is>
          <t xml:space="preserve">design</t>
        </is>
      </c>
      <c r="F112" s="0" t="inlineStr">
        <is>
          <t xml:space="preserve">EXCLUDE_REVIEW</t>
        </is>
      </c>
      <c r="G112" s="0" t="inlineStr">
        <is>
          <t xml:space="preserve">BC</t>
        </is>
      </c>
      <c r="H112" s="5">
        <v>0</v>
      </c>
      <c r="I112" s="5">
        <v>0</v>
      </c>
      <c r="J112" s="5">
        <v>1</v>
      </c>
      <c r="K112" s="5">
        <v>126.5</v>
      </c>
      <c r="L112" s="7">
        <v>0.0</v>
      </c>
      <c r="M112" s="7">
        <v>0.0</v>
      </c>
      <c r="N112" s="7">
        <v>0.0</v>
      </c>
      <c r="O112" s="7">
        <v>0.0</v>
      </c>
    </row>
    <row r="113" outlineLevel="1">
      <c r="B113" s="0" t="inlineStr">
        <is>
          <t xml:space="preserve">2026-05-13</t>
        </is>
      </c>
      <c r="C113" s="0" t="inlineStr">
        <is>
          <t xml:space="preserve">N00024-22-C-2253</t>
        </is>
      </c>
      <c r="D113" s="0" t="inlineStr">
        <is>
          <t xml:space="preserve">non_sub</t>
        </is>
      </c>
      <c r="E113" s="0" t="inlineStr">
        <is>
          <t xml:space="preserve">other</t>
        </is>
      </c>
      <c r="F113" s="0" t="inlineStr">
        <is>
          <t xml:space="preserve">EXCLUDE_REVIEW</t>
        </is>
      </c>
      <c r="G113" s="0" t="inlineStr">
        <is>
          <t xml:space="preserve">BC</t>
        </is>
      </c>
      <c r="H113" s="5">
        <v>0</v>
      </c>
      <c r="I113" s="5">
        <v>0</v>
      </c>
      <c r="J113" s="5">
        <v>1</v>
      </c>
      <c r="K113" s="5">
        <v>122.3752</v>
      </c>
      <c r="L113" s="7">
        <v>0.0</v>
      </c>
      <c r="M113" s="7">
        <v>0.0</v>
      </c>
      <c r="N113" s="7">
        <v>0.0</v>
      </c>
      <c r="O113" s="7">
        <v>0.0</v>
      </c>
    </row>
    <row r="114" outlineLevel="1">
      <c r="B114" s="0" t="inlineStr">
        <is>
          <t xml:space="preserve">2023-01-31</t>
        </is>
      </c>
      <c r="C114" s="0" t="inlineStr">
        <is>
          <t xml:space="preserve">N00024-23-C-2301</t>
        </is>
      </c>
      <c r="D114" s="0" t="inlineStr">
        <is>
          <t xml:space="preserve">non_sub</t>
        </is>
      </c>
      <c r="E114" s="0" t="inlineStr">
        <is>
          <t xml:space="preserve">fms</t>
        </is>
      </c>
      <c r="F114" s="0" t="inlineStr">
        <is>
          <t xml:space="preserve">EXCLUDE_REVIEW</t>
        </is>
      </c>
      <c r="G114" s="0" t="inlineStr">
        <is>
          <t xml:space="preserve">BC</t>
        </is>
      </c>
      <c r="H114" s="5">
        <v>0</v>
      </c>
      <c r="I114" s="5">
        <v>0</v>
      </c>
      <c r="J114" s="5">
        <v>1</v>
      </c>
      <c r="K114" s="5">
        <v>118.673894</v>
      </c>
      <c r="L114" s="7">
        <v>0.0</v>
      </c>
      <c r="M114" s="7">
        <v>0.0</v>
      </c>
      <c r="N114" s="7">
        <v>1.0</v>
      </c>
      <c r="O114" s="7">
        <v>0.0</v>
      </c>
    </row>
    <row r="115" outlineLevel="1">
      <c r="B115" s="0" t="inlineStr">
        <is>
          <t xml:space="preserve">2024-10-29</t>
        </is>
      </c>
      <c r="C115" s="0" t="inlineStr">
        <is>
          <t xml:space="preserve">N00024-22-C-5400</t>
        </is>
      </c>
      <c r="D115" s="0" t="inlineStr">
        <is>
          <t xml:space="preserve">non_sub</t>
        </is>
      </c>
      <c r="E115" s="0" t="inlineStr">
        <is>
          <t xml:space="preserve">other</t>
        </is>
      </c>
      <c r="F115" s="0" t="inlineStr">
        <is>
          <t xml:space="preserve">EXCLUDE_REVIEW</t>
        </is>
      </c>
      <c r="G115" s="0" t="inlineStr">
        <is>
          <t xml:space="preserve">BC</t>
        </is>
      </c>
      <c r="H115" s="5">
        <v>0</v>
      </c>
      <c r="I115" s="5">
        <v>0</v>
      </c>
      <c r="J115" s="5">
        <v>1</v>
      </c>
      <c r="K115" s="5">
        <v>118.454213</v>
      </c>
      <c r="L115" s="7">
        <v>0.0</v>
      </c>
      <c r="M115" s="7">
        <v>0.0</v>
      </c>
      <c r="N115" s="7">
        <v>0.95</v>
      </c>
      <c r="O115" s="7">
        <v>0.0</v>
      </c>
    </row>
    <row r="116" outlineLevel="1">
      <c r="B116" s="0" t="inlineStr">
        <is>
          <t xml:space="preserve">2025-04-04</t>
        </is>
      </c>
      <c r="C116" s="0" t="inlineStr">
        <is>
          <t xml:space="preserve">N00024-25-C-5409</t>
        </is>
      </c>
      <c r="D116" s="0" t="inlineStr">
        <is>
          <t xml:space="preserve">non_sub</t>
        </is>
      </c>
      <c r="E116" s="0" t="inlineStr">
        <is>
          <t xml:space="preserve">other</t>
        </is>
      </c>
      <c r="F116" s="0" t="inlineStr">
        <is>
          <t xml:space="preserve">EXCLUDE_REVIEW</t>
        </is>
      </c>
      <c r="G116" s="0" t="inlineStr">
        <is>
          <t xml:space="preserve">BC</t>
        </is>
      </c>
      <c r="H116" s="5">
        <v>0</v>
      </c>
      <c r="I116" s="5">
        <v>0</v>
      </c>
      <c r="J116" s="5">
        <v>1</v>
      </c>
      <c r="K116" s="5">
        <v>117.066704</v>
      </c>
      <c r="L116" s="7">
        <v>0.0</v>
      </c>
      <c r="M116" s="7">
        <v>0.0</v>
      </c>
      <c r="N116" s="7">
        <v>0.86</v>
      </c>
      <c r="O116" s="7">
        <v>0.0</v>
      </c>
    </row>
    <row r="117" outlineLevel="1">
      <c r="B117" s="0" t="inlineStr">
        <is>
          <t xml:space="preserve">2025-02-11</t>
        </is>
      </c>
      <c r="C117" s="0" t="inlineStr">
        <is>
          <t xml:space="preserve">-</t>
        </is>
      </c>
      <c r="D117" s="0" t="inlineStr">
        <is>
          <t xml:space="preserve">non_sub</t>
        </is>
      </c>
      <c r="E117" s="0" t="inlineStr">
        <is>
          <t xml:space="preserve">other</t>
        </is>
      </c>
      <c r="F117" s="0" t="inlineStr">
        <is>
          <t xml:space="preserve">EXCLUDE_REVIEW</t>
        </is>
      </c>
      <c r="G117" s="0" t="inlineStr">
        <is>
          <t xml:space="preserve">BC</t>
        </is>
      </c>
      <c r="H117" s="5">
        <v>0</v>
      </c>
      <c r="I117" s="5">
        <v>0</v>
      </c>
      <c r="J117" s="5">
        <v>1</v>
      </c>
      <c r="K117" s="5">
        <v>114.162885</v>
      </c>
      <c r="L117" s="7">
        <v>0.0</v>
      </c>
      <c r="M117" s="7">
        <v>0.0</v>
      </c>
      <c r="N117" s="7">
        <v>1.0</v>
      </c>
      <c r="O117" s="7">
        <v>0.0</v>
      </c>
    </row>
    <row r="118" outlineLevel="1">
      <c r="B118" s="0" t="inlineStr">
        <is>
          <t xml:space="preserve">2026-03-20</t>
        </is>
      </c>
      <c r="C118" s="0" t="inlineStr">
        <is>
          <t xml:space="preserve">N42158-26-D-0004</t>
        </is>
      </c>
      <c r="D118" s="0" t="inlineStr">
        <is>
          <t xml:space="preserve">sub_other</t>
        </is>
      </c>
      <c r="E118" s="0" t="inlineStr">
        <is>
          <t xml:space="preserve">engineering</t>
        </is>
      </c>
      <c r="F118" s="0" t="inlineStr">
        <is>
          <t xml:space="preserve">EXCLUDE_REVIEW</t>
        </is>
      </c>
      <c r="G118" s="0" t="inlineStr">
        <is>
          <t xml:space="preserve">BC</t>
        </is>
      </c>
      <c r="H118" s="5">
        <v>0</v>
      </c>
      <c r="I118" s="5">
        <v>0</v>
      </c>
      <c r="J118" s="5">
        <v>1</v>
      </c>
      <c r="K118" s="5">
        <v>114.021616</v>
      </c>
      <c r="L118" s="7">
        <v>0.0</v>
      </c>
      <c r="M118" s="7">
        <v>0.0</v>
      </c>
      <c r="N118" s="7">
        <v>0.0</v>
      </c>
      <c r="O118" s="7">
        <v>0.0</v>
      </c>
    </row>
    <row r="119" outlineLevel="1">
      <c r="B119" s="0" t="inlineStr">
        <is>
          <t xml:space="preserve">2023-03-31</t>
        </is>
      </c>
      <c r="C119" s="0" t="inlineStr">
        <is>
          <t xml:space="preserve">-</t>
        </is>
      </c>
      <c r="D119" s="0" t="inlineStr">
        <is>
          <t xml:space="preserve">non_sub</t>
        </is>
      </c>
      <c r="E119" s="0" t="inlineStr">
        <is>
          <t xml:space="preserve">other</t>
        </is>
      </c>
      <c r="F119" s="0" t="inlineStr">
        <is>
          <t xml:space="preserve">EXCLUDE_REVIEW</t>
        </is>
      </c>
      <c r="G119" s="0" t="inlineStr">
        <is>
          <t xml:space="preserve">BC</t>
        </is>
      </c>
      <c r="H119" s="5">
        <v>0</v>
      </c>
      <c r="I119" s="5">
        <v>0</v>
      </c>
      <c r="J119" s="5">
        <v>1</v>
      </c>
      <c r="K119" s="5">
        <v>113.628201</v>
      </c>
      <c r="L119" s="7">
        <v>0.0</v>
      </c>
      <c r="M119" s="7">
        <v>0.0</v>
      </c>
      <c r="N119" s="7">
        <v>0.76</v>
      </c>
      <c r="O119" s="7">
        <v>0.0</v>
      </c>
    </row>
    <row r="120" outlineLevel="1">
      <c r="B120" s="0" t="inlineStr">
        <is>
          <t xml:space="preserve">2026-03-12</t>
        </is>
      </c>
      <c r="C120" s="0" t="inlineStr">
        <is>
          <t xml:space="preserve">N00024-24-C-2115</t>
        </is>
      </c>
      <c r="D120" s="0" t="inlineStr">
        <is>
          <t xml:space="preserve">bpmi_nuclear</t>
        </is>
      </c>
      <c r="E120" s="0" t="inlineStr">
        <is>
          <t xml:space="preserve">component_procurement</t>
        </is>
      </c>
      <c r="F120" s="0" t="inlineStr">
        <is>
          <t xml:space="preserve">EXCLUDE_GFE_NUCLEAR</t>
        </is>
      </c>
      <c r="G120" s="0" t="inlineStr">
        <is>
          <t xml:space="preserve">BC</t>
        </is>
      </c>
      <c r="H120" s="5">
        <v>1</v>
      </c>
      <c r="I120" s="5">
        <v>1</v>
      </c>
      <c r="J120" s="5">
        <v>1</v>
      </c>
      <c r="K120" s="5">
        <v>112.833315</v>
      </c>
      <c r="L120" s="7">
        <v>0.0</v>
      </c>
      <c r="M120" s="7">
        <v>0.0</v>
      </c>
      <c r="N120" s="7">
        <v>0.0</v>
      </c>
      <c r="O120" s="7">
        <v>0.0</v>
      </c>
    </row>
    <row r="121" outlineLevel="1">
      <c r="B121" s="0" t="inlineStr">
        <is>
          <t xml:space="preserve">2026-05-21</t>
        </is>
      </c>
      <c r="C121" s="0" t="inlineStr">
        <is>
          <t xml:space="preserve">N00024-22-C-6419</t>
        </is>
      </c>
      <c r="D121" s="0" t="inlineStr">
        <is>
          <t xml:space="preserve">non_sub</t>
        </is>
      </c>
      <c r="E121" s="0" t="inlineStr">
        <is>
          <t xml:space="preserve">fms</t>
        </is>
      </c>
      <c r="F121" s="0" t="inlineStr">
        <is>
          <t xml:space="preserve">EXCLUDE_REVIEW</t>
        </is>
      </c>
      <c r="G121" s="0" t="inlineStr">
        <is>
          <t xml:space="preserve">BC</t>
        </is>
      </c>
      <c r="H121" s="5">
        <v>0</v>
      </c>
      <c r="I121" s="5">
        <v>0</v>
      </c>
      <c r="J121" s="5">
        <v>1</v>
      </c>
      <c r="K121" s="5">
        <v>112.3029</v>
      </c>
      <c r="L121" s="7">
        <v>0.0</v>
      </c>
      <c r="M121" s="7">
        <v>0.0</v>
      </c>
      <c r="N121" s="7">
        <v>1.0</v>
      </c>
      <c r="O121" s="7">
        <v>0.0</v>
      </c>
    </row>
    <row r="122" outlineLevel="1">
      <c r="B122" s="0" t="inlineStr">
        <is>
          <t xml:space="preserve">2022-09-27</t>
        </is>
      </c>
      <c r="C122" s="0" t="inlineStr">
        <is>
          <t xml:space="preserve">N00024-22-D-4318</t>
        </is>
      </c>
      <c r="D122" s="0" t="inlineStr">
        <is>
          <t xml:space="preserve">non_sub</t>
        </is>
      </c>
      <c r="E122" s="0" t="inlineStr">
        <is>
          <t xml:space="preserve">engineering</t>
        </is>
      </c>
      <c r="F122" s="0" t="inlineStr">
        <is>
          <t xml:space="preserve">EXCLUDE_REVIEW</t>
        </is>
      </c>
      <c r="G122" s="0" t="inlineStr">
        <is>
          <t xml:space="preserve">BC</t>
        </is>
      </c>
      <c r="H122" s="5">
        <v>0</v>
      </c>
      <c r="I122" s="5">
        <v>0</v>
      </c>
      <c r="J122" s="5">
        <v>1</v>
      </c>
      <c r="K122" s="5">
        <v>112.0</v>
      </c>
      <c r="L122" s="7">
        <v>0.0</v>
      </c>
      <c r="M122" s="7">
        <v>0.0</v>
      </c>
      <c r="N122" s="7">
        <v>0.0</v>
      </c>
      <c r="O122" s="7">
        <v>0.0</v>
      </c>
    </row>
    <row r="123" outlineLevel="1">
      <c r="B123" s="0" t="inlineStr">
        <is>
          <t xml:space="preserve">2022-09-22</t>
        </is>
      </c>
      <c r="C123" s="0" t="inlineStr">
        <is>
          <t xml:space="preserve">N69450-21-D-0060</t>
        </is>
      </c>
      <c r="D123" s="0" t="inlineStr">
        <is>
          <t xml:space="preserve">non_sub</t>
        </is>
      </c>
      <c r="E123" s="0" t="inlineStr">
        <is>
          <t xml:space="preserve">other</t>
        </is>
      </c>
      <c r="F123" s="0" t="inlineStr">
        <is>
          <t xml:space="preserve">EXCLUDE_REVIEW</t>
        </is>
      </c>
      <c r="G123" s="0" t="inlineStr">
        <is>
          <t xml:space="preserve">BC</t>
        </is>
      </c>
      <c r="H123" s="5">
        <v>0</v>
      </c>
      <c r="I123" s="5">
        <v>0</v>
      </c>
      <c r="J123" s="5">
        <v>1</v>
      </c>
      <c r="K123" s="5">
        <v>110.688</v>
      </c>
      <c r="L123" s="7">
        <v>0.0</v>
      </c>
      <c r="M123" s="7">
        <v>0.0</v>
      </c>
      <c r="N123" s="7">
        <v>0.0</v>
      </c>
      <c r="O123" s="7">
        <v>0.0</v>
      </c>
    </row>
    <row r="124" outlineLevel="1">
      <c r="B124" s="0" t="inlineStr">
        <is>
          <t xml:space="preserve">2025-12-11</t>
        </is>
      </c>
      <c r="C124" s="0" t="inlineStr">
        <is>
          <t xml:space="preserve">N00024-23-C-5101</t>
        </is>
      </c>
      <c r="D124" s="0" t="inlineStr">
        <is>
          <t xml:space="preserve">non_sub</t>
        </is>
      </c>
      <c r="E124" s="0" t="inlineStr">
        <is>
          <t xml:space="preserve">fms</t>
        </is>
      </c>
      <c r="F124" s="0" t="inlineStr">
        <is>
          <t xml:space="preserve">EXCLUDE_REVIEW</t>
        </is>
      </c>
      <c r="G124" s="0" t="inlineStr">
        <is>
          <t xml:space="preserve">BC</t>
        </is>
      </c>
      <c r="H124" s="5">
        <v>0</v>
      </c>
      <c r="I124" s="5">
        <v>0</v>
      </c>
      <c r="J124" s="5">
        <v>1</v>
      </c>
      <c r="K124" s="5">
        <v>104.623274</v>
      </c>
      <c r="L124" s="7">
        <v>0.0</v>
      </c>
      <c r="M124" s="7">
        <v>0.0</v>
      </c>
      <c r="N124" s="7">
        <v>0.0</v>
      </c>
      <c r="O124" s="7">
        <v>0.0</v>
      </c>
    </row>
    <row r="125" outlineLevel="1">
      <c r="B125" s="0" t="inlineStr">
        <is>
          <t xml:space="preserve">2025-12-23</t>
        </is>
      </c>
      <c r="C125" s="0" t="inlineStr">
        <is>
          <t xml:space="preserve">N00024-26-C-5434</t>
        </is>
      </c>
      <c r="D125" s="0" t="inlineStr">
        <is>
          <t xml:space="preserve">non_sub</t>
        </is>
      </c>
      <c r="E125" s="0" t="inlineStr">
        <is>
          <t xml:space="preserve">lead_yard</t>
        </is>
      </c>
      <c r="F125" s="0" t="inlineStr">
        <is>
          <t xml:space="preserve">EXCLUDE_REVIEW</t>
        </is>
      </c>
      <c r="G125" s="0" t="inlineStr">
        <is>
          <t xml:space="preserve">BC</t>
        </is>
      </c>
      <c r="H125" s="5">
        <v>0</v>
      </c>
      <c r="I125" s="5">
        <v>0</v>
      </c>
      <c r="J125" s="5">
        <v>1</v>
      </c>
      <c r="K125" s="5">
        <v>104.063252</v>
      </c>
      <c r="L125" s="7">
        <v>0.0</v>
      </c>
      <c r="M125" s="7">
        <v>0.0</v>
      </c>
      <c r="N125" s="7">
        <v>0.99</v>
      </c>
      <c r="O125" s="7">
        <v>0.0</v>
      </c>
    </row>
    <row r="126" outlineLevel="1">
      <c r="B126" s="0" t="inlineStr">
        <is>
          <t xml:space="preserve">2024-01-17</t>
        </is>
      </c>
      <c r="C126" s="0" t="inlineStr">
        <is>
          <t xml:space="preserve">-</t>
        </is>
      </c>
      <c r="D126" s="0" t="inlineStr">
        <is>
          <t xml:space="preserve">non_sub</t>
        </is>
      </c>
      <c r="E126" s="0" t="inlineStr">
        <is>
          <t xml:space="preserve">other</t>
        </is>
      </c>
      <c r="F126" s="0" t="inlineStr">
        <is>
          <t xml:space="preserve">EXCLUDE_REVIEW</t>
        </is>
      </c>
      <c r="G126" s="0" t="inlineStr">
        <is>
          <t xml:space="preserve">BC</t>
        </is>
      </c>
      <c r="H126" s="5">
        <v>0</v>
      </c>
      <c r="I126" s="5">
        <v>0</v>
      </c>
      <c r="J126" s="5">
        <v>1</v>
      </c>
      <c r="K126" s="5">
        <v>102.729951</v>
      </c>
      <c r="L126" s="7">
        <v>0.0</v>
      </c>
      <c r="M126" s="7">
        <v>0.0</v>
      </c>
      <c r="N126" s="7">
        <v>1.0</v>
      </c>
      <c r="O126" s="7">
        <v>0.0</v>
      </c>
    </row>
    <row r="127" outlineLevel="1">
      <c r="B127" s="0" t="inlineStr">
        <is>
          <t xml:space="preserve">2023-04-21</t>
        </is>
      </c>
      <c r="C127" s="0" t="inlineStr">
        <is>
          <t xml:space="preserve">-</t>
        </is>
      </c>
      <c r="D127" s="0" t="inlineStr">
        <is>
          <t xml:space="preserve">non_sub</t>
        </is>
      </c>
      <c r="E127" s="0" t="inlineStr">
        <is>
          <t xml:space="preserve">sustainment_maintenance</t>
        </is>
      </c>
      <c r="F127" s="0" t="inlineStr">
        <is>
          <t xml:space="preserve">EXCLUDE_REVIEW</t>
        </is>
      </c>
      <c r="G127" s="0" t="inlineStr">
        <is>
          <t xml:space="preserve">BC</t>
        </is>
      </c>
      <c r="H127" s="5">
        <v>0</v>
      </c>
      <c r="I127" s="5">
        <v>0</v>
      </c>
      <c r="J127" s="5">
        <v>1</v>
      </c>
      <c r="K127" s="5">
        <v>100.672908</v>
      </c>
      <c r="L127" s="7">
        <v>0.0</v>
      </c>
      <c r="M127" s="7">
        <v>0.0</v>
      </c>
      <c r="N127" s="7">
        <v>0.98</v>
      </c>
      <c r="O127" s="7">
        <v>0.0</v>
      </c>
    </row>
    <row r="128" outlineLevel="1">
      <c r="B128" s="0" t="inlineStr">
        <is>
          <t xml:space="preserve">2023-12-14</t>
        </is>
      </c>
      <c r="C128" s="0" t="inlineStr">
        <is>
          <t xml:space="preserve">-</t>
        </is>
      </c>
      <c r="D128" s="0" t="inlineStr">
        <is>
          <t xml:space="preserve">non_sub</t>
        </is>
      </c>
      <c r="E128" s="0" t="inlineStr">
        <is>
          <t xml:space="preserve">other</t>
        </is>
      </c>
      <c r="F128" s="0" t="inlineStr">
        <is>
          <t xml:space="preserve">EXCLUDE_REVIEW</t>
        </is>
      </c>
      <c r="G128" s="0" t="inlineStr">
        <is>
          <t xml:space="preserve">BC</t>
        </is>
      </c>
      <c r="H128" s="5">
        <v>0</v>
      </c>
      <c r="I128" s="5">
        <v>0</v>
      </c>
      <c r="J128" s="5">
        <v>1</v>
      </c>
      <c r="K128" s="5">
        <v>100.0</v>
      </c>
      <c r="L128" s="7">
        <v>0.0</v>
      </c>
      <c r="M128" s="7">
        <v>0.0</v>
      </c>
      <c r="N128" s="7">
        <v>0.0</v>
      </c>
      <c r="O128" s="7">
        <v>0.0</v>
      </c>
    </row>
    <row r="129" outlineLevel="1">
      <c r="B129" s="0" t="inlineStr">
        <is>
          <t xml:space="preserve">2025-08-29</t>
        </is>
      </c>
      <c r="C129" s="0" t="inlineStr">
        <is>
          <t xml:space="preserve">N00024-21-C-2106</t>
        </is>
      </c>
      <c r="D129" s="0" t="inlineStr">
        <is>
          <t xml:space="preserve">non_sub</t>
        </is>
      </c>
      <c r="E129" s="0" t="inlineStr">
        <is>
          <t xml:space="preserve">repair_overhaul</t>
        </is>
      </c>
      <c r="F129" s="0" t="inlineStr">
        <is>
          <t xml:space="preserve">EXCLUDE_REVIEW</t>
        </is>
      </c>
      <c r="G129" s="0" t="inlineStr">
        <is>
          <t xml:space="preserve">BC</t>
        </is>
      </c>
      <c r="H129" s="5">
        <v>0</v>
      </c>
      <c r="I129" s="5">
        <v>0</v>
      </c>
      <c r="J129" s="5">
        <v>1</v>
      </c>
      <c r="K129" s="5">
        <v>98.45999</v>
      </c>
      <c r="L129" s="7">
        <v>0.0</v>
      </c>
      <c r="M129" s="7">
        <v>0.0</v>
      </c>
      <c r="N129" s="7">
        <v>0.0</v>
      </c>
      <c r="O129" s="7">
        <v>0.0</v>
      </c>
    </row>
    <row r="130" outlineLevel="1">
      <c r="B130" s="0" t="inlineStr">
        <is>
          <t xml:space="preserve">2025-12-29</t>
        </is>
      </c>
      <c r="C130" s="0" t="inlineStr">
        <is>
          <t xml:space="preserve">N00024-24-C-2106</t>
        </is>
      </c>
      <c r="D130" s="0" t="inlineStr">
        <is>
          <t xml:space="preserve">non_sub</t>
        </is>
      </c>
      <c r="E130" s="0" t="inlineStr">
        <is>
          <t xml:space="preserve">repair_overhaul</t>
        </is>
      </c>
      <c r="F130" s="0" t="inlineStr">
        <is>
          <t xml:space="preserve">EXCLUDE_REVIEW</t>
        </is>
      </c>
      <c r="G130" s="0" t="inlineStr">
        <is>
          <t xml:space="preserve">BC</t>
        </is>
      </c>
      <c r="H130" s="5">
        <v>0</v>
      </c>
      <c r="I130" s="5">
        <v>0</v>
      </c>
      <c r="J130" s="5">
        <v>1</v>
      </c>
      <c r="K130" s="5">
        <v>97.68</v>
      </c>
      <c r="L130" s="7">
        <v>0.0</v>
      </c>
      <c r="M130" s="7">
        <v>0.0</v>
      </c>
      <c r="N130" s="7">
        <v>0.0</v>
      </c>
      <c r="O130" s="7">
        <v>0.0</v>
      </c>
    </row>
    <row r="131" outlineLevel="1">
      <c r="B131" s="0" t="inlineStr">
        <is>
          <t xml:space="preserve">2025-08-15</t>
        </is>
      </c>
      <c r="C131" s="0" t="inlineStr">
        <is>
          <t xml:space="preserve">-</t>
        </is>
      </c>
      <c r="D131" s="0" t="inlineStr">
        <is>
          <t xml:space="preserve">sub_other</t>
        </is>
      </c>
      <c r="E131" s="0" t="inlineStr">
        <is>
          <t xml:space="preserve">repair_overhaul</t>
        </is>
      </c>
      <c r="F131" s="0" t="inlineStr">
        <is>
          <t xml:space="preserve">EXCLUDE_REVIEW</t>
        </is>
      </c>
      <c r="G131" s="0" t="inlineStr">
        <is>
          <t xml:space="preserve">BC</t>
        </is>
      </c>
      <c r="H131" s="5">
        <v>0</v>
      </c>
      <c r="I131" s="5">
        <v>0</v>
      </c>
      <c r="J131" s="5">
        <v>1</v>
      </c>
      <c r="K131" s="5">
        <v>97.064456</v>
      </c>
      <c r="L131" s="7">
        <v>0.0</v>
      </c>
      <c r="M131" s="7">
        <v>0.0</v>
      </c>
      <c r="N131" s="7">
        <v>1.0</v>
      </c>
      <c r="O131" s="7">
        <v>0.0</v>
      </c>
    </row>
    <row r="132" outlineLevel="1">
      <c r="B132" s="0" t="inlineStr">
        <is>
          <t xml:space="preserve">2024-01-22</t>
        </is>
      </c>
      <c r="C132" s="0" t="inlineStr">
        <is>
          <t xml:space="preserve">N00024-17-C-2100</t>
        </is>
      </c>
      <c r="D132" s="0" t="inlineStr">
        <is>
          <t xml:space="preserve">va</t>
        </is>
      </c>
      <c r="E132" s="0" t="inlineStr">
        <is>
          <t xml:space="preserve">lltm_early_mfg</t>
        </is>
      </c>
      <c r="F132" s="0" t="inlineStr">
        <is>
          <t xml:space="preserve">INCLUDE_AP_LLTM</t>
        </is>
      </c>
      <c r="G132" s="0" t="inlineStr">
        <is>
          <t xml:space="preserve">AP_LLTM</t>
        </is>
      </c>
      <c r="H132" s="5">
        <v>1</v>
      </c>
      <c r="I132" s="5">
        <v>0</v>
      </c>
      <c r="J132" s="5">
        <v>1</v>
      </c>
      <c r="K132" s="5">
        <v>96.437891</v>
      </c>
      <c r="L132" s="7">
        <v>0.0</v>
      </c>
      <c r="M132" s="7">
        <v>0.0</v>
      </c>
      <c r="N132" s="7">
        <v>1.0</v>
      </c>
      <c r="O132" s="7">
        <v>0.0</v>
      </c>
    </row>
    <row r="133" outlineLevel="1">
      <c r="B133" s="0" t="inlineStr">
        <is>
          <t xml:space="preserve">2026-03-13</t>
        </is>
      </c>
      <c r="C133" s="0" t="inlineStr">
        <is>
          <t xml:space="preserve">N00024-25-C-2127</t>
        </is>
      </c>
      <c r="D133" s="0" t="inlineStr">
        <is>
          <t xml:space="preserve">non_sub</t>
        </is>
      </c>
      <c r="E133" s="0" t="inlineStr">
        <is>
          <t xml:space="preserve">other</t>
        </is>
      </c>
      <c r="F133" s="0" t="inlineStr">
        <is>
          <t xml:space="preserve">EXCLUDE_REVIEW</t>
        </is>
      </c>
      <c r="G133" s="0" t="inlineStr">
        <is>
          <t xml:space="preserve">BC</t>
        </is>
      </c>
      <c r="H133" s="5">
        <v>0</v>
      </c>
      <c r="I133" s="5">
        <v>0</v>
      </c>
      <c r="J133" s="5">
        <v>1</v>
      </c>
      <c r="K133" s="5">
        <v>95.70396</v>
      </c>
      <c r="L133" s="7">
        <v>0.0</v>
      </c>
      <c r="M133" s="7">
        <v>0.0</v>
      </c>
      <c r="N133" s="7">
        <v>0.0</v>
      </c>
      <c r="O133" s="7">
        <v>0.0</v>
      </c>
    </row>
    <row r="134" outlineLevel="1">
      <c r="B134" s="0" t="inlineStr">
        <is>
          <t xml:space="preserve">2026-03-25</t>
        </is>
      </c>
      <c r="C134" s="0" t="inlineStr">
        <is>
          <t xml:space="preserve">N00024-24-C-2124</t>
        </is>
      </c>
      <c r="D134" s="0" t="inlineStr">
        <is>
          <t xml:space="preserve">sub_operational</t>
        </is>
      </c>
      <c r="E134" s="0" t="inlineStr">
        <is>
          <t xml:space="preserve">lead_yard</t>
        </is>
      </c>
      <c r="F134" s="0" t="inlineStr">
        <is>
          <t xml:space="preserve">EXCLUDE_REVIEW</t>
        </is>
      </c>
      <c r="G134" s="0" t="inlineStr">
        <is>
          <t xml:space="preserve">BC</t>
        </is>
      </c>
      <c r="H134" s="5">
        <v>0</v>
      </c>
      <c r="I134" s="5">
        <v>0</v>
      </c>
      <c r="J134" s="5">
        <v>1</v>
      </c>
      <c r="K134" s="5">
        <v>95.0</v>
      </c>
      <c r="L134" s="7">
        <v>0.7</v>
      </c>
      <c r="M134" s="7">
        <v>0.0</v>
      </c>
      <c r="N134" s="7">
        <v>0.3</v>
      </c>
      <c r="O134" s="7">
        <v>0.0</v>
      </c>
    </row>
    <row r="135" outlineLevel="1">
      <c r="B135" s="0" t="inlineStr">
        <is>
          <t xml:space="preserve">2026-05-20</t>
        </is>
      </c>
      <c r="C135" s="0" t="inlineStr">
        <is>
          <t xml:space="preserve">N00024-18-C-2207</t>
        </is>
      </c>
      <c r="D135" s="0" t="inlineStr">
        <is>
          <t xml:space="preserve">non_sub</t>
        </is>
      </c>
      <c r="E135" s="0" t="inlineStr">
        <is>
          <t xml:space="preserve">other</t>
        </is>
      </c>
      <c r="F135" s="0" t="inlineStr">
        <is>
          <t xml:space="preserve">EXCLUDE_REVIEW</t>
        </is>
      </c>
      <c r="G135" s="0" t="inlineStr">
        <is>
          <t xml:space="preserve">BC</t>
        </is>
      </c>
      <c r="H135" s="5">
        <v>0</v>
      </c>
      <c r="I135" s="5">
        <v>0</v>
      </c>
      <c r="J135" s="5">
        <v>1</v>
      </c>
      <c r="K135" s="5">
        <v>95.0</v>
      </c>
      <c r="L135" s="7">
        <v>0.0</v>
      </c>
      <c r="M135" s="7">
        <v>0.0</v>
      </c>
      <c r="N135" s="7">
        <v>1.0</v>
      </c>
      <c r="O135" s="7">
        <v>0.0</v>
      </c>
    </row>
    <row r="136" outlineLevel="1">
      <c r="B136" s="0" t="inlineStr">
        <is>
          <t xml:space="preserve">2023-11-17</t>
        </is>
      </c>
      <c r="C136" s="0" t="inlineStr">
        <is>
          <t xml:space="preserve">N00024-21-C-5408</t>
        </is>
      </c>
      <c r="D136" s="0" t="inlineStr">
        <is>
          <t xml:space="preserve">non_sub</t>
        </is>
      </c>
      <c r="E136" s="0" t="inlineStr">
        <is>
          <t xml:space="preserve">component_procurement</t>
        </is>
      </c>
      <c r="F136" s="0" t="inlineStr">
        <is>
          <t xml:space="preserve">INCLUDE_BC</t>
        </is>
      </c>
      <c r="G136" s="0" t="inlineStr">
        <is>
          <t xml:space="preserve">BC</t>
        </is>
      </c>
      <c r="H136" s="5">
        <v>0</v>
      </c>
      <c r="I136" s="5">
        <v>0</v>
      </c>
      <c r="J136" s="5">
        <v>1</v>
      </c>
      <c r="K136" s="5">
        <v>94.136532</v>
      </c>
      <c r="L136" s="7">
        <v>0.0</v>
      </c>
      <c r="M136" s="7">
        <v>0.0</v>
      </c>
      <c r="N136" s="7">
        <v>0.95</v>
      </c>
      <c r="O136" s="7">
        <v>0.0</v>
      </c>
    </row>
    <row r="137" outlineLevel="1">
      <c r="B137" s="0" t="inlineStr">
        <is>
          <t xml:space="preserve">2025-12-29</t>
        </is>
      </c>
      <c r="C137" s="0" t="inlineStr">
        <is>
          <t xml:space="preserve">N00024-23-C-5123</t>
        </is>
      </c>
      <c r="D137" s="0" t="inlineStr">
        <is>
          <t xml:space="preserve">non_sub</t>
        </is>
      </c>
      <c r="E137" s="0" t="inlineStr">
        <is>
          <t xml:space="preserve">sustainment_maintenance</t>
        </is>
      </c>
      <c r="F137" s="0" t="inlineStr">
        <is>
          <t xml:space="preserve">EXCLUDE_REVIEW</t>
        </is>
      </c>
      <c r="G137" s="0" t="inlineStr">
        <is>
          <t xml:space="preserve">BC</t>
        </is>
      </c>
      <c r="H137" s="5">
        <v>0</v>
      </c>
      <c r="I137" s="5">
        <v>0</v>
      </c>
      <c r="J137" s="5">
        <v>1</v>
      </c>
      <c r="K137" s="5">
        <v>92.783864</v>
      </c>
      <c r="L137" s="7">
        <v>0.0</v>
      </c>
      <c r="M137" s="7">
        <v>0.0</v>
      </c>
      <c r="N137" s="7">
        <v>0.0</v>
      </c>
      <c r="O137" s="7">
        <v>0.0</v>
      </c>
    </row>
    <row r="138" outlineLevel="1">
      <c r="B138" s="0" t="inlineStr">
        <is>
          <t xml:space="preserve">2025-01-21</t>
        </is>
      </c>
      <c r="C138" s="0" t="inlineStr">
        <is>
          <t xml:space="preserve">-</t>
        </is>
      </c>
      <c r="D138" s="0" t="inlineStr">
        <is>
          <t xml:space="preserve">non_sub</t>
        </is>
      </c>
      <c r="E138" s="0" t="inlineStr">
        <is>
          <t xml:space="preserve">fms</t>
        </is>
      </c>
      <c r="F138" s="0" t="inlineStr">
        <is>
          <t xml:space="preserve">EXCLUDE_REVIEW</t>
        </is>
      </c>
      <c r="G138" s="0" t="inlineStr">
        <is>
          <t xml:space="preserve">BC</t>
        </is>
      </c>
      <c r="H138" s="5">
        <v>0</v>
      </c>
      <c r="I138" s="5">
        <v>0</v>
      </c>
      <c r="J138" s="5">
        <v>1</v>
      </c>
      <c r="K138" s="5">
        <v>92.674215</v>
      </c>
      <c r="L138" s="7">
        <v>0.0</v>
      </c>
      <c r="M138" s="7">
        <v>0.0</v>
      </c>
      <c r="N138" s="7">
        <v>0.0</v>
      </c>
      <c r="O138" s="7">
        <v>0.0</v>
      </c>
    </row>
    <row r="139" outlineLevel="1">
      <c r="B139" s="0" t="inlineStr">
        <is>
          <t xml:space="preserve">2025-07-01</t>
        </is>
      </c>
      <c r="C139" s="0" t="inlineStr">
        <is>
          <t xml:space="preserve">N00024-23-C-5123</t>
        </is>
      </c>
      <c r="D139" s="0" t="inlineStr">
        <is>
          <t xml:space="preserve">non_sub</t>
        </is>
      </c>
      <c r="E139" s="0" t="inlineStr">
        <is>
          <t xml:space="preserve">sustainment_maintenance</t>
        </is>
      </c>
      <c r="F139" s="0" t="inlineStr">
        <is>
          <t xml:space="preserve">EXCLUDE_REVIEW</t>
        </is>
      </c>
      <c r="G139" s="0" t="inlineStr">
        <is>
          <t xml:space="preserve">BC</t>
        </is>
      </c>
      <c r="H139" s="5">
        <v>0</v>
      </c>
      <c r="I139" s="5">
        <v>0</v>
      </c>
      <c r="J139" s="5">
        <v>1</v>
      </c>
      <c r="K139" s="5">
        <v>92.188802</v>
      </c>
      <c r="L139" s="7">
        <v>0.0</v>
      </c>
      <c r="M139" s="7">
        <v>0.0</v>
      </c>
      <c r="N139" s="7">
        <v>0.0</v>
      </c>
      <c r="O139" s="7">
        <v>0.0</v>
      </c>
    </row>
    <row r="140" outlineLevel="1">
      <c r="B140" s="0" t="inlineStr">
        <is>
          <t xml:space="preserve">2024-02-02</t>
        </is>
      </c>
      <c r="C140" s="0" t="inlineStr">
        <is>
          <t xml:space="preserve">-</t>
        </is>
      </c>
      <c r="D140" s="0" t="inlineStr">
        <is>
          <t xml:space="preserve">non_sub</t>
        </is>
      </c>
      <c r="E140" s="0" t="inlineStr">
        <is>
          <t xml:space="preserve">other</t>
        </is>
      </c>
      <c r="F140" s="0" t="inlineStr">
        <is>
          <t xml:space="preserve">EXCLUDE_REVIEW</t>
        </is>
      </c>
      <c r="G140" s="0" t="inlineStr">
        <is>
          <t xml:space="preserve">BC</t>
        </is>
      </c>
      <c r="H140" s="5">
        <v>0</v>
      </c>
      <c r="I140" s="5">
        <v>0</v>
      </c>
      <c r="J140" s="5">
        <v>1</v>
      </c>
      <c r="K140" s="5">
        <v>92.032532</v>
      </c>
      <c r="L140" s="7">
        <v>0.0</v>
      </c>
      <c r="M140" s="7">
        <v>0.0</v>
      </c>
      <c r="N140" s="7">
        <v>1.0</v>
      </c>
      <c r="O140" s="7">
        <v>0.0</v>
      </c>
    </row>
    <row r="141" outlineLevel="1">
      <c r="B141" s="0" t="inlineStr">
        <is>
          <t xml:space="preserve">2025-12-01</t>
        </is>
      </c>
      <c r="C141" s="0" t="inlineStr">
        <is>
          <t xml:space="preserve">N00024-26-C-2100</t>
        </is>
      </c>
      <c r="D141" s="0" t="inlineStr">
        <is>
          <t xml:space="preserve">non_sub</t>
        </is>
      </c>
      <c r="E141" s="0" t="inlineStr">
        <is>
          <t xml:space="preserve">sustainment_maintenance</t>
        </is>
      </c>
      <c r="F141" s="0" t="inlineStr">
        <is>
          <t xml:space="preserve">EXCLUDE_REVIEW</t>
        </is>
      </c>
      <c r="G141" s="0" t="inlineStr">
        <is>
          <t xml:space="preserve">BC</t>
        </is>
      </c>
      <c r="H141" s="5">
        <v>0</v>
      </c>
      <c r="I141" s="5">
        <v>0</v>
      </c>
      <c r="J141" s="5">
        <v>1</v>
      </c>
      <c r="K141" s="5">
        <v>91.891302</v>
      </c>
      <c r="L141" s="7">
        <v>0.0</v>
      </c>
      <c r="M141" s="7">
        <v>0.96</v>
      </c>
      <c r="N141" s="7">
        <v>0.04</v>
      </c>
      <c r="O141" s="7">
        <v>0.0</v>
      </c>
    </row>
    <row r="142" outlineLevel="1">
      <c r="B142" s="0" t="inlineStr">
        <is>
          <t xml:space="preserve">2022-08-02</t>
        </is>
      </c>
      <c r="C142" s="0" t="inlineStr">
        <is>
          <t xml:space="preserve">-</t>
        </is>
      </c>
      <c r="D142" s="0" t="inlineStr">
        <is>
          <t xml:space="preserve">sub_other</t>
        </is>
      </c>
      <c r="E142" s="0" t="inlineStr">
        <is>
          <t xml:space="preserve">sustainment_maintenance</t>
        </is>
      </c>
      <c r="F142" s="0" t="inlineStr">
        <is>
          <t xml:space="preserve">EXCLUDE_REVIEW</t>
        </is>
      </c>
      <c r="G142" s="0" t="inlineStr">
        <is>
          <t xml:space="preserve">BC</t>
        </is>
      </c>
      <c r="H142" s="5">
        <v>0</v>
      </c>
      <c r="I142" s="5">
        <v>0</v>
      </c>
      <c r="J142" s="5">
        <v>1</v>
      </c>
      <c r="K142" s="5">
        <v>91.643011</v>
      </c>
      <c r="L142" s="7">
        <v>0.01</v>
      </c>
      <c r="M142" s="7">
        <v>0.9</v>
      </c>
      <c r="N142" s="7">
        <v>0.09</v>
      </c>
      <c r="O142" s="7">
        <v>0.0</v>
      </c>
    </row>
    <row r="143" outlineLevel="1">
      <c r="B143" s="0" t="inlineStr">
        <is>
          <t xml:space="preserve">2025-09-03</t>
        </is>
      </c>
      <c r="C143" s="0" t="inlineStr">
        <is>
          <t xml:space="preserve">N00024-25-F-6233</t>
        </is>
      </c>
      <c r="D143" s="0" t="inlineStr">
        <is>
          <t xml:space="preserve">sub_other</t>
        </is>
      </c>
      <c r="E143" s="0" t="inlineStr">
        <is>
          <t xml:space="preserve">construction</t>
        </is>
      </c>
      <c r="F143" s="0" t="inlineStr">
        <is>
          <t xml:space="preserve">INCLUDE_BC</t>
        </is>
      </c>
      <c r="G143" s="0" t="inlineStr">
        <is>
          <t xml:space="preserve">BC</t>
        </is>
      </c>
      <c r="H143" s="5">
        <v>0</v>
      </c>
      <c r="I143" s="5">
        <v>0</v>
      </c>
      <c r="J143" s="5">
        <v>1</v>
      </c>
      <c r="K143" s="5">
        <v>91.211004</v>
      </c>
      <c r="L143" s="7">
        <v>0.0</v>
      </c>
      <c r="M143" s="7">
        <v>0.0</v>
      </c>
      <c r="N143" s="7">
        <v>0.0</v>
      </c>
      <c r="O143" s="7">
        <v>0.0</v>
      </c>
    </row>
    <row r="144" outlineLevel="1">
      <c r="B144" s="0" t="inlineStr">
        <is>
          <t xml:space="preserve">2024-01-25</t>
        </is>
      </c>
      <c r="C144" s="0" t="inlineStr">
        <is>
          <t xml:space="preserve">N00024-23-C-5325</t>
        </is>
      </c>
      <c r="D144" s="0" t="inlineStr">
        <is>
          <t xml:space="preserve">non_sub</t>
        </is>
      </c>
      <c r="E144" s="0" t="inlineStr">
        <is>
          <t xml:space="preserve">fms</t>
        </is>
      </c>
      <c r="F144" s="0" t="inlineStr">
        <is>
          <t xml:space="preserve">EXCLUDE_REVIEW</t>
        </is>
      </c>
      <c r="G144" s="0" t="inlineStr">
        <is>
          <t xml:space="preserve">BC</t>
        </is>
      </c>
      <c r="H144" s="5">
        <v>0</v>
      </c>
      <c r="I144" s="5">
        <v>0</v>
      </c>
      <c r="J144" s="5">
        <v>1</v>
      </c>
      <c r="K144" s="5">
        <v>90.27148</v>
      </c>
      <c r="L144" s="7">
        <v>0.0</v>
      </c>
      <c r="M144" s="7">
        <v>0.0</v>
      </c>
      <c r="N144" s="7">
        <v>0.77</v>
      </c>
      <c r="O144" s="7">
        <v>0.0</v>
      </c>
    </row>
    <row r="145" outlineLevel="1">
      <c r="B145" s="0" t="inlineStr">
        <is>
          <t xml:space="preserve">2025-03-31</t>
        </is>
      </c>
      <c r="C145" s="0" t="inlineStr">
        <is>
          <t xml:space="preserve">-</t>
        </is>
      </c>
      <c r="D145" s="0" t="inlineStr">
        <is>
          <t xml:space="preserve">sub_other</t>
        </is>
      </c>
      <c r="E145" s="0" t="inlineStr">
        <is>
          <t xml:space="preserve">other</t>
        </is>
      </c>
      <c r="F145" s="0" t="inlineStr">
        <is>
          <t xml:space="preserve">EXCLUDE_REVIEW</t>
        </is>
      </c>
      <c r="G145" s="0" t="inlineStr">
        <is>
          <t xml:space="preserve">BC</t>
        </is>
      </c>
      <c r="H145" s="5">
        <v>0</v>
      </c>
      <c r="I145" s="5">
        <v>0</v>
      </c>
      <c r="J145" s="5">
        <v>1</v>
      </c>
      <c r="K145" s="5">
        <v>88.1</v>
      </c>
      <c r="L145" s="7">
        <v>0.0</v>
      </c>
      <c r="M145" s="7">
        <v>0.0</v>
      </c>
      <c r="N145" s="7">
        <v>0.0</v>
      </c>
      <c r="O145" s="7">
        <v>0.0</v>
      </c>
    </row>
    <row r="146" outlineLevel="1">
      <c r="B146" s="0" t="inlineStr">
        <is>
          <t xml:space="preserve">2022-09-30</t>
        </is>
      </c>
      <c r="C146" s="0" t="inlineStr">
        <is>
          <t xml:space="preserve">N00024-20-C-6117</t>
        </is>
      </c>
      <c r="D146" s="0" t="inlineStr">
        <is>
          <t xml:space="preserve">non_sub</t>
        </is>
      </c>
      <c r="E146" s="0" t="inlineStr">
        <is>
          <t xml:space="preserve">other</t>
        </is>
      </c>
      <c r="F146" s="0" t="inlineStr">
        <is>
          <t xml:space="preserve">EXCLUDE_REVIEW</t>
        </is>
      </c>
      <c r="G146" s="0" t="inlineStr">
        <is>
          <t xml:space="preserve">BC</t>
        </is>
      </c>
      <c r="H146" s="5">
        <v>0</v>
      </c>
      <c r="I146" s="5">
        <v>0</v>
      </c>
      <c r="J146" s="5">
        <v>1</v>
      </c>
      <c r="K146" s="5">
        <v>88.0</v>
      </c>
      <c r="L146" s="7">
        <v>0.0</v>
      </c>
      <c r="M146" s="7">
        <v>0.0</v>
      </c>
      <c r="N146" s="7">
        <v>1.0</v>
      </c>
      <c r="O146" s="7">
        <v>0.0</v>
      </c>
    </row>
    <row r="147" outlineLevel="1">
      <c r="B147" s="0" t="inlineStr">
        <is>
          <t xml:space="preserve">2025-09-03</t>
        </is>
      </c>
      <c r="C147" s="0" t="inlineStr">
        <is>
          <t xml:space="preserve">-</t>
        </is>
      </c>
      <c r="D147" s="0" t="inlineStr">
        <is>
          <t xml:space="preserve">sub_other</t>
        </is>
      </c>
      <c r="E147" s="0" t="inlineStr">
        <is>
          <t xml:space="preserve">facilities</t>
        </is>
      </c>
      <c r="F147" s="0" t="inlineStr">
        <is>
          <t xml:space="preserve">EXCLUDE_REVIEW</t>
        </is>
      </c>
      <c r="G147" s="0" t="inlineStr">
        <is>
          <t xml:space="preserve">BC</t>
        </is>
      </c>
      <c r="H147" s="5">
        <v>0</v>
      </c>
      <c r="I147" s="5">
        <v>0</v>
      </c>
      <c r="J147" s="5">
        <v>1</v>
      </c>
      <c r="K147" s="5">
        <v>87.83874</v>
      </c>
      <c r="L147" s="7">
        <v>0.0</v>
      </c>
      <c r="M147" s="7">
        <v>0.0</v>
      </c>
      <c r="N147" s="7">
        <v>0.0</v>
      </c>
      <c r="O147" s="7">
        <v>0.0</v>
      </c>
    </row>
    <row r="148" outlineLevel="1">
      <c r="B148" s="0" t="inlineStr">
        <is>
          <t xml:space="preserve">2025-08-26</t>
        </is>
      </c>
      <c r="C148" s="0" t="inlineStr">
        <is>
          <t xml:space="preserve">N00024-19-D-4114</t>
        </is>
      </c>
      <c r="D148" s="0" t="inlineStr">
        <is>
          <t xml:space="preserve">non_sub</t>
        </is>
      </c>
      <c r="E148" s="0" t="inlineStr">
        <is>
          <t xml:space="preserve">component_procurement</t>
        </is>
      </c>
      <c r="F148" s="0" t="inlineStr">
        <is>
          <t xml:space="preserve">INCLUDE_BC</t>
        </is>
      </c>
      <c r="G148" s="0" t="inlineStr">
        <is>
          <t xml:space="preserve">BC</t>
        </is>
      </c>
      <c r="H148" s="5">
        <v>0</v>
      </c>
      <c r="I148" s="5">
        <v>0</v>
      </c>
      <c r="J148" s="5">
        <v>1</v>
      </c>
      <c r="K148" s="5">
        <v>87.473958</v>
      </c>
      <c r="L148" s="7">
        <v>0.0</v>
      </c>
      <c r="M148" s="7">
        <v>0.0</v>
      </c>
      <c r="N148" s="7">
        <v>0.0</v>
      </c>
      <c r="O148" s="7">
        <v>0.0</v>
      </c>
    </row>
    <row r="149" outlineLevel="1">
      <c r="B149" s="0" t="inlineStr">
        <is>
          <t xml:space="preserve">2025-08-11</t>
        </is>
      </c>
      <c r="C149" s="0" t="inlineStr">
        <is>
          <t xml:space="preserve">-</t>
        </is>
      </c>
      <c r="D149" s="0" t="inlineStr">
        <is>
          <t xml:space="preserve">va</t>
        </is>
      </c>
      <c r="E149" s="0" t="inlineStr">
        <is>
          <t xml:space="preserve">component_procurement</t>
        </is>
      </c>
      <c r="F149" s="0" t="inlineStr">
        <is>
          <t xml:space="preserve">INCLUDE_BC</t>
        </is>
      </c>
      <c r="G149" s="0" t="inlineStr">
        <is>
          <t xml:space="preserve">BC</t>
        </is>
      </c>
      <c r="H149" s="5">
        <v>1</v>
      </c>
      <c r="I149" s="5">
        <v>0</v>
      </c>
      <c r="J149" s="5">
        <v>1</v>
      </c>
      <c r="K149" s="5">
        <v>86.0</v>
      </c>
      <c r="L149" s="7">
        <v>0.0</v>
      </c>
      <c r="M149" s="7">
        <v>0.0</v>
      </c>
      <c r="N149" s="7">
        <v>0.0</v>
      </c>
      <c r="O149" s="7">
        <v>0.0</v>
      </c>
    </row>
    <row r="150" outlineLevel="1">
      <c r="B150" s="0" t="inlineStr">
        <is>
          <t xml:space="preserve">2023-09-29</t>
        </is>
      </c>
      <c r="C150" s="0" t="inlineStr">
        <is>
          <t xml:space="preserve">N00024-23-C-5408</t>
        </is>
      </c>
      <c r="D150" s="0" t="inlineStr">
        <is>
          <t xml:space="preserve">non_sub</t>
        </is>
      </c>
      <c r="E150" s="0" t="inlineStr">
        <is>
          <t xml:space="preserve">other</t>
        </is>
      </c>
      <c r="F150" s="0" t="inlineStr">
        <is>
          <t xml:space="preserve">EXCLUDE_REVIEW</t>
        </is>
      </c>
      <c r="G150" s="0" t="inlineStr">
        <is>
          <t xml:space="preserve">BC</t>
        </is>
      </c>
      <c r="H150" s="5">
        <v>0</v>
      </c>
      <c r="I150" s="5">
        <v>0</v>
      </c>
      <c r="J150" s="5">
        <v>1</v>
      </c>
      <c r="K150" s="5">
        <v>85.663955</v>
      </c>
      <c r="L150" s="7">
        <v>0.0</v>
      </c>
      <c r="M150" s="7">
        <v>0.0</v>
      </c>
      <c r="N150" s="7">
        <v>0.85</v>
      </c>
      <c r="O150" s="7">
        <v>0.0</v>
      </c>
    </row>
    <row r="151" outlineLevel="1">
      <c r="B151" s="0" t="inlineStr">
        <is>
          <t xml:space="preserve">2024-12-13</t>
        </is>
      </c>
      <c r="C151" s="0" t="inlineStr">
        <is>
          <t xml:space="preserve">N00024-25-C-4127</t>
        </is>
      </c>
      <c r="D151" s="0" t="inlineStr">
        <is>
          <t xml:space="preserve">non_sub</t>
        </is>
      </c>
      <c r="E151" s="0" t="inlineStr">
        <is>
          <t xml:space="preserve">other</t>
        </is>
      </c>
      <c r="F151" s="0" t="inlineStr">
        <is>
          <t xml:space="preserve">EXCLUDE_REVIEW</t>
        </is>
      </c>
      <c r="G151" s="0" t="inlineStr">
        <is>
          <t xml:space="preserve">BC</t>
        </is>
      </c>
      <c r="H151" s="5">
        <v>0</v>
      </c>
      <c r="I151" s="5">
        <v>0</v>
      </c>
      <c r="J151" s="5">
        <v>1</v>
      </c>
      <c r="K151" s="5">
        <v>83.779202</v>
      </c>
      <c r="L151" s="7">
        <v>0.0</v>
      </c>
      <c r="M151" s="7">
        <v>0.0</v>
      </c>
      <c r="N151" s="7">
        <v>1.0</v>
      </c>
      <c r="O151" s="7">
        <v>0.0</v>
      </c>
    </row>
    <row r="152" outlineLevel="1">
      <c r="B152" s="0" t="inlineStr">
        <is>
          <t xml:space="preserve">2025-01-08</t>
        </is>
      </c>
      <c r="C152" s="0" t="inlineStr">
        <is>
          <t xml:space="preserve">-</t>
        </is>
      </c>
      <c r="D152" s="0" t="inlineStr">
        <is>
          <t xml:space="preserve">va</t>
        </is>
      </c>
      <c r="E152" s="0" t="inlineStr">
        <is>
          <t xml:space="preserve">repair_overhaul</t>
        </is>
      </c>
      <c r="F152" s="0" t="inlineStr">
        <is>
          <t xml:space="preserve">EXCLUDE_REVIEW</t>
        </is>
      </c>
      <c r="G152" s="0" t="inlineStr">
        <is>
          <t xml:space="preserve">BC</t>
        </is>
      </c>
      <c r="H152" s="5">
        <v>0</v>
      </c>
      <c r="I152" s="5">
        <v>0</v>
      </c>
      <c r="J152" s="5">
        <v>1</v>
      </c>
      <c r="K152" s="5">
        <v>83.729655</v>
      </c>
      <c r="L152" s="7">
        <v>0.0</v>
      </c>
      <c r="M152" s="7">
        <v>0.0</v>
      </c>
      <c r="N152" s="7">
        <v>0.0</v>
      </c>
      <c r="O152" s="7">
        <v>0.0</v>
      </c>
    </row>
    <row r="153" outlineLevel="1">
      <c r="B153" s="0" t="inlineStr">
        <is>
          <t xml:space="preserve">2026-04-03</t>
        </is>
      </c>
      <c r="C153" s="0" t="inlineStr">
        <is>
          <t xml:space="preserve">N00024-25-C-4229</t>
        </is>
      </c>
      <c r="D153" s="0" t="inlineStr">
        <is>
          <t xml:space="preserve">non_sub</t>
        </is>
      </c>
      <c r="E153" s="0" t="inlineStr">
        <is>
          <t xml:space="preserve">lead_yard</t>
        </is>
      </c>
      <c r="F153" s="0" t="inlineStr">
        <is>
          <t xml:space="preserve">EXCLUDE_REVIEW</t>
        </is>
      </c>
      <c r="G153" s="0" t="inlineStr">
        <is>
          <t xml:space="preserve">BC</t>
        </is>
      </c>
      <c r="H153" s="5">
        <v>0</v>
      </c>
      <c r="I153" s="5">
        <v>0</v>
      </c>
      <c r="J153" s="5">
        <v>1</v>
      </c>
      <c r="K153" s="5">
        <v>83.623165</v>
      </c>
      <c r="L153" s="7">
        <v>0.0</v>
      </c>
      <c r="M153" s="7">
        <v>0.0</v>
      </c>
      <c r="N153" s="7">
        <v>0.99</v>
      </c>
      <c r="O153" s="7">
        <v>0.0</v>
      </c>
    </row>
    <row r="154" outlineLevel="1">
      <c r="B154" s="0" t="inlineStr">
        <is>
          <t xml:space="preserve">2025-01-14</t>
        </is>
      </c>
      <c r="C154" s="0" t="inlineStr">
        <is>
          <t xml:space="preserve">N00024-24-C-5131</t>
        </is>
      </c>
      <c r="D154" s="0" t="inlineStr">
        <is>
          <t xml:space="preserve">non_sub</t>
        </is>
      </c>
      <c r="E154" s="0" t="inlineStr">
        <is>
          <t xml:space="preserve">fms</t>
        </is>
      </c>
      <c r="F154" s="0" t="inlineStr">
        <is>
          <t xml:space="preserve">EXCLUDE_REVIEW</t>
        </is>
      </c>
      <c r="G154" s="0" t="inlineStr">
        <is>
          <t xml:space="preserve">BC</t>
        </is>
      </c>
      <c r="H154" s="5">
        <v>0</v>
      </c>
      <c r="I154" s="5">
        <v>0</v>
      </c>
      <c r="J154" s="5">
        <v>1</v>
      </c>
      <c r="K154" s="5">
        <v>82.292467</v>
      </c>
      <c r="L154" s="7">
        <v>0.0</v>
      </c>
      <c r="M154" s="7">
        <v>0.0</v>
      </c>
      <c r="N154" s="7">
        <v>0.0</v>
      </c>
      <c r="O154" s="7">
        <v>0.0</v>
      </c>
    </row>
    <row r="155" outlineLevel="1">
      <c r="B155" s="0" t="inlineStr">
        <is>
          <t xml:space="preserve">2022-09-30</t>
        </is>
      </c>
      <c r="C155" s="0" t="inlineStr">
        <is>
          <t xml:space="preserve">N00024-18-C-2300</t>
        </is>
      </c>
      <c r="D155" s="0" t="inlineStr">
        <is>
          <t xml:space="preserve">non_sub</t>
        </is>
      </c>
      <c r="E155" s="0" t="inlineStr">
        <is>
          <t xml:space="preserve">other</t>
        </is>
      </c>
      <c r="F155" s="0" t="inlineStr">
        <is>
          <t xml:space="preserve">EXCLUDE_REVIEW</t>
        </is>
      </c>
      <c r="G155" s="0" t="inlineStr">
        <is>
          <t xml:space="preserve">BC</t>
        </is>
      </c>
      <c r="H155" s="5">
        <v>0</v>
      </c>
      <c r="I155" s="5">
        <v>0</v>
      </c>
      <c r="J155" s="5">
        <v>1</v>
      </c>
      <c r="K155" s="5">
        <v>81.613093</v>
      </c>
      <c r="L155" s="7">
        <v>0.0</v>
      </c>
      <c r="M155" s="7">
        <v>0.0</v>
      </c>
      <c r="N155" s="7">
        <v>1.0</v>
      </c>
      <c r="O155" s="7">
        <v>0.0</v>
      </c>
    </row>
    <row r="156" outlineLevel="1">
      <c r="B156" s="0" t="inlineStr">
        <is>
          <t xml:space="preserve">2025-05-02</t>
        </is>
      </c>
      <c r="C156" s="0" t="inlineStr">
        <is>
          <t xml:space="preserve">N00024-21-C-4205</t>
        </is>
      </c>
      <c r="D156" s="0" t="inlineStr">
        <is>
          <t xml:space="preserve">non_sub</t>
        </is>
      </c>
      <c r="E156" s="0" t="inlineStr">
        <is>
          <t xml:space="preserve">lead_yard</t>
        </is>
      </c>
      <c r="F156" s="0" t="inlineStr">
        <is>
          <t xml:space="preserve">EXCLUDE_REVIEW</t>
        </is>
      </c>
      <c r="G156" s="0" t="inlineStr">
        <is>
          <t xml:space="preserve">BC</t>
        </is>
      </c>
      <c r="H156" s="5">
        <v>0</v>
      </c>
      <c r="I156" s="5">
        <v>0</v>
      </c>
      <c r="J156" s="5">
        <v>1</v>
      </c>
      <c r="K156" s="5">
        <v>81.244469</v>
      </c>
      <c r="L156" s="7">
        <v>0.0</v>
      </c>
      <c r="M156" s="7">
        <v>0.0</v>
      </c>
      <c r="N156" s="7">
        <v>1.01</v>
      </c>
      <c r="O156" s="7">
        <v>0.0</v>
      </c>
    </row>
    <row r="157" outlineLevel="1">
      <c r="B157" s="0" t="inlineStr">
        <is>
          <t xml:space="preserve">2025-04-24</t>
        </is>
      </c>
      <c r="C157" s="0" t="inlineStr">
        <is>
          <t xml:space="preserve">N00024-19-C-4313</t>
        </is>
      </c>
      <c r="D157" s="0" t="inlineStr">
        <is>
          <t xml:space="preserve">non_sub</t>
        </is>
      </c>
      <c r="E157" s="0" t="inlineStr">
        <is>
          <t xml:space="preserve">lead_yard</t>
        </is>
      </c>
      <c r="F157" s="0" t="inlineStr">
        <is>
          <t xml:space="preserve">EXCLUDE_REVIEW</t>
        </is>
      </c>
      <c r="G157" s="0" t="inlineStr">
        <is>
          <t xml:space="preserve">BC</t>
        </is>
      </c>
      <c r="H157" s="5">
        <v>0</v>
      </c>
      <c r="I157" s="5">
        <v>0</v>
      </c>
      <c r="J157" s="5">
        <v>1</v>
      </c>
      <c r="K157" s="5">
        <v>80.739428</v>
      </c>
      <c r="L157" s="7">
        <v>0.0</v>
      </c>
      <c r="M157" s="7">
        <v>0.0</v>
      </c>
      <c r="N157" s="7">
        <v>1.0</v>
      </c>
      <c r="O157" s="7">
        <v>0.0</v>
      </c>
    </row>
    <row r="158" outlineLevel="1">
      <c r="B158" s="0" t="inlineStr">
        <is>
          <t xml:space="preserve">2024-02-29</t>
        </is>
      </c>
      <c r="C158" s="0" t="inlineStr">
        <is>
          <t xml:space="preserve">N00024-19-C-4313</t>
        </is>
      </c>
      <c r="D158" s="0" t="inlineStr">
        <is>
          <t xml:space="preserve">non_sub</t>
        </is>
      </c>
      <c r="E158" s="0" t="inlineStr">
        <is>
          <t xml:space="preserve">lead_yard</t>
        </is>
      </c>
      <c r="F158" s="0" t="inlineStr">
        <is>
          <t xml:space="preserve">EXCLUDE_REVIEW</t>
        </is>
      </c>
      <c r="G158" s="0" t="inlineStr">
        <is>
          <t xml:space="preserve">BC</t>
        </is>
      </c>
      <c r="H158" s="5">
        <v>0</v>
      </c>
      <c r="I158" s="5">
        <v>0</v>
      </c>
      <c r="J158" s="5">
        <v>1</v>
      </c>
      <c r="K158" s="5">
        <v>80.03898</v>
      </c>
      <c r="L158" s="7">
        <v>0.0</v>
      </c>
      <c r="M158" s="7">
        <v>0.0</v>
      </c>
      <c r="N158" s="7">
        <v>1.0</v>
      </c>
      <c r="O158" s="7">
        <v>0.0</v>
      </c>
    </row>
    <row r="159" outlineLevel="1">
      <c r="B159" s="0" t="inlineStr">
        <is>
          <t xml:space="preserve">2024-02-23</t>
        </is>
      </c>
      <c r="C159" s="0" t="inlineStr">
        <is>
          <t xml:space="preserve">-</t>
        </is>
      </c>
      <c r="D159" s="0" t="inlineStr">
        <is>
          <t xml:space="preserve">non_sub</t>
        </is>
      </c>
      <c r="E159" s="0" t="inlineStr">
        <is>
          <t xml:space="preserve">repair_overhaul</t>
        </is>
      </c>
      <c r="F159" s="0" t="inlineStr">
        <is>
          <t xml:space="preserve">EXCLUDE_REVIEW</t>
        </is>
      </c>
      <c r="G159" s="0" t="inlineStr">
        <is>
          <t xml:space="preserve">BC</t>
        </is>
      </c>
      <c r="H159" s="5">
        <v>0</v>
      </c>
      <c r="I159" s="5">
        <v>0</v>
      </c>
      <c r="J159" s="5">
        <v>1</v>
      </c>
      <c r="K159" s="5">
        <v>80.0</v>
      </c>
      <c r="L159" s="7">
        <v>0.0</v>
      </c>
      <c r="M159" s="7">
        <v>0.0</v>
      </c>
      <c r="N159" s="7">
        <v>0.0</v>
      </c>
      <c r="O159" s="7">
        <v>0.0</v>
      </c>
    </row>
    <row r="160" outlineLevel="1">
      <c r="B160" s="0" t="inlineStr">
        <is>
          <t xml:space="preserve">2024-10-21</t>
        </is>
      </c>
      <c r="C160" s="0" t="inlineStr">
        <is>
          <t xml:space="preserve">-</t>
        </is>
      </c>
      <c r="D160" s="0" t="inlineStr">
        <is>
          <t xml:space="preserve">non_sub</t>
        </is>
      </c>
      <c r="E160" s="0" t="inlineStr">
        <is>
          <t xml:space="preserve">other</t>
        </is>
      </c>
      <c r="F160" s="0" t="inlineStr">
        <is>
          <t xml:space="preserve">EXCLUDE_REVIEW</t>
        </is>
      </c>
      <c r="G160" s="0" t="inlineStr">
        <is>
          <t xml:space="preserve">BC</t>
        </is>
      </c>
      <c r="H160" s="5">
        <v>0</v>
      </c>
      <c r="I160" s="5">
        <v>0</v>
      </c>
      <c r="J160" s="5">
        <v>1</v>
      </c>
      <c r="K160" s="5">
        <v>79.324841</v>
      </c>
      <c r="L160" s="7">
        <v>0.0</v>
      </c>
      <c r="M160" s="7">
        <v>0.0</v>
      </c>
      <c r="N160" s="7">
        <v>1.0</v>
      </c>
      <c r="O160" s="7">
        <v>0.0</v>
      </c>
    </row>
    <row r="161" outlineLevel="1">
      <c r="B161" s="0" t="inlineStr">
        <is>
          <t xml:space="preserve">2022-11-01</t>
        </is>
      </c>
      <c r="C161" s="0" t="inlineStr">
        <is>
          <t xml:space="preserve">-</t>
        </is>
      </c>
      <c r="D161" s="0" t="inlineStr">
        <is>
          <t xml:space="preserve">non_sub</t>
        </is>
      </c>
      <c r="E161" s="0" t="inlineStr">
        <is>
          <t xml:space="preserve">sustainment_maintenance</t>
        </is>
      </c>
      <c r="F161" s="0" t="inlineStr">
        <is>
          <t xml:space="preserve">EXCLUDE_REVIEW</t>
        </is>
      </c>
      <c r="G161" s="0" t="inlineStr">
        <is>
          <t xml:space="preserve">BC</t>
        </is>
      </c>
      <c r="H161" s="5">
        <v>0</v>
      </c>
      <c r="I161" s="5">
        <v>0</v>
      </c>
      <c r="J161" s="5">
        <v>1</v>
      </c>
      <c r="K161" s="5">
        <v>78.945441</v>
      </c>
      <c r="L161" s="7">
        <v>0.0</v>
      </c>
      <c r="M161" s="7">
        <v>0.0</v>
      </c>
      <c r="N161" s="7">
        <v>0.55</v>
      </c>
      <c r="O161" s="7">
        <v>0.0</v>
      </c>
    </row>
    <row r="162" outlineLevel="1">
      <c r="B162" s="0" t="inlineStr">
        <is>
          <t xml:space="preserve">2024-07-12</t>
        </is>
      </c>
      <c r="C162" s="0" t="inlineStr">
        <is>
          <t xml:space="preserve">N00024-24-C-5324</t>
        </is>
      </c>
      <c r="D162" s="0" t="inlineStr">
        <is>
          <t xml:space="preserve">non_sub</t>
        </is>
      </c>
      <c r="E162" s="0" t="inlineStr">
        <is>
          <t xml:space="preserve">fms</t>
        </is>
      </c>
      <c r="F162" s="0" t="inlineStr">
        <is>
          <t xml:space="preserve">EXCLUDE_REVIEW</t>
        </is>
      </c>
      <c r="G162" s="0" t="inlineStr">
        <is>
          <t xml:space="preserve">BC</t>
        </is>
      </c>
      <c r="H162" s="5">
        <v>0</v>
      </c>
      <c r="I162" s="5">
        <v>0</v>
      </c>
      <c r="J162" s="5">
        <v>1</v>
      </c>
      <c r="K162" s="5">
        <v>78.845434</v>
      </c>
      <c r="L162" s="7">
        <v>0.0</v>
      </c>
      <c r="M162" s="7">
        <v>0.0</v>
      </c>
      <c r="N162" s="7">
        <v>1.0</v>
      </c>
      <c r="O162" s="7">
        <v>0.0</v>
      </c>
    </row>
    <row r="163" outlineLevel="1">
      <c r="B163" s="0" t="inlineStr">
        <is>
          <t xml:space="preserve">2025-06-30</t>
        </is>
      </c>
      <c r="C163" s="0" t="inlineStr">
        <is>
          <t xml:space="preserve">N00024-18-C-5218</t>
        </is>
      </c>
      <c r="D163" s="0" t="inlineStr">
        <is>
          <t xml:space="preserve">non_sub</t>
        </is>
      </c>
      <c r="E163" s="0" t="inlineStr">
        <is>
          <t xml:space="preserve">other</t>
        </is>
      </c>
      <c r="F163" s="0" t="inlineStr">
        <is>
          <t xml:space="preserve">EXCLUDE_REVIEW</t>
        </is>
      </c>
      <c r="G163" s="0" t="inlineStr">
        <is>
          <t xml:space="preserve">BC</t>
        </is>
      </c>
      <c r="H163" s="5">
        <v>0</v>
      </c>
      <c r="I163" s="5">
        <v>0</v>
      </c>
      <c r="J163" s="5">
        <v>1</v>
      </c>
      <c r="K163" s="5">
        <v>78.471591</v>
      </c>
      <c r="L163" s="7">
        <v>0.0</v>
      </c>
      <c r="M163" s="7">
        <v>0.0</v>
      </c>
      <c r="N163" s="7">
        <v>1.0</v>
      </c>
      <c r="O163" s="7">
        <v>0.0</v>
      </c>
    </row>
    <row r="164" outlineLevel="1">
      <c r="B164" s="0" t="inlineStr">
        <is>
          <t xml:space="preserve">2026-02-20</t>
        </is>
      </c>
      <c r="C164" s="0" t="inlineStr">
        <is>
          <t xml:space="preserve">N00024-26-C-5203</t>
        </is>
      </c>
      <c r="D164" s="0" t="inlineStr">
        <is>
          <t xml:space="preserve">non_sub</t>
        </is>
      </c>
      <c r="E164" s="0" t="inlineStr">
        <is>
          <t xml:space="preserve">fms</t>
        </is>
      </c>
      <c r="F164" s="0" t="inlineStr">
        <is>
          <t xml:space="preserve">EXCLUDE_REVIEW</t>
        </is>
      </c>
      <c r="G164" s="0" t="inlineStr">
        <is>
          <t xml:space="preserve">BC</t>
        </is>
      </c>
      <c r="H164" s="5">
        <v>0</v>
      </c>
      <c r="I164" s="5">
        <v>0</v>
      </c>
      <c r="J164" s="5">
        <v>1</v>
      </c>
      <c r="K164" s="5">
        <v>78.429802</v>
      </c>
      <c r="L164" s="7">
        <v>0.0</v>
      </c>
      <c r="M164" s="7">
        <v>0.0</v>
      </c>
      <c r="N164" s="7">
        <v>1.0</v>
      </c>
      <c r="O164" s="7">
        <v>0.0</v>
      </c>
    </row>
    <row r="165" outlineLevel="1">
      <c r="B165" s="0" t="inlineStr">
        <is>
          <t xml:space="preserve">2022-08-23</t>
        </is>
      </c>
      <c r="C165" s="0" t="inlineStr">
        <is>
          <t xml:space="preserve">-</t>
        </is>
      </c>
      <c r="D165" s="0" t="inlineStr">
        <is>
          <t xml:space="preserve">non_sub</t>
        </is>
      </c>
      <c r="E165" s="0" t="inlineStr">
        <is>
          <t xml:space="preserve">design</t>
        </is>
      </c>
      <c r="F165" s="0" t="inlineStr">
        <is>
          <t xml:space="preserve">EXCLUDE_REVIEW</t>
        </is>
      </c>
      <c r="G165" s="0" t="inlineStr">
        <is>
          <t xml:space="preserve">BC</t>
        </is>
      </c>
      <c r="H165" s="5">
        <v>0</v>
      </c>
      <c r="I165" s="5">
        <v>0</v>
      </c>
      <c r="J165" s="5">
        <v>1</v>
      </c>
      <c r="K165" s="5">
        <v>78.423685</v>
      </c>
      <c r="L165" s="7">
        <v>0.0</v>
      </c>
      <c r="M165" s="7">
        <v>0.0</v>
      </c>
      <c r="N165" s="7">
        <v>1.0</v>
      </c>
      <c r="O165" s="7">
        <v>0.0</v>
      </c>
    </row>
    <row r="166" outlineLevel="1">
      <c r="B166" s="0" t="inlineStr">
        <is>
          <t xml:space="preserve">2024-07-12</t>
        </is>
      </c>
      <c r="C166" s="0" t="inlineStr">
        <is>
          <t xml:space="preserve">-</t>
        </is>
      </c>
      <c r="D166" s="0" t="inlineStr">
        <is>
          <t xml:space="preserve">non_sub</t>
        </is>
      </c>
      <c r="E166" s="0" t="inlineStr">
        <is>
          <t xml:space="preserve">other</t>
        </is>
      </c>
      <c r="F166" s="0" t="inlineStr">
        <is>
          <t xml:space="preserve">EXCLUDE_REVIEW</t>
        </is>
      </c>
      <c r="G166" s="0" t="inlineStr">
        <is>
          <t xml:space="preserve">BC</t>
        </is>
      </c>
      <c r="H166" s="5">
        <v>0</v>
      </c>
      <c r="I166" s="5">
        <v>0</v>
      </c>
      <c r="J166" s="5">
        <v>1</v>
      </c>
      <c r="K166" s="5">
        <v>78.0</v>
      </c>
      <c r="L166" s="7">
        <v>0.0</v>
      </c>
      <c r="M166" s="7">
        <v>0.0</v>
      </c>
      <c r="N166" s="7">
        <v>0.0</v>
      </c>
      <c r="O166" s="7">
        <v>0.0</v>
      </c>
    </row>
    <row r="167" outlineLevel="1">
      <c r="B167" s="0" t="inlineStr">
        <is>
          <t xml:space="preserve">2024-09-27</t>
        </is>
      </c>
      <c r="C167" s="0" t="inlineStr">
        <is>
          <t xml:space="preserve">N00167-24-C-0014</t>
        </is>
      </c>
      <c r="D167" s="0" t="inlineStr">
        <is>
          <t xml:space="preserve">col</t>
        </is>
      </c>
      <c r="E167" s="0" t="inlineStr">
        <is>
          <t xml:space="preserve">fms</t>
        </is>
      </c>
      <c r="F167" s="0" t="inlineStr">
        <is>
          <t xml:space="preserve">EXCLUDE_REVIEW</t>
        </is>
      </c>
      <c r="G167" s="0" t="inlineStr">
        <is>
          <t xml:space="preserve">BC</t>
        </is>
      </c>
      <c r="H167" s="5">
        <v>0</v>
      </c>
      <c r="I167" s="5">
        <v>0</v>
      </c>
      <c r="J167" s="5">
        <v>1</v>
      </c>
      <c r="K167" s="5">
        <v>76.832622</v>
      </c>
      <c r="L167" s="7">
        <v>0.0</v>
      </c>
      <c r="M167" s="7">
        <v>0.0</v>
      </c>
      <c r="N167" s="7">
        <v>1.0</v>
      </c>
      <c r="O167" s="7">
        <v>0.0</v>
      </c>
    </row>
    <row r="168" outlineLevel="1">
      <c r="B168" s="0" t="inlineStr">
        <is>
          <t xml:space="preserve">2023-09-26</t>
        </is>
      </c>
      <c r="C168" s="0" t="inlineStr">
        <is>
          <t xml:space="preserve">-</t>
        </is>
      </c>
      <c r="D168" s="0" t="inlineStr">
        <is>
          <t xml:space="preserve">non_sub</t>
        </is>
      </c>
      <c r="E168" s="0" t="inlineStr">
        <is>
          <t xml:space="preserve">fms</t>
        </is>
      </c>
      <c r="F168" s="0" t="inlineStr">
        <is>
          <t xml:space="preserve">EXCLUDE_REVIEW</t>
        </is>
      </c>
      <c r="G168" s="0" t="inlineStr">
        <is>
          <t xml:space="preserve">BC</t>
        </is>
      </c>
      <c r="H168" s="5">
        <v>0</v>
      </c>
      <c r="I168" s="5">
        <v>0</v>
      </c>
      <c r="J168" s="5">
        <v>1</v>
      </c>
      <c r="K168" s="5">
        <v>76.390495</v>
      </c>
      <c r="L168" s="7">
        <v>0.0</v>
      </c>
      <c r="M168" s="7">
        <v>0.0</v>
      </c>
      <c r="N168" s="7">
        <v>1.0</v>
      </c>
      <c r="O168" s="7">
        <v>0.0</v>
      </c>
    </row>
    <row r="169" outlineLevel="1">
      <c r="B169" s="0" t="inlineStr">
        <is>
          <t xml:space="preserve">2023-02-16</t>
        </is>
      </c>
      <c r="C169" s="0" t="inlineStr">
        <is>
          <t xml:space="preserve">N62742-22-D-1313</t>
        </is>
      </c>
      <c r="D169" s="0" t="inlineStr">
        <is>
          <t xml:space="preserve">sub_other</t>
        </is>
      </c>
      <c r="E169" s="0" t="inlineStr">
        <is>
          <t xml:space="preserve">other</t>
        </is>
      </c>
      <c r="F169" s="0" t="inlineStr">
        <is>
          <t xml:space="preserve">EXCLUDE_REVIEW</t>
        </is>
      </c>
      <c r="G169" s="0" t="inlineStr">
        <is>
          <t xml:space="preserve">BC</t>
        </is>
      </c>
      <c r="H169" s="5">
        <v>0</v>
      </c>
      <c r="I169" s="5">
        <v>0</v>
      </c>
      <c r="J169" s="5">
        <v>1</v>
      </c>
      <c r="K169" s="5">
        <v>76.35</v>
      </c>
      <c r="L169" s="7">
        <v>0.0</v>
      </c>
      <c r="M169" s="7">
        <v>0.0</v>
      </c>
      <c r="N169" s="7">
        <v>0.0</v>
      </c>
      <c r="O169" s="7">
        <v>0.0</v>
      </c>
    </row>
    <row r="170" outlineLevel="1">
      <c r="B170" s="0" t="inlineStr">
        <is>
          <t xml:space="preserve">2026-05-08</t>
        </is>
      </c>
      <c r="C170" s="0" t="inlineStr">
        <is>
          <t xml:space="preserve">N00024-23-C-5117</t>
        </is>
      </c>
      <c r="D170" s="0" t="inlineStr">
        <is>
          <t xml:space="preserve">non_sub</t>
        </is>
      </c>
      <c r="E170" s="0" t="inlineStr">
        <is>
          <t xml:space="preserve">other</t>
        </is>
      </c>
      <c r="F170" s="0" t="inlineStr">
        <is>
          <t xml:space="preserve">EXCLUDE_REVIEW</t>
        </is>
      </c>
      <c r="G170" s="0" t="inlineStr">
        <is>
          <t xml:space="preserve">BC</t>
        </is>
      </c>
      <c r="H170" s="5">
        <v>0</v>
      </c>
      <c r="I170" s="5">
        <v>0</v>
      </c>
      <c r="J170" s="5">
        <v>1</v>
      </c>
      <c r="K170" s="5">
        <v>75.645678</v>
      </c>
      <c r="L170" s="7">
        <v>0.0</v>
      </c>
      <c r="M170" s="7">
        <v>0.0</v>
      </c>
      <c r="N170" s="7">
        <v>1.0</v>
      </c>
      <c r="O170" s="7">
        <v>0.0</v>
      </c>
    </row>
    <row r="171" outlineLevel="1">
      <c r="B171" s="0" t="inlineStr">
        <is>
          <t xml:space="preserve">2025-02-03</t>
        </is>
      </c>
      <c r="C171" s="0" t="inlineStr">
        <is>
          <t xml:space="preserve">-</t>
        </is>
      </c>
      <c r="D171" s="0" t="inlineStr">
        <is>
          <t xml:space="preserve">non_sub</t>
        </is>
      </c>
      <c r="E171" s="0" t="inlineStr">
        <is>
          <t xml:space="preserve">fms</t>
        </is>
      </c>
      <c r="F171" s="0" t="inlineStr">
        <is>
          <t xml:space="preserve">EXCLUDE_REVIEW</t>
        </is>
      </c>
      <c r="G171" s="0" t="inlineStr">
        <is>
          <t xml:space="preserve">BC</t>
        </is>
      </c>
      <c r="H171" s="5">
        <v>0</v>
      </c>
      <c r="I171" s="5">
        <v>0</v>
      </c>
      <c r="J171" s="5">
        <v>1</v>
      </c>
      <c r="K171" s="5">
        <v>75.125477</v>
      </c>
      <c r="L171" s="7">
        <v>0.0</v>
      </c>
      <c r="M171" s="7">
        <v>0.0</v>
      </c>
      <c r="N171" s="7">
        <v>0.0</v>
      </c>
      <c r="O171" s="7">
        <v>0.0</v>
      </c>
    </row>
    <row r="172" outlineLevel="1">
      <c r="B172" s="0" t="inlineStr">
        <is>
          <t xml:space="preserve">2025-02-03</t>
        </is>
      </c>
      <c r="C172" s="0" t="inlineStr">
        <is>
          <t xml:space="preserve">-</t>
        </is>
      </c>
      <c r="D172" s="0" t="inlineStr">
        <is>
          <t xml:space="preserve">non_sub</t>
        </is>
      </c>
      <c r="E172" s="0" t="inlineStr">
        <is>
          <t xml:space="preserve">sustainment_maintenance</t>
        </is>
      </c>
      <c r="F172" s="0" t="inlineStr">
        <is>
          <t xml:space="preserve">EXCLUDE_REVIEW</t>
        </is>
      </c>
      <c r="G172" s="0" t="inlineStr">
        <is>
          <t xml:space="preserve">BC</t>
        </is>
      </c>
      <c r="H172" s="5">
        <v>0</v>
      </c>
      <c r="I172" s="5">
        <v>0</v>
      </c>
      <c r="J172" s="5">
        <v>1</v>
      </c>
      <c r="K172" s="5">
        <v>74.868772</v>
      </c>
      <c r="L172" s="7">
        <v>0.0</v>
      </c>
      <c r="M172" s="7">
        <v>0.0</v>
      </c>
      <c r="N172" s="7">
        <v>0.0</v>
      </c>
      <c r="O172" s="7">
        <v>0.0</v>
      </c>
    </row>
    <row r="173" outlineLevel="1">
      <c r="B173" s="0" t="inlineStr">
        <is>
          <t xml:space="preserve">2025-07-10</t>
        </is>
      </c>
      <c r="C173" s="0" t="inlineStr">
        <is>
          <t xml:space="preserve">N00024-21-C-5401</t>
        </is>
      </c>
      <c r="D173" s="0" t="inlineStr">
        <is>
          <t xml:space="preserve">non_sub</t>
        </is>
      </c>
      <c r="E173" s="0" t="inlineStr">
        <is>
          <t xml:space="preserve">other</t>
        </is>
      </c>
      <c r="F173" s="0" t="inlineStr">
        <is>
          <t xml:space="preserve">EXCLUDE_REVIEW</t>
        </is>
      </c>
      <c r="G173" s="0" t="inlineStr">
        <is>
          <t xml:space="preserve">BC</t>
        </is>
      </c>
      <c r="H173" s="5">
        <v>0</v>
      </c>
      <c r="I173" s="5">
        <v>0</v>
      </c>
      <c r="J173" s="5">
        <v>1</v>
      </c>
      <c r="K173" s="5">
        <v>74.012074</v>
      </c>
      <c r="L173" s="7">
        <v>0.0</v>
      </c>
      <c r="M173" s="7">
        <v>0.0</v>
      </c>
      <c r="N173" s="7">
        <v>0.91</v>
      </c>
      <c r="O173" s="7">
        <v>0.0</v>
      </c>
    </row>
    <row r="174" outlineLevel="1">
      <c r="B174" s="0" t="inlineStr">
        <is>
          <t xml:space="preserve">2026-02-13</t>
        </is>
      </c>
      <c r="C174" s="0" t="inlineStr">
        <is>
          <t xml:space="preserve">-</t>
        </is>
      </c>
      <c r="D174" s="0" t="inlineStr">
        <is>
          <t xml:space="preserve">sub_other</t>
        </is>
      </c>
      <c r="E174" s="0" t="inlineStr">
        <is>
          <t xml:space="preserve">sustainment_maintenance</t>
        </is>
      </c>
      <c r="F174" s="0" t="inlineStr">
        <is>
          <t xml:space="preserve">EXCLUDE_REVIEW</t>
        </is>
      </c>
      <c r="G174" s="0" t="inlineStr">
        <is>
          <t xml:space="preserve">BC</t>
        </is>
      </c>
      <c r="H174" s="5">
        <v>0</v>
      </c>
      <c r="I174" s="5">
        <v>0</v>
      </c>
      <c r="J174" s="5">
        <v>1</v>
      </c>
      <c r="K174" s="5">
        <v>73.424356</v>
      </c>
      <c r="L174" s="7">
        <v>0.0</v>
      </c>
      <c r="M174" s="7">
        <v>0.0</v>
      </c>
      <c r="N174" s="7">
        <v>0.0</v>
      </c>
      <c r="O174" s="7">
        <v>0.0</v>
      </c>
    </row>
    <row r="175" outlineLevel="1">
      <c r="B175" s="0" t="inlineStr">
        <is>
          <t xml:space="preserve">2023-04-10</t>
        </is>
      </c>
      <c r="C175" s="0" t="inlineStr">
        <is>
          <t xml:space="preserve">-</t>
        </is>
      </c>
      <c r="D175" s="0" t="inlineStr">
        <is>
          <t xml:space="preserve">sub_other</t>
        </is>
      </c>
      <c r="E175" s="0" t="inlineStr">
        <is>
          <t xml:space="preserve">sustainment_maintenance</t>
        </is>
      </c>
      <c r="F175" s="0" t="inlineStr">
        <is>
          <t xml:space="preserve">EXCLUDE_REVIEW</t>
        </is>
      </c>
      <c r="G175" s="0" t="inlineStr">
        <is>
          <t xml:space="preserve">BC</t>
        </is>
      </c>
      <c r="H175" s="5">
        <v>0</v>
      </c>
      <c r="I175" s="5">
        <v>0</v>
      </c>
      <c r="J175" s="5">
        <v>1</v>
      </c>
      <c r="K175" s="5">
        <v>73.117937</v>
      </c>
      <c r="L175" s="7">
        <v>0.0</v>
      </c>
      <c r="M175" s="7">
        <v>0.0</v>
      </c>
      <c r="N175" s="7">
        <v>0.0</v>
      </c>
      <c r="O175" s="7">
        <v>0.0</v>
      </c>
    </row>
    <row r="176" outlineLevel="1">
      <c r="B176" s="0" t="inlineStr">
        <is>
          <t xml:space="preserve">2024-12-13</t>
        </is>
      </c>
      <c r="C176" s="0" t="inlineStr">
        <is>
          <t xml:space="preserve">-</t>
        </is>
      </c>
      <c r="D176" s="0" t="inlineStr">
        <is>
          <t xml:space="preserve">non_sub</t>
        </is>
      </c>
      <c r="E176" s="0" t="inlineStr">
        <is>
          <t xml:space="preserve">other</t>
        </is>
      </c>
      <c r="F176" s="0" t="inlineStr">
        <is>
          <t xml:space="preserve">EXCLUDE_REVIEW</t>
        </is>
      </c>
      <c r="G176" s="0" t="inlineStr">
        <is>
          <t xml:space="preserve">BC</t>
        </is>
      </c>
      <c r="H176" s="5">
        <v>0</v>
      </c>
      <c r="I176" s="5">
        <v>0</v>
      </c>
      <c r="J176" s="5">
        <v>1</v>
      </c>
      <c r="K176" s="5">
        <v>73.102951</v>
      </c>
      <c r="L176" s="7">
        <v>0.0</v>
      </c>
      <c r="M176" s="7">
        <v>0.0</v>
      </c>
      <c r="N176" s="7">
        <v>0.77</v>
      </c>
      <c r="O176" s="7">
        <v>0.0</v>
      </c>
    </row>
    <row r="177" outlineLevel="1">
      <c r="B177" s="0" t="inlineStr">
        <is>
          <t xml:space="preserve">2025-06-30</t>
        </is>
      </c>
      <c r="C177" s="0" t="inlineStr">
        <is>
          <t xml:space="preserve">N00024-22-C-2505</t>
        </is>
      </c>
      <c r="D177" s="0" t="inlineStr">
        <is>
          <t xml:space="preserve">sub_other</t>
        </is>
      </c>
      <c r="E177" s="0" t="inlineStr">
        <is>
          <t xml:space="preserve">other</t>
        </is>
      </c>
      <c r="F177" s="0" t="inlineStr">
        <is>
          <t xml:space="preserve">EXCLUDE_REVIEW</t>
        </is>
      </c>
      <c r="G177" s="0" t="inlineStr">
        <is>
          <t xml:space="preserve">BC</t>
        </is>
      </c>
      <c r="H177" s="5">
        <v>0</v>
      </c>
      <c r="I177" s="5">
        <v>0</v>
      </c>
      <c r="J177" s="5">
        <v>1</v>
      </c>
      <c r="K177" s="5">
        <v>72.657743</v>
      </c>
      <c r="L177" s="7">
        <v>0.0</v>
      </c>
      <c r="M177" s="7">
        <v>0.0</v>
      </c>
      <c r="N177" s="7">
        <v>0.99</v>
      </c>
      <c r="O177" s="7">
        <v>0.0</v>
      </c>
    </row>
    <row r="178" outlineLevel="1">
      <c r="B178" s="0" t="inlineStr">
        <is>
          <t xml:space="preserve">2023-01-18</t>
        </is>
      </c>
      <c r="C178" s="0" t="inlineStr">
        <is>
          <t xml:space="preserve">N00167-23-D-0004</t>
        </is>
      </c>
      <c r="D178" s="0" t="inlineStr">
        <is>
          <t xml:space="preserve">col</t>
        </is>
      </c>
      <c r="E178" s="0" t="inlineStr">
        <is>
          <t xml:space="preserve">other</t>
        </is>
      </c>
      <c r="F178" s="0" t="inlineStr">
        <is>
          <t xml:space="preserve">EXCLUDE_REVIEW</t>
        </is>
      </c>
      <c r="G178" s="0" t="inlineStr">
        <is>
          <t xml:space="preserve">BC</t>
        </is>
      </c>
      <c r="H178" s="5">
        <v>0</v>
      </c>
      <c r="I178" s="5">
        <v>0</v>
      </c>
      <c r="J178" s="5">
        <v>1</v>
      </c>
      <c r="K178" s="5">
        <v>71.909045</v>
      </c>
      <c r="L178" s="7">
        <v>0.0</v>
      </c>
      <c r="M178" s="7">
        <v>0.0</v>
      </c>
      <c r="N178" s="7">
        <v>1.0</v>
      </c>
      <c r="O178" s="7">
        <v>0.0</v>
      </c>
    </row>
    <row r="179" outlineLevel="1">
      <c r="B179" s="0" t="inlineStr">
        <is>
          <t xml:space="preserve">2023-12-22</t>
        </is>
      </c>
      <c r="C179" s="0" t="inlineStr">
        <is>
          <t xml:space="preserve">-</t>
        </is>
      </c>
      <c r="D179" s="0" t="inlineStr">
        <is>
          <t xml:space="preserve">va</t>
        </is>
      </c>
      <c r="E179" s="0" t="inlineStr">
        <is>
          <t xml:space="preserve">lead_yard</t>
        </is>
      </c>
      <c r="F179" s="0" t="inlineStr">
        <is>
          <t xml:space="preserve">EXCLUDE_REVIEW</t>
        </is>
      </c>
      <c r="G179" s="0" t="inlineStr">
        <is>
          <t xml:space="preserve">BC</t>
        </is>
      </c>
      <c r="H179" s="5">
        <v>0</v>
      </c>
      <c r="I179" s="5">
        <v>0</v>
      </c>
      <c r="J179" s="5">
        <v>1</v>
      </c>
      <c r="K179" s="5">
        <v>71.425061</v>
      </c>
      <c r="L179" s="7">
        <v>0.0</v>
      </c>
      <c r="M179" s="7">
        <v>0.0</v>
      </c>
      <c r="N179" s="7">
        <v>0.0</v>
      </c>
      <c r="O179" s="7">
        <v>0.0</v>
      </c>
    </row>
    <row r="180" outlineLevel="1">
      <c r="B180" s="0" t="inlineStr">
        <is>
          <t xml:space="preserve">2025-01-08</t>
        </is>
      </c>
      <c r="C180" s="0" t="inlineStr">
        <is>
          <t xml:space="preserve">N00024-18-C-5218</t>
        </is>
      </c>
      <c r="D180" s="0" t="inlineStr">
        <is>
          <t xml:space="preserve">non_sub</t>
        </is>
      </c>
      <c r="E180" s="0" t="inlineStr">
        <is>
          <t xml:space="preserve">fms</t>
        </is>
      </c>
      <c r="F180" s="0" t="inlineStr">
        <is>
          <t xml:space="preserve">EXCLUDE_REVIEW</t>
        </is>
      </c>
      <c r="G180" s="0" t="inlineStr">
        <is>
          <t xml:space="preserve">BC</t>
        </is>
      </c>
      <c r="H180" s="5">
        <v>0</v>
      </c>
      <c r="I180" s="5">
        <v>0</v>
      </c>
      <c r="J180" s="5">
        <v>1</v>
      </c>
      <c r="K180" s="5">
        <v>70.971132</v>
      </c>
      <c r="L180" s="7">
        <v>0.0</v>
      </c>
      <c r="M180" s="7">
        <v>0.0</v>
      </c>
      <c r="N180" s="7">
        <v>1.0</v>
      </c>
      <c r="O180" s="7">
        <v>0.0</v>
      </c>
    </row>
    <row r="181" outlineLevel="1">
      <c r="B181" s="0" t="inlineStr">
        <is>
          <t xml:space="preserve">2026-02-06</t>
        </is>
      </c>
      <c r="C181" s="0" t="inlineStr">
        <is>
          <t xml:space="preserve">N00024-24-C-2112</t>
        </is>
      </c>
      <c r="D181" s="0" t="inlineStr">
        <is>
          <t xml:space="preserve">bpmi_nuclear</t>
        </is>
      </c>
      <c r="E181" s="0" t="inlineStr">
        <is>
          <t xml:space="preserve">component_procurement</t>
        </is>
      </c>
      <c r="F181" s="0" t="inlineStr">
        <is>
          <t xml:space="preserve">EXCLUDE_GFE_NUCLEAR</t>
        </is>
      </c>
      <c r="G181" s="0" t="inlineStr">
        <is>
          <t xml:space="preserve">BC</t>
        </is>
      </c>
      <c r="H181" s="5">
        <v>1</v>
      </c>
      <c r="I181" s="5">
        <v>1</v>
      </c>
      <c r="J181" s="5">
        <v>1</v>
      </c>
      <c r="K181" s="5">
        <v>69.235114</v>
      </c>
      <c r="L181" s="7">
        <v>0.0</v>
      </c>
      <c r="M181" s="7">
        <v>0.0</v>
      </c>
      <c r="N181" s="7">
        <v>1.0</v>
      </c>
      <c r="O181" s="7">
        <v>0.0</v>
      </c>
    </row>
    <row r="182" outlineLevel="1">
      <c r="B182" s="0" t="inlineStr">
        <is>
          <t xml:space="preserve">2025-11-20</t>
        </is>
      </c>
      <c r="C182" s="0" t="inlineStr">
        <is>
          <t xml:space="preserve">N00024-25-C-6108</t>
        </is>
      </c>
      <c r="D182" s="0" t="inlineStr">
        <is>
          <t xml:space="preserve">sub_other</t>
        </is>
      </c>
      <c r="E182" s="0" t="inlineStr">
        <is>
          <t xml:space="preserve">other</t>
        </is>
      </c>
      <c r="F182" s="0" t="inlineStr">
        <is>
          <t xml:space="preserve">EXCLUDE_REVIEW</t>
        </is>
      </c>
      <c r="G182" s="0" t="inlineStr">
        <is>
          <t xml:space="preserve">BC</t>
        </is>
      </c>
      <c r="H182" s="5">
        <v>0</v>
      </c>
      <c r="I182" s="5">
        <v>0</v>
      </c>
      <c r="J182" s="5">
        <v>1</v>
      </c>
      <c r="K182" s="5">
        <v>68.711261</v>
      </c>
      <c r="L182" s="7">
        <v>0.0</v>
      </c>
      <c r="M182" s="7">
        <v>0.0</v>
      </c>
      <c r="N182" s="7">
        <v>0.8</v>
      </c>
      <c r="O182" s="7">
        <v>0.0</v>
      </c>
    </row>
    <row r="183" outlineLevel="1">
      <c r="B183" s="0" t="inlineStr">
        <is>
          <t xml:space="preserve">2025-07-29</t>
        </is>
      </c>
      <c r="C183" s="0" t="inlineStr">
        <is>
          <t xml:space="preserve">-</t>
        </is>
      </c>
      <c r="D183" s="0" t="inlineStr">
        <is>
          <t xml:space="preserve">non_sub</t>
        </is>
      </c>
      <c r="E183" s="0" t="inlineStr">
        <is>
          <t xml:space="preserve">other</t>
        </is>
      </c>
      <c r="F183" s="0" t="inlineStr">
        <is>
          <t xml:space="preserve">EXCLUDE_REVIEW</t>
        </is>
      </c>
      <c r="G183" s="0" t="inlineStr">
        <is>
          <t xml:space="preserve">BC</t>
        </is>
      </c>
      <c r="H183" s="5">
        <v>0</v>
      </c>
      <c r="I183" s="5">
        <v>0</v>
      </c>
      <c r="J183" s="5">
        <v>1</v>
      </c>
      <c r="K183" s="5">
        <v>67.55</v>
      </c>
      <c r="L183" s="7">
        <v>0.0</v>
      </c>
      <c r="M183" s="7">
        <v>0.0</v>
      </c>
      <c r="N183" s="7">
        <v>0.9</v>
      </c>
      <c r="O183" s="7">
        <v>0.0</v>
      </c>
    </row>
    <row r="184" outlineLevel="1">
      <c r="B184" s="0" t="inlineStr">
        <is>
          <t xml:space="preserve">2026-01-23</t>
        </is>
      </c>
      <c r="C184" s="0" t="inlineStr">
        <is>
          <t xml:space="preserve">N00030-26-F-3021</t>
        </is>
      </c>
      <c r="D184" s="0" t="inlineStr">
        <is>
          <t xml:space="preserve">non_sub</t>
        </is>
      </c>
      <c r="E184" s="0" t="inlineStr">
        <is>
          <t xml:space="preserve">fms</t>
        </is>
      </c>
      <c r="F184" s="0" t="inlineStr">
        <is>
          <t xml:space="preserve">EXCLUDE_REVIEW</t>
        </is>
      </c>
      <c r="G184" s="0" t="inlineStr">
        <is>
          <t xml:space="preserve">BC</t>
        </is>
      </c>
      <c r="H184" s="5">
        <v>0</v>
      </c>
      <c r="I184" s="5">
        <v>0</v>
      </c>
      <c r="J184" s="5">
        <v>1</v>
      </c>
      <c r="K184" s="5">
        <v>67.519083</v>
      </c>
      <c r="L184" s="7">
        <v>0.0</v>
      </c>
      <c r="M184" s="7">
        <v>0.0</v>
      </c>
      <c r="N184" s="7">
        <v>0.98</v>
      </c>
      <c r="O184" s="7">
        <v>0.0</v>
      </c>
    </row>
    <row r="185" outlineLevel="1">
      <c r="B185" s="0" t="inlineStr">
        <is>
          <t xml:space="preserve">2023-09-21</t>
        </is>
      </c>
      <c r="C185" s="0" t="inlineStr">
        <is>
          <t xml:space="preserve">-</t>
        </is>
      </c>
      <c r="D185" s="0" t="inlineStr">
        <is>
          <t xml:space="preserve">non_sub</t>
        </is>
      </c>
      <c r="E185" s="0" t="inlineStr">
        <is>
          <t xml:space="preserve">other</t>
        </is>
      </c>
      <c r="F185" s="0" t="inlineStr">
        <is>
          <t xml:space="preserve">EXCLUDE_REVIEW</t>
        </is>
      </c>
      <c r="G185" s="0" t="inlineStr">
        <is>
          <t xml:space="preserve">BC</t>
        </is>
      </c>
      <c r="H185" s="5">
        <v>0</v>
      </c>
      <c r="I185" s="5">
        <v>0</v>
      </c>
      <c r="J185" s="5">
        <v>1</v>
      </c>
      <c r="K185" s="5">
        <v>67.428655</v>
      </c>
      <c r="L185" s="7">
        <v>0.0</v>
      </c>
      <c r="M185" s="7">
        <v>0.0</v>
      </c>
      <c r="N185" s="7">
        <v>1.0</v>
      </c>
      <c r="O185" s="7">
        <v>0.0</v>
      </c>
    </row>
    <row r="186" outlineLevel="1">
      <c r="B186" s="0" t="inlineStr">
        <is>
          <t xml:space="preserve">2024-09-24</t>
        </is>
      </c>
      <c r="C186" s="0" t="inlineStr">
        <is>
          <t xml:space="preserve">N00024-24-C-5539</t>
        </is>
      </c>
      <c r="D186" s="0" t="inlineStr">
        <is>
          <t xml:space="preserve">non_sub</t>
        </is>
      </c>
      <c r="E186" s="0" t="inlineStr">
        <is>
          <t xml:space="preserve">fms</t>
        </is>
      </c>
      <c r="F186" s="0" t="inlineStr">
        <is>
          <t xml:space="preserve">EXCLUDE_REVIEW</t>
        </is>
      </c>
      <c r="G186" s="0" t="inlineStr">
        <is>
          <t xml:space="preserve">BC</t>
        </is>
      </c>
      <c r="H186" s="5">
        <v>0</v>
      </c>
      <c r="I186" s="5">
        <v>0</v>
      </c>
      <c r="J186" s="5">
        <v>1</v>
      </c>
      <c r="K186" s="5">
        <v>66.23949</v>
      </c>
      <c r="L186" s="7">
        <v>0.0</v>
      </c>
      <c r="M186" s="7">
        <v>0.0</v>
      </c>
      <c r="N186" s="7">
        <v>1.0</v>
      </c>
      <c r="O186" s="7">
        <v>0.0</v>
      </c>
    </row>
    <row r="187" outlineLevel="1">
      <c r="B187" s="0" t="inlineStr">
        <is>
          <t xml:space="preserve">2026-05-07</t>
        </is>
      </c>
      <c r="C187" s="0" t="inlineStr">
        <is>
          <t xml:space="preserve">-</t>
        </is>
      </c>
      <c r="D187" s="0" t="inlineStr">
        <is>
          <t xml:space="preserve">col</t>
        </is>
      </c>
      <c r="E187" s="0" t="inlineStr">
        <is>
          <t xml:space="preserve">other</t>
        </is>
      </c>
      <c r="F187" s="0" t="inlineStr">
        <is>
          <t xml:space="preserve">EXCLUDE_REVIEW</t>
        </is>
      </c>
      <c r="G187" s="0" t="inlineStr">
        <is>
          <t xml:space="preserve">BC</t>
        </is>
      </c>
      <c r="H187" s="5">
        <v>0</v>
      </c>
      <c r="I187" s="5">
        <v>0</v>
      </c>
      <c r="J187" s="5">
        <v>1</v>
      </c>
      <c r="K187" s="5">
        <v>66.17698</v>
      </c>
      <c r="L187" s="7">
        <v>0.8</v>
      </c>
      <c r="M187" s="7">
        <v>0.0</v>
      </c>
      <c r="N187" s="7">
        <v>0.2</v>
      </c>
      <c r="O187" s="7">
        <v>0.0</v>
      </c>
    </row>
    <row r="188" outlineLevel="1">
      <c r="B188" s="0" t="inlineStr">
        <is>
          <t xml:space="preserve">2023-05-17</t>
        </is>
      </c>
      <c r="C188" s="0" t="inlineStr">
        <is>
          <t xml:space="preserve">N00024-16-C-2116</t>
        </is>
      </c>
      <c r="D188" s="0" t="inlineStr">
        <is>
          <t xml:space="preserve">non_sub</t>
        </is>
      </c>
      <c r="E188" s="0" t="inlineStr">
        <is>
          <t xml:space="preserve">engineering</t>
        </is>
      </c>
      <c r="F188" s="0" t="inlineStr">
        <is>
          <t xml:space="preserve">EXCLUDE_REVIEW</t>
        </is>
      </c>
      <c r="G188" s="0" t="inlineStr">
        <is>
          <t xml:space="preserve">BC</t>
        </is>
      </c>
      <c r="H188" s="5">
        <v>0</v>
      </c>
      <c r="I188" s="5">
        <v>0</v>
      </c>
      <c r="J188" s="5">
        <v>1</v>
      </c>
      <c r="K188" s="5">
        <v>65.803613</v>
      </c>
      <c r="L188" s="7">
        <v>0.0</v>
      </c>
      <c r="M188" s="7">
        <v>0.0</v>
      </c>
      <c r="N188" s="7">
        <v>0.0</v>
      </c>
      <c r="O188" s="7">
        <v>0.0</v>
      </c>
    </row>
    <row r="189" outlineLevel="1">
      <c r="B189" s="0" t="inlineStr">
        <is>
          <t xml:space="preserve">2025-05-07</t>
        </is>
      </c>
      <c r="C189" s="0" t="inlineStr">
        <is>
          <t xml:space="preserve">N00024-22-C-6305</t>
        </is>
      </c>
      <c r="D189" s="0" t="inlineStr">
        <is>
          <t xml:space="preserve">non_sub</t>
        </is>
      </c>
      <c r="E189" s="0" t="inlineStr">
        <is>
          <t xml:space="preserve">other</t>
        </is>
      </c>
      <c r="F189" s="0" t="inlineStr">
        <is>
          <t xml:space="preserve">EXCLUDE_REVIEW</t>
        </is>
      </c>
      <c r="G189" s="0" t="inlineStr">
        <is>
          <t xml:space="preserve">BC</t>
        </is>
      </c>
      <c r="H189" s="5">
        <v>0</v>
      </c>
      <c r="I189" s="5">
        <v>0</v>
      </c>
      <c r="J189" s="5">
        <v>1</v>
      </c>
      <c r="K189" s="5">
        <v>65.709527</v>
      </c>
      <c r="L189" s="7">
        <v>0.0</v>
      </c>
      <c r="M189" s="7">
        <v>0.0</v>
      </c>
      <c r="N189" s="7">
        <v>1.0</v>
      </c>
      <c r="O189" s="7">
        <v>0.0</v>
      </c>
    </row>
    <row r="190" outlineLevel="1">
      <c r="B190" s="0" t="inlineStr">
        <is>
          <t xml:space="preserve">2025-12-02</t>
        </is>
      </c>
      <c r="C190" s="0" t="inlineStr">
        <is>
          <t xml:space="preserve">N00024-19-C-5603</t>
        </is>
      </c>
      <c r="D190" s="0" t="inlineStr">
        <is>
          <t xml:space="preserve">non_sub</t>
        </is>
      </c>
      <c r="E190" s="0" t="inlineStr">
        <is>
          <t xml:space="preserve">engineering</t>
        </is>
      </c>
      <c r="F190" s="0" t="inlineStr">
        <is>
          <t xml:space="preserve">EXCLUDE_REVIEW</t>
        </is>
      </c>
      <c r="G190" s="0" t="inlineStr">
        <is>
          <t xml:space="preserve">BC</t>
        </is>
      </c>
      <c r="H190" s="5">
        <v>0</v>
      </c>
      <c r="I190" s="5">
        <v>0</v>
      </c>
      <c r="J190" s="5">
        <v>1</v>
      </c>
      <c r="K190" s="5">
        <v>64.131178</v>
      </c>
      <c r="L190" s="7">
        <v>0.0</v>
      </c>
      <c r="M190" s="7">
        <v>0.0</v>
      </c>
      <c r="N190" s="7">
        <v>1.0</v>
      </c>
      <c r="O190" s="7">
        <v>0.0</v>
      </c>
    </row>
    <row r="191" outlineLevel="1">
      <c r="B191" s="0" t="inlineStr">
        <is>
          <t xml:space="preserve">2023-04-18</t>
        </is>
      </c>
      <c r="C191" s="0" t="inlineStr">
        <is>
          <t xml:space="preserve">-</t>
        </is>
      </c>
      <c r="D191" s="0" t="inlineStr">
        <is>
          <t xml:space="preserve">non_sub</t>
        </is>
      </c>
      <c r="E191" s="0" t="inlineStr">
        <is>
          <t xml:space="preserve">lead_yard</t>
        </is>
      </c>
      <c r="F191" s="0" t="inlineStr">
        <is>
          <t xml:space="preserve">EXCLUDE_REVIEW</t>
        </is>
      </c>
      <c r="G191" s="0" t="inlineStr">
        <is>
          <t xml:space="preserve">BC</t>
        </is>
      </c>
      <c r="H191" s="5">
        <v>0</v>
      </c>
      <c r="I191" s="5">
        <v>0</v>
      </c>
      <c r="J191" s="5">
        <v>1</v>
      </c>
      <c r="K191" s="5">
        <v>64.087795</v>
      </c>
      <c r="L191" s="7">
        <v>0.0</v>
      </c>
      <c r="M191" s="7">
        <v>0.0</v>
      </c>
      <c r="N191" s="7">
        <v>0.0</v>
      </c>
      <c r="O191" s="7">
        <v>0.0</v>
      </c>
    </row>
    <row r="192" outlineLevel="1">
      <c r="B192" s="0" t="inlineStr">
        <is>
          <t xml:space="preserve">2025-03-28</t>
        </is>
      </c>
      <c r="C192" s="0" t="inlineStr">
        <is>
          <t xml:space="preserve">N00024-25-C-4422</t>
        </is>
      </c>
      <c r="D192" s="0" t="inlineStr">
        <is>
          <t xml:space="preserve">non_sub</t>
        </is>
      </c>
      <c r="E192" s="0" t="inlineStr">
        <is>
          <t xml:space="preserve">sustainment_maintenance</t>
        </is>
      </c>
      <c r="F192" s="0" t="inlineStr">
        <is>
          <t xml:space="preserve">EXCLUDE_REVIEW</t>
        </is>
      </c>
      <c r="G192" s="0" t="inlineStr">
        <is>
          <t xml:space="preserve">BC</t>
        </is>
      </c>
      <c r="H192" s="5">
        <v>0</v>
      </c>
      <c r="I192" s="5">
        <v>0</v>
      </c>
      <c r="J192" s="5">
        <v>1</v>
      </c>
      <c r="K192" s="5">
        <v>63.877252</v>
      </c>
      <c r="L192" s="7">
        <v>0.0</v>
      </c>
      <c r="M192" s="7">
        <v>0.0</v>
      </c>
      <c r="N192" s="7">
        <v>0.0</v>
      </c>
      <c r="O192" s="7">
        <v>0.0</v>
      </c>
    </row>
    <row r="193" outlineLevel="1">
      <c r="B193" s="0" t="inlineStr">
        <is>
          <t xml:space="preserve">2023-09-18</t>
        </is>
      </c>
      <c r="C193" s="0" t="inlineStr">
        <is>
          <t xml:space="preserve">N00024-23-C-5101</t>
        </is>
      </c>
      <c r="D193" s="0" t="inlineStr">
        <is>
          <t xml:space="preserve">non_sub</t>
        </is>
      </c>
      <c r="E193" s="0" t="inlineStr">
        <is>
          <t xml:space="preserve">fms</t>
        </is>
      </c>
      <c r="F193" s="0" t="inlineStr">
        <is>
          <t xml:space="preserve">EXCLUDE_REVIEW</t>
        </is>
      </c>
      <c r="G193" s="0" t="inlineStr">
        <is>
          <t xml:space="preserve">BC</t>
        </is>
      </c>
      <c r="H193" s="5">
        <v>0</v>
      </c>
      <c r="I193" s="5">
        <v>0</v>
      </c>
      <c r="J193" s="5">
        <v>1</v>
      </c>
      <c r="K193" s="5">
        <v>63.820154</v>
      </c>
      <c r="L193" s="7">
        <v>0.0</v>
      </c>
      <c r="M193" s="7">
        <v>0.0</v>
      </c>
      <c r="N193" s="7">
        <v>0.97</v>
      </c>
      <c r="O193" s="7">
        <v>0.0</v>
      </c>
    </row>
    <row r="194" outlineLevel="1">
      <c r="B194" s="0" t="inlineStr">
        <is>
          <t xml:space="preserve">2025-12-19</t>
        </is>
      </c>
      <c r="C194" s="0" t="inlineStr">
        <is>
          <t xml:space="preserve">N00024-22-C-5405</t>
        </is>
      </c>
      <c r="D194" s="0" t="inlineStr">
        <is>
          <t xml:space="preserve">non_sub</t>
        </is>
      </c>
      <c r="E194" s="0" t="inlineStr">
        <is>
          <t xml:space="preserve">fms</t>
        </is>
      </c>
      <c r="F194" s="0" t="inlineStr">
        <is>
          <t xml:space="preserve">EXCLUDE_REVIEW</t>
        </is>
      </c>
      <c r="G194" s="0" t="inlineStr">
        <is>
          <t xml:space="preserve">BC</t>
        </is>
      </c>
      <c r="H194" s="5">
        <v>0</v>
      </c>
      <c r="I194" s="5">
        <v>0</v>
      </c>
      <c r="J194" s="5">
        <v>1</v>
      </c>
      <c r="K194" s="5">
        <v>63.397404</v>
      </c>
      <c r="L194" s="7">
        <v>0.0</v>
      </c>
      <c r="M194" s="7">
        <v>0.0</v>
      </c>
      <c r="N194" s="7">
        <v>0.75</v>
      </c>
      <c r="O194" s="7">
        <v>0.0</v>
      </c>
    </row>
    <row r="195" outlineLevel="1">
      <c r="B195" s="0" t="inlineStr">
        <is>
          <t xml:space="preserve">2024-12-13</t>
        </is>
      </c>
      <c r="C195" s="0" t="inlineStr">
        <is>
          <t xml:space="preserve">-</t>
        </is>
      </c>
      <c r="D195" s="0" t="inlineStr">
        <is>
          <t xml:space="preserve">non_sub</t>
        </is>
      </c>
      <c r="E195" s="0" t="inlineStr">
        <is>
          <t xml:space="preserve">engineering</t>
        </is>
      </c>
      <c r="F195" s="0" t="inlineStr">
        <is>
          <t xml:space="preserve">EXCLUDE_REVIEW</t>
        </is>
      </c>
      <c r="G195" s="0" t="inlineStr">
        <is>
          <t xml:space="preserve">BC</t>
        </is>
      </c>
      <c r="H195" s="5">
        <v>0</v>
      </c>
      <c r="I195" s="5">
        <v>0</v>
      </c>
      <c r="J195" s="5">
        <v>1</v>
      </c>
      <c r="K195" s="5">
        <v>63.075265</v>
      </c>
      <c r="L195" s="7">
        <v>0.0</v>
      </c>
      <c r="M195" s="7">
        <v>0.0</v>
      </c>
      <c r="N195" s="7">
        <v>1.0</v>
      </c>
      <c r="O195" s="7">
        <v>0.0</v>
      </c>
    </row>
    <row r="196" outlineLevel="1">
      <c r="B196" s="0" t="inlineStr">
        <is>
          <t xml:space="preserve">2025-04-07</t>
        </is>
      </c>
      <c r="C196" s="0" t="inlineStr">
        <is>
          <t xml:space="preserve">N00024-20-C-5101</t>
        </is>
      </c>
      <c r="D196" s="0" t="inlineStr">
        <is>
          <t xml:space="preserve">non_sub</t>
        </is>
      </c>
      <c r="E196" s="0" t="inlineStr">
        <is>
          <t xml:space="preserve">construction</t>
        </is>
      </c>
      <c r="F196" s="0" t="inlineStr">
        <is>
          <t xml:space="preserve">INCLUDE_BC</t>
        </is>
      </c>
      <c r="G196" s="0" t="inlineStr">
        <is>
          <t xml:space="preserve">BC</t>
        </is>
      </c>
      <c r="H196" s="5">
        <v>0</v>
      </c>
      <c r="I196" s="5">
        <v>0</v>
      </c>
      <c r="J196" s="5">
        <v>1</v>
      </c>
      <c r="K196" s="5">
        <v>62.627402</v>
      </c>
      <c r="L196" s="7">
        <v>0.0</v>
      </c>
      <c r="M196" s="7">
        <v>0.0</v>
      </c>
      <c r="N196" s="7">
        <v>1.0</v>
      </c>
      <c r="O196" s="7">
        <v>0.0</v>
      </c>
    </row>
    <row r="197" outlineLevel="1">
      <c r="B197" s="0" t="inlineStr">
        <is>
          <t xml:space="preserve">2024-10-21</t>
        </is>
      </c>
      <c r="C197" s="0" t="inlineStr">
        <is>
          <t xml:space="preserve">N00024-25-C-5314</t>
        </is>
      </c>
      <c r="D197" s="0" t="inlineStr">
        <is>
          <t xml:space="preserve">non_sub</t>
        </is>
      </c>
      <c r="E197" s="0" t="inlineStr">
        <is>
          <t xml:space="preserve">other</t>
        </is>
      </c>
      <c r="F197" s="0" t="inlineStr">
        <is>
          <t xml:space="preserve">EXCLUDE_REVIEW</t>
        </is>
      </c>
      <c r="G197" s="0" t="inlineStr">
        <is>
          <t xml:space="preserve">BC</t>
        </is>
      </c>
      <c r="H197" s="5">
        <v>0</v>
      </c>
      <c r="I197" s="5">
        <v>0</v>
      </c>
      <c r="J197" s="5">
        <v>1</v>
      </c>
      <c r="K197" s="5">
        <v>61.45423</v>
      </c>
      <c r="L197" s="7">
        <v>0.0</v>
      </c>
      <c r="M197" s="7">
        <v>0.0</v>
      </c>
      <c r="N197" s="7">
        <v>1.0</v>
      </c>
      <c r="O197" s="7">
        <v>0.0</v>
      </c>
    </row>
    <row r="198" outlineLevel="1">
      <c r="B198" s="0" t="inlineStr">
        <is>
          <t xml:space="preserve">2025-07-02</t>
        </is>
      </c>
      <c r="C198" s="0" t="inlineStr">
        <is>
          <t xml:space="preserve">N00024-22-C-6407</t>
        </is>
      </c>
      <c r="D198" s="0" t="inlineStr">
        <is>
          <t xml:space="preserve">sub_other</t>
        </is>
      </c>
      <c r="E198" s="0" t="inlineStr">
        <is>
          <t xml:space="preserve">other</t>
        </is>
      </c>
      <c r="F198" s="0" t="inlineStr">
        <is>
          <t xml:space="preserve">EXCLUDE_REVIEW</t>
        </is>
      </c>
      <c r="G198" s="0" t="inlineStr">
        <is>
          <t xml:space="preserve">BC</t>
        </is>
      </c>
      <c r="H198" s="5">
        <v>0</v>
      </c>
      <c r="I198" s="5">
        <v>0</v>
      </c>
      <c r="J198" s="5">
        <v>1</v>
      </c>
      <c r="K198" s="5">
        <v>61.175927</v>
      </c>
      <c r="L198" s="7">
        <v>0.0</v>
      </c>
      <c r="M198" s="7">
        <v>0.0</v>
      </c>
      <c r="N198" s="7">
        <v>1.0</v>
      </c>
      <c r="O198" s="7">
        <v>0.0</v>
      </c>
    </row>
    <row r="199" outlineLevel="1">
      <c r="B199" s="0" t="inlineStr">
        <is>
          <t xml:space="preserve">2023-09-29</t>
        </is>
      </c>
      <c r="C199" s="0" t="inlineStr">
        <is>
          <t xml:space="preserve">-</t>
        </is>
      </c>
      <c r="D199" s="0" t="inlineStr">
        <is>
          <t xml:space="preserve">non_sub</t>
        </is>
      </c>
      <c r="E199" s="0" t="inlineStr">
        <is>
          <t xml:space="preserve">other</t>
        </is>
      </c>
      <c r="F199" s="0" t="inlineStr">
        <is>
          <t xml:space="preserve">EXCLUDE_REVIEW</t>
        </is>
      </c>
      <c r="G199" s="0" t="inlineStr">
        <is>
          <t xml:space="preserve">BC</t>
        </is>
      </c>
      <c r="H199" s="5">
        <v>0</v>
      </c>
      <c r="I199" s="5">
        <v>0</v>
      </c>
      <c r="J199" s="5">
        <v>1</v>
      </c>
      <c r="K199" s="5">
        <v>60.555041</v>
      </c>
      <c r="L199" s="7">
        <v>0.0</v>
      </c>
      <c r="M199" s="7">
        <v>0.0</v>
      </c>
      <c r="N199" s="7">
        <v>0.9</v>
      </c>
      <c r="O199" s="7">
        <v>0.0</v>
      </c>
    </row>
    <row r="200" outlineLevel="1">
      <c r="B200" s="0" t="inlineStr">
        <is>
          <t xml:space="preserve">2022-11-09</t>
        </is>
      </c>
      <c r="C200" s="0" t="inlineStr">
        <is>
          <t xml:space="preserve">-</t>
        </is>
      </c>
      <c r="D200" s="0" t="inlineStr">
        <is>
          <t xml:space="preserve">non_sub</t>
        </is>
      </c>
      <c r="E200" s="0" t="inlineStr">
        <is>
          <t xml:space="preserve">other</t>
        </is>
      </c>
      <c r="F200" s="0" t="inlineStr">
        <is>
          <t xml:space="preserve">EXCLUDE_REVIEW</t>
        </is>
      </c>
      <c r="G200" s="0" t="inlineStr">
        <is>
          <t xml:space="preserve">BC</t>
        </is>
      </c>
      <c r="H200" s="5">
        <v>0</v>
      </c>
      <c r="I200" s="5">
        <v>0</v>
      </c>
      <c r="J200" s="5">
        <v>1</v>
      </c>
      <c r="K200" s="5">
        <v>60.423838</v>
      </c>
      <c r="L200" s="7">
        <v>0.0</v>
      </c>
      <c r="M200" s="7">
        <v>0.0</v>
      </c>
      <c r="N200" s="7">
        <v>0.97</v>
      </c>
      <c r="O200" s="7">
        <v>0.0</v>
      </c>
    </row>
    <row r="201" outlineLevel="1">
      <c r="B201" s="0" t="inlineStr">
        <is>
          <t xml:space="preserve">2023-12-06</t>
        </is>
      </c>
      <c r="C201" s="0" t="inlineStr">
        <is>
          <t xml:space="preserve">-</t>
        </is>
      </c>
      <c r="D201" s="0" t="inlineStr">
        <is>
          <t xml:space="preserve">non_sub</t>
        </is>
      </c>
      <c r="E201" s="0" t="inlineStr">
        <is>
          <t xml:space="preserve">fms</t>
        </is>
      </c>
      <c r="F201" s="0" t="inlineStr">
        <is>
          <t xml:space="preserve">EXCLUDE_REVIEW</t>
        </is>
      </c>
      <c r="G201" s="0" t="inlineStr">
        <is>
          <t xml:space="preserve">BC</t>
        </is>
      </c>
      <c r="H201" s="5">
        <v>0</v>
      </c>
      <c r="I201" s="5">
        <v>0</v>
      </c>
      <c r="J201" s="5">
        <v>1</v>
      </c>
      <c r="K201" s="5">
        <v>60.299575</v>
      </c>
      <c r="L201" s="7">
        <v>0.0</v>
      </c>
      <c r="M201" s="7">
        <v>0.0</v>
      </c>
      <c r="N201" s="7">
        <v>1.0</v>
      </c>
      <c r="O201" s="7">
        <v>0.0</v>
      </c>
    </row>
    <row r="202" outlineLevel="1">
      <c r="B202" s="0" t="inlineStr">
        <is>
          <t xml:space="preserve">2025-06-16</t>
        </is>
      </c>
      <c r="C202" s="0" t="inlineStr">
        <is>
          <t xml:space="preserve">N00024-19-C-6407</t>
        </is>
      </c>
      <c r="D202" s="0" t="inlineStr">
        <is>
          <t xml:space="preserve">non_sub</t>
        </is>
      </c>
      <c r="E202" s="0" t="inlineStr">
        <is>
          <t xml:space="preserve">other</t>
        </is>
      </c>
      <c r="F202" s="0" t="inlineStr">
        <is>
          <t xml:space="preserve">EXCLUDE_REVIEW</t>
        </is>
      </c>
      <c r="G202" s="0" t="inlineStr">
        <is>
          <t xml:space="preserve">BC</t>
        </is>
      </c>
      <c r="H202" s="5">
        <v>0</v>
      </c>
      <c r="I202" s="5">
        <v>0</v>
      </c>
      <c r="J202" s="5">
        <v>1</v>
      </c>
      <c r="K202" s="5">
        <v>60.133061</v>
      </c>
      <c r="L202" s="7">
        <v>0.0</v>
      </c>
      <c r="M202" s="7">
        <v>0.0</v>
      </c>
      <c r="N202" s="7">
        <v>0.0</v>
      </c>
      <c r="O202" s="7">
        <v>0.0</v>
      </c>
    </row>
    <row r="203" outlineLevel="1">
      <c r="B203" s="0" t="inlineStr">
        <is>
          <t xml:space="preserve">2025-12-30</t>
        </is>
      </c>
      <c r="C203" s="0" t="inlineStr">
        <is>
          <t xml:space="preserve">N00024-20-C-5392</t>
        </is>
      </c>
      <c r="D203" s="0" t="inlineStr">
        <is>
          <t xml:space="preserve">non_sub</t>
        </is>
      </c>
      <c r="E203" s="0" t="inlineStr">
        <is>
          <t xml:space="preserve">fms</t>
        </is>
      </c>
      <c r="F203" s="0" t="inlineStr">
        <is>
          <t xml:space="preserve">EXCLUDE_REVIEW</t>
        </is>
      </c>
      <c r="G203" s="0" t="inlineStr">
        <is>
          <t xml:space="preserve">BC</t>
        </is>
      </c>
      <c r="H203" s="5">
        <v>0</v>
      </c>
      <c r="I203" s="5">
        <v>0</v>
      </c>
      <c r="J203" s="5">
        <v>1</v>
      </c>
      <c r="K203" s="5">
        <v>60.06831</v>
      </c>
      <c r="L203" s="7">
        <v>0.0</v>
      </c>
      <c r="M203" s="7">
        <v>0.0</v>
      </c>
      <c r="N203" s="7">
        <v>0.9</v>
      </c>
      <c r="O203" s="7">
        <v>0.0</v>
      </c>
    </row>
    <row r="204" outlineLevel="1">
      <c r="B204" s="0" t="inlineStr">
        <is>
          <t xml:space="preserve">2025-06-03</t>
        </is>
      </c>
      <c r="C204" s="0" t="inlineStr">
        <is>
          <t xml:space="preserve">N00024-18-C-2207</t>
        </is>
      </c>
      <c r="D204" s="0" t="inlineStr">
        <is>
          <t xml:space="preserve">non_sub</t>
        </is>
      </c>
      <c r="E204" s="0" t="inlineStr">
        <is>
          <t xml:space="preserve">sustainment_maintenance</t>
        </is>
      </c>
      <c r="F204" s="0" t="inlineStr">
        <is>
          <t xml:space="preserve">EXCLUDE_REVIEW</t>
        </is>
      </c>
      <c r="G204" s="0" t="inlineStr">
        <is>
          <t xml:space="preserve">BC</t>
        </is>
      </c>
      <c r="H204" s="5">
        <v>0</v>
      </c>
      <c r="I204" s="5">
        <v>0</v>
      </c>
      <c r="J204" s="5">
        <v>1</v>
      </c>
      <c r="K204" s="5">
        <v>60.0</v>
      </c>
      <c r="L204" s="7">
        <v>0.0</v>
      </c>
      <c r="M204" s="7">
        <v>0.0</v>
      </c>
      <c r="N204" s="7">
        <v>1.0</v>
      </c>
      <c r="O204" s="7">
        <v>0.0</v>
      </c>
    </row>
    <row r="205" outlineLevel="1">
      <c r="B205" s="0" t="inlineStr">
        <is>
          <t xml:space="preserve">2025-06-17</t>
        </is>
      </c>
      <c r="C205" s="0" t="inlineStr">
        <is>
          <t xml:space="preserve">-</t>
        </is>
      </c>
      <c r="D205" s="0" t="inlineStr">
        <is>
          <t xml:space="preserve">non_sub</t>
        </is>
      </c>
      <c r="E205" s="0" t="inlineStr">
        <is>
          <t xml:space="preserve">other</t>
        </is>
      </c>
      <c r="F205" s="0" t="inlineStr">
        <is>
          <t xml:space="preserve">EXCLUDE_REVIEW</t>
        </is>
      </c>
      <c r="G205" s="0" t="inlineStr">
        <is>
          <t xml:space="preserve">BC</t>
        </is>
      </c>
      <c r="H205" s="5">
        <v>0</v>
      </c>
      <c r="I205" s="5">
        <v>0</v>
      </c>
      <c r="J205" s="5">
        <v>1</v>
      </c>
      <c r="K205" s="5">
        <v>60.0</v>
      </c>
      <c r="L205" s="7">
        <v>0.0</v>
      </c>
      <c r="M205" s="7">
        <v>0.0</v>
      </c>
      <c r="N205" s="7">
        <v>0.0</v>
      </c>
      <c r="O205" s="7">
        <v>0.0</v>
      </c>
    </row>
    <row r="206" outlineLevel="1">
      <c r="B206" s="0" t="inlineStr">
        <is>
          <t xml:space="preserve">2026-03-05</t>
        </is>
      </c>
      <c r="C206" s="0" t="inlineStr">
        <is>
          <t xml:space="preserve">N00024-24-C-2106</t>
        </is>
      </c>
      <c r="D206" s="0" t="inlineStr">
        <is>
          <t xml:space="preserve">non_sub</t>
        </is>
      </c>
      <c r="E206" s="0" t="inlineStr">
        <is>
          <t xml:space="preserve">repair_overhaul</t>
        </is>
      </c>
      <c r="F206" s="0" t="inlineStr">
        <is>
          <t xml:space="preserve">EXCLUDE_REVIEW</t>
        </is>
      </c>
      <c r="G206" s="0" t="inlineStr">
        <is>
          <t xml:space="preserve">BC</t>
        </is>
      </c>
      <c r="H206" s="5">
        <v>0</v>
      </c>
      <c r="I206" s="5">
        <v>0</v>
      </c>
      <c r="J206" s="5">
        <v>1</v>
      </c>
      <c r="K206" s="5">
        <v>60.0</v>
      </c>
      <c r="L206" s="7">
        <v>0.0</v>
      </c>
      <c r="M206" s="7">
        <v>0.0</v>
      </c>
      <c r="N206" s="7">
        <v>0.0</v>
      </c>
      <c r="O206" s="7">
        <v>0.0</v>
      </c>
    </row>
    <row r="207" outlineLevel="1">
      <c r="B207" s="0" t="inlineStr">
        <is>
          <t xml:space="preserve">2026-01-28</t>
        </is>
      </c>
      <c r="C207" s="0" t="inlineStr">
        <is>
          <t xml:space="preserve">N00024-26-D-6214</t>
        </is>
      </c>
      <c r="D207" s="0" t="inlineStr">
        <is>
          <t xml:space="preserve">sub_gfe_components</t>
        </is>
      </c>
      <c r="E207" s="0" t="inlineStr">
        <is>
          <t xml:space="preserve">component_procurement</t>
        </is>
      </c>
      <c r="F207" s="0" t="inlineStr">
        <is>
          <t xml:space="preserve">EXCLUDE_GFE</t>
        </is>
      </c>
      <c r="G207" s="0" t="inlineStr">
        <is>
          <t xml:space="preserve">BC</t>
        </is>
      </c>
      <c r="H207" s="5">
        <v>1</v>
      </c>
      <c r="I207" s="5">
        <v>1</v>
      </c>
      <c r="J207" s="5">
        <v>1</v>
      </c>
      <c r="K207" s="5">
        <v>59.603232</v>
      </c>
      <c r="L207" s="7">
        <v>0.0</v>
      </c>
      <c r="M207" s="7">
        <v>0.0</v>
      </c>
      <c r="N207" s="7">
        <v>0.0</v>
      </c>
      <c r="O207" s="7">
        <v>0.0</v>
      </c>
    </row>
    <row r="208" outlineLevel="1">
      <c r="B208" s="0" t="inlineStr">
        <is>
          <t xml:space="preserve">2023-12-22</t>
        </is>
      </c>
      <c r="C208" s="0" t="inlineStr">
        <is>
          <t xml:space="preserve">N00024-22-C-5405</t>
        </is>
      </c>
      <c r="D208" s="0" t="inlineStr">
        <is>
          <t xml:space="preserve">non_sub</t>
        </is>
      </c>
      <c r="E208" s="0" t="inlineStr">
        <is>
          <t xml:space="preserve">lead_yard</t>
        </is>
      </c>
      <c r="F208" s="0" t="inlineStr">
        <is>
          <t xml:space="preserve">EXCLUDE_REVIEW</t>
        </is>
      </c>
      <c r="G208" s="0" t="inlineStr">
        <is>
          <t xml:space="preserve">BC</t>
        </is>
      </c>
      <c r="H208" s="5">
        <v>0</v>
      </c>
      <c r="I208" s="5">
        <v>0</v>
      </c>
      <c r="J208" s="5">
        <v>1</v>
      </c>
      <c r="K208" s="5">
        <v>59.474832</v>
      </c>
      <c r="L208" s="7">
        <v>0.0</v>
      </c>
      <c r="M208" s="7">
        <v>0.0</v>
      </c>
      <c r="N208" s="7">
        <v>0.75</v>
      </c>
      <c r="O208" s="7">
        <v>0.0</v>
      </c>
    </row>
    <row r="209" outlineLevel="1">
      <c r="B209" s="0" t="inlineStr">
        <is>
          <t xml:space="preserve">2026-01-21</t>
        </is>
      </c>
      <c r="C209" s="0" t="inlineStr">
        <is>
          <t xml:space="preserve">N00024-23-C-5410</t>
        </is>
      </c>
      <c r="D209" s="0" t="inlineStr">
        <is>
          <t xml:space="preserve">non_sub</t>
        </is>
      </c>
      <c r="E209" s="0" t="inlineStr">
        <is>
          <t xml:space="preserve">fms</t>
        </is>
      </c>
      <c r="F209" s="0" t="inlineStr">
        <is>
          <t xml:space="preserve">EXCLUDE_REVIEW</t>
        </is>
      </c>
      <c r="G209" s="0" t="inlineStr">
        <is>
          <t xml:space="preserve">BC</t>
        </is>
      </c>
      <c r="H209" s="5">
        <v>0</v>
      </c>
      <c r="I209" s="5">
        <v>0</v>
      </c>
      <c r="J209" s="5">
        <v>1</v>
      </c>
      <c r="K209" s="5">
        <v>58.994042</v>
      </c>
      <c r="L209" s="7">
        <v>0.0</v>
      </c>
      <c r="M209" s="7">
        <v>0.0</v>
      </c>
      <c r="N209" s="7">
        <v>0.0</v>
      </c>
      <c r="O209" s="7">
        <v>0.0</v>
      </c>
    </row>
    <row r="210" outlineLevel="1">
      <c r="B210" s="0" t="inlineStr">
        <is>
          <t xml:space="preserve">2023-11-17</t>
        </is>
      </c>
      <c r="C210" s="0" t="inlineStr">
        <is>
          <t xml:space="preserve">N00024-24-C-2313</t>
        </is>
      </c>
      <c r="D210" s="0" t="inlineStr">
        <is>
          <t xml:space="preserve">non_sub</t>
        </is>
      </c>
      <c r="E210" s="0" t="inlineStr">
        <is>
          <t xml:space="preserve">lead_yard</t>
        </is>
      </c>
      <c r="F210" s="0" t="inlineStr">
        <is>
          <t xml:space="preserve">EXCLUDE_REVIEW</t>
        </is>
      </c>
      <c r="G210" s="0" t="inlineStr">
        <is>
          <t xml:space="preserve">BC</t>
        </is>
      </c>
      <c r="H210" s="5">
        <v>0</v>
      </c>
      <c r="I210" s="5">
        <v>0</v>
      </c>
      <c r="J210" s="5">
        <v>1</v>
      </c>
      <c r="K210" s="5">
        <v>58.891505</v>
      </c>
      <c r="L210" s="7">
        <v>0.0</v>
      </c>
      <c r="M210" s="7">
        <v>0.0</v>
      </c>
      <c r="N210" s="7">
        <v>0.99</v>
      </c>
      <c r="O210" s="7">
        <v>0.0</v>
      </c>
    </row>
    <row r="211" outlineLevel="1">
      <c r="B211" s="0" t="inlineStr">
        <is>
          <t xml:space="preserve">2025-11-21</t>
        </is>
      </c>
      <c r="C211" s="0" t="inlineStr">
        <is>
          <t xml:space="preserve">N00024-15-C-2114</t>
        </is>
      </c>
      <c r="D211" s="0" t="inlineStr">
        <is>
          <t xml:space="preserve">non_sub</t>
        </is>
      </c>
      <c r="E211" s="0" t="inlineStr">
        <is>
          <t xml:space="preserve">other</t>
        </is>
      </c>
      <c r="F211" s="0" t="inlineStr">
        <is>
          <t xml:space="preserve">EXCLUDE_REVIEW</t>
        </is>
      </c>
      <c r="G211" s="0" t="inlineStr">
        <is>
          <t xml:space="preserve">BC</t>
        </is>
      </c>
      <c r="H211" s="5">
        <v>0</v>
      </c>
      <c r="I211" s="5">
        <v>0</v>
      </c>
      <c r="J211" s="5">
        <v>1</v>
      </c>
      <c r="K211" s="5">
        <v>58.556527</v>
      </c>
      <c r="L211" s="7">
        <v>0.0</v>
      </c>
      <c r="M211" s="7">
        <v>0.0</v>
      </c>
      <c r="N211" s="7">
        <v>0.0</v>
      </c>
      <c r="O211" s="7">
        <v>0.0</v>
      </c>
    </row>
    <row r="212" outlineLevel="1">
      <c r="B212" s="0" t="inlineStr">
        <is>
          <t xml:space="preserve">2025-06-25</t>
        </is>
      </c>
      <c r="C212" s="0" t="inlineStr">
        <is>
          <t xml:space="preserve">N00024-24-C-2124</t>
        </is>
      </c>
      <c r="D212" s="0" t="inlineStr">
        <is>
          <t xml:space="preserve">sub_other</t>
        </is>
      </c>
      <c r="E212" s="0" t="inlineStr">
        <is>
          <t xml:space="preserve">component_procurement</t>
        </is>
      </c>
      <c r="F212" s="0" t="inlineStr">
        <is>
          <t xml:space="preserve">INCLUDE_BC</t>
        </is>
      </c>
      <c r="G212" s="0" t="inlineStr">
        <is>
          <t xml:space="preserve">BC</t>
        </is>
      </c>
      <c r="H212" s="5">
        <v>0</v>
      </c>
      <c r="I212" s="5">
        <v>0</v>
      </c>
      <c r="J212" s="5">
        <v>1</v>
      </c>
      <c r="K212" s="5">
        <v>57.8</v>
      </c>
      <c r="L212" s="7">
        <v>0.0</v>
      </c>
      <c r="M212" s="7">
        <v>0.0</v>
      </c>
      <c r="N212" s="7">
        <v>0.0</v>
      </c>
      <c r="O212" s="7">
        <v>0.0</v>
      </c>
    </row>
    <row r="213" outlineLevel="1">
      <c r="B213" s="0" t="inlineStr">
        <is>
          <t xml:space="preserve">2026-01-15</t>
        </is>
      </c>
      <c r="C213" s="0" t="inlineStr">
        <is>
          <t xml:space="preserve">N00024-24-C-5131</t>
        </is>
      </c>
      <c r="D213" s="0" t="inlineStr">
        <is>
          <t xml:space="preserve">non_sub</t>
        </is>
      </c>
      <c r="E213" s="0" t="inlineStr">
        <is>
          <t xml:space="preserve">other</t>
        </is>
      </c>
      <c r="F213" s="0" t="inlineStr">
        <is>
          <t xml:space="preserve">EXCLUDE_REVIEW</t>
        </is>
      </c>
      <c r="G213" s="0" t="inlineStr">
        <is>
          <t xml:space="preserve">BC</t>
        </is>
      </c>
      <c r="H213" s="5">
        <v>0</v>
      </c>
      <c r="I213" s="5">
        <v>0</v>
      </c>
      <c r="J213" s="5">
        <v>1</v>
      </c>
      <c r="K213" s="5">
        <v>57.379638</v>
      </c>
      <c r="L213" s="7">
        <v>0.0</v>
      </c>
      <c r="M213" s="7">
        <v>0.0</v>
      </c>
      <c r="N213" s="7">
        <v>0.0</v>
      </c>
      <c r="O213" s="7">
        <v>0.0</v>
      </c>
    </row>
    <row r="214" outlineLevel="1">
      <c r="B214" s="0" t="inlineStr">
        <is>
          <t xml:space="preserve">2023-06-30</t>
        </is>
      </c>
      <c r="C214" s="0" t="inlineStr">
        <is>
          <t xml:space="preserve">-</t>
        </is>
      </c>
      <c r="D214" s="0" t="inlineStr">
        <is>
          <t xml:space="preserve">non_sub</t>
        </is>
      </c>
      <c r="E214" s="0" t="inlineStr">
        <is>
          <t xml:space="preserve">component_procurement</t>
        </is>
      </c>
      <c r="F214" s="0" t="inlineStr">
        <is>
          <t xml:space="preserve">INCLUDE_BC</t>
        </is>
      </c>
      <c r="G214" s="0" t="inlineStr">
        <is>
          <t xml:space="preserve">BC</t>
        </is>
      </c>
      <c r="H214" s="5">
        <v>0</v>
      </c>
      <c r="I214" s="5">
        <v>0</v>
      </c>
      <c r="J214" s="5">
        <v>1</v>
      </c>
      <c r="K214" s="5">
        <v>57.269379</v>
      </c>
      <c r="L214" s="7">
        <v>0.0</v>
      </c>
      <c r="M214" s="7">
        <v>0.0</v>
      </c>
      <c r="N214" s="7">
        <v>0.51</v>
      </c>
      <c r="O214" s="7">
        <v>0.0</v>
      </c>
    </row>
    <row r="215" outlineLevel="1">
      <c r="B215" s="0" t="inlineStr">
        <is>
          <t xml:space="preserve">2025-07-31</t>
        </is>
      </c>
      <c r="C215" s="0" t="inlineStr">
        <is>
          <t xml:space="preserve">N00024-25-C-6202</t>
        </is>
      </c>
      <c r="D215" s="0" t="inlineStr">
        <is>
          <t xml:space="preserve">sub_other</t>
        </is>
      </c>
      <c r="E215" s="0" t="inlineStr">
        <is>
          <t xml:space="preserve">construction</t>
        </is>
      </c>
      <c r="F215" s="0" t="inlineStr">
        <is>
          <t xml:space="preserve">INCLUDE_BC</t>
        </is>
      </c>
      <c r="G215" s="0" t="inlineStr">
        <is>
          <t xml:space="preserve">BC</t>
        </is>
      </c>
      <c r="H215" s="5">
        <v>0</v>
      </c>
      <c r="I215" s="5">
        <v>0</v>
      </c>
      <c r="J215" s="5">
        <v>1</v>
      </c>
      <c r="K215" s="5">
        <v>57.258872</v>
      </c>
      <c r="L215" s="7">
        <v>0.0</v>
      </c>
      <c r="M215" s="7">
        <v>0.0</v>
      </c>
      <c r="N215" s="7">
        <v>0.0</v>
      </c>
      <c r="O215" s="7">
        <v>0.0</v>
      </c>
    </row>
    <row r="216" outlineLevel="1">
      <c r="B216" s="0" t="inlineStr">
        <is>
          <t xml:space="preserve">2022-08-05</t>
        </is>
      </c>
      <c r="C216" s="0" t="inlineStr">
        <is>
          <t xml:space="preserve">-</t>
        </is>
      </c>
      <c r="D216" s="0" t="inlineStr">
        <is>
          <t xml:space="preserve">non_sub</t>
        </is>
      </c>
      <c r="E216" s="0" t="inlineStr">
        <is>
          <t xml:space="preserve">other</t>
        </is>
      </c>
      <c r="F216" s="0" t="inlineStr">
        <is>
          <t xml:space="preserve">EXCLUDE_REVIEW</t>
        </is>
      </c>
      <c r="G216" s="0" t="inlineStr">
        <is>
          <t xml:space="preserve">BC</t>
        </is>
      </c>
      <c r="H216" s="5">
        <v>0</v>
      </c>
      <c r="I216" s="5">
        <v>0</v>
      </c>
      <c r="J216" s="5">
        <v>1</v>
      </c>
      <c r="K216" s="5">
        <v>57.089967</v>
      </c>
      <c r="L216" s="7">
        <v>0.0</v>
      </c>
      <c r="M216" s="7">
        <v>0.0</v>
      </c>
      <c r="N216" s="7">
        <v>0.99</v>
      </c>
      <c r="O216" s="7">
        <v>0.0</v>
      </c>
    </row>
    <row r="217" outlineLevel="1">
      <c r="B217" s="0" t="inlineStr">
        <is>
          <t xml:space="preserve">2026-04-13</t>
        </is>
      </c>
      <c r="C217" s="0" t="inlineStr">
        <is>
          <t xml:space="preserve">N00024-23-C-4300</t>
        </is>
      </c>
      <c r="D217" s="0" t="inlineStr">
        <is>
          <t xml:space="preserve">sub_other</t>
        </is>
      </c>
      <c r="E217" s="0" t="inlineStr">
        <is>
          <t xml:space="preserve">other</t>
        </is>
      </c>
      <c r="F217" s="0" t="inlineStr">
        <is>
          <t xml:space="preserve">EXCLUDE_REVIEW</t>
        </is>
      </c>
      <c r="G217" s="0" t="inlineStr">
        <is>
          <t xml:space="preserve">BC</t>
        </is>
      </c>
      <c r="H217" s="5">
        <v>0</v>
      </c>
      <c r="I217" s="5">
        <v>0</v>
      </c>
      <c r="J217" s="5">
        <v>1</v>
      </c>
      <c r="K217" s="5">
        <v>55.545298</v>
      </c>
      <c r="L217" s="7">
        <v>0.0</v>
      </c>
      <c r="M217" s="7">
        <v>0.0</v>
      </c>
      <c r="N217" s="7">
        <v>0.0</v>
      </c>
      <c r="O217" s="7">
        <v>0.0</v>
      </c>
    </row>
    <row r="218" outlineLevel="1">
      <c r="B218" s="0" t="inlineStr">
        <is>
          <t xml:space="preserve">2024-02-02</t>
        </is>
      </c>
      <c r="C218" s="0" t="inlineStr">
        <is>
          <t xml:space="preserve">-</t>
        </is>
      </c>
      <c r="D218" s="0" t="inlineStr">
        <is>
          <t xml:space="preserve">non_sub</t>
        </is>
      </c>
      <c r="E218" s="0" t="inlineStr">
        <is>
          <t xml:space="preserve">other</t>
        </is>
      </c>
      <c r="F218" s="0" t="inlineStr">
        <is>
          <t xml:space="preserve">EXCLUDE_REVIEW</t>
        </is>
      </c>
      <c r="G218" s="0" t="inlineStr">
        <is>
          <t xml:space="preserve">BC</t>
        </is>
      </c>
      <c r="H218" s="5">
        <v>0</v>
      </c>
      <c r="I218" s="5">
        <v>0</v>
      </c>
      <c r="J218" s="5">
        <v>1</v>
      </c>
      <c r="K218" s="5">
        <v>55.544062</v>
      </c>
      <c r="L218" s="7">
        <v>0.0</v>
      </c>
      <c r="M218" s="7">
        <v>0.0</v>
      </c>
      <c r="N218" s="7">
        <v>1.0</v>
      </c>
      <c r="O218" s="7">
        <v>0.0</v>
      </c>
    </row>
    <row r="219" outlineLevel="1">
      <c r="B219" s="0" t="inlineStr">
        <is>
          <t xml:space="preserve">2022-09-30</t>
        </is>
      </c>
      <c r="C219" s="0" t="inlineStr">
        <is>
          <t xml:space="preserve">N00024-21-C-5408</t>
        </is>
      </c>
      <c r="D219" s="0" t="inlineStr">
        <is>
          <t xml:space="preserve">non_sub</t>
        </is>
      </c>
      <c r="E219" s="0" t="inlineStr">
        <is>
          <t xml:space="preserve">component_procurement</t>
        </is>
      </c>
      <c r="F219" s="0" t="inlineStr">
        <is>
          <t xml:space="preserve">INCLUDE_BC</t>
        </is>
      </c>
      <c r="G219" s="0" t="inlineStr">
        <is>
          <t xml:space="preserve">BC</t>
        </is>
      </c>
      <c r="H219" s="5">
        <v>0</v>
      </c>
      <c r="I219" s="5">
        <v>0</v>
      </c>
      <c r="J219" s="5">
        <v>1</v>
      </c>
      <c r="K219" s="5">
        <v>55.472695</v>
      </c>
      <c r="L219" s="7">
        <v>0.0</v>
      </c>
      <c r="M219" s="7">
        <v>0.0</v>
      </c>
      <c r="N219" s="7">
        <v>1.0</v>
      </c>
      <c r="O219" s="7">
        <v>0.0</v>
      </c>
    </row>
    <row r="220" outlineLevel="1">
      <c r="B220" s="0" t="inlineStr">
        <is>
          <t xml:space="preserve">2026-04-08</t>
        </is>
      </c>
      <c r="C220" s="0" t="inlineStr">
        <is>
          <t xml:space="preserve">N00024-19-C-6407</t>
        </is>
      </c>
      <c r="D220" s="0" t="inlineStr">
        <is>
          <t xml:space="preserve">sub_other</t>
        </is>
      </c>
      <c r="E220" s="0" t="inlineStr">
        <is>
          <t xml:space="preserve">other</t>
        </is>
      </c>
      <c r="F220" s="0" t="inlineStr">
        <is>
          <t xml:space="preserve">EXCLUDE_REVIEW</t>
        </is>
      </c>
      <c r="G220" s="0" t="inlineStr">
        <is>
          <t xml:space="preserve">BC</t>
        </is>
      </c>
      <c r="H220" s="5">
        <v>0</v>
      </c>
      <c r="I220" s="5">
        <v>0</v>
      </c>
      <c r="J220" s="5">
        <v>1</v>
      </c>
      <c r="K220" s="5">
        <v>55.059996</v>
      </c>
      <c r="L220" s="7">
        <v>0.0</v>
      </c>
      <c r="M220" s="7">
        <v>0.0</v>
      </c>
      <c r="N220" s="7">
        <v>0.0</v>
      </c>
      <c r="O220" s="7">
        <v>0.0</v>
      </c>
    </row>
    <row r="221" outlineLevel="1">
      <c r="B221" s="0" t="inlineStr">
        <is>
          <t xml:space="preserve">2023-03-10</t>
        </is>
      </c>
      <c r="C221" s="0" t="inlineStr">
        <is>
          <t xml:space="preserve">-</t>
        </is>
      </c>
      <c r="D221" s="0" t="inlineStr">
        <is>
          <t xml:space="preserve">non_sub</t>
        </is>
      </c>
      <c r="E221" s="0" t="inlineStr">
        <is>
          <t xml:space="preserve">sustainment_maintenance</t>
        </is>
      </c>
      <c r="F221" s="0" t="inlineStr">
        <is>
          <t xml:space="preserve">EXCLUDE_REVIEW</t>
        </is>
      </c>
      <c r="G221" s="0" t="inlineStr">
        <is>
          <t xml:space="preserve">BC</t>
        </is>
      </c>
      <c r="H221" s="5">
        <v>0</v>
      </c>
      <c r="I221" s="5">
        <v>0</v>
      </c>
      <c r="J221" s="5">
        <v>1</v>
      </c>
      <c r="K221" s="5">
        <v>54.733855</v>
      </c>
      <c r="L221" s="7">
        <v>0.0</v>
      </c>
      <c r="M221" s="7">
        <v>0.04</v>
      </c>
      <c r="N221" s="7">
        <v>0.96</v>
      </c>
      <c r="O221" s="7">
        <v>0.0</v>
      </c>
    </row>
    <row r="222" outlineLevel="1">
      <c r="B222" s="0" t="inlineStr">
        <is>
          <t xml:space="preserve">2025-07-11</t>
        </is>
      </c>
      <c r="C222" s="0" t="inlineStr">
        <is>
          <t xml:space="preserve">N00024-25-C-2405</t>
        </is>
      </c>
      <c r="D222" s="0" t="inlineStr">
        <is>
          <t xml:space="preserve">non_sub</t>
        </is>
      </c>
      <c r="E222" s="0" t="inlineStr">
        <is>
          <t xml:space="preserve">other</t>
        </is>
      </c>
      <c r="F222" s="0" t="inlineStr">
        <is>
          <t xml:space="preserve">EXCLUDE_REVIEW</t>
        </is>
      </c>
      <c r="G222" s="0" t="inlineStr">
        <is>
          <t xml:space="preserve">BC</t>
        </is>
      </c>
      <c r="H222" s="5">
        <v>0</v>
      </c>
      <c r="I222" s="5">
        <v>0</v>
      </c>
      <c r="J222" s="5">
        <v>1</v>
      </c>
      <c r="K222" s="5">
        <v>54.730397</v>
      </c>
      <c r="L222" s="7">
        <v>0.0</v>
      </c>
      <c r="M222" s="7">
        <v>0.0</v>
      </c>
      <c r="N222" s="7">
        <v>0.0</v>
      </c>
      <c r="O222" s="7">
        <v>0.0</v>
      </c>
    </row>
    <row r="223" outlineLevel="1">
      <c r="B223" s="0" t="inlineStr">
        <is>
          <t xml:space="preserve">2025-03-19</t>
        </is>
      </c>
      <c r="C223" s="0" t="inlineStr">
        <is>
          <t xml:space="preserve">N00024-25-F-6219</t>
        </is>
      </c>
      <c r="D223" s="0" t="inlineStr">
        <is>
          <t xml:space="preserve">sub_gfe_electronics</t>
        </is>
      </c>
      <c r="E223" s="0" t="inlineStr">
        <is>
          <t xml:space="preserve">component_procurement</t>
        </is>
      </c>
      <c r="F223" s="0" t="inlineStr">
        <is>
          <t xml:space="preserve">EXCLUDE_GFE</t>
        </is>
      </c>
      <c r="G223" s="0" t="inlineStr">
        <is>
          <t xml:space="preserve">BC</t>
        </is>
      </c>
      <c r="H223" s="5">
        <v>1</v>
      </c>
      <c r="I223" s="5">
        <v>1</v>
      </c>
      <c r="J223" s="5">
        <v>1</v>
      </c>
      <c r="K223" s="5">
        <v>54.207213</v>
      </c>
      <c r="L223" s="7">
        <v>0.0</v>
      </c>
      <c r="M223" s="7">
        <v>0.0</v>
      </c>
      <c r="N223" s="7">
        <v>0.0</v>
      </c>
      <c r="O223" s="7">
        <v>0.0</v>
      </c>
    </row>
    <row r="224" outlineLevel="1">
      <c r="B224" s="0" t="inlineStr">
        <is>
          <t xml:space="preserve">2025-02-27</t>
        </is>
      </c>
      <c r="C224" s="0" t="inlineStr">
        <is>
          <t xml:space="preserve">N00024-24-C-4201</t>
        </is>
      </c>
      <c r="D224" s="0" t="inlineStr">
        <is>
          <t xml:space="preserve">non_sub</t>
        </is>
      </c>
      <c r="E224" s="0" t="inlineStr">
        <is>
          <t xml:space="preserve">sustainment_maintenance</t>
        </is>
      </c>
      <c r="F224" s="0" t="inlineStr">
        <is>
          <t xml:space="preserve">EXCLUDE_REVIEW</t>
        </is>
      </c>
      <c r="G224" s="0" t="inlineStr">
        <is>
          <t xml:space="preserve">BC</t>
        </is>
      </c>
      <c r="H224" s="5">
        <v>0</v>
      </c>
      <c r="I224" s="5">
        <v>0</v>
      </c>
      <c r="J224" s="5">
        <v>1</v>
      </c>
      <c r="K224" s="5">
        <v>54.18174</v>
      </c>
      <c r="L224" s="7">
        <v>0.0</v>
      </c>
      <c r="M224" s="7">
        <v>0.0</v>
      </c>
      <c r="N224" s="7">
        <v>0.0</v>
      </c>
      <c r="O224" s="7">
        <v>0.0</v>
      </c>
    </row>
    <row r="225" outlineLevel="1">
      <c r="B225" s="0" t="inlineStr">
        <is>
          <t xml:space="preserve">2025-04-11</t>
        </is>
      </c>
      <c r="C225" s="0" t="inlineStr">
        <is>
          <t xml:space="preserve">N00024-23-C-4300</t>
        </is>
      </c>
      <c r="D225" s="0" t="inlineStr">
        <is>
          <t xml:space="preserve">sub_other</t>
        </is>
      </c>
      <c r="E225" s="0" t="inlineStr">
        <is>
          <t xml:space="preserve">other</t>
        </is>
      </c>
      <c r="F225" s="0" t="inlineStr">
        <is>
          <t xml:space="preserve">EXCLUDE_REVIEW</t>
        </is>
      </c>
      <c r="G225" s="0" t="inlineStr">
        <is>
          <t xml:space="preserve">BC</t>
        </is>
      </c>
      <c r="H225" s="5">
        <v>0</v>
      </c>
      <c r="I225" s="5">
        <v>0</v>
      </c>
      <c r="J225" s="5">
        <v>1</v>
      </c>
      <c r="K225" s="5">
        <v>54.065599</v>
      </c>
      <c r="L225" s="7">
        <v>0.0</v>
      </c>
      <c r="M225" s="7">
        <v>0.0</v>
      </c>
      <c r="N225" s="7">
        <v>0.0</v>
      </c>
      <c r="O225" s="7">
        <v>0.0</v>
      </c>
    </row>
    <row r="226" outlineLevel="1">
      <c r="B226" s="0" t="inlineStr">
        <is>
          <t xml:space="preserve">2022-08-18</t>
        </is>
      </c>
      <c r="C226" s="0" t="inlineStr">
        <is>
          <t xml:space="preserve">-</t>
        </is>
      </c>
      <c r="D226" s="0" t="inlineStr">
        <is>
          <t xml:space="preserve">sub_other</t>
        </is>
      </c>
      <c r="E226" s="0" t="inlineStr">
        <is>
          <t xml:space="preserve">other</t>
        </is>
      </c>
      <c r="F226" s="0" t="inlineStr">
        <is>
          <t xml:space="preserve">EXCLUDE_REVIEW</t>
        </is>
      </c>
      <c r="G226" s="0" t="inlineStr">
        <is>
          <t xml:space="preserve">BC</t>
        </is>
      </c>
      <c r="H226" s="5">
        <v>0</v>
      </c>
      <c r="I226" s="5">
        <v>0</v>
      </c>
      <c r="J226" s="5">
        <v>1</v>
      </c>
      <c r="K226" s="5">
        <v>53.960096</v>
      </c>
      <c r="L226" s="7">
        <v>0.0</v>
      </c>
      <c r="M226" s="7">
        <v>0.0</v>
      </c>
      <c r="N226" s="7">
        <v>0.0</v>
      </c>
      <c r="O226" s="7">
        <v>0.0</v>
      </c>
    </row>
    <row r="227" outlineLevel="1">
      <c r="B227" s="0" t="inlineStr">
        <is>
          <t xml:space="preserve">2025-11-12</t>
        </is>
      </c>
      <c r="C227" s="0" t="inlineStr">
        <is>
          <t xml:space="preserve">N00024-22-C-5500</t>
        </is>
      </c>
      <c r="D227" s="0" t="inlineStr">
        <is>
          <t xml:space="preserve">non_sub</t>
        </is>
      </c>
      <c r="E227" s="0" t="inlineStr">
        <is>
          <t xml:space="preserve">other</t>
        </is>
      </c>
      <c r="F227" s="0" t="inlineStr">
        <is>
          <t xml:space="preserve">EXCLUDE_REVIEW</t>
        </is>
      </c>
      <c r="G227" s="0" t="inlineStr">
        <is>
          <t xml:space="preserve">BC</t>
        </is>
      </c>
      <c r="H227" s="5">
        <v>0</v>
      </c>
      <c r="I227" s="5">
        <v>0</v>
      </c>
      <c r="J227" s="5">
        <v>1</v>
      </c>
      <c r="K227" s="5">
        <v>53.793482</v>
      </c>
      <c r="L227" s="7">
        <v>0.0</v>
      </c>
      <c r="M227" s="7">
        <v>0.0</v>
      </c>
      <c r="N227" s="7">
        <v>1.0</v>
      </c>
      <c r="O227" s="7">
        <v>0.0</v>
      </c>
    </row>
    <row r="228" outlineLevel="1">
      <c r="B228" s="0" t="inlineStr">
        <is>
          <t xml:space="preserve">2024-03-29</t>
        </is>
      </c>
      <c r="C228" s="0" t="inlineStr">
        <is>
          <t xml:space="preserve">N00024-20-D-5109</t>
        </is>
      </c>
      <c r="D228" s="0" t="inlineStr">
        <is>
          <t xml:space="preserve">non_sub</t>
        </is>
      </c>
      <c r="E228" s="0" t="inlineStr">
        <is>
          <t xml:space="preserve">fms</t>
        </is>
      </c>
      <c r="F228" s="0" t="inlineStr">
        <is>
          <t xml:space="preserve">EXCLUDE_REVIEW</t>
        </is>
      </c>
      <c r="G228" s="0" t="inlineStr">
        <is>
          <t xml:space="preserve">BC</t>
        </is>
      </c>
      <c r="H228" s="5">
        <v>0</v>
      </c>
      <c r="I228" s="5">
        <v>0</v>
      </c>
      <c r="J228" s="5">
        <v>1</v>
      </c>
      <c r="K228" s="5">
        <v>53.214351</v>
      </c>
      <c r="L228" s="7">
        <v>0.0</v>
      </c>
      <c r="M228" s="7">
        <v>0.0</v>
      </c>
      <c r="N228" s="7">
        <v>1.0</v>
      </c>
      <c r="O228" s="7">
        <v>0.0</v>
      </c>
    </row>
    <row r="229" outlineLevel="1">
      <c r="B229" s="0" t="inlineStr">
        <is>
          <t xml:space="preserve">2025-08-21</t>
        </is>
      </c>
      <c r="C229" s="0" t="inlineStr">
        <is>
          <t xml:space="preserve">N00024-22-C-5500</t>
        </is>
      </c>
      <c r="D229" s="0" t="inlineStr">
        <is>
          <t xml:space="preserve">non_sub</t>
        </is>
      </c>
      <c r="E229" s="0" t="inlineStr">
        <is>
          <t xml:space="preserve">other</t>
        </is>
      </c>
      <c r="F229" s="0" t="inlineStr">
        <is>
          <t xml:space="preserve">EXCLUDE_REVIEW</t>
        </is>
      </c>
      <c r="G229" s="0" t="inlineStr">
        <is>
          <t xml:space="preserve">BC</t>
        </is>
      </c>
      <c r="H229" s="5">
        <v>0</v>
      </c>
      <c r="I229" s="5">
        <v>0</v>
      </c>
      <c r="J229" s="5">
        <v>1</v>
      </c>
      <c r="K229" s="5">
        <v>52.981009</v>
      </c>
      <c r="L229" s="7">
        <v>0.0</v>
      </c>
      <c r="M229" s="7">
        <v>0.0</v>
      </c>
      <c r="N229" s="7">
        <v>0.81</v>
      </c>
      <c r="O229" s="7">
        <v>0.0</v>
      </c>
    </row>
    <row r="230" outlineLevel="1">
      <c r="B230" s="0" t="inlineStr">
        <is>
          <t xml:space="preserve">2025-12-23</t>
        </is>
      </c>
      <c r="C230" s="0" t="inlineStr">
        <is>
          <t xml:space="preserve">-</t>
        </is>
      </c>
      <c r="D230" s="0" t="inlineStr">
        <is>
          <t xml:space="preserve">sub_other</t>
        </is>
      </c>
      <c r="E230" s="0" t="inlineStr">
        <is>
          <t xml:space="preserve">other</t>
        </is>
      </c>
      <c r="F230" s="0" t="inlineStr">
        <is>
          <t xml:space="preserve">EXCLUDE_REVIEW</t>
        </is>
      </c>
      <c r="G230" s="0" t="inlineStr">
        <is>
          <t xml:space="preserve">BC</t>
        </is>
      </c>
      <c r="H230" s="5">
        <v>0</v>
      </c>
      <c r="I230" s="5">
        <v>0</v>
      </c>
      <c r="J230" s="5">
        <v>1</v>
      </c>
      <c r="K230" s="5">
        <v>52.969729</v>
      </c>
      <c r="L230" s="7">
        <v>0.0</v>
      </c>
      <c r="M230" s="7">
        <v>0.0</v>
      </c>
      <c r="N230" s="7">
        <v>1.0</v>
      </c>
      <c r="O230" s="7">
        <v>0.0</v>
      </c>
    </row>
    <row r="231" outlineLevel="1">
      <c r="B231" s="0" t="inlineStr">
        <is>
          <t xml:space="preserve">2025-09-03</t>
        </is>
      </c>
      <c r="C231" s="0" t="inlineStr">
        <is>
          <t xml:space="preserve">N00024-15-C-5151</t>
        </is>
      </c>
      <c r="D231" s="0" t="inlineStr">
        <is>
          <t xml:space="preserve">non_sub</t>
        </is>
      </c>
      <c r="E231" s="0" t="inlineStr">
        <is>
          <t xml:space="preserve">other</t>
        </is>
      </c>
      <c r="F231" s="0" t="inlineStr">
        <is>
          <t xml:space="preserve">EXCLUDE_REVIEW</t>
        </is>
      </c>
      <c r="G231" s="0" t="inlineStr">
        <is>
          <t xml:space="preserve">BC</t>
        </is>
      </c>
      <c r="H231" s="5">
        <v>0</v>
      </c>
      <c r="I231" s="5">
        <v>0</v>
      </c>
      <c r="J231" s="5">
        <v>1</v>
      </c>
      <c r="K231" s="5">
        <v>52.966176</v>
      </c>
      <c r="L231" s="7">
        <v>0.0</v>
      </c>
      <c r="M231" s="7">
        <v>0.0</v>
      </c>
      <c r="N231" s="7">
        <v>1.0</v>
      </c>
      <c r="O231" s="7">
        <v>0.0</v>
      </c>
    </row>
    <row r="232" outlineLevel="1">
      <c r="B232" s="0" t="inlineStr">
        <is>
          <t xml:space="preserve">2025-01-24</t>
        </is>
      </c>
      <c r="C232" s="0" t="inlineStr">
        <is>
          <t xml:space="preserve">N00024-12-C-2115</t>
        </is>
      </c>
      <c r="D232" s="0" t="inlineStr">
        <is>
          <t xml:space="preserve">va</t>
        </is>
      </c>
      <c r="E232" s="0" t="inlineStr">
        <is>
          <t xml:space="preserve">other</t>
        </is>
      </c>
      <c r="F232" s="0" t="inlineStr">
        <is>
          <t xml:space="preserve">EXCLUDE_REVIEW</t>
        </is>
      </c>
      <c r="G232" s="0" t="inlineStr">
        <is>
          <t xml:space="preserve">BC</t>
        </is>
      </c>
      <c r="H232" s="5">
        <v>0</v>
      </c>
      <c r="I232" s="5">
        <v>0</v>
      </c>
      <c r="J232" s="5">
        <v>1</v>
      </c>
      <c r="K232" s="5">
        <v>51.664912</v>
      </c>
      <c r="L232" s="7">
        <v>0.02</v>
      </c>
      <c r="M232" s="7">
        <v>0.98</v>
      </c>
      <c r="N232" s="7">
        <v>0.0</v>
      </c>
      <c r="O232" s="7">
        <v>0.0</v>
      </c>
    </row>
    <row r="233" outlineLevel="1">
      <c r="B233" s="0" t="inlineStr">
        <is>
          <t xml:space="preserve">2025-05-21</t>
        </is>
      </c>
      <c r="C233" s="0" t="inlineStr">
        <is>
          <t xml:space="preserve">N69450-20-D-0045</t>
        </is>
      </c>
      <c r="D233" s="0" t="inlineStr">
        <is>
          <t xml:space="preserve">sub_other</t>
        </is>
      </c>
      <c r="E233" s="0" t="inlineStr">
        <is>
          <t xml:space="preserve">other</t>
        </is>
      </c>
      <c r="F233" s="0" t="inlineStr">
        <is>
          <t xml:space="preserve">EXCLUDE_REVIEW</t>
        </is>
      </c>
      <c r="G233" s="0" t="inlineStr">
        <is>
          <t xml:space="preserve">BC</t>
        </is>
      </c>
      <c r="H233" s="5">
        <v>0</v>
      </c>
      <c r="I233" s="5">
        <v>0</v>
      </c>
      <c r="J233" s="5">
        <v>1</v>
      </c>
      <c r="K233" s="5">
        <v>51.24393</v>
      </c>
      <c r="L233" s="7">
        <v>0.0</v>
      </c>
      <c r="M233" s="7">
        <v>0.0</v>
      </c>
      <c r="N233" s="7">
        <v>0.99</v>
      </c>
      <c r="O233" s="7">
        <v>0.0</v>
      </c>
    </row>
    <row r="234" outlineLevel="1">
      <c r="B234" s="0" t="inlineStr">
        <is>
          <t xml:space="preserve">2025-05-12</t>
        </is>
      </c>
      <c r="C234" s="0" t="inlineStr">
        <is>
          <t xml:space="preserve">-</t>
        </is>
      </c>
      <c r="D234" s="0" t="inlineStr">
        <is>
          <t xml:space="preserve">non_sub</t>
        </is>
      </c>
      <c r="E234" s="0" t="inlineStr">
        <is>
          <t xml:space="preserve">engineering</t>
        </is>
      </c>
      <c r="F234" s="0" t="inlineStr">
        <is>
          <t xml:space="preserve">EXCLUDE_REVIEW</t>
        </is>
      </c>
      <c r="G234" s="0" t="inlineStr">
        <is>
          <t xml:space="preserve">BC</t>
        </is>
      </c>
      <c r="H234" s="5">
        <v>0</v>
      </c>
      <c r="I234" s="5">
        <v>0</v>
      </c>
      <c r="J234" s="5">
        <v>1</v>
      </c>
      <c r="K234" s="5">
        <v>51.0</v>
      </c>
      <c r="L234" s="7">
        <v>0.0</v>
      </c>
      <c r="M234" s="7">
        <v>0.0</v>
      </c>
      <c r="N234" s="7">
        <v>0.0</v>
      </c>
      <c r="O234" s="7">
        <v>0.0</v>
      </c>
    </row>
    <row r="235" outlineLevel="1">
      <c r="B235" s="0" t="inlineStr">
        <is>
          <t xml:space="preserve">2023-02-27</t>
        </is>
      </c>
      <c r="C235" s="0" t="inlineStr">
        <is>
          <t xml:space="preserve">-</t>
        </is>
      </c>
      <c r="D235" s="0" t="inlineStr">
        <is>
          <t xml:space="preserve">non_sub</t>
        </is>
      </c>
      <c r="E235" s="0" t="inlineStr">
        <is>
          <t xml:space="preserve">other</t>
        </is>
      </c>
      <c r="F235" s="0" t="inlineStr">
        <is>
          <t xml:space="preserve">EXCLUDE_REVIEW</t>
        </is>
      </c>
      <c r="G235" s="0" t="inlineStr">
        <is>
          <t xml:space="preserve">BC</t>
        </is>
      </c>
      <c r="H235" s="5">
        <v>0</v>
      </c>
      <c r="I235" s="5">
        <v>0</v>
      </c>
      <c r="J235" s="5">
        <v>1</v>
      </c>
      <c r="K235" s="5">
        <v>50.815986</v>
      </c>
      <c r="L235" s="7">
        <v>0.0</v>
      </c>
      <c r="M235" s="7">
        <v>0.0</v>
      </c>
      <c r="N235" s="7">
        <v>1.0</v>
      </c>
      <c r="O235" s="7">
        <v>0.0</v>
      </c>
    </row>
    <row r="236" outlineLevel="1">
      <c r="B236" s="0" t="inlineStr">
        <is>
          <t xml:space="preserve">2024-05-29</t>
        </is>
      </c>
      <c r="C236" s="0" t="inlineStr">
        <is>
          <t xml:space="preserve">N69450-20-D-0045</t>
        </is>
      </c>
      <c r="D236" s="0" t="inlineStr">
        <is>
          <t xml:space="preserve">sub_other</t>
        </is>
      </c>
      <c r="E236" s="0" t="inlineStr">
        <is>
          <t xml:space="preserve">other</t>
        </is>
      </c>
      <c r="F236" s="0" t="inlineStr">
        <is>
          <t xml:space="preserve">EXCLUDE_REVIEW</t>
        </is>
      </c>
      <c r="G236" s="0" t="inlineStr">
        <is>
          <t xml:space="preserve">BC</t>
        </is>
      </c>
      <c r="H236" s="5">
        <v>0</v>
      </c>
      <c r="I236" s="5">
        <v>0</v>
      </c>
      <c r="J236" s="5">
        <v>1</v>
      </c>
      <c r="K236" s="5">
        <v>50.642443</v>
      </c>
      <c r="L236" s="7">
        <v>0.0</v>
      </c>
      <c r="M236" s="7">
        <v>0.0</v>
      </c>
      <c r="N236" s="7">
        <v>0.99</v>
      </c>
      <c r="O236" s="7">
        <v>0.0</v>
      </c>
    </row>
    <row r="237" outlineLevel="1">
      <c r="B237" s="0" t="inlineStr">
        <is>
          <t xml:space="preserve">2024-06-28</t>
        </is>
      </c>
      <c r="C237" s="0" t="inlineStr">
        <is>
          <t xml:space="preserve">N00024-23-C-5325</t>
        </is>
      </c>
      <c r="D237" s="0" t="inlineStr">
        <is>
          <t xml:space="preserve">non_sub</t>
        </is>
      </c>
      <c r="E237" s="0" t="inlineStr">
        <is>
          <t xml:space="preserve">fms</t>
        </is>
      </c>
      <c r="F237" s="0" t="inlineStr">
        <is>
          <t xml:space="preserve">EXCLUDE_REVIEW</t>
        </is>
      </c>
      <c r="G237" s="0" t="inlineStr">
        <is>
          <t xml:space="preserve">BC</t>
        </is>
      </c>
      <c r="H237" s="5">
        <v>0</v>
      </c>
      <c r="I237" s="5">
        <v>0</v>
      </c>
      <c r="J237" s="5">
        <v>1</v>
      </c>
      <c r="K237" s="5">
        <v>50.462612</v>
      </c>
      <c r="L237" s="7">
        <v>0.0</v>
      </c>
      <c r="M237" s="7">
        <v>0.0</v>
      </c>
      <c r="N237" s="7">
        <v>0.77</v>
      </c>
      <c r="O237" s="7">
        <v>0.0</v>
      </c>
    </row>
    <row r="238" outlineLevel="1">
      <c r="B238" s="0" t="inlineStr">
        <is>
          <t xml:space="preserve">2026-03-31</t>
        </is>
      </c>
      <c r="C238" s="0" t="inlineStr">
        <is>
          <t xml:space="preserve">N00024-20-C-6117</t>
        </is>
      </c>
      <c r="D238" s="0" t="inlineStr">
        <is>
          <t xml:space="preserve">non_sub</t>
        </is>
      </c>
      <c r="E238" s="0" t="inlineStr">
        <is>
          <t xml:space="preserve">other</t>
        </is>
      </c>
      <c r="F238" s="0" t="inlineStr">
        <is>
          <t xml:space="preserve">EXCLUDE_REVIEW</t>
        </is>
      </c>
      <c r="G238" s="0" t="inlineStr">
        <is>
          <t xml:space="preserve">BC</t>
        </is>
      </c>
      <c r="H238" s="5">
        <v>0</v>
      </c>
      <c r="I238" s="5">
        <v>0</v>
      </c>
      <c r="J238" s="5">
        <v>1</v>
      </c>
      <c r="K238" s="5">
        <v>50.132505</v>
      </c>
      <c r="L238" s="7">
        <v>0.0</v>
      </c>
      <c r="M238" s="7">
        <v>0.0</v>
      </c>
      <c r="N238" s="7">
        <v>1.0</v>
      </c>
      <c r="O238" s="7">
        <v>0.0</v>
      </c>
    </row>
    <row r="239" outlineLevel="1">
      <c r="B239" s="0" t="inlineStr">
        <is>
          <t xml:space="preserve">2022-12-12</t>
        </is>
      </c>
      <c r="C239" s="0" t="inlineStr">
        <is>
          <t xml:space="preserve">N00024-12-C-2115</t>
        </is>
      </c>
      <c r="D239" s="0" t="inlineStr">
        <is>
          <t xml:space="preserve">va</t>
        </is>
      </c>
      <c r="E239" s="0" t="inlineStr">
        <is>
          <t xml:space="preserve">other</t>
        </is>
      </c>
      <c r="F239" s="0" t="inlineStr">
        <is>
          <t xml:space="preserve">EXCLUDE_REVIEW</t>
        </is>
      </c>
      <c r="G239" s="0" t="inlineStr">
        <is>
          <t xml:space="preserve">BC</t>
        </is>
      </c>
      <c r="H239" s="5">
        <v>0</v>
      </c>
      <c r="I239" s="5">
        <v>0</v>
      </c>
      <c r="J239" s="5">
        <v>1</v>
      </c>
      <c r="K239" s="5">
        <v>50.089615</v>
      </c>
      <c r="L239" s="7">
        <v>0.04</v>
      </c>
      <c r="M239" s="7">
        <v>0.96</v>
      </c>
      <c r="N239" s="7">
        <v>0.0</v>
      </c>
      <c r="O239" s="7">
        <v>0.0</v>
      </c>
    </row>
    <row r="240" outlineLevel="1">
      <c r="B240" s="0" t="inlineStr">
        <is>
          <t xml:space="preserve">2026-03-06</t>
        </is>
      </c>
      <c r="C240" s="0" t="inlineStr">
        <is>
          <t xml:space="preserve">N00024-19-D-4323</t>
        </is>
      </c>
      <c r="D240" s="0" t="inlineStr">
        <is>
          <t xml:space="preserve">non_sub</t>
        </is>
      </c>
      <c r="E240" s="0" t="inlineStr">
        <is>
          <t xml:space="preserve">other</t>
        </is>
      </c>
      <c r="F240" s="0" t="inlineStr">
        <is>
          <t xml:space="preserve">EXCLUDE_REVIEW</t>
        </is>
      </c>
      <c r="G240" s="0" t="inlineStr">
        <is>
          <t xml:space="preserve">BC</t>
        </is>
      </c>
      <c r="H240" s="5">
        <v>0</v>
      </c>
      <c r="I240" s="5">
        <v>0</v>
      </c>
      <c r="J240" s="5">
        <v>1</v>
      </c>
      <c r="K240" s="5">
        <v>50.0</v>
      </c>
      <c r="L240" s="7">
        <v>0.0</v>
      </c>
      <c r="M240" s="7">
        <v>0.0</v>
      </c>
      <c r="N240" s="7">
        <v>0.0</v>
      </c>
      <c r="O240" s="7">
        <v>0.0</v>
      </c>
    </row>
    <row r="241" outlineLevel="1">
      <c r="B241" s="0" t="inlineStr">
        <is>
          <t xml:space="preserve">2025-06-30</t>
        </is>
      </c>
      <c r="C241" s="0" t="inlineStr">
        <is>
          <t xml:space="preserve">N00024-25-C-5409</t>
        </is>
      </c>
      <c r="D241" s="0" t="inlineStr">
        <is>
          <t xml:space="preserve">non_sub</t>
        </is>
      </c>
      <c r="E241" s="0" t="inlineStr">
        <is>
          <t xml:space="preserve">other</t>
        </is>
      </c>
      <c r="F241" s="0" t="inlineStr">
        <is>
          <t xml:space="preserve">EXCLUDE_REVIEW</t>
        </is>
      </c>
      <c r="G241" s="0" t="inlineStr">
        <is>
          <t xml:space="preserve">BC</t>
        </is>
      </c>
      <c r="H241" s="5">
        <v>0</v>
      </c>
      <c r="I241" s="5">
        <v>0</v>
      </c>
      <c r="J241" s="5">
        <v>1</v>
      </c>
      <c r="K241" s="5">
        <v>49.790954</v>
      </c>
      <c r="L241" s="7">
        <v>0.0</v>
      </c>
      <c r="M241" s="7">
        <v>0.0</v>
      </c>
      <c r="N241" s="7">
        <v>0.86</v>
      </c>
      <c r="O241" s="7">
        <v>0.0</v>
      </c>
    </row>
    <row r="242" outlineLevel="1">
      <c r="B242" s="0" t="inlineStr">
        <is>
          <t xml:space="preserve">2025-05-28</t>
        </is>
      </c>
      <c r="C242" s="0" t="inlineStr">
        <is>
          <t xml:space="preserve">N00024-21-C-2106</t>
        </is>
      </c>
      <c r="D242" s="0" t="inlineStr">
        <is>
          <t xml:space="preserve">non_sub</t>
        </is>
      </c>
      <c r="E242" s="0" t="inlineStr">
        <is>
          <t xml:space="preserve">repair_overhaul</t>
        </is>
      </c>
      <c r="F242" s="0" t="inlineStr">
        <is>
          <t xml:space="preserve">EXCLUDE_REVIEW</t>
        </is>
      </c>
      <c r="G242" s="0" t="inlineStr">
        <is>
          <t xml:space="preserve">BC</t>
        </is>
      </c>
      <c r="H242" s="5">
        <v>0</v>
      </c>
      <c r="I242" s="5">
        <v>0</v>
      </c>
      <c r="J242" s="5">
        <v>1</v>
      </c>
      <c r="K242" s="5">
        <v>49.706208</v>
      </c>
      <c r="L242" s="7">
        <v>0.0</v>
      </c>
      <c r="M242" s="7">
        <v>0.0</v>
      </c>
      <c r="N242" s="7">
        <v>0.0</v>
      </c>
      <c r="O242" s="7">
        <v>0.0</v>
      </c>
    </row>
    <row r="243" outlineLevel="1">
      <c r="B243" s="0" t="inlineStr">
        <is>
          <t xml:space="preserve">2025-02-20</t>
        </is>
      </c>
      <c r="C243" s="0" t="inlineStr">
        <is>
          <t xml:space="preserve">N00024-25-C-4208</t>
        </is>
      </c>
      <c r="D243" s="0" t="inlineStr">
        <is>
          <t xml:space="preserve">non_sub</t>
        </is>
      </c>
      <c r="E243" s="0" t="inlineStr">
        <is>
          <t xml:space="preserve">repair_overhaul</t>
        </is>
      </c>
      <c r="F243" s="0" t="inlineStr">
        <is>
          <t xml:space="preserve">EXCLUDE_REVIEW</t>
        </is>
      </c>
      <c r="G243" s="0" t="inlineStr">
        <is>
          <t xml:space="preserve">BC</t>
        </is>
      </c>
      <c r="H243" s="5">
        <v>0</v>
      </c>
      <c r="I243" s="5">
        <v>0</v>
      </c>
      <c r="J243" s="5">
        <v>1</v>
      </c>
      <c r="K243" s="5">
        <v>49.633588</v>
      </c>
      <c r="L243" s="7">
        <v>0.0</v>
      </c>
      <c r="M243" s="7">
        <v>0.0</v>
      </c>
      <c r="N243" s="7">
        <v>0.0</v>
      </c>
      <c r="O243" s="7">
        <v>0.0</v>
      </c>
    </row>
    <row r="244" outlineLevel="1">
      <c r="B244" s="0" t="inlineStr">
        <is>
          <t xml:space="preserve">2025-06-04</t>
        </is>
      </c>
      <c r="C244" s="0" t="inlineStr">
        <is>
          <t xml:space="preserve">-</t>
        </is>
      </c>
      <c r="D244" s="0" t="inlineStr">
        <is>
          <t xml:space="preserve">sub_other</t>
        </is>
      </c>
      <c r="E244" s="0" t="inlineStr">
        <is>
          <t xml:space="preserve">other</t>
        </is>
      </c>
      <c r="F244" s="0" t="inlineStr">
        <is>
          <t xml:space="preserve">EXCLUDE_REVIEW</t>
        </is>
      </c>
      <c r="G244" s="0" t="inlineStr">
        <is>
          <t xml:space="preserve">BC</t>
        </is>
      </c>
      <c r="H244" s="5">
        <v>0</v>
      </c>
      <c r="I244" s="5">
        <v>0</v>
      </c>
      <c r="J244" s="5">
        <v>1</v>
      </c>
      <c r="K244" s="5">
        <v>49.52536</v>
      </c>
      <c r="L244" s="7">
        <v>0.0</v>
      </c>
      <c r="M244" s="7">
        <v>0.0</v>
      </c>
      <c r="N244" s="7">
        <v>1.0</v>
      </c>
      <c r="O244" s="7">
        <v>0.0</v>
      </c>
    </row>
    <row r="245" outlineLevel="1">
      <c r="B245" s="0" t="inlineStr">
        <is>
          <t xml:space="preserve">2025-11-19</t>
        </is>
      </c>
      <c r="C245" s="0" t="inlineStr">
        <is>
          <t xml:space="preserve">N00024-21-C-5100</t>
        </is>
      </c>
      <c r="D245" s="0" t="inlineStr">
        <is>
          <t xml:space="preserve">non_sub</t>
        </is>
      </c>
      <c r="E245" s="0" t="inlineStr">
        <is>
          <t xml:space="preserve">fms</t>
        </is>
      </c>
      <c r="F245" s="0" t="inlineStr">
        <is>
          <t xml:space="preserve">EXCLUDE_REVIEW</t>
        </is>
      </c>
      <c r="G245" s="0" t="inlineStr">
        <is>
          <t xml:space="preserve">BC</t>
        </is>
      </c>
      <c r="H245" s="5">
        <v>0</v>
      </c>
      <c r="I245" s="5">
        <v>0</v>
      </c>
      <c r="J245" s="5">
        <v>1</v>
      </c>
      <c r="K245" s="5">
        <v>48.990984</v>
      </c>
      <c r="L245" s="7">
        <v>0.0</v>
      </c>
      <c r="M245" s="7">
        <v>0.0</v>
      </c>
      <c r="N245" s="7">
        <v>1.0</v>
      </c>
      <c r="O245" s="7">
        <v>0.0</v>
      </c>
    </row>
    <row r="246" outlineLevel="1">
      <c r="B246" s="0" t="inlineStr">
        <is>
          <t xml:space="preserve">2023-10-13</t>
        </is>
      </c>
      <c r="C246" s="0" t="inlineStr">
        <is>
          <t xml:space="preserve">N00024-24-C-2101</t>
        </is>
      </c>
      <c r="D246" s="0" t="inlineStr">
        <is>
          <t xml:space="preserve">non_sub</t>
        </is>
      </c>
      <c r="E246" s="0" t="inlineStr">
        <is>
          <t xml:space="preserve">sustainment_maintenance</t>
        </is>
      </c>
      <c r="F246" s="0" t="inlineStr">
        <is>
          <t xml:space="preserve">EXCLUDE_REVIEW</t>
        </is>
      </c>
      <c r="G246" s="0" t="inlineStr">
        <is>
          <t xml:space="preserve">BC</t>
        </is>
      </c>
      <c r="H246" s="5">
        <v>0</v>
      </c>
      <c r="I246" s="5">
        <v>0</v>
      </c>
      <c r="J246" s="5">
        <v>1</v>
      </c>
      <c r="K246" s="5">
        <v>48.497928</v>
      </c>
      <c r="L246" s="7">
        <v>0.0</v>
      </c>
      <c r="M246" s="7">
        <v>0.0</v>
      </c>
      <c r="N246" s="7">
        <v>0.0</v>
      </c>
      <c r="O246" s="7">
        <v>0.0</v>
      </c>
    </row>
    <row r="247" outlineLevel="1">
      <c r="B247" s="0" t="inlineStr">
        <is>
          <t xml:space="preserve">2025-02-07</t>
        </is>
      </c>
      <c r="C247" s="0" t="inlineStr">
        <is>
          <t xml:space="preserve">-</t>
        </is>
      </c>
      <c r="D247" s="0" t="inlineStr">
        <is>
          <t xml:space="preserve">non_sub</t>
        </is>
      </c>
      <c r="E247" s="0" t="inlineStr">
        <is>
          <t xml:space="preserve">sustainment_maintenance</t>
        </is>
      </c>
      <c r="F247" s="0" t="inlineStr">
        <is>
          <t xml:space="preserve">EXCLUDE_REVIEW</t>
        </is>
      </c>
      <c r="G247" s="0" t="inlineStr">
        <is>
          <t xml:space="preserve">BC</t>
        </is>
      </c>
      <c r="H247" s="5">
        <v>0</v>
      </c>
      <c r="I247" s="5">
        <v>0</v>
      </c>
      <c r="J247" s="5">
        <v>1</v>
      </c>
      <c r="K247" s="5">
        <v>48.360544</v>
      </c>
      <c r="L247" s="7">
        <v>0.0</v>
      </c>
      <c r="M247" s="7">
        <v>0.0</v>
      </c>
      <c r="N247" s="7">
        <v>0.0</v>
      </c>
      <c r="O247" s="7">
        <v>0.0</v>
      </c>
    </row>
    <row r="248" outlineLevel="1">
      <c r="B248" s="0" t="inlineStr">
        <is>
          <t xml:space="preserve">2025-07-10</t>
        </is>
      </c>
      <c r="C248" s="0" t="inlineStr">
        <is>
          <t xml:space="preserve">N00024-24-C-5324</t>
        </is>
      </c>
      <c r="D248" s="0" t="inlineStr">
        <is>
          <t xml:space="preserve">non_sub</t>
        </is>
      </c>
      <c r="E248" s="0" t="inlineStr">
        <is>
          <t xml:space="preserve">fms</t>
        </is>
      </c>
      <c r="F248" s="0" t="inlineStr">
        <is>
          <t xml:space="preserve">EXCLUDE_REVIEW</t>
        </is>
      </c>
      <c r="G248" s="0" t="inlineStr">
        <is>
          <t xml:space="preserve">BC</t>
        </is>
      </c>
      <c r="H248" s="5">
        <v>0</v>
      </c>
      <c r="I248" s="5">
        <v>0</v>
      </c>
      <c r="J248" s="5">
        <v>1</v>
      </c>
      <c r="K248" s="5">
        <v>48.035288</v>
      </c>
      <c r="L248" s="7">
        <v>0.0</v>
      </c>
      <c r="M248" s="7">
        <v>0.0</v>
      </c>
      <c r="N248" s="7">
        <v>1.0</v>
      </c>
      <c r="O248" s="7">
        <v>0.0</v>
      </c>
    </row>
    <row r="249" outlineLevel="1">
      <c r="B249" s="0" t="inlineStr">
        <is>
          <t xml:space="preserve">2023-09-08</t>
        </is>
      </c>
      <c r="C249" s="0" t="inlineStr">
        <is>
          <t xml:space="preserve">-</t>
        </is>
      </c>
      <c r="D249" s="0" t="inlineStr">
        <is>
          <t xml:space="preserve">non_sub</t>
        </is>
      </c>
      <c r="E249" s="0" t="inlineStr">
        <is>
          <t xml:space="preserve">sustainment_maintenance</t>
        </is>
      </c>
      <c r="F249" s="0" t="inlineStr">
        <is>
          <t xml:space="preserve">EXCLUDE_REVIEW</t>
        </is>
      </c>
      <c r="G249" s="0" t="inlineStr">
        <is>
          <t xml:space="preserve">BC</t>
        </is>
      </c>
      <c r="H249" s="5">
        <v>0</v>
      </c>
      <c r="I249" s="5">
        <v>0</v>
      </c>
      <c r="J249" s="5">
        <v>1</v>
      </c>
      <c r="K249" s="5">
        <v>46.705533</v>
      </c>
      <c r="L249" s="7">
        <v>0.0</v>
      </c>
      <c r="M249" s="7">
        <v>0.0</v>
      </c>
      <c r="N249" s="7">
        <v>1.0</v>
      </c>
      <c r="O249" s="7">
        <v>0.0</v>
      </c>
    </row>
    <row r="250" outlineLevel="1">
      <c r="B250" s="0" t="inlineStr">
        <is>
          <t xml:space="preserve">2023-06-22</t>
        </is>
      </c>
      <c r="C250" s="0" t="inlineStr">
        <is>
          <t xml:space="preserve">-</t>
        </is>
      </c>
      <c r="D250" s="0" t="inlineStr">
        <is>
          <t xml:space="preserve">non_sub</t>
        </is>
      </c>
      <c r="E250" s="0" t="inlineStr">
        <is>
          <t xml:space="preserve">other</t>
        </is>
      </c>
      <c r="F250" s="0" t="inlineStr">
        <is>
          <t xml:space="preserve">EXCLUDE_REVIEW</t>
        </is>
      </c>
      <c r="G250" s="0" t="inlineStr">
        <is>
          <t xml:space="preserve">BC</t>
        </is>
      </c>
      <c r="H250" s="5">
        <v>0</v>
      </c>
      <c r="I250" s="5">
        <v>0</v>
      </c>
      <c r="J250" s="5">
        <v>1</v>
      </c>
      <c r="K250" s="5">
        <v>46.333112</v>
      </c>
      <c r="L250" s="7">
        <v>0.0</v>
      </c>
      <c r="M250" s="7">
        <v>0.0</v>
      </c>
      <c r="N250" s="7">
        <v>1.0</v>
      </c>
      <c r="O250" s="7">
        <v>0.0</v>
      </c>
    </row>
    <row r="251" outlineLevel="1">
      <c r="B251" s="0" t="inlineStr">
        <is>
          <t xml:space="preserve">2022-09-06</t>
        </is>
      </c>
      <c r="C251" s="0" t="inlineStr">
        <is>
          <t xml:space="preserve">-</t>
        </is>
      </c>
      <c r="D251" s="0" t="inlineStr">
        <is>
          <t xml:space="preserve">non_sub</t>
        </is>
      </c>
      <c r="E251" s="0" t="inlineStr">
        <is>
          <t xml:space="preserve">engineering</t>
        </is>
      </c>
      <c r="F251" s="0" t="inlineStr">
        <is>
          <t xml:space="preserve">EXCLUDE_REVIEW</t>
        </is>
      </c>
      <c r="G251" s="0" t="inlineStr">
        <is>
          <t xml:space="preserve">BC</t>
        </is>
      </c>
      <c r="H251" s="5">
        <v>0</v>
      </c>
      <c r="I251" s="5">
        <v>0</v>
      </c>
      <c r="J251" s="5">
        <v>1</v>
      </c>
      <c r="K251" s="5">
        <v>45.837976</v>
      </c>
      <c r="L251" s="7">
        <v>0.0</v>
      </c>
      <c r="M251" s="7">
        <v>0.0</v>
      </c>
      <c r="N251" s="7">
        <v>0.6</v>
      </c>
      <c r="O251" s="7">
        <v>0.0</v>
      </c>
    </row>
    <row r="252" outlineLevel="1">
      <c r="B252" s="0" t="inlineStr">
        <is>
          <t xml:space="preserve">2026-03-13</t>
        </is>
      </c>
      <c r="C252" s="0" t="inlineStr">
        <is>
          <t xml:space="preserve">N00024-26-C-5432</t>
        </is>
      </c>
      <c r="D252" s="0" t="inlineStr">
        <is>
          <t xml:space="preserve">non_sub</t>
        </is>
      </c>
      <c r="E252" s="0" t="inlineStr">
        <is>
          <t xml:space="preserve">fms</t>
        </is>
      </c>
      <c r="F252" s="0" t="inlineStr">
        <is>
          <t xml:space="preserve">EXCLUDE_REVIEW</t>
        </is>
      </c>
      <c r="G252" s="0" t="inlineStr">
        <is>
          <t xml:space="preserve">BC</t>
        </is>
      </c>
      <c r="H252" s="5">
        <v>0</v>
      </c>
      <c r="I252" s="5">
        <v>0</v>
      </c>
      <c r="J252" s="5">
        <v>1</v>
      </c>
      <c r="K252" s="5">
        <v>45.544458</v>
      </c>
      <c r="L252" s="7">
        <v>0.0</v>
      </c>
      <c r="M252" s="7">
        <v>0.0</v>
      </c>
      <c r="N252" s="7">
        <v>0.86</v>
      </c>
      <c r="O252" s="7">
        <v>0.0</v>
      </c>
    </row>
    <row r="253" outlineLevel="1">
      <c r="B253" s="0" t="inlineStr">
        <is>
          <t xml:space="preserve">2026-02-27</t>
        </is>
      </c>
      <c r="C253" s="0" t="inlineStr">
        <is>
          <t xml:space="preserve">N00024-24-F-4319</t>
        </is>
      </c>
      <c r="D253" s="0" t="inlineStr">
        <is>
          <t xml:space="preserve">va</t>
        </is>
      </c>
      <c r="E253" s="0" t="inlineStr">
        <is>
          <t xml:space="preserve">other</t>
        </is>
      </c>
      <c r="F253" s="0" t="inlineStr">
        <is>
          <t xml:space="preserve">EXCLUDE_REVIEW</t>
        </is>
      </c>
      <c r="G253" s="0" t="inlineStr">
        <is>
          <t xml:space="preserve">BC</t>
        </is>
      </c>
      <c r="H253" s="5">
        <v>0</v>
      </c>
      <c r="I253" s="5">
        <v>0</v>
      </c>
      <c r="J253" s="5">
        <v>1</v>
      </c>
      <c r="K253" s="5">
        <v>44.97788</v>
      </c>
      <c r="L253" s="7">
        <v>0.0</v>
      </c>
      <c r="M253" s="7">
        <v>0.0</v>
      </c>
      <c r="N253" s="7">
        <v>0.0</v>
      </c>
      <c r="O253" s="7">
        <v>0.0</v>
      </c>
    </row>
    <row r="254" outlineLevel="1">
      <c r="B254" s="0" t="inlineStr">
        <is>
          <t xml:space="preserve">2025-02-20</t>
        </is>
      </c>
      <c r="C254" s="0" t="inlineStr">
        <is>
          <t xml:space="preserve">N00024-24-C-2106</t>
        </is>
      </c>
      <c r="D254" s="0" t="inlineStr">
        <is>
          <t xml:space="preserve">non_sub</t>
        </is>
      </c>
      <c r="E254" s="0" t="inlineStr">
        <is>
          <t xml:space="preserve">repair_overhaul</t>
        </is>
      </c>
      <c r="F254" s="0" t="inlineStr">
        <is>
          <t xml:space="preserve">EXCLUDE_REVIEW</t>
        </is>
      </c>
      <c r="G254" s="0" t="inlineStr">
        <is>
          <t xml:space="preserve">BC</t>
        </is>
      </c>
      <c r="H254" s="5">
        <v>0</v>
      </c>
      <c r="I254" s="5">
        <v>0</v>
      </c>
      <c r="J254" s="5">
        <v>1</v>
      </c>
      <c r="K254" s="5">
        <v>44.955</v>
      </c>
      <c r="L254" s="7">
        <v>0.0</v>
      </c>
      <c r="M254" s="7">
        <v>0.0</v>
      </c>
      <c r="N254" s="7">
        <v>0.0</v>
      </c>
      <c r="O254" s="7">
        <v>0.0</v>
      </c>
    </row>
    <row r="255" outlineLevel="1">
      <c r="B255" s="0" t="inlineStr">
        <is>
          <t xml:space="preserve">2024-03-21</t>
        </is>
      </c>
      <c r="C255" s="0" t="inlineStr">
        <is>
          <t xml:space="preserve">N00024-19-C-4452</t>
        </is>
      </c>
      <c r="D255" s="0" t="inlineStr">
        <is>
          <t xml:space="preserve">non_sub</t>
        </is>
      </c>
      <c r="E255" s="0" t="inlineStr">
        <is>
          <t xml:space="preserve">lead_yard</t>
        </is>
      </c>
      <c r="F255" s="0" t="inlineStr">
        <is>
          <t xml:space="preserve">EXCLUDE_REVIEW</t>
        </is>
      </c>
      <c r="G255" s="0" t="inlineStr">
        <is>
          <t xml:space="preserve">BC</t>
        </is>
      </c>
      <c r="H255" s="5">
        <v>0</v>
      </c>
      <c r="I255" s="5">
        <v>0</v>
      </c>
      <c r="J255" s="5">
        <v>1</v>
      </c>
      <c r="K255" s="5">
        <v>44.492212</v>
      </c>
      <c r="L255" s="7">
        <v>0.0</v>
      </c>
      <c r="M255" s="7">
        <v>0.0</v>
      </c>
      <c r="N255" s="7">
        <v>0.0</v>
      </c>
      <c r="O255" s="7">
        <v>0.0</v>
      </c>
    </row>
    <row r="256" outlineLevel="1">
      <c r="B256" s="0" t="inlineStr">
        <is>
          <t xml:space="preserve">2025-03-31</t>
        </is>
      </c>
      <c r="C256" s="0" t="inlineStr">
        <is>
          <t xml:space="preserve">-</t>
        </is>
      </c>
      <c r="D256" s="0" t="inlineStr">
        <is>
          <t xml:space="preserve">sub_other</t>
        </is>
      </c>
      <c r="E256" s="0" t="inlineStr">
        <is>
          <t xml:space="preserve">other</t>
        </is>
      </c>
      <c r="F256" s="0" t="inlineStr">
        <is>
          <t xml:space="preserve">EXCLUDE_REVIEW</t>
        </is>
      </c>
      <c r="G256" s="0" t="inlineStr">
        <is>
          <t xml:space="preserve">BC</t>
        </is>
      </c>
      <c r="H256" s="5">
        <v>0</v>
      </c>
      <c r="I256" s="5">
        <v>0</v>
      </c>
      <c r="J256" s="5">
        <v>1</v>
      </c>
      <c r="K256" s="5">
        <v>44.170112</v>
      </c>
      <c r="L256" s="7">
        <v>0.0</v>
      </c>
      <c r="M256" s="7">
        <v>0.0</v>
      </c>
      <c r="N256" s="7">
        <v>0.0</v>
      </c>
      <c r="O256" s="7">
        <v>0.0</v>
      </c>
    </row>
    <row r="257" outlineLevel="1">
      <c r="B257" s="0" t="inlineStr">
        <is>
          <t xml:space="preserve">2025-08-08</t>
        </is>
      </c>
      <c r="C257" s="0" t="inlineStr">
        <is>
          <t xml:space="preserve">N00024-20-C-2300</t>
        </is>
      </c>
      <c r="D257" s="0" t="inlineStr">
        <is>
          <t xml:space="preserve">non_sub</t>
        </is>
      </c>
      <c r="E257" s="0" t="inlineStr">
        <is>
          <t xml:space="preserve">other</t>
        </is>
      </c>
      <c r="F257" s="0" t="inlineStr">
        <is>
          <t xml:space="preserve">EXCLUDE_REVIEW</t>
        </is>
      </c>
      <c r="G257" s="0" t="inlineStr">
        <is>
          <t xml:space="preserve">BC</t>
        </is>
      </c>
      <c r="H257" s="5">
        <v>0</v>
      </c>
      <c r="I257" s="5">
        <v>0</v>
      </c>
      <c r="J257" s="5">
        <v>1</v>
      </c>
      <c r="K257" s="5">
        <v>43.114274</v>
      </c>
      <c r="L257" s="7">
        <v>0.0</v>
      </c>
      <c r="M257" s="7">
        <v>0.0</v>
      </c>
      <c r="N257" s="7">
        <v>1.0</v>
      </c>
      <c r="O257" s="7">
        <v>0.0</v>
      </c>
    </row>
    <row r="258" outlineLevel="1">
      <c r="B258" s="0" t="inlineStr">
        <is>
          <t xml:space="preserve">2023-09-21</t>
        </is>
      </c>
      <c r="C258" s="0" t="inlineStr">
        <is>
          <t xml:space="preserve">-</t>
        </is>
      </c>
      <c r="D258" s="0" t="inlineStr">
        <is>
          <t xml:space="preserve">sub_other</t>
        </is>
      </c>
      <c r="E258" s="0" t="inlineStr">
        <is>
          <t xml:space="preserve">design</t>
        </is>
      </c>
      <c r="F258" s="0" t="inlineStr">
        <is>
          <t xml:space="preserve">EXCLUDE_REVIEW</t>
        </is>
      </c>
      <c r="G258" s="0" t="inlineStr">
        <is>
          <t xml:space="preserve">BC</t>
        </is>
      </c>
      <c r="H258" s="5">
        <v>0</v>
      </c>
      <c r="I258" s="5">
        <v>0</v>
      </c>
      <c r="J258" s="5">
        <v>1</v>
      </c>
      <c r="K258" s="5">
        <v>42.964632</v>
      </c>
      <c r="L258" s="7">
        <v>0.96</v>
      </c>
      <c r="M258" s="7">
        <v>0.0</v>
      </c>
      <c r="N258" s="7">
        <v>0.04</v>
      </c>
      <c r="O258" s="7">
        <v>0.0</v>
      </c>
    </row>
    <row r="259" outlineLevel="1">
      <c r="B259" s="0" t="inlineStr">
        <is>
          <t xml:space="preserve">2022-08-26</t>
        </is>
      </c>
      <c r="C259" s="0" t="inlineStr">
        <is>
          <t xml:space="preserve">N64498-22-D-4014</t>
        </is>
      </c>
      <c r="D259" s="0" t="inlineStr">
        <is>
          <t xml:space="preserve">sub_other</t>
        </is>
      </c>
      <c r="E259" s="0" t="inlineStr">
        <is>
          <t xml:space="preserve">engineering</t>
        </is>
      </c>
      <c r="F259" s="0" t="inlineStr">
        <is>
          <t xml:space="preserve">EXCLUDE_REVIEW</t>
        </is>
      </c>
      <c r="G259" s="0" t="inlineStr">
        <is>
          <t xml:space="preserve">BC</t>
        </is>
      </c>
      <c r="H259" s="5">
        <v>0</v>
      </c>
      <c r="I259" s="5">
        <v>0</v>
      </c>
      <c r="J259" s="5">
        <v>1</v>
      </c>
      <c r="K259" s="5">
        <v>42.923521</v>
      </c>
      <c r="L259" s="7">
        <v>0.0</v>
      </c>
      <c r="M259" s="7">
        <v>0.0</v>
      </c>
      <c r="N259" s="7">
        <v>0.0</v>
      </c>
      <c r="O259" s="7">
        <v>0.0</v>
      </c>
    </row>
    <row r="260" outlineLevel="1">
      <c r="B260" s="0" t="inlineStr">
        <is>
          <t xml:space="preserve">2025-04-09</t>
        </is>
      </c>
      <c r="C260" s="0" t="inlineStr">
        <is>
          <t xml:space="preserve">-</t>
        </is>
      </c>
      <c r="D260" s="0" t="inlineStr">
        <is>
          <t xml:space="preserve">non_sub</t>
        </is>
      </c>
      <c r="E260" s="0" t="inlineStr">
        <is>
          <t xml:space="preserve">fms</t>
        </is>
      </c>
      <c r="F260" s="0" t="inlineStr">
        <is>
          <t xml:space="preserve">EXCLUDE_REVIEW</t>
        </is>
      </c>
      <c r="G260" s="0" t="inlineStr">
        <is>
          <t xml:space="preserve">BC</t>
        </is>
      </c>
      <c r="H260" s="5">
        <v>0</v>
      </c>
      <c r="I260" s="5">
        <v>0</v>
      </c>
      <c r="J260" s="5">
        <v>1</v>
      </c>
      <c r="K260" s="5">
        <v>41.442493</v>
      </c>
      <c r="L260" s="7">
        <v>0.0</v>
      </c>
      <c r="M260" s="7">
        <v>0.0</v>
      </c>
      <c r="N260" s="7">
        <v>0.0</v>
      </c>
      <c r="O260" s="7">
        <v>0.0</v>
      </c>
    </row>
    <row r="261" outlineLevel="1">
      <c r="B261" s="0" t="inlineStr">
        <is>
          <t xml:space="preserve">2024-08-27</t>
        </is>
      </c>
      <c r="C261" s="0" t="inlineStr">
        <is>
          <t xml:space="preserve">N64498-24-D-0006</t>
        </is>
      </c>
      <c r="D261" s="0" t="inlineStr">
        <is>
          <t xml:space="preserve">sub_other</t>
        </is>
      </c>
      <c r="E261" s="0" t="inlineStr">
        <is>
          <t xml:space="preserve">design</t>
        </is>
      </c>
      <c r="F261" s="0" t="inlineStr">
        <is>
          <t xml:space="preserve">EXCLUDE_REVIEW</t>
        </is>
      </c>
      <c r="G261" s="0" t="inlineStr">
        <is>
          <t xml:space="preserve">BC</t>
        </is>
      </c>
      <c r="H261" s="5">
        <v>0</v>
      </c>
      <c r="I261" s="5">
        <v>0</v>
      </c>
      <c r="J261" s="5">
        <v>1</v>
      </c>
      <c r="K261" s="5">
        <v>41.391261</v>
      </c>
      <c r="L261" s="7">
        <v>0.0</v>
      </c>
      <c r="M261" s="7">
        <v>0.0</v>
      </c>
      <c r="N261" s="7">
        <v>0.0</v>
      </c>
      <c r="O261" s="7">
        <v>0.0</v>
      </c>
    </row>
    <row r="262" outlineLevel="1">
      <c r="B262" s="0" t="inlineStr">
        <is>
          <t xml:space="preserve">2026-04-30</t>
        </is>
      </c>
      <c r="C262" s="0" t="inlineStr">
        <is>
          <t xml:space="preserve">N00024-22-C-6407</t>
        </is>
      </c>
      <c r="D262" s="0" t="inlineStr">
        <is>
          <t xml:space="preserve">non_sub</t>
        </is>
      </c>
      <c r="E262" s="0" t="inlineStr">
        <is>
          <t xml:space="preserve">fms</t>
        </is>
      </c>
      <c r="F262" s="0" t="inlineStr">
        <is>
          <t xml:space="preserve">EXCLUDE_REVIEW</t>
        </is>
      </c>
      <c r="G262" s="0" t="inlineStr">
        <is>
          <t xml:space="preserve">BC</t>
        </is>
      </c>
      <c r="H262" s="5">
        <v>0</v>
      </c>
      <c r="I262" s="5">
        <v>0</v>
      </c>
      <c r="J262" s="5">
        <v>1</v>
      </c>
      <c r="K262" s="5">
        <v>40.397647</v>
      </c>
      <c r="L262" s="7">
        <v>0.0</v>
      </c>
      <c r="M262" s="7">
        <v>0.0</v>
      </c>
      <c r="N262" s="7">
        <v>1.0</v>
      </c>
      <c r="O262" s="7">
        <v>0.0</v>
      </c>
    </row>
    <row r="263" outlineLevel="1">
      <c r="B263" s="0" t="inlineStr">
        <is>
          <t xml:space="preserve">2023-08-04</t>
        </is>
      </c>
      <c r="C263" s="0" t="inlineStr">
        <is>
          <t xml:space="preserve">N00024-23-C-4307</t>
        </is>
      </c>
      <c r="D263" s="0" t="inlineStr">
        <is>
          <t xml:space="preserve">sub_other</t>
        </is>
      </c>
      <c r="E263" s="0" t="inlineStr">
        <is>
          <t xml:space="preserve">other</t>
        </is>
      </c>
      <c r="F263" s="0" t="inlineStr">
        <is>
          <t xml:space="preserve">EXCLUDE_REVIEW</t>
        </is>
      </c>
      <c r="G263" s="0" t="inlineStr">
        <is>
          <t xml:space="preserve">BC</t>
        </is>
      </c>
      <c r="H263" s="5">
        <v>0</v>
      </c>
      <c r="I263" s="5">
        <v>0</v>
      </c>
      <c r="J263" s="5">
        <v>1</v>
      </c>
      <c r="K263" s="5">
        <v>40.125753</v>
      </c>
      <c r="L263" s="7">
        <v>0.0</v>
      </c>
      <c r="M263" s="7">
        <v>0.0</v>
      </c>
      <c r="N263" s="7">
        <v>0.0</v>
      </c>
      <c r="O263" s="7">
        <v>0.0</v>
      </c>
    </row>
    <row r="264" outlineLevel="1">
      <c r="B264" s="0" t="inlineStr">
        <is>
          <t xml:space="preserve">2025-07-29</t>
        </is>
      </c>
      <c r="C264" s="0" t="inlineStr">
        <is>
          <t xml:space="preserve">-</t>
        </is>
      </c>
      <c r="D264" s="0" t="inlineStr">
        <is>
          <t xml:space="preserve">va</t>
        </is>
      </c>
      <c r="E264" s="0" t="inlineStr">
        <is>
          <t xml:space="preserve">component_procurement</t>
        </is>
      </c>
      <c r="F264" s="0" t="inlineStr">
        <is>
          <t xml:space="preserve">INCLUDE_BC</t>
        </is>
      </c>
      <c r="G264" s="0" t="inlineStr">
        <is>
          <t xml:space="preserve">BC</t>
        </is>
      </c>
      <c r="H264" s="5">
        <v>1</v>
      </c>
      <c r="I264" s="5">
        <v>0</v>
      </c>
      <c r="J264" s="5">
        <v>1</v>
      </c>
      <c r="K264" s="5">
        <v>40.0</v>
      </c>
      <c r="L264" s="7">
        <v>0.0</v>
      </c>
      <c r="M264" s="7">
        <v>0.0</v>
      </c>
      <c r="N264" s="7">
        <v>0.0</v>
      </c>
      <c r="O264" s="7">
        <v>0.0</v>
      </c>
    </row>
    <row r="265" outlineLevel="1">
      <c r="B265" s="0" t="inlineStr">
        <is>
          <t xml:space="preserve">2025-08-20</t>
        </is>
      </c>
      <c r="C265" s="0" t="inlineStr">
        <is>
          <t xml:space="preserve">N00024-25-C-6260</t>
        </is>
      </c>
      <c r="D265" s="0" t="inlineStr">
        <is>
          <t xml:space="preserve">non_sub</t>
        </is>
      </c>
      <c r="E265" s="0" t="inlineStr">
        <is>
          <t xml:space="preserve">other</t>
        </is>
      </c>
      <c r="F265" s="0" t="inlineStr">
        <is>
          <t xml:space="preserve">EXCLUDE_REVIEW</t>
        </is>
      </c>
      <c r="G265" s="0" t="inlineStr">
        <is>
          <t xml:space="preserve">BC</t>
        </is>
      </c>
      <c r="H265" s="5">
        <v>0</v>
      </c>
      <c r="I265" s="5">
        <v>0</v>
      </c>
      <c r="J265" s="5">
        <v>1</v>
      </c>
      <c r="K265" s="5">
        <v>40.0</v>
      </c>
      <c r="L265" s="7">
        <v>0.25</v>
      </c>
      <c r="M265" s="7">
        <v>0.0</v>
      </c>
      <c r="N265" s="7">
        <v>0.75</v>
      </c>
      <c r="O265" s="7">
        <v>0.0</v>
      </c>
    </row>
    <row r="266" outlineLevel="1">
      <c r="B266" s="0" t="inlineStr">
        <is>
          <t xml:space="preserve">2025-01-16</t>
        </is>
      </c>
      <c r="C266" s="0" t="inlineStr">
        <is>
          <t xml:space="preserve">-</t>
        </is>
      </c>
      <c r="D266" s="0" t="inlineStr">
        <is>
          <t xml:space="preserve">non_sub</t>
        </is>
      </c>
      <c r="E266" s="0" t="inlineStr">
        <is>
          <t xml:space="preserve">sustainment_maintenance</t>
        </is>
      </c>
      <c r="F266" s="0" t="inlineStr">
        <is>
          <t xml:space="preserve">EXCLUDE_REVIEW</t>
        </is>
      </c>
      <c r="G266" s="0" t="inlineStr">
        <is>
          <t xml:space="preserve">BC</t>
        </is>
      </c>
      <c r="H266" s="5">
        <v>0</v>
      </c>
      <c r="I266" s="5">
        <v>0</v>
      </c>
      <c r="J266" s="5">
        <v>1</v>
      </c>
      <c r="K266" s="5">
        <v>39.731584</v>
      </c>
      <c r="L266" s="7">
        <v>0.0</v>
      </c>
      <c r="M266" s="7">
        <v>0.0</v>
      </c>
      <c r="N266" s="7">
        <v>0.0</v>
      </c>
      <c r="O266" s="7">
        <v>0.0</v>
      </c>
    </row>
    <row r="267" outlineLevel="1">
      <c r="B267" s="0" t="inlineStr">
        <is>
          <t xml:space="preserve">2023-02-16</t>
        </is>
      </c>
      <c r="C267" s="0" t="inlineStr">
        <is>
          <t xml:space="preserve">N00024-22-C-2313</t>
        </is>
      </c>
      <c r="D267" s="0" t="inlineStr">
        <is>
          <t xml:space="preserve">non_sub</t>
        </is>
      </c>
      <c r="E267" s="0" t="inlineStr">
        <is>
          <t xml:space="preserve">other</t>
        </is>
      </c>
      <c r="F267" s="0" t="inlineStr">
        <is>
          <t xml:space="preserve">EXCLUDE_REVIEW</t>
        </is>
      </c>
      <c r="G267" s="0" t="inlineStr">
        <is>
          <t xml:space="preserve">BC</t>
        </is>
      </c>
      <c r="H267" s="5">
        <v>0</v>
      </c>
      <c r="I267" s="5">
        <v>0</v>
      </c>
      <c r="J267" s="5">
        <v>1</v>
      </c>
      <c r="K267" s="5">
        <v>39.659692</v>
      </c>
      <c r="L267" s="7">
        <v>0.0</v>
      </c>
      <c r="M267" s="7">
        <v>0.0</v>
      </c>
      <c r="N267" s="7">
        <v>1.0</v>
      </c>
      <c r="O267" s="7">
        <v>0.0</v>
      </c>
    </row>
    <row r="268" outlineLevel="1">
      <c r="B268" s="0" t="inlineStr">
        <is>
          <t xml:space="preserve">2022-08-15</t>
        </is>
      </c>
      <c r="C268" s="0" t="inlineStr">
        <is>
          <t xml:space="preserve">-</t>
        </is>
      </c>
      <c r="D268" s="0" t="inlineStr">
        <is>
          <t xml:space="preserve">non_sub</t>
        </is>
      </c>
      <c r="E268" s="0" t="inlineStr">
        <is>
          <t xml:space="preserve">construction</t>
        </is>
      </c>
      <c r="F268" s="0" t="inlineStr">
        <is>
          <t xml:space="preserve">INCLUDE_BC</t>
        </is>
      </c>
      <c r="G268" s="0" t="inlineStr">
        <is>
          <t xml:space="preserve">BC</t>
        </is>
      </c>
      <c r="H268" s="5">
        <v>0</v>
      </c>
      <c r="I268" s="5">
        <v>0</v>
      </c>
      <c r="J268" s="5">
        <v>1</v>
      </c>
      <c r="K268" s="5">
        <v>39.414122</v>
      </c>
      <c r="L268" s="7">
        <v>0.0</v>
      </c>
      <c r="M268" s="7">
        <v>0.25</v>
      </c>
      <c r="N268" s="7">
        <v>0.75</v>
      </c>
      <c r="O268" s="7">
        <v>0.0</v>
      </c>
    </row>
    <row r="269" outlineLevel="1">
      <c r="B269" s="0" t="inlineStr">
        <is>
          <t xml:space="preserve">2022-09-09</t>
        </is>
      </c>
      <c r="C269" s="0" t="inlineStr">
        <is>
          <t xml:space="preserve">N00024-22-C-5400</t>
        </is>
      </c>
      <c r="D269" s="0" t="inlineStr">
        <is>
          <t xml:space="preserve">non_sub</t>
        </is>
      </c>
      <c r="E269" s="0" t="inlineStr">
        <is>
          <t xml:space="preserve">fms</t>
        </is>
      </c>
      <c r="F269" s="0" t="inlineStr">
        <is>
          <t xml:space="preserve">EXCLUDE_REVIEW</t>
        </is>
      </c>
      <c r="G269" s="0" t="inlineStr">
        <is>
          <t xml:space="preserve">BC</t>
        </is>
      </c>
      <c r="H269" s="5">
        <v>0</v>
      </c>
      <c r="I269" s="5">
        <v>0</v>
      </c>
      <c r="J269" s="5">
        <v>1</v>
      </c>
      <c r="K269" s="5">
        <v>39.293592</v>
      </c>
      <c r="L269" s="7">
        <v>0.0</v>
      </c>
      <c r="M269" s="7">
        <v>0.0</v>
      </c>
      <c r="N269" s="7">
        <v>0.97</v>
      </c>
      <c r="O269" s="7">
        <v>0.0</v>
      </c>
    </row>
    <row r="270" outlineLevel="1">
      <c r="B270" s="0" t="inlineStr">
        <is>
          <t xml:space="preserve">2024-03-08</t>
        </is>
      </c>
      <c r="C270" s="0" t="inlineStr">
        <is>
          <t xml:space="preserve">N00024-22-G-5311</t>
        </is>
      </c>
      <c r="D270" s="0" t="inlineStr">
        <is>
          <t xml:space="preserve">non_sub</t>
        </is>
      </c>
      <c r="E270" s="0" t="inlineStr">
        <is>
          <t xml:space="preserve">fms</t>
        </is>
      </c>
      <c r="F270" s="0" t="inlineStr">
        <is>
          <t xml:space="preserve">EXCLUDE_REVIEW</t>
        </is>
      </c>
      <c r="G270" s="0" t="inlineStr">
        <is>
          <t xml:space="preserve">BC</t>
        </is>
      </c>
      <c r="H270" s="5">
        <v>0</v>
      </c>
      <c r="I270" s="5">
        <v>0</v>
      </c>
      <c r="J270" s="5">
        <v>1</v>
      </c>
      <c r="K270" s="5">
        <v>38.902047</v>
      </c>
      <c r="L270" s="7">
        <v>0.0</v>
      </c>
      <c r="M270" s="7">
        <v>0.0</v>
      </c>
      <c r="N270" s="7">
        <v>1.0</v>
      </c>
      <c r="O270" s="7">
        <v>0.0</v>
      </c>
    </row>
    <row r="271" outlineLevel="1">
      <c r="B271" s="0" t="inlineStr">
        <is>
          <t xml:space="preserve">2023-09-29</t>
        </is>
      </c>
      <c r="C271" s="0" t="inlineStr">
        <is>
          <t xml:space="preserve">-</t>
        </is>
      </c>
      <c r="D271" s="0" t="inlineStr">
        <is>
          <t xml:space="preserve">non_sub</t>
        </is>
      </c>
      <c r="E271" s="0" t="inlineStr">
        <is>
          <t xml:space="preserve">other</t>
        </is>
      </c>
      <c r="F271" s="0" t="inlineStr">
        <is>
          <t xml:space="preserve">EXCLUDE_REVIEW</t>
        </is>
      </c>
      <c r="G271" s="0" t="inlineStr">
        <is>
          <t xml:space="preserve">BC</t>
        </is>
      </c>
      <c r="H271" s="5">
        <v>0</v>
      </c>
      <c r="I271" s="5">
        <v>0</v>
      </c>
      <c r="J271" s="5">
        <v>1</v>
      </c>
      <c r="K271" s="5">
        <v>38.891067</v>
      </c>
      <c r="L271" s="7">
        <v>0.0</v>
      </c>
      <c r="M271" s="7">
        <v>0.0</v>
      </c>
      <c r="N271" s="7">
        <v>0.0</v>
      </c>
      <c r="O271" s="7">
        <v>0.0</v>
      </c>
    </row>
    <row r="272" outlineLevel="1">
      <c r="B272" s="0" t="inlineStr">
        <is>
          <t xml:space="preserve">2024-07-17</t>
        </is>
      </c>
      <c r="C272" s="0" t="inlineStr">
        <is>
          <t xml:space="preserve">N00024-23-C-4307</t>
        </is>
      </c>
      <c r="D272" s="0" t="inlineStr">
        <is>
          <t xml:space="preserve">sub_other</t>
        </is>
      </c>
      <c r="E272" s="0" t="inlineStr">
        <is>
          <t xml:space="preserve">other</t>
        </is>
      </c>
      <c r="F272" s="0" t="inlineStr">
        <is>
          <t xml:space="preserve">EXCLUDE_REVIEW</t>
        </is>
      </c>
      <c r="G272" s="0" t="inlineStr">
        <is>
          <t xml:space="preserve">BC</t>
        </is>
      </c>
      <c r="H272" s="5">
        <v>0</v>
      </c>
      <c r="I272" s="5">
        <v>0</v>
      </c>
      <c r="J272" s="5">
        <v>1</v>
      </c>
      <c r="K272" s="5">
        <v>38.205098</v>
      </c>
      <c r="L272" s="7">
        <v>0.0</v>
      </c>
      <c r="M272" s="7">
        <v>0.0</v>
      </c>
      <c r="N272" s="7">
        <v>0.0</v>
      </c>
      <c r="O272" s="7">
        <v>0.0</v>
      </c>
    </row>
    <row r="273" outlineLevel="1">
      <c r="B273" s="0" t="inlineStr">
        <is>
          <t xml:space="preserve">2024-11-15</t>
        </is>
      </c>
      <c r="C273" s="0" t="inlineStr">
        <is>
          <t xml:space="preserve">-</t>
        </is>
      </c>
      <c r="D273" s="0" t="inlineStr">
        <is>
          <t xml:space="preserve">non_sub</t>
        </is>
      </c>
      <c r="E273" s="0" t="inlineStr">
        <is>
          <t xml:space="preserve">other</t>
        </is>
      </c>
      <c r="F273" s="0" t="inlineStr">
        <is>
          <t xml:space="preserve">EXCLUDE_REVIEW</t>
        </is>
      </c>
      <c r="G273" s="0" t="inlineStr">
        <is>
          <t xml:space="preserve">BC</t>
        </is>
      </c>
      <c r="H273" s="5">
        <v>0</v>
      </c>
      <c r="I273" s="5">
        <v>0</v>
      </c>
      <c r="J273" s="5">
        <v>1</v>
      </c>
      <c r="K273" s="5">
        <v>38.0</v>
      </c>
      <c r="L273" s="7">
        <v>0.0</v>
      </c>
      <c r="M273" s="7">
        <v>0.0</v>
      </c>
      <c r="N273" s="7">
        <v>0.0</v>
      </c>
      <c r="O273" s="7">
        <v>0.0</v>
      </c>
    </row>
    <row r="274" outlineLevel="1">
      <c r="B274" s="0" t="inlineStr">
        <is>
          <t xml:space="preserve">2025-02-19</t>
        </is>
      </c>
      <c r="C274" s="0" t="inlineStr">
        <is>
          <t xml:space="preserve">N00024-21-C-2106</t>
        </is>
      </c>
      <c r="D274" s="0" t="inlineStr">
        <is>
          <t xml:space="preserve">non_sub</t>
        </is>
      </c>
      <c r="E274" s="0" t="inlineStr">
        <is>
          <t xml:space="preserve">repair_overhaul</t>
        </is>
      </c>
      <c r="F274" s="0" t="inlineStr">
        <is>
          <t xml:space="preserve">EXCLUDE_REVIEW</t>
        </is>
      </c>
      <c r="G274" s="0" t="inlineStr">
        <is>
          <t xml:space="preserve">BC</t>
        </is>
      </c>
      <c r="H274" s="5">
        <v>0</v>
      </c>
      <c r="I274" s="5">
        <v>0</v>
      </c>
      <c r="J274" s="5">
        <v>1</v>
      </c>
      <c r="K274" s="5">
        <v>37.74465</v>
      </c>
      <c r="L274" s="7">
        <v>0.0</v>
      </c>
      <c r="M274" s="7">
        <v>0.0</v>
      </c>
      <c r="N274" s="7">
        <v>0.0</v>
      </c>
      <c r="O274" s="7">
        <v>0.0</v>
      </c>
    </row>
    <row r="275" outlineLevel="1">
      <c r="B275" s="0" t="inlineStr">
        <is>
          <t xml:space="preserve">2023-02-27</t>
        </is>
      </c>
      <c r="C275" s="0" t="inlineStr">
        <is>
          <t xml:space="preserve">-</t>
        </is>
      </c>
      <c r="D275" s="0" t="inlineStr">
        <is>
          <t xml:space="preserve">non_sub</t>
        </is>
      </c>
      <c r="E275" s="0" t="inlineStr">
        <is>
          <t xml:space="preserve">engineering</t>
        </is>
      </c>
      <c r="F275" s="0" t="inlineStr">
        <is>
          <t xml:space="preserve">EXCLUDE_REVIEW</t>
        </is>
      </c>
      <c r="G275" s="0" t="inlineStr">
        <is>
          <t xml:space="preserve">BC</t>
        </is>
      </c>
      <c r="H275" s="5">
        <v>0</v>
      </c>
      <c r="I275" s="5">
        <v>0</v>
      </c>
      <c r="J275" s="5">
        <v>1</v>
      </c>
      <c r="K275" s="5">
        <v>37.661542</v>
      </c>
      <c r="L275" s="7">
        <v>0.0</v>
      </c>
      <c r="M275" s="7">
        <v>0.0</v>
      </c>
      <c r="N275" s="7">
        <v>1.0</v>
      </c>
      <c r="O275" s="7">
        <v>0.0</v>
      </c>
    </row>
    <row r="276" outlineLevel="1">
      <c r="B276" s="0" t="inlineStr">
        <is>
          <t xml:space="preserve">2026-04-15</t>
        </is>
      </c>
      <c r="C276" s="0" t="inlineStr">
        <is>
          <t xml:space="preserve">N00024-20-C-2120</t>
        </is>
      </c>
      <c r="D276" s="0" t="inlineStr">
        <is>
          <t xml:space="preserve">va</t>
        </is>
      </c>
      <c r="E276" s="0" t="inlineStr">
        <is>
          <t xml:space="preserve">lead_yard</t>
        </is>
      </c>
      <c r="F276" s="0" t="inlineStr">
        <is>
          <t xml:space="preserve">EXCLUDE_REVIEW</t>
        </is>
      </c>
      <c r="G276" s="0" t="inlineStr">
        <is>
          <t xml:space="preserve">BC</t>
        </is>
      </c>
      <c r="H276" s="5">
        <v>0</v>
      </c>
      <c r="I276" s="5">
        <v>0</v>
      </c>
      <c r="J276" s="5">
        <v>1</v>
      </c>
      <c r="K276" s="5">
        <v>37.604626</v>
      </c>
      <c r="L276" s="7">
        <v>0.0</v>
      </c>
      <c r="M276" s="7">
        <v>0.0</v>
      </c>
      <c r="N276" s="7">
        <v>0.0</v>
      </c>
      <c r="O276" s="7">
        <v>0.0</v>
      </c>
    </row>
    <row r="277" outlineLevel="1">
      <c r="B277" s="0" t="inlineStr">
        <is>
          <t xml:space="preserve">2024-08-30</t>
        </is>
      </c>
      <c r="C277" s="0" t="inlineStr">
        <is>
          <t xml:space="preserve">-</t>
        </is>
      </c>
      <c r="D277" s="0" t="inlineStr">
        <is>
          <t xml:space="preserve">non_sub</t>
        </is>
      </c>
      <c r="E277" s="0" t="inlineStr">
        <is>
          <t xml:space="preserve">other</t>
        </is>
      </c>
      <c r="F277" s="0" t="inlineStr">
        <is>
          <t xml:space="preserve">EXCLUDE_REVIEW</t>
        </is>
      </c>
      <c r="G277" s="0" t="inlineStr">
        <is>
          <t xml:space="preserve">BC</t>
        </is>
      </c>
      <c r="H277" s="5">
        <v>0</v>
      </c>
      <c r="I277" s="5">
        <v>0</v>
      </c>
      <c r="J277" s="5">
        <v>1</v>
      </c>
      <c r="K277" s="5">
        <v>37.378501</v>
      </c>
      <c r="L277" s="7">
        <v>0.0</v>
      </c>
      <c r="M277" s="7">
        <v>0.0</v>
      </c>
      <c r="N277" s="7">
        <v>0.0</v>
      </c>
      <c r="O277" s="7">
        <v>0.0</v>
      </c>
    </row>
    <row r="278" outlineLevel="1">
      <c r="B278" s="0" t="inlineStr">
        <is>
          <t xml:space="preserve">2022-11-09</t>
        </is>
      </c>
      <c r="C278" s="0" t="inlineStr">
        <is>
          <t xml:space="preserve">-</t>
        </is>
      </c>
      <c r="D278" s="0" t="inlineStr">
        <is>
          <t xml:space="preserve">sub_other</t>
        </is>
      </c>
      <c r="E278" s="0" t="inlineStr">
        <is>
          <t xml:space="preserve">lead_yard</t>
        </is>
      </c>
      <c r="F278" s="0" t="inlineStr">
        <is>
          <t xml:space="preserve">EXCLUDE_REVIEW</t>
        </is>
      </c>
      <c r="G278" s="0" t="inlineStr">
        <is>
          <t xml:space="preserve">BC</t>
        </is>
      </c>
      <c r="H278" s="5">
        <v>0</v>
      </c>
      <c r="I278" s="5">
        <v>0</v>
      </c>
      <c r="J278" s="5">
        <v>1</v>
      </c>
      <c r="K278" s="5">
        <v>37.349809</v>
      </c>
      <c r="L278" s="7">
        <v>0.89</v>
      </c>
      <c r="M278" s="7">
        <v>0.0</v>
      </c>
      <c r="N278" s="7">
        <v>0.11</v>
      </c>
      <c r="O278" s="7">
        <v>0.0</v>
      </c>
    </row>
    <row r="279" outlineLevel="1">
      <c r="B279" s="0" t="inlineStr">
        <is>
          <t xml:space="preserve">2026-05-07</t>
        </is>
      </c>
      <c r="C279" s="0" t="inlineStr">
        <is>
          <t xml:space="preserve">N00024-23-C-6308</t>
        </is>
      </c>
      <c r="D279" s="0" t="inlineStr">
        <is>
          <t xml:space="preserve">non_sub</t>
        </is>
      </c>
      <c r="E279" s="0" t="inlineStr">
        <is>
          <t xml:space="preserve">other</t>
        </is>
      </c>
      <c r="F279" s="0" t="inlineStr">
        <is>
          <t xml:space="preserve">EXCLUDE_REVIEW</t>
        </is>
      </c>
      <c r="G279" s="0" t="inlineStr">
        <is>
          <t xml:space="preserve">BC</t>
        </is>
      </c>
      <c r="H279" s="5">
        <v>0</v>
      </c>
      <c r="I279" s="5">
        <v>0</v>
      </c>
      <c r="J279" s="5">
        <v>1</v>
      </c>
      <c r="K279" s="5">
        <v>36.985007</v>
      </c>
      <c r="L279" s="7">
        <v>0.0</v>
      </c>
      <c r="M279" s="7">
        <v>0.0</v>
      </c>
      <c r="N279" s="7">
        <v>1.0</v>
      </c>
      <c r="O279" s="7">
        <v>0.0</v>
      </c>
    </row>
    <row r="280" outlineLevel="1">
      <c r="B280" s="0" t="inlineStr">
        <is>
          <t xml:space="preserve">2026-04-21</t>
        </is>
      </c>
      <c r="C280" s="0" t="inlineStr">
        <is>
          <t xml:space="preserve">N00024-26-D-6203</t>
        </is>
      </c>
      <c r="D280" s="0" t="inlineStr">
        <is>
          <t xml:space="preserve">sub_other</t>
        </is>
      </c>
      <c r="E280" s="0" t="inlineStr">
        <is>
          <t xml:space="preserve">engineering</t>
        </is>
      </c>
      <c r="F280" s="0" t="inlineStr">
        <is>
          <t xml:space="preserve">EXCLUDE_REVIEW</t>
        </is>
      </c>
      <c r="G280" s="0" t="inlineStr">
        <is>
          <t xml:space="preserve">BC</t>
        </is>
      </c>
      <c r="H280" s="5">
        <v>0</v>
      </c>
      <c r="I280" s="5">
        <v>0</v>
      </c>
      <c r="J280" s="5">
        <v>1</v>
      </c>
      <c r="K280" s="5">
        <v>36.973224</v>
      </c>
      <c r="L280" s="7">
        <v>0.0</v>
      </c>
      <c r="M280" s="7">
        <v>0.0</v>
      </c>
      <c r="N280" s="7">
        <v>0.0</v>
      </c>
      <c r="O280" s="7">
        <v>0.0</v>
      </c>
    </row>
    <row r="281" outlineLevel="1">
      <c r="B281" s="0" t="inlineStr">
        <is>
          <t xml:space="preserve">2025-07-17</t>
        </is>
      </c>
      <c r="C281" s="0" t="inlineStr">
        <is>
          <t xml:space="preserve">N00024-19-D-4323</t>
        </is>
      </c>
      <c r="D281" s="0" t="inlineStr">
        <is>
          <t xml:space="preserve">non_sub</t>
        </is>
      </c>
      <c r="E281" s="0" t="inlineStr">
        <is>
          <t xml:space="preserve">other</t>
        </is>
      </c>
      <c r="F281" s="0" t="inlineStr">
        <is>
          <t xml:space="preserve">EXCLUDE_REVIEW</t>
        </is>
      </c>
      <c r="G281" s="0" t="inlineStr">
        <is>
          <t xml:space="preserve">BC</t>
        </is>
      </c>
      <c r="H281" s="5">
        <v>0</v>
      </c>
      <c r="I281" s="5">
        <v>0</v>
      </c>
      <c r="J281" s="5">
        <v>1</v>
      </c>
      <c r="K281" s="5">
        <v>36.6</v>
      </c>
      <c r="L281" s="7">
        <v>0.0</v>
      </c>
      <c r="M281" s="7">
        <v>0.0</v>
      </c>
      <c r="N281" s="7">
        <v>0.0</v>
      </c>
      <c r="O281" s="7">
        <v>0.0</v>
      </c>
    </row>
    <row r="282" outlineLevel="1">
      <c r="B282" s="0" t="inlineStr">
        <is>
          <t xml:space="preserve">2025-04-29</t>
        </is>
      </c>
      <c r="C282" s="0" t="inlineStr">
        <is>
          <t xml:space="preserve">-</t>
        </is>
      </c>
      <c r="D282" s="0" t="inlineStr">
        <is>
          <t xml:space="preserve">sub_other</t>
        </is>
      </c>
      <c r="E282" s="0" t="inlineStr">
        <is>
          <t xml:space="preserve">construction</t>
        </is>
      </c>
      <c r="F282" s="0" t="inlineStr">
        <is>
          <t xml:space="preserve">INCLUDE_BC</t>
        </is>
      </c>
      <c r="G282" s="0" t="inlineStr">
        <is>
          <t xml:space="preserve">BC</t>
        </is>
      </c>
      <c r="H282" s="5">
        <v>0</v>
      </c>
      <c r="I282" s="5">
        <v>0</v>
      </c>
      <c r="J282" s="5">
        <v>1</v>
      </c>
      <c r="K282" s="5">
        <v>36.599581</v>
      </c>
      <c r="L282" s="7">
        <v>0.0</v>
      </c>
      <c r="M282" s="7">
        <v>0.0</v>
      </c>
      <c r="N282" s="7">
        <v>0.0</v>
      </c>
      <c r="O282" s="7">
        <v>0.0</v>
      </c>
    </row>
    <row r="283" outlineLevel="1">
      <c r="B283" s="0" t="inlineStr">
        <is>
          <t xml:space="preserve">2025-06-02</t>
        </is>
      </c>
      <c r="C283" s="0" t="inlineStr">
        <is>
          <t xml:space="preserve">-</t>
        </is>
      </c>
      <c r="D283" s="0" t="inlineStr">
        <is>
          <t xml:space="preserve">sub_other</t>
        </is>
      </c>
      <c r="E283" s="0" t="inlineStr">
        <is>
          <t xml:space="preserve">other</t>
        </is>
      </c>
      <c r="F283" s="0" t="inlineStr">
        <is>
          <t xml:space="preserve">EXCLUDE_REVIEW</t>
        </is>
      </c>
      <c r="G283" s="0" t="inlineStr">
        <is>
          <t xml:space="preserve">BC</t>
        </is>
      </c>
      <c r="H283" s="5">
        <v>0</v>
      </c>
      <c r="I283" s="5">
        <v>0</v>
      </c>
      <c r="J283" s="5">
        <v>1</v>
      </c>
      <c r="K283" s="5">
        <v>36.481929</v>
      </c>
      <c r="L283" s="7">
        <v>0.0</v>
      </c>
      <c r="M283" s="7">
        <v>0.0</v>
      </c>
      <c r="N283" s="7">
        <v>1.0</v>
      </c>
      <c r="O283" s="7">
        <v>0.0</v>
      </c>
    </row>
    <row r="284" outlineLevel="1">
      <c r="B284" s="0" t="inlineStr">
        <is>
          <t xml:space="preserve">2026-04-10</t>
        </is>
      </c>
      <c r="C284" s="0" t="inlineStr">
        <is>
          <t xml:space="preserve">N00024-15-C-5151</t>
        </is>
      </c>
      <c r="D284" s="0" t="inlineStr">
        <is>
          <t xml:space="preserve">non_sub</t>
        </is>
      </c>
      <c r="E284" s="0" t="inlineStr">
        <is>
          <t xml:space="preserve">construction</t>
        </is>
      </c>
      <c r="F284" s="0" t="inlineStr">
        <is>
          <t xml:space="preserve">INCLUDE_BC</t>
        </is>
      </c>
      <c r="G284" s="0" t="inlineStr">
        <is>
          <t xml:space="preserve">BC</t>
        </is>
      </c>
      <c r="H284" s="5">
        <v>0</v>
      </c>
      <c r="I284" s="5">
        <v>0</v>
      </c>
      <c r="J284" s="5">
        <v>1</v>
      </c>
      <c r="K284" s="5">
        <v>36.43922</v>
      </c>
      <c r="L284" s="7">
        <v>0.0</v>
      </c>
      <c r="M284" s="7">
        <v>0.0</v>
      </c>
      <c r="N284" s="7">
        <v>1.0</v>
      </c>
      <c r="O284" s="7">
        <v>0.0</v>
      </c>
    </row>
    <row r="285" outlineLevel="1">
      <c r="B285" s="0" t="inlineStr">
        <is>
          <t xml:space="preserve">2025-12-05</t>
        </is>
      </c>
      <c r="C285" s="0" t="inlineStr">
        <is>
          <t xml:space="preserve">N00024-24-C-2312</t>
        </is>
      </c>
      <c r="D285" s="0" t="inlineStr">
        <is>
          <t xml:space="preserve">non_sub</t>
        </is>
      </c>
      <c r="E285" s="0" t="inlineStr">
        <is>
          <t xml:space="preserve">other</t>
        </is>
      </c>
      <c r="F285" s="0" t="inlineStr">
        <is>
          <t xml:space="preserve">EXCLUDE_REVIEW</t>
        </is>
      </c>
      <c r="G285" s="0" t="inlineStr">
        <is>
          <t xml:space="preserve">BC</t>
        </is>
      </c>
      <c r="H285" s="5">
        <v>0</v>
      </c>
      <c r="I285" s="5">
        <v>0</v>
      </c>
      <c r="J285" s="5">
        <v>1</v>
      </c>
      <c r="K285" s="5">
        <v>36.38761</v>
      </c>
      <c r="L285" s="7">
        <v>0.0</v>
      </c>
      <c r="M285" s="7">
        <v>0.0</v>
      </c>
      <c r="N285" s="7">
        <v>0.98</v>
      </c>
      <c r="O285" s="7">
        <v>0.0</v>
      </c>
    </row>
    <row r="286" outlineLevel="1">
      <c r="B286" s="0" t="inlineStr">
        <is>
          <t xml:space="preserve">2023-07-19</t>
        </is>
      </c>
      <c r="C286" s="0" t="inlineStr">
        <is>
          <t xml:space="preserve">-</t>
        </is>
      </c>
      <c r="D286" s="0" t="inlineStr">
        <is>
          <t xml:space="preserve">non_sub</t>
        </is>
      </c>
      <c r="E286" s="0" t="inlineStr">
        <is>
          <t xml:space="preserve">other</t>
        </is>
      </c>
      <c r="F286" s="0" t="inlineStr">
        <is>
          <t xml:space="preserve">EXCLUDE_REVIEW</t>
        </is>
      </c>
      <c r="G286" s="0" t="inlineStr">
        <is>
          <t xml:space="preserve">BC</t>
        </is>
      </c>
      <c r="H286" s="5">
        <v>0</v>
      </c>
      <c r="I286" s="5">
        <v>0</v>
      </c>
      <c r="J286" s="5">
        <v>1</v>
      </c>
      <c r="K286" s="5">
        <v>36.342898</v>
      </c>
      <c r="L286" s="7">
        <v>0.0</v>
      </c>
      <c r="M286" s="7">
        <v>0.0</v>
      </c>
      <c r="N286" s="7">
        <v>1.0</v>
      </c>
      <c r="O286" s="7">
        <v>0.0</v>
      </c>
    </row>
    <row r="287" outlineLevel="1">
      <c r="B287" s="0" t="inlineStr">
        <is>
          <t xml:space="preserve">2023-09-08</t>
        </is>
      </c>
      <c r="C287" s="0" t="inlineStr">
        <is>
          <t xml:space="preserve">-</t>
        </is>
      </c>
      <c r="D287" s="0" t="inlineStr">
        <is>
          <t xml:space="preserve">sub_other</t>
        </is>
      </c>
      <c r="E287" s="0" t="inlineStr">
        <is>
          <t xml:space="preserve">other</t>
        </is>
      </c>
      <c r="F287" s="0" t="inlineStr">
        <is>
          <t xml:space="preserve">EXCLUDE_REVIEW</t>
        </is>
      </c>
      <c r="G287" s="0" t="inlineStr">
        <is>
          <t xml:space="preserve">BC</t>
        </is>
      </c>
      <c r="H287" s="5">
        <v>0</v>
      </c>
      <c r="I287" s="5">
        <v>0</v>
      </c>
      <c r="J287" s="5">
        <v>1</v>
      </c>
      <c r="K287" s="5">
        <v>36.246142</v>
      </c>
      <c r="L287" s="7">
        <v>0.0</v>
      </c>
      <c r="M287" s="7">
        <v>0.0</v>
      </c>
      <c r="N287" s="7">
        <v>0.0</v>
      </c>
      <c r="O287" s="7">
        <v>0.0</v>
      </c>
    </row>
    <row r="288" outlineLevel="1">
      <c r="B288" s="0" t="inlineStr">
        <is>
          <t xml:space="preserve">2022-12-21</t>
        </is>
      </c>
      <c r="C288" s="0" t="inlineStr">
        <is>
          <t xml:space="preserve">-</t>
        </is>
      </c>
      <c r="D288" s="0" t="inlineStr">
        <is>
          <t xml:space="preserve">non_sub</t>
        </is>
      </c>
      <c r="E288" s="0" t="inlineStr">
        <is>
          <t xml:space="preserve">other</t>
        </is>
      </c>
      <c r="F288" s="0" t="inlineStr">
        <is>
          <t xml:space="preserve">EXCLUDE_REVIEW</t>
        </is>
      </c>
      <c r="G288" s="0" t="inlineStr">
        <is>
          <t xml:space="preserve">BC</t>
        </is>
      </c>
      <c r="H288" s="5">
        <v>0</v>
      </c>
      <c r="I288" s="5">
        <v>0</v>
      </c>
      <c r="J288" s="5">
        <v>1</v>
      </c>
      <c r="K288" s="5">
        <v>36.024953</v>
      </c>
      <c r="L288" s="7">
        <v>0.0</v>
      </c>
      <c r="M288" s="7">
        <v>0.0</v>
      </c>
      <c r="N288" s="7">
        <v>1.0</v>
      </c>
      <c r="O288" s="7">
        <v>0.0</v>
      </c>
    </row>
    <row r="289" outlineLevel="1">
      <c r="B289" s="0" t="inlineStr">
        <is>
          <t xml:space="preserve">2024-08-06</t>
        </is>
      </c>
      <c r="C289" s="0" t="inlineStr">
        <is>
          <t xml:space="preserve">-</t>
        </is>
      </c>
      <c r="D289" s="0" t="inlineStr">
        <is>
          <t xml:space="preserve">sub_other</t>
        </is>
      </c>
      <c r="E289" s="0" t="inlineStr">
        <is>
          <t xml:space="preserve">engineering</t>
        </is>
      </c>
      <c r="F289" s="0" t="inlineStr">
        <is>
          <t xml:space="preserve">EXCLUDE_REVIEW</t>
        </is>
      </c>
      <c r="G289" s="0" t="inlineStr">
        <is>
          <t xml:space="preserve">BC</t>
        </is>
      </c>
      <c r="H289" s="5">
        <v>0</v>
      </c>
      <c r="I289" s="5">
        <v>0</v>
      </c>
      <c r="J289" s="5">
        <v>1</v>
      </c>
      <c r="K289" s="5">
        <v>35.67793</v>
      </c>
      <c r="L289" s="7">
        <v>0.0</v>
      </c>
      <c r="M289" s="7">
        <v>0.0</v>
      </c>
      <c r="N289" s="7">
        <v>0.0</v>
      </c>
      <c r="O289" s="7">
        <v>0.0</v>
      </c>
    </row>
    <row r="290" outlineLevel="1">
      <c r="B290" s="0" t="inlineStr">
        <is>
          <t xml:space="preserve">2025-02-07</t>
        </is>
      </c>
      <c r="C290" s="0" t="inlineStr">
        <is>
          <t xml:space="preserve">N00024-12-C-2115</t>
        </is>
      </c>
      <c r="D290" s="0" t="inlineStr">
        <is>
          <t xml:space="preserve">va</t>
        </is>
      </c>
      <c r="E290" s="0" t="inlineStr">
        <is>
          <t xml:space="preserve">other</t>
        </is>
      </c>
      <c r="F290" s="0" t="inlineStr">
        <is>
          <t xml:space="preserve">EXCLUDE_REVIEW</t>
        </is>
      </c>
      <c r="G290" s="0" t="inlineStr">
        <is>
          <t xml:space="preserve">BC</t>
        </is>
      </c>
      <c r="H290" s="5">
        <v>0</v>
      </c>
      <c r="I290" s="5">
        <v>0</v>
      </c>
      <c r="J290" s="5">
        <v>1</v>
      </c>
      <c r="K290" s="5">
        <v>35.544057</v>
      </c>
      <c r="L290" s="7">
        <v>0.0</v>
      </c>
      <c r="M290" s="7">
        <v>0.0</v>
      </c>
      <c r="N290" s="7">
        <v>0.0</v>
      </c>
      <c r="O290" s="7">
        <v>0.0</v>
      </c>
    </row>
    <row r="291" outlineLevel="1">
      <c r="B291" s="0" t="inlineStr">
        <is>
          <t xml:space="preserve">2025-09-29</t>
        </is>
      </c>
      <c r="C291" s="0" t="inlineStr">
        <is>
          <t xml:space="preserve">N00024-13-C-5116</t>
        </is>
      </c>
      <c r="D291" s="0" t="inlineStr">
        <is>
          <t xml:space="preserve">non_sub</t>
        </is>
      </c>
      <c r="E291" s="0" t="inlineStr">
        <is>
          <t xml:space="preserve">other</t>
        </is>
      </c>
      <c r="F291" s="0" t="inlineStr">
        <is>
          <t xml:space="preserve">EXCLUDE_REVIEW</t>
        </is>
      </c>
      <c r="G291" s="0" t="inlineStr">
        <is>
          <t xml:space="preserve">BC</t>
        </is>
      </c>
      <c r="H291" s="5">
        <v>0</v>
      </c>
      <c r="I291" s="5">
        <v>0</v>
      </c>
      <c r="J291" s="5">
        <v>1</v>
      </c>
      <c r="K291" s="5">
        <v>35.517687</v>
      </c>
      <c r="L291" s="7">
        <v>0.0</v>
      </c>
      <c r="M291" s="7">
        <v>0.0</v>
      </c>
      <c r="N291" s="7">
        <v>0.0</v>
      </c>
      <c r="O291" s="7">
        <v>0.0</v>
      </c>
    </row>
    <row r="292" outlineLevel="1">
      <c r="B292" s="0" t="inlineStr">
        <is>
          <t xml:space="preserve">2025-03-17</t>
        </is>
      </c>
      <c r="C292" s="0" t="inlineStr">
        <is>
          <t xml:space="preserve">N00024-23-C-5117</t>
        </is>
      </c>
      <c r="D292" s="0" t="inlineStr">
        <is>
          <t xml:space="preserve">non_sub</t>
        </is>
      </c>
      <c r="E292" s="0" t="inlineStr">
        <is>
          <t xml:space="preserve">other</t>
        </is>
      </c>
      <c r="F292" s="0" t="inlineStr">
        <is>
          <t xml:space="preserve">EXCLUDE_REVIEW</t>
        </is>
      </c>
      <c r="G292" s="0" t="inlineStr">
        <is>
          <t xml:space="preserve">BC</t>
        </is>
      </c>
      <c r="H292" s="5">
        <v>0</v>
      </c>
      <c r="I292" s="5">
        <v>0</v>
      </c>
      <c r="J292" s="5">
        <v>1</v>
      </c>
      <c r="K292" s="5">
        <v>35.382479</v>
      </c>
      <c r="L292" s="7">
        <v>0.0</v>
      </c>
      <c r="M292" s="7">
        <v>0.0</v>
      </c>
      <c r="N292" s="7">
        <v>1.0</v>
      </c>
      <c r="O292" s="7">
        <v>0.0</v>
      </c>
    </row>
    <row r="293" outlineLevel="1">
      <c r="B293" s="0" t="inlineStr">
        <is>
          <t xml:space="preserve">2023-11-03</t>
        </is>
      </c>
      <c r="C293" s="0" t="inlineStr">
        <is>
          <t xml:space="preserve">-</t>
        </is>
      </c>
      <c r="D293" s="0" t="inlineStr">
        <is>
          <t xml:space="preserve">sub_other</t>
        </is>
      </c>
      <c r="E293" s="0" t="inlineStr">
        <is>
          <t xml:space="preserve">lead_yard</t>
        </is>
      </c>
      <c r="F293" s="0" t="inlineStr">
        <is>
          <t xml:space="preserve">EXCLUDE_REVIEW</t>
        </is>
      </c>
      <c r="G293" s="0" t="inlineStr">
        <is>
          <t xml:space="preserve">BC</t>
        </is>
      </c>
      <c r="H293" s="5">
        <v>0</v>
      </c>
      <c r="I293" s="5">
        <v>0</v>
      </c>
      <c r="J293" s="5">
        <v>1</v>
      </c>
      <c r="K293" s="5">
        <v>35.264435</v>
      </c>
      <c r="L293" s="7">
        <v>0.0</v>
      </c>
      <c r="M293" s="7">
        <v>0.0</v>
      </c>
      <c r="N293" s="7">
        <v>0.0</v>
      </c>
      <c r="O293" s="7">
        <v>0.0</v>
      </c>
    </row>
    <row r="294" outlineLevel="1">
      <c r="B294" s="0" t="inlineStr">
        <is>
          <t xml:space="preserve">2025-02-28</t>
        </is>
      </c>
      <c r="C294" s="0" t="inlineStr">
        <is>
          <t xml:space="preserve">N00024-20-C-2120</t>
        </is>
      </c>
      <c r="D294" s="0" t="inlineStr">
        <is>
          <t xml:space="preserve">va</t>
        </is>
      </c>
      <c r="E294" s="0" t="inlineStr">
        <is>
          <t xml:space="preserve">lead_yard</t>
        </is>
      </c>
      <c r="F294" s="0" t="inlineStr">
        <is>
          <t xml:space="preserve">EXCLUDE_REVIEW</t>
        </is>
      </c>
      <c r="G294" s="0" t="inlineStr">
        <is>
          <t xml:space="preserve">BC</t>
        </is>
      </c>
      <c r="H294" s="5">
        <v>0</v>
      </c>
      <c r="I294" s="5">
        <v>0</v>
      </c>
      <c r="J294" s="5">
        <v>1</v>
      </c>
      <c r="K294" s="5">
        <v>35.005318</v>
      </c>
      <c r="L294" s="7">
        <v>0.0</v>
      </c>
      <c r="M294" s="7">
        <v>0.0</v>
      </c>
      <c r="N294" s="7">
        <v>0.0</v>
      </c>
      <c r="O294" s="7">
        <v>0.0</v>
      </c>
    </row>
    <row r="295" outlineLevel="1">
      <c r="B295" s="0" t="inlineStr">
        <is>
          <t xml:space="preserve">2025-08-29</t>
        </is>
      </c>
      <c r="C295" s="0" t="inlineStr">
        <is>
          <t xml:space="preserve">N00024-20-C-5603</t>
        </is>
      </c>
      <c r="D295" s="0" t="inlineStr">
        <is>
          <t xml:space="preserve">non_sub</t>
        </is>
      </c>
      <c r="E295" s="0" t="inlineStr">
        <is>
          <t xml:space="preserve">sustainment_maintenance</t>
        </is>
      </c>
      <c r="F295" s="0" t="inlineStr">
        <is>
          <t xml:space="preserve">EXCLUDE_REVIEW</t>
        </is>
      </c>
      <c r="G295" s="0" t="inlineStr">
        <is>
          <t xml:space="preserve">BC</t>
        </is>
      </c>
      <c r="H295" s="5">
        <v>0</v>
      </c>
      <c r="I295" s="5">
        <v>0</v>
      </c>
      <c r="J295" s="5">
        <v>1</v>
      </c>
      <c r="K295" s="5">
        <v>34.957203</v>
      </c>
      <c r="L295" s="7">
        <v>0.0</v>
      </c>
      <c r="M295" s="7">
        <v>0.0</v>
      </c>
      <c r="N295" s="7">
        <v>1.0</v>
      </c>
      <c r="O295" s="7">
        <v>0.0</v>
      </c>
    </row>
    <row r="296" outlineLevel="1">
      <c r="B296" s="0" t="inlineStr">
        <is>
          <t xml:space="preserve">2024-10-21</t>
        </is>
      </c>
      <c r="C296" s="0" t="inlineStr">
        <is>
          <t xml:space="preserve">-</t>
        </is>
      </c>
      <c r="D296" s="0" t="inlineStr">
        <is>
          <t xml:space="preserve">non_sub</t>
        </is>
      </c>
      <c r="E296" s="0" t="inlineStr">
        <is>
          <t xml:space="preserve">sustainment_maintenance</t>
        </is>
      </c>
      <c r="F296" s="0" t="inlineStr">
        <is>
          <t xml:space="preserve">EXCLUDE_REVIEW</t>
        </is>
      </c>
      <c r="G296" s="0" t="inlineStr">
        <is>
          <t xml:space="preserve">BC</t>
        </is>
      </c>
      <c r="H296" s="5">
        <v>0</v>
      </c>
      <c r="I296" s="5">
        <v>0</v>
      </c>
      <c r="J296" s="5">
        <v>1</v>
      </c>
      <c r="K296" s="5">
        <v>34.927342</v>
      </c>
      <c r="L296" s="7">
        <v>0.0</v>
      </c>
      <c r="M296" s="7">
        <v>0.0</v>
      </c>
      <c r="N296" s="7">
        <v>0.0</v>
      </c>
      <c r="O296" s="7">
        <v>0.0</v>
      </c>
    </row>
    <row r="297" outlineLevel="1">
      <c r="B297" s="0" t="inlineStr">
        <is>
          <t xml:space="preserve">2025-06-30</t>
        </is>
      </c>
      <c r="C297" s="0" t="inlineStr">
        <is>
          <t xml:space="preserve">N00024-20-C-4315</t>
        </is>
      </c>
      <c r="D297" s="0" t="inlineStr">
        <is>
          <t xml:space="preserve">sub_other</t>
        </is>
      </c>
      <c r="E297" s="0" t="inlineStr">
        <is>
          <t xml:space="preserve">other</t>
        </is>
      </c>
      <c r="F297" s="0" t="inlineStr">
        <is>
          <t xml:space="preserve">EXCLUDE_REVIEW</t>
        </is>
      </c>
      <c r="G297" s="0" t="inlineStr">
        <is>
          <t xml:space="preserve">BC</t>
        </is>
      </c>
      <c r="H297" s="5">
        <v>0</v>
      </c>
      <c r="I297" s="5">
        <v>0</v>
      </c>
      <c r="J297" s="5">
        <v>1</v>
      </c>
      <c r="K297" s="5">
        <v>34.800326</v>
      </c>
      <c r="L297" s="7">
        <v>0.0</v>
      </c>
      <c r="M297" s="7">
        <v>0.0</v>
      </c>
      <c r="N297" s="7">
        <v>0.0</v>
      </c>
      <c r="O297" s="7">
        <v>0.0</v>
      </c>
    </row>
    <row r="298" outlineLevel="1">
      <c r="B298" s="0" t="inlineStr">
        <is>
          <t xml:space="preserve">2026-04-13</t>
        </is>
      </c>
      <c r="C298" s="0" t="inlineStr">
        <is>
          <t xml:space="preserve">N00024-23-C-4307</t>
        </is>
      </c>
      <c r="D298" s="0" t="inlineStr">
        <is>
          <t xml:space="preserve">sub_other</t>
        </is>
      </c>
      <c r="E298" s="0" t="inlineStr">
        <is>
          <t xml:space="preserve">other</t>
        </is>
      </c>
      <c r="F298" s="0" t="inlineStr">
        <is>
          <t xml:space="preserve">EXCLUDE_REVIEW</t>
        </is>
      </c>
      <c r="G298" s="0" t="inlineStr">
        <is>
          <t xml:space="preserve">BC</t>
        </is>
      </c>
      <c r="H298" s="5">
        <v>0</v>
      </c>
      <c r="I298" s="5">
        <v>0</v>
      </c>
      <c r="J298" s="5">
        <v>1</v>
      </c>
      <c r="K298" s="5">
        <v>34.679581</v>
      </c>
      <c r="L298" s="7">
        <v>0.0</v>
      </c>
      <c r="M298" s="7">
        <v>0.0</v>
      </c>
      <c r="N298" s="7">
        <v>0.0</v>
      </c>
      <c r="O298" s="7">
        <v>0.0</v>
      </c>
    </row>
    <row r="299" outlineLevel="1">
      <c r="B299" s="0" t="inlineStr">
        <is>
          <t xml:space="preserve">2025-05-01</t>
        </is>
      </c>
      <c r="C299" s="0" t="inlineStr">
        <is>
          <t xml:space="preserve">N00024-25-C-6209</t>
        </is>
      </c>
      <c r="D299" s="0" t="inlineStr">
        <is>
          <t xml:space="preserve">non_sub</t>
        </is>
      </c>
      <c r="E299" s="0" t="inlineStr">
        <is>
          <t xml:space="preserve">engineering</t>
        </is>
      </c>
      <c r="F299" s="0" t="inlineStr">
        <is>
          <t xml:space="preserve">EXCLUDE_REVIEW</t>
        </is>
      </c>
      <c r="G299" s="0" t="inlineStr">
        <is>
          <t xml:space="preserve">BC</t>
        </is>
      </c>
      <c r="H299" s="5">
        <v>0</v>
      </c>
      <c r="I299" s="5">
        <v>0</v>
      </c>
      <c r="J299" s="5">
        <v>1</v>
      </c>
      <c r="K299" s="5">
        <v>34.117331</v>
      </c>
      <c r="L299" s="7">
        <v>0.0</v>
      </c>
      <c r="M299" s="7">
        <v>0.0</v>
      </c>
      <c r="N299" s="7">
        <v>0.99</v>
      </c>
      <c r="O299" s="7">
        <v>0.0</v>
      </c>
    </row>
    <row r="300" outlineLevel="1">
      <c r="B300" s="0" t="inlineStr">
        <is>
          <t xml:space="preserve">2025-03-31</t>
        </is>
      </c>
      <c r="C300" s="0" t="inlineStr">
        <is>
          <t xml:space="preserve">N00024-23-C-5101</t>
        </is>
      </c>
      <c r="D300" s="0" t="inlineStr">
        <is>
          <t xml:space="preserve">non_sub</t>
        </is>
      </c>
      <c r="E300" s="0" t="inlineStr">
        <is>
          <t xml:space="preserve">fms</t>
        </is>
      </c>
      <c r="F300" s="0" t="inlineStr">
        <is>
          <t xml:space="preserve">EXCLUDE_REVIEW</t>
        </is>
      </c>
      <c r="G300" s="0" t="inlineStr">
        <is>
          <t xml:space="preserve">BC</t>
        </is>
      </c>
      <c r="H300" s="5">
        <v>0</v>
      </c>
      <c r="I300" s="5">
        <v>0</v>
      </c>
      <c r="J300" s="5">
        <v>1</v>
      </c>
      <c r="K300" s="5">
        <v>34.004309</v>
      </c>
      <c r="L300" s="7">
        <v>0.0</v>
      </c>
      <c r="M300" s="7">
        <v>0.0</v>
      </c>
      <c r="N300" s="7">
        <v>0.0</v>
      </c>
      <c r="O300" s="7">
        <v>0.0</v>
      </c>
    </row>
    <row r="301" outlineLevel="1">
      <c r="B301" s="0" t="inlineStr">
        <is>
          <t xml:space="preserve">2025-07-23</t>
        </is>
      </c>
      <c r="C301" s="0" t="inlineStr">
        <is>
          <t xml:space="preserve">N00024-23-C-4307</t>
        </is>
      </c>
      <c r="D301" s="0" t="inlineStr">
        <is>
          <t xml:space="preserve">sub_other</t>
        </is>
      </c>
      <c r="E301" s="0" t="inlineStr">
        <is>
          <t xml:space="preserve">other</t>
        </is>
      </c>
      <c r="F301" s="0" t="inlineStr">
        <is>
          <t xml:space="preserve">EXCLUDE_REVIEW</t>
        </is>
      </c>
      <c r="G301" s="0" t="inlineStr">
        <is>
          <t xml:space="preserve">BC</t>
        </is>
      </c>
      <c r="H301" s="5">
        <v>0</v>
      </c>
      <c r="I301" s="5">
        <v>0</v>
      </c>
      <c r="J301" s="5">
        <v>1</v>
      </c>
      <c r="K301" s="5">
        <v>33.541728</v>
      </c>
      <c r="L301" s="7">
        <v>0.0</v>
      </c>
      <c r="M301" s="7">
        <v>0.0</v>
      </c>
      <c r="N301" s="7">
        <v>0.0</v>
      </c>
      <c r="O301" s="7">
        <v>0.0</v>
      </c>
    </row>
    <row r="302" outlineLevel="1">
      <c r="B302" s="0" t="inlineStr">
        <is>
          <t xml:space="preserve">2025-12-22</t>
        </is>
      </c>
      <c r="C302" s="0" t="inlineStr">
        <is>
          <t xml:space="preserve">N00024-25-C-2127</t>
        </is>
      </c>
      <c r="D302" s="0" t="inlineStr">
        <is>
          <t xml:space="preserve">non_sub</t>
        </is>
      </c>
      <c r="E302" s="0" t="inlineStr">
        <is>
          <t xml:space="preserve">other</t>
        </is>
      </c>
      <c r="F302" s="0" t="inlineStr">
        <is>
          <t xml:space="preserve">EXCLUDE_REVIEW</t>
        </is>
      </c>
      <c r="G302" s="0" t="inlineStr">
        <is>
          <t xml:space="preserve">BC</t>
        </is>
      </c>
      <c r="H302" s="5">
        <v>0</v>
      </c>
      <c r="I302" s="5">
        <v>0</v>
      </c>
      <c r="J302" s="5">
        <v>1</v>
      </c>
      <c r="K302" s="5">
        <v>33.455511</v>
      </c>
      <c r="L302" s="7">
        <v>0.0</v>
      </c>
      <c r="M302" s="7">
        <v>0.0</v>
      </c>
      <c r="N302" s="7">
        <v>0.0</v>
      </c>
      <c r="O302" s="7">
        <v>0.0</v>
      </c>
    </row>
    <row r="303" outlineLevel="1">
      <c r="B303" s="0" t="inlineStr">
        <is>
          <t xml:space="preserve">2023-09-21</t>
        </is>
      </c>
      <c r="C303" s="0" t="inlineStr">
        <is>
          <t xml:space="preserve">N00024-23-R-2245</t>
        </is>
      </c>
      <c r="D303" s="0" t="inlineStr">
        <is>
          <t xml:space="preserve">non_sub</t>
        </is>
      </c>
      <c r="E303" s="0" t="inlineStr">
        <is>
          <t xml:space="preserve">design</t>
        </is>
      </c>
      <c r="F303" s="0" t="inlineStr">
        <is>
          <t xml:space="preserve">EXCLUDE_REVIEW</t>
        </is>
      </c>
      <c r="G303" s="0" t="inlineStr">
        <is>
          <t xml:space="preserve">BC</t>
        </is>
      </c>
      <c r="H303" s="5">
        <v>0</v>
      </c>
      <c r="I303" s="5">
        <v>0</v>
      </c>
      <c r="J303" s="5">
        <v>1</v>
      </c>
      <c r="K303" s="5">
        <v>33.35</v>
      </c>
      <c r="L303" s="7">
        <v>0.0</v>
      </c>
      <c r="M303" s="7">
        <v>0.0</v>
      </c>
      <c r="N303" s="7">
        <v>0.0</v>
      </c>
      <c r="O303" s="7">
        <v>0.0</v>
      </c>
    </row>
    <row r="304" outlineLevel="1">
      <c r="B304" s="0" t="inlineStr">
        <is>
          <t xml:space="preserve">2025-06-09</t>
        </is>
      </c>
      <c r="C304" s="0" t="inlineStr">
        <is>
          <t xml:space="preserve">N64498-25-D-4007</t>
        </is>
      </c>
      <c r="D304" s="0" t="inlineStr">
        <is>
          <t xml:space="preserve">va</t>
        </is>
      </c>
      <c r="E304" s="0" t="inlineStr">
        <is>
          <t xml:space="preserve">other</t>
        </is>
      </c>
      <c r="F304" s="0" t="inlineStr">
        <is>
          <t xml:space="preserve">EXCLUDE_REVIEW</t>
        </is>
      </c>
      <c r="G304" s="0" t="inlineStr">
        <is>
          <t xml:space="preserve">BC</t>
        </is>
      </c>
      <c r="H304" s="5">
        <v>0</v>
      </c>
      <c r="I304" s="5">
        <v>0</v>
      </c>
      <c r="J304" s="5">
        <v>1</v>
      </c>
      <c r="K304" s="5">
        <v>33.134365</v>
      </c>
      <c r="L304" s="7">
        <v>0.0</v>
      </c>
      <c r="M304" s="7">
        <v>0.0</v>
      </c>
      <c r="N304" s="7">
        <v>0.0</v>
      </c>
      <c r="O304" s="7">
        <v>0.0</v>
      </c>
    </row>
    <row r="305" outlineLevel="1">
      <c r="B305" s="0" t="inlineStr">
        <is>
          <t xml:space="preserve">2025-12-18</t>
        </is>
      </c>
      <c r="C305" s="0" t="inlineStr">
        <is>
          <t xml:space="preserve">N00024-19-C-2210</t>
        </is>
      </c>
      <c r="D305" s="0" t="inlineStr">
        <is>
          <t xml:space="preserve">non_sub</t>
        </is>
      </c>
      <c r="E305" s="0" t="inlineStr">
        <is>
          <t xml:space="preserve">lltm_early_mfg</t>
        </is>
      </c>
      <c r="F305" s="0" t="inlineStr">
        <is>
          <t xml:space="preserve">INCLUDE_AP_LLTM</t>
        </is>
      </c>
      <c r="G305" s="0" t="inlineStr">
        <is>
          <t xml:space="preserve">AP_LLTM</t>
        </is>
      </c>
      <c r="H305" s="5">
        <v>0</v>
      </c>
      <c r="I305" s="5">
        <v>0</v>
      </c>
      <c r="J305" s="5">
        <v>1</v>
      </c>
      <c r="K305" s="5">
        <v>33.07788</v>
      </c>
      <c r="L305" s="7">
        <v>0.0</v>
      </c>
      <c r="M305" s="7">
        <v>0.0</v>
      </c>
      <c r="N305" s="7">
        <v>0.0</v>
      </c>
      <c r="O305" s="7">
        <v>0.0</v>
      </c>
    </row>
    <row r="306" outlineLevel="1">
      <c r="B306" s="0" t="inlineStr">
        <is>
          <t xml:space="preserve">2025-02-19</t>
        </is>
      </c>
      <c r="C306" s="0" t="inlineStr">
        <is>
          <t xml:space="preserve">-</t>
        </is>
      </c>
      <c r="D306" s="0" t="inlineStr">
        <is>
          <t xml:space="preserve">sub_other</t>
        </is>
      </c>
      <c r="E306" s="0" t="inlineStr">
        <is>
          <t xml:space="preserve">fms</t>
        </is>
      </c>
      <c r="F306" s="0" t="inlineStr">
        <is>
          <t xml:space="preserve">EXCLUDE_REVIEW</t>
        </is>
      </c>
      <c r="G306" s="0" t="inlineStr">
        <is>
          <t xml:space="preserve">BC</t>
        </is>
      </c>
      <c r="H306" s="5">
        <v>0</v>
      </c>
      <c r="I306" s="5">
        <v>0</v>
      </c>
      <c r="J306" s="5">
        <v>1</v>
      </c>
      <c r="K306" s="5">
        <v>32.546921</v>
      </c>
      <c r="L306" s="7">
        <v>0.0</v>
      </c>
      <c r="M306" s="7">
        <v>0.0</v>
      </c>
      <c r="N306" s="7">
        <v>0.0</v>
      </c>
      <c r="O306" s="7">
        <v>0.0</v>
      </c>
    </row>
    <row r="307" outlineLevel="1">
      <c r="B307" s="0" t="inlineStr">
        <is>
          <t xml:space="preserve">2023-01-31</t>
        </is>
      </c>
      <c r="C307" s="0" t="inlineStr">
        <is>
          <t xml:space="preserve">-</t>
        </is>
      </c>
      <c r="D307" s="0" t="inlineStr">
        <is>
          <t xml:space="preserve">non_sub</t>
        </is>
      </c>
      <c r="E307" s="0" t="inlineStr">
        <is>
          <t xml:space="preserve">other</t>
        </is>
      </c>
      <c r="F307" s="0" t="inlineStr">
        <is>
          <t xml:space="preserve">EXCLUDE_REVIEW</t>
        </is>
      </c>
      <c r="G307" s="0" t="inlineStr">
        <is>
          <t xml:space="preserve">BC</t>
        </is>
      </c>
      <c r="H307" s="5">
        <v>0</v>
      </c>
      <c r="I307" s="5">
        <v>0</v>
      </c>
      <c r="J307" s="5">
        <v>1</v>
      </c>
      <c r="K307" s="5">
        <v>32.533827</v>
      </c>
      <c r="L307" s="7">
        <v>0.0</v>
      </c>
      <c r="M307" s="7">
        <v>0.0</v>
      </c>
      <c r="N307" s="7">
        <v>1.0</v>
      </c>
      <c r="O307" s="7">
        <v>0.0</v>
      </c>
    </row>
    <row r="308" outlineLevel="1">
      <c r="B308" s="0" t="inlineStr">
        <is>
          <t xml:space="preserve">2025-02-14</t>
        </is>
      </c>
      <c r="C308" s="0" t="inlineStr">
        <is>
          <t xml:space="preserve">N00024-22-C-2313</t>
        </is>
      </c>
      <c r="D308" s="0" t="inlineStr">
        <is>
          <t xml:space="preserve">non_sub</t>
        </is>
      </c>
      <c r="E308" s="0" t="inlineStr">
        <is>
          <t xml:space="preserve">other</t>
        </is>
      </c>
      <c r="F308" s="0" t="inlineStr">
        <is>
          <t xml:space="preserve">EXCLUDE_REVIEW</t>
        </is>
      </c>
      <c r="G308" s="0" t="inlineStr">
        <is>
          <t xml:space="preserve">BC</t>
        </is>
      </c>
      <c r="H308" s="5">
        <v>0</v>
      </c>
      <c r="I308" s="5">
        <v>0</v>
      </c>
      <c r="J308" s="5">
        <v>1</v>
      </c>
      <c r="K308" s="5">
        <v>32.435193</v>
      </c>
      <c r="L308" s="7">
        <v>0.0</v>
      </c>
      <c r="M308" s="7">
        <v>0.0</v>
      </c>
      <c r="N308" s="7">
        <v>0.97</v>
      </c>
      <c r="O308" s="7">
        <v>0.0</v>
      </c>
    </row>
    <row r="309" outlineLevel="1">
      <c r="B309" s="0" t="inlineStr">
        <is>
          <t xml:space="preserve">2026-02-27</t>
        </is>
      </c>
      <c r="C309" s="0" t="inlineStr">
        <is>
          <t xml:space="preserve">N00024-25-C-6309</t>
        </is>
      </c>
      <c r="D309" s="0" t="inlineStr">
        <is>
          <t xml:space="preserve">non_sub</t>
        </is>
      </c>
      <c r="E309" s="0" t="inlineStr">
        <is>
          <t xml:space="preserve">sustainment_maintenance</t>
        </is>
      </c>
      <c r="F309" s="0" t="inlineStr">
        <is>
          <t xml:space="preserve">EXCLUDE_REVIEW</t>
        </is>
      </c>
      <c r="G309" s="0" t="inlineStr">
        <is>
          <t xml:space="preserve">BC</t>
        </is>
      </c>
      <c r="H309" s="5">
        <v>0</v>
      </c>
      <c r="I309" s="5">
        <v>0</v>
      </c>
      <c r="J309" s="5">
        <v>1</v>
      </c>
      <c r="K309" s="5">
        <v>32.034493</v>
      </c>
      <c r="L309" s="7">
        <v>0.0</v>
      </c>
      <c r="M309" s="7">
        <v>0.0</v>
      </c>
      <c r="N309" s="7">
        <v>1.0</v>
      </c>
      <c r="O309" s="7">
        <v>0.0</v>
      </c>
    </row>
    <row r="310" outlineLevel="1">
      <c r="B310" s="0" t="inlineStr">
        <is>
          <t xml:space="preserve">2026-05-07</t>
        </is>
      </c>
      <c r="C310" s="0" t="inlineStr">
        <is>
          <t xml:space="preserve">-</t>
        </is>
      </c>
      <c r="D310" s="0" t="inlineStr">
        <is>
          <t xml:space="preserve">sub_other</t>
        </is>
      </c>
      <c r="E310" s="0" t="inlineStr">
        <is>
          <t xml:space="preserve">other</t>
        </is>
      </c>
      <c r="F310" s="0" t="inlineStr">
        <is>
          <t xml:space="preserve">EXCLUDE_REVIEW</t>
        </is>
      </c>
      <c r="G310" s="0" t="inlineStr">
        <is>
          <t xml:space="preserve">BC</t>
        </is>
      </c>
      <c r="H310" s="5">
        <v>0</v>
      </c>
      <c r="I310" s="5">
        <v>0</v>
      </c>
      <c r="J310" s="5">
        <v>1</v>
      </c>
      <c r="K310" s="5">
        <v>31.953501</v>
      </c>
      <c r="L310" s="7">
        <v>0.03</v>
      </c>
      <c r="M310" s="7">
        <v>0.0</v>
      </c>
      <c r="N310" s="7">
        <v>0.89</v>
      </c>
      <c r="O310" s="7">
        <v>0.0</v>
      </c>
    </row>
    <row r="311" outlineLevel="1">
      <c r="B311" s="0" t="inlineStr">
        <is>
          <t xml:space="preserve">2025-09-12</t>
        </is>
      </c>
      <c r="C311" s="0" t="inlineStr">
        <is>
          <t xml:space="preserve">N00024-20-C-6117</t>
        </is>
      </c>
      <c r="D311" s="0" t="inlineStr">
        <is>
          <t xml:space="preserve">non_sub</t>
        </is>
      </c>
      <c r="E311" s="0" t="inlineStr">
        <is>
          <t xml:space="preserve">other</t>
        </is>
      </c>
      <c r="F311" s="0" t="inlineStr">
        <is>
          <t xml:space="preserve">EXCLUDE_REVIEW</t>
        </is>
      </c>
      <c r="G311" s="0" t="inlineStr">
        <is>
          <t xml:space="preserve">BC</t>
        </is>
      </c>
      <c r="H311" s="5">
        <v>0</v>
      </c>
      <c r="I311" s="5">
        <v>0</v>
      </c>
      <c r="J311" s="5">
        <v>1</v>
      </c>
      <c r="K311" s="5">
        <v>31.820802</v>
      </c>
      <c r="L311" s="7">
        <v>0.0</v>
      </c>
      <c r="M311" s="7">
        <v>0.0</v>
      </c>
      <c r="N311" s="7">
        <v>1.0</v>
      </c>
      <c r="O311" s="7">
        <v>0.0</v>
      </c>
    </row>
    <row r="312" outlineLevel="1">
      <c r="B312" s="0" t="inlineStr">
        <is>
          <t xml:space="preserve">2025-12-09</t>
        </is>
      </c>
      <c r="C312" s="0" t="inlineStr">
        <is>
          <t xml:space="preserve">-</t>
        </is>
      </c>
      <c r="D312" s="0" t="inlineStr">
        <is>
          <t xml:space="preserve">non_sub</t>
        </is>
      </c>
      <c r="E312" s="0" t="inlineStr">
        <is>
          <t xml:space="preserve">other</t>
        </is>
      </c>
      <c r="F312" s="0" t="inlineStr">
        <is>
          <t xml:space="preserve">EXCLUDE_REVIEW</t>
        </is>
      </c>
      <c r="G312" s="0" t="inlineStr">
        <is>
          <t xml:space="preserve">BC</t>
        </is>
      </c>
      <c r="H312" s="5">
        <v>0</v>
      </c>
      <c r="I312" s="5">
        <v>0</v>
      </c>
      <c r="J312" s="5">
        <v>1</v>
      </c>
      <c r="K312" s="5">
        <v>31.664536</v>
      </c>
      <c r="L312" s="7">
        <v>0.0</v>
      </c>
      <c r="M312" s="7">
        <v>0.0</v>
      </c>
      <c r="N312" s="7">
        <v>1.0</v>
      </c>
      <c r="O312" s="7">
        <v>0.0</v>
      </c>
    </row>
    <row r="313" outlineLevel="1">
      <c r="B313" s="0" t="inlineStr">
        <is>
          <t xml:space="preserve">2025-11-21</t>
        </is>
      </c>
      <c r="C313" s="0" t="inlineStr">
        <is>
          <t xml:space="preserve">N00024-21-C-2451</t>
        </is>
      </c>
      <c r="D313" s="0" t="inlineStr">
        <is>
          <t xml:space="preserve">non_sub</t>
        </is>
      </c>
      <c r="E313" s="0" t="inlineStr">
        <is>
          <t xml:space="preserve">sustainment_maintenance</t>
        </is>
      </c>
      <c r="F313" s="0" t="inlineStr">
        <is>
          <t xml:space="preserve">EXCLUDE_REVIEW</t>
        </is>
      </c>
      <c r="G313" s="0" t="inlineStr">
        <is>
          <t xml:space="preserve">BC</t>
        </is>
      </c>
      <c r="H313" s="5">
        <v>0</v>
      </c>
      <c r="I313" s="5">
        <v>0</v>
      </c>
      <c r="J313" s="5">
        <v>1</v>
      </c>
      <c r="K313" s="5">
        <v>31.550329</v>
      </c>
      <c r="L313" s="7">
        <v>0.0</v>
      </c>
      <c r="M313" s="7">
        <v>0.0</v>
      </c>
      <c r="N313" s="7">
        <v>0.0</v>
      </c>
      <c r="O313" s="7">
        <v>0.0</v>
      </c>
    </row>
    <row r="314" outlineLevel="1">
      <c r="B314" s="0" t="inlineStr">
        <is>
          <t xml:space="preserve">2025-07-21</t>
        </is>
      </c>
      <c r="C314" s="0" t="inlineStr">
        <is>
          <t xml:space="preserve">N00024-20-C-2120</t>
        </is>
      </c>
      <c r="D314" s="0" t="inlineStr">
        <is>
          <t xml:space="preserve">va</t>
        </is>
      </c>
      <c r="E314" s="0" t="inlineStr">
        <is>
          <t xml:space="preserve">lead_yard</t>
        </is>
      </c>
      <c r="F314" s="0" t="inlineStr">
        <is>
          <t xml:space="preserve">EXCLUDE_REVIEW</t>
        </is>
      </c>
      <c r="G314" s="0" t="inlineStr">
        <is>
          <t xml:space="preserve">BC</t>
        </is>
      </c>
      <c r="H314" s="5">
        <v>0</v>
      </c>
      <c r="I314" s="5">
        <v>0</v>
      </c>
      <c r="J314" s="5">
        <v>1</v>
      </c>
      <c r="K314" s="5">
        <v>31.5</v>
      </c>
      <c r="L314" s="7">
        <v>0.0</v>
      </c>
      <c r="M314" s="7">
        <v>0.0</v>
      </c>
      <c r="N314" s="7">
        <v>0.0</v>
      </c>
      <c r="O314" s="7">
        <v>0.0</v>
      </c>
    </row>
    <row r="315" outlineLevel="1">
      <c r="B315" s="0" t="inlineStr">
        <is>
          <t xml:space="preserve">2024-10-21</t>
        </is>
      </c>
      <c r="C315" s="0" t="inlineStr">
        <is>
          <t xml:space="preserve">-</t>
        </is>
      </c>
      <c r="D315" s="0" t="inlineStr">
        <is>
          <t xml:space="preserve">non_sub</t>
        </is>
      </c>
      <c r="E315" s="0" t="inlineStr">
        <is>
          <t xml:space="preserve">other</t>
        </is>
      </c>
      <c r="F315" s="0" t="inlineStr">
        <is>
          <t xml:space="preserve">EXCLUDE_REVIEW</t>
        </is>
      </c>
      <c r="G315" s="0" t="inlineStr">
        <is>
          <t xml:space="preserve">BC</t>
        </is>
      </c>
      <c r="H315" s="5">
        <v>0</v>
      </c>
      <c r="I315" s="5">
        <v>0</v>
      </c>
      <c r="J315" s="5">
        <v>1</v>
      </c>
      <c r="K315" s="5">
        <v>31.496134</v>
      </c>
      <c r="L315" s="7">
        <v>0.0</v>
      </c>
      <c r="M315" s="7">
        <v>0.0</v>
      </c>
      <c r="N315" s="7">
        <v>1.0</v>
      </c>
      <c r="O315" s="7">
        <v>0.0</v>
      </c>
    </row>
    <row r="316" outlineLevel="1">
      <c r="B316" s="0" t="inlineStr">
        <is>
          <t xml:space="preserve">2026-03-13</t>
        </is>
      </c>
      <c r="C316" s="0" t="inlineStr">
        <is>
          <t xml:space="preserve">N69450-22-D-0043</t>
        </is>
      </c>
      <c r="D316" s="0" t="inlineStr">
        <is>
          <t xml:space="preserve">non_sub</t>
        </is>
      </c>
      <c r="E316" s="0" t="inlineStr">
        <is>
          <t xml:space="preserve">lltm_early_mfg</t>
        </is>
      </c>
      <c r="F316" s="0" t="inlineStr">
        <is>
          <t xml:space="preserve">INCLUDE_AP_LLTM</t>
        </is>
      </c>
      <c r="G316" s="0" t="inlineStr">
        <is>
          <t xml:space="preserve">AP_LLTM</t>
        </is>
      </c>
      <c r="H316" s="5">
        <v>0</v>
      </c>
      <c r="I316" s="5">
        <v>0</v>
      </c>
      <c r="J316" s="5">
        <v>1</v>
      </c>
      <c r="K316" s="5">
        <v>31.213019</v>
      </c>
      <c r="L316" s="7">
        <v>0.0</v>
      </c>
      <c r="M316" s="7">
        <v>0.0</v>
      </c>
      <c r="N316" s="7">
        <v>0.0</v>
      </c>
      <c r="O316" s="7">
        <v>0.0</v>
      </c>
    </row>
    <row r="317" outlineLevel="1">
      <c r="B317" s="0" t="inlineStr">
        <is>
          <t xml:space="preserve">2026-01-15</t>
        </is>
      </c>
      <c r="C317" s="0" t="inlineStr">
        <is>
          <t xml:space="preserve">N00024-26-C-6101</t>
        </is>
      </c>
      <c r="D317" s="0" t="inlineStr">
        <is>
          <t xml:space="preserve">non_sub</t>
        </is>
      </c>
      <c r="E317" s="0" t="inlineStr">
        <is>
          <t xml:space="preserve">other</t>
        </is>
      </c>
      <c r="F317" s="0" t="inlineStr">
        <is>
          <t xml:space="preserve">EXCLUDE_REVIEW</t>
        </is>
      </c>
      <c r="G317" s="0" t="inlineStr">
        <is>
          <t xml:space="preserve">BC</t>
        </is>
      </c>
      <c r="H317" s="5">
        <v>0</v>
      </c>
      <c r="I317" s="5">
        <v>0</v>
      </c>
      <c r="J317" s="5">
        <v>1</v>
      </c>
      <c r="K317" s="5">
        <v>30.869447</v>
      </c>
      <c r="L317" s="7">
        <v>0.0</v>
      </c>
      <c r="M317" s="7">
        <v>0.0</v>
      </c>
      <c r="N317" s="7">
        <v>0.6</v>
      </c>
      <c r="O317" s="7">
        <v>0.0</v>
      </c>
    </row>
    <row r="318" outlineLevel="1">
      <c r="B318" s="0" t="inlineStr">
        <is>
          <t xml:space="preserve">2025-12-10</t>
        </is>
      </c>
      <c r="C318" s="0" t="inlineStr">
        <is>
          <t xml:space="preserve">N00024-26-C-2443</t>
        </is>
      </c>
      <c r="D318" s="0" t="inlineStr">
        <is>
          <t xml:space="preserve">non_sub</t>
        </is>
      </c>
      <c r="E318" s="0" t="inlineStr">
        <is>
          <t xml:space="preserve">engineering</t>
        </is>
      </c>
      <c r="F318" s="0" t="inlineStr">
        <is>
          <t xml:space="preserve">EXCLUDE_REVIEW</t>
        </is>
      </c>
      <c r="G318" s="0" t="inlineStr">
        <is>
          <t xml:space="preserve">BC</t>
        </is>
      </c>
      <c r="H318" s="5">
        <v>0</v>
      </c>
      <c r="I318" s="5">
        <v>0</v>
      </c>
      <c r="J318" s="5">
        <v>1</v>
      </c>
      <c r="K318" s="5">
        <v>30.85381</v>
      </c>
      <c r="L318" s="7">
        <v>0.0</v>
      </c>
      <c r="M318" s="7">
        <v>0.0</v>
      </c>
      <c r="N318" s="7">
        <v>1.0</v>
      </c>
      <c r="O318" s="7">
        <v>0.0</v>
      </c>
    </row>
    <row r="319" outlineLevel="1">
      <c r="B319" s="0" t="inlineStr">
        <is>
          <t xml:space="preserve">2026-03-12</t>
        </is>
      </c>
      <c r="C319" s="0" t="inlineStr">
        <is>
          <t xml:space="preserve">N00024-22-C-2313</t>
        </is>
      </c>
      <c r="D319" s="0" t="inlineStr">
        <is>
          <t xml:space="preserve">non_sub</t>
        </is>
      </c>
      <c r="E319" s="0" t="inlineStr">
        <is>
          <t xml:space="preserve">other</t>
        </is>
      </c>
      <c r="F319" s="0" t="inlineStr">
        <is>
          <t xml:space="preserve">EXCLUDE_REVIEW</t>
        </is>
      </c>
      <c r="G319" s="0" t="inlineStr">
        <is>
          <t xml:space="preserve">BC</t>
        </is>
      </c>
      <c r="H319" s="5">
        <v>0</v>
      </c>
      <c r="I319" s="5">
        <v>0</v>
      </c>
      <c r="J319" s="5">
        <v>1</v>
      </c>
      <c r="K319" s="5">
        <v>30.699293</v>
      </c>
      <c r="L319" s="7">
        <v>0.0</v>
      </c>
      <c r="M319" s="7">
        <v>0.0</v>
      </c>
      <c r="N319" s="7">
        <v>1.0</v>
      </c>
      <c r="O319" s="7">
        <v>0.0</v>
      </c>
    </row>
    <row r="320" outlineLevel="1">
      <c r="B320" s="0" t="inlineStr">
        <is>
          <t xml:space="preserve">2023-11-17</t>
        </is>
      </c>
      <c r="C320" s="0" t="inlineStr">
        <is>
          <t xml:space="preserve">N00024-23-C-5123</t>
        </is>
      </c>
      <c r="D320" s="0" t="inlineStr">
        <is>
          <t xml:space="preserve">non_sub</t>
        </is>
      </c>
      <c r="E320" s="0" t="inlineStr">
        <is>
          <t xml:space="preserve">sustainment_maintenance</t>
        </is>
      </c>
      <c r="F320" s="0" t="inlineStr">
        <is>
          <t xml:space="preserve">EXCLUDE_REVIEW</t>
        </is>
      </c>
      <c r="G320" s="0" t="inlineStr">
        <is>
          <t xml:space="preserve">BC</t>
        </is>
      </c>
      <c r="H320" s="5">
        <v>0</v>
      </c>
      <c r="I320" s="5">
        <v>0</v>
      </c>
      <c r="J320" s="5">
        <v>1</v>
      </c>
      <c r="K320" s="5">
        <v>30.478466</v>
      </c>
      <c r="L320" s="7">
        <v>0.0</v>
      </c>
      <c r="M320" s="7">
        <v>0.0</v>
      </c>
      <c r="N320" s="7">
        <v>0.0</v>
      </c>
      <c r="O320" s="7">
        <v>0.0</v>
      </c>
    </row>
    <row r="321" outlineLevel="1">
      <c r="B321" s="0" t="inlineStr">
        <is>
          <t xml:space="preserve">2024-09-19</t>
        </is>
      </c>
      <c r="C321" s="0" t="inlineStr">
        <is>
          <t xml:space="preserve">N00024-20-C-5101</t>
        </is>
      </c>
      <c r="D321" s="0" t="inlineStr">
        <is>
          <t xml:space="preserve">non_sub</t>
        </is>
      </c>
      <c r="E321" s="0" t="inlineStr">
        <is>
          <t xml:space="preserve">other</t>
        </is>
      </c>
      <c r="F321" s="0" t="inlineStr">
        <is>
          <t xml:space="preserve">EXCLUDE_REVIEW</t>
        </is>
      </c>
      <c r="G321" s="0" t="inlineStr">
        <is>
          <t xml:space="preserve">BC</t>
        </is>
      </c>
      <c r="H321" s="5">
        <v>0</v>
      </c>
      <c r="I321" s="5">
        <v>0</v>
      </c>
      <c r="J321" s="5">
        <v>1</v>
      </c>
      <c r="K321" s="5">
        <v>30.208</v>
      </c>
      <c r="L321" s="7">
        <v>0.0</v>
      </c>
      <c r="M321" s="7">
        <v>0.0</v>
      </c>
      <c r="N321" s="7">
        <v>1.0</v>
      </c>
      <c r="O321" s="7">
        <v>0.0</v>
      </c>
    </row>
    <row r="322" outlineLevel="1">
      <c r="B322" s="0" t="inlineStr">
        <is>
          <t xml:space="preserve">2026-04-14</t>
        </is>
      </c>
      <c r="C322" s="0" t="inlineStr">
        <is>
          <t xml:space="preserve">N00024-26-C-2430</t>
        </is>
      </c>
      <c r="D322" s="0" t="inlineStr">
        <is>
          <t xml:space="preserve">non_sub</t>
        </is>
      </c>
      <c r="E322" s="0" t="inlineStr">
        <is>
          <t xml:space="preserve">lltm_early_mfg</t>
        </is>
      </c>
      <c r="F322" s="0" t="inlineStr">
        <is>
          <t xml:space="preserve">INCLUDE_AP_LLTM</t>
        </is>
      </c>
      <c r="G322" s="0" t="inlineStr">
        <is>
          <t xml:space="preserve">AP_LLTM</t>
        </is>
      </c>
      <c r="H322" s="5">
        <v>0</v>
      </c>
      <c r="I322" s="5">
        <v>0</v>
      </c>
      <c r="J322" s="5">
        <v>1</v>
      </c>
      <c r="K322" s="5">
        <v>30.0</v>
      </c>
      <c r="L322" s="7">
        <v>0.0</v>
      </c>
      <c r="M322" s="7">
        <v>0.0</v>
      </c>
      <c r="N322" s="7">
        <v>1.0</v>
      </c>
      <c r="O322" s="7">
        <v>0.0</v>
      </c>
    </row>
    <row r="323" outlineLevel="1">
      <c r="B323" s="0" t="inlineStr">
        <is>
          <t xml:space="preserve">2025-02-28</t>
        </is>
      </c>
      <c r="C323" s="0" t="inlineStr">
        <is>
          <t xml:space="preserve">N00024-25-C-6309</t>
        </is>
      </c>
      <c r="D323" s="0" t="inlineStr">
        <is>
          <t xml:space="preserve">non_sub</t>
        </is>
      </c>
      <c r="E323" s="0" t="inlineStr">
        <is>
          <t xml:space="preserve">sustainment_maintenance</t>
        </is>
      </c>
      <c r="F323" s="0" t="inlineStr">
        <is>
          <t xml:space="preserve">EXCLUDE_REVIEW</t>
        </is>
      </c>
      <c r="G323" s="0" t="inlineStr">
        <is>
          <t xml:space="preserve">BC</t>
        </is>
      </c>
      <c r="H323" s="5">
        <v>0</v>
      </c>
      <c r="I323" s="5">
        <v>0</v>
      </c>
      <c r="J323" s="5">
        <v>1</v>
      </c>
      <c r="K323" s="5">
        <v>29.959409</v>
      </c>
      <c r="L323" s="7">
        <v>0.0</v>
      </c>
      <c r="M323" s="7">
        <v>0.0</v>
      </c>
      <c r="N323" s="7">
        <v>1.0</v>
      </c>
      <c r="O323" s="7">
        <v>0.0</v>
      </c>
    </row>
    <row r="324" outlineLevel="1">
      <c r="B324" s="0" t="inlineStr">
        <is>
          <t xml:space="preserve">2025-01-22</t>
        </is>
      </c>
      <c r="C324" s="0" t="inlineStr">
        <is>
          <t xml:space="preserve">-</t>
        </is>
      </c>
      <c r="D324" s="0" t="inlineStr">
        <is>
          <t xml:space="preserve">sub_other</t>
        </is>
      </c>
      <c r="E324" s="0" t="inlineStr">
        <is>
          <t xml:space="preserve">lltm_early_mfg</t>
        </is>
      </c>
      <c r="F324" s="0" t="inlineStr">
        <is>
          <t xml:space="preserve">INCLUDE_AP_LLTM</t>
        </is>
      </c>
      <c r="G324" s="0" t="inlineStr">
        <is>
          <t xml:space="preserve">AP_LLTM</t>
        </is>
      </c>
      <c r="H324" s="5">
        <v>0</v>
      </c>
      <c r="I324" s="5">
        <v>0</v>
      </c>
      <c r="J324" s="5">
        <v>1</v>
      </c>
      <c r="K324" s="5">
        <v>29.88</v>
      </c>
      <c r="L324" s="7">
        <v>0.0</v>
      </c>
      <c r="M324" s="7">
        <v>0.0</v>
      </c>
      <c r="N324" s="7">
        <v>0.0</v>
      </c>
      <c r="O324" s="7">
        <v>0.0</v>
      </c>
    </row>
    <row r="325" outlineLevel="1">
      <c r="B325" s="0" t="inlineStr">
        <is>
          <t xml:space="preserve">2026-01-30</t>
        </is>
      </c>
      <c r="C325" s="0" t="inlineStr">
        <is>
          <t xml:space="preserve">N00024-22-C-5501</t>
        </is>
      </c>
      <c r="D325" s="0" t="inlineStr">
        <is>
          <t xml:space="preserve">non_sub</t>
        </is>
      </c>
      <c r="E325" s="0" t="inlineStr">
        <is>
          <t xml:space="preserve">lead_yard</t>
        </is>
      </c>
      <c r="F325" s="0" t="inlineStr">
        <is>
          <t xml:space="preserve">EXCLUDE_REVIEW</t>
        </is>
      </c>
      <c r="G325" s="0" t="inlineStr">
        <is>
          <t xml:space="preserve">BC</t>
        </is>
      </c>
      <c r="H325" s="5">
        <v>0</v>
      </c>
      <c r="I325" s="5">
        <v>0</v>
      </c>
      <c r="J325" s="5">
        <v>1</v>
      </c>
      <c r="K325" s="5">
        <v>29.420128</v>
      </c>
      <c r="L325" s="7">
        <v>0.0</v>
      </c>
      <c r="M325" s="7">
        <v>0.0</v>
      </c>
      <c r="N325" s="7">
        <v>1.0</v>
      </c>
      <c r="O325" s="7">
        <v>0.0</v>
      </c>
    </row>
    <row r="326" outlineLevel="1">
      <c r="B326" s="0" t="inlineStr">
        <is>
          <t xml:space="preserve">2026-02-17</t>
        </is>
      </c>
      <c r="C326" s="0" t="inlineStr">
        <is>
          <t xml:space="preserve">N00024-22-C-2253</t>
        </is>
      </c>
      <c r="D326" s="0" t="inlineStr">
        <is>
          <t xml:space="preserve">non_sub</t>
        </is>
      </c>
      <c r="E326" s="0" t="inlineStr">
        <is>
          <t xml:space="preserve">component_procurement</t>
        </is>
      </c>
      <c r="F326" s="0" t="inlineStr">
        <is>
          <t xml:space="preserve">INCLUDE_BC</t>
        </is>
      </c>
      <c r="G326" s="0" t="inlineStr">
        <is>
          <t xml:space="preserve">BC</t>
        </is>
      </c>
      <c r="H326" s="5">
        <v>0</v>
      </c>
      <c r="I326" s="5">
        <v>0</v>
      </c>
      <c r="J326" s="5">
        <v>1</v>
      </c>
      <c r="K326" s="5">
        <v>29.382496</v>
      </c>
      <c r="L326" s="7">
        <v>0.0</v>
      </c>
      <c r="M326" s="7">
        <v>0.0</v>
      </c>
      <c r="N326" s="7">
        <v>0.0</v>
      </c>
      <c r="O326" s="7">
        <v>0.0</v>
      </c>
    </row>
    <row r="327" outlineLevel="1">
      <c r="B327" s="0" t="inlineStr">
        <is>
          <t xml:space="preserve">2026-01-06</t>
        </is>
      </c>
      <c r="C327" s="0" t="inlineStr">
        <is>
          <t xml:space="preserve">N00024-20-C-5405</t>
        </is>
      </c>
      <c r="D327" s="0" t="inlineStr">
        <is>
          <t xml:space="preserve">non_sub</t>
        </is>
      </c>
      <c r="E327" s="0" t="inlineStr">
        <is>
          <t xml:space="preserve">other</t>
        </is>
      </c>
      <c r="F327" s="0" t="inlineStr">
        <is>
          <t xml:space="preserve">EXCLUDE_REVIEW</t>
        </is>
      </c>
      <c r="G327" s="0" t="inlineStr">
        <is>
          <t xml:space="preserve">BC</t>
        </is>
      </c>
      <c r="H327" s="5">
        <v>0</v>
      </c>
      <c r="I327" s="5">
        <v>0</v>
      </c>
      <c r="J327" s="5">
        <v>1</v>
      </c>
      <c r="K327" s="5">
        <v>29.188193</v>
      </c>
      <c r="L327" s="7">
        <v>0.0</v>
      </c>
      <c r="M327" s="7">
        <v>0.0</v>
      </c>
      <c r="N327" s="7">
        <v>1.0</v>
      </c>
      <c r="O327" s="7">
        <v>0.0</v>
      </c>
    </row>
    <row r="328" outlineLevel="1">
      <c r="B328" s="0" t="inlineStr">
        <is>
          <t xml:space="preserve">2025-04-18</t>
        </is>
      </c>
      <c r="C328" s="0" t="inlineStr">
        <is>
          <t xml:space="preserve">N00024-22-C-5218</t>
        </is>
      </c>
      <c r="D328" s="0" t="inlineStr">
        <is>
          <t xml:space="preserve">non_sub</t>
        </is>
      </c>
      <c r="E328" s="0" t="inlineStr">
        <is>
          <t xml:space="preserve">fms</t>
        </is>
      </c>
      <c r="F328" s="0" t="inlineStr">
        <is>
          <t xml:space="preserve">EXCLUDE_REVIEW</t>
        </is>
      </c>
      <c r="G328" s="0" t="inlineStr">
        <is>
          <t xml:space="preserve">BC</t>
        </is>
      </c>
      <c r="H328" s="5">
        <v>0</v>
      </c>
      <c r="I328" s="5">
        <v>0</v>
      </c>
      <c r="J328" s="5">
        <v>1</v>
      </c>
      <c r="K328" s="5">
        <v>28.850598</v>
      </c>
      <c r="L328" s="7">
        <v>0.0</v>
      </c>
      <c r="M328" s="7">
        <v>0.0</v>
      </c>
      <c r="N328" s="7">
        <v>1.0</v>
      </c>
      <c r="O328" s="7">
        <v>0.0</v>
      </c>
    </row>
    <row r="329" outlineLevel="1">
      <c r="B329" s="0" t="inlineStr">
        <is>
          <t xml:space="preserve">2025-07-03</t>
        </is>
      </c>
      <c r="C329" s="0" t="inlineStr">
        <is>
          <t xml:space="preserve">N00024-19-C-5102</t>
        </is>
      </c>
      <c r="D329" s="0" t="inlineStr">
        <is>
          <t xml:space="preserve">non_sub</t>
        </is>
      </c>
      <c r="E329" s="0" t="inlineStr">
        <is>
          <t xml:space="preserve">fms</t>
        </is>
      </c>
      <c r="F329" s="0" t="inlineStr">
        <is>
          <t xml:space="preserve">EXCLUDE_REVIEW</t>
        </is>
      </c>
      <c r="G329" s="0" t="inlineStr">
        <is>
          <t xml:space="preserve">BC</t>
        </is>
      </c>
      <c r="H329" s="5">
        <v>0</v>
      </c>
      <c r="I329" s="5">
        <v>0</v>
      </c>
      <c r="J329" s="5">
        <v>1</v>
      </c>
      <c r="K329" s="5">
        <v>28.643657</v>
      </c>
      <c r="L329" s="7">
        <v>0.0</v>
      </c>
      <c r="M329" s="7">
        <v>0.0</v>
      </c>
      <c r="N329" s="7">
        <v>1.0</v>
      </c>
      <c r="O329" s="7">
        <v>0.0</v>
      </c>
    </row>
    <row r="330" outlineLevel="1">
      <c r="B330" s="0" t="inlineStr">
        <is>
          <t xml:space="preserve">2024-08-30</t>
        </is>
      </c>
      <c r="C330" s="0" t="inlineStr">
        <is>
          <t xml:space="preserve">-</t>
        </is>
      </c>
      <c r="D330" s="0" t="inlineStr">
        <is>
          <t xml:space="preserve">non_sub</t>
        </is>
      </c>
      <c r="E330" s="0" t="inlineStr">
        <is>
          <t xml:space="preserve">fms</t>
        </is>
      </c>
      <c r="F330" s="0" t="inlineStr">
        <is>
          <t xml:space="preserve">EXCLUDE_REVIEW</t>
        </is>
      </c>
      <c r="G330" s="0" t="inlineStr">
        <is>
          <t xml:space="preserve">BC</t>
        </is>
      </c>
      <c r="H330" s="5">
        <v>0</v>
      </c>
      <c r="I330" s="5">
        <v>0</v>
      </c>
      <c r="J330" s="5">
        <v>1</v>
      </c>
      <c r="K330" s="5">
        <v>28.424525</v>
      </c>
      <c r="L330" s="7">
        <v>0.0</v>
      </c>
      <c r="M330" s="7">
        <v>0.0</v>
      </c>
      <c r="N330" s="7">
        <v>0.0</v>
      </c>
      <c r="O330" s="7">
        <v>0.0</v>
      </c>
    </row>
    <row r="331" outlineLevel="1">
      <c r="B331" s="0" t="inlineStr">
        <is>
          <t xml:space="preserve">2024-06-28</t>
        </is>
      </c>
      <c r="C331" s="0" t="inlineStr">
        <is>
          <t xml:space="preserve">N00024-23-F-5100</t>
        </is>
      </c>
      <c r="D331" s="0" t="inlineStr">
        <is>
          <t xml:space="preserve">non_sub</t>
        </is>
      </c>
      <c r="E331" s="0" t="inlineStr">
        <is>
          <t xml:space="preserve">fms</t>
        </is>
      </c>
      <c r="F331" s="0" t="inlineStr">
        <is>
          <t xml:space="preserve">EXCLUDE_REVIEW</t>
        </is>
      </c>
      <c r="G331" s="0" t="inlineStr">
        <is>
          <t xml:space="preserve">BC</t>
        </is>
      </c>
      <c r="H331" s="5">
        <v>0</v>
      </c>
      <c r="I331" s="5">
        <v>0</v>
      </c>
      <c r="J331" s="5">
        <v>1</v>
      </c>
      <c r="K331" s="5">
        <v>28.329633</v>
      </c>
      <c r="L331" s="7">
        <v>0.0</v>
      </c>
      <c r="M331" s="7">
        <v>0.0</v>
      </c>
      <c r="N331" s="7">
        <v>0.0</v>
      </c>
      <c r="O331" s="7">
        <v>0.0</v>
      </c>
    </row>
    <row r="332" outlineLevel="1">
      <c r="B332" s="0" t="inlineStr">
        <is>
          <t xml:space="preserve">2025-03-14</t>
        </is>
      </c>
      <c r="C332" s="0" t="inlineStr">
        <is>
          <t xml:space="preserve">N00024-22-C-2253</t>
        </is>
      </c>
      <c r="D332" s="0" t="inlineStr">
        <is>
          <t xml:space="preserve">non_sub</t>
        </is>
      </c>
      <c r="E332" s="0" t="inlineStr">
        <is>
          <t xml:space="preserve">design</t>
        </is>
      </c>
      <c r="F332" s="0" t="inlineStr">
        <is>
          <t xml:space="preserve">EXCLUDE_REVIEW</t>
        </is>
      </c>
      <c r="G332" s="0" t="inlineStr">
        <is>
          <t xml:space="preserve">BC</t>
        </is>
      </c>
      <c r="H332" s="5">
        <v>0</v>
      </c>
      <c r="I332" s="5">
        <v>0</v>
      </c>
      <c r="J332" s="5">
        <v>1</v>
      </c>
      <c r="K332" s="5">
        <v>28.285715</v>
      </c>
      <c r="L332" s="7">
        <v>0.0</v>
      </c>
      <c r="M332" s="7">
        <v>0.0</v>
      </c>
      <c r="N332" s="7">
        <v>0.0</v>
      </c>
      <c r="O332" s="7">
        <v>0.0</v>
      </c>
    </row>
    <row r="333" outlineLevel="1">
      <c r="B333" s="0" t="inlineStr">
        <is>
          <t xml:space="preserve">2025-06-16</t>
        </is>
      </c>
      <c r="C333" s="0" t="inlineStr">
        <is>
          <t xml:space="preserve">-</t>
        </is>
      </c>
      <c r="D333" s="0" t="inlineStr">
        <is>
          <t xml:space="preserve">non_sub</t>
        </is>
      </c>
      <c r="E333" s="0" t="inlineStr">
        <is>
          <t xml:space="preserve">design</t>
        </is>
      </c>
      <c r="F333" s="0" t="inlineStr">
        <is>
          <t xml:space="preserve">EXCLUDE_REVIEW</t>
        </is>
      </c>
      <c r="G333" s="0" t="inlineStr">
        <is>
          <t xml:space="preserve">BC</t>
        </is>
      </c>
      <c r="H333" s="5">
        <v>0</v>
      </c>
      <c r="I333" s="5">
        <v>0</v>
      </c>
      <c r="J333" s="5">
        <v>1</v>
      </c>
      <c r="K333" s="5">
        <v>28.285715</v>
      </c>
      <c r="L333" s="7">
        <v>0.0</v>
      </c>
      <c r="M333" s="7">
        <v>0.0</v>
      </c>
      <c r="N333" s="7">
        <v>0.0</v>
      </c>
      <c r="O333" s="7">
        <v>0.0</v>
      </c>
    </row>
    <row r="334" outlineLevel="1">
      <c r="B334" s="0" t="inlineStr">
        <is>
          <t xml:space="preserve">2025-04-29</t>
        </is>
      </c>
      <c r="C334" s="0" t="inlineStr">
        <is>
          <t xml:space="preserve">-</t>
        </is>
      </c>
      <c r="D334" s="0" t="inlineStr">
        <is>
          <t xml:space="preserve">non_sub</t>
        </is>
      </c>
      <c r="E334" s="0" t="inlineStr">
        <is>
          <t xml:space="preserve">other</t>
        </is>
      </c>
      <c r="F334" s="0" t="inlineStr">
        <is>
          <t xml:space="preserve">EXCLUDE_REVIEW</t>
        </is>
      </c>
      <c r="G334" s="0" t="inlineStr">
        <is>
          <t xml:space="preserve">BC</t>
        </is>
      </c>
      <c r="H334" s="5">
        <v>0</v>
      </c>
      <c r="I334" s="5">
        <v>0</v>
      </c>
      <c r="J334" s="5">
        <v>1</v>
      </c>
      <c r="K334" s="5">
        <v>27.939364</v>
      </c>
      <c r="L334" s="7">
        <v>0.0</v>
      </c>
      <c r="M334" s="7">
        <v>0.0</v>
      </c>
      <c r="N334" s="7">
        <v>1.0</v>
      </c>
      <c r="O334" s="7">
        <v>0.0</v>
      </c>
    </row>
    <row r="335" outlineLevel="1">
      <c r="B335" s="0" t="inlineStr">
        <is>
          <t xml:space="preserve">2022-12-15</t>
        </is>
      </c>
      <c r="C335" s="0" t="inlineStr">
        <is>
          <t xml:space="preserve">-</t>
        </is>
      </c>
      <c r="D335" s="0" t="inlineStr">
        <is>
          <t xml:space="preserve">non_sub</t>
        </is>
      </c>
      <c r="E335" s="0" t="inlineStr">
        <is>
          <t xml:space="preserve">design</t>
        </is>
      </c>
      <c r="F335" s="0" t="inlineStr">
        <is>
          <t xml:space="preserve">EXCLUDE_REVIEW</t>
        </is>
      </c>
      <c r="G335" s="0" t="inlineStr">
        <is>
          <t xml:space="preserve">BC</t>
        </is>
      </c>
      <c r="H335" s="5">
        <v>0</v>
      </c>
      <c r="I335" s="5">
        <v>0</v>
      </c>
      <c r="J335" s="5">
        <v>1</v>
      </c>
      <c r="K335" s="5">
        <v>27.625288</v>
      </c>
      <c r="L335" s="7">
        <v>0.0</v>
      </c>
      <c r="M335" s="7">
        <v>0.0</v>
      </c>
      <c r="N335" s="7">
        <v>1.0</v>
      </c>
      <c r="O335" s="7">
        <v>0.0</v>
      </c>
    </row>
    <row r="336" outlineLevel="1">
      <c r="B336" s="0" t="inlineStr">
        <is>
          <t xml:space="preserve">2022-09-09</t>
        </is>
      </c>
      <c r="C336" s="0" t="inlineStr">
        <is>
          <t xml:space="preserve">-</t>
        </is>
      </c>
      <c r="D336" s="0" t="inlineStr">
        <is>
          <t xml:space="preserve">sub_other</t>
        </is>
      </c>
      <c r="E336" s="0" t="inlineStr">
        <is>
          <t xml:space="preserve">other</t>
        </is>
      </c>
      <c r="F336" s="0" t="inlineStr">
        <is>
          <t xml:space="preserve">EXCLUDE_REVIEW</t>
        </is>
      </c>
      <c r="G336" s="0" t="inlineStr">
        <is>
          <t xml:space="preserve">BC</t>
        </is>
      </c>
      <c r="H336" s="5">
        <v>0</v>
      </c>
      <c r="I336" s="5">
        <v>0</v>
      </c>
      <c r="J336" s="5">
        <v>1</v>
      </c>
      <c r="K336" s="5">
        <v>27.357473</v>
      </c>
      <c r="L336" s="7">
        <v>0.0</v>
      </c>
      <c r="M336" s="7">
        <v>0.0</v>
      </c>
      <c r="N336" s="7">
        <v>0.0</v>
      </c>
      <c r="O336" s="7">
        <v>0.0</v>
      </c>
    </row>
    <row r="337" outlineLevel="1">
      <c r="B337" s="0" t="inlineStr">
        <is>
          <t xml:space="preserve">2025-12-23</t>
        </is>
      </c>
      <c r="C337" s="0" t="inlineStr">
        <is>
          <t xml:space="preserve">N00024-24-C-6101</t>
        </is>
      </c>
      <c r="D337" s="0" t="inlineStr">
        <is>
          <t xml:space="preserve">non_sub</t>
        </is>
      </c>
      <c r="E337" s="0" t="inlineStr">
        <is>
          <t xml:space="preserve">design</t>
        </is>
      </c>
      <c r="F337" s="0" t="inlineStr">
        <is>
          <t xml:space="preserve">EXCLUDE_REVIEW</t>
        </is>
      </c>
      <c r="G337" s="0" t="inlineStr">
        <is>
          <t xml:space="preserve">BC</t>
        </is>
      </c>
      <c r="H337" s="5">
        <v>0</v>
      </c>
      <c r="I337" s="5">
        <v>0</v>
      </c>
      <c r="J337" s="5">
        <v>1</v>
      </c>
      <c r="K337" s="5">
        <v>27.323934</v>
      </c>
      <c r="L337" s="7">
        <v>0.0</v>
      </c>
      <c r="M337" s="7">
        <v>0.0</v>
      </c>
      <c r="N337" s="7">
        <v>0.0</v>
      </c>
      <c r="O337" s="7">
        <v>0.0</v>
      </c>
    </row>
    <row r="338" outlineLevel="1">
      <c r="B338" s="0" t="inlineStr">
        <is>
          <t xml:space="preserve">2025-09-02</t>
        </is>
      </c>
      <c r="C338" s="0" t="inlineStr">
        <is>
          <t xml:space="preserve">-</t>
        </is>
      </c>
      <c r="D338" s="0" t="inlineStr">
        <is>
          <t xml:space="preserve">non_sub</t>
        </is>
      </c>
      <c r="E338" s="0" t="inlineStr">
        <is>
          <t xml:space="preserve">other</t>
        </is>
      </c>
      <c r="F338" s="0" t="inlineStr">
        <is>
          <t xml:space="preserve">EXCLUDE_REVIEW</t>
        </is>
      </c>
      <c r="G338" s="0" t="inlineStr">
        <is>
          <t xml:space="preserve">BC</t>
        </is>
      </c>
      <c r="H338" s="5">
        <v>0</v>
      </c>
      <c r="I338" s="5">
        <v>0</v>
      </c>
      <c r="J338" s="5">
        <v>1</v>
      </c>
      <c r="K338" s="5">
        <v>26.957807</v>
      </c>
      <c r="L338" s="7">
        <v>0.0</v>
      </c>
      <c r="M338" s="7">
        <v>0.0</v>
      </c>
      <c r="N338" s="7">
        <v>1.0</v>
      </c>
      <c r="O338" s="7">
        <v>0.0</v>
      </c>
    </row>
    <row r="339" outlineLevel="1">
      <c r="B339" s="0" t="inlineStr">
        <is>
          <t xml:space="preserve">2025-09-08</t>
        </is>
      </c>
      <c r="C339" s="0" t="inlineStr">
        <is>
          <t xml:space="preserve">-</t>
        </is>
      </c>
      <c r="D339" s="0" t="inlineStr">
        <is>
          <t xml:space="preserve">non_sub</t>
        </is>
      </c>
      <c r="E339" s="0" t="inlineStr">
        <is>
          <t xml:space="preserve">component_procurement</t>
        </is>
      </c>
      <c r="F339" s="0" t="inlineStr">
        <is>
          <t xml:space="preserve">INCLUDE_BC</t>
        </is>
      </c>
      <c r="G339" s="0" t="inlineStr">
        <is>
          <t xml:space="preserve">BC</t>
        </is>
      </c>
      <c r="H339" s="5">
        <v>0</v>
      </c>
      <c r="I339" s="5">
        <v>0</v>
      </c>
      <c r="J339" s="5">
        <v>1</v>
      </c>
      <c r="K339" s="5">
        <v>26.947406</v>
      </c>
      <c r="L339" s="7">
        <v>0.0</v>
      </c>
      <c r="M339" s="7">
        <v>0.0</v>
      </c>
      <c r="N339" s="7">
        <v>1.0</v>
      </c>
      <c r="O339" s="7">
        <v>0.0</v>
      </c>
    </row>
    <row r="340" outlineLevel="1">
      <c r="B340" s="0" t="inlineStr">
        <is>
          <t xml:space="preserve">2025-04-09</t>
        </is>
      </c>
      <c r="C340" s="0" t="inlineStr">
        <is>
          <t xml:space="preserve">-</t>
        </is>
      </c>
      <c r="D340" s="0" t="inlineStr">
        <is>
          <t xml:space="preserve">non_sub</t>
        </is>
      </c>
      <c r="E340" s="0" t="inlineStr">
        <is>
          <t xml:space="preserve">fms</t>
        </is>
      </c>
      <c r="F340" s="0" t="inlineStr">
        <is>
          <t xml:space="preserve">EXCLUDE_REVIEW</t>
        </is>
      </c>
      <c r="G340" s="0" t="inlineStr">
        <is>
          <t xml:space="preserve">BC</t>
        </is>
      </c>
      <c r="H340" s="5">
        <v>0</v>
      </c>
      <c r="I340" s="5">
        <v>0</v>
      </c>
      <c r="J340" s="5">
        <v>1</v>
      </c>
      <c r="K340" s="5">
        <v>26.650165</v>
      </c>
      <c r="L340" s="7">
        <v>0.0</v>
      </c>
      <c r="M340" s="7">
        <v>0.0</v>
      </c>
      <c r="N340" s="7">
        <v>0.0</v>
      </c>
      <c r="O340" s="7">
        <v>0.0</v>
      </c>
    </row>
    <row r="341" outlineLevel="1">
      <c r="B341" s="0" t="inlineStr">
        <is>
          <t xml:space="preserve">2025-11-28</t>
        </is>
      </c>
      <c r="C341" s="0" t="inlineStr">
        <is>
          <t xml:space="preserve">N00024-20-C-2320</t>
        </is>
      </c>
      <c r="D341" s="0" t="inlineStr">
        <is>
          <t xml:space="preserve">non_sub</t>
        </is>
      </c>
      <c r="E341" s="0" t="inlineStr">
        <is>
          <t xml:space="preserve">sustainment_maintenance</t>
        </is>
      </c>
      <c r="F341" s="0" t="inlineStr">
        <is>
          <t xml:space="preserve">EXCLUDE_REVIEW</t>
        </is>
      </c>
      <c r="G341" s="0" t="inlineStr">
        <is>
          <t xml:space="preserve">BC</t>
        </is>
      </c>
      <c r="H341" s="5">
        <v>0</v>
      </c>
      <c r="I341" s="5">
        <v>0</v>
      </c>
      <c r="J341" s="5">
        <v>1</v>
      </c>
      <c r="K341" s="5">
        <v>26.447362</v>
      </c>
      <c r="L341" s="7">
        <v>0.0</v>
      </c>
      <c r="M341" s="7">
        <v>0.0</v>
      </c>
      <c r="N341" s="7">
        <v>0.0</v>
      </c>
      <c r="O341" s="7">
        <v>0.0</v>
      </c>
    </row>
    <row r="342" outlineLevel="1">
      <c r="B342" s="0" t="inlineStr">
        <is>
          <t xml:space="preserve">2022-09-27</t>
        </is>
      </c>
      <c r="C342" s="0" t="inlineStr">
        <is>
          <t xml:space="preserve">-</t>
        </is>
      </c>
      <c r="D342" s="0" t="inlineStr">
        <is>
          <t xml:space="preserve">non_sub</t>
        </is>
      </c>
      <c r="E342" s="0" t="inlineStr">
        <is>
          <t xml:space="preserve">component_procurement</t>
        </is>
      </c>
      <c r="F342" s="0" t="inlineStr">
        <is>
          <t xml:space="preserve">INCLUDE_BC</t>
        </is>
      </c>
      <c r="G342" s="0" t="inlineStr">
        <is>
          <t xml:space="preserve">BC</t>
        </is>
      </c>
      <c r="H342" s="5">
        <v>0</v>
      </c>
      <c r="I342" s="5">
        <v>0</v>
      </c>
      <c r="J342" s="5">
        <v>1</v>
      </c>
      <c r="K342" s="5">
        <v>26.399469</v>
      </c>
      <c r="L342" s="7">
        <v>0.0</v>
      </c>
      <c r="M342" s="7">
        <v>0.0</v>
      </c>
      <c r="N342" s="7">
        <v>0.22</v>
      </c>
      <c r="O342" s="7">
        <v>0.0</v>
      </c>
    </row>
    <row r="343" outlineLevel="1">
      <c r="B343" s="0" t="inlineStr">
        <is>
          <t xml:space="preserve">2026-02-13</t>
        </is>
      </c>
      <c r="C343" s="0" t="inlineStr">
        <is>
          <t xml:space="preserve">N00024-24-C-5131</t>
        </is>
      </c>
      <c r="D343" s="0" t="inlineStr">
        <is>
          <t xml:space="preserve">non_sub</t>
        </is>
      </c>
      <c r="E343" s="0" t="inlineStr">
        <is>
          <t xml:space="preserve">fms</t>
        </is>
      </c>
      <c r="F343" s="0" t="inlineStr">
        <is>
          <t xml:space="preserve">EXCLUDE_REVIEW</t>
        </is>
      </c>
      <c r="G343" s="0" t="inlineStr">
        <is>
          <t xml:space="preserve">BC</t>
        </is>
      </c>
      <c r="H343" s="5">
        <v>0</v>
      </c>
      <c r="I343" s="5">
        <v>0</v>
      </c>
      <c r="J343" s="5">
        <v>1</v>
      </c>
      <c r="K343" s="5">
        <v>26.254791</v>
      </c>
      <c r="L343" s="7">
        <v>0.0</v>
      </c>
      <c r="M343" s="7">
        <v>0.0</v>
      </c>
      <c r="N343" s="7">
        <v>0.0</v>
      </c>
      <c r="O343" s="7">
        <v>0.0</v>
      </c>
    </row>
    <row r="344" outlineLevel="1">
      <c r="B344" s="0" t="inlineStr">
        <is>
          <t xml:space="preserve">2023-11-17</t>
        </is>
      </c>
      <c r="C344" s="0" t="inlineStr">
        <is>
          <t xml:space="preserve">N00024-24-C-2312</t>
        </is>
      </c>
      <c r="D344" s="0" t="inlineStr">
        <is>
          <t xml:space="preserve">non_sub</t>
        </is>
      </c>
      <c r="E344" s="0" t="inlineStr">
        <is>
          <t xml:space="preserve">other</t>
        </is>
      </c>
      <c r="F344" s="0" t="inlineStr">
        <is>
          <t xml:space="preserve">EXCLUDE_REVIEW</t>
        </is>
      </c>
      <c r="G344" s="0" t="inlineStr">
        <is>
          <t xml:space="preserve">BC</t>
        </is>
      </c>
      <c r="H344" s="5">
        <v>0</v>
      </c>
      <c r="I344" s="5">
        <v>0</v>
      </c>
      <c r="J344" s="5">
        <v>1</v>
      </c>
      <c r="K344" s="5">
        <v>25.781609</v>
      </c>
      <c r="L344" s="7">
        <v>0.0</v>
      </c>
      <c r="M344" s="7">
        <v>0.0</v>
      </c>
      <c r="N344" s="7">
        <v>0.98</v>
      </c>
      <c r="O344" s="7">
        <v>0.0</v>
      </c>
    </row>
    <row r="345" outlineLevel="1">
      <c r="B345" s="0" t="inlineStr">
        <is>
          <t xml:space="preserve">2025-09-09</t>
        </is>
      </c>
      <c r="C345" s="0" t="inlineStr">
        <is>
          <t xml:space="preserve">N00024-20-D-5230</t>
        </is>
      </c>
      <c r="D345" s="0" t="inlineStr">
        <is>
          <t xml:space="preserve">non_sub</t>
        </is>
      </c>
      <c r="E345" s="0" t="inlineStr">
        <is>
          <t xml:space="preserve">other</t>
        </is>
      </c>
      <c r="F345" s="0" t="inlineStr">
        <is>
          <t xml:space="preserve">EXCLUDE_REVIEW</t>
        </is>
      </c>
      <c r="G345" s="0" t="inlineStr">
        <is>
          <t xml:space="preserve">BC</t>
        </is>
      </c>
      <c r="H345" s="5">
        <v>0</v>
      </c>
      <c r="I345" s="5">
        <v>0</v>
      </c>
      <c r="J345" s="5">
        <v>1</v>
      </c>
      <c r="K345" s="5">
        <v>25.729881</v>
      </c>
      <c r="L345" s="7">
        <v>0.0</v>
      </c>
      <c r="M345" s="7">
        <v>0.0</v>
      </c>
      <c r="N345" s="7">
        <v>1.0</v>
      </c>
      <c r="O345" s="7">
        <v>0.0</v>
      </c>
    </row>
    <row r="346" outlineLevel="1">
      <c r="B346" s="0" t="inlineStr">
        <is>
          <t xml:space="preserve">2025-12-16</t>
        </is>
      </c>
      <c r="C346" s="0" t="inlineStr">
        <is>
          <t xml:space="preserve">N00024-24-C-6400</t>
        </is>
      </c>
      <c r="D346" s="0" t="inlineStr">
        <is>
          <t xml:space="preserve">non_sub</t>
        </is>
      </c>
      <c r="E346" s="0" t="inlineStr">
        <is>
          <t xml:space="preserve">sustainment_maintenance</t>
        </is>
      </c>
      <c r="F346" s="0" t="inlineStr">
        <is>
          <t xml:space="preserve">EXCLUDE_REVIEW</t>
        </is>
      </c>
      <c r="G346" s="0" t="inlineStr">
        <is>
          <t xml:space="preserve">BC</t>
        </is>
      </c>
      <c r="H346" s="5">
        <v>0</v>
      </c>
      <c r="I346" s="5">
        <v>0</v>
      </c>
      <c r="J346" s="5">
        <v>1</v>
      </c>
      <c r="K346" s="5">
        <v>25.303971</v>
      </c>
      <c r="L346" s="7">
        <v>0.0</v>
      </c>
      <c r="M346" s="7">
        <v>0.0</v>
      </c>
      <c r="N346" s="7">
        <v>0.0</v>
      </c>
      <c r="O346" s="7">
        <v>0.0</v>
      </c>
    </row>
    <row r="347" outlineLevel="1">
      <c r="B347" s="0" t="inlineStr">
        <is>
          <t xml:space="preserve">2025-02-03</t>
        </is>
      </c>
      <c r="C347" s="0" t="inlineStr">
        <is>
          <t xml:space="preserve">-</t>
        </is>
      </c>
      <c r="D347" s="0" t="inlineStr">
        <is>
          <t xml:space="preserve">non_sub</t>
        </is>
      </c>
      <c r="E347" s="0" t="inlineStr">
        <is>
          <t xml:space="preserve">sustainment_maintenance</t>
        </is>
      </c>
      <c r="F347" s="0" t="inlineStr">
        <is>
          <t xml:space="preserve">EXCLUDE_REVIEW</t>
        </is>
      </c>
      <c r="G347" s="0" t="inlineStr">
        <is>
          <t xml:space="preserve">BC</t>
        </is>
      </c>
      <c r="H347" s="5">
        <v>0</v>
      </c>
      <c r="I347" s="5">
        <v>0</v>
      </c>
      <c r="J347" s="5">
        <v>1</v>
      </c>
      <c r="K347" s="5">
        <v>24.980584</v>
      </c>
      <c r="L347" s="7">
        <v>0.0</v>
      </c>
      <c r="M347" s="7">
        <v>0.0</v>
      </c>
      <c r="N347" s="7">
        <v>0.0</v>
      </c>
      <c r="O347" s="7">
        <v>0.0</v>
      </c>
    </row>
    <row r="348" outlineLevel="1">
      <c r="B348" s="0" t="inlineStr">
        <is>
          <t xml:space="preserve">2022-09-30</t>
        </is>
      </c>
      <c r="C348" s="0" t="inlineStr">
        <is>
          <t xml:space="preserve">N00024-18-G-5501</t>
        </is>
      </c>
      <c r="D348" s="0" t="inlineStr">
        <is>
          <t xml:space="preserve">non_sub</t>
        </is>
      </c>
      <c r="E348" s="0" t="inlineStr">
        <is>
          <t xml:space="preserve">other</t>
        </is>
      </c>
      <c r="F348" s="0" t="inlineStr">
        <is>
          <t xml:space="preserve">EXCLUDE_REVIEW</t>
        </is>
      </c>
      <c r="G348" s="0" t="inlineStr">
        <is>
          <t xml:space="preserve">BC</t>
        </is>
      </c>
      <c r="H348" s="5">
        <v>0</v>
      </c>
      <c r="I348" s="5">
        <v>0</v>
      </c>
      <c r="J348" s="5">
        <v>1</v>
      </c>
      <c r="K348" s="5">
        <v>24.86798</v>
      </c>
      <c r="L348" s="7">
        <v>0.0</v>
      </c>
      <c r="M348" s="7">
        <v>0.0</v>
      </c>
      <c r="N348" s="7">
        <v>1.0</v>
      </c>
      <c r="O348" s="7">
        <v>0.0</v>
      </c>
    </row>
    <row r="349" outlineLevel="1">
      <c r="B349" s="0" t="inlineStr">
        <is>
          <t xml:space="preserve">2025-12-10</t>
        </is>
      </c>
      <c r="C349" s="0" t="inlineStr">
        <is>
          <t xml:space="preserve">N00024-26-C-5524</t>
        </is>
      </c>
      <c r="D349" s="0" t="inlineStr">
        <is>
          <t xml:space="preserve">non_sub</t>
        </is>
      </c>
      <c r="E349" s="0" t="inlineStr">
        <is>
          <t xml:space="preserve">other</t>
        </is>
      </c>
      <c r="F349" s="0" t="inlineStr">
        <is>
          <t xml:space="preserve">EXCLUDE_REVIEW</t>
        </is>
      </c>
      <c r="G349" s="0" t="inlineStr">
        <is>
          <t xml:space="preserve">BC</t>
        </is>
      </c>
      <c r="H349" s="5">
        <v>0</v>
      </c>
      <c r="I349" s="5">
        <v>0</v>
      </c>
      <c r="J349" s="5">
        <v>1</v>
      </c>
      <c r="K349" s="5">
        <v>24.764102</v>
      </c>
      <c r="L349" s="7">
        <v>0.0</v>
      </c>
      <c r="M349" s="7">
        <v>0.0</v>
      </c>
      <c r="N349" s="7">
        <v>0.93</v>
      </c>
      <c r="O349" s="7">
        <v>0.0</v>
      </c>
    </row>
    <row r="350" outlineLevel="1">
      <c r="B350" s="0" t="inlineStr">
        <is>
          <t xml:space="preserve">2025-09-04</t>
        </is>
      </c>
      <c r="C350" s="0" t="inlineStr">
        <is>
          <t xml:space="preserve">N00024-25-C-2301</t>
        </is>
      </c>
      <c r="D350" s="0" t="inlineStr">
        <is>
          <t xml:space="preserve">non_sub</t>
        </is>
      </c>
      <c r="E350" s="0" t="inlineStr">
        <is>
          <t xml:space="preserve">sustainment_maintenance</t>
        </is>
      </c>
      <c r="F350" s="0" t="inlineStr">
        <is>
          <t xml:space="preserve">EXCLUDE_REVIEW</t>
        </is>
      </c>
      <c r="G350" s="0" t="inlineStr">
        <is>
          <t xml:space="preserve">BC</t>
        </is>
      </c>
      <c r="H350" s="5">
        <v>0</v>
      </c>
      <c r="I350" s="5">
        <v>0</v>
      </c>
      <c r="J350" s="5">
        <v>1</v>
      </c>
      <c r="K350" s="5">
        <v>24.361392</v>
      </c>
      <c r="L350" s="7">
        <v>0.0</v>
      </c>
      <c r="M350" s="7">
        <v>0.0</v>
      </c>
      <c r="N350" s="7">
        <v>0.0</v>
      </c>
      <c r="O350" s="7">
        <v>0.0</v>
      </c>
    </row>
    <row r="351" outlineLevel="1">
      <c r="B351" s="0" t="inlineStr">
        <is>
          <t xml:space="preserve">2026-05-21</t>
        </is>
      </c>
      <c r="C351" s="0" t="inlineStr">
        <is>
          <t xml:space="preserve">N00024-20-C-2109</t>
        </is>
      </c>
      <c r="D351" s="0" t="inlineStr">
        <is>
          <t xml:space="preserve">sub_other</t>
        </is>
      </c>
      <c r="E351" s="0" t="inlineStr">
        <is>
          <t xml:space="preserve">sustainment_maintenance</t>
        </is>
      </c>
      <c r="F351" s="0" t="inlineStr">
        <is>
          <t xml:space="preserve">EXCLUDE_REVIEW</t>
        </is>
      </c>
      <c r="G351" s="0" t="inlineStr">
        <is>
          <t xml:space="preserve">BC</t>
        </is>
      </c>
      <c r="H351" s="5">
        <v>0</v>
      </c>
      <c r="I351" s="5">
        <v>0</v>
      </c>
      <c r="J351" s="5">
        <v>1</v>
      </c>
      <c r="K351" s="5">
        <v>24.0</v>
      </c>
      <c r="L351" s="7">
        <v>0.01</v>
      </c>
      <c r="M351" s="7">
        <v>0.9</v>
      </c>
      <c r="N351" s="7">
        <v>0.09</v>
      </c>
      <c r="O351" s="7">
        <v>0.0</v>
      </c>
    </row>
    <row r="352" outlineLevel="1">
      <c r="B352" s="0" t="inlineStr">
        <is>
          <t xml:space="preserve">2025-08-21</t>
        </is>
      </c>
      <c r="C352" s="0" t="inlineStr">
        <is>
          <t xml:space="preserve">N00024-23-C-6132</t>
        </is>
      </c>
      <c r="D352" s="0" t="inlineStr">
        <is>
          <t xml:space="preserve">non_sub</t>
        </is>
      </c>
      <c r="E352" s="0" t="inlineStr">
        <is>
          <t xml:space="preserve">design</t>
        </is>
      </c>
      <c r="F352" s="0" t="inlineStr">
        <is>
          <t xml:space="preserve">EXCLUDE_REVIEW</t>
        </is>
      </c>
      <c r="G352" s="0" t="inlineStr">
        <is>
          <t xml:space="preserve">BC</t>
        </is>
      </c>
      <c r="H352" s="5">
        <v>0</v>
      </c>
      <c r="I352" s="5">
        <v>0</v>
      </c>
      <c r="J352" s="5">
        <v>1</v>
      </c>
      <c r="K352" s="5">
        <v>23.842394</v>
      </c>
      <c r="L352" s="7">
        <v>0.0</v>
      </c>
      <c r="M352" s="7">
        <v>0.0</v>
      </c>
      <c r="N352" s="7">
        <v>0.0</v>
      </c>
      <c r="O352" s="7">
        <v>0.0</v>
      </c>
    </row>
    <row r="353" outlineLevel="1">
      <c r="B353" s="0" t="inlineStr">
        <is>
          <t xml:space="preserve">2025-04-09</t>
        </is>
      </c>
      <c r="C353" s="0" t="inlineStr">
        <is>
          <t xml:space="preserve">-</t>
        </is>
      </c>
      <c r="D353" s="0" t="inlineStr">
        <is>
          <t xml:space="preserve">non_sub</t>
        </is>
      </c>
      <c r="E353" s="0" t="inlineStr">
        <is>
          <t xml:space="preserve">fms</t>
        </is>
      </c>
      <c r="F353" s="0" t="inlineStr">
        <is>
          <t xml:space="preserve">EXCLUDE_REVIEW</t>
        </is>
      </c>
      <c r="G353" s="0" t="inlineStr">
        <is>
          <t xml:space="preserve">BC</t>
        </is>
      </c>
      <c r="H353" s="5">
        <v>0</v>
      </c>
      <c r="I353" s="5">
        <v>0</v>
      </c>
      <c r="J353" s="5">
        <v>1</v>
      </c>
      <c r="K353" s="5">
        <v>23.825884</v>
      </c>
      <c r="L353" s="7">
        <v>0.0</v>
      </c>
      <c r="M353" s="7">
        <v>0.0</v>
      </c>
      <c r="N353" s="7">
        <v>1.0</v>
      </c>
      <c r="O353" s="7">
        <v>0.0</v>
      </c>
    </row>
    <row r="354" outlineLevel="1">
      <c r="B354" s="0" t="inlineStr">
        <is>
          <t xml:space="preserve">2025-04-03</t>
        </is>
      </c>
      <c r="C354" s="0" t="inlineStr">
        <is>
          <t xml:space="preserve">N00024-22-C-5400</t>
        </is>
      </c>
      <c r="D354" s="0" t="inlineStr">
        <is>
          <t xml:space="preserve">non_sub</t>
        </is>
      </c>
      <c r="E354" s="0" t="inlineStr">
        <is>
          <t xml:space="preserve">other</t>
        </is>
      </c>
      <c r="F354" s="0" t="inlineStr">
        <is>
          <t xml:space="preserve">EXCLUDE_REVIEW</t>
        </is>
      </c>
      <c r="G354" s="0" t="inlineStr">
        <is>
          <t xml:space="preserve">BC</t>
        </is>
      </c>
      <c r="H354" s="5">
        <v>0</v>
      </c>
      <c r="I354" s="5">
        <v>0</v>
      </c>
      <c r="J354" s="5">
        <v>1</v>
      </c>
      <c r="K354" s="5">
        <v>23.773621</v>
      </c>
      <c r="L354" s="7">
        <v>0.0</v>
      </c>
      <c r="M354" s="7">
        <v>0.0</v>
      </c>
      <c r="N354" s="7">
        <v>0.95</v>
      </c>
      <c r="O354" s="7">
        <v>0.0</v>
      </c>
    </row>
    <row r="355" outlineLevel="1">
      <c r="B355" s="0" t="inlineStr">
        <is>
          <t xml:space="preserve">2022-09-27</t>
        </is>
      </c>
      <c r="C355" s="0" t="inlineStr">
        <is>
          <t xml:space="preserve">-</t>
        </is>
      </c>
      <c r="D355" s="0" t="inlineStr">
        <is>
          <t xml:space="preserve">non_sub</t>
        </is>
      </c>
      <c r="E355" s="0" t="inlineStr">
        <is>
          <t xml:space="preserve">component_procurement</t>
        </is>
      </c>
      <c r="F355" s="0" t="inlineStr">
        <is>
          <t xml:space="preserve">INCLUDE_BC</t>
        </is>
      </c>
      <c r="G355" s="0" t="inlineStr">
        <is>
          <t xml:space="preserve">BC</t>
        </is>
      </c>
      <c r="H355" s="5">
        <v>0</v>
      </c>
      <c r="I355" s="5">
        <v>0</v>
      </c>
      <c r="J355" s="5">
        <v>1</v>
      </c>
      <c r="K355" s="5">
        <v>23.589802</v>
      </c>
      <c r="L355" s="7">
        <v>0.0</v>
      </c>
      <c r="M355" s="7">
        <v>0.0</v>
      </c>
      <c r="N355" s="7">
        <v>0.0</v>
      </c>
      <c r="O355" s="7">
        <v>0.0</v>
      </c>
    </row>
    <row r="356" outlineLevel="1">
      <c r="B356" s="0" t="inlineStr">
        <is>
          <t xml:space="preserve">2023-09-21</t>
        </is>
      </c>
      <c r="C356" s="0" t="inlineStr">
        <is>
          <t xml:space="preserve">N00030-24-C-6007</t>
        </is>
      </c>
      <c r="D356" s="0" t="inlineStr">
        <is>
          <t xml:space="preserve">non_sub</t>
        </is>
      </c>
      <c r="E356" s="0" t="inlineStr">
        <is>
          <t xml:space="preserve">sustainment_maintenance</t>
        </is>
      </c>
      <c r="F356" s="0" t="inlineStr">
        <is>
          <t xml:space="preserve">EXCLUDE_REVIEW</t>
        </is>
      </c>
      <c r="G356" s="0" t="inlineStr">
        <is>
          <t xml:space="preserve">BC</t>
        </is>
      </c>
      <c r="H356" s="5">
        <v>0</v>
      </c>
      <c r="I356" s="5">
        <v>0</v>
      </c>
      <c r="J356" s="5">
        <v>1</v>
      </c>
      <c r="K356" s="5">
        <v>23.548881</v>
      </c>
      <c r="L356" s="7">
        <v>0.0</v>
      </c>
      <c r="M356" s="7">
        <v>0.0</v>
      </c>
      <c r="N356" s="7">
        <v>0.943</v>
      </c>
      <c r="O356" s="7">
        <v>0.0</v>
      </c>
    </row>
    <row r="357" outlineLevel="1">
      <c r="B357" s="0" t="inlineStr">
        <is>
          <t xml:space="preserve">2025-02-04</t>
        </is>
      </c>
      <c r="C357" s="0" t="inlineStr">
        <is>
          <t xml:space="preserve">N00024-24-F-6220</t>
        </is>
      </c>
      <c r="D357" s="0" t="inlineStr">
        <is>
          <t xml:space="preserve">sub_gfe_electronics</t>
        </is>
      </c>
      <c r="E357" s="0" t="inlineStr">
        <is>
          <t xml:space="preserve">component_procurement</t>
        </is>
      </c>
      <c r="F357" s="0" t="inlineStr">
        <is>
          <t xml:space="preserve">EXCLUDE_GFE</t>
        </is>
      </c>
      <c r="G357" s="0" t="inlineStr">
        <is>
          <t xml:space="preserve">BC</t>
        </is>
      </c>
      <c r="H357" s="5">
        <v>1</v>
      </c>
      <c r="I357" s="5">
        <v>1</v>
      </c>
      <c r="J357" s="5">
        <v>1</v>
      </c>
      <c r="K357" s="5">
        <v>23.532048</v>
      </c>
      <c r="L357" s="7">
        <v>0.0</v>
      </c>
      <c r="M357" s="7">
        <v>0.0</v>
      </c>
      <c r="N357" s="7">
        <v>0.0</v>
      </c>
      <c r="O357" s="7">
        <v>0.0</v>
      </c>
    </row>
    <row r="358" outlineLevel="1">
      <c r="B358" s="0" t="inlineStr">
        <is>
          <t xml:space="preserve">2025-02-05</t>
        </is>
      </c>
      <c r="C358" s="0" t="inlineStr">
        <is>
          <t xml:space="preserve">N00024-24-F-6220</t>
        </is>
      </c>
      <c r="D358" s="0" t="inlineStr">
        <is>
          <t xml:space="preserve">sub_gfe_electronics</t>
        </is>
      </c>
      <c r="E358" s="0" t="inlineStr">
        <is>
          <t xml:space="preserve">component_procurement</t>
        </is>
      </c>
      <c r="F358" s="0" t="inlineStr">
        <is>
          <t xml:space="preserve">EXCLUDE_GFE</t>
        </is>
      </c>
      <c r="G358" s="0" t="inlineStr">
        <is>
          <t xml:space="preserve">BC</t>
        </is>
      </c>
      <c r="H358" s="5">
        <v>1</v>
      </c>
      <c r="I358" s="5">
        <v>1</v>
      </c>
      <c r="J358" s="5">
        <v>1</v>
      </c>
      <c r="K358" s="5">
        <v>23.532048</v>
      </c>
      <c r="L358" s="7">
        <v>0.0</v>
      </c>
      <c r="M358" s="7">
        <v>0.0</v>
      </c>
      <c r="N358" s="7">
        <v>0.0</v>
      </c>
      <c r="O358" s="7">
        <v>0.0</v>
      </c>
    </row>
    <row r="359" outlineLevel="1">
      <c r="B359" s="0" t="inlineStr">
        <is>
          <t xml:space="preserve">2026-03-09</t>
        </is>
      </c>
      <c r="C359" s="0" t="inlineStr">
        <is>
          <t xml:space="preserve">-</t>
        </is>
      </c>
      <c r="D359" s="0" t="inlineStr">
        <is>
          <t xml:space="preserve">sub_other</t>
        </is>
      </c>
      <c r="E359" s="0" t="inlineStr">
        <is>
          <t xml:space="preserve">component_procurement</t>
        </is>
      </c>
      <c r="F359" s="0" t="inlineStr">
        <is>
          <t xml:space="preserve">INCLUDE_BC</t>
        </is>
      </c>
      <c r="G359" s="0" t="inlineStr">
        <is>
          <t xml:space="preserve">BC</t>
        </is>
      </c>
      <c r="H359" s="5">
        <v>0</v>
      </c>
      <c r="I359" s="5">
        <v>0</v>
      </c>
      <c r="J359" s="5">
        <v>1</v>
      </c>
      <c r="K359" s="5">
        <v>23.479329</v>
      </c>
      <c r="L359" s="7">
        <v>0.0</v>
      </c>
      <c r="M359" s="7">
        <v>0.0</v>
      </c>
      <c r="N359" s="7">
        <v>0.0</v>
      </c>
      <c r="O359" s="7">
        <v>0.0</v>
      </c>
    </row>
    <row r="360" outlineLevel="1">
      <c r="B360" s="0" t="inlineStr">
        <is>
          <t xml:space="preserve">2022-11-18</t>
        </is>
      </c>
      <c r="C360" s="0" t="inlineStr">
        <is>
          <t xml:space="preserve">-</t>
        </is>
      </c>
      <c r="D360" s="0" t="inlineStr">
        <is>
          <t xml:space="preserve">non_sub</t>
        </is>
      </c>
      <c r="E360" s="0" t="inlineStr">
        <is>
          <t xml:space="preserve">sustainment_maintenance</t>
        </is>
      </c>
      <c r="F360" s="0" t="inlineStr">
        <is>
          <t xml:space="preserve">EXCLUDE_REVIEW</t>
        </is>
      </c>
      <c r="G360" s="0" t="inlineStr">
        <is>
          <t xml:space="preserve">BC</t>
        </is>
      </c>
      <c r="H360" s="5">
        <v>0</v>
      </c>
      <c r="I360" s="5">
        <v>0</v>
      </c>
      <c r="J360" s="5">
        <v>1</v>
      </c>
      <c r="K360" s="5">
        <v>23.345867</v>
      </c>
      <c r="L360" s="7">
        <v>0.0</v>
      </c>
      <c r="M360" s="7">
        <v>0.0</v>
      </c>
      <c r="N360" s="7">
        <v>1.0</v>
      </c>
      <c r="O360" s="7">
        <v>0.0</v>
      </c>
    </row>
    <row r="361" outlineLevel="1">
      <c r="B361" s="0" t="inlineStr">
        <is>
          <t xml:space="preserve">2025-01-24</t>
        </is>
      </c>
      <c r="C361" s="0" t="inlineStr">
        <is>
          <t xml:space="preserve">N00024-25-C-4427</t>
        </is>
      </c>
      <c r="D361" s="0" t="inlineStr">
        <is>
          <t xml:space="preserve">non_sub</t>
        </is>
      </c>
      <c r="E361" s="0" t="inlineStr">
        <is>
          <t xml:space="preserve">sustainment_maintenance</t>
        </is>
      </c>
      <c r="F361" s="0" t="inlineStr">
        <is>
          <t xml:space="preserve">EXCLUDE_REVIEW</t>
        </is>
      </c>
      <c r="G361" s="0" t="inlineStr">
        <is>
          <t xml:space="preserve">BC</t>
        </is>
      </c>
      <c r="H361" s="5">
        <v>0</v>
      </c>
      <c r="I361" s="5">
        <v>0</v>
      </c>
      <c r="J361" s="5">
        <v>1</v>
      </c>
      <c r="K361" s="5">
        <v>23.323644</v>
      </c>
      <c r="L361" s="7">
        <v>0.0</v>
      </c>
      <c r="M361" s="7">
        <v>0.0</v>
      </c>
      <c r="N361" s="7">
        <v>0.0</v>
      </c>
      <c r="O361" s="7">
        <v>0.0</v>
      </c>
    </row>
    <row r="362" outlineLevel="1">
      <c r="B362" s="0" t="inlineStr">
        <is>
          <t xml:space="preserve">2024-12-13</t>
        </is>
      </c>
      <c r="C362" s="0" t="inlineStr">
        <is>
          <t xml:space="preserve">-</t>
        </is>
      </c>
      <c r="D362" s="0" t="inlineStr">
        <is>
          <t xml:space="preserve">non_sub</t>
        </is>
      </c>
      <c r="E362" s="0" t="inlineStr">
        <is>
          <t xml:space="preserve">design</t>
        </is>
      </c>
      <c r="F362" s="0" t="inlineStr">
        <is>
          <t xml:space="preserve">EXCLUDE_REVIEW</t>
        </is>
      </c>
      <c r="G362" s="0" t="inlineStr">
        <is>
          <t xml:space="preserve">BC</t>
        </is>
      </c>
      <c r="H362" s="5">
        <v>0</v>
      </c>
      <c r="I362" s="5">
        <v>0</v>
      </c>
      <c r="J362" s="5">
        <v>1</v>
      </c>
      <c r="K362" s="5">
        <v>23.304231</v>
      </c>
      <c r="L362" s="7">
        <v>0.0</v>
      </c>
      <c r="M362" s="7">
        <v>0.0</v>
      </c>
      <c r="N362" s="7">
        <v>0.0</v>
      </c>
      <c r="O362" s="7">
        <v>0.0</v>
      </c>
    </row>
    <row r="363" outlineLevel="1">
      <c r="B363" s="0" t="inlineStr">
        <is>
          <t xml:space="preserve">2025-11-28</t>
        </is>
      </c>
      <c r="C363" s="0" t="inlineStr">
        <is>
          <t xml:space="preserve">N00024-25-C-5315</t>
        </is>
      </c>
      <c r="D363" s="0" t="inlineStr">
        <is>
          <t xml:space="preserve">non_sub</t>
        </is>
      </c>
      <c r="E363" s="0" t="inlineStr">
        <is>
          <t xml:space="preserve">fms</t>
        </is>
      </c>
      <c r="F363" s="0" t="inlineStr">
        <is>
          <t xml:space="preserve">EXCLUDE_REVIEW</t>
        </is>
      </c>
      <c r="G363" s="0" t="inlineStr">
        <is>
          <t xml:space="preserve">BC</t>
        </is>
      </c>
      <c r="H363" s="5">
        <v>0</v>
      </c>
      <c r="I363" s="5">
        <v>0</v>
      </c>
      <c r="J363" s="5">
        <v>1</v>
      </c>
      <c r="K363" s="5">
        <v>23.29884</v>
      </c>
      <c r="L363" s="7">
        <v>0.0</v>
      </c>
      <c r="M363" s="7">
        <v>0.0</v>
      </c>
      <c r="N363" s="7">
        <v>1.0</v>
      </c>
      <c r="O363" s="7">
        <v>0.0</v>
      </c>
    </row>
    <row r="364" outlineLevel="1">
      <c r="B364" s="0" t="inlineStr">
        <is>
          <t xml:space="preserve">2023-11-22</t>
        </is>
      </c>
      <c r="C364" s="0" t="inlineStr">
        <is>
          <t xml:space="preserve">-</t>
        </is>
      </c>
      <c r="D364" s="0" t="inlineStr">
        <is>
          <t xml:space="preserve">non_sub</t>
        </is>
      </c>
      <c r="E364" s="0" t="inlineStr">
        <is>
          <t xml:space="preserve">other</t>
        </is>
      </c>
      <c r="F364" s="0" t="inlineStr">
        <is>
          <t xml:space="preserve">EXCLUDE_REVIEW</t>
        </is>
      </c>
      <c r="G364" s="0" t="inlineStr">
        <is>
          <t xml:space="preserve">BC</t>
        </is>
      </c>
      <c r="H364" s="5">
        <v>0</v>
      </c>
      <c r="I364" s="5">
        <v>0</v>
      </c>
      <c r="J364" s="5">
        <v>1</v>
      </c>
      <c r="K364" s="5">
        <v>23.004606</v>
      </c>
      <c r="L364" s="7">
        <v>0.0</v>
      </c>
      <c r="M364" s="7">
        <v>0.0</v>
      </c>
      <c r="N364" s="7">
        <v>1.0</v>
      </c>
      <c r="O364" s="7">
        <v>0.0</v>
      </c>
    </row>
    <row r="365" outlineLevel="1">
      <c r="B365" s="0" t="inlineStr">
        <is>
          <t xml:space="preserve">2026-01-26</t>
        </is>
      </c>
      <c r="C365" s="0" t="inlineStr">
        <is>
          <t xml:space="preserve">N00024-24-C-6240</t>
        </is>
      </c>
      <c r="D365" s="0" t="inlineStr">
        <is>
          <t xml:space="preserve">non_sub</t>
        </is>
      </c>
      <c r="E365" s="0" t="inlineStr">
        <is>
          <t xml:space="preserve">engineering</t>
        </is>
      </c>
      <c r="F365" s="0" t="inlineStr">
        <is>
          <t xml:space="preserve">EXCLUDE_REVIEW</t>
        </is>
      </c>
      <c r="G365" s="0" t="inlineStr">
        <is>
          <t xml:space="preserve">BC</t>
        </is>
      </c>
      <c r="H365" s="5">
        <v>0</v>
      </c>
      <c r="I365" s="5">
        <v>0</v>
      </c>
      <c r="J365" s="5">
        <v>1</v>
      </c>
      <c r="K365" s="5">
        <v>22.984706</v>
      </c>
      <c r="L365" s="7">
        <v>0.25</v>
      </c>
      <c r="M365" s="7">
        <v>0.0</v>
      </c>
      <c r="N365" s="7">
        <v>0.75</v>
      </c>
      <c r="O365" s="7">
        <v>0.0</v>
      </c>
    </row>
    <row r="366" outlineLevel="1">
      <c r="B366" s="0" t="inlineStr">
        <is>
          <t xml:space="preserve">2022-12-02</t>
        </is>
      </c>
      <c r="C366" s="0" t="inlineStr">
        <is>
          <t xml:space="preserve">N00024-23-F-5135</t>
        </is>
      </c>
      <c r="D366" s="0" t="inlineStr">
        <is>
          <t xml:space="preserve">non_sub</t>
        </is>
      </c>
      <c r="E366" s="0" t="inlineStr">
        <is>
          <t xml:space="preserve">fms</t>
        </is>
      </c>
      <c r="F366" s="0" t="inlineStr">
        <is>
          <t xml:space="preserve">EXCLUDE_REVIEW</t>
        </is>
      </c>
      <c r="G366" s="0" t="inlineStr">
        <is>
          <t xml:space="preserve">BC</t>
        </is>
      </c>
      <c r="H366" s="5">
        <v>0</v>
      </c>
      <c r="I366" s="5">
        <v>0</v>
      </c>
      <c r="J366" s="5">
        <v>1</v>
      </c>
      <c r="K366" s="5">
        <v>22.947125</v>
      </c>
      <c r="L366" s="7">
        <v>0.0</v>
      </c>
      <c r="M366" s="7">
        <v>0.0</v>
      </c>
      <c r="N366" s="7">
        <v>1.0</v>
      </c>
      <c r="O366" s="7">
        <v>0.0</v>
      </c>
    </row>
    <row r="367" outlineLevel="1">
      <c r="B367" s="0" t="inlineStr">
        <is>
          <t xml:space="preserve">2025-06-26</t>
        </is>
      </c>
      <c r="C367" s="0" t="inlineStr">
        <is>
          <t xml:space="preserve">N00024-22-C-5231</t>
        </is>
      </c>
      <c r="D367" s="0" t="inlineStr">
        <is>
          <t xml:space="preserve">non_sub</t>
        </is>
      </c>
      <c r="E367" s="0" t="inlineStr">
        <is>
          <t xml:space="preserve">other</t>
        </is>
      </c>
      <c r="F367" s="0" t="inlineStr">
        <is>
          <t xml:space="preserve">EXCLUDE_REVIEW</t>
        </is>
      </c>
      <c r="G367" s="0" t="inlineStr">
        <is>
          <t xml:space="preserve">BC</t>
        </is>
      </c>
      <c r="H367" s="5">
        <v>0</v>
      </c>
      <c r="I367" s="5">
        <v>0</v>
      </c>
      <c r="J367" s="5">
        <v>1</v>
      </c>
      <c r="K367" s="5">
        <v>22.909025</v>
      </c>
      <c r="L367" s="7">
        <v>0.0</v>
      </c>
      <c r="M367" s="7">
        <v>0.0</v>
      </c>
      <c r="N367" s="7">
        <v>1.0</v>
      </c>
      <c r="O367" s="7">
        <v>0.0</v>
      </c>
    </row>
    <row r="368" outlineLevel="1">
      <c r="B368" s="0" t="inlineStr">
        <is>
          <t xml:space="preserve">2026-01-26</t>
        </is>
      </c>
      <c r="C368" s="0" t="inlineStr">
        <is>
          <t xml:space="preserve">-</t>
        </is>
      </c>
      <c r="D368" s="0" t="inlineStr">
        <is>
          <t xml:space="preserve">non_sub</t>
        </is>
      </c>
      <c r="E368" s="0" t="inlineStr">
        <is>
          <t xml:space="preserve">other</t>
        </is>
      </c>
      <c r="F368" s="0" t="inlineStr">
        <is>
          <t xml:space="preserve">EXCLUDE_REVIEW</t>
        </is>
      </c>
      <c r="G368" s="0" t="inlineStr">
        <is>
          <t xml:space="preserve">BC</t>
        </is>
      </c>
      <c r="H368" s="5">
        <v>0</v>
      </c>
      <c r="I368" s="5">
        <v>0</v>
      </c>
      <c r="J368" s="5">
        <v>1</v>
      </c>
      <c r="K368" s="5">
        <v>22.900118</v>
      </c>
      <c r="L368" s="7">
        <v>0.0</v>
      </c>
      <c r="M368" s="7">
        <v>0.0</v>
      </c>
      <c r="N368" s="7">
        <v>1.0</v>
      </c>
      <c r="O368" s="7">
        <v>0.0</v>
      </c>
    </row>
    <row r="369" outlineLevel="1">
      <c r="B369" s="0" t="inlineStr">
        <is>
          <t xml:space="preserve">2025-09-15</t>
        </is>
      </c>
      <c r="C369" s="0" t="inlineStr">
        <is>
          <t xml:space="preserve">N00024-24-C-2124</t>
        </is>
      </c>
      <c r="D369" s="0" t="inlineStr">
        <is>
          <t xml:space="preserve">sub_other</t>
        </is>
      </c>
      <c r="E369" s="0" t="inlineStr">
        <is>
          <t xml:space="preserve">other</t>
        </is>
      </c>
      <c r="F369" s="0" t="inlineStr">
        <is>
          <t xml:space="preserve">EXCLUDE_REVIEW</t>
        </is>
      </c>
      <c r="G369" s="0" t="inlineStr">
        <is>
          <t xml:space="preserve">BC</t>
        </is>
      </c>
      <c r="H369" s="5">
        <v>0</v>
      </c>
      <c r="I369" s="5">
        <v>0</v>
      </c>
      <c r="J369" s="5">
        <v>1</v>
      </c>
      <c r="K369" s="5">
        <v>22.7</v>
      </c>
      <c r="L369" s="7">
        <v>0.0</v>
      </c>
      <c r="M369" s="7">
        <v>0.0</v>
      </c>
      <c r="N369" s="7">
        <v>0.0</v>
      </c>
      <c r="O369" s="7">
        <v>0.0</v>
      </c>
    </row>
    <row r="370" outlineLevel="1">
      <c r="B370" s="0" t="inlineStr">
        <is>
          <t xml:space="preserve">2024-09-27</t>
        </is>
      </c>
      <c r="C370" s="0" t="inlineStr">
        <is>
          <t xml:space="preserve">-</t>
        </is>
      </c>
      <c r="D370" s="0" t="inlineStr">
        <is>
          <t xml:space="preserve">non_sub</t>
        </is>
      </c>
      <c r="E370" s="0" t="inlineStr">
        <is>
          <t xml:space="preserve">other</t>
        </is>
      </c>
      <c r="F370" s="0" t="inlineStr">
        <is>
          <t xml:space="preserve">EXCLUDE_REVIEW</t>
        </is>
      </c>
      <c r="G370" s="0" t="inlineStr">
        <is>
          <t xml:space="preserve">BC</t>
        </is>
      </c>
      <c r="H370" s="5">
        <v>0</v>
      </c>
      <c r="I370" s="5">
        <v>0</v>
      </c>
      <c r="J370" s="5">
        <v>1</v>
      </c>
      <c r="K370" s="5">
        <v>22.612115</v>
      </c>
      <c r="L370" s="7">
        <v>0.0</v>
      </c>
      <c r="M370" s="7">
        <v>0.0</v>
      </c>
      <c r="N370" s="7">
        <v>0.89</v>
      </c>
      <c r="O370" s="7">
        <v>0.0</v>
      </c>
    </row>
    <row r="371" outlineLevel="1">
      <c r="B371" s="0" t="inlineStr">
        <is>
          <t xml:space="preserve">2026-01-08</t>
        </is>
      </c>
      <c r="C371" s="0" t="inlineStr">
        <is>
          <t xml:space="preserve">N00024-24-C-5510</t>
        </is>
      </c>
      <c r="D371" s="0" t="inlineStr">
        <is>
          <t xml:space="preserve">non_sub</t>
        </is>
      </c>
      <c r="E371" s="0" t="inlineStr">
        <is>
          <t xml:space="preserve">lead_yard</t>
        </is>
      </c>
      <c r="F371" s="0" t="inlineStr">
        <is>
          <t xml:space="preserve">EXCLUDE_REVIEW</t>
        </is>
      </c>
      <c r="G371" s="0" t="inlineStr">
        <is>
          <t xml:space="preserve">BC</t>
        </is>
      </c>
      <c r="H371" s="5">
        <v>0</v>
      </c>
      <c r="I371" s="5">
        <v>0</v>
      </c>
      <c r="J371" s="5">
        <v>1</v>
      </c>
      <c r="K371" s="5">
        <v>22.595257</v>
      </c>
      <c r="L371" s="7">
        <v>0.0</v>
      </c>
      <c r="M371" s="7">
        <v>0.0</v>
      </c>
      <c r="N371" s="7">
        <v>0.0</v>
      </c>
      <c r="O371" s="7">
        <v>0.0</v>
      </c>
    </row>
    <row r="372" outlineLevel="1">
      <c r="B372" s="0" t="inlineStr">
        <is>
          <t xml:space="preserve">2023-02-08</t>
        </is>
      </c>
      <c r="C372" s="0" t="inlineStr">
        <is>
          <t xml:space="preserve">-</t>
        </is>
      </c>
      <c r="D372" s="0" t="inlineStr">
        <is>
          <t xml:space="preserve">non_sub</t>
        </is>
      </c>
      <c r="E372" s="0" t="inlineStr">
        <is>
          <t xml:space="preserve">construction</t>
        </is>
      </c>
      <c r="F372" s="0" t="inlineStr">
        <is>
          <t xml:space="preserve">INCLUDE_BC</t>
        </is>
      </c>
      <c r="G372" s="0" t="inlineStr">
        <is>
          <t xml:space="preserve">BC</t>
        </is>
      </c>
      <c r="H372" s="5">
        <v>0</v>
      </c>
      <c r="I372" s="5">
        <v>0</v>
      </c>
      <c r="J372" s="5">
        <v>1</v>
      </c>
      <c r="K372" s="5">
        <v>22.579069</v>
      </c>
      <c r="L372" s="7">
        <v>0.0</v>
      </c>
      <c r="M372" s="7">
        <v>0.0</v>
      </c>
      <c r="N372" s="7">
        <v>1.0</v>
      </c>
      <c r="O372" s="7">
        <v>0.0</v>
      </c>
    </row>
    <row r="373" outlineLevel="1">
      <c r="B373" s="0" t="inlineStr">
        <is>
          <t xml:space="preserve">2025-04-29</t>
        </is>
      </c>
      <c r="C373" s="0" t="inlineStr">
        <is>
          <t xml:space="preserve">-</t>
        </is>
      </c>
      <c r="D373" s="0" t="inlineStr">
        <is>
          <t xml:space="preserve">non_sub</t>
        </is>
      </c>
      <c r="E373" s="0" t="inlineStr">
        <is>
          <t xml:space="preserve">fms</t>
        </is>
      </c>
      <c r="F373" s="0" t="inlineStr">
        <is>
          <t xml:space="preserve">EXCLUDE_REVIEW</t>
        </is>
      </c>
      <c r="G373" s="0" t="inlineStr">
        <is>
          <t xml:space="preserve">BC</t>
        </is>
      </c>
      <c r="H373" s="5">
        <v>0</v>
      </c>
      <c r="I373" s="5">
        <v>0</v>
      </c>
      <c r="J373" s="5">
        <v>1</v>
      </c>
      <c r="K373" s="5">
        <v>22.520919</v>
      </c>
      <c r="L373" s="7">
        <v>0.0</v>
      </c>
      <c r="M373" s="7">
        <v>0.0</v>
      </c>
      <c r="N373" s="7">
        <v>0.0</v>
      </c>
      <c r="O373" s="7">
        <v>0.0</v>
      </c>
    </row>
    <row r="374" outlineLevel="1">
      <c r="B374" s="0" t="inlineStr">
        <is>
          <t xml:space="preserve">2025-11-12</t>
        </is>
      </c>
      <c r="C374" s="0" t="inlineStr">
        <is>
          <t xml:space="preserve">N00024-23-C-5408</t>
        </is>
      </c>
      <c r="D374" s="0" t="inlineStr">
        <is>
          <t xml:space="preserve">non_sub</t>
        </is>
      </c>
      <c r="E374" s="0" t="inlineStr">
        <is>
          <t xml:space="preserve">other</t>
        </is>
      </c>
      <c r="F374" s="0" t="inlineStr">
        <is>
          <t xml:space="preserve">EXCLUDE_REVIEW</t>
        </is>
      </c>
      <c r="G374" s="0" t="inlineStr">
        <is>
          <t xml:space="preserve">BC</t>
        </is>
      </c>
      <c r="H374" s="5">
        <v>0</v>
      </c>
      <c r="I374" s="5">
        <v>0</v>
      </c>
      <c r="J374" s="5">
        <v>1</v>
      </c>
      <c r="K374" s="5">
        <v>22.327419</v>
      </c>
      <c r="L374" s="7">
        <v>0.0</v>
      </c>
      <c r="M374" s="7">
        <v>0.0</v>
      </c>
      <c r="N374" s="7">
        <v>0.88</v>
      </c>
      <c r="O374" s="7">
        <v>0.0</v>
      </c>
    </row>
    <row r="375" outlineLevel="1">
      <c r="B375" s="0" t="inlineStr">
        <is>
          <t xml:space="preserve">2025-03-13</t>
        </is>
      </c>
      <c r="C375" s="0" t="inlineStr">
        <is>
          <t xml:space="preserve">N00024-25-C-2127</t>
        </is>
      </c>
      <c r="D375" s="0" t="inlineStr">
        <is>
          <t xml:space="preserve">non_sub</t>
        </is>
      </c>
      <c r="E375" s="0" t="inlineStr">
        <is>
          <t xml:space="preserve">other</t>
        </is>
      </c>
      <c r="F375" s="0" t="inlineStr">
        <is>
          <t xml:space="preserve">EXCLUDE_REVIEW</t>
        </is>
      </c>
      <c r="G375" s="0" t="inlineStr">
        <is>
          <t xml:space="preserve">BC</t>
        </is>
      </c>
      <c r="H375" s="5">
        <v>0</v>
      </c>
      <c r="I375" s="5">
        <v>0</v>
      </c>
      <c r="J375" s="5">
        <v>1</v>
      </c>
      <c r="K375" s="5">
        <v>22.309732</v>
      </c>
      <c r="L375" s="7">
        <v>0.0</v>
      </c>
      <c r="M375" s="7">
        <v>0.0</v>
      </c>
      <c r="N375" s="7">
        <v>0.0</v>
      </c>
      <c r="O375" s="7">
        <v>0.0</v>
      </c>
    </row>
    <row r="376" outlineLevel="1">
      <c r="B376" s="0" t="inlineStr">
        <is>
          <t xml:space="preserve">2025-05-14</t>
        </is>
      </c>
      <c r="C376" s="0" t="inlineStr">
        <is>
          <t xml:space="preserve">N00024-25-C-5315</t>
        </is>
      </c>
      <c r="D376" s="0" t="inlineStr">
        <is>
          <t xml:space="preserve">non_sub</t>
        </is>
      </c>
      <c r="E376" s="0" t="inlineStr">
        <is>
          <t xml:space="preserve">fms</t>
        </is>
      </c>
      <c r="F376" s="0" t="inlineStr">
        <is>
          <t xml:space="preserve">EXCLUDE_REVIEW</t>
        </is>
      </c>
      <c r="G376" s="0" t="inlineStr">
        <is>
          <t xml:space="preserve">BC</t>
        </is>
      </c>
      <c r="H376" s="5">
        <v>0</v>
      </c>
      <c r="I376" s="5">
        <v>0</v>
      </c>
      <c r="J376" s="5">
        <v>1</v>
      </c>
      <c r="K376" s="5">
        <v>22.22019</v>
      </c>
      <c r="L376" s="7">
        <v>0.0</v>
      </c>
      <c r="M376" s="7">
        <v>0.0</v>
      </c>
      <c r="N376" s="7">
        <v>1.0</v>
      </c>
      <c r="O376" s="7">
        <v>0.0</v>
      </c>
    </row>
    <row r="377" outlineLevel="1">
      <c r="B377" s="0" t="inlineStr">
        <is>
          <t xml:space="preserve">2025-11-21</t>
        </is>
      </c>
      <c r="C377" s="0" t="inlineStr">
        <is>
          <t xml:space="preserve">N00024-25-C-5239</t>
        </is>
      </c>
      <c r="D377" s="0" t="inlineStr">
        <is>
          <t xml:space="preserve">non_sub</t>
        </is>
      </c>
      <c r="E377" s="0" t="inlineStr">
        <is>
          <t xml:space="preserve">lead_yard</t>
        </is>
      </c>
      <c r="F377" s="0" t="inlineStr">
        <is>
          <t xml:space="preserve">EXCLUDE_REVIEW</t>
        </is>
      </c>
      <c r="G377" s="0" t="inlineStr">
        <is>
          <t xml:space="preserve">BC</t>
        </is>
      </c>
      <c r="H377" s="5">
        <v>0</v>
      </c>
      <c r="I377" s="5">
        <v>0</v>
      </c>
      <c r="J377" s="5">
        <v>1</v>
      </c>
      <c r="K377" s="5">
        <v>22.062022</v>
      </c>
      <c r="L377" s="7">
        <v>0.0</v>
      </c>
      <c r="M377" s="7">
        <v>0.0</v>
      </c>
      <c r="N377" s="7">
        <v>1.0</v>
      </c>
      <c r="O377" s="7">
        <v>0.0</v>
      </c>
    </row>
    <row r="378" outlineLevel="1">
      <c r="B378" s="0" t="inlineStr">
        <is>
          <t xml:space="preserve">2025-12-18</t>
        </is>
      </c>
      <c r="C378" s="0" t="inlineStr">
        <is>
          <t xml:space="preserve">N00024-25-C-5239</t>
        </is>
      </c>
      <c r="D378" s="0" t="inlineStr">
        <is>
          <t xml:space="preserve">non_sub</t>
        </is>
      </c>
      <c r="E378" s="0" t="inlineStr">
        <is>
          <t xml:space="preserve">lead_yard</t>
        </is>
      </c>
      <c r="F378" s="0" t="inlineStr">
        <is>
          <t xml:space="preserve">EXCLUDE_REVIEW</t>
        </is>
      </c>
      <c r="G378" s="0" t="inlineStr">
        <is>
          <t xml:space="preserve">BC</t>
        </is>
      </c>
      <c r="H378" s="5">
        <v>0</v>
      </c>
      <c r="I378" s="5">
        <v>0</v>
      </c>
      <c r="J378" s="5">
        <v>1</v>
      </c>
      <c r="K378" s="5">
        <v>22.013911</v>
      </c>
      <c r="L378" s="7">
        <v>0.0</v>
      </c>
      <c r="M378" s="7">
        <v>0.0</v>
      </c>
      <c r="N378" s="7">
        <v>1.0</v>
      </c>
      <c r="O378" s="7">
        <v>0.0</v>
      </c>
    </row>
    <row r="379" outlineLevel="1">
      <c r="B379" s="0" t="inlineStr">
        <is>
          <t xml:space="preserve">2025-12-22</t>
        </is>
      </c>
      <c r="C379" s="0" t="inlineStr">
        <is>
          <t xml:space="preserve">N00024-25-C-5239</t>
        </is>
      </c>
      <c r="D379" s="0" t="inlineStr">
        <is>
          <t xml:space="preserve">non_sub</t>
        </is>
      </c>
      <c r="E379" s="0" t="inlineStr">
        <is>
          <t xml:space="preserve">lead_yard</t>
        </is>
      </c>
      <c r="F379" s="0" t="inlineStr">
        <is>
          <t xml:space="preserve">EXCLUDE_REVIEW</t>
        </is>
      </c>
      <c r="G379" s="0" t="inlineStr">
        <is>
          <t xml:space="preserve">BC</t>
        </is>
      </c>
      <c r="H379" s="5">
        <v>0</v>
      </c>
      <c r="I379" s="5">
        <v>0</v>
      </c>
      <c r="J379" s="5">
        <v>1</v>
      </c>
      <c r="K379" s="5">
        <v>22.013911</v>
      </c>
      <c r="L379" s="7">
        <v>0.0</v>
      </c>
      <c r="M379" s="7">
        <v>0.0</v>
      </c>
      <c r="N379" s="7">
        <v>1.0</v>
      </c>
      <c r="O379" s="7">
        <v>0.0</v>
      </c>
    </row>
    <row r="380" outlineLevel="1">
      <c r="B380" s="0" t="inlineStr">
        <is>
          <t xml:space="preserve">2026-05-08</t>
        </is>
      </c>
      <c r="C380" s="0" t="inlineStr">
        <is>
          <t xml:space="preserve">-</t>
        </is>
      </c>
      <c r="D380" s="0" t="inlineStr">
        <is>
          <t xml:space="preserve">non_sub</t>
        </is>
      </c>
      <c r="E380" s="0" t="inlineStr">
        <is>
          <t xml:space="preserve">other</t>
        </is>
      </c>
      <c r="F380" s="0" t="inlineStr">
        <is>
          <t xml:space="preserve">EXCLUDE_REVIEW</t>
        </is>
      </c>
      <c r="G380" s="0" t="inlineStr">
        <is>
          <t xml:space="preserve">BC</t>
        </is>
      </c>
      <c r="H380" s="5">
        <v>0</v>
      </c>
      <c r="I380" s="5">
        <v>0</v>
      </c>
      <c r="J380" s="5">
        <v>1</v>
      </c>
      <c r="K380" s="5">
        <v>22.0</v>
      </c>
      <c r="L380" s="7">
        <v>0.0</v>
      </c>
      <c r="M380" s="7">
        <v>0.0</v>
      </c>
      <c r="N380" s="7">
        <v>0.0</v>
      </c>
      <c r="O380" s="7">
        <v>0.0</v>
      </c>
    </row>
    <row r="381" outlineLevel="1">
      <c r="B381" s="0" t="inlineStr">
        <is>
          <t xml:space="preserve">2023-10-23</t>
        </is>
      </c>
      <c r="C381" s="0" t="inlineStr">
        <is>
          <t xml:space="preserve">-</t>
        </is>
      </c>
      <c r="D381" s="0" t="inlineStr">
        <is>
          <t xml:space="preserve">non_sub</t>
        </is>
      </c>
      <c r="E381" s="0" t="inlineStr">
        <is>
          <t xml:space="preserve">sustainment_maintenance</t>
        </is>
      </c>
      <c r="F381" s="0" t="inlineStr">
        <is>
          <t xml:space="preserve">EXCLUDE_REVIEW</t>
        </is>
      </c>
      <c r="G381" s="0" t="inlineStr">
        <is>
          <t xml:space="preserve">BC</t>
        </is>
      </c>
      <c r="H381" s="5">
        <v>0</v>
      </c>
      <c r="I381" s="5">
        <v>0</v>
      </c>
      <c r="J381" s="5">
        <v>1</v>
      </c>
      <c r="K381" s="5">
        <v>21.874759</v>
      </c>
      <c r="L381" s="7">
        <v>0.0</v>
      </c>
      <c r="M381" s="7">
        <v>0.0</v>
      </c>
      <c r="N381" s="7">
        <v>0.0</v>
      </c>
      <c r="O381" s="7">
        <v>0.0</v>
      </c>
    </row>
    <row r="382" outlineLevel="1">
      <c r="B382" s="0" t="inlineStr">
        <is>
          <t xml:space="preserve">2025-02-21</t>
        </is>
      </c>
      <c r="C382" s="0" t="inlineStr">
        <is>
          <t xml:space="preserve">N00024-24-C-2331</t>
        </is>
      </c>
      <c r="D382" s="0" t="inlineStr">
        <is>
          <t xml:space="preserve">non_sub</t>
        </is>
      </c>
      <c r="E382" s="0" t="inlineStr">
        <is>
          <t xml:space="preserve">lead_yard</t>
        </is>
      </c>
      <c r="F382" s="0" t="inlineStr">
        <is>
          <t xml:space="preserve">EXCLUDE_REVIEW</t>
        </is>
      </c>
      <c r="G382" s="0" t="inlineStr">
        <is>
          <t xml:space="preserve">BC</t>
        </is>
      </c>
      <c r="H382" s="5">
        <v>0</v>
      </c>
      <c r="I382" s="5">
        <v>0</v>
      </c>
      <c r="J382" s="5">
        <v>1</v>
      </c>
      <c r="K382" s="5">
        <v>21.755079</v>
      </c>
      <c r="L382" s="7">
        <v>0.0</v>
      </c>
      <c r="M382" s="7">
        <v>0.0</v>
      </c>
      <c r="N382" s="7">
        <v>0.99</v>
      </c>
      <c r="O382" s="7">
        <v>0.0</v>
      </c>
    </row>
    <row r="383" outlineLevel="1">
      <c r="B383" s="0" t="inlineStr">
        <is>
          <t xml:space="preserve">2025-04-03</t>
        </is>
      </c>
      <c r="C383" s="0" t="inlineStr">
        <is>
          <t xml:space="preserve">N00024-25-C-4427</t>
        </is>
      </c>
      <c r="D383" s="0" t="inlineStr">
        <is>
          <t xml:space="preserve">non_sub</t>
        </is>
      </c>
      <c r="E383" s="0" t="inlineStr">
        <is>
          <t xml:space="preserve">sustainment_maintenance</t>
        </is>
      </c>
      <c r="F383" s="0" t="inlineStr">
        <is>
          <t xml:space="preserve">EXCLUDE_REVIEW</t>
        </is>
      </c>
      <c r="G383" s="0" t="inlineStr">
        <is>
          <t xml:space="preserve">BC</t>
        </is>
      </c>
      <c r="H383" s="5">
        <v>0</v>
      </c>
      <c r="I383" s="5">
        <v>0</v>
      </c>
      <c r="J383" s="5">
        <v>1</v>
      </c>
      <c r="K383" s="5">
        <v>21.735171</v>
      </c>
      <c r="L383" s="7">
        <v>0.0</v>
      </c>
      <c r="M383" s="7">
        <v>0.0</v>
      </c>
      <c r="N383" s="7">
        <v>0.0</v>
      </c>
      <c r="O383" s="7">
        <v>0.0</v>
      </c>
    </row>
    <row r="384" outlineLevel="1">
      <c r="B384" s="0" t="inlineStr">
        <is>
          <t xml:space="preserve">2025-07-30</t>
        </is>
      </c>
      <c r="C384" s="0" t="inlineStr">
        <is>
          <t xml:space="preserve">N00024-20-C-6117</t>
        </is>
      </c>
      <c r="D384" s="0" t="inlineStr">
        <is>
          <t xml:space="preserve">non_sub</t>
        </is>
      </c>
      <c r="E384" s="0" t="inlineStr">
        <is>
          <t xml:space="preserve">design</t>
        </is>
      </c>
      <c r="F384" s="0" t="inlineStr">
        <is>
          <t xml:space="preserve">EXCLUDE_REVIEW</t>
        </is>
      </c>
      <c r="G384" s="0" t="inlineStr">
        <is>
          <t xml:space="preserve">BC</t>
        </is>
      </c>
      <c r="H384" s="5">
        <v>0</v>
      </c>
      <c r="I384" s="5">
        <v>0</v>
      </c>
      <c r="J384" s="5">
        <v>1</v>
      </c>
      <c r="K384" s="5">
        <v>21.681442</v>
      </c>
      <c r="L384" s="7">
        <v>0.0</v>
      </c>
      <c r="M384" s="7">
        <v>0.0</v>
      </c>
      <c r="N384" s="7">
        <v>1.0</v>
      </c>
      <c r="O384" s="7">
        <v>0.0</v>
      </c>
    </row>
    <row r="385" outlineLevel="1">
      <c r="B385" s="0" t="inlineStr">
        <is>
          <t xml:space="preserve">2026-02-05</t>
        </is>
      </c>
      <c r="C385" s="0" t="inlineStr">
        <is>
          <t xml:space="preserve">N00024-21-C-6425</t>
        </is>
      </c>
      <c r="D385" s="0" t="inlineStr">
        <is>
          <t xml:space="preserve">non_sub</t>
        </is>
      </c>
      <c r="E385" s="0" t="inlineStr">
        <is>
          <t xml:space="preserve">other</t>
        </is>
      </c>
      <c r="F385" s="0" t="inlineStr">
        <is>
          <t xml:space="preserve">EXCLUDE_REVIEW</t>
        </is>
      </c>
      <c r="G385" s="0" t="inlineStr">
        <is>
          <t xml:space="preserve">BC</t>
        </is>
      </c>
      <c r="H385" s="5">
        <v>0</v>
      </c>
      <c r="I385" s="5">
        <v>0</v>
      </c>
      <c r="J385" s="5">
        <v>1</v>
      </c>
      <c r="K385" s="5">
        <v>21.543345</v>
      </c>
      <c r="L385" s="7">
        <v>0.0</v>
      </c>
      <c r="M385" s="7">
        <v>0.0</v>
      </c>
      <c r="N385" s="7">
        <v>0.0</v>
      </c>
      <c r="O385" s="7">
        <v>0.0</v>
      </c>
    </row>
    <row r="386" outlineLevel="1">
      <c r="B386" s="0" t="inlineStr">
        <is>
          <t xml:space="preserve">2024-03-29</t>
        </is>
      </c>
      <c r="C386" s="0" t="inlineStr">
        <is>
          <t xml:space="preserve">N00024-23-F-5100</t>
        </is>
      </c>
      <c r="D386" s="0" t="inlineStr">
        <is>
          <t xml:space="preserve">non_sub</t>
        </is>
      </c>
      <c r="E386" s="0" t="inlineStr">
        <is>
          <t xml:space="preserve">fms</t>
        </is>
      </c>
      <c r="F386" s="0" t="inlineStr">
        <is>
          <t xml:space="preserve">EXCLUDE_REVIEW</t>
        </is>
      </c>
      <c r="G386" s="0" t="inlineStr">
        <is>
          <t xml:space="preserve">BC</t>
        </is>
      </c>
      <c r="H386" s="5">
        <v>0</v>
      </c>
      <c r="I386" s="5">
        <v>0</v>
      </c>
      <c r="J386" s="5">
        <v>1</v>
      </c>
      <c r="K386" s="5">
        <v>21.457275</v>
      </c>
      <c r="L386" s="7">
        <v>0.0</v>
      </c>
      <c r="M386" s="7">
        <v>0.0</v>
      </c>
      <c r="N386" s="7">
        <v>0.0</v>
      </c>
      <c r="O386" s="7">
        <v>0.0</v>
      </c>
    </row>
    <row r="387" outlineLevel="1">
      <c r="B387" s="0" t="inlineStr">
        <is>
          <t xml:space="preserve">2023-09-08</t>
        </is>
      </c>
      <c r="C387" s="0" t="inlineStr">
        <is>
          <t xml:space="preserve">N40085-23-C-0045</t>
        </is>
      </c>
      <c r="D387" s="0" t="inlineStr">
        <is>
          <t xml:space="preserve">va</t>
        </is>
      </c>
      <c r="E387" s="0" t="inlineStr">
        <is>
          <t xml:space="preserve">component_procurement</t>
        </is>
      </c>
      <c r="F387" s="0" t="inlineStr">
        <is>
          <t xml:space="preserve">INCLUDE_BC</t>
        </is>
      </c>
      <c r="G387" s="0" t="inlineStr">
        <is>
          <t xml:space="preserve">BC</t>
        </is>
      </c>
      <c r="H387" s="5">
        <v>1</v>
      </c>
      <c r="I387" s="5">
        <v>0</v>
      </c>
      <c r="J387" s="5">
        <v>1</v>
      </c>
      <c r="K387" s="5">
        <v>21.140532</v>
      </c>
      <c r="L387" s="7">
        <v>0.0</v>
      </c>
      <c r="M387" s="7">
        <v>0.0</v>
      </c>
      <c r="N387" s="7">
        <v>0.0</v>
      </c>
      <c r="O387" s="7">
        <v>0.0</v>
      </c>
    </row>
    <row r="388" outlineLevel="1">
      <c r="B388" s="0" t="inlineStr">
        <is>
          <t xml:space="preserve">2024-09-19</t>
        </is>
      </c>
      <c r="C388" s="0" t="inlineStr">
        <is>
          <t xml:space="preserve">N00030-24-C-6007</t>
        </is>
      </c>
      <c r="D388" s="0" t="inlineStr">
        <is>
          <t xml:space="preserve">non_sub</t>
        </is>
      </c>
      <c r="E388" s="0" t="inlineStr">
        <is>
          <t xml:space="preserve">sustainment_maintenance</t>
        </is>
      </c>
      <c r="F388" s="0" t="inlineStr">
        <is>
          <t xml:space="preserve">EXCLUDE_REVIEW</t>
        </is>
      </c>
      <c r="G388" s="0" t="inlineStr">
        <is>
          <t xml:space="preserve">BC</t>
        </is>
      </c>
      <c r="H388" s="5">
        <v>0</v>
      </c>
      <c r="I388" s="5">
        <v>0</v>
      </c>
      <c r="J388" s="5">
        <v>1</v>
      </c>
      <c r="K388" s="5">
        <v>21.030021</v>
      </c>
      <c r="L388" s="7">
        <v>0.0</v>
      </c>
      <c r="M388" s="7">
        <v>0.0</v>
      </c>
      <c r="N388" s="7">
        <v>0.955</v>
      </c>
      <c r="O388" s="7">
        <v>0.0</v>
      </c>
    </row>
    <row r="389" outlineLevel="1">
      <c r="B389" s="0" t="inlineStr">
        <is>
          <t xml:space="preserve">2025-06-03</t>
        </is>
      </c>
      <c r="C389" s="0" t="inlineStr">
        <is>
          <t xml:space="preserve">N00024-22-C-5231</t>
        </is>
      </c>
      <c r="D389" s="0" t="inlineStr">
        <is>
          <t xml:space="preserve">non_sub</t>
        </is>
      </c>
      <c r="E389" s="0" t="inlineStr">
        <is>
          <t xml:space="preserve">sustainment_maintenance</t>
        </is>
      </c>
      <c r="F389" s="0" t="inlineStr">
        <is>
          <t xml:space="preserve">EXCLUDE_REVIEW</t>
        </is>
      </c>
      <c r="G389" s="0" t="inlineStr">
        <is>
          <t xml:space="preserve">BC</t>
        </is>
      </c>
      <c r="H389" s="5">
        <v>0</v>
      </c>
      <c r="I389" s="5">
        <v>0</v>
      </c>
      <c r="J389" s="5">
        <v>1</v>
      </c>
      <c r="K389" s="5">
        <v>20.945962</v>
      </c>
      <c r="L389" s="7">
        <v>0.0</v>
      </c>
      <c r="M389" s="7">
        <v>0.0</v>
      </c>
      <c r="N389" s="7">
        <v>1.0</v>
      </c>
      <c r="O389" s="7">
        <v>0.0</v>
      </c>
    </row>
    <row r="390" outlineLevel="1">
      <c r="B390" s="0" t="inlineStr">
        <is>
          <t xml:space="preserve">2025-12-17</t>
        </is>
      </c>
      <c r="C390" s="0" t="inlineStr">
        <is>
          <t xml:space="preserve">N00024-20-C-2114</t>
        </is>
      </c>
      <c r="D390" s="0" t="inlineStr">
        <is>
          <t xml:space="preserve">sub_other</t>
        </is>
      </c>
      <c r="E390" s="0" t="inlineStr">
        <is>
          <t xml:space="preserve">lead_yard</t>
        </is>
      </c>
      <c r="F390" s="0" t="inlineStr">
        <is>
          <t xml:space="preserve">EXCLUDE_REVIEW</t>
        </is>
      </c>
      <c r="G390" s="0" t="inlineStr">
        <is>
          <t xml:space="preserve">BC</t>
        </is>
      </c>
      <c r="H390" s="5">
        <v>0</v>
      </c>
      <c r="I390" s="5">
        <v>0</v>
      </c>
      <c r="J390" s="5">
        <v>1</v>
      </c>
      <c r="K390" s="5">
        <v>20.876043</v>
      </c>
      <c r="L390" s="7">
        <v>0.9</v>
      </c>
      <c r="M390" s="7">
        <v>0.0</v>
      </c>
      <c r="N390" s="7">
        <v>0.1</v>
      </c>
      <c r="O390" s="7">
        <v>0.0</v>
      </c>
    </row>
    <row r="391" outlineLevel="1">
      <c r="B391" s="0" t="inlineStr">
        <is>
          <t xml:space="preserve">2024-07-24</t>
        </is>
      </c>
      <c r="C391" s="0" t="inlineStr">
        <is>
          <t xml:space="preserve">N00024-22-C-4204</t>
        </is>
      </c>
      <c r="D391" s="0" t="inlineStr">
        <is>
          <t xml:space="preserve">non_sub</t>
        </is>
      </c>
      <c r="E391" s="0" t="inlineStr">
        <is>
          <t xml:space="preserve">other</t>
        </is>
      </c>
      <c r="F391" s="0" t="inlineStr">
        <is>
          <t xml:space="preserve">EXCLUDE_REVIEW</t>
        </is>
      </c>
      <c r="G391" s="0" t="inlineStr">
        <is>
          <t xml:space="preserve">BC</t>
        </is>
      </c>
      <c r="H391" s="5">
        <v>0</v>
      </c>
      <c r="I391" s="5">
        <v>0</v>
      </c>
      <c r="J391" s="5">
        <v>1</v>
      </c>
      <c r="K391" s="5">
        <v>20.652538</v>
      </c>
      <c r="L391" s="7">
        <v>0.0</v>
      </c>
      <c r="M391" s="7">
        <v>0.0</v>
      </c>
      <c r="N391" s="7">
        <v>1.0</v>
      </c>
      <c r="O391" s="7">
        <v>0.0</v>
      </c>
    </row>
    <row r="392" outlineLevel="1">
      <c r="B392" s="0" t="inlineStr">
        <is>
          <t xml:space="preserve">2024-07-09</t>
        </is>
      </c>
      <c r="C392" s="0" t="inlineStr">
        <is>
          <t xml:space="preserve">N00024-22-C-2505</t>
        </is>
      </c>
      <c r="D392" s="0" t="inlineStr">
        <is>
          <t xml:space="preserve">sub_other</t>
        </is>
      </c>
      <c r="E392" s="0" t="inlineStr">
        <is>
          <t xml:space="preserve">design</t>
        </is>
      </c>
      <c r="F392" s="0" t="inlineStr">
        <is>
          <t xml:space="preserve">EXCLUDE_REVIEW</t>
        </is>
      </c>
      <c r="G392" s="0" t="inlineStr">
        <is>
          <t xml:space="preserve">BC</t>
        </is>
      </c>
      <c r="H392" s="5">
        <v>0</v>
      </c>
      <c r="I392" s="5">
        <v>0</v>
      </c>
      <c r="J392" s="5">
        <v>1</v>
      </c>
      <c r="K392" s="5">
        <v>20.551893</v>
      </c>
      <c r="L392" s="7">
        <v>0.0</v>
      </c>
      <c r="M392" s="7">
        <v>0.0</v>
      </c>
      <c r="N392" s="7">
        <v>0.0</v>
      </c>
      <c r="O392" s="7">
        <v>0.0</v>
      </c>
    </row>
    <row r="393" outlineLevel="1">
      <c r="B393" s="0" t="inlineStr">
        <is>
          <t xml:space="preserve">2026-04-21</t>
        </is>
      </c>
      <c r="C393" s="0" t="inlineStr">
        <is>
          <t xml:space="preserve">-</t>
        </is>
      </c>
      <c r="D393" s="0" t="inlineStr">
        <is>
          <t xml:space="preserve">va</t>
        </is>
      </c>
      <c r="E393" s="0" t="inlineStr">
        <is>
          <t xml:space="preserve">other</t>
        </is>
      </c>
      <c r="F393" s="0" t="inlineStr">
        <is>
          <t xml:space="preserve">EXCLUDE_REVIEW</t>
        </is>
      </c>
      <c r="G393" s="0" t="inlineStr">
        <is>
          <t xml:space="preserve">BC</t>
        </is>
      </c>
      <c r="H393" s="5">
        <v>0</v>
      </c>
      <c r="I393" s="5">
        <v>0</v>
      </c>
      <c r="J393" s="5">
        <v>1</v>
      </c>
      <c r="K393" s="5">
        <v>20.492194</v>
      </c>
      <c r="L393" s="7">
        <v>0.0</v>
      </c>
      <c r="M393" s="7">
        <v>0.0</v>
      </c>
      <c r="N393" s="7">
        <v>1.0</v>
      </c>
      <c r="O393" s="7">
        <v>0.0</v>
      </c>
    </row>
    <row r="394" outlineLevel="1">
      <c r="B394" s="0" t="inlineStr">
        <is>
          <t xml:space="preserve">2025-05-14</t>
        </is>
      </c>
      <c r="C394" s="0" t="inlineStr">
        <is>
          <t xml:space="preserve">N00024-23-C-4103</t>
        </is>
      </c>
      <c r="D394" s="0" t="inlineStr">
        <is>
          <t xml:space="preserve">non_sub</t>
        </is>
      </c>
      <c r="E394" s="0" t="inlineStr">
        <is>
          <t xml:space="preserve">lead_yard</t>
        </is>
      </c>
      <c r="F394" s="0" t="inlineStr">
        <is>
          <t xml:space="preserve">EXCLUDE_REVIEW</t>
        </is>
      </c>
      <c r="G394" s="0" t="inlineStr">
        <is>
          <t xml:space="preserve">BC</t>
        </is>
      </c>
      <c r="H394" s="5">
        <v>0</v>
      </c>
      <c r="I394" s="5">
        <v>0</v>
      </c>
      <c r="J394" s="5">
        <v>1</v>
      </c>
      <c r="K394" s="5">
        <v>20.346231</v>
      </c>
      <c r="L394" s="7">
        <v>0.0</v>
      </c>
      <c r="M394" s="7">
        <v>0.0</v>
      </c>
      <c r="N394" s="7">
        <v>1.0</v>
      </c>
      <c r="O394" s="7">
        <v>0.0</v>
      </c>
    </row>
    <row r="395" outlineLevel="1">
      <c r="B395" s="0" t="inlineStr">
        <is>
          <t xml:space="preserve">2026-04-03</t>
        </is>
      </c>
      <c r="C395" s="0" t="inlineStr">
        <is>
          <t xml:space="preserve">N00024-26-C-6205</t>
        </is>
      </c>
      <c r="D395" s="0" t="inlineStr">
        <is>
          <t xml:space="preserve">sub_other</t>
        </is>
      </c>
      <c r="E395" s="0" t="inlineStr">
        <is>
          <t xml:space="preserve">construction</t>
        </is>
      </c>
      <c r="F395" s="0" t="inlineStr">
        <is>
          <t xml:space="preserve">INCLUDE_BC</t>
        </is>
      </c>
      <c r="G395" s="0" t="inlineStr">
        <is>
          <t xml:space="preserve">BC</t>
        </is>
      </c>
      <c r="H395" s="5">
        <v>0</v>
      </c>
      <c r="I395" s="5">
        <v>0</v>
      </c>
      <c r="J395" s="5">
        <v>1</v>
      </c>
      <c r="K395" s="5">
        <v>20.216616</v>
      </c>
      <c r="L395" s="7">
        <v>0.0</v>
      </c>
      <c r="M395" s="7">
        <v>0.0</v>
      </c>
      <c r="N395" s="7">
        <v>1.0</v>
      </c>
      <c r="O395" s="7">
        <v>0.0</v>
      </c>
    </row>
    <row r="396" outlineLevel="1">
      <c r="B396" s="0" t="inlineStr">
        <is>
          <t xml:space="preserve">2022-12-02</t>
        </is>
      </c>
      <c r="C396" s="0" t="inlineStr">
        <is>
          <t xml:space="preserve">-</t>
        </is>
      </c>
      <c r="D396" s="0" t="inlineStr">
        <is>
          <t xml:space="preserve">bpmi_nuclear</t>
        </is>
      </c>
      <c r="E396" s="0" t="inlineStr">
        <is>
          <t xml:space="preserve">component_procurement</t>
        </is>
      </c>
      <c r="F396" s="0" t="inlineStr">
        <is>
          <t xml:space="preserve">EXCLUDE_GFE_NUCLEAR</t>
        </is>
      </c>
      <c r="G396" s="0" t="inlineStr">
        <is>
          <t xml:space="preserve">BC</t>
        </is>
      </c>
      <c r="H396" s="5">
        <v>1</v>
      </c>
      <c r="I396" s="5">
        <v>1</v>
      </c>
      <c r="J396" s="5">
        <v>1</v>
      </c>
      <c r="K396" s="5">
        <v>20.10911</v>
      </c>
      <c r="L396" s="7">
        <v>0.0</v>
      </c>
      <c r="M396" s="7">
        <v>0.0</v>
      </c>
      <c r="N396" s="7">
        <v>1.0</v>
      </c>
      <c r="O396" s="7">
        <v>0.0</v>
      </c>
    </row>
    <row r="397" outlineLevel="1">
      <c r="B397" s="0" t="inlineStr">
        <is>
          <t xml:space="preserve">2025-08-05</t>
        </is>
      </c>
      <c r="C397" s="0" t="inlineStr">
        <is>
          <t xml:space="preserve">-</t>
        </is>
      </c>
      <c r="D397" s="0" t="inlineStr">
        <is>
          <t xml:space="preserve">non_sub</t>
        </is>
      </c>
      <c r="E397" s="0" t="inlineStr">
        <is>
          <t xml:space="preserve">sustainment_maintenance</t>
        </is>
      </c>
      <c r="F397" s="0" t="inlineStr">
        <is>
          <t xml:space="preserve">EXCLUDE_REVIEW</t>
        </is>
      </c>
      <c r="G397" s="0" t="inlineStr">
        <is>
          <t xml:space="preserve">BC</t>
        </is>
      </c>
      <c r="H397" s="5">
        <v>0</v>
      </c>
      <c r="I397" s="5">
        <v>0</v>
      </c>
      <c r="J397" s="5">
        <v>1</v>
      </c>
      <c r="K397" s="5">
        <v>20.0</v>
      </c>
      <c r="L397" s="7">
        <v>0.0</v>
      </c>
      <c r="M397" s="7">
        <v>0.0</v>
      </c>
      <c r="N397" s="7">
        <v>0.95</v>
      </c>
      <c r="O397" s="7">
        <v>0.0</v>
      </c>
    </row>
    <row r="398" outlineLevel="1">
      <c r="B398" s="0" t="inlineStr">
        <is>
          <t xml:space="preserve">2026-03-27</t>
        </is>
      </c>
      <c r="C398" s="0" t="inlineStr">
        <is>
          <t xml:space="preserve">N00024-25-F-6260</t>
        </is>
      </c>
      <c r="D398" s="0" t="inlineStr">
        <is>
          <t xml:space="preserve">sub_gfe_electronics</t>
        </is>
      </c>
      <c r="E398" s="0" t="inlineStr">
        <is>
          <t xml:space="preserve">component_procurement</t>
        </is>
      </c>
      <c r="F398" s="0" t="inlineStr">
        <is>
          <t xml:space="preserve">EXCLUDE_GFE</t>
        </is>
      </c>
      <c r="G398" s="0" t="inlineStr">
        <is>
          <t xml:space="preserve">BC</t>
        </is>
      </c>
      <c r="H398" s="5">
        <v>1</v>
      </c>
      <c r="I398" s="5">
        <v>1</v>
      </c>
      <c r="J398" s="5">
        <v>1</v>
      </c>
      <c r="K398" s="5">
        <v>20.0</v>
      </c>
      <c r="L398" s="7">
        <v>0.0</v>
      </c>
      <c r="M398" s="7">
        <v>0.0</v>
      </c>
      <c r="N398" s="7">
        <v>0.0</v>
      </c>
      <c r="O398" s="7">
        <v>0.0</v>
      </c>
    </row>
    <row r="399" outlineLevel="1">
      <c r="B399" s="0" t="inlineStr">
        <is>
          <t xml:space="preserve">2025-05-10</t>
        </is>
      </c>
      <c r="C399" s="0" t="inlineStr">
        <is>
          <t xml:space="preserve">N00024-25-G-2306</t>
        </is>
      </c>
      <c r="D399" s="0" t="inlineStr">
        <is>
          <t xml:space="preserve">non_sub</t>
        </is>
      </c>
      <c r="E399" s="0" t="inlineStr">
        <is>
          <t xml:space="preserve">sustainment_maintenance</t>
        </is>
      </c>
      <c r="F399" s="0" t="inlineStr">
        <is>
          <t xml:space="preserve">EXCLUDE_REVIEW</t>
        </is>
      </c>
      <c r="G399" s="0" t="inlineStr">
        <is>
          <t xml:space="preserve">BC</t>
        </is>
      </c>
      <c r="H399" s="5">
        <v>0</v>
      </c>
      <c r="I399" s="5">
        <v>0</v>
      </c>
      <c r="J399" s="5">
        <v>1</v>
      </c>
      <c r="K399" s="5">
        <v>19.999999</v>
      </c>
      <c r="L399" s="7">
        <v>0.0</v>
      </c>
      <c r="M399" s="7">
        <v>0.0</v>
      </c>
      <c r="N399" s="7">
        <v>1.0</v>
      </c>
      <c r="O399" s="7">
        <v>0.0</v>
      </c>
    </row>
    <row r="400" outlineLevel="1">
      <c r="B400" s="0" t="inlineStr">
        <is>
          <t xml:space="preserve">2022-08-18</t>
        </is>
      </c>
      <c r="C400" s="0" t="inlineStr">
        <is>
          <t xml:space="preserve">-</t>
        </is>
      </c>
      <c r="D400" s="0" t="inlineStr">
        <is>
          <t xml:space="preserve">non_sub</t>
        </is>
      </c>
      <c r="E400" s="0" t="inlineStr">
        <is>
          <t xml:space="preserve">lltm_early_mfg</t>
        </is>
      </c>
      <c r="F400" s="0" t="inlineStr">
        <is>
          <t xml:space="preserve">INCLUDE_AP_LLTM</t>
        </is>
      </c>
      <c r="G400" s="0" t="inlineStr">
        <is>
          <t xml:space="preserve">AP_LLTM</t>
        </is>
      </c>
      <c r="H400" s="5">
        <v>0</v>
      </c>
      <c r="I400" s="5">
        <v>0</v>
      </c>
      <c r="J400" s="5">
        <v>1</v>
      </c>
      <c r="K400" s="5">
        <v>19.999814</v>
      </c>
      <c r="L400" s="7">
        <v>0.0</v>
      </c>
      <c r="M400" s="7">
        <v>0.0</v>
      </c>
      <c r="N400" s="7">
        <v>1.0</v>
      </c>
      <c r="O400" s="7">
        <v>0.0</v>
      </c>
    </row>
    <row r="401" outlineLevel="1">
      <c r="B401" s="0" t="inlineStr">
        <is>
          <t xml:space="preserve">2025-12-11</t>
        </is>
      </c>
      <c r="C401" s="0" t="inlineStr">
        <is>
          <t xml:space="preserve">N00024-25-F-5362</t>
        </is>
      </c>
      <c r="D401" s="0" t="inlineStr">
        <is>
          <t xml:space="preserve">non_sub</t>
        </is>
      </c>
      <c r="E401" s="0" t="inlineStr">
        <is>
          <t xml:space="preserve">other</t>
        </is>
      </c>
      <c r="F401" s="0" t="inlineStr">
        <is>
          <t xml:space="preserve">EXCLUDE_REVIEW</t>
        </is>
      </c>
      <c r="G401" s="0" t="inlineStr">
        <is>
          <t xml:space="preserve">BC</t>
        </is>
      </c>
      <c r="H401" s="5">
        <v>0</v>
      </c>
      <c r="I401" s="5">
        <v>0</v>
      </c>
      <c r="J401" s="5">
        <v>1</v>
      </c>
      <c r="K401" s="5">
        <v>19.981684</v>
      </c>
      <c r="L401" s="7">
        <v>0.0</v>
      </c>
      <c r="M401" s="7">
        <v>0.0</v>
      </c>
      <c r="N401" s="7">
        <v>1.0</v>
      </c>
      <c r="O401" s="7">
        <v>0.0</v>
      </c>
    </row>
    <row r="402" outlineLevel="1">
      <c r="B402" s="0" t="inlineStr">
        <is>
          <t xml:space="preserve">2023-05-09</t>
        </is>
      </c>
      <c r="C402" s="0" t="inlineStr">
        <is>
          <t xml:space="preserve">N00024-23-C-2301</t>
        </is>
      </c>
      <c r="D402" s="0" t="inlineStr">
        <is>
          <t xml:space="preserve">non_sub</t>
        </is>
      </c>
      <c r="E402" s="0" t="inlineStr">
        <is>
          <t xml:space="preserve">fms</t>
        </is>
      </c>
      <c r="F402" s="0" t="inlineStr">
        <is>
          <t xml:space="preserve">EXCLUDE_REVIEW</t>
        </is>
      </c>
      <c r="G402" s="0" t="inlineStr">
        <is>
          <t xml:space="preserve">BC</t>
        </is>
      </c>
      <c r="H402" s="5">
        <v>0</v>
      </c>
      <c r="I402" s="5">
        <v>0</v>
      </c>
      <c r="J402" s="5">
        <v>1</v>
      </c>
      <c r="K402" s="5">
        <v>19.626194</v>
      </c>
      <c r="L402" s="7">
        <v>0.0</v>
      </c>
      <c r="M402" s="7">
        <v>0.0</v>
      </c>
      <c r="N402" s="7">
        <v>1.0</v>
      </c>
      <c r="O402" s="7">
        <v>0.0</v>
      </c>
    </row>
    <row r="403" outlineLevel="1">
      <c r="B403" s="0" t="inlineStr">
        <is>
          <t xml:space="preserve">2026-03-11</t>
        </is>
      </c>
      <c r="C403" s="0" t="inlineStr">
        <is>
          <t xml:space="preserve">N00024-24-C-2331</t>
        </is>
      </c>
      <c r="D403" s="0" t="inlineStr">
        <is>
          <t xml:space="preserve">non_sub</t>
        </is>
      </c>
      <c r="E403" s="0" t="inlineStr">
        <is>
          <t xml:space="preserve">lead_yard</t>
        </is>
      </c>
      <c r="F403" s="0" t="inlineStr">
        <is>
          <t xml:space="preserve">EXCLUDE_REVIEW</t>
        </is>
      </c>
      <c r="G403" s="0" t="inlineStr">
        <is>
          <t xml:space="preserve">BC</t>
        </is>
      </c>
      <c r="H403" s="5">
        <v>0</v>
      </c>
      <c r="I403" s="5">
        <v>0</v>
      </c>
      <c r="J403" s="5">
        <v>1</v>
      </c>
      <c r="K403" s="5">
        <v>19.516047</v>
      </c>
      <c r="L403" s="7">
        <v>0.0</v>
      </c>
      <c r="M403" s="7">
        <v>0.0</v>
      </c>
      <c r="N403" s="7">
        <v>0.99</v>
      </c>
      <c r="O403" s="7">
        <v>0.0</v>
      </c>
    </row>
    <row r="404" outlineLevel="1">
      <c r="B404" s="0" t="inlineStr">
        <is>
          <t xml:space="preserve">2026-03-20</t>
        </is>
      </c>
      <c r="C404" s="0" t="inlineStr">
        <is>
          <t xml:space="preserve">N00024-18-C-2406</t>
        </is>
      </c>
      <c r="D404" s="0" t="inlineStr">
        <is>
          <t xml:space="preserve">non_sub</t>
        </is>
      </c>
      <c r="E404" s="0" t="inlineStr">
        <is>
          <t xml:space="preserve">other</t>
        </is>
      </c>
      <c r="F404" s="0" t="inlineStr">
        <is>
          <t xml:space="preserve">EXCLUDE_REVIEW</t>
        </is>
      </c>
      <c r="G404" s="0" t="inlineStr">
        <is>
          <t xml:space="preserve">BC</t>
        </is>
      </c>
      <c r="H404" s="5">
        <v>0</v>
      </c>
      <c r="I404" s="5">
        <v>0</v>
      </c>
      <c r="J404" s="5">
        <v>1</v>
      </c>
      <c r="K404" s="5">
        <v>19.33482</v>
      </c>
      <c r="L404" s="7">
        <v>0.0</v>
      </c>
      <c r="M404" s="7">
        <v>0.0</v>
      </c>
      <c r="N404" s="7">
        <v>0.0</v>
      </c>
      <c r="O404" s="7">
        <v>0.0</v>
      </c>
    </row>
    <row r="405" outlineLevel="1">
      <c r="B405" s="0" t="inlineStr">
        <is>
          <t xml:space="preserve">2026-01-23</t>
        </is>
      </c>
      <c r="C405" s="0" t="inlineStr">
        <is>
          <t xml:space="preserve">N00024-23-C-5401</t>
        </is>
      </c>
      <c r="D405" s="0" t="inlineStr">
        <is>
          <t xml:space="preserve">non_sub</t>
        </is>
      </c>
      <c r="E405" s="0" t="inlineStr">
        <is>
          <t xml:space="preserve">lead_yard</t>
        </is>
      </c>
      <c r="F405" s="0" t="inlineStr">
        <is>
          <t xml:space="preserve">EXCLUDE_REVIEW</t>
        </is>
      </c>
      <c r="G405" s="0" t="inlineStr">
        <is>
          <t xml:space="preserve">BC</t>
        </is>
      </c>
      <c r="H405" s="5">
        <v>0</v>
      </c>
      <c r="I405" s="5">
        <v>0</v>
      </c>
      <c r="J405" s="5">
        <v>1</v>
      </c>
      <c r="K405" s="5">
        <v>19.2996</v>
      </c>
      <c r="L405" s="7">
        <v>0.0</v>
      </c>
      <c r="M405" s="7">
        <v>0.0</v>
      </c>
      <c r="N405" s="7">
        <v>0.0</v>
      </c>
      <c r="O405" s="7">
        <v>0.0</v>
      </c>
    </row>
    <row r="406" outlineLevel="1">
      <c r="B406" s="0" t="inlineStr">
        <is>
          <t xml:space="preserve">2024-02-26</t>
        </is>
      </c>
      <c r="C406" s="0" t="inlineStr">
        <is>
          <t xml:space="preserve">N00024-24-C-6301</t>
        </is>
      </c>
      <c r="D406" s="0" t="inlineStr">
        <is>
          <t xml:space="preserve">non_sub</t>
        </is>
      </c>
      <c r="E406" s="0" t="inlineStr">
        <is>
          <t xml:space="preserve">other</t>
        </is>
      </c>
      <c r="F406" s="0" t="inlineStr">
        <is>
          <t xml:space="preserve">EXCLUDE_REVIEW</t>
        </is>
      </c>
      <c r="G406" s="0" t="inlineStr">
        <is>
          <t xml:space="preserve">BC</t>
        </is>
      </c>
      <c r="H406" s="5">
        <v>0</v>
      </c>
      <c r="I406" s="5">
        <v>0</v>
      </c>
      <c r="J406" s="5">
        <v>1</v>
      </c>
      <c r="K406" s="5">
        <v>19.247894</v>
      </c>
      <c r="L406" s="7">
        <v>0.0</v>
      </c>
      <c r="M406" s="7">
        <v>0.0</v>
      </c>
      <c r="N406" s="7">
        <v>1.0</v>
      </c>
      <c r="O406" s="7">
        <v>0.0</v>
      </c>
    </row>
    <row r="407" outlineLevel="1">
      <c r="B407" s="0" t="inlineStr">
        <is>
          <t xml:space="preserve">2024-06-28</t>
        </is>
      </c>
      <c r="C407" s="0" t="inlineStr">
        <is>
          <t xml:space="preserve">-</t>
        </is>
      </c>
      <c r="D407" s="0" t="inlineStr">
        <is>
          <t xml:space="preserve">non_sub</t>
        </is>
      </c>
      <c r="E407" s="0" t="inlineStr">
        <is>
          <t xml:space="preserve">construction</t>
        </is>
      </c>
      <c r="F407" s="0" t="inlineStr">
        <is>
          <t xml:space="preserve">INCLUDE_BC</t>
        </is>
      </c>
      <c r="G407" s="0" t="inlineStr">
        <is>
          <t xml:space="preserve">BC</t>
        </is>
      </c>
      <c r="H407" s="5">
        <v>0</v>
      </c>
      <c r="I407" s="5">
        <v>0</v>
      </c>
      <c r="J407" s="5">
        <v>1</v>
      </c>
      <c r="K407" s="5">
        <v>19.216091</v>
      </c>
      <c r="L407" s="7">
        <v>0.0</v>
      </c>
      <c r="M407" s="7">
        <v>0.0</v>
      </c>
      <c r="N407" s="7">
        <v>0.0</v>
      </c>
      <c r="O407" s="7">
        <v>0.0</v>
      </c>
    </row>
    <row r="408" outlineLevel="1">
      <c r="B408" s="0" t="inlineStr">
        <is>
          <t xml:space="preserve">2023-05-31</t>
        </is>
      </c>
      <c r="C408" s="0" t="inlineStr">
        <is>
          <t xml:space="preserve">-</t>
        </is>
      </c>
      <c r="D408" s="0" t="inlineStr">
        <is>
          <t xml:space="preserve">non_sub</t>
        </is>
      </c>
      <c r="E408" s="0" t="inlineStr">
        <is>
          <t xml:space="preserve">fms</t>
        </is>
      </c>
      <c r="F408" s="0" t="inlineStr">
        <is>
          <t xml:space="preserve">EXCLUDE_REVIEW</t>
        </is>
      </c>
      <c r="G408" s="0" t="inlineStr">
        <is>
          <t xml:space="preserve">BC</t>
        </is>
      </c>
      <c r="H408" s="5">
        <v>0</v>
      </c>
      <c r="I408" s="5">
        <v>0</v>
      </c>
      <c r="J408" s="5">
        <v>1</v>
      </c>
      <c r="K408" s="5">
        <v>19.186754</v>
      </c>
      <c r="L408" s="7">
        <v>0.0</v>
      </c>
      <c r="M408" s="7">
        <v>0.0</v>
      </c>
      <c r="N408" s="7">
        <v>1.0</v>
      </c>
      <c r="O408" s="7">
        <v>0.0</v>
      </c>
    </row>
    <row r="409" outlineLevel="1">
      <c r="B409" s="0" t="inlineStr">
        <is>
          <t xml:space="preserve">2024-06-28</t>
        </is>
      </c>
      <c r="C409" s="0" t="inlineStr">
        <is>
          <t xml:space="preserve">-</t>
        </is>
      </c>
      <c r="D409" s="0" t="inlineStr">
        <is>
          <t xml:space="preserve">sub_other</t>
        </is>
      </c>
      <c r="E409" s="0" t="inlineStr">
        <is>
          <t xml:space="preserve">other</t>
        </is>
      </c>
      <c r="F409" s="0" t="inlineStr">
        <is>
          <t xml:space="preserve">EXCLUDE_REVIEW</t>
        </is>
      </c>
      <c r="G409" s="0" t="inlineStr">
        <is>
          <t xml:space="preserve">BC</t>
        </is>
      </c>
      <c r="H409" s="5">
        <v>0</v>
      </c>
      <c r="I409" s="5">
        <v>0</v>
      </c>
      <c r="J409" s="5">
        <v>1</v>
      </c>
      <c r="K409" s="5">
        <v>19.153912</v>
      </c>
      <c r="L409" s="7">
        <v>0.0</v>
      </c>
      <c r="M409" s="7">
        <v>0.0</v>
      </c>
      <c r="N409" s="7">
        <v>0.0</v>
      </c>
      <c r="O409" s="7">
        <v>0.0</v>
      </c>
    </row>
    <row r="410" outlineLevel="1">
      <c r="B410" s="0" t="inlineStr">
        <is>
          <t xml:space="preserve">2022-07-25</t>
        </is>
      </c>
      <c r="C410" s="0" t="inlineStr">
        <is>
          <t xml:space="preserve">-</t>
        </is>
      </c>
      <c r="D410" s="0" t="inlineStr">
        <is>
          <t xml:space="preserve">sub_other</t>
        </is>
      </c>
      <c r="E410" s="0" t="inlineStr">
        <is>
          <t xml:space="preserve">engineering</t>
        </is>
      </c>
      <c r="F410" s="0" t="inlineStr">
        <is>
          <t xml:space="preserve">EXCLUDE_REVIEW</t>
        </is>
      </c>
      <c r="G410" s="0" t="inlineStr">
        <is>
          <t xml:space="preserve">BC</t>
        </is>
      </c>
      <c r="H410" s="5">
        <v>0</v>
      </c>
      <c r="I410" s="5">
        <v>0</v>
      </c>
      <c r="J410" s="5">
        <v>1</v>
      </c>
      <c r="K410" s="5">
        <v>19.110275</v>
      </c>
      <c r="L410" s="7">
        <v>0.0</v>
      </c>
      <c r="M410" s="7">
        <v>0.0</v>
      </c>
      <c r="N410" s="7">
        <v>1.0</v>
      </c>
      <c r="O410" s="7">
        <v>0.0</v>
      </c>
    </row>
    <row r="411" outlineLevel="1">
      <c r="B411" s="0" t="inlineStr">
        <is>
          <t xml:space="preserve">2026-01-30</t>
        </is>
      </c>
      <c r="C411" s="0" t="inlineStr">
        <is>
          <t xml:space="preserve">N00024-23-C-6106</t>
        </is>
      </c>
      <c r="D411" s="0" t="inlineStr">
        <is>
          <t xml:space="preserve">non_sub</t>
        </is>
      </c>
      <c r="E411" s="0" t="inlineStr">
        <is>
          <t xml:space="preserve">sustainment_maintenance</t>
        </is>
      </c>
      <c r="F411" s="0" t="inlineStr">
        <is>
          <t xml:space="preserve">EXCLUDE_REVIEW</t>
        </is>
      </c>
      <c r="G411" s="0" t="inlineStr">
        <is>
          <t xml:space="preserve">BC</t>
        </is>
      </c>
      <c r="H411" s="5">
        <v>0</v>
      </c>
      <c r="I411" s="5">
        <v>0</v>
      </c>
      <c r="J411" s="5">
        <v>1</v>
      </c>
      <c r="K411" s="5">
        <v>19.079792</v>
      </c>
      <c r="L411" s="7">
        <v>0.0</v>
      </c>
      <c r="M411" s="7">
        <v>0.0</v>
      </c>
      <c r="N411" s="7">
        <v>0.0</v>
      </c>
      <c r="O411" s="7">
        <v>0.0</v>
      </c>
    </row>
    <row r="412" outlineLevel="1">
      <c r="B412" s="0" t="inlineStr">
        <is>
          <t xml:space="preserve">2023-02-13</t>
        </is>
      </c>
      <c r="C412" s="0" t="inlineStr">
        <is>
          <t xml:space="preserve">-</t>
        </is>
      </c>
      <c r="D412" s="0" t="inlineStr">
        <is>
          <t xml:space="preserve">sub_other</t>
        </is>
      </c>
      <c r="E412" s="0" t="inlineStr">
        <is>
          <t xml:space="preserve">other</t>
        </is>
      </c>
      <c r="F412" s="0" t="inlineStr">
        <is>
          <t xml:space="preserve">EXCLUDE_REVIEW</t>
        </is>
      </c>
      <c r="G412" s="0" t="inlineStr">
        <is>
          <t xml:space="preserve">BC</t>
        </is>
      </c>
      <c r="H412" s="5">
        <v>0</v>
      </c>
      <c r="I412" s="5">
        <v>0</v>
      </c>
      <c r="J412" s="5">
        <v>1</v>
      </c>
      <c r="K412" s="5">
        <v>19.0</v>
      </c>
      <c r="L412" s="7">
        <v>0.0</v>
      </c>
      <c r="M412" s="7">
        <v>0.0</v>
      </c>
      <c r="N412" s="7">
        <v>0.0</v>
      </c>
      <c r="O412" s="7">
        <v>0.0</v>
      </c>
    </row>
    <row r="413" outlineLevel="1">
      <c r="B413" s="0" t="inlineStr">
        <is>
          <t xml:space="preserve">2025-06-27</t>
        </is>
      </c>
      <c r="C413" s="0" t="inlineStr">
        <is>
          <t xml:space="preserve">N00024-24-C-6230</t>
        </is>
      </c>
      <c r="D413" s="0" t="inlineStr">
        <is>
          <t xml:space="preserve">sub_other</t>
        </is>
      </c>
      <c r="E413" s="0" t="inlineStr">
        <is>
          <t xml:space="preserve">engineering</t>
        </is>
      </c>
      <c r="F413" s="0" t="inlineStr">
        <is>
          <t xml:space="preserve">EXCLUDE_REVIEW</t>
        </is>
      </c>
      <c r="G413" s="0" t="inlineStr">
        <is>
          <t xml:space="preserve">BC</t>
        </is>
      </c>
      <c r="H413" s="5">
        <v>0</v>
      </c>
      <c r="I413" s="5">
        <v>0</v>
      </c>
      <c r="J413" s="5">
        <v>1</v>
      </c>
      <c r="K413" s="5">
        <v>18.831073</v>
      </c>
      <c r="L413" s="7">
        <v>0.0</v>
      </c>
      <c r="M413" s="7">
        <v>0.0</v>
      </c>
      <c r="N413" s="7">
        <v>1.0</v>
      </c>
      <c r="O413" s="7">
        <v>0.0</v>
      </c>
    </row>
    <row r="414" outlineLevel="1">
      <c r="B414" s="0" t="inlineStr">
        <is>
          <t xml:space="preserve">2026-04-03</t>
        </is>
      </c>
      <c r="C414" s="0" t="inlineStr">
        <is>
          <t xml:space="preserve">N00024-26-F-5387</t>
        </is>
      </c>
      <c r="D414" s="0" t="inlineStr">
        <is>
          <t xml:space="preserve">non_sub</t>
        </is>
      </c>
      <c r="E414" s="0" t="inlineStr">
        <is>
          <t xml:space="preserve">fms</t>
        </is>
      </c>
      <c r="F414" s="0" t="inlineStr">
        <is>
          <t xml:space="preserve">EXCLUDE_REVIEW</t>
        </is>
      </c>
      <c r="G414" s="0" t="inlineStr">
        <is>
          <t xml:space="preserve">BC</t>
        </is>
      </c>
      <c r="H414" s="5">
        <v>0</v>
      </c>
      <c r="I414" s="5">
        <v>0</v>
      </c>
      <c r="J414" s="5">
        <v>1</v>
      </c>
      <c r="K414" s="5">
        <v>18.801948</v>
      </c>
      <c r="L414" s="7">
        <v>0.0</v>
      </c>
      <c r="M414" s="7">
        <v>0.0</v>
      </c>
      <c r="N414" s="7">
        <v>0.0</v>
      </c>
      <c r="O414" s="7">
        <v>0.0</v>
      </c>
    </row>
    <row r="415" outlineLevel="1">
      <c r="B415" s="0" t="inlineStr">
        <is>
          <t xml:space="preserve">2025-02-14</t>
        </is>
      </c>
      <c r="C415" s="0" t="inlineStr">
        <is>
          <t xml:space="preserve">-</t>
        </is>
      </c>
      <c r="D415" s="0" t="inlineStr">
        <is>
          <t xml:space="preserve">non_sub</t>
        </is>
      </c>
      <c r="E415" s="0" t="inlineStr">
        <is>
          <t xml:space="preserve">sustainment_maintenance</t>
        </is>
      </c>
      <c r="F415" s="0" t="inlineStr">
        <is>
          <t xml:space="preserve">EXCLUDE_REVIEW</t>
        </is>
      </c>
      <c r="G415" s="0" t="inlineStr">
        <is>
          <t xml:space="preserve">BC</t>
        </is>
      </c>
      <c r="H415" s="5">
        <v>0</v>
      </c>
      <c r="I415" s="5">
        <v>0</v>
      </c>
      <c r="J415" s="5">
        <v>1</v>
      </c>
      <c r="K415" s="5">
        <v>18.793145</v>
      </c>
      <c r="L415" s="7">
        <v>0.0</v>
      </c>
      <c r="M415" s="7">
        <v>0.0</v>
      </c>
      <c r="N415" s="7">
        <v>0.0</v>
      </c>
      <c r="O415" s="7">
        <v>0.0</v>
      </c>
    </row>
    <row r="416" outlineLevel="1">
      <c r="B416" s="0" t="inlineStr">
        <is>
          <t xml:space="preserve">2025-06-17</t>
        </is>
      </c>
      <c r="C416" s="0" t="inlineStr">
        <is>
          <t xml:space="preserve">-</t>
        </is>
      </c>
      <c r="D416" s="0" t="inlineStr">
        <is>
          <t xml:space="preserve">non_sub</t>
        </is>
      </c>
      <c r="E416" s="0" t="inlineStr">
        <is>
          <t xml:space="preserve">other</t>
        </is>
      </c>
      <c r="F416" s="0" t="inlineStr">
        <is>
          <t xml:space="preserve">EXCLUDE_REVIEW</t>
        </is>
      </c>
      <c r="G416" s="0" t="inlineStr">
        <is>
          <t xml:space="preserve">BC</t>
        </is>
      </c>
      <c r="H416" s="5">
        <v>0</v>
      </c>
      <c r="I416" s="5">
        <v>0</v>
      </c>
      <c r="J416" s="5">
        <v>1</v>
      </c>
      <c r="K416" s="5">
        <v>18.792464</v>
      </c>
      <c r="L416" s="7">
        <v>0.0</v>
      </c>
      <c r="M416" s="7">
        <v>0.0</v>
      </c>
      <c r="N416" s="7">
        <v>0.0</v>
      </c>
      <c r="O416" s="7">
        <v>0.0</v>
      </c>
    </row>
    <row r="417" outlineLevel="1">
      <c r="B417" s="0" t="inlineStr">
        <is>
          <t xml:space="preserve">2025-08-04</t>
        </is>
      </c>
      <c r="C417" s="0" t="inlineStr">
        <is>
          <t xml:space="preserve">N00024-21-C-5127</t>
        </is>
      </c>
      <c r="D417" s="0" t="inlineStr">
        <is>
          <t xml:space="preserve">non_sub</t>
        </is>
      </c>
      <c r="E417" s="0" t="inlineStr">
        <is>
          <t xml:space="preserve">fms</t>
        </is>
      </c>
      <c r="F417" s="0" t="inlineStr">
        <is>
          <t xml:space="preserve">EXCLUDE_REVIEW</t>
        </is>
      </c>
      <c r="G417" s="0" t="inlineStr">
        <is>
          <t xml:space="preserve">BC</t>
        </is>
      </c>
      <c r="H417" s="5">
        <v>0</v>
      </c>
      <c r="I417" s="5">
        <v>0</v>
      </c>
      <c r="J417" s="5">
        <v>1</v>
      </c>
      <c r="K417" s="5">
        <v>18.753155</v>
      </c>
      <c r="L417" s="7">
        <v>0.0</v>
      </c>
      <c r="M417" s="7">
        <v>0.0</v>
      </c>
      <c r="N417" s="7">
        <v>0.0</v>
      </c>
      <c r="O417" s="7">
        <v>0.0</v>
      </c>
    </row>
    <row r="418" outlineLevel="1">
      <c r="B418" s="0" t="inlineStr">
        <is>
          <t xml:space="preserve">2025-02-13</t>
        </is>
      </c>
      <c r="C418" s="0" t="inlineStr">
        <is>
          <t xml:space="preserve">N00024-23-C-5401</t>
        </is>
      </c>
      <c r="D418" s="0" t="inlineStr">
        <is>
          <t xml:space="preserve">non_sub</t>
        </is>
      </c>
      <c r="E418" s="0" t="inlineStr">
        <is>
          <t xml:space="preserve">lead_yard</t>
        </is>
      </c>
      <c r="F418" s="0" t="inlineStr">
        <is>
          <t xml:space="preserve">EXCLUDE_REVIEW</t>
        </is>
      </c>
      <c r="G418" s="0" t="inlineStr">
        <is>
          <t xml:space="preserve">BC</t>
        </is>
      </c>
      <c r="H418" s="5">
        <v>0</v>
      </c>
      <c r="I418" s="5">
        <v>0</v>
      </c>
      <c r="J418" s="5">
        <v>1</v>
      </c>
      <c r="K418" s="5">
        <v>18.73235</v>
      </c>
      <c r="L418" s="7">
        <v>0.0</v>
      </c>
      <c r="M418" s="7">
        <v>0.0</v>
      </c>
      <c r="N418" s="7">
        <v>0.0</v>
      </c>
      <c r="O418" s="7">
        <v>0.0</v>
      </c>
    </row>
    <row r="419" outlineLevel="1">
      <c r="B419" s="0" t="inlineStr">
        <is>
          <t xml:space="preserve">2026-05-15</t>
        </is>
      </c>
      <c r="C419" s="0" t="inlineStr">
        <is>
          <t xml:space="preserve">N00024-23-C-4103</t>
        </is>
      </c>
      <c r="D419" s="0" t="inlineStr">
        <is>
          <t xml:space="preserve">non_sub</t>
        </is>
      </c>
      <c r="E419" s="0" t="inlineStr">
        <is>
          <t xml:space="preserve">lead_yard</t>
        </is>
      </c>
      <c r="F419" s="0" t="inlineStr">
        <is>
          <t xml:space="preserve">EXCLUDE_REVIEW</t>
        </is>
      </c>
      <c r="G419" s="0" t="inlineStr">
        <is>
          <t xml:space="preserve">BC</t>
        </is>
      </c>
      <c r="H419" s="5">
        <v>0</v>
      </c>
      <c r="I419" s="5">
        <v>0</v>
      </c>
      <c r="J419" s="5">
        <v>1</v>
      </c>
      <c r="K419" s="5">
        <v>18.61428</v>
      </c>
      <c r="L419" s="7">
        <v>0.0</v>
      </c>
      <c r="M419" s="7">
        <v>0.0</v>
      </c>
      <c r="N419" s="7">
        <v>1.0</v>
      </c>
      <c r="O419" s="7">
        <v>0.0</v>
      </c>
    </row>
    <row r="420" outlineLevel="1">
      <c r="B420" s="0" t="inlineStr">
        <is>
          <t xml:space="preserve">2026-02-26</t>
        </is>
      </c>
      <c r="C420" s="0" t="inlineStr">
        <is>
          <t xml:space="preserve">N00024-25-C-2405</t>
        </is>
      </c>
      <c r="D420" s="0" t="inlineStr">
        <is>
          <t xml:space="preserve">non_sub</t>
        </is>
      </c>
      <c r="E420" s="0" t="inlineStr">
        <is>
          <t xml:space="preserve">other</t>
        </is>
      </c>
      <c r="F420" s="0" t="inlineStr">
        <is>
          <t xml:space="preserve">EXCLUDE_REVIEW</t>
        </is>
      </c>
      <c r="G420" s="0" t="inlineStr">
        <is>
          <t xml:space="preserve">BC</t>
        </is>
      </c>
      <c r="H420" s="5">
        <v>0</v>
      </c>
      <c r="I420" s="5">
        <v>0</v>
      </c>
      <c r="J420" s="5">
        <v>1</v>
      </c>
      <c r="K420" s="5">
        <v>18.606058</v>
      </c>
      <c r="L420" s="7">
        <v>0.0</v>
      </c>
      <c r="M420" s="7">
        <v>0.0</v>
      </c>
      <c r="N420" s="7">
        <v>0.0</v>
      </c>
      <c r="O420" s="7">
        <v>0.0</v>
      </c>
    </row>
    <row r="421" outlineLevel="1">
      <c r="B421" s="0" t="inlineStr">
        <is>
          <t xml:space="preserve">2025-08-08</t>
        </is>
      </c>
      <c r="C421" s="0" t="inlineStr">
        <is>
          <t xml:space="preserve">N00024-23-C-5101</t>
        </is>
      </c>
      <c r="D421" s="0" t="inlineStr">
        <is>
          <t xml:space="preserve">non_sub</t>
        </is>
      </c>
      <c r="E421" s="0" t="inlineStr">
        <is>
          <t xml:space="preserve">fms</t>
        </is>
      </c>
      <c r="F421" s="0" t="inlineStr">
        <is>
          <t xml:space="preserve">EXCLUDE_REVIEW</t>
        </is>
      </c>
      <c r="G421" s="0" t="inlineStr">
        <is>
          <t xml:space="preserve">BC</t>
        </is>
      </c>
      <c r="H421" s="5">
        <v>0</v>
      </c>
      <c r="I421" s="5">
        <v>0</v>
      </c>
      <c r="J421" s="5">
        <v>1</v>
      </c>
      <c r="K421" s="5">
        <v>18.601447</v>
      </c>
      <c r="L421" s="7">
        <v>0.0</v>
      </c>
      <c r="M421" s="7">
        <v>0.0</v>
      </c>
      <c r="N421" s="7">
        <v>0.0</v>
      </c>
      <c r="O421" s="7">
        <v>0.0</v>
      </c>
    </row>
    <row r="422" outlineLevel="1">
      <c r="B422" s="0" t="inlineStr">
        <is>
          <t xml:space="preserve">2025-08-08</t>
        </is>
      </c>
      <c r="C422" s="0" t="inlineStr">
        <is>
          <t xml:space="preserve">N00024-22-C-5520</t>
        </is>
      </c>
      <c r="D422" s="0" t="inlineStr">
        <is>
          <t xml:space="preserve">non_sub</t>
        </is>
      </c>
      <c r="E422" s="0" t="inlineStr">
        <is>
          <t xml:space="preserve">lead_yard</t>
        </is>
      </c>
      <c r="F422" s="0" t="inlineStr">
        <is>
          <t xml:space="preserve">EXCLUDE_REVIEW</t>
        </is>
      </c>
      <c r="G422" s="0" t="inlineStr">
        <is>
          <t xml:space="preserve">BC</t>
        </is>
      </c>
      <c r="H422" s="5">
        <v>0</v>
      </c>
      <c r="I422" s="5">
        <v>0</v>
      </c>
      <c r="J422" s="5">
        <v>1</v>
      </c>
      <c r="K422" s="5">
        <v>18.537253</v>
      </c>
      <c r="L422" s="7">
        <v>0.0</v>
      </c>
      <c r="M422" s="7">
        <v>0.0</v>
      </c>
      <c r="N422" s="7">
        <v>0.96</v>
      </c>
      <c r="O422" s="7">
        <v>0.0</v>
      </c>
    </row>
    <row r="423" outlineLevel="1">
      <c r="B423" s="0" t="inlineStr">
        <is>
          <t xml:space="preserve">2025-03-14</t>
        </is>
      </c>
      <c r="C423" s="0" t="inlineStr">
        <is>
          <t xml:space="preserve">N00024-21-C-5434</t>
        </is>
      </c>
      <c r="D423" s="0" t="inlineStr">
        <is>
          <t xml:space="preserve">non_sub</t>
        </is>
      </c>
      <c r="E423" s="0" t="inlineStr">
        <is>
          <t xml:space="preserve">engineering</t>
        </is>
      </c>
      <c r="F423" s="0" t="inlineStr">
        <is>
          <t xml:space="preserve">EXCLUDE_REVIEW</t>
        </is>
      </c>
      <c r="G423" s="0" t="inlineStr">
        <is>
          <t xml:space="preserve">BC</t>
        </is>
      </c>
      <c r="H423" s="5">
        <v>0</v>
      </c>
      <c r="I423" s="5">
        <v>0</v>
      </c>
      <c r="J423" s="5">
        <v>1</v>
      </c>
      <c r="K423" s="5">
        <v>18.468273</v>
      </c>
      <c r="L423" s="7">
        <v>0.0</v>
      </c>
      <c r="M423" s="7">
        <v>0.0</v>
      </c>
      <c r="N423" s="7">
        <v>0.99</v>
      </c>
      <c r="O423" s="7">
        <v>0.0</v>
      </c>
    </row>
    <row r="424" outlineLevel="1">
      <c r="B424" s="0" t="inlineStr">
        <is>
          <t xml:space="preserve">2025-04-28</t>
        </is>
      </c>
      <c r="C424" s="0" t="inlineStr">
        <is>
          <t xml:space="preserve">N00024-21-C-5393</t>
        </is>
      </c>
      <c r="D424" s="0" t="inlineStr">
        <is>
          <t xml:space="preserve">non_sub</t>
        </is>
      </c>
      <c r="E424" s="0" t="inlineStr">
        <is>
          <t xml:space="preserve">lead_yard</t>
        </is>
      </c>
      <c r="F424" s="0" t="inlineStr">
        <is>
          <t xml:space="preserve">EXCLUDE_REVIEW</t>
        </is>
      </c>
      <c r="G424" s="0" t="inlineStr">
        <is>
          <t xml:space="preserve">BC</t>
        </is>
      </c>
      <c r="H424" s="5">
        <v>0</v>
      </c>
      <c r="I424" s="5">
        <v>0</v>
      </c>
      <c r="J424" s="5">
        <v>1</v>
      </c>
      <c r="K424" s="5">
        <v>18.419651</v>
      </c>
      <c r="L424" s="7">
        <v>0.0</v>
      </c>
      <c r="M424" s="7">
        <v>0.0</v>
      </c>
      <c r="N424" s="7">
        <v>0.64</v>
      </c>
      <c r="O424" s="7">
        <v>0.0</v>
      </c>
    </row>
    <row r="425" outlineLevel="1">
      <c r="B425" s="0" t="inlineStr">
        <is>
          <t xml:space="preserve">2026-04-24</t>
        </is>
      </c>
      <c r="C425" s="0" t="inlineStr">
        <is>
          <t xml:space="preserve">N00024-21-C-4109</t>
        </is>
      </c>
      <c r="D425" s="0" t="inlineStr">
        <is>
          <t xml:space="preserve">non_sub</t>
        </is>
      </c>
      <c r="E425" s="0" t="inlineStr">
        <is>
          <t xml:space="preserve">other</t>
        </is>
      </c>
      <c r="F425" s="0" t="inlineStr">
        <is>
          <t xml:space="preserve">EXCLUDE_REVIEW</t>
        </is>
      </c>
      <c r="G425" s="0" t="inlineStr">
        <is>
          <t xml:space="preserve">BC</t>
        </is>
      </c>
      <c r="H425" s="5">
        <v>0</v>
      </c>
      <c r="I425" s="5">
        <v>0</v>
      </c>
      <c r="J425" s="5">
        <v>1</v>
      </c>
      <c r="K425" s="5">
        <v>18.291139</v>
      </c>
      <c r="L425" s="7">
        <v>0.0</v>
      </c>
      <c r="M425" s="7">
        <v>0.0</v>
      </c>
      <c r="N425" s="7">
        <v>1.0</v>
      </c>
      <c r="O425" s="7">
        <v>0.0</v>
      </c>
    </row>
    <row r="426" outlineLevel="1">
      <c r="B426" s="0" t="inlineStr">
        <is>
          <t xml:space="preserve">2025-06-12</t>
        </is>
      </c>
      <c r="C426" s="0" t="inlineStr">
        <is>
          <t xml:space="preserve">N00024-25-C-5409</t>
        </is>
      </c>
      <c r="D426" s="0" t="inlineStr">
        <is>
          <t xml:space="preserve">non_sub</t>
        </is>
      </c>
      <c r="E426" s="0" t="inlineStr">
        <is>
          <t xml:space="preserve">other</t>
        </is>
      </c>
      <c r="F426" s="0" t="inlineStr">
        <is>
          <t xml:space="preserve">EXCLUDE_REVIEW</t>
        </is>
      </c>
      <c r="G426" s="0" t="inlineStr">
        <is>
          <t xml:space="preserve">BC</t>
        </is>
      </c>
      <c r="H426" s="5">
        <v>0</v>
      </c>
      <c r="I426" s="5">
        <v>0</v>
      </c>
      <c r="J426" s="5">
        <v>1</v>
      </c>
      <c r="K426" s="5">
        <v>18.249602</v>
      </c>
      <c r="L426" s="7">
        <v>0.0</v>
      </c>
      <c r="M426" s="7">
        <v>0.0</v>
      </c>
      <c r="N426" s="7">
        <v>0.86</v>
      </c>
      <c r="O426" s="7">
        <v>0.0</v>
      </c>
    </row>
    <row r="427" outlineLevel="1">
      <c r="B427" s="0" t="inlineStr">
        <is>
          <t xml:space="preserve">2025-08-28</t>
        </is>
      </c>
      <c r="C427" s="0" t="inlineStr">
        <is>
          <t xml:space="preserve">N00024-25-C-6208</t>
        </is>
      </c>
      <c r="D427" s="0" t="inlineStr">
        <is>
          <t xml:space="preserve">non_sub</t>
        </is>
      </c>
      <c r="E427" s="0" t="inlineStr">
        <is>
          <t xml:space="preserve">fms</t>
        </is>
      </c>
      <c r="F427" s="0" t="inlineStr">
        <is>
          <t xml:space="preserve">EXCLUDE_REVIEW</t>
        </is>
      </c>
      <c r="G427" s="0" t="inlineStr">
        <is>
          <t xml:space="preserve">BC</t>
        </is>
      </c>
      <c r="H427" s="5">
        <v>0</v>
      </c>
      <c r="I427" s="5">
        <v>0</v>
      </c>
      <c r="J427" s="5">
        <v>1</v>
      </c>
      <c r="K427" s="5">
        <v>18.249387</v>
      </c>
      <c r="L427" s="7">
        <v>0.0</v>
      </c>
      <c r="M427" s="7">
        <v>0.0</v>
      </c>
      <c r="N427" s="7">
        <v>1.0</v>
      </c>
      <c r="O427" s="7">
        <v>0.0</v>
      </c>
    </row>
    <row r="428" outlineLevel="1">
      <c r="B428" s="0" t="inlineStr">
        <is>
          <t xml:space="preserve">2022-10-14</t>
        </is>
      </c>
      <c r="C428" s="0" t="inlineStr">
        <is>
          <t xml:space="preserve">-</t>
        </is>
      </c>
      <c r="D428" s="0" t="inlineStr">
        <is>
          <t xml:space="preserve">non_sub</t>
        </is>
      </c>
      <c r="E428" s="0" t="inlineStr">
        <is>
          <t xml:space="preserve">engineering</t>
        </is>
      </c>
      <c r="F428" s="0" t="inlineStr">
        <is>
          <t xml:space="preserve">EXCLUDE_REVIEW</t>
        </is>
      </c>
      <c r="G428" s="0" t="inlineStr">
        <is>
          <t xml:space="preserve">BC</t>
        </is>
      </c>
      <c r="H428" s="5">
        <v>0</v>
      </c>
      <c r="I428" s="5">
        <v>0</v>
      </c>
      <c r="J428" s="5">
        <v>1</v>
      </c>
      <c r="K428" s="5">
        <v>18.106451</v>
      </c>
      <c r="L428" s="7">
        <v>0.66</v>
      </c>
      <c r="M428" s="7">
        <v>0.0</v>
      </c>
      <c r="N428" s="7">
        <v>0.34</v>
      </c>
      <c r="O428" s="7">
        <v>0.0</v>
      </c>
    </row>
    <row r="429" outlineLevel="1">
      <c r="B429" s="0" t="inlineStr">
        <is>
          <t xml:space="preserve">2024-09-27</t>
        </is>
      </c>
      <c r="C429" s="0" t="inlineStr">
        <is>
          <t xml:space="preserve">N00024-24-C-2222</t>
        </is>
      </c>
      <c r="D429" s="0" t="inlineStr">
        <is>
          <t xml:space="preserve">non_sub</t>
        </is>
      </c>
      <c r="E429" s="0" t="inlineStr">
        <is>
          <t xml:space="preserve">other</t>
        </is>
      </c>
      <c r="F429" s="0" t="inlineStr">
        <is>
          <t xml:space="preserve">EXCLUDE_REVIEW</t>
        </is>
      </c>
      <c r="G429" s="0" t="inlineStr">
        <is>
          <t xml:space="preserve">BC</t>
        </is>
      </c>
      <c r="H429" s="5">
        <v>0</v>
      </c>
      <c r="I429" s="5">
        <v>0</v>
      </c>
      <c r="J429" s="5">
        <v>1</v>
      </c>
      <c r="K429" s="5">
        <v>17.86272</v>
      </c>
      <c r="L429" s="7">
        <v>0.0</v>
      </c>
      <c r="M429" s="7">
        <v>0.0</v>
      </c>
      <c r="N429" s="7">
        <v>1.0</v>
      </c>
      <c r="O429" s="7">
        <v>0.0</v>
      </c>
    </row>
    <row r="430" outlineLevel="1">
      <c r="B430" s="0" t="inlineStr">
        <is>
          <t xml:space="preserve">2024-05-20</t>
        </is>
      </c>
      <c r="C430" s="0" t="inlineStr">
        <is>
          <t xml:space="preserve">N00024-20-C-4315</t>
        </is>
      </c>
      <c r="D430" s="0" t="inlineStr">
        <is>
          <t xml:space="preserve">sub_other</t>
        </is>
      </c>
      <c r="E430" s="0" t="inlineStr">
        <is>
          <t xml:space="preserve">other</t>
        </is>
      </c>
      <c r="F430" s="0" t="inlineStr">
        <is>
          <t xml:space="preserve">EXCLUDE_REVIEW</t>
        </is>
      </c>
      <c r="G430" s="0" t="inlineStr">
        <is>
          <t xml:space="preserve">BC</t>
        </is>
      </c>
      <c r="H430" s="5">
        <v>0</v>
      </c>
      <c r="I430" s="5">
        <v>0</v>
      </c>
      <c r="J430" s="5">
        <v>1</v>
      </c>
      <c r="K430" s="5">
        <v>17.775259</v>
      </c>
      <c r="L430" s="7">
        <v>0.0</v>
      </c>
      <c r="M430" s="7">
        <v>0.0</v>
      </c>
      <c r="N430" s="7">
        <v>0.0</v>
      </c>
      <c r="O430" s="7">
        <v>0.0</v>
      </c>
    </row>
    <row r="431" outlineLevel="1">
      <c r="B431" s="0" t="inlineStr">
        <is>
          <t xml:space="preserve">2023-07-19</t>
        </is>
      </c>
      <c r="C431" s="0" t="inlineStr">
        <is>
          <t xml:space="preserve">-</t>
        </is>
      </c>
      <c r="D431" s="0" t="inlineStr">
        <is>
          <t xml:space="preserve">non_sub</t>
        </is>
      </c>
      <c r="E431" s="0" t="inlineStr">
        <is>
          <t xml:space="preserve">other</t>
        </is>
      </c>
      <c r="F431" s="0" t="inlineStr">
        <is>
          <t xml:space="preserve">EXCLUDE_REVIEW</t>
        </is>
      </c>
      <c r="G431" s="0" t="inlineStr">
        <is>
          <t xml:space="preserve">BC</t>
        </is>
      </c>
      <c r="H431" s="5">
        <v>0</v>
      </c>
      <c r="I431" s="5">
        <v>0</v>
      </c>
      <c r="J431" s="5">
        <v>1</v>
      </c>
      <c r="K431" s="5">
        <v>17.773292</v>
      </c>
      <c r="L431" s="7">
        <v>0.0</v>
      </c>
      <c r="M431" s="7">
        <v>0.0</v>
      </c>
      <c r="N431" s="7">
        <v>1.0</v>
      </c>
      <c r="O431" s="7">
        <v>0.0</v>
      </c>
    </row>
    <row r="432" outlineLevel="1">
      <c r="B432" s="0" t="inlineStr">
        <is>
          <t xml:space="preserve">2025-03-07</t>
        </is>
      </c>
      <c r="C432" s="0" t="inlineStr">
        <is>
          <t xml:space="preserve">N00024-23-F-6313</t>
        </is>
      </c>
      <c r="D432" s="0" t="inlineStr">
        <is>
          <t xml:space="preserve">non_sub</t>
        </is>
      </c>
      <c r="E432" s="0" t="inlineStr">
        <is>
          <t xml:space="preserve">sustainment_maintenance</t>
        </is>
      </c>
      <c r="F432" s="0" t="inlineStr">
        <is>
          <t xml:space="preserve">EXCLUDE_REVIEW</t>
        </is>
      </c>
      <c r="G432" s="0" t="inlineStr">
        <is>
          <t xml:space="preserve">BC</t>
        </is>
      </c>
      <c r="H432" s="5">
        <v>0</v>
      </c>
      <c r="I432" s="5">
        <v>0</v>
      </c>
      <c r="J432" s="5">
        <v>1</v>
      </c>
      <c r="K432" s="5">
        <v>17.548483</v>
      </c>
      <c r="L432" s="7">
        <v>0.0</v>
      </c>
      <c r="M432" s="7">
        <v>0.04</v>
      </c>
      <c r="N432" s="7">
        <v>0.96</v>
      </c>
      <c r="O432" s="7">
        <v>0.0</v>
      </c>
    </row>
    <row r="433" outlineLevel="1">
      <c r="B433" s="0" t="inlineStr">
        <is>
          <t xml:space="preserve">2026-05-22</t>
        </is>
      </c>
      <c r="C433" s="0" t="inlineStr">
        <is>
          <t xml:space="preserve">N00024-26-C-4405</t>
        </is>
      </c>
      <c r="D433" s="0" t="inlineStr">
        <is>
          <t xml:space="preserve">non_sub</t>
        </is>
      </c>
      <c r="E433" s="0" t="inlineStr">
        <is>
          <t xml:space="preserve">sustainment_maintenance</t>
        </is>
      </c>
      <c r="F433" s="0" t="inlineStr">
        <is>
          <t xml:space="preserve">EXCLUDE_REVIEW</t>
        </is>
      </c>
      <c r="G433" s="0" t="inlineStr">
        <is>
          <t xml:space="preserve">BC</t>
        </is>
      </c>
      <c r="H433" s="5">
        <v>0</v>
      </c>
      <c r="I433" s="5">
        <v>0</v>
      </c>
      <c r="J433" s="5">
        <v>1</v>
      </c>
      <c r="K433" s="5">
        <v>17.450962</v>
      </c>
      <c r="L433" s="7">
        <v>0.0</v>
      </c>
      <c r="M433" s="7">
        <v>0.0</v>
      </c>
      <c r="N433" s="7">
        <v>0.0</v>
      </c>
      <c r="O433" s="7">
        <v>0.0</v>
      </c>
    </row>
    <row r="434" outlineLevel="1">
      <c r="B434" s="0" t="inlineStr">
        <is>
          <t xml:space="preserve">2022-07-28</t>
        </is>
      </c>
      <c r="C434" s="0" t="inlineStr">
        <is>
          <t xml:space="preserve">N00024-22-F-6210</t>
        </is>
      </c>
      <c r="D434" s="0" t="inlineStr">
        <is>
          <t xml:space="preserve">sub_other</t>
        </is>
      </c>
      <c r="E434" s="0" t="inlineStr">
        <is>
          <t xml:space="preserve">sustainment_maintenance</t>
        </is>
      </c>
      <c r="F434" s="0" t="inlineStr">
        <is>
          <t xml:space="preserve">EXCLUDE_REVIEW</t>
        </is>
      </c>
      <c r="G434" s="0" t="inlineStr">
        <is>
          <t xml:space="preserve">BC</t>
        </is>
      </c>
      <c r="H434" s="5">
        <v>0</v>
      </c>
      <c r="I434" s="5">
        <v>0</v>
      </c>
      <c r="J434" s="5">
        <v>1</v>
      </c>
      <c r="K434" s="5">
        <v>17.356948</v>
      </c>
      <c r="L434" s="7">
        <v>0.0</v>
      </c>
      <c r="M434" s="7">
        <v>0.0</v>
      </c>
      <c r="N434" s="7">
        <v>0.0</v>
      </c>
      <c r="O434" s="7">
        <v>0.0</v>
      </c>
    </row>
    <row r="435" outlineLevel="1">
      <c r="B435" s="0" t="inlineStr">
        <is>
          <t xml:space="preserve">2022-08-31</t>
        </is>
      </c>
      <c r="C435" s="0" t="inlineStr">
        <is>
          <t xml:space="preserve">N00024-22-D-2287</t>
        </is>
      </c>
      <c r="D435" s="0" t="inlineStr">
        <is>
          <t xml:space="preserve">non_sub</t>
        </is>
      </c>
      <c r="E435" s="0" t="inlineStr">
        <is>
          <t xml:space="preserve">other</t>
        </is>
      </c>
      <c r="F435" s="0" t="inlineStr">
        <is>
          <t xml:space="preserve">EXCLUDE_REVIEW</t>
        </is>
      </c>
      <c r="G435" s="0" t="inlineStr">
        <is>
          <t xml:space="preserve">BC</t>
        </is>
      </c>
      <c r="H435" s="5">
        <v>0</v>
      </c>
      <c r="I435" s="5">
        <v>0</v>
      </c>
      <c r="J435" s="5">
        <v>1</v>
      </c>
      <c r="K435" s="5">
        <v>17.346989</v>
      </c>
      <c r="L435" s="7">
        <v>0.0</v>
      </c>
      <c r="M435" s="7">
        <v>0.0</v>
      </c>
      <c r="N435" s="7">
        <v>0.0</v>
      </c>
      <c r="O435" s="7">
        <v>0.0</v>
      </c>
    </row>
    <row r="436" outlineLevel="1">
      <c r="B436" s="0" t="inlineStr">
        <is>
          <t xml:space="preserve">2022-09-06</t>
        </is>
      </c>
      <c r="C436" s="0" t="inlineStr">
        <is>
          <t xml:space="preserve">-</t>
        </is>
      </c>
      <c r="D436" s="0" t="inlineStr">
        <is>
          <t xml:space="preserve">non_sub</t>
        </is>
      </c>
      <c r="E436" s="0" t="inlineStr">
        <is>
          <t xml:space="preserve">other</t>
        </is>
      </c>
      <c r="F436" s="0" t="inlineStr">
        <is>
          <t xml:space="preserve">EXCLUDE_REVIEW</t>
        </is>
      </c>
      <c r="G436" s="0" t="inlineStr">
        <is>
          <t xml:space="preserve">BC</t>
        </is>
      </c>
      <c r="H436" s="5">
        <v>0</v>
      </c>
      <c r="I436" s="5">
        <v>0</v>
      </c>
      <c r="J436" s="5">
        <v>1</v>
      </c>
      <c r="K436" s="5">
        <v>17.29744</v>
      </c>
      <c r="L436" s="7">
        <v>0.0</v>
      </c>
      <c r="M436" s="7">
        <v>0.0</v>
      </c>
      <c r="N436" s="7">
        <v>0.0</v>
      </c>
      <c r="O436" s="7">
        <v>0.0</v>
      </c>
    </row>
    <row r="437" outlineLevel="1">
      <c r="B437" s="0" t="inlineStr">
        <is>
          <t xml:space="preserve">2026-03-31</t>
        </is>
      </c>
      <c r="C437" s="0" t="inlineStr">
        <is>
          <t xml:space="preserve">N00024-26-C-2443</t>
        </is>
      </c>
      <c r="D437" s="0" t="inlineStr">
        <is>
          <t xml:space="preserve">non_sub</t>
        </is>
      </c>
      <c r="E437" s="0" t="inlineStr">
        <is>
          <t xml:space="preserve">sustainment_maintenance</t>
        </is>
      </c>
      <c r="F437" s="0" t="inlineStr">
        <is>
          <t xml:space="preserve">EXCLUDE_REVIEW</t>
        </is>
      </c>
      <c r="G437" s="0" t="inlineStr">
        <is>
          <t xml:space="preserve">BC</t>
        </is>
      </c>
      <c r="H437" s="5">
        <v>0</v>
      </c>
      <c r="I437" s="5">
        <v>0</v>
      </c>
      <c r="J437" s="5">
        <v>1</v>
      </c>
      <c r="K437" s="5">
        <v>17.244674</v>
      </c>
      <c r="L437" s="7">
        <v>0.0</v>
      </c>
      <c r="M437" s="7">
        <v>0.0</v>
      </c>
      <c r="N437" s="7">
        <v>0.0</v>
      </c>
      <c r="O437" s="7">
        <v>0.0</v>
      </c>
    </row>
    <row r="438" outlineLevel="1">
      <c r="B438" s="0" t="inlineStr">
        <is>
          <t xml:space="preserve">2022-08-18</t>
        </is>
      </c>
      <c r="C438" s="0" t="inlineStr">
        <is>
          <t xml:space="preserve">-</t>
        </is>
      </c>
      <c r="D438" s="0" t="inlineStr">
        <is>
          <t xml:space="preserve">non_sub</t>
        </is>
      </c>
      <c r="E438" s="0" t="inlineStr">
        <is>
          <t xml:space="preserve">sustainment_maintenance</t>
        </is>
      </c>
      <c r="F438" s="0" t="inlineStr">
        <is>
          <t xml:space="preserve">EXCLUDE_REVIEW</t>
        </is>
      </c>
      <c r="G438" s="0" t="inlineStr">
        <is>
          <t xml:space="preserve">BC</t>
        </is>
      </c>
      <c r="H438" s="5">
        <v>0</v>
      </c>
      <c r="I438" s="5">
        <v>0</v>
      </c>
      <c r="J438" s="5">
        <v>1</v>
      </c>
      <c r="K438" s="5">
        <v>17.153775</v>
      </c>
      <c r="L438" s="7">
        <v>0.0</v>
      </c>
      <c r="M438" s="7">
        <v>0.0</v>
      </c>
      <c r="N438" s="7">
        <v>0.0</v>
      </c>
      <c r="O438" s="7">
        <v>0.0</v>
      </c>
    </row>
    <row r="439" outlineLevel="1">
      <c r="B439" s="0" t="inlineStr">
        <is>
          <t xml:space="preserve">2024-03-08</t>
        </is>
      </c>
      <c r="C439" s="0" t="inlineStr">
        <is>
          <t xml:space="preserve">N00024-23-F-6313</t>
        </is>
      </c>
      <c r="D439" s="0" t="inlineStr">
        <is>
          <t xml:space="preserve">non_sub</t>
        </is>
      </c>
      <c r="E439" s="0" t="inlineStr">
        <is>
          <t xml:space="preserve">sustainment_maintenance</t>
        </is>
      </c>
      <c r="F439" s="0" t="inlineStr">
        <is>
          <t xml:space="preserve">EXCLUDE_REVIEW</t>
        </is>
      </c>
      <c r="G439" s="0" t="inlineStr">
        <is>
          <t xml:space="preserve">BC</t>
        </is>
      </c>
      <c r="H439" s="5">
        <v>0</v>
      </c>
      <c r="I439" s="5">
        <v>0</v>
      </c>
      <c r="J439" s="5">
        <v>1</v>
      </c>
      <c r="K439" s="5">
        <v>17.105151</v>
      </c>
      <c r="L439" s="7">
        <v>0.0</v>
      </c>
      <c r="M439" s="7">
        <v>0.04</v>
      </c>
      <c r="N439" s="7">
        <v>0.96</v>
      </c>
      <c r="O439" s="7">
        <v>0.0</v>
      </c>
    </row>
    <row r="440" outlineLevel="1">
      <c r="B440" s="0" t="inlineStr">
        <is>
          <t xml:space="preserve">2022-10-27</t>
        </is>
      </c>
      <c r="C440" s="0" t="inlineStr">
        <is>
          <t xml:space="preserve">-</t>
        </is>
      </c>
      <c r="D440" s="0" t="inlineStr">
        <is>
          <t xml:space="preserve">sub_other</t>
        </is>
      </c>
      <c r="E440" s="0" t="inlineStr">
        <is>
          <t xml:space="preserve">construction</t>
        </is>
      </c>
      <c r="F440" s="0" t="inlineStr">
        <is>
          <t xml:space="preserve">INCLUDE_BC</t>
        </is>
      </c>
      <c r="G440" s="0" t="inlineStr">
        <is>
          <t xml:space="preserve">BC</t>
        </is>
      </c>
      <c r="H440" s="5">
        <v>0</v>
      </c>
      <c r="I440" s="5">
        <v>0</v>
      </c>
      <c r="J440" s="5">
        <v>1</v>
      </c>
      <c r="K440" s="5">
        <v>16.960148</v>
      </c>
      <c r="L440" s="7">
        <v>0.0</v>
      </c>
      <c r="M440" s="7">
        <v>0.0</v>
      </c>
      <c r="N440" s="7">
        <v>0.0</v>
      </c>
      <c r="O440" s="7">
        <v>0.0</v>
      </c>
    </row>
    <row r="441" outlineLevel="1">
      <c r="B441" s="0" t="inlineStr">
        <is>
          <t xml:space="preserve">2026-03-19</t>
        </is>
      </c>
      <c r="C441" s="0" t="inlineStr">
        <is>
          <t xml:space="preserve">N00024-23-C-5123</t>
        </is>
      </c>
      <c r="D441" s="0" t="inlineStr">
        <is>
          <t xml:space="preserve">non_sub</t>
        </is>
      </c>
      <c r="E441" s="0" t="inlineStr">
        <is>
          <t xml:space="preserve">other</t>
        </is>
      </c>
      <c r="F441" s="0" t="inlineStr">
        <is>
          <t xml:space="preserve">EXCLUDE_REVIEW</t>
        </is>
      </c>
      <c r="G441" s="0" t="inlineStr">
        <is>
          <t xml:space="preserve">BC</t>
        </is>
      </c>
      <c r="H441" s="5">
        <v>0</v>
      </c>
      <c r="I441" s="5">
        <v>0</v>
      </c>
      <c r="J441" s="5">
        <v>1</v>
      </c>
      <c r="K441" s="5">
        <v>16.921471</v>
      </c>
      <c r="L441" s="7">
        <v>0.0</v>
      </c>
      <c r="M441" s="7">
        <v>0.0</v>
      </c>
      <c r="N441" s="7">
        <v>0.0</v>
      </c>
      <c r="O441" s="7">
        <v>0.0</v>
      </c>
    </row>
    <row r="442" outlineLevel="1">
      <c r="B442" s="0" t="inlineStr">
        <is>
          <t xml:space="preserve">2026-01-08</t>
        </is>
      </c>
      <c r="C442" s="0" t="inlineStr">
        <is>
          <t xml:space="preserve">N00024-23-C-5408</t>
        </is>
      </c>
      <c r="D442" s="0" t="inlineStr">
        <is>
          <t xml:space="preserve">non_sub</t>
        </is>
      </c>
      <c r="E442" s="0" t="inlineStr">
        <is>
          <t xml:space="preserve">other</t>
        </is>
      </c>
      <c r="F442" s="0" t="inlineStr">
        <is>
          <t xml:space="preserve">EXCLUDE_REVIEW</t>
        </is>
      </c>
      <c r="G442" s="0" t="inlineStr">
        <is>
          <t xml:space="preserve">BC</t>
        </is>
      </c>
      <c r="H442" s="5">
        <v>0</v>
      </c>
      <c r="I442" s="5">
        <v>0</v>
      </c>
      <c r="J442" s="5">
        <v>1</v>
      </c>
      <c r="K442" s="5">
        <v>16.9</v>
      </c>
      <c r="L442" s="7">
        <v>0.0</v>
      </c>
      <c r="M442" s="7">
        <v>0.0</v>
      </c>
      <c r="N442" s="7">
        <v>0.94</v>
      </c>
      <c r="O442" s="7">
        <v>0.0</v>
      </c>
    </row>
    <row r="443" outlineLevel="1">
      <c r="B443" s="0" t="inlineStr">
        <is>
          <t xml:space="preserve">2023-06-16</t>
        </is>
      </c>
      <c r="C443" s="0" t="inlineStr">
        <is>
          <t xml:space="preserve">N00024-23-C-4103</t>
        </is>
      </c>
      <c r="D443" s="0" t="inlineStr">
        <is>
          <t xml:space="preserve">non_sub</t>
        </is>
      </c>
      <c r="E443" s="0" t="inlineStr">
        <is>
          <t xml:space="preserve">construction</t>
        </is>
      </c>
      <c r="F443" s="0" t="inlineStr">
        <is>
          <t xml:space="preserve">INCLUDE_BC</t>
        </is>
      </c>
      <c r="G443" s="0" t="inlineStr">
        <is>
          <t xml:space="preserve">BC</t>
        </is>
      </c>
      <c r="H443" s="5">
        <v>0</v>
      </c>
      <c r="I443" s="5">
        <v>0</v>
      </c>
      <c r="J443" s="5">
        <v>1</v>
      </c>
      <c r="K443" s="5">
        <v>16.848306</v>
      </c>
      <c r="L443" s="7">
        <v>0.0</v>
      </c>
      <c r="M443" s="7">
        <v>0.0</v>
      </c>
      <c r="N443" s="7">
        <v>0.86</v>
      </c>
      <c r="O443" s="7">
        <v>0.0</v>
      </c>
    </row>
    <row r="444" outlineLevel="1">
      <c r="B444" s="0" t="inlineStr">
        <is>
          <t xml:space="preserve">2025-08-22</t>
        </is>
      </c>
      <c r="C444" s="0" t="inlineStr">
        <is>
          <t xml:space="preserve">N55236-25-F-9982</t>
        </is>
      </c>
      <c r="D444" s="0" t="inlineStr">
        <is>
          <t xml:space="preserve">non_sub</t>
        </is>
      </c>
      <c r="E444" s="0" t="inlineStr">
        <is>
          <t xml:space="preserve">repair_overhaul</t>
        </is>
      </c>
      <c r="F444" s="0" t="inlineStr">
        <is>
          <t xml:space="preserve">EXCLUDE_REVIEW</t>
        </is>
      </c>
      <c r="G444" s="0" t="inlineStr">
        <is>
          <t xml:space="preserve">BC</t>
        </is>
      </c>
      <c r="H444" s="5">
        <v>0</v>
      </c>
      <c r="I444" s="5">
        <v>0</v>
      </c>
      <c r="J444" s="5">
        <v>1</v>
      </c>
      <c r="K444" s="5">
        <v>16.813248</v>
      </c>
      <c r="L444" s="7">
        <v>0.0</v>
      </c>
      <c r="M444" s="7">
        <v>0.0</v>
      </c>
      <c r="N444" s="7">
        <v>1.0</v>
      </c>
      <c r="O444" s="7">
        <v>0.0</v>
      </c>
    </row>
    <row r="445" outlineLevel="1">
      <c r="B445" s="0" t="inlineStr">
        <is>
          <t xml:space="preserve">2023-01-31</t>
        </is>
      </c>
      <c r="C445" s="0" t="inlineStr">
        <is>
          <t xml:space="preserve">-</t>
        </is>
      </c>
      <c r="D445" s="0" t="inlineStr">
        <is>
          <t xml:space="preserve">sub_other</t>
        </is>
      </c>
      <c r="E445" s="0" t="inlineStr">
        <is>
          <t xml:space="preserve">engineering</t>
        </is>
      </c>
      <c r="F445" s="0" t="inlineStr">
        <is>
          <t xml:space="preserve">EXCLUDE_REVIEW</t>
        </is>
      </c>
      <c r="G445" s="0" t="inlineStr">
        <is>
          <t xml:space="preserve">BC</t>
        </is>
      </c>
      <c r="H445" s="5">
        <v>0</v>
      </c>
      <c r="I445" s="5">
        <v>0</v>
      </c>
      <c r="J445" s="5">
        <v>1</v>
      </c>
      <c r="K445" s="5">
        <v>16.439703</v>
      </c>
      <c r="L445" s="7">
        <v>0.25</v>
      </c>
      <c r="M445" s="7">
        <v>0.0</v>
      </c>
      <c r="N445" s="7">
        <v>0.75</v>
      </c>
      <c r="O445" s="7">
        <v>0.0</v>
      </c>
    </row>
    <row r="446" outlineLevel="1">
      <c r="B446" s="0" t="inlineStr">
        <is>
          <t xml:space="preserve">2024-08-30</t>
        </is>
      </c>
      <c r="C446" s="0" t="inlineStr">
        <is>
          <t xml:space="preserve">-</t>
        </is>
      </c>
      <c r="D446" s="0" t="inlineStr">
        <is>
          <t xml:space="preserve">va</t>
        </is>
      </c>
      <c r="E446" s="0" t="inlineStr">
        <is>
          <t xml:space="preserve">other</t>
        </is>
      </c>
      <c r="F446" s="0" t="inlineStr">
        <is>
          <t xml:space="preserve">EXCLUDE_REVIEW</t>
        </is>
      </c>
      <c r="G446" s="0" t="inlineStr">
        <is>
          <t xml:space="preserve">BC</t>
        </is>
      </c>
      <c r="H446" s="5">
        <v>0</v>
      </c>
      <c r="I446" s="5">
        <v>0</v>
      </c>
      <c r="J446" s="5">
        <v>1</v>
      </c>
      <c r="K446" s="5">
        <v>16.38703</v>
      </c>
      <c r="L446" s="7">
        <v>0.0</v>
      </c>
      <c r="M446" s="7">
        <v>0.0</v>
      </c>
      <c r="N446" s="7">
        <v>0.0</v>
      </c>
      <c r="O446" s="7">
        <v>0.0</v>
      </c>
    </row>
    <row r="447" outlineLevel="1">
      <c r="B447" s="0" t="inlineStr">
        <is>
          <t xml:space="preserve">2023-03-31</t>
        </is>
      </c>
      <c r="C447" s="0" t="inlineStr">
        <is>
          <t xml:space="preserve">N00024-23-F-4125</t>
        </is>
      </c>
      <c r="D447" s="0" t="inlineStr">
        <is>
          <t xml:space="preserve">non_sub</t>
        </is>
      </c>
      <c r="E447" s="0" t="inlineStr">
        <is>
          <t xml:space="preserve">other</t>
        </is>
      </c>
      <c r="F447" s="0" t="inlineStr">
        <is>
          <t xml:space="preserve">EXCLUDE_REVIEW</t>
        </is>
      </c>
      <c r="G447" s="0" t="inlineStr">
        <is>
          <t xml:space="preserve">BC</t>
        </is>
      </c>
      <c r="H447" s="5">
        <v>0</v>
      </c>
      <c r="I447" s="5">
        <v>0</v>
      </c>
      <c r="J447" s="5">
        <v>1</v>
      </c>
      <c r="K447" s="5">
        <v>16.370119</v>
      </c>
      <c r="L447" s="7">
        <v>0.0</v>
      </c>
      <c r="M447" s="7">
        <v>0.0</v>
      </c>
      <c r="N447" s="7">
        <v>0.0</v>
      </c>
      <c r="O447" s="7">
        <v>0.0</v>
      </c>
    </row>
    <row r="448" outlineLevel="1">
      <c r="B448" s="0" t="inlineStr">
        <is>
          <t xml:space="preserve">2024-09-27</t>
        </is>
      </c>
      <c r="C448" s="0" t="inlineStr">
        <is>
          <t xml:space="preserve">-</t>
        </is>
      </c>
      <c r="D448" s="0" t="inlineStr">
        <is>
          <t xml:space="preserve">non_sub</t>
        </is>
      </c>
      <c r="E448" s="0" t="inlineStr">
        <is>
          <t xml:space="preserve">other</t>
        </is>
      </c>
      <c r="F448" s="0" t="inlineStr">
        <is>
          <t xml:space="preserve">EXCLUDE_REVIEW</t>
        </is>
      </c>
      <c r="G448" s="0" t="inlineStr">
        <is>
          <t xml:space="preserve">BC</t>
        </is>
      </c>
      <c r="H448" s="5">
        <v>0</v>
      </c>
      <c r="I448" s="5">
        <v>0</v>
      </c>
      <c r="J448" s="5">
        <v>1</v>
      </c>
      <c r="K448" s="5">
        <v>16.199197</v>
      </c>
      <c r="L448" s="7">
        <v>0.0</v>
      </c>
      <c r="M448" s="7">
        <v>0.0</v>
      </c>
      <c r="N448" s="7">
        <v>0.93</v>
      </c>
      <c r="O448" s="7">
        <v>0.0</v>
      </c>
    </row>
    <row r="449" outlineLevel="1">
      <c r="B449" s="0" t="inlineStr">
        <is>
          <t xml:space="preserve">2025-08-11</t>
        </is>
      </c>
      <c r="C449" s="0" t="inlineStr">
        <is>
          <t xml:space="preserve">N00024-23-C-5117</t>
        </is>
      </c>
      <c r="D449" s="0" t="inlineStr">
        <is>
          <t xml:space="preserve">non_sub</t>
        </is>
      </c>
      <c r="E449" s="0" t="inlineStr">
        <is>
          <t xml:space="preserve">other</t>
        </is>
      </c>
      <c r="F449" s="0" t="inlineStr">
        <is>
          <t xml:space="preserve">EXCLUDE_REVIEW</t>
        </is>
      </c>
      <c r="G449" s="0" t="inlineStr">
        <is>
          <t xml:space="preserve">BC</t>
        </is>
      </c>
      <c r="H449" s="5">
        <v>0</v>
      </c>
      <c r="I449" s="5">
        <v>0</v>
      </c>
      <c r="J449" s="5">
        <v>1</v>
      </c>
      <c r="K449" s="5">
        <v>16.182918</v>
      </c>
      <c r="L449" s="7">
        <v>0.0</v>
      </c>
      <c r="M449" s="7">
        <v>0.0</v>
      </c>
      <c r="N449" s="7">
        <v>1.0</v>
      </c>
      <c r="O449" s="7">
        <v>0.0</v>
      </c>
    </row>
    <row r="450" outlineLevel="1">
      <c r="B450" s="0" t="inlineStr">
        <is>
          <t xml:space="preserve">2023-04-21</t>
        </is>
      </c>
      <c r="C450" s="0" t="inlineStr">
        <is>
          <t xml:space="preserve">N00024-23-C-5206</t>
        </is>
      </c>
      <c r="D450" s="0" t="inlineStr">
        <is>
          <t xml:space="preserve">non_sub</t>
        </is>
      </c>
      <c r="E450" s="0" t="inlineStr">
        <is>
          <t xml:space="preserve">other</t>
        </is>
      </c>
      <c r="F450" s="0" t="inlineStr">
        <is>
          <t xml:space="preserve">EXCLUDE_REVIEW</t>
        </is>
      </c>
      <c r="G450" s="0" t="inlineStr">
        <is>
          <t xml:space="preserve">BC</t>
        </is>
      </c>
      <c r="H450" s="5">
        <v>0</v>
      </c>
      <c r="I450" s="5">
        <v>0</v>
      </c>
      <c r="J450" s="5">
        <v>1</v>
      </c>
      <c r="K450" s="5">
        <v>16.035924</v>
      </c>
      <c r="L450" s="7">
        <v>0.0</v>
      </c>
      <c r="M450" s="7">
        <v>0.0</v>
      </c>
      <c r="N450" s="7">
        <v>0.0</v>
      </c>
      <c r="O450" s="7">
        <v>0.0</v>
      </c>
    </row>
    <row r="451" outlineLevel="1">
      <c r="B451" s="0" t="inlineStr">
        <is>
          <t xml:space="preserve">2025-05-21</t>
        </is>
      </c>
      <c r="C451" s="0" t="inlineStr">
        <is>
          <t xml:space="preserve">N00024-15-C-2114</t>
        </is>
      </c>
      <c r="D451" s="0" t="inlineStr">
        <is>
          <t xml:space="preserve">non_sub</t>
        </is>
      </c>
      <c r="E451" s="0" t="inlineStr">
        <is>
          <t xml:space="preserve">other</t>
        </is>
      </c>
      <c r="F451" s="0" t="inlineStr">
        <is>
          <t xml:space="preserve">EXCLUDE_REVIEW</t>
        </is>
      </c>
      <c r="G451" s="0" t="inlineStr">
        <is>
          <t xml:space="preserve">BC</t>
        </is>
      </c>
      <c r="H451" s="5">
        <v>0</v>
      </c>
      <c r="I451" s="5">
        <v>0</v>
      </c>
      <c r="J451" s="5">
        <v>1</v>
      </c>
      <c r="K451" s="5">
        <v>16.0</v>
      </c>
      <c r="L451" s="7">
        <v>0.0</v>
      </c>
      <c r="M451" s="7">
        <v>0.0</v>
      </c>
      <c r="N451" s="7">
        <v>0.0</v>
      </c>
      <c r="O451" s="7">
        <v>0.0</v>
      </c>
    </row>
    <row r="452" outlineLevel="1">
      <c r="B452" s="0" t="inlineStr">
        <is>
          <t xml:space="preserve">2025-07-30</t>
        </is>
      </c>
      <c r="C452" s="0" t="inlineStr">
        <is>
          <t xml:space="preserve">-</t>
        </is>
      </c>
      <c r="D452" s="0" t="inlineStr">
        <is>
          <t xml:space="preserve">non_sub</t>
        </is>
      </c>
      <c r="E452" s="0" t="inlineStr">
        <is>
          <t xml:space="preserve">other</t>
        </is>
      </c>
      <c r="F452" s="0" t="inlineStr">
        <is>
          <t xml:space="preserve">EXCLUDE_REVIEW</t>
        </is>
      </c>
      <c r="G452" s="0" t="inlineStr">
        <is>
          <t xml:space="preserve">BC</t>
        </is>
      </c>
      <c r="H452" s="5">
        <v>0</v>
      </c>
      <c r="I452" s="5">
        <v>0</v>
      </c>
      <c r="J452" s="5">
        <v>1</v>
      </c>
      <c r="K452" s="5">
        <v>16.0</v>
      </c>
      <c r="L452" s="7">
        <v>0.0</v>
      </c>
      <c r="M452" s="7">
        <v>0.0</v>
      </c>
      <c r="N452" s="7">
        <v>1.0</v>
      </c>
      <c r="O452" s="7">
        <v>0.0</v>
      </c>
    </row>
    <row r="453" outlineLevel="1">
      <c r="B453" s="0" t="inlineStr">
        <is>
          <t xml:space="preserve">2024-09-27</t>
        </is>
      </c>
      <c r="C453" s="0" t="inlineStr">
        <is>
          <t xml:space="preserve">N00024-24-C-6315</t>
        </is>
      </c>
      <c r="D453" s="0" t="inlineStr">
        <is>
          <t xml:space="preserve">sub_other</t>
        </is>
      </c>
      <c r="E453" s="0" t="inlineStr">
        <is>
          <t xml:space="preserve">other</t>
        </is>
      </c>
      <c r="F453" s="0" t="inlineStr">
        <is>
          <t xml:space="preserve">EXCLUDE_REVIEW</t>
        </is>
      </c>
      <c r="G453" s="0" t="inlineStr">
        <is>
          <t xml:space="preserve">BC</t>
        </is>
      </c>
      <c r="H453" s="5">
        <v>0</v>
      </c>
      <c r="I453" s="5">
        <v>0</v>
      </c>
      <c r="J453" s="5">
        <v>1</v>
      </c>
      <c r="K453" s="5">
        <v>15.973912</v>
      </c>
      <c r="L453" s="7">
        <v>0.0</v>
      </c>
      <c r="M453" s="7">
        <v>0.0</v>
      </c>
      <c r="N453" s="7">
        <v>1.0</v>
      </c>
      <c r="O453" s="7">
        <v>0.0</v>
      </c>
    </row>
    <row r="454" outlineLevel="1">
      <c r="B454" s="0" t="inlineStr">
        <is>
          <t xml:space="preserve">2022-11-23</t>
        </is>
      </c>
      <c r="C454" s="0" t="inlineStr">
        <is>
          <t xml:space="preserve">-</t>
        </is>
      </c>
      <c r="D454" s="0" t="inlineStr">
        <is>
          <t xml:space="preserve">non_sub</t>
        </is>
      </c>
      <c r="E454" s="0" t="inlineStr">
        <is>
          <t xml:space="preserve">other</t>
        </is>
      </c>
      <c r="F454" s="0" t="inlineStr">
        <is>
          <t xml:space="preserve">EXCLUDE_REVIEW</t>
        </is>
      </c>
      <c r="G454" s="0" t="inlineStr">
        <is>
          <t xml:space="preserve">BC</t>
        </is>
      </c>
      <c r="H454" s="5">
        <v>0</v>
      </c>
      <c r="I454" s="5">
        <v>0</v>
      </c>
      <c r="J454" s="5">
        <v>1</v>
      </c>
      <c r="K454" s="5">
        <v>15.935955</v>
      </c>
      <c r="L454" s="7">
        <v>0.0</v>
      </c>
      <c r="M454" s="7">
        <v>0.0</v>
      </c>
      <c r="N454" s="7">
        <v>0.98</v>
      </c>
      <c r="O454" s="7">
        <v>0.0</v>
      </c>
    </row>
    <row r="455" outlineLevel="1">
      <c r="B455" s="0" t="inlineStr">
        <is>
          <t xml:space="preserve">2024-10-24</t>
        </is>
      </c>
      <c r="C455" s="0" t="inlineStr">
        <is>
          <t xml:space="preserve">N00024-23-C-5401</t>
        </is>
      </c>
      <c r="D455" s="0" t="inlineStr">
        <is>
          <t xml:space="preserve">non_sub</t>
        </is>
      </c>
      <c r="E455" s="0" t="inlineStr">
        <is>
          <t xml:space="preserve">lead_yard</t>
        </is>
      </c>
      <c r="F455" s="0" t="inlineStr">
        <is>
          <t xml:space="preserve">EXCLUDE_REVIEW</t>
        </is>
      </c>
      <c r="G455" s="0" t="inlineStr">
        <is>
          <t xml:space="preserve">BC</t>
        </is>
      </c>
      <c r="H455" s="5">
        <v>0</v>
      </c>
      <c r="I455" s="5">
        <v>0</v>
      </c>
      <c r="J455" s="5">
        <v>1</v>
      </c>
      <c r="K455" s="5">
        <v>15.90269</v>
      </c>
      <c r="L455" s="7">
        <v>0.0</v>
      </c>
      <c r="M455" s="7">
        <v>0.0</v>
      </c>
      <c r="N455" s="7">
        <v>0.0</v>
      </c>
      <c r="O455" s="7">
        <v>0.0</v>
      </c>
    </row>
    <row r="456" outlineLevel="1">
      <c r="B456" s="0" t="inlineStr">
        <is>
          <t xml:space="preserve">2024-03-08</t>
        </is>
      </c>
      <c r="C456" s="0" t="inlineStr">
        <is>
          <t xml:space="preserve">N00024-19-C-4447</t>
        </is>
      </c>
      <c r="D456" s="0" t="inlineStr">
        <is>
          <t xml:space="preserve">non_sub</t>
        </is>
      </c>
      <c r="E456" s="0" t="inlineStr">
        <is>
          <t xml:space="preserve">sustainment_maintenance</t>
        </is>
      </c>
      <c r="F456" s="0" t="inlineStr">
        <is>
          <t xml:space="preserve">EXCLUDE_REVIEW</t>
        </is>
      </c>
      <c r="G456" s="0" t="inlineStr">
        <is>
          <t xml:space="preserve">BC</t>
        </is>
      </c>
      <c r="H456" s="5">
        <v>0</v>
      </c>
      <c r="I456" s="5">
        <v>0</v>
      </c>
      <c r="J456" s="5">
        <v>1</v>
      </c>
      <c r="K456" s="5">
        <v>15.845754</v>
      </c>
      <c r="L456" s="7">
        <v>0.0</v>
      </c>
      <c r="M456" s="7">
        <v>0.0</v>
      </c>
      <c r="N456" s="7">
        <v>0.0</v>
      </c>
      <c r="O456" s="7">
        <v>0.0</v>
      </c>
    </row>
    <row r="457" outlineLevel="1">
      <c r="B457" s="0" t="inlineStr">
        <is>
          <t xml:space="preserve">2023-11-03</t>
        </is>
      </c>
      <c r="C457" s="0" t="inlineStr">
        <is>
          <t xml:space="preserve">-</t>
        </is>
      </c>
      <c r="D457" s="0" t="inlineStr">
        <is>
          <t xml:space="preserve">sub_other</t>
        </is>
      </c>
      <c r="E457" s="0" t="inlineStr">
        <is>
          <t xml:space="preserve">design</t>
        </is>
      </c>
      <c r="F457" s="0" t="inlineStr">
        <is>
          <t xml:space="preserve">EXCLUDE_REVIEW</t>
        </is>
      </c>
      <c r="G457" s="0" t="inlineStr">
        <is>
          <t xml:space="preserve">BC</t>
        </is>
      </c>
      <c r="H457" s="5">
        <v>0</v>
      </c>
      <c r="I457" s="5">
        <v>0</v>
      </c>
      <c r="J457" s="5">
        <v>1</v>
      </c>
      <c r="K457" s="5">
        <v>15.823616</v>
      </c>
      <c r="L457" s="7">
        <v>0.96</v>
      </c>
      <c r="M457" s="7">
        <v>0.0</v>
      </c>
      <c r="N457" s="7">
        <v>0.04</v>
      </c>
      <c r="O457" s="7">
        <v>0.0</v>
      </c>
    </row>
    <row r="458" outlineLevel="1">
      <c r="B458" s="0" t="inlineStr">
        <is>
          <t xml:space="preserve">2023-03-31</t>
        </is>
      </c>
      <c r="C458" s="0" t="inlineStr">
        <is>
          <t xml:space="preserve">-</t>
        </is>
      </c>
      <c r="D458" s="0" t="inlineStr">
        <is>
          <t xml:space="preserve">sub_other</t>
        </is>
      </c>
      <c r="E458" s="0" t="inlineStr">
        <is>
          <t xml:space="preserve">engineering</t>
        </is>
      </c>
      <c r="F458" s="0" t="inlineStr">
        <is>
          <t xml:space="preserve">EXCLUDE_REVIEW</t>
        </is>
      </c>
      <c r="G458" s="0" t="inlineStr">
        <is>
          <t xml:space="preserve">BC</t>
        </is>
      </c>
      <c r="H458" s="5">
        <v>0</v>
      </c>
      <c r="I458" s="5">
        <v>0</v>
      </c>
      <c r="J458" s="5">
        <v>1</v>
      </c>
      <c r="K458" s="5">
        <v>15.7232</v>
      </c>
      <c r="L458" s="7">
        <v>0.0</v>
      </c>
      <c r="M458" s="7">
        <v>0.0</v>
      </c>
      <c r="N458" s="7">
        <v>0.0</v>
      </c>
      <c r="O458" s="7">
        <v>0.0</v>
      </c>
    </row>
    <row r="459" outlineLevel="1">
      <c r="B459" s="0" t="inlineStr">
        <is>
          <t xml:space="preserve">2023-08-14</t>
        </is>
      </c>
      <c r="C459" s="0" t="inlineStr">
        <is>
          <t xml:space="preserve">N00024-19-C-2125</t>
        </is>
      </c>
      <c r="D459" s="0" t="inlineStr">
        <is>
          <t xml:space="preserve">sub_other</t>
        </is>
      </c>
      <c r="E459" s="0" t="inlineStr">
        <is>
          <t xml:space="preserve">other</t>
        </is>
      </c>
      <c r="F459" s="0" t="inlineStr">
        <is>
          <t xml:space="preserve">EXCLUDE_REVIEW</t>
        </is>
      </c>
      <c r="G459" s="0" t="inlineStr">
        <is>
          <t xml:space="preserve">BC</t>
        </is>
      </c>
      <c r="H459" s="5">
        <v>0</v>
      </c>
      <c r="I459" s="5">
        <v>0</v>
      </c>
      <c r="J459" s="5">
        <v>1</v>
      </c>
      <c r="K459" s="5">
        <v>15.67</v>
      </c>
      <c r="L459" s="7">
        <v>1.0</v>
      </c>
      <c r="M459" s="7">
        <v>0.0</v>
      </c>
      <c r="N459" s="7">
        <v>0.0</v>
      </c>
      <c r="O459" s="7">
        <v>0.0</v>
      </c>
    </row>
    <row r="460" outlineLevel="1">
      <c r="B460" s="0" t="inlineStr">
        <is>
          <t xml:space="preserve">2025-08-28</t>
        </is>
      </c>
      <c r="C460" s="0" t="inlineStr">
        <is>
          <t xml:space="preserve">-</t>
        </is>
      </c>
      <c r="D460" s="0" t="inlineStr">
        <is>
          <t xml:space="preserve">non_sub</t>
        </is>
      </c>
      <c r="E460" s="0" t="inlineStr">
        <is>
          <t xml:space="preserve">other</t>
        </is>
      </c>
      <c r="F460" s="0" t="inlineStr">
        <is>
          <t xml:space="preserve">EXCLUDE_REVIEW</t>
        </is>
      </c>
      <c r="G460" s="0" t="inlineStr">
        <is>
          <t xml:space="preserve">BC</t>
        </is>
      </c>
      <c r="H460" s="5">
        <v>0</v>
      </c>
      <c r="I460" s="5">
        <v>0</v>
      </c>
      <c r="J460" s="5">
        <v>1</v>
      </c>
      <c r="K460" s="5">
        <v>15.649047</v>
      </c>
      <c r="L460" s="7">
        <v>0.0</v>
      </c>
      <c r="M460" s="7">
        <v>0.0</v>
      </c>
      <c r="N460" s="7">
        <v>1.0</v>
      </c>
      <c r="O460" s="7">
        <v>0.0</v>
      </c>
    </row>
    <row r="461" outlineLevel="1">
      <c r="B461" s="0" t="inlineStr">
        <is>
          <t xml:space="preserve">2024-03-08</t>
        </is>
      </c>
      <c r="C461" s="0" t="inlineStr">
        <is>
          <t xml:space="preserve">N00024-18-C-6258</t>
        </is>
      </c>
      <c r="D461" s="0" t="inlineStr">
        <is>
          <t xml:space="preserve">sub_other</t>
        </is>
      </c>
      <c r="E461" s="0" t="inlineStr">
        <is>
          <t xml:space="preserve">engineering</t>
        </is>
      </c>
      <c r="F461" s="0" t="inlineStr">
        <is>
          <t xml:space="preserve">EXCLUDE_REVIEW</t>
        </is>
      </c>
      <c r="G461" s="0" t="inlineStr">
        <is>
          <t xml:space="preserve">BC</t>
        </is>
      </c>
      <c r="H461" s="5">
        <v>0</v>
      </c>
      <c r="I461" s="5">
        <v>0</v>
      </c>
      <c r="J461" s="5">
        <v>1</v>
      </c>
      <c r="K461" s="5">
        <v>15.636492</v>
      </c>
      <c r="L461" s="7">
        <v>0.0</v>
      </c>
      <c r="M461" s="7">
        <v>0.0</v>
      </c>
      <c r="N461" s="7">
        <v>1.0</v>
      </c>
      <c r="O461" s="7">
        <v>0.0</v>
      </c>
    </row>
    <row r="462" outlineLevel="1">
      <c r="B462" s="0" t="inlineStr">
        <is>
          <t xml:space="preserve">2023-04-18</t>
        </is>
      </c>
      <c r="C462" s="0" t="inlineStr">
        <is>
          <t xml:space="preserve">-</t>
        </is>
      </c>
      <c r="D462" s="0" t="inlineStr">
        <is>
          <t xml:space="preserve">sub_other</t>
        </is>
      </c>
      <c r="E462" s="0" t="inlineStr">
        <is>
          <t xml:space="preserve">other</t>
        </is>
      </c>
      <c r="F462" s="0" t="inlineStr">
        <is>
          <t xml:space="preserve">EXCLUDE_REVIEW</t>
        </is>
      </c>
      <c r="G462" s="0" t="inlineStr">
        <is>
          <t xml:space="preserve">BC</t>
        </is>
      </c>
      <c r="H462" s="5">
        <v>0</v>
      </c>
      <c r="I462" s="5">
        <v>0</v>
      </c>
      <c r="J462" s="5">
        <v>1</v>
      </c>
      <c r="K462" s="5">
        <v>15.590113</v>
      </c>
      <c r="L462" s="7">
        <v>0.0</v>
      </c>
      <c r="M462" s="7">
        <v>0.0</v>
      </c>
      <c r="N462" s="7">
        <v>1.0</v>
      </c>
      <c r="O462" s="7">
        <v>0.0</v>
      </c>
    </row>
    <row r="463" outlineLevel="1">
      <c r="B463" s="0" t="inlineStr">
        <is>
          <t xml:space="preserve">2025-07-31</t>
        </is>
      </c>
      <c r="C463" s="0" t="inlineStr">
        <is>
          <t xml:space="preserve">N00024-16-C-6239</t>
        </is>
      </c>
      <c r="D463" s="0" t="inlineStr">
        <is>
          <t xml:space="preserve">non_sub</t>
        </is>
      </c>
      <c r="E463" s="0" t="inlineStr">
        <is>
          <t xml:space="preserve">other</t>
        </is>
      </c>
      <c r="F463" s="0" t="inlineStr">
        <is>
          <t xml:space="preserve">EXCLUDE_REVIEW</t>
        </is>
      </c>
      <c r="G463" s="0" t="inlineStr">
        <is>
          <t xml:space="preserve">BC</t>
        </is>
      </c>
      <c r="H463" s="5">
        <v>0</v>
      </c>
      <c r="I463" s="5">
        <v>0</v>
      </c>
      <c r="J463" s="5">
        <v>1</v>
      </c>
      <c r="K463" s="5">
        <v>15.363176</v>
      </c>
      <c r="L463" s="7">
        <v>0.0</v>
      </c>
      <c r="M463" s="7">
        <v>0.0</v>
      </c>
      <c r="N463" s="7">
        <v>1.0</v>
      </c>
      <c r="O463" s="7">
        <v>0.0</v>
      </c>
    </row>
    <row r="464" outlineLevel="1">
      <c r="B464" s="0" t="inlineStr">
        <is>
          <t xml:space="preserve">2025-08-19</t>
        </is>
      </c>
      <c r="C464" s="0" t="inlineStr">
        <is>
          <t xml:space="preserve">N00024-25-C-6260</t>
        </is>
      </c>
      <c r="D464" s="0" t="inlineStr">
        <is>
          <t xml:space="preserve">non_sub</t>
        </is>
      </c>
      <c r="E464" s="0" t="inlineStr">
        <is>
          <t xml:space="preserve">other</t>
        </is>
      </c>
      <c r="F464" s="0" t="inlineStr">
        <is>
          <t xml:space="preserve">EXCLUDE_REVIEW</t>
        </is>
      </c>
      <c r="G464" s="0" t="inlineStr">
        <is>
          <t xml:space="preserve">BC</t>
        </is>
      </c>
      <c r="H464" s="5">
        <v>0</v>
      </c>
      <c r="I464" s="5">
        <v>0</v>
      </c>
      <c r="J464" s="5">
        <v>1</v>
      </c>
      <c r="K464" s="5">
        <v>15.331729</v>
      </c>
      <c r="L464" s="7">
        <v>0.25</v>
      </c>
      <c r="M464" s="7">
        <v>0.0</v>
      </c>
      <c r="N464" s="7">
        <v>0.75</v>
      </c>
      <c r="O464" s="7">
        <v>0.0</v>
      </c>
    </row>
    <row r="465" outlineLevel="1">
      <c r="B465" s="0" t="inlineStr">
        <is>
          <t xml:space="preserve">2024-03-29</t>
        </is>
      </c>
      <c r="C465" s="0" t="inlineStr">
        <is>
          <t xml:space="preserve">N00024-22-C-4420</t>
        </is>
      </c>
      <c r="D465" s="0" t="inlineStr">
        <is>
          <t xml:space="preserve">non_sub</t>
        </is>
      </c>
      <c r="E465" s="0" t="inlineStr">
        <is>
          <t xml:space="preserve">sustainment_maintenance</t>
        </is>
      </c>
      <c r="F465" s="0" t="inlineStr">
        <is>
          <t xml:space="preserve">EXCLUDE_REVIEW</t>
        </is>
      </c>
      <c r="G465" s="0" t="inlineStr">
        <is>
          <t xml:space="preserve">BC</t>
        </is>
      </c>
      <c r="H465" s="5">
        <v>0</v>
      </c>
      <c r="I465" s="5">
        <v>0</v>
      </c>
      <c r="J465" s="5">
        <v>1</v>
      </c>
      <c r="K465" s="5">
        <v>15.306564</v>
      </c>
      <c r="L465" s="7">
        <v>0.0</v>
      </c>
      <c r="M465" s="7">
        <v>0.0</v>
      </c>
      <c r="N465" s="7">
        <v>0.0</v>
      </c>
      <c r="O465" s="7">
        <v>0.0</v>
      </c>
    </row>
    <row r="466" outlineLevel="1">
      <c r="B466" s="0" t="inlineStr">
        <is>
          <t xml:space="preserve">2026-04-29</t>
        </is>
      </c>
      <c r="C466" s="0" t="inlineStr">
        <is>
          <t xml:space="preserve">N00024-25-F-6260</t>
        </is>
      </c>
      <c r="D466" s="0" t="inlineStr">
        <is>
          <t xml:space="preserve">sub_gfe_electronics</t>
        </is>
      </c>
      <c r="E466" s="0" t="inlineStr">
        <is>
          <t xml:space="preserve">component_procurement</t>
        </is>
      </c>
      <c r="F466" s="0" t="inlineStr">
        <is>
          <t xml:space="preserve">EXCLUDE_GFE</t>
        </is>
      </c>
      <c r="G466" s="0" t="inlineStr">
        <is>
          <t xml:space="preserve">BC</t>
        </is>
      </c>
      <c r="H466" s="5">
        <v>1</v>
      </c>
      <c r="I466" s="5">
        <v>1</v>
      </c>
      <c r="J466" s="5">
        <v>1</v>
      </c>
      <c r="K466" s="5">
        <v>15.304</v>
      </c>
      <c r="L466" s="7">
        <v>0.0</v>
      </c>
      <c r="M466" s="7">
        <v>0.0</v>
      </c>
      <c r="N466" s="7">
        <v>0.0</v>
      </c>
      <c r="O466" s="7">
        <v>0.0</v>
      </c>
    </row>
    <row r="467" outlineLevel="1">
      <c r="B467" s="0" t="inlineStr">
        <is>
          <t xml:space="preserve">2025-09-04</t>
        </is>
      </c>
      <c r="C467" s="0" t="inlineStr">
        <is>
          <t xml:space="preserve">N00024-20-C-2437</t>
        </is>
      </c>
      <c r="D467" s="0" t="inlineStr">
        <is>
          <t xml:space="preserve">non_sub</t>
        </is>
      </c>
      <c r="E467" s="0" t="inlineStr">
        <is>
          <t xml:space="preserve">other</t>
        </is>
      </c>
      <c r="F467" s="0" t="inlineStr">
        <is>
          <t xml:space="preserve">EXCLUDE_REVIEW</t>
        </is>
      </c>
      <c r="G467" s="0" t="inlineStr">
        <is>
          <t xml:space="preserve">BC</t>
        </is>
      </c>
      <c r="H467" s="5">
        <v>0</v>
      </c>
      <c r="I467" s="5">
        <v>0</v>
      </c>
      <c r="J467" s="5">
        <v>1</v>
      </c>
      <c r="K467" s="5">
        <v>15.286013</v>
      </c>
      <c r="L467" s="7">
        <v>0.0</v>
      </c>
      <c r="M467" s="7">
        <v>0.0</v>
      </c>
      <c r="N467" s="7">
        <v>0.0</v>
      </c>
      <c r="O467" s="7">
        <v>0.0</v>
      </c>
    </row>
    <row r="468" outlineLevel="1">
      <c r="B468" s="0" t="inlineStr">
        <is>
          <t xml:space="preserve">2024-09-27</t>
        </is>
      </c>
      <c r="C468" s="0" t="inlineStr">
        <is>
          <t xml:space="preserve">-</t>
        </is>
      </c>
      <c r="D468" s="0" t="inlineStr">
        <is>
          <t xml:space="preserve">non_sub</t>
        </is>
      </c>
      <c r="E468" s="0" t="inlineStr">
        <is>
          <t xml:space="preserve">other</t>
        </is>
      </c>
      <c r="F468" s="0" t="inlineStr">
        <is>
          <t xml:space="preserve">EXCLUDE_REVIEW</t>
        </is>
      </c>
      <c r="G468" s="0" t="inlineStr">
        <is>
          <t xml:space="preserve">BC</t>
        </is>
      </c>
      <c r="H468" s="5">
        <v>0</v>
      </c>
      <c r="I468" s="5">
        <v>0</v>
      </c>
      <c r="J468" s="5">
        <v>1</v>
      </c>
      <c r="K468" s="5">
        <v>15.216002</v>
      </c>
      <c r="L468" s="7">
        <v>0.0</v>
      </c>
      <c r="M468" s="7">
        <v>0.0</v>
      </c>
      <c r="N468" s="7">
        <v>1.0</v>
      </c>
      <c r="O468" s="7">
        <v>0.0</v>
      </c>
    </row>
    <row r="469" outlineLevel="1">
      <c r="B469" s="0" t="inlineStr">
        <is>
          <t xml:space="preserve">2025-03-10</t>
        </is>
      </c>
      <c r="C469" s="0" t="inlineStr">
        <is>
          <t xml:space="preserve">N00024-20-C-6117</t>
        </is>
      </c>
      <c r="D469" s="0" t="inlineStr">
        <is>
          <t xml:space="preserve">non_sub</t>
        </is>
      </c>
      <c r="E469" s="0" t="inlineStr">
        <is>
          <t xml:space="preserve">other</t>
        </is>
      </c>
      <c r="F469" s="0" t="inlineStr">
        <is>
          <t xml:space="preserve">EXCLUDE_REVIEW</t>
        </is>
      </c>
      <c r="G469" s="0" t="inlineStr">
        <is>
          <t xml:space="preserve">BC</t>
        </is>
      </c>
      <c r="H469" s="5">
        <v>0</v>
      </c>
      <c r="I469" s="5">
        <v>0</v>
      </c>
      <c r="J469" s="5">
        <v>1</v>
      </c>
      <c r="K469" s="5">
        <v>15.150568</v>
      </c>
      <c r="L469" s="7">
        <v>0.0</v>
      </c>
      <c r="M469" s="7">
        <v>0.0</v>
      </c>
      <c r="N469" s="7">
        <v>1.0</v>
      </c>
      <c r="O469" s="7">
        <v>0.0</v>
      </c>
    </row>
    <row r="470" outlineLevel="1">
      <c r="B470" s="0" t="inlineStr">
        <is>
          <t xml:space="preserve">2023-03-31</t>
        </is>
      </c>
      <c r="C470" s="0" t="inlineStr">
        <is>
          <t xml:space="preserve">-</t>
        </is>
      </c>
      <c r="D470" s="0" t="inlineStr">
        <is>
          <t xml:space="preserve">non_sub</t>
        </is>
      </c>
      <c r="E470" s="0" t="inlineStr">
        <is>
          <t xml:space="preserve">sustainment_maintenance</t>
        </is>
      </c>
      <c r="F470" s="0" t="inlineStr">
        <is>
          <t xml:space="preserve">EXCLUDE_REVIEW</t>
        </is>
      </c>
      <c r="G470" s="0" t="inlineStr">
        <is>
          <t xml:space="preserve">BC</t>
        </is>
      </c>
      <c r="H470" s="5">
        <v>0</v>
      </c>
      <c r="I470" s="5">
        <v>0</v>
      </c>
      <c r="J470" s="5">
        <v>1</v>
      </c>
      <c r="K470" s="5">
        <v>15.043848</v>
      </c>
      <c r="L470" s="7">
        <v>0.0</v>
      </c>
      <c r="M470" s="7">
        <v>0.0</v>
      </c>
      <c r="N470" s="7">
        <v>1.0</v>
      </c>
      <c r="O470" s="7">
        <v>0.0</v>
      </c>
    </row>
    <row r="471" outlineLevel="1">
      <c r="B471" s="0" t="inlineStr">
        <is>
          <t xml:space="preserve">2025-06-12</t>
        </is>
      </c>
      <c r="C471" s="0" t="inlineStr">
        <is>
          <t xml:space="preserve">N00024-22-C-5530</t>
        </is>
      </c>
      <c r="D471" s="0" t="inlineStr">
        <is>
          <t xml:space="preserve">non_sub</t>
        </is>
      </c>
      <c r="E471" s="0" t="inlineStr">
        <is>
          <t xml:space="preserve">engineering</t>
        </is>
      </c>
      <c r="F471" s="0" t="inlineStr">
        <is>
          <t xml:space="preserve">EXCLUDE_REVIEW</t>
        </is>
      </c>
      <c r="G471" s="0" t="inlineStr">
        <is>
          <t xml:space="preserve">BC</t>
        </is>
      </c>
      <c r="H471" s="5">
        <v>0</v>
      </c>
      <c r="I471" s="5">
        <v>0</v>
      </c>
      <c r="J471" s="5">
        <v>1</v>
      </c>
      <c r="K471" s="5">
        <v>15.012698</v>
      </c>
      <c r="L471" s="7">
        <v>0.0</v>
      </c>
      <c r="M471" s="7">
        <v>0.0</v>
      </c>
      <c r="N471" s="7">
        <v>1.0</v>
      </c>
      <c r="O471" s="7">
        <v>0.0</v>
      </c>
    </row>
    <row r="472" outlineLevel="1">
      <c r="B472" s="0" t="inlineStr">
        <is>
          <t xml:space="preserve">2022-09-30</t>
        </is>
      </c>
      <c r="C472" s="0" t="inlineStr">
        <is>
          <t xml:space="preserve">N00024-22-C-5530</t>
        </is>
      </c>
      <c r="D472" s="0" t="inlineStr">
        <is>
          <t xml:space="preserve">non_sub</t>
        </is>
      </c>
      <c r="E472" s="0" t="inlineStr">
        <is>
          <t xml:space="preserve">other</t>
        </is>
      </c>
      <c r="F472" s="0" t="inlineStr">
        <is>
          <t xml:space="preserve">EXCLUDE_REVIEW</t>
        </is>
      </c>
      <c r="G472" s="0" t="inlineStr">
        <is>
          <t xml:space="preserve">BC</t>
        </is>
      </c>
      <c r="H472" s="5">
        <v>0</v>
      </c>
      <c r="I472" s="5">
        <v>0</v>
      </c>
      <c r="J472" s="5">
        <v>1</v>
      </c>
      <c r="K472" s="5">
        <v>15.002</v>
      </c>
      <c r="L472" s="7">
        <v>0.0</v>
      </c>
      <c r="M472" s="7">
        <v>0.0</v>
      </c>
      <c r="N472" s="7">
        <v>1.0</v>
      </c>
      <c r="O472" s="7">
        <v>0.0</v>
      </c>
    </row>
    <row r="473" outlineLevel="1">
      <c r="B473" s="0" t="inlineStr">
        <is>
          <t xml:space="preserve">2025-02-21</t>
        </is>
      </c>
      <c r="C473" s="0" t="inlineStr">
        <is>
          <t xml:space="preserve">N00024-25-C-5310</t>
        </is>
      </c>
      <c r="D473" s="0" t="inlineStr">
        <is>
          <t xml:space="preserve">non_sub</t>
        </is>
      </c>
      <c r="E473" s="0" t="inlineStr">
        <is>
          <t xml:space="preserve">fms</t>
        </is>
      </c>
      <c r="F473" s="0" t="inlineStr">
        <is>
          <t xml:space="preserve">EXCLUDE_REVIEW</t>
        </is>
      </c>
      <c r="G473" s="0" t="inlineStr">
        <is>
          <t xml:space="preserve">BC</t>
        </is>
      </c>
      <c r="H473" s="5">
        <v>0</v>
      </c>
      <c r="I473" s="5">
        <v>0</v>
      </c>
      <c r="J473" s="5">
        <v>1</v>
      </c>
      <c r="K473" s="5">
        <v>14.951301</v>
      </c>
      <c r="L473" s="7">
        <v>0.0</v>
      </c>
      <c r="M473" s="7">
        <v>0.0</v>
      </c>
      <c r="N473" s="7">
        <v>1.0</v>
      </c>
      <c r="O473" s="7">
        <v>0.0</v>
      </c>
    </row>
    <row r="474" outlineLevel="1">
      <c r="B474" s="0" t="inlineStr">
        <is>
          <t xml:space="preserve">2022-12-12</t>
        </is>
      </c>
      <c r="C474" s="0" t="inlineStr">
        <is>
          <t xml:space="preserve">-</t>
        </is>
      </c>
      <c r="D474" s="0" t="inlineStr">
        <is>
          <t xml:space="preserve">non_sub</t>
        </is>
      </c>
      <c r="E474" s="0" t="inlineStr">
        <is>
          <t xml:space="preserve">other</t>
        </is>
      </c>
      <c r="F474" s="0" t="inlineStr">
        <is>
          <t xml:space="preserve">EXCLUDE_REVIEW</t>
        </is>
      </c>
      <c r="G474" s="0" t="inlineStr">
        <is>
          <t xml:space="preserve">BC</t>
        </is>
      </c>
      <c r="H474" s="5">
        <v>0</v>
      </c>
      <c r="I474" s="5">
        <v>0</v>
      </c>
      <c r="J474" s="5">
        <v>1</v>
      </c>
      <c r="K474" s="5">
        <v>14.931368</v>
      </c>
      <c r="L474" s="7">
        <v>0.0</v>
      </c>
      <c r="M474" s="7">
        <v>0.0</v>
      </c>
      <c r="N474" s="7">
        <v>0.0</v>
      </c>
      <c r="O474" s="7">
        <v>0.0</v>
      </c>
    </row>
    <row r="475" outlineLevel="1">
      <c r="B475" s="0" t="inlineStr">
        <is>
          <t xml:space="preserve">2024-09-27</t>
        </is>
      </c>
      <c r="C475" s="0" t="inlineStr">
        <is>
          <t xml:space="preserve">-</t>
        </is>
      </c>
      <c r="D475" s="0" t="inlineStr">
        <is>
          <t xml:space="preserve">non_sub</t>
        </is>
      </c>
      <c r="E475" s="0" t="inlineStr">
        <is>
          <t xml:space="preserve">other</t>
        </is>
      </c>
      <c r="F475" s="0" t="inlineStr">
        <is>
          <t xml:space="preserve">EXCLUDE_REVIEW</t>
        </is>
      </c>
      <c r="G475" s="0" t="inlineStr">
        <is>
          <t xml:space="preserve">BC</t>
        </is>
      </c>
      <c r="H475" s="5">
        <v>0</v>
      </c>
      <c r="I475" s="5">
        <v>0</v>
      </c>
      <c r="J475" s="5">
        <v>1</v>
      </c>
      <c r="K475" s="5">
        <v>14.565198</v>
      </c>
      <c r="L475" s="7">
        <v>0.0</v>
      </c>
      <c r="M475" s="7">
        <v>0.0</v>
      </c>
      <c r="N475" s="7">
        <v>1.0</v>
      </c>
      <c r="O475" s="7">
        <v>0.0</v>
      </c>
    </row>
    <row r="476" outlineLevel="1">
      <c r="B476" s="0" t="inlineStr">
        <is>
          <t xml:space="preserve">2025-12-01</t>
        </is>
      </c>
      <c r="C476" s="0" t="inlineStr">
        <is>
          <t xml:space="preserve">N00024-26-C-6103</t>
        </is>
      </c>
      <c r="D476" s="0" t="inlineStr">
        <is>
          <t xml:space="preserve">non_sub</t>
        </is>
      </c>
      <c r="E476" s="0" t="inlineStr">
        <is>
          <t xml:space="preserve">fms</t>
        </is>
      </c>
      <c r="F476" s="0" t="inlineStr">
        <is>
          <t xml:space="preserve">EXCLUDE_REVIEW</t>
        </is>
      </c>
      <c r="G476" s="0" t="inlineStr">
        <is>
          <t xml:space="preserve">BC</t>
        </is>
      </c>
      <c r="H476" s="5">
        <v>0</v>
      </c>
      <c r="I476" s="5">
        <v>0</v>
      </c>
      <c r="J476" s="5">
        <v>1</v>
      </c>
      <c r="K476" s="5">
        <v>14.549938</v>
      </c>
      <c r="L476" s="7">
        <v>0.0</v>
      </c>
      <c r="M476" s="7">
        <v>0.0</v>
      </c>
      <c r="N476" s="7">
        <v>0.0</v>
      </c>
      <c r="O476" s="7">
        <v>0.0</v>
      </c>
    </row>
    <row r="477" outlineLevel="1">
      <c r="B477" s="0" t="inlineStr">
        <is>
          <t xml:space="preserve">2025-03-27</t>
        </is>
      </c>
      <c r="C477" s="0" t="inlineStr">
        <is>
          <t xml:space="preserve">-</t>
        </is>
      </c>
      <c r="D477" s="0" t="inlineStr">
        <is>
          <t xml:space="preserve">sub_other</t>
        </is>
      </c>
      <c r="E477" s="0" t="inlineStr">
        <is>
          <t xml:space="preserve">component_procurement</t>
        </is>
      </c>
      <c r="F477" s="0" t="inlineStr">
        <is>
          <t xml:space="preserve">INCLUDE_BC</t>
        </is>
      </c>
      <c r="G477" s="0" t="inlineStr">
        <is>
          <t xml:space="preserve">BC</t>
        </is>
      </c>
      <c r="H477" s="5">
        <v>0</v>
      </c>
      <c r="I477" s="5">
        <v>0</v>
      </c>
      <c r="J477" s="5">
        <v>1</v>
      </c>
      <c r="K477" s="5">
        <v>14.532503</v>
      </c>
      <c r="L477" s="7">
        <v>0.0</v>
      </c>
      <c r="M477" s="7">
        <v>0.0</v>
      </c>
      <c r="N477" s="7">
        <v>0.0</v>
      </c>
      <c r="O477" s="7">
        <v>0.0</v>
      </c>
    </row>
    <row r="478" outlineLevel="1">
      <c r="B478" s="0" t="inlineStr">
        <is>
          <t xml:space="preserve">2025-12-19</t>
        </is>
      </c>
      <c r="C478" s="0" t="inlineStr">
        <is>
          <t xml:space="preserve">N00024-20-C-5519</t>
        </is>
      </c>
      <c r="D478" s="0" t="inlineStr">
        <is>
          <t xml:space="preserve">non_sub</t>
        </is>
      </c>
      <c r="E478" s="0" t="inlineStr">
        <is>
          <t xml:space="preserve">other</t>
        </is>
      </c>
      <c r="F478" s="0" t="inlineStr">
        <is>
          <t xml:space="preserve">EXCLUDE_REVIEW</t>
        </is>
      </c>
      <c r="G478" s="0" t="inlineStr">
        <is>
          <t xml:space="preserve">BC</t>
        </is>
      </c>
      <c r="H478" s="5">
        <v>0</v>
      </c>
      <c r="I478" s="5">
        <v>0</v>
      </c>
      <c r="J478" s="5">
        <v>1</v>
      </c>
      <c r="K478" s="5">
        <v>14.486001</v>
      </c>
      <c r="L478" s="7">
        <v>0.0</v>
      </c>
      <c r="M478" s="7">
        <v>0.0</v>
      </c>
      <c r="N478" s="7">
        <v>1.0</v>
      </c>
      <c r="O478" s="7">
        <v>0.0</v>
      </c>
    </row>
    <row r="479" outlineLevel="1">
      <c r="B479" s="0" t="inlineStr">
        <is>
          <t xml:space="preserve">2024-09-19</t>
        </is>
      </c>
      <c r="C479" s="0" t="inlineStr">
        <is>
          <t xml:space="preserve">N00030-24-C-6032</t>
        </is>
      </c>
      <c r="D479" s="0" t="inlineStr">
        <is>
          <t xml:space="preserve">non_sub</t>
        </is>
      </c>
      <c r="E479" s="0" t="inlineStr">
        <is>
          <t xml:space="preserve">sustainment_maintenance</t>
        </is>
      </c>
      <c r="F479" s="0" t="inlineStr">
        <is>
          <t xml:space="preserve">EXCLUDE_REVIEW</t>
        </is>
      </c>
      <c r="G479" s="0" t="inlineStr">
        <is>
          <t xml:space="preserve">BC</t>
        </is>
      </c>
      <c r="H479" s="5">
        <v>0</v>
      </c>
      <c r="I479" s="5">
        <v>0</v>
      </c>
      <c r="J479" s="5">
        <v>1</v>
      </c>
      <c r="K479" s="5">
        <v>14.454981</v>
      </c>
      <c r="L479" s="7">
        <v>0.0</v>
      </c>
      <c r="M479" s="7">
        <v>0.0</v>
      </c>
      <c r="N479" s="7">
        <v>0.86</v>
      </c>
      <c r="O479" s="7">
        <v>0.0</v>
      </c>
    </row>
    <row r="480" outlineLevel="1">
      <c r="B480" s="0" t="inlineStr">
        <is>
          <t xml:space="preserve">2026-03-26</t>
        </is>
      </c>
      <c r="C480" s="0" t="inlineStr">
        <is>
          <t xml:space="preserve">N00024-23-C-6109</t>
        </is>
      </c>
      <c r="D480" s="0" t="inlineStr">
        <is>
          <t xml:space="preserve">non_sub</t>
        </is>
      </c>
      <c r="E480" s="0" t="inlineStr">
        <is>
          <t xml:space="preserve">design</t>
        </is>
      </c>
      <c r="F480" s="0" t="inlineStr">
        <is>
          <t xml:space="preserve">EXCLUDE_REVIEW</t>
        </is>
      </c>
      <c r="G480" s="0" t="inlineStr">
        <is>
          <t xml:space="preserve">BC</t>
        </is>
      </c>
      <c r="H480" s="5">
        <v>0</v>
      </c>
      <c r="I480" s="5">
        <v>0</v>
      </c>
      <c r="J480" s="5">
        <v>1</v>
      </c>
      <c r="K480" s="5">
        <v>14.395395</v>
      </c>
      <c r="L480" s="7">
        <v>0.0</v>
      </c>
      <c r="M480" s="7">
        <v>0.0</v>
      </c>
      <c r="N480" s="7">
        <v>0.0</v>
      </c>
      <c r="O480" s="7">
        <v>0.0</v>
      </c>
    </row>
    <row r="481" outlineLevel="1">
      <c r="B481" s="0" t="inlineStr">
        <is>
          <t xml:space="preserve">2026-05-18</t>
        </is>
      </c>
      <c r="C481" s="0" t="inlineStr">
        <is>
          <t xml:space="preserve">N00024-25-C-4127</t>
        </is>
      </c>
      <c r="D481" s="0" t="inlineStr">
        <is>
          <t xml:space="preserve">non_sub</t>
        </is>
      </c>
      <c r="E481" s="0" t="inlineStr">
        <is>
          <t xml:space="preserve">engineering</t>
        </is>
      </c>
      <c r="F481" s="0" t="inlineStr">
        <is>
          <t xml:space="preserve">EXCLUDE_REVIEW</t>
        </is>
      </c>
      <c r="G481" s="0" t="inlineStr">
        <is>
          <t xml:space="preserve">BC</t>
        </is>
      </c>
      <c r="H481" s="5">
        <v>0</v>
      </c>
      <c r="I481" s="5">
        <v>0</v>
      </c>
      <c r="J481" s="5">
        <v>1</v>
      </c>
      <c r="K481" s="5">
        <v>14.308006</v>
      </c>
      <c r="L481" s="7">
        <v>0.0</v>
      </c>
      <c r="M481" s="7">
        <v>0.0</v>
      </c>
      <c r="N481" s="7">
        <v>1.0</v>
      </c>
      <c r="O481" s="7">
        <v>0.0</v>
      </c>
    </row>
    <row r="482" outlineLevel="1">
      <c r="B482" s="0" t="inlineStr">
        <is>
          <t xml:space="preserve">2024-09-24</t>
        </is>
      </c>
      <c r="C482" s="0" t="inlineStr">
        <is>
          <t xml:space="preserve">N00024-22-C-6305</t>
        </is>
      </c>
      <c r="D482" s="0" t="inlineStr">
        <is>
          <t xml:space="preserve">non_sub</t>
        </is>
      </c>
      <c r="E482" s="0" t="inlineStr">
        <is>
          <t xml:space="preserve">other</t>
        </is>
      </c>
      <c r="F482" s="0" t="inlineStr">
        <is>
          <t xml:space="preserve">EXCLUDE_REVIEW</t>
        </is>
      </c>
      <c r="G482" s="0" t="inlineStr">
        <is>
          <t xml:space="preserve">BC</t>
        </is>
      </c>
      <c r="H482" s="5">
        <v>0</v>
      </c>
      <c r="I482" s="5">
        <v>0</v>
      </c>
      <c r="J482" s="5">
        <v>1</v>
      </c>
      <c r="K482" s="5">
        <v>14.288123</v>
      </c>
      <c r="L482" s="7">
        <v>0.0</v>
      </c>
      <c r="M482" s="7">
        <v>0.0</v>
      </c>
      <c r="N482" s="7">
        <v>1.0</v>
      </c>
      <c r="O482" s="7">
        <v>0.0</v>
      </c>
    </row>
    <row r="483" outlineLevel="1">
      <c r="B483" s="0" t="inlineStr">
        <is>
          <t xml:space="preserve">2023-01-12</t>
        </is>
      </c>
      <c r="C483" s="0" t="inlineStr">
        <is>
          <t xml:space="preserve">-</t>
        </is>
      </c>
      <c r="D483" s="0" t="inlineStr">
        <is>
          <t xml:space="preserve">non_sub</t>
        </is>
      </c>
      <c r="E483" s="0" t="inlineStr">
        <is>
          <t xml:space="preserve">other</t>
        </is>
      </c>
      <c r="F483" s="0" t="inlineStr">
        <is>
          <t xml:space="preserve">EXCLUDE_REVIEW</t>
        </is>
      </c>
      <c r="G483" s="0" t="inlineStr">
        <is>
          <t xml:space="preserve">BC</t>
        </is>
      </c>
      <c r="H483" s="5">
        <v>0</v>
      </c>
      <c r="I483" s="5">
        <v>0</v>
      </c>
      <c r="J483" s="5">
        <v>1</v>
      </c>
      <c r="K483" s="5">
        <v>14.204505</v>
      </c>
      <c r="L483" s="7">
        <v>0.0</v>
      </c>
      <c r="M483" s="7">
        <v>0.0</v>
      </c>
      <c r="N483" s="7">
        <v>1.0</v>
      </c>
      <c r="O483" s="7">
        <v>0.0</v>
      </c>
    </row>
    <row r="484" outlineLevel="1">
      <c r="B484" s="0" t="inlineStr">
        <is>
          <t xml:space="preserve">2025-09-09</t>
        </is>
      </c>
      <c r="C484" s="0" t="inlineStr">
        <is>
          <t xml:space="preserve">N00024-23-C-2324</t>
        </is>
      </c>
      <c r="D484" s="0" t="inlineStr">
        <is>
          <t xml:space="preserve">non_sub</t>
        </is>
      </c>
      <c r="E484" s="0" t="inlineStr">
        <is>
          <t xml:space="preserve">sustainment_maintenance</t>
        </is>
      </c>
      <c r="F484" s="0" t="inlineStr">
        <is>
          <t xml:space="preserve">EXCLUDE_REVIEW</t>
        </is>
      </c>
      <c r="G484" s="0" t="inlineStr">
        <is>
          <t xml:space="preserve">BC</t>
        </is>
      </c>
      <c r="H484" s="5">
        <v>0</v>
      </c>
      <c r="I484" s="5">
        <v>0</v>
      </c>
      <c r="J484" s="5">
        <v>1</v>
      </c>
      <c r="K484" s="5">
        <v>14.158049</v>
      </c>
      <c r="L484" s="7">
        <v>0.0</v>
      </c>
      <c r="M484" s="7">
        <v>0.0</v>
      </c>
      <c r="N484" s="7">
        <v>0.95</v>
      </c>
      <c r="O484" s="7">
        <v>0.0</v>
      </c>
    </row>
    <row r="485" outlineLevel="1">
      <c r="B485" s="0" t="inlineStr">
        <is>
          <t xml:space="preserve">2026-04-14</t>
        </is>
      </c>
      <c r="C485" s="0" t="inlineStr">
        <is>
          <t xml:space="preserve">N00024-26-C-5434</t>
        </is>
      </c>
      <c r="D485" s="0" t="inlineStr">
        <is>
          <t xml:space="preserve">non_sub</t>
        </is>
      </c>
      <c r="E485" s="0" t="inlineStr">
        <is>
          <t xml:space="preserve">lead_yard</t>
        </is>
      </c>
      <c r="F485" s="0" t="inlineStr">
        <is>
          <t xml:space="preserve">EXCLUDE_REVIEW</t>
        </is>
      </c>
      <c r="G485" s="0" t="inlineStr">
        <is>
          <t xml:space="preserve">BC</t>
        </is>
      </c>
      <c r="H485" s="5">
        <v>0</v>
      </c>
      <c r="I485" s="5">
        <v>0</v>
      </c>
      <c r="J485" s="5">
        <v>1</v>
      </c>
      <c r="K485" s="5">
        <v>14.055719</v>
      </c>
      <c r="L485" s="7">
        <v>0.0</v>
      </c>
      <c r="M485" s="7">
        <v>0.0</v>
      </c>
      <c r="N485" s="7">
        <v>1.0</v>
      </c>
      <c r="O485" s="7">
        <v>0.0</v>
      </c>
    </row>
    <row r="486" outlineLevel="1">
      <c r="B486" s="0" t="inlineStr">
        <is>
          <t xml:space="preserve">2025-02-14</t>
        </is>
      </c>
      <c r="C486" s="0" t="inlineStr">
        <is>
          <t xml:space="preserve">-</t>
        </is>
      </c>
      <c r="D486" s="0" t="inlineStr">
        <is>
          <t xml:space="preserve">non_sub</t>
        </is>
      </c>
      <c r="E486" s="0" t="inlineStr">
        <is>
          <t xml:space="preserve">design</t>
        </is>
      </c>
      <c r="F486" s="0" t="inlineStr">
        <is>
          <t xml:space="preserve">EXCLUDE_REVIEW</t>
        </is>
      </c>
      <c r="G486" s="0" t="inlineStr">
        <is>
          <t xml:space="preserve">BC</t>
        </is>
      </c>
      <c r="H486" s="5">
        <v>0</v>
      </c>
      <c r="I486" s="5">
        <v>0</v>
      </c>
      <c r="J486" s="5">
        <v>1</v>
      </c>
      <c r="K486" s="5">
        <v>13.952674</v>
      </c>
      <c r="L486" s="7">
        <v>0.0</v>
      </c>
      <c r="M486" s="7">
        <v>0.0</v>
      </c>
      <c r="N486" s="7">
        <v>0.0</v>
      </c>
      <c r="O486" s="7">
        <v>0.0</v>
      </c>
    </row>
    <row r="487" outlineLevel="1">
      <c r="B487" s="0" t="inlineStr">
        <is>
          <t xml:space="preserve">2025-03-14</t>
        </is>
      </c>
      <c r="C487" s="0" t="inlineStr">
        <is>
          <t xml:space="preserve">N00024-15-C-5151</t>
        </is>
      </c>
      <c r="D487" s="0" t="inlineStr">
        <is>
          <t xml:space="preserve">non_sub</t>
        </is>
      </c>
      <c r="E487" s="0" t="inlineStr">
        <is>
          <t xml:space="preserve">other</t>
        </is>
      </c>
      <c r="F487" s="0" t="inlineStr">
        <is>
          <t xml:space="preserve">EXCLUDE_REVIEW</t>
        </is>
      </c>
      <c r="G487" s="0" t="inlineStr">
        <is>
          <t xml:space="preserve">BC</t>
        </is>
      </c>
      <c r="H487" s="5">
        <v>0</v>
      </c>
      <c r="I487" s="5">
        <v>0</v>
      </c>
      <c r="J487" s="5">
        <v>1</v>
      </c>
      <c r="K487" s="5">
        <v>13.907941</v>
      </c>
      <c r="L487" s="7">
        <v>0.0</v>
      </c>
      <c r="M487" s="7">
        <v>0.0</v>
      </c>
      <c r="N487" s="7">
        <v>1.0</v>
      </c>
      <c r="O487" s="7">
        <v>0.0</v>
      </c>
    </row>
    <row r="488" outlineLevel="1">
      <c r="B488" s="0" t="inlineStr">
        <is>
          <t xml:space="preserve">2025-08-28</t>
        </is>
      </c>
      <c r="C488" s="0" t="inlineStr">
        <is>
          <t xml:space="preserve">N00024-25-C-4127</t>
        </is>
      </c>
      <c r="D488" s="0" t="inlineStr">
        <is>
          <t xml:space="preserve">non_sub</t>
        </is>
      </c>
      <c r="E488" s="0" t="inlineStr">
        <is>
          <t xml:space="preserve">engineering</t>
        </is>
      </c>
      <c r="F488" s="0" t="inlineStr">
        <is>
          <t xml:space="preserve">EXCLUDE_REVIEW</t>
        </is>
      </c>
      <c r="G488" s="0" t="inlineStr">
        <is>
          <t xml:space="preserve">BC</t>
        </is>
      </c>
      <c r="H488" s="5">
        <v>0</v>
      </c>
      <c r="I488" s="5">
        <v>0</v>
      </c>
      <c r="J488" s="5">
        <v>1</v>
      </c>
      <c r="K488" s="5">
        <v>13.744502</v>
      </c>
      <c r="L488" s="7">
        <v>0.0</v>
      </c>
      <c r="M488" s="7">
        <v>0.0</v>
      </c>
      <c r="N488" s="7">
        <v>1.0</v>
      </c>
      <c r="O488" s="7">
        <v>0.0</v>
      </c>
    </row>
    <row r="489" outlineLevel="1">
      <c r="B489" s="0" t="inlineStr">
        <is>
          <t xml:space="preserve">2022-08-23</t>
        </is>
      </c>
      <c r="C489" s="0" t="inlineStr">
        <is>
          <t xml:space="preserve">-</t>
        </is>
      </c>
      <c r="D489" s="0" t="inlineStr">
        <is>
          <t xml:space="preserve">non_sub</t>
        </is>
      </c>
      <c r="E489" s="0" t="inlineStr">
        <is>
          <t xml:space="preserve">other</t>
        </is>
      </c>
      <c r="F489" s="0" t="inlineStr">
        <is>
          <t xml:space="preserve">EXCLUDE_REVIEW</t>
        </is>
      </c>
      <c r="G489" s="0" t="inlineStr">
        <is>
          <t xml:space="preserve">BC</t>
        </is>
      </c>
      <c r="H489" s="5">
        <v>0</v>
      </c>
      <c r="I489" s="5">
        <v>0</v>
      </c>
      <c r="J489" s="5">
        <v>1</v>
      </c>
      <c r="K489" s="5">
        <v>13.542835</v>
      </c>
      <c r="L489" s="7">
        <v>0.0</v>
      </c>
      <c r="M489" s="7">
        <v>0.0</v>
      </c>
      <c r="N489" s="7">
        <v>0.0</v>
      </c>
      <c r="O489" s="7">
        <v>0.0</v>
      </c>
    </row>
    <row r="490" outlineLevel="1">
      <c r="B490" s="0" t="inlineStr">
        <is>
          <t xml:space="preserve">2023-07-06</t>
        </is>
      </c>
      <c r="C490" s="0" t="inlineStr">
        <is>
          <t xml:space="preserve">-</t>
        </is>
      </c>
      <c r="D490" s="0" t="inlineStr">
        <is>
          <t xml:space="preserve">non_sub</t>
        </is>
      </c>
      <c r="E490" s="0" t="inlineStr">
        <is>
          <t xml:space="preserve">other</t>
        </is>
      </c>
      <c r="F490" s="0" t="inlineStr">
        <is>
          <t xml:space="preserve">EXCLUDE_REVIEW</t>
        </is>
      </c>
      <c r="G490" s="0" t="inlineStr">
        <is>
          <t xml:space="preserve">BC</t>
        </is>
      </c>
      <c r="H490" s="5">
        <v>0</v>
      </c>
      <c r="I490" s="5">
        <v>0</v>
      </c>
      <c r="J490" s="5">
        <v>1</v>
      </c>
      <c r="K490" s="5">
        <v>13.395858</v>
      </c>
      <c r="L490" s="7">
        <v>0.0</v>
      </c>
      <c r="M490" s="7">
        <v>0.0</v>
      </c>
      <c r="N490" s="7">
        <v>1.0</v>
      </c>
      <c r="O490" s="7">
        <v>0.0</v>
      </c>
    </row>
    <row r="491" outlineLevel="1">
      <c r="B491" s="0" t="inlineStr">
        <is>
          <t xml:space="preserve">2023-02-27</t>
        </is>
      </c>
      <c r="C491" s="0" t="inlineStr">
        <is>
          <t xml:space="preserve">-</t>
        </is>
      </c>
      <c r="D491" s="0" t="inlineStr">
        <is>
          <t xml:space="preserve">non_sub</t>
        </is>
      </c>
      <c r="E491" s="0" t="inlineStr">
        <is>
          <t xml:space="preserve">other</t>
        </is>
      </c>
      <c r="F491" s="0" t="inlineStr">
        <is>
          <t xml:space="preserve">EXCLUDE_REVIEW</t>
        </is>
      </c>
      <c r="G491" s="0" t="inlineStr">
        <is>
          <t xml:space="preserve">BC</t>
        </is>
      </c>
      <c r="H491" s="5">
        <v>0</v>
      </c>
      <c r="I491" s="5">
        <v>0</v>
      </c>
      <c r="J491" s="5">
        <v>1</v>
      </c>
      <c r="K491" s="5">
        <v>13.174736</v>
      </c>
      <c r="L491" s="7">
        <v>0.0</v>
      </c>
      <c r="M491" s="7">
        <v>0.0</v>
      </c>
      <c r="N491" s="7">
        <v>0.0</v>
      </c>
      <c r="O491" s="7">
        <v>0.0</v>
      </c>
    </row>
    <row r="492" outlineLevel="1">
      <c r="B492" s="0" t="inlineStr">
        <is>
          <t xml:space="preserve">2025-06-30</t>
        </is>
      </c>
      <c r="C492" s="0" t="inlineStr">
        <is>
          <t xml:space="preserve">N00024-19-C-5602</t>
        </is>
      </c>
      <c r="D492" s="0" t="inlineStr">
        <is>
          <t xml:space="preserve">non_sub</t>
        </is>
      </c>
      <c r="E492" s="0" t="inlineStr">
        <is>
          <t xml:space="preserve">other</t>
        </is>
      </c>
      <c r="F492" s="0" t="inlineStr">
        <is>
          <t xml:space="preserve">EXCLUDE_REVIEW</t>
        </is>
      </c>
      <c r="G492" s="0" t="inlineStr">
        <is>
          <t xml:space="preserve">BC</t>
        </is>
      </c>
      <c r="H492" s="5">
        <v>0</v>
      </c>
      <c r="I492" s="5">
        <v>0</v>
      </c>
      <c r="J492" s="5">
        <v>1</v>
      </c>
      <c r="K492" s="5">
        <v>13.137998</v>
      </c>
      <c r="L492" s="7">
        <v>0.0</v>
      </c>
      <c r="M492" s="7">
        <v>0.0</v>
      </c>
      <c r="N492" s="7">
        <v>0.43</v>
      </c>
      <c r="O492" s="7">
        <v>0.0</v>
      </c>
    </row>
    <row r="493" outlineLevel="1">
      <c r="B493" s="0" t="inlineStr">
        <is>
          <t xml:space="preserve">2025-04-08</t>
        </is>
      </c>
      <c r="C493" s="0" t="inlineStr">
        <is>
          <t xml:space="preserve">-</t>
        </is>
      </c>
      <c r="D493" s="0" t="inlineStr">
        <is>
          <t xml:space="preserve">sub_other</t>
        </is>
      </c>
      <c r="E493" s="0" t="inlineStr">
        <is>
          <t xml:space="preserve">other</t>
        </is>
      </c>
      <c r="F493" s="0" t="inlineStr">
        <is>
          <t xml:space="preserve">EXCLUDE_REVIEW</t>
        </is>
      </c>
      <c r="G493" s="0" t="inlineStr">
        <is>
          <t xml:space="preserve">BC</t>
        </is>
      </c>
      <c r="H493" s="5">
        <v>0</v>
      </c>
      <c r="I493" s="5">
        <v>0</v>
      </c>
      <c r="J493" s="5">
        <v>1</v>
      </c>
      <c r="K493" s="5">
        <v>13.111953</v>
      </c>
      <c r="L493" s="7">
        <v>0.0</v>
      </c>
      <c r="M493" s="7">
        <v>0.0</v>
      </c>
      <c r="N493" s="7">
        <v>0.0</v>
      </c>
      <c r="O493" s="7">
        <v>0.0</v>
      </c>
    </row>
    <row r="494" outlineLevel="1">
      <c r="B494" s="0" t="inlineStr">
        <is>
          <t xml:space="preserve">2025-08-28</t>
        </is>
      </c>
      <c r="C494" s="0" t="inlineStr">
        <is>
          <t xml:space="preserve">N62793-25-F-7401</t>
        </is>
      </c>
      <c r="D494" s="0" t="inlineStr">
        <is>
          <t xml:space="preserve">non_sub</t>
        </is>
      </c>
      <c r="E494" s="0" t="inlineStr">
        <is>
          <t xml:space="preserve">repair_overhaul</t>
        </is>
      </c>
      <c r="F494" s="0" t="inlineStr">
        <is>
          <t xml:space="preserve">EXCLUDE_REVIEW</t>
        </is>
      </c>
      <c r="G494" s="0" t="inlineStr">
        <is>
          <t xml:space="preserve">BC</t>
        </is>
      </c>
      <c r="H494" s="5">
        <v>0</v>
      </c>
      <c r="I494" s="5">
        <v>0</v>
      </c>
      <c r="J494" s="5">
        <v>1</v>
      </c>
      <c r="K494" s="5">
        <v>13.062676</v>
      </c>
      <c r="L494" s="7">
        <v>0.0</v>
      </c>
      <c r="M494" s="7">
        <v>0.0</v>
      </c>
      <c r="N494" s="7">
        <v>0.0</v>
      </c>
      <c r="O494" s="7">
        <v>0.0</v>
      </c>
    </row>
    <row r="495" outlineLevel="1">
      <c r="B495" s="0" t="inlineStr">
        <is>
          <t xml:space="preserve">2023-12-06</t>
        </is>
      </c>
      <c r="C495" s="0" t="inlineStr">
        <is>
          <t xml:space="preserve">-</t>
        </is>
      </c>
      <c r="D495" s="0" t="inlineStr">
        <is>
          <t xml:space="preserve">non_sub</t>
        </is>
      </c>
      <c r="E495" s="0" t="inlineStr">
        <is>
          <t xml:space="preserve">sustainment_maintenance</t>
        </is>
      </c>
      <c r="F495" s="0" t="inlineStr">
        <is>
          <t xml:space="preserve">EXCLUDE_REVIEW</t>
        </is>
      </c>
      <c r="G495" s="0" t="inlineStr">
        <is>
          <t xml:space="preserve">BC</t>
        </is>
      </c>
      <c r="H495" s="5">
        <v>0</v>
      </c>
      <c r="I495" s="5">
        <v>0</v>
      </c>
      <c r="J495" s="5">
        <v>1</v>
      </c>
      <c r="K495" s="5">
        <v>13.026812</v>
      </c>
      <c r="L495" s="7">
        <v>0.0</v>
      </c>
      <c r="M495" s="7">
        <v>0.0</v>
      </c>
      <c r="N495" s="7">
        <v>0.0</v>
      </c>
      <c r="O495" s="7">
        <v>0.0</v>
      </c>
    </row>
    <row r="496" outlineLevel="1">
      <c r="B496" s="0" t="inlineStr">
        <is>
          <t xml:space="preserve">2025-02-18</t>
        </is>
      </c>
      <c r="C496" s="0" t="inlineStr">
        <is>
          <t xml:space="preserve">-</t>
        </is>
      </c>
      <c r="D496" s="0" t="inlineStr">
        <is>
          <t xml:space="preserve">non_sub</t>
        </is>
      </c>
      <c r="E496" s="0" t="inlineStr">
        <is>
          <t xml:space="preserve">other</t>
        </is>
      </c>
      <c r="F496" s="0" t="inlineStr">
        <is>
          <t xml:space="preserve">EXCLUDE_REVIEW</t>
        </is>
      </c>
      <c r="G496" s="0" t="inlineStr">
        <is>
          <t xml:space="preserve">BC</t>
        </is>
      </c>
      <c r="H496" s="5">
        <v>0</v>
      </c>
      <c r="I496" s="5">
        <v>0</v>
      </c>
      <c r="J496" s="5">
        <v>1</v>
      </c>
      <c r="K496" s="5">
        <v>13.010593</v>
      </c>
      <c r="L496" s="7">
        <v>0.0</v>
      </c>
      <c r="M496" s="7">
        <v>0.0</v>
      </c>
      <c r="N496" s="7">
        <v>1.0</v>
      </c>
      <c r="O496" s="7">
        <v>0.0</v>
      </c>
    </row>
    <row r="497" outlineLevel="1">
      <c r="B497" s="0" t="inlineStr">
        <is>
          <t xml:space="preserve">2025-06-05</t>
        </is>
      </c>
      <c r="C497" s="0" t="inlineStr">
        <is>
          <t xml:space="preserve">-</t>
        </is>
      </c>
      <c r="D497" s="0" t="inlineStr">
        <is>
          <t xml:space="preserve">sub_other</t>
        </is>
      </c>
      <c r="E497" s="0" t="inlineStr">
        <is>
          <t xml:space="preserve">other</t>
        </is>
      </c>
      <c r="F497" s="0" t="inlineStr">
        <is>
          <t xml:space="preserve">EXCLUDE_REVIEW</t>
        </is>
      </c>
      <c r="G497" s="0" t="inlineStr">
        <is>
          <t xml:space="preserve">BC</t>
        </is>
      </c>
      <c r="H497" s="5">
        <v>0</v>
      </c>
      <c r="I497" s="5">
        <v>0</v>
      </c>
      <c r="J497" s="5">
        <v>1</v>
      </c>
      <c r="K497" s="5">
        <v>12.880875</v>
      </c>
      <c r="L497" s="7">
        <v>0.0</v>
      </c>
      <c r="M497" s="7">
        <v>0.0</v>
      </c>
      <c r="N497" s="7">
        <v>0.0</v>
      </c>
      <c r="O497" s="7">
        <v>0.0</v>
      </c>
    </row>
    <row r="498" outlineLevel="1">
      <c r="B498" s="0" t="inlineStr">
        <is>
          <t xml:space="preserve">2026-04-06</t>
        </is>
      </c>
      <c r="C498" s="0" t="inlineStr">
        <is>
          <t xml:space="preserve">N00024-22-C-5520</t>
        </is>
      </c>
      <c r="D498" s="0" t="inlineStr">
        <is>
          <t xml:space="preserve">non_sub</t>
        </is>
      </c>
      <c r="E498" s="0" t="inlineStr">
        <is>
          <t xml:space="preserve">lead_yard</t>
        </is>
      </c>
      <c r="F498" s="0" t="inlineStr">
        <is>
          <t xml:space="preserve">EXCLUDE_REVIEW</t>
        </is>
      </c>
      <c r="G498" s="0" t="inlineStr">
        <is>
          <t xml:space="preserve">BC</t>
        </is>
      </c>
      <c r="H498" s="5">
        <v>0</v>
      </c>
      <c r="I498" s="5">
        <v>0</v>
      </c>
      <c r="J498" s="5">
        <v>1</v>
      </c>
      <c r="K498" s="5">
        <v>12.846275</v>
      </c>
      <c r="L498" s="7">
        <v>0.0</v>
      </c>
      <c r="M498" s="7">
        <v>0.0</v>
      </c>
      <c r="N498" s="7">
        <v>0.0</v>
      </c>
      <c r="O498" s="7">
        <v>0.0</v>
      </c>
    </row>
    <row r="499" outlineLevel="1">
      <c r="B499" s="0" t="inlineStr">
        <is>
          <t xml:space="preserve">2026-02-23</t>
        </is>
      </c>
      <c r="C499" s="0" t="inlineStr">
        <is>
          <t xml:space="preserve">N64498-26-D-1004</t>
        </is>
      </c>
      <c r="D499" s="0" t="inlineStr">
        <is>
          <t xml:space="preserve">sub_gfe_components</t>
        </is>
      </c>
      <c r="E499" s="0" t="inlineStr">
        <is>
          <t xml:space="preserve">component_procurement</t>
        </is>
      </c>
      <c r="F499" s="0" t="inlineStr">
        <is>
          <t xml:space="preserve">EXCLUDE_GFE</t>
        </is>
      </c>
      <c r="G499" s="0" t="inlineStr">
        <is>
          <t xml:space="preserve">BC</t>
        </is>
      </c>
      <c r="H499" s="5">
        <v>1</v>
      </c>
      <c r="I499" s="5">
        <v>1</v>
      </c>
      <c r="J499" s="5">
        <v>1</v>
      </c>
      <c r="K499" s="5">
        <v>12.778131</v>
      </c>
      <c r="L499" s="7">
        <v>0.0</v>
      </c>
      <c r="M499" s="7">
        <v>0.0</v>
      </c>
      <c r="N499" s="7">
        <v>0.0</v>
      </c>
      <c r="O499" s="7">
        <v>0.0</v>
      </c>
    </row>
    <row r="500" outlineLevel="1">
      <c r="B500" s="0" t="inlineStr">
        <is>
          <t xml:space="preserve">2023-07-27</t>
        </is>
      </c>
      <c r="C500" s="0" t="inlineStr">
        <is>
          <t xml:space="preserve">N00024-22-C-6407</t>
        </is>
      </c>
      <c r="D500" s="0" t="inlineStr">
        <is>
          <t xml:space="preserve">non_sub</t>
        </is>
      </c>
      <c r="E500" s="0" t="inlineStr">
        <is>
          <t xml:space="preserve">other</t>
        </is>
      </c>
      <c r="F500" s="0" t="inlineStr">
        <is>
          <t xml:space="preserve">EXCLUDE_REVIEW</t>
        </is>
      </c>
      <c r="G500" s="0" t="inlineStr">
        <is>
          <t xml:space="preserve">BC</t>
        </is>
      </c>
      <c r="H500" s="5">
        <v>0</v>
      </c>
      <c r="I500" s="5">
        <v>0</v>
      </c>
      <c r="J500" s="5">
        <v>1</v>
      </c>
      <c r="K500" s="5">
        <v>12.74143</v>
      </c>
      <c r="L500" s="7">
        <v>0.0</v>
      </c>
      <c r="M500" s="7">
        <v>0.0</v>
      </c>
      <c r="N500" s="7">
        <v>0.0</v>
      </c>
      <c r="O500" s="7">
        <v>0.0</v>
      </c>
    </row>
    <row r="501" outlineLevel="1">
      <c r="B501" s="0" t="inlineStr">
        <is>
          <t xml:space="preserve">2022-07-28</t>
        </is>
      </c>
      <c r="C501" s="0" t="inlineStr">
        <is>
          <t xml:space="preserve">-</t>
        </is>
      </c>
      <c r="D501" s="0" t="inlineStr">
        <is>
          <t xml:space="preserve">sub_other</t>
        </is>
      </c>
      <c r="E501" s="0" t="inlineStr">
        <is>
          <t xml:space="preserve">other</t>
        </is>
      </c>
      <c r="F501" s="0" t="inlineStr">
        <is>
          <t xml:space="preserve">EXCLUDE_REVIEW</t>
        </is>
      </c>
      <c r="G501" s="0" t="inlineStr">
        <is>
          <t xml:space="preserve">BC</t>
        </is>
      </c>
      <c r="H501" s="5">
        <v>0</v>
      </c>
      <c r="I501" s="5">
        <v>0</v>
      </c>
      <c r="J501" s="5">
        <v>1</v>
      </c>
      <c r="K501" s="5">
        <v>12.65601</v>
      </c>
      <c r="L501" s="7">
        <v>0.0</v>
      </c>
      <c r="M501" s="7">
        <v>0.0</v>
      </c>
      <c r="N501" s="7">
        <v>0.0</v>
      </c>
      <c r="O501" s="7">
        <v>0.0</v>
      </c>
    </row>
    <row r="502" outlineLevel="1">
      <c r="B502" s="0" t="inlineStr">
        <is>
          <t xml:space="preserve">2025-07-25</t>
        </is>
      </c>
      <c r="C502" s="0" t="inlineStr">
        <is>
          <t xml:space="preserve">N00024-24-C-2461</t>
        </is>
      </c>
      <c r="D502" s="0" t="inlineStr">
        <is>
          <t xml:space="preserve">non_sub</t>
        </is>
      </c>
      <c r="E502" s="0" t="inlineStr">
        <is>
          <t xml:space="preserve">other</t>
        </is>
      </c>
      <c r="F502" s="0" t="inlineStr">
        <is>
          <t xml:space="preserve">EXCLUDE_REVIEW</t>
        </is>
      </c>
      <c r="G502" s="0" t="inlineStr">
        <is>
          <t xml:space="preserve">BC</t>
        </is>
      </c>
      <c r="H502" s="5">
        <v>0</v>
      </c>
      <c r="I502" s="5">
        <v>0</v>
      </c>
      <c r="J502" s="5">
        <v>1</v>
      </c>
      <c r="K502" s="5">
        <v>12.610993</v>
      </c>
      <c r="L502" s="7">
        <v>0.0</v>
      </c>
      <c r="M502" s="7">
        <v>0.0</v>
      </c>
      <c r="N502" s="7">
        <v>1.0</v>
      </c>
      <c r="O502" s="7">
        <v>0.0</v>
      </c>
    </row>
    <row r="503" outlineLevel="1">
      <c r="B503" s="0" t="inlineStr">
        <is>
          <t xml:space="preserve">2022-07-25</t>
        </is>
      </c>
      <c r="C503" s="0" t="inlineStr">
        <is>
          <t xml:space="preserve">-</t>
        </is>
      </c>
      <c r="D503" s="0" t="inlineStr">
        <is>
          <t xml:space="preserve">non_sub</t>
        </is>
      </c>
      <c r="E503" s="0" t="inlineStr">
        <is>
          <t xml:space="preserve">engineering</t>
        </is>
      </c>
      <c r="F503" s="0" t="inlineStr">
        <is>
          <t xml:space="preserve">EXCLUDE_REVIEW</t>
        </is>
      </c>
      <c r="G503" s="0" t="inlineStr">
        <is>
          <t xml:space="preserve">BC</t>
        </is>
      </c>
      <c r="H503" s="5">
        <v>0</v>
      </c>
      <c r="I503" s="5">
        <v>0</v>
      </c>
      <c r="J503" s="5">
        <v>1</v>
      </c>
      <c r="K503" s="5">
        <v>12.565396</v>
      </c>
      <c r="L503" s="7">
        <v>0.0</v>
      </c>
      <c r="M503" s="7">
        <v>0.0</v>
      </c>
      <c r="N503" s="7">
        <v>0.0</v>
      </c>
      <c r="O503" s="7">
        <v>0.0</v>
      </c>
    </row>
    <row r="504" outlineLevel="1">
      <c r="B504" s="0" t="inlineStr">
        <is>
          <t xml:space="preserve">2025-12-18</t>
        </is>
      </c>
      <c r="C504" s="0" t="inlineStr">
        <is>
          <t xml:space="preserve">N00024-21-C-2106</t>
        </is>
      </c>
      <c r="D504" s="0" t="inlineStr">
        <is>
          <t xml:space="preserve">non_sub</t>
        </is>
      </c>
      <c r="E504" s="0" t="inlineStr">
        <is>
          <t xml:space="preserve">repair_overhaul</t>
        </is>
      </c>
      <c r="F504" s="0" t="inlineStr">
        <is>
          <t xml:space="preserve">EXCLUDE_REVIEW</t>
        </is>
      </c>
      <c r="G504" s="0" t="inlineStr">
        <is>
          <t xml:space="preserve">BC</t>
        </is>
      </c>
      <c r="H504" s="5">
        <v>0</v>
      </c>
      <c r="I504" s="5">
        <v>0</v>
      </c>
      <c r="J504" s="5">
        <v>1</v>
      </c>
      <c r="K504" s="5">
        <v>12.5</v>
      </c>
      <c r="L504" s="7">
        <v>0.0</v>
      </c>
      <c r="M504" s="7">
        <v>0.0</v>
      </c>
      <c r="N504" s="7">
        <v>0.0</v>
      </c>
      <c r="O504" s="7">
        <v>0.0</v>
      </c>
    </row>
    <row r="505" outlineLevel="1">
      <c r="B505" s="0" t="inlineStr">
        <is>
          <t xml:space="preserve">2023-10-18</t>
        </is>
      </c>
      <c r="C505" s="0" t="inlineStr">
        <is>
          <t xml:space="preserve">N00024-20-C-5203</t>
        </is>
      </c>
      <c r="D505" s="0" t="inlineStr">
        <is>
          <t xml:space="preserve">non_sub</t>
        </is>
      </c>
      <c r="E505" s="0" t="inlineStr">
        <is>
          <t xml:space="preserve">other</t>
        </is>
      </c>
      <c r="F505" s="0" t="inlineStr">
        <is>
          <t xml:space="preserve">EXCLUDE_REVIEW</t>
        </is>
      </c>
      <c r="G505" s="0" t="inlineStr">
        <is>
          <t xml:space="preserve">BC</t>
        </is>
      </c>
      <c r="H505" s="5">
        <v>0</v>
      </c>
      <c r="I505" s="5">
        <v>0</v>
      </c>
      <c r="J505" s="5">
        <v>1</v>
      </c>
      <c r="K505" s="5">
        <v>12.415389</v>
      </c>
      <c r="L505" s="7">
        <v>0.0</v>
      </c>
      <c r="M505" s="7">
        <v>0.0</v>
      </c>
      <c r="N505" s="7">
        <v>1.0</v>
      </c>
      <c r="O505" s="7">
        <v>0.0</v>
      </c>
    </row>
    <row r="506" outlineLevel="1">
      <c r="B506" s="0" t="inlineStr">
        <is>
          <t xml:space="preserve">2025-02-27</t>
        </is>
      </c>
      <c r="C506" s="0" t="inlineStr">
        <is>
          <t xml:space="preserve">N00024-20-C-6117</t>
        </is>
      </c>
      <c r="D506" s="0" t="inlineStr">
        <is>
          <t xml:space="preserve">non_sub</t>
        </is>
      </c>
      <c r="E506" s="0" t="inlineStr">
        <is>
          <t xml:space="preserve">other</t>
        </is>
      </c>
      <c r="F506" s="0" t="inlineStr">
        <is>
          <t xml:space="preserve">EXCLUDE_REVIEW</t>
        </is>
      </c>
      <c r="G506" s="0" t="inlineStr">
        <is>
          <t xml:space="preserve">BC</t>
        </is>
      </c>
      <c r="H506" s="5">
        <v>0</v>
      </c>
      <c r="I506" s="5">
        <v>0</v>
      </c>
      <c r="J506" s="5">
        <v>1</v>
      </c>
      <c r="K506" s="5">
        <v>12.312904</v>
      </c>
      <c r="L506" s="7">
        <v>0.0</v>
      </c>
      <c r="M506" s="7">
        <v>0.0</v>
      </c>
      <c r="N506" s="7">
        <v>1.0</v>
      </c>
      <c r="O506" s="7">
        <v>0.0</v>
      </c>
    </row>
    <row r="507" outlineLevel="1">
      <c r="B507" s="0" t="inlineStr">
        <is>
          <t xml:space="preserve">2025-06-09</t>
        </is>
      </c>
      <c r="C507" s="0" t="inlineStr">
        <is>
          <t xml:space="preserve">N00024-19-D-4323</t>
        </is>
      </c>
      <c r="D507" s="0" t="inlineStr">
        <is>
          <t xml:space="preserve">non_sub</t>
        </is>
      </c>
      <c r="E507" s="0" t="inlineStr">
        <is>
          <t xml:space="preserve">other</t>
        </is>
      </c>
      <c r="F507" s="0" t="inlineStr">
        <is>
          <t xml:space="preserve">EXCLUDE_REVIEW</t>
        </is>
      </c>
      <c r="G507" s="0" t="inlineStr">
        <is>
          <t xml:space="preserve">BC</t>
        </is>
      </c>
      <c r="H507" s="5">
        <v>0</v>
      </c>
      <c r="I507" s="5">
        <v>0</v>
      </c>
      <c r="J507" s="5">
        <v>1</v>
      </c>
      <c r="K507" s="5">
        <v>12.2</v>
      </c>
      <c r="L507" s="7">
        <v>0.0</v>
      </c>
      <c r="M507" s="7">
        <v>0.0</v>
      </c>
      <c r="N507" s="7">
        <v>0.0</v>
      </c>
      <c r="O507" s="7">
        <v>0.0</v>
      </c>
    </row>
    <row r="508" outlineLevel="1">
      <c r="B508" s="0" t="inlineStr">
        <is>
          <t xml:space="preserve">2025-02-03</t>
        </is>
      </c>
      <c r="C508" s="0" t="inlineStr">
        <is>
          <t xml:space="preserve">-</t>
        </is>
      </c>
      <c r="D508" s="0" t="inlineStr">
        <is>
          <t xml:space="preserve">non_sub</t>
        </is>
      </c>
      <c r="E508" s="0" t="inlineStr">
        <is>
          <t xml:space="preserve">fms</t>
        </is>
      </c>
      <c r="F508" s="0" t="inlineStr">
        <is>
          <t xml:space="preserve">EXCLUDE_REVIEW</t>
        </is>
      </c>
      <c r="G508" s="0" t="inlineStr">
        <is>
          <t xml:space="preserve">BC</t>
        </is>
      </c>
      <c r="H508" s="5">
        <v>0</v>
      </c>
      <c r="I508" s="5">
        <v>0</v>
      </c>
      <c r="J508" s="5">
        <v>1</v>
      </c>
      <c r="K508" s="5">
        <v>12.160995</v>
      </c>
      <c r="L508" s="7">
        <v>0.0</v>
      </c>
      <c r="M508" s="7">
        <v>0.0</v>
      </c>
      <c r="N508" s="7">
        <v>0.0</v>
      </c>
      <c r="O508" s="7">
        <v>0.0</v>
      </c>
    </row>
    <row r="509" outlineLevel="1">
      <c r="B509" s="0" t="inlineStr">
        <is>
          <t xml:space="preserve">2025-01-24</t>
        </is>
      </c>
      <c r="C509" s="0" t="inlineStr">
        <is>
          <t xml:space="preserve">N00024-24-C-5105</t>
        </is>
      </c>
      <c r="D509" s="0" t="inlineStr">
        <is>
          <t xml:space="preserve">non_sub</t>
        </is>
      </c>
      <c r="E509" s="0" t="inlineStr">
        <is>
          <t xml:space="preserve">other</t>
        </is>
      </c>
      <c r="F509" s="0" t="inlineStr">
        <is>
          <t xml:space="preserve">EXCLUDE_REVIEW</t>
        </is>
      </c>
      <c r="G509" s="0" t="inlineStr">
        <is>
          <t xml:space="preserve">BC</t>
        </is>
      </c>
      <c r="H509" s="5">
        <v>0</v>
      </c>
      <c r="I509" s="5">
        <v>0</v>
      </c>
      <c r="J509" s="5">
        <v>1</v>
      </c>
      <c r="K509" s="5">
        <v>12.010982</v>
      </c>
      <c r="L509" s="7">
        <v>0.0</v>
      </c>
      <c r="M509" s="7">
        <v>0.15</v>
      </c>
      <c r="N509" s="7">
        <v>0.85</v>
      </c>
      <c r="O509" s="7">
        <v>0.0</v>
      </c>
    </row>
    <row r="510" outlineLevel="1">
      <c r="B510" s="0" t="inlineStr">
        <is>
          <t xml:space="preserve">2023-06-16</t>
        </is>
      </c>
      <c r="C510" s="0" t="inlineStr">
        <is>
          <t xml:space="preserve">-</t>
        </is>
      </c>
      <c r="D510" s="0" t="inlineStr">
        <is>
          <t xml:space="preserve">sub_other</t>
        </is>
      </c>
      <c r="E510" s="0" t="inlineStr">
        <is>
          <t xml:space="preserve">other</t>
        </is>
      </c>
      <c r="F510" s="0" t="inlineStr">
        <is>
          <t xml:space="preserve">EXCLUDE_REVIEW</t>
        </is>
      </c>
      <c r="G510" s="0" t="inlineStr">
        <is>
          <t xml:space="preserve">BC</t>
        </is>
      </c>
      <c r="H510" s="5">
        <v>0</v>
      </c>
      <c r="I510" s="5">
        <v>0</v>
      </c>
      <c r="J510" s="5">
        <v>1</v>
      </c>
      <c r="K510" s="5">
        <v>11.983156</v>
      </c>
      <c r="L510" s="7">
        <v>0.0</v>
      </c>
      <c r="M510" s="7">
        <v>0.0</v>
      </c>
      <c r="N510" s="7">
        <v>0.99</v>
      </c>
      <c r="O510" s="7">
        <v>0.0</v>
      </c>
    </row>
    <row r="511" outlineLevel="1">
      <c r="B511" s="0" t="inlineStr">
        <is>
          <t xml:space="preserve">2026-03-17</t>
        </is>
      </c>
      <c r="C511" s="0" t="inlineStr">
        <is>
          <t xml:space="preserve">N00024-22-C-6418</t>
        </is>
      </c>
      <c r="D511" s="0" t="inlineStr">
        <is>
          <t xml:space="preserve">non_sub</t>
        </is>
      </c>
      <c r="E511" s="0" t="inlineStr">
        <is>
          <t xml:space="preserve">other</t>
        </is>
      </c>
      <c r="F511" s="0" t="inlineStr">
        <is>
          <t xml:space="preserve">EXCLUDE_REVIEW</t>
        </is>
      </c>
      <c r="G511" s="0" t="inlineStr">
        <is>
          <t xml:space="preserve">BC</t>
        </is>
      </c>
      <c r="H511" s="5">
        <v>0</v>
      </c>
      <c r="I511" s="5">
        <v>0</v>
      </c>
      <c r="J511" s="5">
        <v>1</v>
      </c>
      <c r="K511" s="5">
        <v>11.98019</v>
      </c>
      <c r="L511" s="7">
        <v>0.0</v>
      </c>
      <c r="M511" s="7">
        <v>0.0</v>
      </c>
      <c r="N511" s="7">
        <v>0.0</v>
      </c>
      <c r="O511" s="7">
        <v>0.0</v>
      </c>
    </row>
    <row r="512" outlineLevel="1">
      <c r="B512" s="0" t="inlineStr">
        <is>
          <t xml:space="preserve">2026-04-20</t>
        </is>
      </c>
      <c r="C512" s="0" t="inlineStr">
        <is>
          <t xml:space="preserve">-</t>
        </is>
      </c>
      <c r="D512" s="0" t="inlineStr">
        <is>
          <t xml:space="preserve">non_sub</t>
        </is>
      </c>
      <c r="E512" s="0" t="inlineStr">
        <is>
          <t xml:space="preserve">other</t>
        </is>
      </c>
      <c r="F512" s="0" t="inlineStr">
        <is>
          <t xml:space="preserve">EXCLUDE_REVIEW</t>
        </is>
      </c>
      <c r="G512" s="0" t="inlineStr">
        <is>
          <t xml:space="preserve">BC</t>
        </is>
      </c>
      <c r="H512" s="5">
        <v>0</v>
      </c>
      <c r="I512" s="5">
        <v>0</v>
      </c>
      <c r="J512" s="5">
        <v>1</v>
      </c>
      <c r="K512" s="5">
        <v>11.952154</v>
      </c>
      <c r="L512" s="7">
        <v>0.0</v>
      </c>
      <c r="M512" s="7">
        <v>0.0</v>
      </c>
      <c r="N512" s="7">
        <v>1.0</v>
      </c>
      <c r="O512" s="7">
        <v>0.0</v>
      </c>
    </row>
    <row r="513" outlineLevel="1">
      <c r="B513" s="0" t="inlineStr">
        <is>
          <t xml:space="preserve">2023-07-06</t>
        </is>
      </c>
      <c r="C513" s="0" t="inlineStr">
        <is>
          <t xml:space="preserve">-</t>
        </is>
      </c>
      <c r="D513" s="0" t="inlineStr">
        <is>
          <t xml:space="preserve">non_sub</t>
        </is>
      </c>
      <c r="E513" s="0" t="inlineStr">
        <is>
          <t xml:space="preserve">other</t>
        </is>
      </c>
      <c r="F513" s="0" t="inlineStr">
        <is>
          <t xml:space="preserve">EXCLUDE_REVIEW</t>
        </is>
      </c>
      <c r="G513" s="0" t="inlineStr">
        <is>
          <t xml:space="preserve">BC</t>
        </is>
      </c>
      <c r="H513" s="5">
        <v>0</v>
      </c>
      <c r="I513" s="5">
        <v>0</v>
      </c>
      <c r="J513" s="5">
        <v>1</v>
      </c>
      <c r="K513" s="5">
        <v>11.879879</v>
      </c>
      <c r="L513" s="7">
        <v>0.0</v>
      </c>
      <c r="M513" s="7">
        <v>0.0</v>
      </c>
      <c r="N513" s="7">
        <v>1.0</v>
      </c>
      <c r="O513" s="7">
        <v>0.0</v>
      </c>
    </row>
    <row r="514" outlineLevel="1">
      <c r="B514" s="0" t="inlineStr">
        <is>
          <t xml:space="preserve">2025-08-04</t>
        </is>
      </c>
      <c r="C514" s="0" t="inlineStr">
        <is>
          <t xml:space="preserve">N00024-23-C-2103</t>
        </is>
      </c>
      <c r="D514" s="0" t="inlineStr">
        <is>
          <t xml:space="preserve">non_sub</t>
        </is>
      </c>
      <c r="E514" s="0" t="inlineStr">
        <is>
          <t xml:space="preserve">fms</t>
        </is>
      </c>
      <c r="F514" s="0" t="inlineStr">
        <is>
          <t xml:space="preserve">EXCLUDE_REVIEW</t>
        </is>
      </c>
      <c r="G514" s="0" t="inlineStr">
        <is>
          <t xml:space="preserve">BC</t>
        </is>
      </c>
      <c r="H514" s="5">
        <v>0</v>
      </c>
      <c r="I514" s="5">
        <v>0</v>
      </c>
      <c r="J514" s="5">
        <v>1</v>
      </c>
      <c r="K514" s="5">
        <v>11.866132</v>
      </c>
      <c r="L514" s="7">
        <v>0.0</v>
      </c>
      <c r="M514" s="7">
        <v>0.0</v>
      </c>
      <c r="N514" s="7">
        <v>0.0</v>
      </c>
      <c r="O514" s="7">
        <v>0.0</v>
      </c>
    </row>
    <row r="515" outlineLevel="1">
      <c r="B515" s="0" t="inlineStr">
        <is>
          <t xml:space="preserve">2024-08-27</t>
        </is>
      </c>
      <c r="C515" s="0" t="inlineStr">
        <is>
          <t xml:space="preserve">N00024-23-C-6132</t>
        </is>
      </c>
      <c r="D515" s="0" t="inlineStr">
        <is>
          <t xml:space="preserve">non_sub</t>
        </is>
      </c>
      <c r="E515" s="0" t="inlineStr">
        <is>
          <t xml:space="preserve">design</t>
        </is>
      </c>
      <c r="F515" s="0" t="inlineStr">
        <is>
          <t xml:space="preserve">EXCLUDE_REVIEW</t>
        </is>
      </c>
      <c r="G515" s="0" t="inlineStr">
        <is>
          <t xml:space="preserve">BC</t>
        </is>
      </c>
      <c r="H515" s="5">
        <v>0</v>
      </c>
      <c r="I515" s="5">
        <v>0</v>
      </c>
      <c r="J515" s="5">
        <v>1</v>
      </c>
      <c r="K515" s="5">
        <v>11.772339</v>
      </c>
      <c r="L515" s="7">
        <v>0.0</v>
      </c>
      <c r="M515" s="7">
        <v>0.0</v>
      </c>
      <c r="N515" s="7">
        <v>0.0</v>
      </c>
      <c r="O515" s="7">
        <v>0.0</v>
      </c>
    </row>
    <row r="516" outlineLevel="1">
      <c r="B516" s="0" t="inlineStr">
        <is>
          <t xml:space="preserve">2023-12-19</t>
        </is>
      </c>
      <c r="C516" s="0" t="inlineStr">
        <is>
          <t xml:space="preserve">N00024-24-C-4301</t>
        </is>
      </c>
      <c r="D516" s="0" t="inlineStr">
        <is>
          <t xml:space="preserve">non_sub</t>
        </is>
      </c>
      <c r="E516" s="0" t="inlineStr">
        <is>
          <t xml:space="preserve">sustainment_maintenance</t>
        </is>
      </c>
      <c r="F516" s="0" t="inlineStr">
        <is>
          <t xml:space="preserve">EXCLUDE_REVIEW</t>
        </is>
      </c>
      <c r="G516" s="0" t="inlineStr">
        <is>
          <t xml:space="preserve">BC</t>
        </is>
      </c>
      <c r="H516" s="5">
        <v>0</v>
      </c>
      <c r="I516" s="5">
        <v>0</v>
      </c>
      <c r="J516" s="5">
        <v>1</v>
      </c>
      <c r="K516" s="5">
        <v>11.731666</v>
      </c>
      <c r="L516" s="7">
        <v>0.0</v>
      </c>
      <c r="M516" s="7">
        <v>0.0</v>
      </c>
      <c r="N516" s="7">
        <v>1.0</v>
      </c>
      <c r="O516" s="7">
        <v>0.0</v>
      </c>
    </row>
    <row r="517" outlineLevel="1">
      <c r="B517" s="0" t="inlineStr">
        <is>
          <t xml:space="preserve">2025-07-31</t>
        </is>
      </c>
      <c r="C517" s="0" t="inlineStr">
        <is>
          <t xml:space="preserve">-</t>
        </is>
      </c>
      <c r="D517" s="0" t="inlineStr">
        <is>
          <t xml:space="preserve">non_sub</t>
        </is>
      </c>
      <c r="E517" s="0" t="inlineStr">
        <is>
          <t xml:space="preserve">sustainment_maintenance</t>
        </is>
      </c>
      <c r="F517" s="0" t="inlineStr">
        <is>
          <t xml:space="preserve">EXCLUDE_REVIEW</t>
        </is>
      </c>
      <c r="G517" s="0" t="inlineStr">
        <is>
          <t xml:space="preserve">BC</t>
        </is>
      </c>
      <c r="H517" s="5">
        <v>0</v>
      </c>
      <c r="I517" s="5">
        <v>0</v>
      </c>
      <c r="J517" s="5">
        <v>1</v>
      </c>
      <c r="K517" s="5">
        <v>11.706592</v>
      </c>
      <c r="L517" s="7">
        <v>0.0</v>
      </c>
      <c r="M517" s="7">
        <v>0.0</v>
      </c>
      <c r="N517" s="7">
        <v>0.0</v>
      </c>
      <c r="O517" s="7">
        <v>0.0</v>
      </c>
    </row>
    <row r="518" outlineLevel="1">
      <c r="B518" s="0" t="inlineStr">
        <is>
          <t xml:space="preserve">2025-03-14</t>
        </is>
      </c>
      <c r="C518" s="0" t="inlineStr">
        <is>
          <t xml:space="preserve">N00024-25-C-2218</t>
        </is>
      </c>
      <c r="D518" s="0" t="inlineStr">
        <is>
          <t xml:space="preserve">non_sub</t>
        </is>
      </c>
      <c r="E518" s="0" t="inlineStr">
        <is>
          <t xml:space="preserve">other</t>
        </is>
      </c>
      <c r="F518" s="0" t="inlineStr">
        <is>
          <t xml:space="preserve">EXCLUDE_REVIEW</t>
        </is>
      </c>
      <c r="G518" s="0" t="inlineStr">
        <is>
          <t xml:space="preserve">BC</t>
        </is>
      </c>
      <c r="H518" s="5">
        <v>0</v>
      </c>
      <c r="I518" s="5">
        <v>0</v>
      </c>
      <c r="J518" s="5">
        <v>1</v>
      </c>
      <c r="K518" s="5">
        <v>11.70625</v>
      </c>
      <c r="L518" s="7">
        <v>0.0</v>
      </c>
      <c r="M518" s="7">
        <v>0.0</v>
      </c>
      <c r="N518" s="7">
        <v>0.0</v>
      </c>
      <c r="O518" s="7">
        <v>0.0</v>
      </c>
    </row>
    <row r="519" outlineLevel="1">
      <c r="B519" s="0" t="inlineStr">
        <is>
          <t xml:space="preserve">2024-09-10</t>
        </is>
      </c>
      <c r="C519" s="0" t="inlineStr">
        <is>
          <t xml:space="preserve">N00024-21-C-6113</t>
        </is>
      </c>
      <c r="D519" s="0" t="inlineStr">
        <is>
          <t xml:space="preserve">non_sub</t>
        </is>
      </c>
      <c r="E519" s="0" t="inlineStr">
        <is>
          <t xml:space="preserve">other</t>
        </is>
      </c>
      <c r="F519" s="0" t="inlineStr">
        <is>
          <t xml:space="preserve">EXCLUDE_REVIEW</t>
        </is>
      </c>
      <c r="G519" s="0" t="inlineStr">
        <is>
          <t xml:space="preserve">BC</t>
        </is>
      </c>
      <c r="H519" s="5">
        <v>0</v>
      </c>
      <c r="I519" s="5">
        <v>0</v>
      </c>
      <c r="J519" s="5">
        <v>1</v>
      </c>
      <c r="K519" s="5">
        <v>11.663202</v>
      </c>
      <c r="L519" s="7">
        <v>0.0</v>
      </c>
      <c r="M519" s="7">
        <v>0.0</v>
      </c>
      <c r="N519" s="7">
        <v>1.0</v>
      </c>
      <c r="O519" s="7">
        <v>0.0</v>
      </c>
    </row>
    <row r="520" outlineLevel="1">
      <c r="B520" s="0" t="inlineStr">
        <is>
          <t xml:space="preserve">2023-12-28</t>
        </is>
      </c>
      <c r="C520" s="0" t="inlineStr">
        <is>
          <t xml:space="preserve">-</t>
        </is>
      </c>
      <c r="D520" s="0" t="inlineStr">
        <is>
          <t xml:space="preserve">non_sub</t>
        </is>
      </c>
      <c r="E520" s="0" t="inlineStr">
        <is>
          <t xml:space="preserve">other</t>
        </is>
      </c>
      <c r="F520" s="0" t="inlineStr">
        <is>
          <t xml:space="preserve">EXCLUDE_REVIEW</t>
        </is>
      </c>
      <c r="G520" s="0" t="inlineStr">
        <is>
          <t xml:space="preserve">BC</t>
        </is>
      </c>
      <c r="H520" s="5">
        <v>0</v>
      </c>
      <c r="I520" s="5">
        <v>0</v>
      </c>
      <c r="J520" s="5">
        <v>1</v>
      </c>
      <c r="K520" s="5">
        <v>11.6</v>
      </c>
      <c r="L520" s="7">
        <v>0.0</v>
      </c>
      <c r="M520" s="7">
        <v>0.0</v>
      </c>
      <c r="N520" s="7">
        <v>1.0</v>
      </c>
      <c r="O520" s="7">
        <v>0.0</v>
      </c>
    </row>
    <row r="521" outlineLevel="1">
      <c r="B521" s="0" t="inlineStr">
        <is>
          <t xml:space="preserve">2025-03-14</t>
        </is>
      </c>
      <c r="C521" s="0" t="inlineStr">
        <is>
          <t xml:space="preserve">N00024-22-C-6418</t>
        </is>
      </c>
      <c r="D521" s="0" t="inlineStr">
        <is>
          <t xml:space="preserve">non_sub</t>
        </is>
      </c>
      <c r="E521" s="0" t="inlineStr">
        <is>
          <t xml:space="preserve">other</t>
        </is>
      </c>
      <c r="F521" s="0" t="inlineStr">
        <is>
          <t xml:space="preserve">EXCLUDE_REVIEW</t>
        </is>
      </c>
      <c r="G521" s="0" t="inlineStr">
        <is>
          <t xml:space="preserve">BC</t>
        </is>
      </c>
      <c r="H521" s="5">
        <v>0</v>
      </c>
      <c r="I521" s="5">
        <v>0</v>
      </c>
      <c r="J521" s="5">
        <v>1</v>
      </c>
      <c r="K521" s="5">
        <v>11.5978</v>
      </c>
      <c r="L521" s="7">
        <v>0.0</v>
      </c>
      <c r="M521" s="7">
        <v>0.0</v>
      </c>
      <c r="N521" s="7">
        <v>0.0</v>
      </c>
      <c r="O521" s="7">
        <v>0.0</v>
      </c>
    </row>
    <row r="522" outlineLevel="1">
      <c r="B522" s="0" t="inlineStr">
        <is>
          <t xml:space="preserve">2025-02-12</t>
        </is>
      </c>
      <c r="C522" s="0" t="inlineStr">
        <is>
          <t xml:space="preserve">-</t>
        </is>
      </c>
      <c r="D522" s="0" t="inlineStr">
        <is>
          <t xml:space="preserve">non_sub</t>
        </is>
      </c>
      <c r="E522" s="0" t="inlineStr">
        <is>
          <t xml:space="preserve">other</t>
        </is>
      </c>
      <c r="F522" s="0" t="inlineStr">
        <is>
          <t xml:space="preserve">EXCLUDE_REVIEW</t>
        </is>
      </c>
      <c r="G522" s="0" t="inlineStr">
        <is>
          <t xml:space="preserve">BC</t>
        </is>
      </c>
      <c r="H522" s="5">
        <v>0</v>
      </c>
      <c r="I522" s="5">
        <v>0</v>
      </c>
      <c r="J522" s="5">
        <v>1</v>
      </c>
      <c r="K522" s="5">
        <v>11.553284</v>
      </c>
      <c r="L522" s="7">
        <v>0.0</v>
      </c>
      <c r="M522" s="7">
        <v>0.0</v>
      </c>
      <c r="N522" s="7">
        <v>0.0</v>
      </c>
      <c r="O522" s="7">
        <v>0.0</v>
      </c>
    </row>
    <row r="523" outlineLevel="1">
      <c r="B523" s="0" t="inlineStr">
        <is>
          <t xml:space="preserve">2025-07-31</t>
        </is>
      </c>
      <c r="C523" s="0" t="inlineStr">
        <is>
          <t xml:space="preserve">N00024-17-C-4109</t>
        </is>
      </c>
      <c r="D523" s="0" t="inlineStr">
        <is>
          <t xml:space="preserve">non_sub</t>
        </is>
      </c>
      <c r="E523" s="0" t="inlineStr">
        <is>
          <t xml:space="preserve">construction</t>
        </is>
      </c>
      <c r="F523" s="0" t="inlineStr">
        <is>
          <t xml:space="preserve">INCLUDE_BC</t>
        </is>
      </c>
      <c r="G523" s="0" t="inlineStr">
        <is>
          <t xml:space="preserve">BC</t>
        </is>
      </c>
      <c r="H523" s="5">
        <v>0</v>
      </c>
      <c r="I523" s="5">
        <v>0</v>
      </c>
      <c r="J523" s="5">
        <v>1</v>
      </c>
      <c r="K523" s="5">
        <v>11.526652</v>
      </c>
      <c r="L523" s="7">
        <v>0.0</v>
      </c>
      <c r="M523" s="7">
        <v>0.0</v>
      </c>
      <c r="N523" s="7">
        <v>0.0</v>
      </c>
      <c r="O523" s="7">
        <v>0.0</v>
      </c>
    </row>
    <row r="524" outlineLevel="1">
      <c r="B524" s="0" t="inlineStr">
        <is>
          <t xml:space="preserve">2025-06-25</t>
        </is>
      </c>
      <c r="C524" s="0" t="inlineStr">
        <is>
          <t xml:space="preserve">N00024-25-C-4431</t>
        </is>
      </c>
      <c r="D524" s="0" t="inlineStr">
        <is>
          <t xml:space="preserve">non_sub</t>
        </is>
      </c>
      <c r="E524" s="0" t="inlineStr">
        <is>
          <t xml:space="preserve">sustainment_maintenance</t>
        </is>
      </c>
      <c r="F524" s="0" t="inlineStr">
        <is>
          <t xml:space="preserve">EXCLUDE_REVIEW</t>
        </is>
      </c>
      <c r="G524" s="0" t="inlineStr">
        <is>
          <t xml:space="preserve">BC</t>
        </is>
      </c>
      <c r="H524" s="5">
        <v>0</v>
      </c>
      <c r="I524" s="5">
        <v>0</v>
      </c>
      <c r="J524" s="5">
        <v>1</v>
      </c>
      <c r="K524" s="5">
        <v>11.488745</v>
      </c>
      <c r="L524" s="7">
        <v>0.0</v>
      </c>
      <c r="M524" s="7">
        <v>0.0</v>
      </c>
      <c r="N524" s="7">
        <v>0.0</v>
      </c>
      <c r="O524" s="7">
        <v>0.0</v>
      </c>
    </row>
    <row r="525" outlineLevel="1">
      <c r="B525" s="0" t="inlineStr">
        <is>
          <t xml:space="preserve">2026-05-14</t>
        </is>
      </c>
      <c r="C525" s="0" t="inlineStr">
        <is>
          <t xml:space="preserve">-</t>
        </is>
      </c>
      <c r="D525" s="0" t="inlineStr">
        <is>
          <t xml:space="preserve">va</t>
        </is>
      </c>
      <c r="E525" s="0" t="inlineStr">
        <is>
          <t xml:space="preserve">other</t>
        </is>
      </c>
      <c r="F525" s="0" t="inlineStr">
        <is>
          <t xml:space="preserve">EXCLUDE_REVIEW</t>
        </is>
      </c>
      <c r="G525" s="0" t="inlineStr">
        <is>
          <t xml:space="preserve">BC</t>
        </is>
      </c>
      <c r="H525" s="5">
        <v>0</v>
      </c>
      <c r="I525" s="5">
        <v>0</v>
      </c>
      <c r="J525" s="5">
        <v>1</v>
      </c>
      <c r="K525" s="5">
        <v>11.475</v>
      </c>
      <c r="L525" s="7">
        <v>0.0</v>
      </c>
      <c r="M525" s="7">
        <v>0.0</v>
      </c>
      <c r="N525" s="7">
        <v>0.0</v>
      </c>
      <c r="O525" s="7">
        <v>0.0</v>
      </c>
    </row>
    <row r="526" outlineLevel="1">
      <c r="B526" s="0" t="inlineStr">
        <is>
          <t xml:space="preserve">2025-09-12</t>
        </is>
      </c>
      <c r="C526" s="0" t="inlineStr">
        <is>
          <t xml:space="preserve">N62793-25-F-7512</t>
        </is>
      </c>
      <c r="D526" s="0" t="inlineStr">
        <is>
          <t xml:space="preserve">non_sub</t>
        </is>
      </c>
      <c r="E526" s="0" t="inlineStr">
        <is>
          <t xml:space="preserve">repair_overhaul</t>
        </is>
      </c>
      <c r="F526" s="0" t="inlineStr">
        <is>
          <t xml:space="preserve">EXCLUDE_REVIEW</t>
        </is>
      </c>
      <c r="G526" s="0" t="inlineStr">
        <is>
          <t xml:space="preserve">BC</t>
        </is>
      </c>
      <c r="H526" s="5">
        <v>0</v>
      </c>
      <c r="I526" s="5">
        <v>0</v>
      </c>
      <c r="J526" s="5">
        <v>1</v>
      </c>
      <c r="K526" s="5">
        <v>11.3624</v>
      </c>
      <c r="L526" s="7">
        <v>0.0</v>
      </c>
      <c r="M526" s="7">
        <v>0.0</v>
      </c>
      <c r="N526" s="7">
        <v>0.0</v>
      </c>
      <c r="O526" s="7">
        <v>0.0</v>
      </c>
    </row>
    <row r="527" outlineLevel="1">
      <c r="B527" s="0" t="inlineStr">
        <is>
          <t xml:space="preserve">2024-02-07</t>
        </is>
      </c>
      <c r="C527" s="0" t="inlineStr">
        <is>
          <t xml:space="preserve">-</t>
        </is>
      </c>
      <c r="D527" s="0" t="inlineStr">
        <is>
          <t xml:space="preserve">non_sub</t>
        </is>
      </c>
      <c r="E527" s="0" t="inlineStr">
        <is>
          <t xml:space="preserve">fms</t>
        </is>
      </c>
      <c r="F527" s="0" t="inlineStr">
        <is>
          <t xml:space="preserve">EXCLUDE_REVIEW</t>
        </is>
      </c>
      <c r="G527" s="0" t="inlineStr">
        <is>
          <t xml:space="preserve">BC</t>
        </is>
      </c>
      <c r="H527" s="5">
        <v>0</v>
      </c>
      <c r="I527" s="5">
        <v>0</v>
      </c>
      <c r="J527" s="5">
        <v>1</v>
      </c>
      <c r="K527" s="5">
        <v>11.3364</v>
      </c>
      <c r="L527" s="7">
        <v>0.0</v>
      </c>
      <c r="M527" s="7">
        <v>0.0</v>
      </c>
      <c r="N527" s="7">
        <v>0.0</v>
      </c>
      <c r="O527" s="7">
        <v>0.0</v>
      </c>
    </row>
    <row r="528" outlineLevel="1">
      <c r="B528" s="0" t="inlineStr">
        <is>
          <t xml:space="preserve">2025-04-11</t>
        </is>
      </c>
      <c r="C528" s="0" t="inlineStr">
        <is>
          <t xml:space="preserve">N00024-24-C-2112</t>
        </is>
      </c>
      <c r="D528" s="0" t="inlineStr">
        <is>
          <t xml:space="preserve">bpmi_nuclear</t>
        </is>
      </c>
      <c r="E528" s="0" t="inlineStr">
        <is>
          <t xml:space="preserve">component_procurement</t>
        </is>
      </c>
      <c r="F528" s="0" t="inlineStr">
        <is>
          <t xml:space="preserve">EXCLUDE_GFE_NUCLEAR</t>
        </is>
      </c>
      <c r="G528" s="0" t="inlineStr">
        <is>
          <t xml:space="preserve">BC</t>
        </is>
      </c>
      <c r="H528" s="5">
        <v>1</v>
      </c>
      <c r="I528" s="5">
        <v>1</v>
      </c>
      <c r="J528" s="5">
        <v>1</v>
      </c>
      <c r="K528" s="5">
        <v>11.264307</v>
      </c>
      <c r="L528" s="7">
        <v>0.0</v>
      </c>
      <c r="M528" s="7">
        <v>0.0</v>
      </c>
      <c r="N528" s="7">
        <v>1.0</v>
      </c>
      <c r="O528" s="7">
        <v>0.0</v>
      </c>
    </row>
    <row r="529" outlineLevel="1">
      <c r="B529" s="0" t="inlineStr">
        <is>
          <t xml:space="preserve">2025-01-31</t>
        </is>
      </c>
      <c r="C529" s="0" t="inlineStr">
        <is>
          <t xml:space="preserve">-</t>
        </is>
      </c>
      <c r="D529" s="0" t="inlineStr">
        <is>
          <t xml:space="preserve">non_sub</t>
        </is>
      </c>
      <c r="E529" s="0" t="inlineStr">
        <is>
          <t xml:space="preserve">other</t>
        </is>
      </c>
      <c r="F529" s="0" t="inlineStr">
        <is>
          <t xml:space="preserve">EXCLUDE_REVIEW</t>
        </is>
      </c>
      <c r="G529" s="0" t="inlineStr">
        <is>
          <t xml:space="preserve">BC</t>
        </is>
      </c>
      <c r="H529" s="5">
        <v>0</v>
      </c>
      <c r="I529" s="5">
        <v>0</v>
      </c>
      <c r="J529" s="5">
        <v>1</v>
      </c>
      <c r="K529" s="5">
        <v>11.152002</v>
      </c>
      <c r="L529" s="7">
        <v>0.0</v>
      </c>
      <c r="M529" s="7">
        <v>0.0</v>
      </c>
      <c r="N529" s="7">
        <v>1.0</v>
      </c>
      <c r="O529" s="7">
        <v>0.0</v>
      </c>
    </row>
    <row r="530" outlineLevel="1">
      <c r="B530" s="0" t="inlineStr">
        <is>
          <t xml:space="preserve">2024-09-27</t>
        </is>
      </c>
      <c r="C530" s="0" t="inlineStr">
        <is>
          <t xml:space="preserve">-</t>
        </is>
      </c>
      <c r="D530" s="0" t="inlineStr">
        <is>
          <t xml:space="preserve">va</t>
        </is>
      </c>
      <c r="E530" s="0" t="inlineStr">
        <is>
          <t xml:space="preserve">component_procurement</t>
        </is>
      </c>
      <c r="F530" s="0" t="inlineStr">
        <is>
          <t xml:space="preserve">INCLUDE_BC</t>
        </is>
      </c>
      <c r="G530" s="0" t="inlineStr">
        <is>
          <t xml:space="preserve">BC</t>
        </is>
      </c>
      <c r="H530" s="5">
        <v>1</v>
      </c>
      <c r="I530" s="5">
        <v>0</v>
      </c>
      <c r="J530" s="5">
        <v>1</v>
      </c>
      <c r="K530" s="5">
        <v>11.10512</v>
      </c>
      <c r="L530" s="7">
        <v>0.0</v>
      </c>
      <c r="M530" s="7">
        <v>0.0</v>
      </c>
      <c r="N530" s="7">
        <v>0.0</v>
      </c>
      <c r="O530" s="7">
        <v>0.0</v>
      </c>
    </row>
    <row r="531" outlineLevel="1">
      <c r="B531" s="0" t="inlineStr">
        <is>
          <t xml:space="preserve">2026-05-06</t>
        </is>
      </c>
      <c r="C531" s="0" t="inlineStr">
        <is>
          <t xml:space="preserve">N00024-25-C-4303</t>
        </is>
      </c>
      <c r="D531" s="0" t="inlineStr">
        <is>
          <t xml:space="preserve">non_sub</t>
        </is>
      </c>
      <c r="E531" s="0" t="inlineStr">
        <is>
          <t xml:space="preserve">other</t>
        </is>
      </c>
      <c r="F531" s="0" t="inlineStr">
        <is>
          <t xml:space="preserve">EXCLUDE_REVIEW</t>
        </is>
      </c>
      <c r="G531" s="0" t="inlineStr">
        <is>
          <t xml:space="preserve">BC</t>
        </is>
      </c>
      <c r="H531" s="5">
        <v>0</v>
      </c>
      <c r="I531" s="5">
        <v>0</v>
      </c>
      <c r="J531" s="5">
        <v>1</v>
      </c>
      <c r="K531" s="5">
        <v>11.091577</v>
      </c>
      <c r="L531" s="7">
        <v>0.0</v>
      </c>
      <c r="M531" s="7">
        <v>0.0</v>
      </c>
      <c r="N531" s="7">
        <v>0.0</v>
      </c>
      <c r="O531" s="7">
        <v>0.0</v>
      </c>
    </row>
    <row r="532" outlineLevel="1">
      <c r="B532" s="0" t="inlineStr">
        <is>
          <t xml:space="preserve">2025-12-19</t>
        </is>
      </c>
      <c r="C532" s="0" t="inlineStr">
        <is>
          <t xml:space="preserve">N00024-15-C-2114</t>
        </is>
      </c>
      <c r="D532" s="0" t="inlineStr">
        <is>
          <t xml:space="preserve">non_sub</t>
        </is>
      </c>
      <c r="E532" s="0" t="inlineStr">
        <is>
          <t xml:space="preserve">facilities</t>
        </is>
      </c>
      <c r="F532" s="0" t="inlineStr">
        <is>
          <t xml:space="preserve">EXCLUDE_REVIEW</t>
        </is>
      </c>
      <c r="G532" s="0" t="inlineStr">
        <is>
          <t xml:space="preserve">BC</t>
        </is>
      </c>
      <c r="H532" s="5">
        <v>0</v>
      </c>
      <c r="I532" s="5">
        <v>0</v>
      </c>
      <c r="J532" s="5">
        <v>1</v>
      </c>
      <c r="K532" s="5">
        <v>11.048</v>
      </c>
      <c r="L532" s="7">
        <v>0.0</v>
      </c>
      <c r="M532" s="7">
        <v>0.0</v>
      </c>
      <c r="N532" s="7">
        <v>0.0</v>
      </c>
      <c r="O532" s="7">
        <v>0.0</v>
      </c>
    </row>
    <row r="533" outlineLevel="1">
      <c r="B533" s="0" t="inlineStr">
        <is>
          <t xml:space="preserve">2024-10-21</t>
        </is>
      </c>
      <c r="C533" s="0" t="inlineStr">
        <is>
          <t xml:space="preserve">-</t>
        </is>
      </c>
      <c r="D533" s="0" t="inlineStr">
        <is>
          <t xml:space="preserve">non_sub</t>
        </is>
      </c>
      <c r="E533" s="0" t="inlineStr">
        <is>
          <t xml:space="preserve">lead_yard</t>
        </is>
      </c>
      <c r="F533" s="0" t="inlineStr">
        <is>
          <t xml:space="preserve">EXCLUDE_REVIEW</t>
        </is>
      </c>
      <c r="G533" s="0" t="inlineStr">
        <is>
          <t xml:space="preserve">BC</t>
        </is>
      </c>
      <c r="H533" s="5">
        <v>0</v>
      </c>
      <c r="I533" s="5">
        <v>0</v>
      </c>
      <c r="J533" s="5">
        <v>1</v>
      </c>
      <c r="K533" s="5">
        <v>11.040118</v>
      </c>
      <c r="L533" s="7">
        <v>0.0</v>
      </c>
      <c r="M533" s="7">
        <v>0.0</v>
      </c>
      <c r="N533" s="7">
        <v>0.0</v>
      </c>
      <c r="O533" s="7">
        <v>0.0</v>
      </c>
    </row>
    <row r="534" outlineLevel="1">
      <c r="B534" s="0" t="inlineStr">
        <is>
          <t xml:space="preserve">2025-02-14</t>
        </is>
      </c>
      <c r="C534" s="0" t="inlineStr">
        <is>
          <t xml:space="preserve">-</t>
        </is>
      </c>
      <c r="D534" s="0" t="inlineStr">
        <is>
          <t xml:space="preserve">sub_other</t>
        </is>
      </c>
      <c r="E534" s="0" t="inlineStr">
        <is>
          <t xml:space="preserve">engineering</t>
        </is>
      </c>
      <c r="F534" s="0" t="inlineStr">
        <is>
          <t xml:space="preserve">EXCLUDE_REVIEW</t>
        </is>
      </c>
      <c r="G534" s="0" t="inlineStr">
        <is>
          <t xml:space="preserve">BC</t>
        </is>
      </c>
      <c r="H534" s="5">
        <v>0</v>
      </c>
      <c r="I534" s="5">
        <v>0</v>
      </c>
      <c r="J534" s="5">
        <v>1</v>
      </c>
      <c r="K534" s="5">
        <v>11.000175</v>
      </c>
      <c r="L534" s="7">
        <v>0.0</v>
      </c>
      <c r="M534" s="7">
        <v>0.0</v>
      </c>
      <c r="N534" s="7">
        <v>1.0</v>
      </c>
      <c r="O534" s="7">
        <v>0.0</v>
      </c>
    </row>
    <row r="535" outlineLevel="1">
      <c r="B535" s="0" t="inlineStr">
        <is>
          <t xml:space="preserve">2025-04-17</t>
        </is>
      </c>
      <c r="C535" s="0" t="inlineStr">
        <is>
          <t xml:space="preserve">N00024-23-C-5206</t>
        </is>
      </c>
      <c r="D535" s="0" t="inlineStr">
        <is>
          <t xml:space="preserve">non_sub</t>
        </is>
      </c>
      <c r="E535" s="0" t="inlineStr">
        <is>
          <t xml:space="preserve">fms</t>
        </is>
      </c>
      <c r="F535" s="0" t="inlineStr">
        <is>
          <t xml:space="preserve">EXCLUDE_REVIEW</t>
        </is>
      </c>
      <c r="G535" s="0" t="inlineStr">
        <is>
          <t xml:space="preserve">BC</t>
        </is>
      </c>
      <c r="H535" s="5">
        <v>0</v>
      </c>
      <c r="I535" s="5">
        <v>0</v>
      </c>
      <c r="J535" s="5">
        <v>1</v>
      </c>
      <c r="K535" s="5">
        <v>10.98518</v>
      </c>
      <c r="L535" s="7">
        <v>0.0</v>
      </c>
      <c r="M535" s="7">
        <v>0.0</v>
      </c>
      <c r="N535" s="7">
        <v>0.0</v>
      </c>
      <c r="O535" s="7">
        <v>0.0</v>
      </c>
    </row>
    <row r="536" outlineLevel="1">
      <c r="B536" s="0" t="inlineStr">
        <is>
          <t xml:space="preserve">2025-08-13</t>
        </is>
      </c>
      <c r="C536" s="0" t="inlineStr">
        <is>
          <t xml:space="preserve">N62793-25-F-7406</t>
        </is>
      </c>
      <c r="D536" s="0" t="inlineStr">
        <is>
          <t xml:space="preserve">non_sub</t>
        </is>
      </c>
      <c r="E536" s="0" t="inlineStr">
        <is>
          <t xml:space="preserve">repair_overhaul</t>
        </is>
      </c>
      <c r="F536" s="0" t="inlineStr">
        <is>
          <t xml:space="preserve">EXCLUDE_REVIEW</t>
        </is>
      </c>
      <c r="G536" s="0" t="inlineStr">
        <is>
          <t xml:space="preserve">BC</t>
        </is>
      </c>
      <c r="H536" s="5">
        <v>0</v>
      </c>
      <c r="I536" s="5">
        <v>0</v>
      </c>
      <c r="J536" s="5">
        <v>1</v>
      </c>
      <c r="K536" s="5">
        <v>10.984857</v>
      </c>
      <c r="L536" s="7">
        <v>0.0</v>
      </c>
      <c r="M536" s="7">
        <v>0.0</v>
      </c>
      <c r="N536" s="7">
        <v>0.0</v>
      </c>
      <c r="O536" s="7">
        <v>0.0</v>
      </c>
    </row>
    <row r="537" outlineLevel="1">
      <c r="B537" s="0" t="inlineStr">
        <is>
          <t xml:space="preserve">2025-02-18</t>
        </is>
      </c>
      <c r="C537" s="0" t="inlineStr">
        <is>
          <t xml:space="preserve">N00024-25-C-4127</t>
        </is>
      </c>
      <c r="D537" s="0" t="inlineStr">
        <is>
          <t xml:space="preserve">non_sub</t>
        </is>
      </c>
      <c r="E537" s="0" t="inlineStr">
        <is>
          <t xml:space="preserve">engineering</t>
        </is>
      </c>
      <c r="F537" s="0" t="inlineStr">
        <is>
          <t xml:space="preserve">EXCLUDE_REVIEW</t>
        </is>
      </c>
      <c r="G537" s="0" t="inlineStr">
        <is>
          <t xml:space="preserve">BC</t>
        </is>
      </c>
      <c r="H537" s="5">
        <v>0</v>
      </c>
      <c r="I537" s="5">
        <v>0</v>
      </c>
      <c r="J537" s="5">
        <v>1</v>
      </c>
      <c r="K537" s="5">
        <v>10.976004</v>
      </c>
      <c r="L537" s="7">
        <v>0.0</v>
      </c>
      <c r="M537" s="7">
        <v>0.0</v>
      </c>
      <c r="N537" s="7">
        <v>1.0</v>
      </c>
      <c r="O537" s="7">
        <v>0.0</v>
      </c>
    </row>
    <row r="538" outlineLevel="1">
      <c r="B538" s="0" t="inlineStr">
        <is>
          <t xml:space="preserve">2025-11-12</t>
        </is>
      </c>
      <c r="C538" s="0" t="inlineStr">
        <is>
          <t xml:space="preserve">N00024-25-C-5409</t>
        </is>
      </c>
      <c r="D538" s="0" t="inlineStr">
        <is>
          <t xml:space="preserve">non_sub</t>
        </is>
      </c>
      <c r="E538" s="0" t="inlineStr">
        <is>
          <t xml:space="preserve">other</t>
        </is>
      </c>
      <c r="F538" s="0" t="inlineStr">
        <is>
          <t xml:space="preserve">EXCLUDE_REVIEW</t>
        </is>
      </c>
      <c r="G538" s="0" t="inlineStr">
        <is>
          <t xml:space="preserve">BC</t>
        </is>
      </c>
      <c r="H538" s="5">
        <v>0</v>
      </c>
      <c r="I538" s="5">
        <v>0</v>
      </c>
      <c r="J538" s="5">
        <v>1</v>
      </c>
      <c r="K538" s="5">
        <v>10.948646</v>
      </c>
      <c r="L538" s="7">
        <v>0.0</v>
      </c>
      <c r="M538" s="7">
        <v>0.0</v>
      </c>
      <c r="N538" s="7">
        <v>0.0</v>
      </c>
      <c r="O538" s="7">
        <v>0.0</v>
      </c>
    </row>
    <row r="539" outlineLevel="1">
      <c r="B539" s="0" t="inlineStr">
        <is>
          <t xml:space="preserve">2023-09-29</t>
        </is>
      </c>
      <c r="C539" s="0" t="inlineStr">
        <is>
          <t xml:space="preserve">-</t>
        </is>
      </c>
      <c r="D539" s="0" t="inlineStr">
        <is>
          <t xml:space="preserve">non_sub</t>
        </is>
      </c>
      <c r="E539" s="0" t="inlineStr">
        <is>
          <t xml:space="preserve">other</t>
        </is>
      </c>
      <c r="F539" s="0" t="inlineStr">
        <is>
          <t xml:space="preserve">EXCLUDE_REVIEW</t>
        </is>
      </c>
      <c r="G539" s="0" t="inlineStr">
        <is>
          <t xml:space="preserve">BC</t>
        </is>
      </c>
      <c r="H539" s="5">
        <v>0</v>
      </c>
      <c r="I539" s="5">
        <v>0</v>
      </c>
      <c r="J539" s="5">
        <v>1</v>
      </c>
      <c r="K539" s="5">
        <v>10.895364</v>
      </c>
      <c r="L539" s="7">
        <v>0.0</v>
      </c>
      <c r="M539" s="7">
        <v>0.0</v>
      </c>
      <c r="N539" s="7">
        <v>1.0</v>
      </c>
      <c r="O539" s="7">
        <v>0.0</v>
      </c>
    </row>
    <row r="540" outlineLevel="1">
      <c r="B540" s="0" t="inlineStr">
        <is>
          <t xml:space="preserve">2025-11-21</t>
        </is>
      </c>
      <c r="C540" s="0" t="inlineStr">
        <is>
          <t xml:space="preserve">N00024-23-G-5320</t>
        </is>
      </c>
      <c r="D540" s="0" t="inlineStr">
        <is>
          <t xml:space="preserve">non_sub</t>
        </is>
      </c>
      <c r="E540" s="0" t="inlineStr">
        <is>
          <t xml:space="preserve">other</t>
        </is>
      </c>
      <c r="F540" s="0" t="inlineStr">
        <is>
          <t xml:space="preserve">EXCLUDE_REVIEW</t>
        </is>
      </c>
      <c r="G540" s="0" t="inlineStr">
        <is>
          <t xml:space="preserve">BC</t>
        </is>
      </c>
      <c r="H540" s="5">
        <v>0</v>
      </c>
      <c r="I540" s="5">
        <v>0</v>
      </c>
      <c r="J540" s="5">
        <v>1</v>
      </c>
      <c r="K540" s="5">
        <v>10.847917</v>
      </c>
      <c r="L540" s="7">
        <v>0.0</v>
      </c>
      <c r="M540" s="7">
        <v>0.0</v>
      </c>
      <c r="N540" s="7">
        <v>0.0</v>
      </c>
      <c r="O540" s="7">
        <v>0.0</v>
      </c>
    </row>
    <row r="541" outlineLevel="1">
      <c r="B541" s="0" t="inlineStr">
        <is>
          <t xml:space="preserve">2024-09-27</t>
        </is>
      </c>
      <c r="C541" s="0" t="inlineStr">
        <is>
          <t xml:space="preserve">N00024-24-C-6311</t>
        </is>
      </c>
      <c r="D541" s="0" t="inlineStr">
        <is>
          <t xml:space="preserve">non_sub</t>
        </is>
      </c>
      <c r="E541" s="0" t="inlineStr">
        <is>
          <t xml:space="preserve">sustainment_maintenance</t>
        </is>
      </c>
      <c r="F541" s="0" t="inlineStr">
        <is>
          <t xml:space="preserve">EXCLUDE_REVIEW</t>
        </is>
      </c>
      <c r="G541" s="0" t="inlineStr">
        <is>
          <t xml:space="preserve">BC</t>
        </is>
      </c>
      <c r="H541" s="5">
        <v>0</v>
      </c>
      <c r="I541" s="5">
        <v>0</v>
      </c>
      <c r="J541" s="5">
        <v>1</v>
      </c>
      <c r="K541" s="5">
        <v>10.816454</v>
      </c>
      <c r="L541" s="7">
        <v>0.0</v>
      </c>
      <c r="M541" s="7">
        <v>0.0</v>
      </c>
      <c r="N541" s="7">
        <v>1.0</v>
      </c>
      <c r="O541" s="7">
        <v>0.0</v>
      </c>
    </row>
    <row r="542" outlineLevel="1">
      <c r="B542" s="0" t="inlineStr">
        <is>
          <t xml:space="preserve">2023-08-04</t>
        </is>
      </c>
      <c r="C542" s="0" t="inlineStr">
        <is>
          <t xml:space="preserve">-</t>
        </is>
      </c>
      <c r="D542" s="0" t="inlineStr">
        <is>
          <t xml:space="preserve">non_sub</t>
        </is>
      </c>
      <c r="E542" s="0" t="inlineStr">
        <is>
          <t xml:space="preserve">engineering</t>
        </is>
      </c>
      <c r="F542" s="0" t="inlineStr">
        <is>
          <t xml:space="preserve">EXCLUDE_REVIEW</t>
        </is>
      </c>
      <c r="G542" s="0" t="inlineStr">
        <is>
          <t xml:space="preserve">BC</t>
        </is>
      </c>
      <c r="H542" s="5">
        <v>0</v>
      </c>
      <c r="I542" s="5">
        <v>0</v>
      </c>
      <c r="J542" s="5">
        <v>1</v>
      </c>
      <c r="K542" s="5">
        <v>10.763572</v>
      </c>
      <c r="L542" s="7">
        <v>0.0</v>
      </c>
      <c r="M542" s="7">
        <v>0.0</v>
      </c>
      <c r="N542" s="7">
        <v>0.0</v>
      </c>
      <c r="O542" s="7">
        <v>0.0</v>
      </c>
    </row>
    <row r="543" outlineLevel="1">
      <c r="B543" s="0" t="inlineStr">
        <is>
          <t xml:space="preserve">2026-02-27</t>
        </is>
      </c>
      <c r="C543" s="0" t="inlineStr">
        <is>
          <t xml:space="preserve">N00024-23-C-5401</t>
        </is>
      </c>
      <c r="D543" s="0" t="inlineStr">
        <is>
          <t xml:space="preserve">non_sub</t>
        </is>
      </c>
      <c r="E543" s="0" t="inlineStr">
        <is>
          <t xml:space="preserve">lead_yard</t>
        </is>
      </c>
      <c r="F543" s="0" t="inlineStr">
        <is>
          <t xml:space="preserve">EXCLUDE_REVIEW</t>
        </is>
      </c>
      <c r="G543" s="0" t="inlineStr">
        <is>
          <t xml:space="preserve">BC</t>
        </is>
      </c>
      <c r="H543" s="5">
        <v>0</v>
      </c>
      <c r="I543" s="5">
        <v>0</v>
      </c>
      <c r="J543" s="5">
        <v>1</v>
      </c>
      <c r="K543" s="5">
        <v>10.762308</v>
      </c>
      <c r="L543" s="7">
        <v>0.0</v>
      </c>
      <c r="M543" s="7">
        <v>0.0</v>
      </c>
      <c r="N543" s="7">
        <v>0.0</v>
      </c>
      <c r="O543" s="7">
        <v>0.0</v>
      </c>
    </row>
    <row r="544" outlineLevel="1">
      <c r="B544" s="0" t="inlineStr">
        <is>
          <t xml:space="preserve">2023-10-04</t>
        </is>
      </c>
      <c r="C544" s="0" t="inlineStr">
        <is>
          <t xml:space="preserve">N00024-20-C-2120</t>
        </is>
      </c>
      <c r="D544" s="0" t="inlineStr">
        <is>
          <t xml:space="preserve">va</t>
        </is>
      </c>
      <c r="E544" s="0" t="inlineStr">
        <is>
          <t xml:space="preserve">design</t>
        </is>
      </c>
      <c r="F544" s="0" t="inlineStr">
        <is>
          <t xml:space="preserve">EXCLUDE_REVIEW</t>
        </is>
      </c>
      <c r="G544" s="0" t="inlineStr">
        <is>
          <t xml:space="preserve">BC</t>
        </is>
      </c>
      <c r="H544" s="5">
        <v>0</v>
      </c>
      <c r="I544" s="5">
        <v>0</v>
      </c>
      <c r="J544" s="5">
        <v>1</v>
      </c>
      <c r="K544" s="5">
        <v>10.682315</v>
      </c>
      <c r="L544" s="7">
        <v>0.0</v>
      </c>
      <c r="M544" s="7">
        <v>0.0</v>
      </c>
      <c r="N544" s="7">
        <v>0.0</v>
      </c>
      <c r="O544" s="7">
        <v>0.0</v>
      </c>
    </row>
    <row r="545" outlineLevel="1">
      <c r="B545" s="0" t="inlineStr">
        <is>
          <t xml:space="preserve">2023-09-29</t>
        </is>
      </c>
      <c r="C545" s="0" t="inlineStr">
        <is>
          <t xml:space="preserve">-</t>
        </is>
      </c>
      <c r="D545" s="0" t="inlineStr">
        <is>
          <t xml:space="preserve">non_sub</t>
        </is>
      </c>
      <c r="E545" s="0" t="inlineStr">
        <is>
          <t xml:space="preserve">other</t>
        </is>
      </c>
      <c r="F545" s="0" t="inlineStr">
        <is>
          <t xml:space="preserve">EXCLUDE_REVIEW</t>
        </is>
      </c>
      <c r="G545" s="0" t="inlineStr">
        <is>
          <t xml:space="preserve">BC</t>
        </is>
      </c>
      <c r="H545" s="5">
        <v>0</v>
      </c>
      <c r="I545" s="5">
        <v>0</v>
      </c>
      <c r="J545" s="5">
        <v>1</v>
      </c>
      <c r="K545" s="5">
        <v>10.67388</v>
      </c>
      <c r="L545" s="7">
        <v>0.0</v>
      </c>
      <c r="M545" s="7">
        <v>0.0</v>
      </c>
      <c r="N545" s="7">
        <v>1.0</v>
      </c>
      <c r="O545" s="7">
        <v>0.0</v>
      </c>
    </row>
    <row r="546" outlineLevel="1">
      <c r="B546" s="0" t="inlineStr">
        <is>
          <t xml:space="preserve">2025-05-06</t>
        </is>
      </c>
      <c r="C546" s="0" t="inlineStr">
        <is>
          <t xml:space="preserve">N00024-23-C-5300</t>
        </is>
      </c>
      <c r="D546" s="0" t="inlineStr">
        <is>
          <t xml:space="preserve">non_sub</t>
        </is>
      </c>
      <c r="E546" s="0" t="inlineStr">
        <is>
          <t xml:space="preserve">other</t>
        </is>
      </c>
      <c r="F546" s="0" t="inlineStr">
        <is>
          <t xml:space="preserve">EXCLUDE_REVIEW</t>
        </is>
      </c>
      <c r="G546" s="0" t="inlineStr">
        <is>
          <t xml:space="preserve">BC</t>
        </is>
      </c>
      <c r="H546" s="5">
        <v>0</v>
      </c>
      <c r="I546" s="5">
        <v>0</v>
      </c>
      <c r="J546" s="5">
        <v>1</v>
      </c>
      <c r="K546" s="5">
        <v>10.662488</v>
      </c>
      <c r="L546" s="7">
        <v>0.0</v>
      </c>
      <c r="M546" s="7">
        <v>0.0</v>
      </c>
      <c r="N546" s="7">
        <v>1.0</v>
      </c>
      <c r="O546" s="7">
        <v>0.0</v>
      </c>
    </row>
    <row r="547" outlineLevel="1">
      <c r="B547" s="0" t="inlineStr">
        <is>
          <t xml:space="preserve">2025-04-11</t>
        </is>
      </c>
      <c r="C547" s="0" t="inlineStr">
        <is>
          <t xml:space="preserve">N69316-25-F-4001</t>
        </is>
      </c>
      <c r="D547" s="0" t="inlineStr">
        <is>
          <t xml:space="preserve">non_sub</t>
        </is>
      </c>
      <c r="E547" s="0" t="inlineStr">
        <is>
          <t xml:space="preserve">sustainment_maintenance</t>
        </is>
      </c>
      <c r="F547" s="0" t="inlineStr">
        <is>
          <t xml:space="preserve">EXCLUDE_REVIEW</t>
        </is>
      </c>
      <c r="G547" s="0" t="inlineStr">
        <is>
          <t xml:space="preserve">BC</t>
        </is>
      </c>
      <c r="H547" s="5">
        <v>0</v>
      </c>
      <c r="I547" s="5">
        <v>0</v>
      </c>
      <c r="J547" s="5">
        <v>1</v>
      </c>
      <c r="K547" s="5">
        <v>10.659217</v>
      </c>
      <c r="L547" s="7">
        <v>0.0</v>
      </c>
      <c r="M547" s="7">
        <v>0.0</v>
      </c>
      <c r="N547" s="7">
        <v>0.0</v>
      </c>
      <c r="O547" s="7">
        <v>0.0</v>
      </c>
    </row>
    <row r="548" outlineLevel="1">
      <c r="B548" s="0" t="inlineStr">
        <is>
          <t xml:space="preserve">2026-04-10</t>
        </is>
      </c>
      <c r="C548" s="0" t="inlineStr">
        <is>
          <t xml:space="preserve">N00024-26-C-4311</t>
        </is>
      </c>
      <c r="D548" s="0" t="inlineStr">
        <is>
          <t xml:space="preserve">sub_repair</t>
        </is>
      </c>
      <c r="E548" s="0" t="inlineStr">
        <is>
          <t xml:space="preserve">repair_overhaul</t>
        </is>
      </c>
      <c r="F548" s="0" t="inlineStr">
        <is>
          <t xml:space="preserve">EXCLUDE_REVIEW</t>
        </is>
      </c>
      <c r="G548" s="0" t="inlineStr">
        <is>
          <t xml:space="preserve">BC</t>
        </is>
      </c>
      <c r="H548" s="5">
        <v>0</v>
      </c>
      <c r="I548" s="5">
        <v>0</v>
      </c>
      <c r="J548" s="5">
        <v>1</v>
      </c>
      <c r="K548" s="5">
        <v>10.610029</v>
      </c>
      <c r="L548" s="7">
        <v>0.0</v>
      </c>
      <c r="M548" s="7">
        <v>0.0</v>
      </c>
      <c r="N548" s="7">
        <v>0.0</v>
      </c>
      <c r="O548" s="7">
        <v>0.0</v>
      </c>
    </row>
    <row r="549" outlineLevel="1">
      <c r="B549" s="0" t="inlineStr">
        <is>
          <t xml:space="preserve">2025-06-06</t>
        </is>
      </c>
      <c r="C549" s="0" t="inlineStr">
        <is>
          <t xml:space="preserve">-</t>
        </is>
      </c>
      <c r="D549" s="0" t="inlineStr">
        <is>
          <t xml:space="preserve">non_sub</t>
        </is>
      </c>
      <c r="E549" s="0" t="inlineStr">
        <is>
          <t xml:space="preserve">other</t>
        </is>
      </c>
      <c r="F549" s="0" t="inlineStr">
        <is>
          <t xml:space="preserve">EXCLUDE_REVIEW</t>
        </is>
      </c>
      <c r="G549" s="0" t="inlineStr">
        <is>
          <t xml:space="preserve">BC</t>
        </is>
      </c>
      <c r="H549" s="5">
        <v>0</v>
      </c>
      <c r="I549" s="5">
        <v>0</v>
      </c>
      <c r="J549" s="5">
        <v>1</v>
      </c>
      <c r="K549" s="5">
        <v>10.519547</v>
      </c>
      <c r="L549" s="7">
        <v>0.0</v>
      </c>
      <c r="M549" s="7">
        <v>0.0</v>
      </c>
      <c r="N549" s="7">
        <v>0.0</v>
      </c>
      <c r="O549" s="7">
        <v>0.0</v>
      </c>
    </row>
    <row r="550" outlineLevel="1">
      <c r="B550" s="0" t="inlineStr">
        <is>
          <t xml:space="preserve">2023-03-20</t>
        </is>
      </c>
      <c r="C550" s="0" t="inlineStr">
        <is>
          <t xml:space="preserve">N00024-22-C-6418</t>
        </is>
      </c>
      <c r="D550" s="0" t="inlineStr">
        <is>
          <t xml:space="preserve">non_sub</t>
        </is>
      </c>
      <c r="E550" s="0" t="inlineStr">
        <is>
          <t xml:space="preserve">other</t>
        </is>
      </c>
      <c r="F550" s="0" t="inlineStr">
        <is>
          <t xml:space="preserve">EXCLUDE_REVIEW</t>
        </is>
      </c>
      <c r="G550" s="0" t="inlineStr">
        <is>
          <t xml:space="preserve">BC</t>
        </is>
      </c>
      <c r="H550" s="5">
        <v>0</v>
      </c>
      <c r="I550" s="5">
        <v>0</v>
      </c>
      <c r="J550" s="5">
        <v>1</v>
      </c>
      <c r="K550" s="5">
        <v>10.51796</v>
      </c>
      <c r="L550" s="7">
        <v>0.0</v>
      </c>
      <c r="M550" s="7">
        <v>0.0</v>
      </c>
      <c r="N550" s="7">
        <v>0.0</v>
      </c>
      <c r="O550" s="7">
        <v>0.0</v>
      </c>
    </row>
    <row r="551" outlineLevel="1">
      <c r="B551" s="0" t="inlineStr">
        <is>
          <t xml:space="preserve">2024-09-27</t>
        </is>
      </c>
      <c r="C551" s="0" t="inlineStr">
        <is>
          <t xml:space="preserve">-</t>
        </is>
      </c>
      <c r="D551" s="0" t="inlineStr">
        <is>
          <t xml:space="preserve">va</t>
        </is>
      </c>
      <c r="E551" s="0" t="inlineStr">
        <is>
          <t xml:space="preserve">other</t>
        </is>
      </c>
      <c r="F551" s="0" t="inlineStr">
        <is>
          <t xml:space="preserve">EXCLUDE_REVIEW</t>
        </is>
      </c>
      <c r="G551" s="0" t="inlineStr">
        <is>
          <t xml:space="preserve">BC</t>
        </is>
      </c>
      <c r="H551" s="5">
        <v>0</v>
      </c>
      <c r="I551" s="5">
        <v>0</v>
      </c>
      <c r="J551" s="5">
        <v>1</v>
      </c>
      <c r="K551" s="5">
        <v>10.509115</v>
      </c>
      <c r="L551" s="7">
        <v>0.0</v>
      </c>
      <c r="M551" s="7">
        <v>0.0</v>
      </c>
      <c r="N551" s="7">
        <v>0.0</v>
      </c>
      <c r="O551" s="7">
        <v>0.0</v>
      </c>
    </row>
    <row r="552" outlineLevel="1">
      <c r="B552" s="0" t="inlineStr">
        <is>
          <t xml:space="preserve">2025-12-30</t>
        </is>
      </c>
      <c r="C552" s="0" t="inlineStr">
        <is>
          <t xml:space="preserve">N00024-25-C-4412</t>
        </is>
      </c>
      <c r="D552" s="0" t="inlineStr">
        <is>
          <t xml:space="preserve">non_sub</t>
        </is>
      </c>
      <c r="E552" s="0" t="inlineStr">
        <is>
          <t xml:space="preserve">sustainment_maintenance</t>
        </is>
      </c>
      <c r="F552" s="0" t="inlineStr">
        <is>
          <t xml:space="preserve">EXCLUDE_REVIEW</t>
        </is>
      </c>
      <c r="G552" s="0" t="inlineStr">
        <is>
          <t xml:space="preserve">BC</t>
        </is>
      </c>
      <c r="H552" s="5">
        <v>0</v>
      </c>
      <c r="I552" s="5">
        <v>0</v>
      </c>
      <c r="J552" s="5">
        <v>1</v>
      </c>
      <c r="K552" s="5">
        <v>10.398203</v>
      </c>
      <c r="L552" s="7">
        <v>0.0</v>
      </c>
      <c r="M552" s="7">
        <v>0.0</v>
      </c>
      <c r="N552" s="7">
        <v>0.0</v>
      </c>
      <c r="O552" s="7">
        <v>0.0</v>
      </c>
    </row>
    <row r="553" outlineLevel="1">
      <c r="B553" s="0" t="inlineStr">
        <is>
          <t xml:space="preserve">2025-06-27</t>
        </is>
      </c>
      <c r="C553" s="0" t="inlineStr">
        <is>
          <t xml:space="preserve">N39040-25-C-2936</t>
        </is>
      </c>
      <c r="D553" s="0" t="inlineStr">
        <is>
          <t xml:space="preserve">non_sub</t>
        </is>
      </c>
      <c r="E553" s="0" t="inlineStr">
        <is>
          <t xml:space="preserve">sustainment_maintenance</t>
        </is>
      </c>
      <c r="F553" s="0" t="inlineStr">
        <is>
          <t xml:space="preserve">EXCLUDE_REVIEW</t>
        </is>
      </c>
      <c r="G553" s="0" t="inlineStr">
        <is>
          <t xml:space="preserve">BC</t>
        </is>
      </c>
      <c r="H553" s="5">
        <v>0</v>
      </c>
      <c r="I553" s="5">
        <v>0</v>
      </c>
      <c r="J553" s="5">
        <v>1</v>
      </c>
      <c r="K553" s="5">
        <v>10.337676</v>
      </c>
      <c r="L553" s="7">
        <v>0.0</v>
      </c>
      <c r="M553" s="7">
        <v>0.0</v>
      </c>
      <c r="N553" s="7">
        <v>0.0</v>
      </c>
      <c r="O553" s="7">
        <v>0.0</v>
      </c>
    </row>
    <row r="554" outlineLevel="1">
      <c r="B554" s="0" t="inlineStr">
        <is>
          <t xml:space="preserve">2025-07-15</t>
        </is>
      </c>
      <c r="C554" s="0" t="inlineStr">
        <is>
          <t xml:space="preserve">N00024-24-C-5324</t>
        </is>
      </c>
      <c r="D554" s="0" t="inlineStr">
        <is>
          <t xml:space="preserve">non_sub</t>
        </is>
      </c>
      <c r="E554" s="0" t="inlineStr">
        <is>
          <t xml:space="preserve">other</t>
        </is>
      </c>
      <c r="F554" s="0" t="inlineStr">
        <is>
          <t xml:space="preserve">EXCLUDE_REVIEW</t>
        </is>
      </c>
      <c r="G554" s="0" t="inlineStr">
        <is>
          <t xml:space="preserve">BC</t>
        </is>
      </c>
      <c r="H554" s="5">
        <v>0</v>
      </c>
      <c r="I554" s="5">
        <v>0</v>
      </c>
      <c r="J554" s="5">
        <v>1</v>
      </c>
      <c r="K554" s="5">
        <v>10.332144</v>
      </c>
      <c r="L554" s="7">
        <v>0.0</v>
      </c>
      <c r="M554" s="7">
        <v>0.0</v>
      </c>
      <c r="N554" s="7">
        <v>1.0</v>
      </c>
      <c r="O554" s="7">
        <v>0.0</v>
      </c>
    </row>
    <row r="555" outlineLevel="1">
      <c r="B555" s="0" t="inlineStr">
        <is>
          <t xml:space="preserve">2024-03-29</t>
        </is>
      </c>
      <c r="C555" s="0" t="inlineStr">
        <is>
          <t xml:space="preserve">N00024-22-C-6418</t>
        </is>
      </c>
      <c r="D555" s="0" t="inlineStr">
        <is>
          <t xml:space="preserve">non_sub</t>
        </is>
      </c>
      <c r="E555" s="0" t="inlineStr">
        <is>
          <t xml:space="preserve">other</t>
        </is>
      </c>
      <c r="F555" s="0" t="inlineStr">
        <is>
          <t xml:space="preserve">EXCLUDE_REVIEW</t>
        </is>
      </c>
      <c r="G555" s="0" t="inlineStr">
        <is>
          <t xml:space="preserve">BC</t>
        </is>
      </c>
      <c r="H555" s="5">
        <v>0</v>
      </c>
      <c r="I555" s="5">
        <v>0</v>
      </c>
      <c r="J555" s="5">
        <v>1</v>
      </c>
      <c r="K555" s="5">
        <v>10.268848</v>
      </c>
      <c r="L555" s="7">
        <v>0.0</v>
      </c>
      <c r="M555" s="7">
        <v>0.0</v>
      </c>
      <c r="N555" s="7">
        <v>0.0</v>
      </c>
      <c r="O555" s="7">
        <v>0.0</v>
      </c>
    </row>
    <row r="556" outlineLevel="1">
      <c r="B556" s="0" t="inlineStr">
        <is>
          <t xml:space="preserve">2025-03-28</t>
        </is>
      </c>
      <c r="C556" s="0" t="inlineStr">
        <is>
          <t xml:space="preserve">-</t>
        </is>
      </c>
      <c r="D556" s="0" t="inlineStr">
        <is>
          <t xml:space="preserve">va</t>
        </is>
      </c>
      <c r="E556" s="0" t="inlineStr">
        <is>
          <t xml:space="preserve">component_procurement</t>
        </is>
      </c>
      <c r="F556" s="0" t="inlineStr">
        <is>
          <t xml:space="preserve">INCLUDE_BC</t>
        </is>
      </c>
      <c r="G556" s="0" t="inlineStr">
        <is>
          <t xml:space="preserve">BC</t>
        </is>
      </c>
      <c r="H556" s="5">
        <v>1</v>
      </c>
      <c r="I556" s="5">
        <v>0</v>
      </c>
      <c r="J556" s="5">
        <v>1</v>
      </c>
      <c r="K556" s="5">
        <v>10.246959</v>
      </c>
      <c r="L556" s="7">
        <v>0.0</v>
      </c>
      <c r="M556" s="7">
        <v>0.0</v>
      </c>
      <c r="N556" s="7">
        <v>0.0</v>
      </c>
      <c r="O556" s="7">
        <v>0.0</v>
      </c>
    </row>
    <row r="557" outlineLevel="1">
      <c r="B557" s="0" t="inlineStr">
        <is>
          <t xml:space="preserve">2022-09-22</t>
        </is>
      </c>
      <c r="C557" s="0" t="inlineStr">
        <is>
          <t xml:space="preserve">-</t>
        </is>
      </c>
      <c r="D557" s="0" t="inlineStr">
        <is>
          <t xml:space="preserve">non_sub</t>
        </is>
      </c>
      <c r="E557" s="0" t="inlineStr">
        <is>
          <t xml:space="preserve">sustainment_maintenance</t>
        </is>
      </c>
      <c r="F557" s="0" t="inlineStr">
        <is>
          <t xml:space="preserve">EXCLUDE_REVIEW</t>
        </is>
      </c>
      <c r="G557" s="0" t="inlineStr">
        <is>
          <t xml:space="preserve">BC</t>
        </is>
      </c>
      <c r="H557" s="5">
        <v>0</v>
      </c>
      <c r="I557" s="5">
        <v>0</v>
      </c>
      <c r="J557" s="5">
        <v>1</v>
      </c>
      <c r="K557" s="5">
        <v>10.214192</v>
      </c>
      <c r="L557" s="7">
        <v>0.0</v>
      </c>
      <c r="M557" s="7">
        <v>0.0</v>
      </c>
      <c r="N557" s="7">
        <v>1.0</v>
      </c>
      <c r="O557" s="7">
        <v>0.0</v>
      </c>
    </row>
    <row r="558" outlineLevel="1">
      <c r="B558" s="0" t="inlineStr">
        <is>
          <t xml:space="preserve">2022-12-21</t>
        </is>
      </c>
      <c r="C558" s="0" t="inlineStr">
        <is>
          <t xml:space="preserve">N69316-23-F-6000</t>
        </is>
      </c>
      <c r="D558" s="0" t="inlineStr">
        <is>
          <t xml:space="preserve">non_sub</t>
        </is>
      </c>
      <c r="E558" s="0" t="inlineStr">
        <is>
          <t xml:space="preserve">sustainment_maintenance</t>
        </is>
      </c>
      <c r="F558" s="0" t="inlineStr">
        <is>
          <t xml:space="preserve">EXCLUDE_REVIEW</t>
        </is>
      </c>
      <c r="G558" s="0" t="inlineStr">
        <is>
          <t xml:space="preserve">BC</t>
        </is>
      </c>
      <c r="H558" s="5">
        <v>0</v>
      </c>
      <c r="I558" s="5">
        <v>0</v>
      </c>
      <c r="J558" s="5">
        <v>1</v>
      </c>
      <c r="K558" s="5">
        <v>10.132041</v>
      </c>
      <c r="L558" s="7">
        <v>0.0</v>
      </c>
      <c r="M558" s="7">
        <v>0.0</v>
      </c>
      <c r="N558" s="7">
        <v>1.0</v>
      </c>
      <c r="O558" s="7">
        <v>0.0</v>
      </c>
    </row>
    <row r="559" outlineLevel="1">
      <c r="B559" s="0" t="inlineStr">
        <is>
          <t xml:space="preserve">2025-02-10</t>
        </is>
      </c>
      <c r="C559" s="0" t="inlineStr">
        <is>
          <t xml:space="preserve">N00024-23-C-4122</t>
        </is>
      </c>
      <c r="D559" s="0" t="inlineStr">
        <is>
          <t xml:space="preserve">non_sub</t>
        </is>
      </c>
      <c r="E559" s="0" t="inlineStr">
        <is>
          <t xml:space="preserve">fms</t>
        </is>
      </c>
      <c r="F559" s="0" t="inlineStr">
        <is>
          <t xml:space="preserve">EXCLUDE_REVIEW</t>
        </is>
      </c>
      <c r="G559" s="0" t="inlineStr">
        <is>
          <t xml:space="preserve">BC</t>
        </is>
      </c>
      <c r="H559" s="5">
        <v>0</v>
      </c>
      <c r="I559" s="5">
        <v>0</v>
      </c>
      <c r="J559" s="5">
        <v>1</v>
      </c>
      <c r="K559" s="5">
        <v>10.059842</v>
      </c>
      <c r="L559" s="7">
        <v>0.0</v>
      </c>
      <c r="M559" s="7">
        <v>0.0</v>
      </c>
      <c r="N559" s="7">
        <v>0.0</v>
      </c>
      <c r="O559" s="7">
        <v>0.0</v>
      </c>
    </row>
    <row r="560" outlineLevel="1">
      <c r="B560" s="0" t="inlineStr">
        <is>
          <t xml:space="preserve">2025-08-04</t>
        </is>
      </c>
      <c r="C560" s="0" t="inlineStr">
        <is>
          <t xml:space="preserve">N00024-21-C-5434</t>
        </is>
      </c>
      <c r="D560" s="0" t="inlineStr">
        <is>
          <t xml:space="preserve">non_sub</t>
        </is>
      </c>
      <c r="E560" s="0" t="inlineStr">
        <is>
          <t xml:space="preserve">lead_yard</t>
        </is>
      </c>
      <c r="F560" s="0" t="inlineStr">
        <is>
          <t xml:space="preserve">EXCLUDE_REVIEW</t>
        </is>
      </c>
      <c r="G560" s="0" t="inlineStr">
        <is>
          <t xml:space="preserve">BC</t>
        </is>
      </c>
      <c r="H560" s="5">
        <v>0</v>
      </c>
      <c r="I560" s="5">
        <v>0</v>
      </c>
      <c r="J560" s="5">
        <v>1</v>
      </c>
      <c r="K560" s="5">
        <v>10.052768</v>
      </c>
      <c r="L560" s="7">
        <v>0.0</v>
      </c>
      <c r="M560" s="7">
        <v>0.0</v>
      </c>
      <c r="N560" s="7">
        <v>0.99</v>
      </c>
      <c r="O560" s="7">
        <v>0.0</v>
      </c>
    </row>
    <row r="561" outlineLevel="1">
      <c r="B561" s="0" t="inlineStr">
        <is>
          <t xml:space="preserve">2024-10-21</t>
        </is>
      </c>
      <c r="C561" s="0" t="inlineStr">
        <is>
          <t xml:space="preserve">N64498-25-D-0006</t>
        </is>
      </c>
      <c r="D561" s="0" t="inlineStr">
        <is>
          <t xml:space="preserve">sub_other</t>
        </is>
      </c>
      <c r="E561" s="0" t="inlineStr">
        <is>
          <t xml:space="preserve">other</t>
        </is>
      </c>
      <c r="F561" s="0" t="inlineStr">
        <is>
          <t xml:space="preserve">EXCLUDE_REVIEW</t>
        </is>
      </c>
      <c r="G561" s="0" t="inlineStr">
        <is>
          <t xml:space="preserve">BC</t>
        </is>
      </c>
      <c r="H561" s="5">
        <v>0</v>
      </c>
      <c r="I561" s="5">
        <v>0</v>
      </c>
      <c r="J561" s="5">
        <v>1</v>
      </c>
      <c r="K561" s="5">
        <v>10.01061</v>
      </c>
      <c r="L561" s="7">
        <v>0.0</v>
      </c>
      <c r="M561" s="7">
        <v>0.0</v>
      </c>
      <c r="N561" s="7">
        <v>0.0</v>
      </c>
      <c r="O561" s="7">
        <v>0.0</v>
      </c>
    </row>
    <row r="562" outlineLevel="1">
      <c r="B562" s="0" t="inlineStr">
        <is>
          <t xml:space="preserve">2023-09-29</t>
        </is>
      </c>
      <c r="C562" s="0" t="inlineStr">
        <is>
          <t xml:space="preserve">-</t>
        </is>
      </c>
      <c r="D562" s="0" t="inlineStr">
        <is>
          <t xml:space="preserve">non_sub</t>
        </is>
      </c>
      <c r="E562" s="0" t="inlineStr">
        <is>
          <t xml:space="preserve">sustainment_maintenance</t>
        </is>
      </c>
      <c r="F562" s="0" t="inlineStr">
        <is>
          <t xml:space="preserve">EXCLUDE_REVIEW</t>
        </is>
      </c>
      <c r="G562" s="0" t="inlineStr">
        <is>
          <t xml:space="preserve">BC</t>
        </is>
      </c>
      <c r="H562" s="5">
        <v>0</v>
      </c>
      <c r="I562" s="5">
        <v>0</v>
      </c>
      <c r="J562" s="5">
        <v>1</v>
      </c>
      <c r="K562" s="5">
        <v>10.0</v>
      </c>
      <c r="L562" s="7">
        <v>0.0</v>
      </c>
      <c r="M562" s="7">
        <v>0.0</v>
      </c>
      <c r="N562" s="7">
        <v>0.0</v>
      </c>
      <c r="O562" s="7">
        <v>0.0</v>
      </c>
    </row>
    <row r="563" outlineLevel="1">
      <c r="B563" s="0" t="inlineStr">
        <is>
          <t xml:space="preserve">2022-09-30</t>
        </is>
      </c>
      <c r="C563" s="0" t="inlineStr">
        <is>
          <t xml:space="preserve">N00024-19-C-6311</t>
        </is>
      </c>
      <c r="D563" s="0" t="inlineStr">
        <is>
          <t xml:space="preserve">non_sub</t>
        </is>
      </c>
      <c r="E563" s="0" t="inlineStr">
        <is>
          <t xml:space="preserve">engineering</t>
        </is>
      </c>
      <c r="F563" s="0" t="inlineStr">
        <is>
          <t xml:space="preserve">EXCLUDE_REVIEW</t>
        </is>
      </c>
      <c r="G563" s="0" t="inlineStr">
        <is>
          <t xml:space="preserve">BC</t>
        </is>
      </c>
      <c r="H563" s="5">
        <v>0</v>
      </c>
      <c r="I563" s="5">
        <v>0</v>
      </c>
      <c r="J563" s="5">
        <v>1</v>
      </c>
      <c r="K563" s="5">
        <v>9.987324</v>
      </c>
      <c r="L563" s="7">
        <v>0.0</v>
      </c>
      <c r="M563" s="7">
        <v>0.0</v>
      </c>
      <c r="N563" s="7">
        <v>1.0</v>
      </c>
      <c r="O563" s="7">
        <v>0.0</v>
      </c>
    </row>
    <row r="564" outlineLevel="1">
      <c r="B564" s="0" t="inlineStr">
        <is>
          <t xml:space="preserve">2024-09-19</t>
        </is>
      </c>
      <c r="C564" s="0" t="inlineStr">
        <is>
          <t xml:space="preserve">N00024-20-C-6117</t>
        </is>
      </c>
      <c r="D564" s="0" t="inlineStr">
        <is>
          <t xml:space="preserve">non_sub</t>
        </is>
      </c>
      <c r="E564" s="0" t="inlineStr">
        <is>
          <t xml:space="preserve">lltm_early_mfg</t>
        </is>
      </c>
      <c r="F564" s="0" t="inlineStr">
        <is>
          <t xml:space="preserve">INCLUDE_AP_LLTM</t>
        </is>
      </c>
      <c r="G564" s="0" t="inlineStr">
        <is>
          <t xml:space="preserve">AP_LLTM</t>
        </is>
      </c>
      <c r="H564" s="5">
        <v>0</v>
      </c>
      <c r="I564" s="5">
        <v>0</v>
      </c>
      <c r="J564" s="5">
        <v>1</v>
      </c>
      <c r="K564" s="5">
        <v>9.982161</v>
      </c>
      <c r="L564" s="7">
        <v>0.0</v>
      </c>
      <c r="M564" s="7">
        <v>0.0</v>
      </c>
      <c r="N564" s="7">
        <v>1.0</v>
      </c>
      <c r="O564" s="7">
        <v>0.0</v>
      </c>
    </row>
    <row r="565" outlineLevel="1">
      <c r="B565" s="0" t="inlineStr">
        <is>
          <t xml:space="preserve">2025-05-01</t>
        </is>
      </c>
      <c r="C565" s="0" t="inlineStr">
        <is>
          <t xml:space="preserve">N00024-23-C-5123</t>
        </is>
      </c>
      <c r="D565" s="0" t="inlineStr">
        <is>
          <t xml:space="preserve">non_sub</t>
        </is>
      </c>
      <c r="E565" s="0" t="inlineStr">
        <is>
          <t xml:space="preserve">fms</t>
        </is>
      </c>
      <c r="F565" s="0" t="inlineStr">
        <is>
          <t xml:space="preserve">EXCLUDE_REVIEW</t>
        </is>
      </c>
      <c r="G565" s="0" t="inlineStr">
        <is>
          <t xml:space="preserve">BC</t>
        </is>
      </c>
      <c r="H565" s="5">
        <v>0</v>
      </c>
      <c r="I565" s="5">
        <v>0</v>
      </c>
      <c r="J565" s="5">
        <v>1</v>
      </c>
      <c r="K565" s="5">
        <v>9.962815</v>
      </c>
      <c r="L565" s="7">
        <v>0.0</v>
      </c>
      <c r="M565" s="7">
        <v>0.0</v>
      </c>
      <c r="N565" s="7">
        <v>0.0</v>
      </c>
      <c r="O565" s="7">
        <v>0.0</v>
      </c>
    </row>
    <row r="566" outlineLevel="1">
      <c r="B566" s="0" t="inlineStr">
        <is>
          <t xml:space="preserve">2023-05-01</t>
        </is>
      </c>
      <c r="C566" s="0" t="inlineStr">
        <is>
          <t xml:space="preserve">N00024-23-C-5300</t>
        </is>
      </c>
      <c r="D566" s="0" t="inlineStr">
        <is>
          <t xml:space="preserve">non_sub</t>
        </is>
      </c>
      <c r="E566" s="0" t="inlineStr">
        <is>
          <t xml:space="preserve">other</t>
        </is>
      </c>
      <c r="F566" s="0" t="inlineStr">
        <is>
          <t xml:space="preserve">EXCLUDE_REVIEW</t>
        </is>
      </c>
      <c r="G566" s="0" t="inlineStr">
        <is>
          <t xml:space="preserve">BC</t>
        </is>
      </c>
      <c r="H566" s="5">
        <v>0</v>
      </c>
      <c r="I566" s="5">
        <v>0</v>
      </c>
      <c r="J566" s="5">
        <v>1</v>
      </c>
      <c r="K566" s="5">
        <v>9.948433</v>
      </c>
      <c r="L566" s="7">
        <v>0.0</v>
      </c>
      <c r="M566" s="7">
        <v>0.0</v>
      </c>
      <c r="N566" s="7">
        <v>1.0</v>
      </c>
      <c r="O566" s="7">
        <v>0.0</v>
      </c>
    </row>
    <row r="567" outlineLevel="1">
      <c r="B567" s="0" t="inlineStr">
        <is>
          <t xml:space="preserve">2025-06-30</t>
        </is>
      </c>
      <c r="C567" s="0" t="inlineStr">
        <is>
          <t xml:space="preserve">N00024-23-C-5325</t>
        </is>
      </c>
      <c r="D567" s="0" t="inlineStr">
        <is>
          <t xml:space="preserve">non_sub</t>
        </is>
      </c>
      <c r="E567" s="0" t="inlineStr">
        <is>
          <t xml:space="preserve">other</t>
        </is>
      </c>
      <c r="F567" s="0" t="inlineStr">
        <is>
          <t xml:space="preserve">EXCLUDE_REVIEW</t>
        </is>
      </c>
      <c r="G567" s="0" t="inlineStr">
        <is>
          <t xml:space="preserve">BC</t>
        </is>
      </c>
      <c r="H567" s="5">
        <v>0</v>
      </c>
      <c r="I567" s="5">
        <v>0</v>
      </c>
      <c r="J567" s="5">
        <v>1</v>
      </c>
      <c r="K567" s="5">
        <v>9.935387</v>
      </c>
      <c r="L567" s="7">
        <v>0.0</v>
      </c>
      <c r="M567" s="7">
        <v>0.0</v>
      </c>
      <c r="N567" s="7">
        <v>0.77</v>
      </c>
      <c r="O567" s="7">
        <v>0.0</v>
      </c>
    </row>
    <row r="568" outlineLevel="1">
      <c r="B568" s="0" t="inlineStr">
        <is>
          <t xml:space="preserve">2023-09-29</t>
        </is>
      </c>
      <c r="C568" s="0" t="inlineStr">
        <is>
          <t xml:space="preserve">N00024-22-C-5500</t>
        </is>
      </c>
      <c r="D568" s="0" t="inlineStr">
        <is>
          <t xml:space="preserve">non_sub</t>
        </is>
      </c>
      <c r="E568" s="0" t="inlineStr">
        <is>
          <t xml:space="preserve">other</t>
        </is>
      </c>
      <c r="F568" s="0" t="inlineStr">
        <is>
          <t xml:space="preserve">EXCLUDE_REVIEW</t>
        </is>
      </c>
      <c r="G568" s="0" t="inlineStr">
        <is>
          <t xml:space="preserve">BC</t>
        </is>
      </c>
      <c r="H568" s="5">
        <v>0</v>
      </c>
      <c r="I568" s="5">
        <v>0</v>
      </c>
      <c r="J568" s="5">
        <v>1</v>
      </c>
      <c r="K568" s="5">
        <v>9.897098</v>
      </c>
      <c r="L568" s="7">
        <v>0.0</v>
      </c>
      <c r="M568" s="7">
        <v>0.0</v>
      </c>
      <c r="N568" s="7">
        <v>0.71</v>
      </c>
      <c r="O568" s="7">
        <v>0.0</v>
      </c>
    </row>
    <row r="569" outlineLevel="1">
      <c r="B569" s="0" t="inlineStr">
        <is>
          <t xml:space="preserve">2025-08-22</t>
        </is>
      </c>
      <c r="C569" s="0" t="inlineStr">
        <is>
          <t xml:space="preserve">-</t>
        </is>
      </c>
      <c r="D569" s="0" t="inlineStr">
        <is>
          <t xml:space="preserve">va</t>
        </is>
      </c>
      <c r="E569" s="0" t="inlineStr">
        <is>
          <t xml:space="preserve">component_procurement</t>
        </is>
      </c>
      <c r="F569" s="0" t="inlineStr">
        <is>
          <t xml:space="preserve">INCLUDE_BC</t>
        </is>
      </c>
      <c r="G569" s="0" t="inlineStr">
        <is>
          <t xml:space="preserve">BC</t>
        </is>
      </c>
      <c r="H569" s="5">
        <v>1</v>
      </c>
      <c r="I569" s="5">
        <v>0</v>
      </c>
      <c r="J569" s="5">
        <v>1</v>
      </c>
      <c r="K569" s="5">
        <v>9.877737</v>
      </c>
      <c r="L569" s="7">
        <v>0.0</v>
      </c>
      <c r="M569" s="7">
        <v>0.0</v>
      </c>
      <c r="N569" s="7">
        <v>0.0</v>
      </c>
      <c r="O569" s="7">
        <v>0.0</v>
      </c>
    </row>
    <row r="570" outlineLevel="1">
      <c r="B570" s="0" t="inlineStr">
        <is>
          <t xml:space="preserve">2022-09-30</t>
        </is>
      </c>
      <c r="C570" s="0" t="inlineStr">
        <is>
          <t xml:space="preserve">N00024-19-C-5388</t>
        </is>
      </c>
      <c r="D570" s="0" t="inlineStr">
        <is>
          <t xml:space="preserve">non_sub</t>
        </is>
      </c>
      <c r="E570" s="0" t="inlineStr">
        <is>
          <t xml:space="preserve">component_procurement</t>
        </is>
      </c>
      <c r="F570" s="0" t="inlineStr">
        <is>
          <t xml:space="preserve">INCLUDE_BC</t>
        </is>
      </c>
      <c r="G570" s="0" t="inlineStr">
        <is>
          <t xml:space="preserve">BC</t>
        </is>
      </c>
      <c r="H570" s="5">
        <v>0</v>
      </c>
      <c r="I570" s="5">
        <v>0</v>
      </c>
      <c r="J570" s="5">
        <v>1</v>
      </c>
      <c r="K570" s="5">
        <v>9.837129</v>
      </c>
      <c r="L570" s="7">
        <v>0.0</v>
      </c>
      <c r="M570" s="7">
        <v>0.0</v>
      </c>
      <c r="N570" s="7">
        <v>0.0</v>
      </c>
      <c r="O570" s="7">
        <v>0.0</v>
      </c>
    </row>
    <row r="571" outlineLevel="1">
      <c r="B571" s="0" t="inlineStr">
        <is>
          <t xml:space="preserve">2025-03-19</t>
        </is>
      </c>
      <c r="C571" s="0" t="inlineStr">
        <is>
          <t xml:space="preserve">N00024-21-D-4114</t>
        </is>
      </c>
      <c r="D571" s="0" t="inlineStr">
        <is>
          <t xml:space="preserve">non_sub</t>
        </is>
      </c>
      <c r="E571" s="0" t="inlineStr">
        <is>
          <t xml:space="preserve">other</t>
        </is>
      </c>
      <c r="F571" s="0" t="inlineStr">
        <is>
          <t xml:space="preserve">EXCLUDE_REVIEW</t>
        </is>
      </c>
      <c r="G571" s="0" t="inlineStr">
        <is>
          <t xml:space="preserve">BC</t>
        </is>
      </c>
      <c r="H571" s="5">
        <v>0</v>
      </c>
      <c r="I571" s="5">
        <v>0</v>
      </c>
      <c r="J571" s="5">
        <v>1</v>
      </c>
      <c r="K571" s="5">
        <v>9.774058</v>
      </c>
      <c r="L571" s="7">
        <v>0.0</v>
      </c>
      <c r="M571" s="7">
        <v>0.0</v>
      </c>
      <c r="N571" s="7">
        <v>0.0</v>
      </c>
      <c r="O571" s="7">
        <v>0.0</v>
      </c>
    </row>
    <row r="572" outlineLevel="1">
      <c r="B572" s="0" t="inlineStr">
        <is>
          <t xml:space="preserve">2025-12-10</t>
        </is>
      </c>
      <c r="C572" s="0" t="inlineStr">
        <is>
          <t xml:space="preserve">-</t>
        </is>
      </c>
      <c r="D572" s="0" t="inlineStr">
        <is>
          <t xml:space="preserve">non_sub</t>
        </is>
      </c>
      <c r="E572" s="0" t="inlineStr">
        <is>
          <t xml:space="preserve">design</t>
        </is>
      </c>
      <c r="F572" s="0" t="inlineStr">
        <is>
          <t xml:space="preserve">EXCLUDE_REVIEW</t>
        </is>
      </c>
      <c r="G572" s="0" t="inlineStr">
        <is>
          <t xml:space="preserve">BC</t>
        </is>
      </c>
      <c r="H572" s="5">
        <v>0</v>
      </c>
      <c r="I572" s="5">
        <v>0</v>
      </c>
      <c r="J572" s="5">
        <v>1</v>
      </c>
      <c r="K572" s="5">
        <v>9.767295</v>
      </c>
      <c r="L572" s="7">
        <v>0.0</v>
      </c>
      <c r="M572" s="7">
        <v>0.0</v>
      </c>
      <c r="N572" s="7">
        <v>1.0</v>
      </c>
      <c r="O572" s="7">
        <v>0.0</v>
      </c>
    </row>
    <row r="573" outlineLevel="1">
      <c r="B573" s="0" t="inlineStr">
        <is>
          <t xml:space="preserve">2026-02-19</t>
        </is>
      </c>
      <c r="C573" s="0" t="inlineStr">
        <is>
          <t xml:space="preserve">N00024-25-C-2400</t>
        </is>
      </c>
      <c r="D573" s="0" t="inlineStr">
        <is>
          <t xml:space="preserve">non_sub</t>
        </is>
      </c>
      <c r="E573" s="0" t="inlineStr">
        <is>
          <t xml:space="preserve">sustainment_maintenance</t>
        </is>
      </c>
      <c r="F573" s="0" t="inlineStr">
        <is>
          <t xml:space="preserve">EXCLUDE_REVIEW</t>
        </is>
      </c>
      <c r="G573" s="0" t="inlineStr">
        <is>
          <t xml:space="preserve">BC</t>
        </is>
      </c>
      <c r="H573" s="5">
        <v>0</v>
      </c>
      <c r="I573" s="5">
        <v>0</v>
      </c>
      <c r="J573" s="5">
        <v>1</v>
      </c>
      <c r="K573" s="5">
        <v>9.7085</v>
      </c>
      <c r="L573" s="7">
        <v>0.0</v>
      </c>
      <c r="M573" s="7">
        <v>0.0</v>
      </c>
      <c r="N573" s="7">
        <v>0.0</v>
      </c>
      <c r="O573" s="7">
        <v>0.0</v>
      </c>
    </row>
    <row r="574" outlineLevel="1">
      <c r="B574" s="0" t="inlineStr">
        <is>
          <t xml:space="preserve">2024-02-29</t>
        </is>
      </c>
      <c r="C574" s="0" t="inlineStr">
        <is>
          <t xml:space="preserve">N00024-24-C-4201</t>
        </is>
      </c>
      <c r="D574" s="0" t="inlineStr">
        <is>
          <t xml:space="preserve">non_sub</t>
        </is>
      </c>
      <c r="E574" s="0" t="inlineStr">
        <is>
          <t xml:space="preserve">sustainment_maintenance</t>
        </is>
      </c>
      <c r="F574" s="0" t="inlineStr">
        <is>
          <t xml:space="preserve">EXCLUDE_REVIEW</t>
        </is>
      </c>
      <c r="G574" s="0" t="inlineStr">
        <is>
          <t xml:space="preserve">BC</t>
        </is>
      </c>
      <c r="H574" s="5">
        <v>0</v>
      </c>
      <c r="I574" s="5">
        <v>0</v>
      </c>
      <c r="J574" s="5">
        <v>1</v>
      </c>
      <c r="K574" s="5">
        <v>9.698632</v>
      </c>
      <c r="L574" s="7">
        <v>0.0</v>
      </c>
      <c r="M574" s="7">
        <v>0.0</v>
      </c>
      <c r="N574" s="7">
        <v>1.0</v>
      </c>
      <c r="O574" s="7">
        <v>0.0</v>
      </c>
    </row>
    <row r="575" outlineLevel="1">
      <c r="B575" s="0" t="inlineStr">
        <is>
          <t xml:space="preserve">2023-03-20</t>
        </is>
      </c>
      <c r="C575" s="0" t="inlineStr">
        <is>
          <t xml:space="preserve">N00024-13-C-2305</t>
        </is>
      </c>
      <c r="D575" s="0" t="inlineStr">
        <is>
          <t xml:space="preserve">non_sub</t>
        </is>
      </c>
      <c r="E575" s="0" t="inlineStr">
        <is>
          <t xml:space="preserve">sustainment_maintenance</t>
        </is>
      </c>
      <c r="F575" s="0" t="inlineStr">
        <is>
          <t xml:space="preserve">EXCLUDE_REVIEW</t>
        </is>
      </c>
      <c r="G575" s="0" t="inlineStr">
        <is>
          <t xml:space="preserve">BC</t>
        </is>
      </c>
      <c r="H575" s="5">
        <v>0</v>
      </c>
      <c r="I575" s="5">
        <v>0</v>
      </c>
      <c r="J575" s="5">
        <v>1</v>
      </c>
      <c r="K575" s="5">
        <v>9.609633</v>
      </c>
      <c r="L575" s="7">
        <v>0.0</v>
      </c>
      <c r="M575" s="7">
        <v>0.0</v>
      </c>
      <c r="N575" s="7">
        <v>0.99</v>
      </c>
      <c r="O575" s="7">
        <v>0.0</v>
      </c>
    </row>
    <row r="576" outlineLevel="1">
      <c r="B576" s="0" t="inlineStr">
        <is>
          <t xml:space="preserve">2023-11-03</t>
        </is>
      </c>
      <c r="C576" s="0" t="inlineStr">
        <is>
          <t xml:space="preserve">-</t>
        </is>
      </c>
      <c r="D576" s="0" t="inlineStr">
        <is>
          <t xml:space="preserve">sub_other</t>
        </is>
      </c>
      <c r="E576" s="0" t="inlineStr">
        <is>
          <t xml:space="preserve">other</t>
        </is>
      </c>
      <c r="F576" s="0" t="inlineStr">
        <is>
          <t xml:space="preserve">EXCLUDE_REVIEW</t>
        </is>
      </c>
      <c r="G576" s="0" t="inlineStr">
        <is>
          <t xml:space="preserve">BC</t>
        </is>
      </c>
      <c r="H576" s="5">
        <v>0</v>
      </c>
      <c r="I576" s="5">
        <v>0</v>
      </c>
      <c r="J576" s="5">
        <v>1</v>
      </c>
      <c r="K576" s="5">
        <v>9.590245</v>
      </c>
      <c r="L576" s="7">
        <v>0.0</v>
      </c>
      <c r="M576" s="7">
        <v>0.0</v>
      </c>
      <c r="N576" s="7">
        <v>0.0</v>
      </c>
      <c r="O576" s="7">
        <v>0.0</v>
      </c>
    </row>
    <row r="577" outlineLevel="1">
      <c r="B577" s="0" t="inlineStr">
        <is>
          <t xml:space="preserve">2025-01-23</t>
        </is>
      </c>
      <c r="C577" s="0" t="inlineStr">
        <is>
          <t xml:space="preserve">-</t>
        </is>
      </c>
      <c r="D577" s="0" t="inlineStr">
        <is>
          <t xml:space="preserve">sub_other</t>
        </is>
      </c>
      <c r="E577" s="0" t="inlineStr">
        <is>
          <t xml:space="preserve">other</t>
        </is>
      </c>
      <c r="F577" s="0" t="inlineStr">
        <is>
          <t xml:space="preserve">EXCLUDE_REVIEW</t>
        </is>
      </c>
      <c r="G577" s="0" t="inlineStr">
        <is>
          <t xml:space="preserve">BC</t>
        </is>
      </c>
      <c r="H577" s="5">
        <v>0</v>
      </c>
      <c r="I577" s="5">
        <v>0</v>
      </c>
      <c r="J577" s="5">
        <v>1</v>
      </c>
      <c r="K577" s="5">
        <v>9.588463</v>
      </c>
      <c r="L577" s="7">
        <v>0.0</v>
      </c>
      <c r="M577" s="7">
        <v>0.0</v>
      </c>
      <c r="N577" s="7">
        <v>0.0</v>
      </c>
      <c r="O577" s="7">
        <v>0.0</v>
      </c>
    </row>
    <row r="578" outlineLevel="1">
      <c r="B578" s="0" t="inlineStr">
        <is>
          <t xml:space="preserve">2026-01-22</t>
        </is>
      </c>
      <c r="C578" s="0" t="inlineStr">
        <is>
          <t xml:space="preserve">N00024-21-C-5105</t>
        </is>
      </c>
      <c r="D578" s="0" t="inlineStr">
        <is>
          <t xml:space="preserve">non_sub</t>
        </is>
      </c>
      <c r="E578" s="0" t="inlineStr">
        <is>
          <t xml:space="preserve">other</t>
        </is>
      </c>
      <c r="F578" s="0" t="inlineStr">
        <is>
          <t xml:space="preserve">EXCLUDE_REVIEW</t>
        </is>
      </c>
      <c r="G578" s="0" t="inlineStr">
        <is>
          <t xml:space="preserve">BC</t>
        </is>
      </c>
      <c r="H578" s="5">
        <v>0</v>
      </c>
      <c r="I578" s="5">
        <v>0</v>
      </c>
      <c r="J578" s="5">
        <v>1</v>
      </c>
      <c r="K578" s="5">
        <v>9.582053</v>
      </c>
      <c r="L578" s="7">
        <v>0.0</v>
      </c>
      <c r="M578" s="7">
        <v>0.0</v>
      </c>
      <c r="N578" s="7">
        <v>1.0</v>
      </c>
      <c r="O578" s="7">
        <v>0.0</v>
      </c>
    </row>
    <row r="579" outlineLevel="1">
      <c r="B579" s="0" t="inlineStr">
        <is>
          <t xml:space="preserve">2026-04-24</t>
        </is>
      </c>
      <c r="C579" s="0" t="inlineStr">
        <is>
          <t xml:space="preserve">-</t>
        </is>
      </c>
      <c r="D579" s="0" t="inlineStr">
        <is>
          <t xml:space="preserve">sub_gfe_electronics</t>
        </is>
      </c>
      <c r="E579" s="0" t="inlineStr">
        <is>
          <t xml:space="preserve">engineering</t>
        </is>
      </c>
      <c r="F579" s="0" t="inlineStr">
        <is>
          <t xml:space="preserve">EXCLUDE_GFE</t>
        </is>
      </c>
      <c r="G579" s="0" t="inlineStr">
        <is>
          <t xml:space="preserve">BC</t>
        </is>
      </c>
      <c r="H579" s="5">
        <v>0</v>
      </c>
      <c r="I579" s="5">
        <v>1</v>
      </c>
      <c r="J579" s="5">
        <v>1</v>
      </c>
      <c r="K579" s="5">
        <v>9.568357</v>
      </c>
      <c r="L579" s="7">
        <v>0.0</v>
      </c>
      <c r="M579" s="7">
        <v>0.0</v>
      </c>
      <c r="N579" s="7">
        <v>1.0</v>
      </c>
      <c r="O579" s="7">
        <v>0.0</v>
      </c>
    </row>
    <row r="580" outlineLevel="1">
      <c r="B580" s="0" t="inlineStr">
        <is>
          <t xml:space="preserve">2025-12-02</t>
        </is>
      </c>
      <c r="C580" s="0" t="inlineStr">
        <is>
          <t xml:space="preserve">N00024-20-C-4203</t>
        </is>
      </c>
      <c r="D580" s="0" t="inlineStr">
        <is>
          <t xml:space="preserve">non_sub</t>
        </is>
      </c>
      <c r="E580" s="0" t="inlineStr">
        <is>
          <t xml:space="preserve">lead_yard</t>
        </is>
      </c>
      <c r="F580" s="0" t="inlineStr">
        <is>
          <t xml:space="preserve">EXCLUDE_REVIEW</t>
        </is>
      </c>
      <c r="G580" s="0" t="inlineStr">
        <is>
          <t xml:space="preserve">BC</t>
        </is>
      </c>
      <c r="H580" s="5">
        <v>0</v>
      </c>
      <c r="I580" s="5">
        <v>0</v>
      </c>
      <c r="J580" s="5">
        <v>1</v>
      </c>
      <c r="K580" s="5">
        <v>9.541379</v>
      </c>
      <c r="L580" s="7">
        <v>0.0</v>
      </c>
      <c r="M580" s="7">
        <v>0.0</v>
      </c>
      <c r="N580" s="7">
        <v>0.0</v>
      </c>
      <c r="O580" s="7">
        <v>0.0</v>
      </c>
    </row>
    <row r="581" outlineLevel="1">
      <c r="B581" s="0" t="inlineStr">
        <is>
          <t xml:space="preserve">2026-01-28</t>
        </is>
      </c>
      <c r="C581" s="0" t="inlineStr">
        <is>
          <t xml:space="preserve">N00024-25-F-6260</t>
        </is>
      </c>
      <c r="D581" s="0" t="inlineStr">
        <is>
          <t xml:space="preserve">sub_gfe_electronics</t>
        </is>
      </c>
      <c r="E581" s="0" t="inlineStr">
        <is>
          <t xml:space="preserve">component_procurement</t>
        </is>
      </c>
      <c r="F581" s="0" t="inlineStr">
        <is>
          <t xml:space="preserve">EXCLUDE_GFE</t>
        </is>
      </c>
      <c r="G581" s="0" t="inlineStr">
        <is>
          <t xml:space="preserve">BC</t>
        </is>
      </c>
      <c r="H581" s="5">
        <v>1</v>
      </c>
      <c r="I581" s="5">
        <v>1</v>
      </c>
      <c r="J581" s="5">
        <v>1</v>
      </c>
      <c r="K581" s="5">
        <v>9.5</v>
      </c>
      <c r="L581" s="7">
        <v>0.0</v>
      </c>
      <c r="M581" s="7">
        <v>0.0</v>
      </c>
      <c r="N581" s="7">
        <v>0.0</v>
      </c>
      <c r="O581" s="7">
        <v>0.0</v>
      </c>
    </row>
    <row r="582" outlineLevel="1">
      <c r="B582" s="0" t="inlineStr">
        <is>
          <t xml:space="preserve">2025-04-29</t>
        </is>
      </c>
      <c r="C582" s="0" t="inlineStr">
        <is>
          <t xml:space="preserve">N00024-21-C-2427</t>
        </is>
      </c>
      <c r="D582" s="0" t="inlineStr">
        <is>
          <t xml:space="preserve">non_sub</t>
        </is>
      </c>
      <c r="E582" s="0" t="inlineStr">
        <is>
          <t xml:space="preserve">other</t>
        </is>
      </c>
      <c r="F582" s="0" t="inlineStr">
        <is>
          <t xml:space="preserve">EXCLUDE_REVIEW</t>
        </is>
      </c>
      <c r="G582" s="0" t="inlineStr">
        <is>
          <t xml:space="preserve">BC</t>
        </is>
      </c>
      <c r="H582" s="5">
        <v>0</v>
      </c>
      <c r="I582" s="5">
        <v>0</v>
      </c>
      <c r="J582" s="5">
        <v>1</v>
      </c>
      <c r="K582" s="5">
        <v>9.449613</v>
      </c>
      <c r="L582" s="7">
        <v>0.0</v>
      </c>
      <c r="M582" s="7">
        <v>0.0</v>
      </c>
      <c r="N582" s="7">
        <v>0.0</v>
      </c>
      <c r="O582" s="7">
        <v>0.0</v>
      </c>
    </row>
    <row r="583" outlineLevel="1">
      <c r="B583" s="0" t="inlineStr">
        <is>
          <t xml:space="preserve">2025-12-12</t>
        </is>
      </c>
      <c r="C583" s="0" t="inlineStr">
        <is>
          <t xml:space="preserve">N00024-22-C-2105</t>
        </is>
      </c>
      <c r="D583" s="0" t="inlineStr">
        <is>
          <t xml:space="preserve">sub_repair</t>
        </is>
      </c>
      <c r="E583" s="0" t="inlineStr">
        <is>
          <t xml:space="preserve">design</t>
        </is>
      </c>
      <c r="F583" s="0" t="inlineStr">
        <is>
          <t xml:space="preserve">EXCLUDE_REVIEW</t>
        </is>
      </c>
      <c r="G583" s="0" t="inlineStr">
        <is>
          <t xml:space="preserve">BC</t>
        </is>
      </c>
      <c r="H583" s="5">
        <v>0</v>
      </c>
      <c r="I583" s="5">
        <v>0</v>
      </c>
      <c r="J583" s="5">
        <v>1</v>
      </c>
      <c r="K583" s="5">
        <v>9.434758</v>
      </c>
      <c r="L583" s="7">
        <v>0.0</v>
      </c>
      <c r="M583" s="7">
        <v>0.0</v>
      </c>
      <c r="N583" s="7">
        <v>0.0</v>
      </c>
      <c r="O583" s="7">
        <v>0.0</v>
      </c>
    </row>
    <row r="584" outlineLevel="1">
      <c r="B584" s="0" t="inlineStr">
        <is>
          <t xml:space="preserve">2025-04-29</t>
        </is>
      </c>
      <c r="C584" s="0" t="inlineStr">
        <is>
          <t xml:space="preserve">N00024-24-C-6201</t>
        </is>
      </c>
      <c r="D584" s="0" t="inlineStr">
        <is>
          <t xml:space="preserve">sub_gfe_electronics</t>
        </is>
      </c>
      <c r="E584" s="0" t="inlineStr">
        <is>
          <t xml:space="preserve">engineering</t>
        </is>
      </c>
      <c r="F584" s="0" t="inlineStr">
        <is>
          <t xml:space="preserve">EXCLUDE_GFE</t>
        </is>
      </c>
      <c r="G584" s="0" t="inlineStr">
        <is>
          <t xml:space="preserve">BC</t>
        </is>
      </c>
      <c r="H584" s="5">
        <v>0</v>
      </c>
      <c r="I584" s="5">
        <v>1</v>
      </c>
      <c r="J584" s="5">
        <v>1</v>
      </c>
      <c r="K584" s="5">
        <v>9.428855</v>
      </c>
      <c r="L584" s="7">
        <v>0.0</v>
      </c>
      <c r="M584" s="7">
        <v>0.0</v>
      </c>
      <c r="N584" s="7">
        <v>1.0</v>
      </c>
      <c r="O584" s="7">
        <v>0.0</v>
      </c>
    </row>
    <row r="585" outlineLevel="1">
      <c r="B585" s="0" t="inlineStr">
        <is>
          <t xml:space="preserve">2026-03-09</t>
        </is>
      </c>
      <c r="C585" s="0" t="inlineStr">
        <is>
          <t xml:space="preserve">N00024-26-F-6229</t>
        </is>
      </c>
      <c r="D585" s="0" t="inlineStr">
        <is>
          <t xml:space="preserve">sub_gfe_components</t>
        </is>
      </c>
      <c r="E585" s="0" t="inlineStr">
        <is>
          <t xml:space="preserve">component_procurement</t>
        </is>
      </c>
      <c r="F585" s="0" t="inlineStr">
        <is>
          <t xml:space="preserve">EXCLUDE_GFE</t>
        </is>
      </c>
      <c r="G585" s="0" t="inlineStr">
        <is>
          <t xml:space="preserve">BC</t>
        </is>
      </c>
      <c r="H585" s="5">
        <v>1</v>
      </c>
      <c r="I585" s="5">
        <v>1</v>
      </c>
      <c r="J585" s="5">
        <v>1</v>
      </c>
      <c r="K585" s="5">
        <v>9.355203</v>
      </c>
      <c r="L585" s="7">
        <v>0.0</v>
      </c>
      <c r="M585" s="7">
        <v>0.0</v>
      </c>
      <c r="N585" s="7">
        <v>0.0</v>
      </c>
      <c r="O585" s="7">
        <v>0.0</v>
      </c>
    </row>
    <row r="586" outlineLevel="1">
      <c r="B586" s="0" t="inlineStr">
        <is>
          <t xml:space="preserve">2023-12-14</t>
        </is>
      </c>
      <c r="C586" s="0" t="inlineStr">
        <is>
          <t xml:space="preserve">-</t>
        </is>
      </c>
      <c r="D586" s="0" t="inlineStr">
        <is>
          <t xml:space="preserve">non_sub</t>
        </is>
      </c>
      <c r="E586" s="0" t="inlineStr">
        <is>
          <t xml:space="preserve">component_procurement</t>
        </is>
      </c>
      <c r="F586" s="0" t="inlineStr">
        <is>
          <t xml:space="preserve">INCLUDE_BC</t>
        </is>
      </c>
      <c r="G586" s="0" t="inlineStr">
        <is>
          <t xml:space="preserve">BC</t>
        </is>
      </c>
      <c r="H586" s="5">
        <v>0</v>
      </c>
      <c r="I586" s="5">
        <v>0</v>
      </c>
      <c r="J586" s="5">
        <v>1</v>
      </c>
      <c r="K586" s="5">
        <v>9.337704</v>
      </c>
      <c r="L586" s="7">
        <v>0.0</v>
      </c>
      <c r="M586" s="7">
        <v>0.0</v>
      </c>
      <c r="N586" s="7">
        <v>0.0</v>
      </c>
      <c r="O586" s="7">
        <v>0.0</v>
      </c>
    </row>
    <row r="587" outlineLevel="1">
      <c r="B587" s="0" t="inlineStr">
        <is>
          <t xml:space="preserve">2025-09-05</t>
        </is>
      </c>
      <c r="C587" s="0" t="inlineStr">
        <is>
          <t xml:space="preserve">N00024-25-C-5243</t>
        </is>
      </c>
      <c r="D587" s="0" t="inlineStr">
        <is>
          <t xml:space="preserve">sub_gfe_electronics</t>
        </is>
      </c>
      <c r="E587" s="0" t="inlineStr">
        <is>
          <t xml:space="preserve">engineering</t>
        </is>
      </c>
      <c r="F587" s="0" t="inlineStr">
        <is>
          <t xml:space="preserve">EXCLUDE_GFE</t>
        </is>
      </c>
      <c r="G587" s="0" t="inlineStr">
        <is>
          <t xml:space="preserve">BC</t>
        </is>
      </c>
      <c r="H587" s="5">
        <v>0</v>
      </c>
      <c r="I587" s="5">
        <v>1</v>
      </c>
      <c r="J587" s="5">
        <v>1</v>
      </c>
      <c r="K587" s="5">
        <v>9.281811</v>
      </c>
      <c r="L587" s="7">
        <v>0.0</v>
      </c>
      <c r="M587" s="7">
        <v>0.0</v>
      </c>
      <c r="N587" s="7">
        <v>1.0</v>
      </c>
      <c r="O587" s="7">
        <v>0.0</v>
      </c>
    </row>
    <row r="588" outlineLevel="1">
      <c r="B588" s="0" t="inlineStr">
        <is>
          <t xml:space="preserve">2025-01-24</t>
        </is>
      </c>
      <c r="C588" s="0" t="inlineStr">
        <is>
          <t xml:space="preserve">N00024-25-C-6113</t>
        </is>
      </c>
      <c r="D588" s="0" t="inlineStr">
        <is>
          <t xml:space="preserve">non_sub</t>
        </is>
      </c>
      <c r="E588" s="0" t="inlineStr">
        <is>
          <t xml:space="preserve">design</t>
        </is>
      </c>
      <c r="F588" s="0" t="inlineStr">
        <is>
          <t xml:space="preserve">EXCLUDE_REVIEW</t>
        </is>
      </c>
      <c r="G588" s="0" t="inlineStr">
        <is>
          <t xml:space="preserve">BC</t>
        </is>
      </c>
      <c r="H588" s="5">
        <v>0</v>
      </c>
      <c r="I588" s="5">
        <v>0</v>
      </c>
      <c r="J588" s="5">
        <v>1</v>
      </c>
      <c r="K588" s="5">
        <v>9.265787</v>
      </c>
      <c r="L588" s="7">
        <v>0.0</v>
      </c>
      <c r="M588" s="7">
        <v>0.0</v>
      </c>
      <c r="N588" s="7">
        <v>1.0</v>
      </c>
      <c r="O588" s="7">
        <v>0.0</v>
      </c>
    </row>
    <row r="589" outlineLevel="1">
      <c r="B589" s="0" t="inlineStr">
        <is>
          <t xml:space="preserve">2025-02-12</t>
        </is>
      </c>
      <c r="C589" s="0" t="inlineStr">
        <is>
          <t xml:space="preserve">-</t>
        </is>
      </c>
      <c r="D589" s="0" t="inlineStr">
        <is>
          <t xml:space="preserve">non_sub</t>
        </is>
      </c>
      <c r="E589" s="0" t="inlineStr">
        <is>
          <t xml:space="preserve">sustainment_maintenance</t>
        </is>
      </c>
      <c r="F589" s="0" t="inlineStr">
        <is>
          <t xml:space="preserve">EXCLUDE_REVIEW</t>
        </is>
      </c>
      <c r="G589" s="0" t="inlineStr">
        <is>
          <t xml:space="preserve">BC</t>
        </is>
      </c>
      <c r="H589" s="5">
        <v>0</v>
      </c>
      <c r="I589" s="5">
        <v>0</v>
      </c>
      <c r="J589" s="5">
        <v>1</v>
      </c>
      <c r="K589" s="5">
        <v>9.177837</v>
      </c>
      <c r="L589" s="7">
        <v>0.0</v>
      </c>
      <c r="M589" s="7">
        <v>0.0</v>
      </c>
      <c r="N589" s="7">
        <v>0.0</v>
      </c>
      <c r="O589" s="7">
        <v>0.0</v>
      </c>
    </row>
    <row r="590" outlineLevel="1">
      <c r="B590" s="0" t="inlineStr">
        <is>
          <t xml:space="preserve">2026-01-16</t>
        </is>
      </c>
      <c r="C590" s="0" t="inlineStr">
        <is>
          <t xml:space="preserve">N00024-25-C-5434</t>
        </is>
      </c>
      <c r="D590" s="0" t="inlineStr">
        <is>
          <t xml:space="preserve">non_sub</t>
        </is>
      </c>
      <c r="E590" s="0" t="inlineStr">
        <is>
          <t xml:space="preserve">other</t>
        </is>
      </c>
      <c r="F590" s="0" t="inlineStr">
        <is>
          <t xml:space="preserve">EXCLUDE_REVIEW</t>
        </is>
      </c>
      <c r="G590" s="0" t="inlineStr">
        <is>
          <t xml:space="preserve">BC</t>
        </is>
      </c>
      <c r="H590" s="5">
        <v>0</v>
      </c>
      <c r="I590" s="5">
        <v>0</v>
      </c>
      <c r="J590" s="5">
        <v>1</v>
      </c>
      <c r="K590" s="5">
        <v>9.17261</v>
      </c>
      <c r="L590" s="7">
        <v>0.0</v>
      </c>
      <c r="M590" s="7">
        <v>0.0</v>
      </c>
      <c r="N590" s="7">
        <v>0.77</v>
      </c>
      <c r="O590" s="7">
        <v>0.0</v>
      </c>
    </row>
    <row r="591" outlineLevel="1">
      <c r="B591" s="0" t="inlineStr">
        <is>
          <t xml:space="preserve">2025-01-29</t>
        </is>
      </c>
      <c r="C591" s="0" t="inlineStr">
        <is>
          <t xml:space="preserve">-</t>
        </is>
      </c>
      <c r="D591" s="0" t="inlineStr">
        <is>
          <t xml:space="preserve">non_sub</t>
        </is>
      </c>
      <c r="E591" s="0" t="inlineStr">
        <is>
          <t xml:space="preserve">sustainment_maintenance</t>
        </is>
      </c>
      <c r="F591" s="0" t="inlineStr">
        <is>
          <t xml:space="preserve">EXCLUDE_REVIEW</t>
        </is>
      </c>
      <c r="G591" s="0" t="inlineStr">
        <is>
          <t xml:space="preserve">BC</t>
        </is>
      </c>
      <c r="H591" s="5">
        <v>0</v>
      </c>
      <c r="I591" s="5">
        <v>0</v>
      </c>
      <c r="J591" s="5">
        <v>1</v>
      </c>
      <c r="K591" s="5">
        <v>9.165174</v>
      </c>
      <c r="L591" s="7">
        <v>0.0</v>
      </c>
      <c r="M591" s="7">
        <v>0.0</v>
      </c>
      <c r="N591" s="7">
        <v>1.0</v>
      </c>
      <c r="O591" s="7">
        <v>0.0</v>
      </c>
    </row>
    <row r="592" outlineLevel="1">
      <c r="B592" s="0" t="inlineStr">
        <is>
          <t xml:space="preserve">2023-05-12</t>
        </is>
      </c>
      <c r="C592" s="0" t="inlineStr">
        <is>
          <t xml:space="preserve">N55236-23-D-0002</t>
        </is>
      </c>
      <c r="D592" s="0" t="inlineStr">
        <is>
          <t xml:space="preserve">non_sub</t>
        </is>
      </c>
      <c r="E592" s="0" t="inlineStr">
        <is>
          <t xml:space="preserve">other</t>
        </is>
      </c>
      <c r="F592" s="0" t="inlineStr">
        <is>
          <t xml:space="preserve">EXCLUDE_REVIEW</t>
        </is>
      </c>
      <c r="G592" s="0" t="inlineStr">
        <is>
          <t xml:space="preserve">BC</t>
        </is>
      </c>
      <c r="H592" s="5">
        <v>0</v>
      </c>
      <c r="I592" s="5">
        <v>0</v>
      </c>
      <c r="J592" s="5">
        <v>1</v>
      </c>
      <c r="K592" s="5">
        <v>9.135942</v>
      </c>
      <c r="L592" s="7">
        <v>0.0</v>
      </c>
      <c r="M592" s="7">
        <v>0.0</v>
      </c>
      <c r="N592" s="7">
        <v>0.0</v>
      </c>
      <c r="O592" s="7">
        <v>0.0</v>
      </c>
    </row>
    <row r="593" outlineLevel="1">
      <c r="B593" s="0" t="inlineStr">
        <is>
          <t xml:space="preserve">2023-03-15</t>
        </is>
      </c>
      <c r="C593" s="0" t="inlineStr">
        <is>
          <t xml:space="preserve">-</t>
        </is>
      </c>
      <c r="D593" s="0" t="inlineStr">
        <is>
          <t xml:space="preserve">non_sub</t>
        </is>
      </c>
      <c r="E593" s="0" t="inlineStr">
        <is>
          <t xml:space="preserve">other</t>
        </is>
      </c>
      <c r="F593" s="0" t="inlineStr">
        <is>
          <t xml:space="preserve">EXCLUDE_REVIEW</t>
        </is>
      </c>
      <c r="G593" s="0" t="inlineStr">
        <is>
          <t xml:space="preserve">BC</t>
        </is>
      </c>
      <c r="H593" s="5">
        <v>0</v>
      </c>
      <c r="I593" s="5">
        <v>0</v>
      </c>
      <c r="J593" s="5">
        <v>1</v>
      </c>
      <c r="K593" s="5">
        <v>9.104053</v>
      </c>
      <c r="L593" s="7">
        <v>0.0</v>
      </c>
      <c r="M593" s="7">
        <v>0.0</v>
      </c>
      <c r="N593" s="7">
        <v>0.0</v>
      </c>
      <c r="O593" s="7">
        <v>0.0</v>
      </c>
    </row>
    <row r="594" outlineLevel="1">
      <c r="B594" s="0" t="inlineStr">
        <is>
          <t xml:space="preserve">2025-04-08</t>
        </is>
      </c>
      <c r="C594" s="0" t="inlineStr">
        <is>
          <t xml:space="preserve">N00024-23-C-6109</t>
        </is>
      </c>
      <c r="D594" s="0" t="inlineStr">
        <is>
          <t xml:space="preserve">non_sub</t>
        </is>
      </c>
      <c r="E594" s="0" t="inlineStr">
        <is>
          <t xml:space="preserve">fms</t>
        </is>
      </c>
      <c r="F594" s="0" t="inlineStr">
        <is>
          <t xml:space="preserve">EXCLUDE_REVIEW</t>
        </is>
      </c>
      <c r="G594" s="0" t="inlineStr">
        <is>
          <t xml:space="preserve">BC</t>
        </is>
      </c>
      <c r="H594" s="5">
        <v>0</v>
      </c>
      <c r="I594" s="5">
        <v>0</v>
      </c>
      <c r="J594" s="5">
        <v>1</v>
      </c>
      <c r="K594" s="5">
        <v>9.1</v>
      </c>
      <c r="L594" s="7">
        <v>0.0</v>
      </c>
      <c r="M594" s="7">
        <v>0.0</v>
      </c>
      <c r="N594" s="7">
        <v>0.0</v>
      </c>
      <c r="O594" s="7">
        <v>0.0</v>
      </c>
    </row>
    <row r="595" outlineLevel="1">
      <c r="B595" s="0" t="inlineStr">
        <is>
          <t xml:space="preserve">2026-04-22</t>
        </is>
      </c>
      <c r="C595" s="0" t="inlineStr">
        <is>
          <t xml:space="preserve">N00024-23-C-6109</t>
        </is>
      </c>
      <c r="D595" s="0" t="inlineStr">
        <is>
          <t xml:space="preserve">non_sub</t>
        </is>
      </c>
      <c r="E595" s="0" t="inlineStr">
        <is>
          <t xml:space="preserve">other</t>
        </is>
      </c>
      <c r="F595" s="0" t="inlineStr">
        <is>
          <t xml:space="preserve">EXCLUDE_REVIEW</t>
        </is>
      </c>
      <c r="G595" s="0" t="inlineStr">
        <is>
          <t xml:space="preserve">BC</t>
        </is>
      </c>
      <c r="H595" s="5">
        <v>0</v>
      </c>
      <c r="I595" s="5">
        <v>0</v>
      </c>
      <c r="J595" s="5">
        <v>1</v>
      </c>
      <c r="K595" s="5">
        <v>9.1</v>
      </c>
      <c r="L595" s="7">
        <v>0.0</v>
      </c>
      <c r="M595" s="7">
        <v>0.0</v>
      </c>
      <c r="N595" s="7">
        <v>0.0</v>
      </c>
      <c r="O595" s="7">
        <v>0.0</v>
      </c>
    </row>
    <row r="596" outlineLevel="1">
      <c r="B596" s="0" t="inlineStr">
        <is>
          <t xml:space="preserve">2025-02-25</t>
        </is>
      </c>
      <c r="C596" s="0" t="inlineStr">
        <is>
          <t xml:space="preserve">N00024-25-F-6260</t>
        </is>
      </c>
      <c r="D596" s="0" t="inlineStr">
        <is>
          <t xml:space="preserve">sub_gfe_electronics</t>
        </is>
      </c>
      <c r="E596" s="0" t="inlineStr">
        <is>
          <t xml:space="preserve">component_procurement</t>
        </is>
      </c>
      <c r="F596" s="0" t="inlineStr">
        <is>
          <t xml:space="preserve">EXCLUDE_GFE</t>
        </is>
      </c>
      <c r="G596" s="0" t="inlineStr">
        <is>
          <t xml:space="preserve">BC</t>
        </is>
      </c>
      <c r="H596" s="5">
        <v>1</v>
      </c>
      <c r="I596" s="5">
        <v>1</v>
      </c>
      <c r="J596" s="5">
        <v>1</v>
      </c>
      <c r="K596" s="5">
        <v>9.0</v>
      </c>
      <c r="L596" s="7">
        <v>0.0</v>
      </c>
      <c r="M596" s="7">
        <v>0.0</v>
      </c>
      <c r="N596" s="7">
        <v>0.0</v>
      </c>
      <c r="O596" s="7">
        <v>0.0</v>
      </c>
    </row>
    <row r="597" outlineLevel="1">
      <c r="B597" s="0" t="inlineStr">
        <is>
          <t xml:space="preserve">2023-03-15</t>
        </is>
      </c>
      <c r="C597" s="0" t="inlineStr">
        <is>
          <t xml:space="preserve">-</t>
        </is>
      </c>
      <c r="D597" s="0" t="inlineStr">
        <is>
          <t xml:space="preserve">non_sub</t>
        </is>
      </c>
      <c r="E597" s="0" t="inlineStr">
        <is>
          <t xml:space="preserve">sustainment_maintenance</t>
        </is>
      </c>
      <c r="F597" s="0" t="inlineStr">
        <is>
          <t xml:space="preserve">EXCLUDE_REVIEW</t>
        </is>
      </c>
      <c r="G597" s="0" t="inlineStr">
        <is>
          <t xml:space="preserve">BC</t>
        </is>
      </c>
      <c r="H597" s="5">
        <v>0</v>
      </c>
      <c r="I597" s="5">
        <v>0</v>
      </c>
      <c r="J597" s="5">
        <v>1</v>
      </c>
      <c r="K597" s="5">
        <v>8.997563</v>
      </c>
      <c r="L597" s="7">
        <v>0.0</v>
      </c>
      <c r="M597" s="7">
        <v>0.0</v>
      </c>
      <c r="N597" s="7">
        <v>0.0</v>
      </c>
      <c r="O597" s="7">
        <v>0.0</v>
      </c>
    </row>
    <row r="598" outlineLevel="1">
      <c r="B598" s="0" t="inlineStr">
        <is>
          <t xml:space="preserve">2023-05-25</t>
        </is>
      </c>
      <c r="C598" s="0" t="inlineStr">
        <is>
          <t xml:space="preserve">-</t>
        </is>
      </c>
      <c r="D598" s="0" t="inlineStr">
        <is>
          <t xml:space="preserve">sub_other</t>
        </is>
      </c>
      <c r="E598" s="0" t="inlineStr">
        <is>
          <t xml:space="preserve">other</t>
        </is>
      </c>
      <c r="F598" s="0" t="inlineStr">
        <is>
          <t xml:space="preserve">EXCLUDE_REVIEW</t>
        </is>
      </c>
      <c r="G598" s="0" t="inlineStr">
        <is>
          <t xml:space="preserve">BC</t>
        </is>
      </c>
      <c r="H598" s="5">
        <v>0</v>
      </c>
      <c r="I598" s="5">
        <v>0</v>
      </c>
      <c r="J598" s="5">
        <v>1</v>
      </c>
      <c r="K598" s="5">
        <v>8.94135</v>
      </c>
      <c r="L598" s="7">
        <v>0.0</v>
      </c>
      <c r="M598" s="7">
        <v>0.0</v>
      </c>
      <c r="N598" s="7">
        <v>0.0</v>
      </c>
      <c r="O598" s="7">
        <v>0.0</v>
      </c>
    </row>
    <row r="599" outlineLevel="1">
      <c r="B599" s="0" t="inlineStr">
        <is>
          <t xml:space="preserve">2022-09-22</t>
        </is>
      </c>
      <c r="C599" s="0" t="inlineStr">
        <is>
          <t xml:space="preserve">-</t>
        </is>
      </c>
      <c r="D599" s="0" t="inlineStr">
        <is>
          <t xml:space="preserve">non_sub</t>
        </is>
      </c>
      <c r="E599" s="0" t="inlineStr">
        <is>
          <t xml:space="preserve">component_procurement</t>
        </is>
      </c>
      <c r="F599" s="0" t="inlineStr">
        <is>
          <t xml:space="preserve">INCLUDE_BC</t>
        </is>
      </c>
      <c r="G599" s="0" t="inlineStr">
        <is>
          <t xml:space="preserve">BC</t>
        </is>
      </c>
      <c r="H599" s="5">
        <v>0</v>
      </c>
      <c r="I599" s="5">
        <v>0</v>
      </c>
      <c r="J599" s="5">
        <v>1</v>
      </c>
      <c r="K599" s="5">
        <v>8.9172</v>
      </c>
      <c r="L599" s="7">
        <v>0.0</v>
      </c>
      <c r="M599" s="7">
        <v>0.0</v>
      </c>
      <c r="N599" s="7">
        <v>0.0</v>
      </c>
      <c r="O599" s="7">
        <v>0.0</v>
      </c>
    </row>
    <row r="600" outlineLevel="1">
      <c r="B600" s="0" t="inlineStr">
        <is>
          <t xml:space="preserve">2025-05-05</t>
        </is>
      </c>
      <c r="C600" s="0" t="inlineStr">
        <is>
          <t xml:space="preserve">N00024-25-C-5212</t>
        </is>
      </c>
      <c r="D600" s="0" t="inlineStr">
        <is>
          <t xml:space="preserve">non_sub</t>
        </is>
      </c>
      <c r="E600" s="0" t="inlineStr">
        <is>
          <t xml:space="preserve">other</t>
        </is>
      </c>
      <c r="F600" s="0" t="inlineStr">
        <is>
          <t xml:space="preserve">EXCLUDE_REVIEW</t>
        </is>
      </c>
      <c r="G600" s="0" t="inlineStr">
        <is>
          <t xml:space="preserve">BC</t>
        </is>
      </c>
      <c r="H600" s="5">
        <v>0</v>
      </c>
      <c r="I600" s="5">
        <v>0</v>
      </c>
      <c r="J600" s="5">
        <v>1</v>
      </c>
      <c r="K600" s="5">
        <v>8.906422</v>
      </c>
      <c r="L600" s="7">
        <v>0.0</v>
      </c>
      <c r="M600" s="7">
        <v>0.0</v>
      </c>
      <c r="N600" s="7">
        <v>1.0</v>
      </c>
      <c r="O600" s="7">
        <v>0.0</v>
      </c>
    </row>
    <row r="601" outlineLevel="1">
      <c r="B601" s="0" t="inlineStr">
        <is>
          <t xml:space="preserve">2024-08-06</t>
        </is>
      </c>
      <c r="C601" s="0" t="inlineStr">
        <is>
          <t xml:space="preserve">-</t>
        </is>
      </c>
      <c r="D601" s="0" t="inlineStr">
        <is>
          <t xml:space="preserve">va</t>
        </is>
      </c>
      <c r="E601" s="0" t="inlineStr">
        <is>
          <t xml:space="preserve">other</t>
        </is>
      </c>
      <c r="F601" s="0" t="inlineStr">
        <is>
          <t xml:space="preserve">EXCLUDE_REVIEW</t>
        </is>
      </c>
      <c r="G601" s="0" t="inlineStr">
        <is>
          <t xml:space="preserve">BC</t>
        </is>
      </c>
      <c r="H601" s="5">
        <v>0</v>
      </c>
      <c r="I601" s="5">
        <v>0</v>
      </c>
      <c r="J601" s="5">
        <v>1</v>
      </c>
      <c r="K601" s="5">
        <v>8.871225</v>
      </c>
      <c r="L601" s="7">
        <v>0.0</v>
      </c>
      <c r="M601" s="7">
        <v>0.0</v>
      </c>
      <c r="N601" s="7">
        <v>0.0</v>
      </c>
      <c r="O601" s="7">
        <v>0.0</v>
      </c>
    </row>
    <row r="602" outlineLevel="1">
      <c r="B602" s="0" t="inlineStr">
        <is>
          <t xml:space="preserve">2023-09-29</t>
        </is>
      </c>
      <c r="C602" s="0" t="inlineStr">
        <is>
          <t xml:space="preserve">-</t>
        </is>
      </c>
      <c r="D602" s="0" t="inlineStr">
        <is>
          <t xml:space="preserve">non_sub</t>
        </is>
      </c>
      <c r="E602" s="0" t="inlineStr">
        <is>
          <t xml:space="preserve">other</t>
        </is>
      </c>
      <c r="F602" s="0" t="inlineStr">
        <is>
          <t xml:space="preserve">EXCLUDE_REVIEW</t>
        </is>
      </c>
      <c r="G602" s="0" t="inlineStr">
        <is>
          <t xml:space="preserve">BC</t>
        </is>
      </c>
      <c r="H602" s="5">
        <v>0</v>
      </c>
      <c r="I602" s="5">
        <v>0</v>
      </c>
      <c r="J602" s="5">
        <v>1</v>
      </c>
      <c r="K602" s="5">
        <v>8.868545</v>
      </c>
      <c r="L602" s="7">
        <v>0.0</v>
      </c>
      <c r="M602" s="7">
        <v>0.0</v>
      </c>
      <c r="N602" s="7">
        <v>1.0</v>
      </c>
      <c r="O602" s="7">
        <v>0.0</v>
      </c>
    </row>
    <row r="603" outlineLevel="1">
      <c r="B603" s="0" t="inlineStr">
        <is>
          <t xml:space="preserve">2024-07-12</t>
        </is>
      </c>
      <c r="C603" s="0" t="inlineStr">
        <is>
          <t xml:space="preserve">N62793-24-F-0006</t>
        </is>
      </c>
      <c r="D603" s="0" t="inlineStr">
        <is>
          <t xml:space="preserve">non_sub</t>
        </is>
      </c>
      <c r="E603" s="0" t="inlineStr">
        <is>
          <t xml:space="preserve">repair_overhaul</t>
        </is>
      </c>
      <c r="F603" s="0" t="inlineStr">
        <is>
          <t xml:space="preserve">EXCLUDE_REVIEW</t>
        </is>
      </c>
      <c r="G603" s="0" t="inlineStr">
        <is>
          <t xml:space="preserve">BC</t>
        </is>
      </c>
      <c r="H603" s="5">
        <v>0</v>
      </c>
      <c r="I603" s="5">
        <v>0</v>
      </c>
      <c r="J603" s="5">
        <v>1</v>
      </c>
      <c r="K603" s="5">
        <v>8.867613</v>
      </c>
      <c r="L603" s="7">
        <v>0.0</v>
      </c>
      <c r="M603" s="7">
        <v>0.0</v>
      </c>
      <c r="N603" s="7">
        <v>0.0</v>
      </c>
      <c r="O603" s="7">
        <v>0.0</v>
      </c>
    </row>
    <row r="604" outlineLevel="1">
      <c r="B604" s="0" t="inlineStr">
        <is>
          <t xml:space="preserve">2023-04-18</t>
        </is>
      </c>
      <c r="C604" s="0" t="inlineStr">
        <is>
          <t xml:space="preserve">-</t>
        </is>
      </c>
      <c r="D604" s="0" t="inlineStr">
        <is>
          <t xml:space="preserve">non_sub</t>
        </is>
      </c>
      <c r="E604" s="0" t="inlineStr">
        <is>
          <t xml:space="preserve">other</t>
        </is>
      </c>
      <c r="F604" s="0" t="inlineStr">
        <is>
          <t xml:space="preserve">EXCLUDE_REVIEW</t>
        </is>
      </c>
      <c r="G604" s="0" t="inlineStr">
        <is>
          <t xml:space="preserve">BC</t>
        </is>
      </c>
      <c r="H604" s="5">
        <v>0</v>
      </c>
      <c r="I604" s="5">
        <v>0</v>
      </c>
      <c r="J604" s="5">
        <v>1</v>
      </c>
      <c r="K604" s="5">
        <v>8.811028</v>
      </c>
      <c r="L604" s="7">
        <v>0.0</v>
      </c>
      <c r="M604" s="7">
        <v>0.0</v>
      </c>
      <c r="N604" s="7">
        <v>1.0</v>
      </c>
      <c r="O604" s="7">
        <v>0.0</v>
      </c>
    </row>
    <row r="605" outlineLevel="1">
      <c r="B605" s="0" t="inlineStr">
        <is>
          <t xml:space="preserve">2025-01-21</t>
        </is>
      </c>
      <c r="C605" s="0" t="inlineStr">
        <is>
          <t xml:space="preserve">N00024-25-F-5319</t>
        </is>
      </c>
      <c r="D605" s="0" t="inlineStr">
        <is>
          <t xml:space="preserve">non_sub</t>
        </is>
      </c>
      <c r="E605" s="0" t="inlineStr">
        <is>
          <t xml:space="preserve">other</t>
        </is>
      </c>
      <c r="F605" s="0" t="inlineStr">
        <is>
          <t xml:space="preserve">EXCLUDE_REVIEW</t>
        </is>
      </c>
      <c r="G605" s="0" t="inlineStr">
        <is>
          <t xml:space="preserve">BC</t>
        </is>
      </c>
      <c r="H605" s="5">
        <v>0</v>
      </c>
      <c r="I605" s="5">
        <v>0</v>
      </c>
      <c r="J605" s="5">
        <v>1</v>
      </c>
      <c r="K605" s="5">
        <v>8.808973</v>
      </c>
      <c r="L605" s="7">
        <v>0.0</v>
      </c>
      <c r="M605" s="7">
        <v>0.0</v>
      </c>
      <c r="N605" s="7">
        <v>0.71</v>
      </c>
      <c r="O605" s="7">
        <v>0.0</v>
      </c>
    </row>
    <row r="606" outlineLevel="1">
      <c r="B606" s="0" t="inlineStr">
        <is>
          <t xml:space="preserve">2023-11-03</t>
        </is>
      </c>
      <c r="C606" s="0" t="inlineStr">
        <is>
          <t xml:space="preserve">N00024-22-C-2105</t>
        </is>
      </c>
      <c r="D606" s="0" t="inlineStr">
        <is>
          <t xml:space="preserve">sub_repair</t>
        </is>
      </c>
      <c r="E606" s="0" t="inlineStr">
        <is>
          <t xml:space="preserve">design</t>
        </is>
      </c>
      <c r="F606" s="0" t="inlineStr">
        <is>
          <t xml:space="preserve">EXCLUDE_REVIEW</t>
        </is>
      </c>
      <c r="G606" s="0" t="inlineStr">
        <is>
          <t xml:space="preserve">BC</t>
        </is>
      </c>
      <c r="H606" s="5">
        <v>0</v>
      </c>
      <c r="I606" s="5">
        <v>0</v>
      </c>
      <c r="J606" s="5">
        <v>1</v>
      </c>
      <c r="K606" s="5">
        <v>8.791995</v>
      </c>
      <c r="L606" s="7">
        <v>0.0</v>
      </c>
      <c r="M606" s="7">
        <v>0.0</v>
      </c>
      <c r="N606" s="7">
        <v>0.0</v>
      </c>
      <c r="O606" s="7">
        <v>0.0</v>
      </c>
    </row>
    <row r="607" outlineLevel="1">
      <c r="B607" s="0" t="inlineStr">
        <is>
          <t xml:space="preserve">2025-05-07</t>
        </is>
      </c>
      <c r="C607" s="0" t="inlineStr">
        <is>
          <t xml:space="preserve">N00024-25-C-4303</t>
        </is>
      </c>
      <c r="D607" s="0" t="inlineStr">
        <is>
          <t xml:space="preserve">sub_gfe_components</t>
        </is>
      </c>
      <c r="E607" s="0" t="inlineStr">
        <is>
          <t xml:space="preserve">component_procurement</t>
        </is>
      </c>
      <c r="F607" s="0" t="inlineStr">
        <is>
          <t xml:space="preserve">EXCLUDE_GFE</t>
        </is>
      </c>
      <c r="G607" s="0" t="inlineStr">
        <is>
          <t xml:space="preserve">BC</t>
        </is>
      </c>
      <c r="H607" s="5">
        <v>1</v>
      </c>
      <c r="I607" s="5">
        <v>1</v>
      </c>
      <c r="J607" s="5">
        <v>1</v>
      </c>
      <c r="K607" s="5">
        <v>8.784248</v>
      </c>
      <c r="L607" s="7">
        <v>0.0</v>
      </c>
      <c r="M607" s="7">
        <v>0.0</v>
      </c>
      <c r="N607" s="7">
        <v>0.0</v>
      </c>
      <c r="O607" s="7">
        <v>0.0</v>
      </c>
    </row>
    <row r="608" outlineLevel="1">
      <c r="B608" s="0" t="inlineStr">
        <is>
          <t xml:space="preserve">2023-03-23</t>
        </is>
      </c>
      <c r="C608" s="0" t="inlineStr">
        <is>
          <t xml:space="preserve">-</t>
        </is>
      </c>
      <c r="D608" s="0" t="inlineStr">
        <is>
          <t xml:space="preserve">non_sub</t>
        </is>
      </c>
      <c r="E608" s="0" t="inlineStr">
        <is>
          <t xml:space="preserve">lead_yard</t>
        </is>
      </c>
      <c r="F608" s="0" t="inlineStr">
        <is>
          <t xml:space="preserve">EXCLUDE_REVIEW</t>
        </is>
      </c>
      <c r="G608" s="0" t="inlineStr">
        <is>
          <t xml:space="preserve">BC</t>
        </is>
      </c>
      <c r="H608" s="5">
        <v>0</v>
      </c>
      <c r="I608" s="5">
        <v>0</v>
      </c>
      <c r="J608" s="5">
        <v>1</v>
      </c>
      <c r="K608" s="5">
        <v>8.703236</v>
      </c>
      <c r="L608" s="7">
        <v>0.0</v>
      </c>
      <c r="M608" s="7">
        <v>0.0</v>
      </c>
      <c r="N608" s="7">
        <v>0.0</v>
      </c>
      <c r="O608" s="7">
        <v>0.0</v>
      </c>
    </row>
    <row r="609" outlineLevel="1">
      <c r="B609" s="0" t="inlineStr">
        <is>
          <t xml:space="preserve">2025-05-28</t>
        </is>
      </c>
      <c r="C609" s="0" t="inlineStr">
        <is>
          <t xml:space="preserve">N00024-21-C-2451</t>
        </is>
      </c>
      <c r="D609" s="0" t="inlineStr">
        <is>
          <t xml:space="preserve">non_sub</t>
        </is>
      </c>
      <c r="E609" s="0" t="inlineStr">
        <is>
          <t xml:space="preserve">sustainment_maintenance</t>
        </is>
      </c>
      <c r="F609" s="0" t="inlineStr">
        <is>
          <t xml:space="preserve">EXCLUDE_REVIEW</t>
        </is>
      </c>
      <c r="G609" s="0" t="inlineStr">
        <is>
          <t xml:space="preserve">BC</t>
        </is>
      </c>
      <c r="H609" s="5">
        <v>0</v>
      </c>
      <c r="I609" s="5">
        <v>0</v>
      </c>
      <c r="J609" s="5">
        <v>1</v>
      </c>
      <c r="K609" s="5">
        <v>8.641351</v>
      </c>
      <c r="L609" s="7">
        <v>0.0</v>
      </c>
      <c r="M609" s="7">
        <v>0.0</v>
      </c>
      <c r="N609" s="7">
        <v>0.0</v>
      </c>
      <c r="O609" s="7">
        <v>0.0</v>
      </c>
    </row>
    <row r="610" outlineLevel="1">
      <c r="B610" s="0" t="inlineStr">
        <is>
          <t xml:space="preserve">2024-09-27</t>
        </is>
      </c>
      <c r="C610" s="0" t="inlineStr">
        <is>
          <t xml:space="preserve">-</t>
        </is>
      </c>
      <c r="D610" s="0" t="inlineStr">
        <is>
          <t xml:space="preserve">non_sub</t>
        </is>
      </c>
      <c r="E610" s="0" t="inlineStr">
        <is>
          <t xml:space="preserve">engineering</t>
        </is>
      </c>
      <c r="F610" s="0" t="inlineStr">
        <is>
          <t xml:space="preserve">EXCLUDE_REVIEW</t>
        </is>
      </c>
      <c r="G610" s="0" t="inlineStr">
        <is>
          <t xml:space="preserve">BC</t>
        </is>
      </c>
      <c r="H610" s="5">
        <v>0</v>
      </c>
      <c r="I610" s="5">
        <v>0</v>
      </c>
      <c r="J610" s="5">
        <v>1</v>
      </c>
      <c r="K610" s="5">
        <v>8.508914</v>
      </c>
      <c r="L610" s="7">
        <v>0.0</v>
      </c>
      <c r="M610" s="7">
        <v>0.0</v>
      </c>
      <c r="N610" s="7">
        <v>0.0</v>
      </c>
      <c r="O610" s="7">
        <v>0.0</v>
      </c>
    </row>
    <row r="611" outlineLevel="1">
      <c r="B611" s="0" t="inlineStr">
        <is>
          <t xml:space="preserve">2023-03-20</t>
        </is>
      </c>
      <c r="C611" s="0" t="inlineStr">
        <is>
          <t xml:space="preserve">N00024-22-C-2300</t>
        </is>
      </c>
      <c r="D611" s="0" t="inlineStr">
        <is>
          <t xml:space="preserve">non_sub</t>
        </is>
      </c>
      <c r="E611" s="0" t="inlineStr">
        <is>
          <t xml:space="preserve">sustainment_maintenance</t>
        </is>
      </c>
      <c r="F611" s="0" t="inlineStr">
        <is>
          <t xml:space="preserve">EXCLUDE_REVIEW</t>
        </is>
      </c>
      <c r="G611" s="0" t="inlineStr">
        <is>
          <t xml:space="preserve">BC</t>
        </is>
      </c>
      <c r="H611" s="5">
        <v>0</v>
      </c>
      <c r="I611" s="5">
        <v>0</v>
      </c>
      <c r="J611" s="5">
        <v>1</v>
      </c>
      <c r="K611" s="5">
        <v>8.506601</v>
      </c>
      <c r="L611" s="7">
        <v>0.0</v>
      </c>
      <c r="M611" s="7">
        <v>0.0</v>
      </c>
      <c r="N611" s="7">
        <v>1.0</v>
      </c>
      <c r="O611" s="7">
        <v>0.0</v>
      </c>
    </row>
    <row r="612" outlineLevel="1">
      <c r="B612" s="0" t="inlineStr">
        <is>
          <t xml:space="preserve">2023-05-09</t>
        </is>
      </c>
      <c r="C612" s="0" t="inlineStr">
        <is>
          <t xml:space="preserve">-</t>
        </is>
      </c>
      <c r="D612" s="0" t="inlineStr">
        <is>
          <t xml:space="preserve">non_sub</t>
        </is>
      </c>
      <c r="E612" s="0" t="inlineStr">
        <is>
          <t xml:space="preserve">sustainment_maintenance</t>
        </is>
      </c>
      <c r="F612" s="0" t="inlineStr">
        <is>
          <t xml:space="preserve">EXCLUDE_REVIEW</t>
        </is>
      </c>
      <c r="G612" s="0" t="inlineStr">
        <is>
          <t xml:space="preserve">BC</t>
        </is>
      </c>
      <c r="H612" s="5">
        <v>0</v>
      </c>
      <c r="I612" s="5">
        <v>0</v>
      </c>
      <c r="J612" s="5">
        <v>1</v>
      </c>
      <c r="K612" s="5">
        <v>8.469847</v>
      </c>
      <c r="L612" s="7">
        <v>0.0</v>
      </c>
      <c r="M612" s="7">
        <v>0.0</v>
      </c>
      <c r="N612" s="7">
        <v>0.0</v>
      </c>
      <c r="O612" s="7">
        <v>0.0</v>
      </c>
    </row>
    <row r="613" outlineLevel="1">
      <c r="B613" s="0" t="inlineStr">
        <is>
          <t xml:space="preserve">2023-03-07</t>
        </is>
      </c>
      <c r="C613" s="0" t="inlineStr">
        <is>
          <t xml:space="preserve">-</t>
        </is>
      </c>
      <c r="D613" s="0" t="inlineStr">
        <is>
          <t xml:space="preserve">non_sub</t>
        </is>
      </c>
      <c r="E613" s="0" t="inlineStr">
        <is>
          <t xml:space="preserve">engineering</t>
        </is>
      </c>
      <c r="F613" s="0" t="inlineStr">
        <is>
          <t xml:space="preserve">EXCLUDE_REVIEW</t>
        </is>
      </c>
      <c r="G613" s="0" t="inlineStr">
        <is>
          <t xml:space="preserve">BC</t>
        </is>
      </c>
      <c r="H613" s="5">
        <v>0</v>
      </c>
      <c r="I613" s="5">
        <v>0</v>
      </c>
      <c r="J613" s="5">
        <v>1</v>
      </c>
      <c r="K613" s="5">
        <v>8.444082</v>
      </c>
      <c r="L613" s="7">
        <v>0.0</v>
      </c>
      <c r="M613" s="7">
        <v>0.0</v>
      </c>
      <c r="N613" s="7">
        <v>1.0</v>
      </c>
      <c r="O613" s="7">
        <v>0.0</v>
      </c>
    </row>
    <row r="614" outlineLevel="1">
      <c r="B614" s="0" t="inlineStr">
        <is>
          <t xml:space="preserve">2025-07-18</t>
        </is>
      </c>
      <c r="C614" s="0" t="inlineStr">
        <is>
          <t xml:space="preserve">N00167-25-D-0007</t>
        </is>
      </c>
      <c r="D614" s="0" t="inlineStr">
        <is>
          <t xml:space="preserve">va</t>
        </is>
      </c>
      <c r="E614" s="0" t="inlineStr">
        <is>
          <t xml:space="preserve">other</t>
        </is>
      </c>
      <c r="F614" s="0" t="inlineStr">
        <is>
          <t xml:space="preserve">EXCLUDE_REVIEW</t>
        </is>
      </c>
      <c r="G614" s="0" t="inlineStr">
        <is>
          <t xml:space="preserve">BC</t>
        </is>
      </c>
      <c r="H614" s="5">
        <v>0</v>
      </c>
      <c r="I614" s="5">
        <v>0</v>
      </c>
      <c r="J614" s="5">
        <v>1</v>
      </c>
      <c r="K614" s="5">
        <v>8.441591</v>
      </c>
      <c r="L614" s="7">
        <v>0.0</v>
      </c>
      <c r="M614" s="7">
        <v>0.0</v>
      </c>
      <c r="N614" s="7">
        <v>0.0</v>
      </c>
      <c r="O614" s="7">
        <v>0.0</v>
      </c>
    </row>
    <row r="615" outlineLevel="1">
      <c r="B615" s="0" t="inlineStr">
        <is>
          <t xml:space="preserve">2025-07-23</t>
        </is>
      </c>
      <c r="C615" s="0" t="inlineStr">
        <is>
          <t xml:space="preserve">N00024-21-D-4114</t>
        </is>
      </c>
      <c r="D615" s="0" t="inlineStr">
        <is>
          <t xml:space="preserve">non_sub</t>
        </is>
      </c>
      <c r="E615" s="0" t="inlineStr">
        <is>
          <t xml:space="preserve">other</t>
        </is>
      </c>
      <c r="F615" s="0" t="inlineStr">
        <is>
          <t xml:space="preserve">EXCLUDE_REVIEW</t>
        </is>
      </c>
      <c r="G615" s="0" t="inlineStr">
        <is>
          <t xml:space="preserve">BC</t>
        </is>
      </c>
      <c r="H615" s="5">
        <v>0</v>
      </c>
      <c r="I615" s="5">
        <v>0</v>
      </c>
      <c r="J615" s="5">
        <v>1</v>
      </c>
      <c r="K615" s="5">
        <v>8.429649</v>
      </c>
      <c r="L615" s="7">
        <v>0.0</v>
      </c>
      <c r="M615" s="7">
        <v>0.0</v>
      </c>
      <c r="N615" s="7">
        <v>0.0</v>
      </c>
      <c r="O615" s="7">
        <v>0.0</v>
      </c>
    </row>
    <row r="616" outlineLevel="1">
      <c r="B616" s="0" t="inlineStr">
        <is>
          <t xml:space="preserve">2025-04-17</t>
        </is>
      </c>
      <c r="C616" s="0" t="inlineStr">
        <is>
          <t xml:space="preserve">N00024-22-C-5235</t>
        </is>
      </c>
      <c r="D616" s="0" t="inlineStr">
        <is>
          <t xml:space="preserve">non_sub</t>
        </is>
      </c>
      <c r="E616" s="0" t="inlineStr">
        <is>
          <t xml:space="preserve">engineering</t>
        </is>
      </c>
      <c r="F616" s="0" t="inlineStr">
        <is>
          <t xml:space="preserve">EXCLUDE_REVIEW</t>
        </is>
      </c>
      <c r="G616" s="0" t="inlineStr">
        <is>
          <t xml:space="preserve">BC</t>
        </is>
      </c>
      <c r="H616" s="5">
        <v>0</v>
      </c>
      <c r="I616" s="5">
        <v>0</v>
      </c>
      <c r="J616" s="5">
        <v>1</v>
      </c>
      <c r="K616" s="5">
        <v>8.407839</v>
      </c>
      <c r="L616" s="7">
        <v>0.0</v>
      </c>
      <c r="M616" s="7">
        <v>0.0</v>
      </c>
      <c r="N616" s="7">
        <v>0.0</v>
      </c>
      <c r="O616" s="7">
        <v>0.0</v>
      </c>
    </row>
    <row r="617" outlineLevel="1">
      <c r="B617" s="0" t="inlineStr">
        <is>
          <t xml:space="preserve">2024-02-02</t>
        </is>
      </c>
      <c r="C617" s="0" t="inlineStr">
        <is>
          <t xml:space="preserve">-</t>
        </is>
      </c>
      <c r="D617" s="0" t="inlineStr">
        <is>
          <t xml:space="preserve">non_sub</t>
        </is>
      </c>
      <c r="E617" s="0" t="inlineStr">
        <is>
          <t xml:space="preserve">sustainment_maintenance</t>
        </is>
      </c>
      <c r="F617" s="0" t="inlineStr">
        <is>
          <t xml:space="preserve">EXCLUDE_REVIEW</t>
        </is>
      </c>
      <c r="G617" s="0" t="inlineStr">
        <is>
          <t xml:space="preserve">BC</t>
        </is>
      </c>
      <c r="H617" s="5">
        <v>0</v>
      </c>
      <c r="I617" s="5">
        <v>0</v>
      </c>
      <c r="J617" s="5">
        <v>1</v>
      </c>
      <c r="K617" s="5">
        <v>8.305446</v>
      </c>
      <c r="L617" s="7">
        <v>0.0</v>
      </c>
      <c r="M617" s="7">
        <v>0.0</v>
      </c>
      <c r="N617" s="7">
        <v>0.0</v>
      </c>
      <c r="O617" s="7">
        <v>0.0</v>
      </c>
    </row>
    <row r="618" outlineLevel="1">
      <c r="B618" s="0" t="inlineStr">
        <is>
          <t xml:space="preserve">2024-02-02</t>
        </is>
      </c>
      <c r="C618" s="0" t="inlineStr">
        <is>
          <t xml:space="preserve">-</t>
        </is>
      </c>
      <c r="D618" s="0" t="inlineStr">
        <is>
          <t xml:space="preserve">sub_other</t>
        </is>
      </c>
      <c r="E618" s="0" t="inlineStr">
        <is>
          <t xml:space="preserve">engineering</t>
        </is>
      </c>
      <c r="F618" s="0" t="inlineStr">
        <is>
          <t xml:space="preserve">EXCLUDE_REVIEW</t>
        </is>
      </c>
      <c r="G618" s="0" t="inlineStr">
        <is>
          <t xml:space="preserve">BC</t>
        </is>
      </c>
      <c r="H618" s="5">
        <v>0</v>
      </c>
      <c r="I618" s="5">
        <v>0</v>
      </c>
      <c r="J618" s="5">
        <v>1</v>
      </c>
      <c r="K618" s="5">
        <v>8.234682</v>
      </c>
      <c r="L618" s="7">
        <v>0.0</v>
      </c>
      <c r="M618" s="7">
        <v>0.0</v>
      </c>
      <c r="N618" s="7">
        <v>1.0</v>
      </c>
      <c r="O618" s="7">
        <v>0.0</v>
      </c>
    </row>
    <row r="619" outlineLevel="1">
      <c r="B619" s="0" t="inlineStr">
        <is>
          <t xml:space="preserve">2025-02-26</t>
        </is>
      </c>
      <c r="C619" s="0" t="inlineStr">
        <is>
          <t xml:space="preserve">N00024-02-C-2905</t>
        </is>
      </c>
      <c r="D619" s="0" t="inlineStr">
        <is>
          <t xml:space="preserve">non_sub</t>
        </is>
      </c>
      <c r="E619" s="0" t="inlineStr">
        <is>
          <t xml:space="preserve">other</t>
        </is>
      </c>
      <c r="F619" s="0" t="inlineStr">
        <is>
          <t xml:space="preserve">EXCLUDE_REVIEW</t>
        </is>
      </c>
      <c r="G619" s="0" t="inlineStr">
        <is>
          <t xml:space="preserve">BC</t>
        </is>
      </c>
      <c r="H619" s="5">
        <v>0</v>
      </c>
      <c r="I619" s="5">
        <v>0</v>
      </c>
      <c r="J619" s="5">
        <v>1</v>
      </c>
      <c r="K619" s="5">
        <v>8.208962</v>
      </c>
      <c r="L619" s="7">
        <v>0.0</v>
      </c>
      <c r="M619" s="7">
        <v>0.0</v>
      </c>
      <c r="N619" s="7">
        <v>0.0</v>
      </c>
      <c r="O619" s="7">
        <v>0.0</v>
      </c>
    </row>
    <row r="620" outlineLevel="1">
      <c r="B620" s="0" t="inlineStr">
        <is>
          <t xml:space="preserve">2025-01-10</t>
        </is>
      </c>
      <c r="C620" s="0" t="inlineStr">
        <is>
          <t xml:space="preserve">N00024-23-C-5401</t>
        </is>
      </c>
      <c r="D620" s="0" t="inlineStr">
        <is>
          <t xml:space="preserve">non_sub</t>
        </is>
      </c>
      <c r="E620" s="0" t="inlineStr">
        <is>
          <t xml:space="preserve">lead_yard</t>
        </is>
      </c>
      <c r="F620" s="0" t="inlineStr">
        <is>
          <t xml:space="preserve">EXCLUDE_REVIEW</t>
        </is>
      </c>
      <c r="G620" s="0" t="inlineStr">
        <is>
          <t xml:space="preserve">BC</t>
        </is>
      </c>
      <c r="H620" s="5">
        <v>0</v>
      </c>
      <c r="I620" s="5">
        <v>0</v>
      </c>
      <c r="J620" s="5">
        <v>1</v>
      </c>
      <c r="K620" s="5">
        <v>8.188022</v>
      </c>
      <c r="L620" s="7">
        <v>0.0</v>
      </c>
      <c r="M620" s="7">
        <v>0.0</v>
      </c>
      <c r="N620" s="7">
        <v>0.0</v>
      </c>
      <c r="O620" s="7">
        <v>0.0</v>
      </c>
    </row>
    <row r="621" outlineLevel="1">
      <c r="B621" s="0" t="inlineStr">
        <is>
          <t xml:space="preserve">2022-11-01</t>
        </is>
      </c>
      <c r="C621" s="0" t="inlineStr">
        <is>
          <t xml:space="preserve">-</t>
        </is>
      </c>
      <c r="D621" s="0" t="inlineStr">
        <is>
          <t xml:space="preserve">non_sub</t>
        </is>
      </c>
      <c r="E621" s="0" t="inlineStr">
        <is>
          <t xml:space="preserve">other</t>
        </is>
      </c>
      <c r="F621" s="0" t="inlineStr">
        <is>
          <t xml:space="preserve">EXCLUDE_REVIEW</t>
        </is>
      </c>
      <c r="G621" s="0" t="inlineStr">
        <is>
          <t xml:space="preserve">BC</t>
        </is>
      </c>
      <c r="H621" s="5">
        <v>0</v>
      </c>
      <c r="I621" s="5">
        <v>0</v>
      </c>
      <c r="J621" s="5">
        <v>1</v>
      </c>
      <c r="K621" s="5">
        <v>8.163409</v>
      </c>
      <c r="L621" s="7">
        <v>0.0</v>
      </c>
      <c r="M621" s="7">
        <v>0.0</v>
      </c>
      <c r="N621" s="7">
        <v>0.0</v>
      </c>
      <c r="O621" s="7">
        <v>0.0</v>
      </c>
    </row>
    <row r="622" outlineLevel="1">
      <c r="B622" s="0" t="inlineStr">
        <is>
          <t xml:space="preserve">2022-08-26</t>
        </is>
      </c>
      <c r="C622" s="0" t="inlineStr">
        <is>
          <t xml:space="preserve">N00024-22-C-4202</t>
        </is>
      </c>
      <c r="D622" s="0" t="inlineStr">
        <is>
          <t xml:space="preserve">non_sub</t>
        </is>
      </c>
      <c r="E622" s="0" t="inlineStr">
        <is>
          <t xml:space="preserve">other</t>
        </is>
      </c>
      <c r="F622" s="0" t="inlineStr">
        <is>
          <t xml:space="preserve">EXCLUDE_REVIEW</t>
        </is>
      </c>
      <c r="G622" s="0" t="inlineStr">
        <is>
          <t xml:space="preserve">BC</t>
        </is>
      </c>
      <c r="H622" s="5">
        <v>0</v>
      </c>
      <c r="I622" s="5">
        <v>0</v>
      </c>
      <c r="J622" s="5">
        <v>1</v>
      </c>
      <c r="K622" s="5">
        <v>8.136035</v>
      </c>
      <c r="L622" s="7">
        <v>0.0</v>
      </c>
      <c r="M622" s="7">
        <v>0.0</v>
      </c>
      <c r="N622" s="7">
        <v>1.0</v>
      </c>
      <c r="O622" s="7">
        <v>0.0</v>
      </c>
    </row>
    <row r="623" outlineLevel="1">
      <c r="B623" s="0" t="inlineStr">
        <is>
          <t xml:space="preserve">2023-12-19</t>
        </is>
      </c>
      <c r="C623" s="0" t="inlineStr">
        <is>
          <t xml:space="preserve">N32253-24-C-0002</t>
        </is>
      </c>
      <c r="D623" s="0" t="inlineStr">
        <is>
          <t xml:space="preserve">va</t>
        </is>
      </c>
      <c r="E623" s="0" t="inlineStr">
        <is>
          <t xml:space="preserve">repair_overhaul</t>
        </is>
      </c>
      <c r="F623" s="0" t="inlineStr">
        <is>
          <t xml:space="preserve">EXCLUDE_REVIEW</t>
        </is>
      </c>
      <c r="G623" s="0" t="inlineStr">
        <is>
          <t xml:space="preserve">BC</t>
        </is>
      </c>
      <c r="H623" s="5">
        <v>0</v>
      </c>
      <c r="I623" s="5">
        <v>0</v>
      </c>
      <c r="J623" s="5">
        <v>1</v>
      </c>
      <c r="K623" s="5">
        <v>8.118948</v>
      </c>
      <c r="L623" s="7">
        <v>0.0</v>
      </c>
      <c r="M623" s="7">
        <v>0.0</v>
      </c>
      <c r="N623" s="7">
        <v>0.0</v>
      </c>
      <c r="O623" s="7">
        <v>0.0</v>
      </c>
    </row>
    <row r="624" outlineLevel="1">
      <c r="B624" s="0" t="inlineStr">
        <is>
          <t xml:space="preserve">2025-03-14</t>
        </is>
      </c>
      <c r="C624" s="0" t="inlineStr">
        <is>
          <t xml:space="preserve">N00024-24-C-5408</t>
        </is>
      </c>
      <c r="D624" s="0" t="inlineStr">
        <is>
          <t xml:space="preserve">non_sub</t>
        </is>
      </c>
      <c r="E624" s="0" t="inlineStr">
        <is>
          <t xml:space="preserve">other</t>
        </is>
      </c>
      <c r="F624" s="0" t="inlineStr">
        <is>
          <t xml:space="preserve">EXCLUDE_REVIEW</t>
        </is>
      </c>
      <c r="G624" s="0" t="inlineStr">
        <is>
          <t xml:space="preserve">BC</t>
        </is>
      </c>
      <c r="H624" s="5">
        <v>0</v>
      </c>
      <c r="I624" s="5">
        <v>0</v>
      </c>
      <c r="J624" s="5">
        <v>1</v>
      </c>
      <c r="K624" s="5">
        <v>8.106</v>
      </c>
      <c r="L624" s="7">
        <v>0.0</v>
      </c>
      <c r="M624" s="7">
        <v>0.0</v>
      </c>
      <c r="N624" s="7">
        <v>0.9</v>
      </c>
      <c r="O624" s="7">
        <v>0.0</v>
      </c>
    </row>
    <row r="625" outlineLevel="1">
      <c r="B625" s="0" t="inlineStr">
        <is>
          <t xml:space="preserve">2025-03-17</t>
        </is>
      </c>
      <c r="C625" s="0" t="inlineStr">
        <is>
          <t xml:space="preserve">-</t>
        </is>
      </c>
      <c r="D625" s="0" t="inlineStr">
        <is>
          <t xml:space="preserve">non_sub</t>
        </is>
      </c>
      <c r="E625" s="0" t="inlineStr">
        <is>
          <t xml:space="preserve">other</t>
        </is>
      </c>
      <c r="F625" s="0" t="inlineStr">
        <is>
          <t xml:space="preserve">EXCLUDE_REVIEW</t>
        </is>
      </c>
      <c r="G625" s="0" t="inlineStr">
        <is>
          <t xml:space="preserve">BC</t>
        </is>
      </c>
      <c r="H625" s="5">
        <v>0</v>
      </c>
      <c r="I625" s="5">
        <v>0</v>
      </c>
      <c r="J625" s="5">
        <v>1</v>
      </c>
      <c r="K625" s="5">
        <v>8.097844</v>
      </c>
      <c r="L625" s="7">
        <v>0.0</v>
      </c>
      <c r="M625" s="7">
        <v>0.0</v>
      </c>
      <c r="N625" s="7">
        <v>1.0</v>
      </c>
      <c r="O625" s="7">
        <v>0.0</v>
      </c>
    </row>
    <row r="626" outlineLevel="1">
      <c r="B626" s="0" t="inlineStr">
        <is>
          <t xml:space="preserve">2025-06-10</t>
        </is>
      </c>
      <c r="C626" s="0" t="inlineStr">
        <is>
          <t xml:space="preserve">N00024-16-C-2116</t>
        </is>
      </c>
      <c r="D626" s="0" t="inlineStr">
        <is>
          <t xml:space="preserve">non_sub</t>
        </is>
      </c>
      <c r="E626" s="0" t="inlineStr">
        <is>
          <t xml:space="preserve">other</t>
        </is>
      </c>
      <c r="F626" s="0" t="inlineStr">
        <is>
          <t xml:space="preserve">EXCLUDE_REVIEW</t>
        </is>
      </c>
      <c r="G626" s="0" t="inlineStr">
        <is>
          <t xml:space="preserve">BC</t>
        </is>
      </c>
      <c r="H626" s="5">
        <v>0</v>
      </c>
      <c r="I626" s="5">
        <v>0</v>
      </c>
      <c r="J626" s="5">
        <v>1</v>
      </c>
      <c r="K626" s="5">
        <v>8.056338</v>
      </c>
      <c r="L626" s="7">
        <v>0.0</v>
      </c>
      <c r="M626" s="7">
        <v>0.0</v>
      </c>
      <c r="N626" s="7">
        <v>0.0</v>
      </c>
      <c r="O626" s="7">
        <v>0.0</v>
      </c>
    </row>
    <row r="627" outlineLevel="1">
      <c r="B627" s="0" t="inlineStr">
        <is>
          <t xml:space="preserve">2023-01-31</t>
        </is>
      </c>
      <c r="C627" s="0" t="inlineStr">
        <is>
          <t xml:space="preserve">N64498-23-D-4000</t>
        </is>
      </c>
      <c r="D627" s="0" t="inlineStr">
        <is>
          <t xml:space="preserve">sub_other</t>
        </is>
      </c>
      <c r="E627" s="0" t="inlineStr">
        <is>
          <t xml:space="preserve">other</t>
        </is>
      </c>
      <c r="F627" s="0" t="inlineStr">
        <is>
          <t xml:space="preserve">EXCLUDE_REVIEW</t>
        </is>
      </c>
      <c r="G627" s="0" t="inlineStr">
        <is>
          <t xml:space="preserve">BC</t>
        </is>
      </c>
      <c r="H627" s="5">
        <v>0</v>
      </c>
      <c r="I627" s="5">
        <v>0</v>
      </c>
      <c r="J627" s="5">
        <v>1</v>
      </c>
      <c r="K627" s="5">
        <v>8.052851</v>
      </c>
      <c r="L627" s="7">
        <v>0.08</v>
      </c>
      <c r="M627" s="7">
        <v>0.0</v>
      </c>
      <c r="N627" s="7">
        <v>0.76</v>
      </c>
      <c r="O627" s="7">
        <v>0.0</v>
      </c>
    </row>
    <row r="628" outlineLevel="1">
      <c r="B628" s="0" t="inlineStr">
        <is>
          <t xml:space="preserve">2025-08-14</t>
        </is>
      </c>
      <c r="C628" s="0" t="inlineStr">
        <is>
          <t xml:space="preserve">N00024-24-F-6220</t>
        </is>
      </c>
      <c r="D628" s="0" t="inlineStr">
        <is>
          <t xml:space="preserve">sub_gfe_electronics</t>
        </is>
      </c>
      <c r="E628" s="0" t="inlineStr">
        <is>
          <t xml:space="preserve">component_procurement</t>
        </is>
      </c>
      <c r="F628" s="0" t="inlineStr">
        <is>
          <t xml:space="preserve">EXCLUDE_GFE</t>
        </is>
      </c>
      <c r="G628" s="0" t="inlineStr">
        <is>
          <t xml:space="preserve">BC</t>
        </is>
      </c>
      <c r="H628" s="5">
        <v>1</v>
      </c>
      <c r="I628" s="5">
        <v>1</v>
      </c>
      <c r="J628" s="5">
        <v>1</v>
      </c>
      <c r="K628" s="5">
        <v>8.044741</v>
      </c>
      <c r="L628" s="7">
        <v>0.0</v>
      </c>
      <c r="M628" s="7">
        <v>0.0</v>
      </c>
      <c r="N628" s="7">
        <v>0.0</v>
      </c>
      <c r="O628" s="7">
        <v>0.0</v>
      </c>
    </row>
    <row r="629" outlineLevel="1">
      <c r="B629" s="0" t="inlineStr">
        <is>
          <t xml:space="preserve">2023-12-22</t>
        </is>
      </c>
      <c r="C629" s="0" t="inlineStr">
        <is>
          <t xml:space="preserve">-</t>
        </is>
      </c>
      <c r="D629" s="0" t="inlineStr">
        <is>
          <t xml:space="preserve">non_sub</t>
        </is>
      </c>
      <c r="E629" s="0" t="inlineStr">
        <is>
          <t xml:space="preserve">other</t>
        </is>
      </c>
      <c r="F629" s="0" t="inlineStr">
        <is>
          <t xml:space="preserve">EXCLUDE_REVIEW</t>
        </is>
      </c>
      <c r="G629" s="0" t="inlineStr">
        <is>
          <t xml:space="preserve">BC</t>
        </is>
      </c>
      <c r="H629" s="5">
        <v>0</v>
      </c>
      <c r="I629" s="5">
        <v>0</v>
      </c>
      <c r="J629" s="5">
        <v>1</v>
      </c>
      <c r="K629" s="5">
        <v>8.041578</v>
      </c>
      <c r="L629" s="7">
        <v>0.0</v>
      </c>
      <c r="M629" s="7">
        <v>0.0</v>
      </c>
      <c r="N629" s="7">
        <v>0.0</v>
      </c>
      <c r="O629" s="7">
        <v>0.0</v>
      </c>
    </row>
    <row r="630" outlineLevel="1">
      <c r="B630" s="0" t="inlineStr">
        <is>
          <t xml:space="preserve">2024-03-26</t>
        </is>
      </c>
      <c r="C630" s="0" t="inlineStr">
        <is>
          <t xml:space="preserve">N00024-19-C-2322</t>
        </is>
      </c>
      <c r="D630" s="0" t="inlineStr">
        <is>
          <t xml:space="preserve">non_sub</t>
        </is>
      </c>
      <c r="E630" s="0" t="inlineStr">
        <is>
          <t xml:space="preserve">other</t>
        </is>
      </c>
      <c r="F630" s="0" t="inlineStr">
        <is>
          <t xml:space="preserve">EXCLUDE_REVIEW</t>
        </is>
      </c>
      <c r="G630" s="0" t="inlineStr">
        <is>
          <t xml:space="preserve">BC</t>
        </is>
      </c>
      <c r="H630" s="5">
        <v>0</v>
      </c>
      <c r="I630" s="5">
        <v>0</v>
      </c>
      <c r="J630" s="5">
        <v>1</v>
      </c>
      <c r="K630" s="5">
        <v>8.037986</v>
      </c>
      <c r="L630" s="7">
        <v>0.0</v>
      </c>
      <c r="M630" s="7">
        <v>0.0</v>
      </c>
      <c r="N630" s="7">
        <v>0.64</v>
      </c>
      <c r="O630" s="7">
        <v>0.0</v>
      </c>
    </row>
    <row r="631" outlineLevel="1">
      <c r="B631" s="0" t="inlineStr">
        <is>
          <t xml:space="preserve">2022-12-02</t>
        </is>
      </c>
      <c r="C631" s="0" t="inlineStr">
        <is>
          <t xml:space="preserve">-</t>
        </is>
      </c>
      <c r="D631" s="0" t="inlineStr">
        <is>
          <t xml:space="preserve">non_sub</t>
        </is>
      </c>
      <c r="E631" s="0" t="inlineStr">
        <is>
          <t xml:space="preserve">lltm_early_mfg</t>
        </is>
      </c>
      <c r="F631" s="0" t="inlineStr">
        <is>
          <t xml:space="preserve">INCLUDE_AP_LLTM</t>
        </is>
      </c>
      <c r="G631" s="0" t="inlineStr">
        <is>
          <t xml:space="preserve">AP_LLTM</t>
        </is>
      </c>
      <c r="H631" s="5">
        <v>0</v>
      </c>
      <c r="I631" s="5">
        <v>0</v>
      </c>
      <c r="J631" s="5">
        <v>1</v>
      </c>
      <c r="K631" s="5">
        <v>8.000905</v>
      </c>
      <c r="L631" s="7">
        <v>0.0</v>
      </c>
      <c r="M631" s="7">
        <v>0.0</v>
      </c>
      <c r="N631" s="7">
        <v>1.0</v>
      </c>
      <c r="O631" s="7">
        <v>0.0</v>
      </c>
    </row>
    <row r="632" outlineLevel="1">
      <c r="B632" s="0" t="inlineStr">
        <is>
          <t xml:space="preserve">2025-04-10</t>
        </is>
      </c>
      <c r="C632" s="0" t="inlineStr">
        <is>
          <t xml:space="preserve">N00024-21-C-4311</t>
        </is>
      </c>
      <c r="D632" s="0" t="inlineStr">
        <is>
          <t xml:space="preserve">sub_repair</t>
        </is>
      </c>
      <c r="E632" s="0" t="inlineStr">
        <is>
          <t xml:space="preserve">repair_overhaul</t>
        </is>
      </c>
      <c r="F632" s="0" t="inlineStr">
        <is>
          <t xml:space="preserve">EXCLUDE_REVIEW</t>
        </is>
      </c>
      <c r="G632" s="0" t="inlineStr">
        <is>
          <t xml:space="preserve">BC</t>
        </is>
      </c>
      <c r="H632" s="5">
        <v>0</v>
      </c>
      <c r="I632" s="5">
        <v>0</v>
      </c>
      <c r="J632" s="5">
        <v>1</v>
      </c>
      <c r="K632" s="5">
        <v>7.971837</v>
      </c>
      <c r="L632" s="7">
        <v>0.0</v>
      </c>
      <c r="M632" s="7">
        <v>0.0</v>
      </c>
      <c r="N632" s="7">
        <v>0.0</v>
      </c>
      <c r="O632" s="7">
        <v>0.0</v>
      </c>
    </row>
    <row r="633" outlineLevel="1">
      <c r="B633" s="0" t="inlineStr">
        <is>
          <t xml:space="preserve">2025-05-01</t>
        </is>
      </c>
      <c r="C633" s="0" t="inlineStr">
        <is>
          <t xml:space="preserve">N00024-24-C-6110</t>
        </is>
      </c>
      <c r="D633" s="0" t="inlineStr">
        <is>
          <t xml:space="preserve">non_sub</t>
        </is>
      </c>
      <c r="E633" s="0" t="inlineStr">
        <is>
          <t xml:space="preserve">engineering</t>
        </is>
      </c>
      <c r="F633" s="0" t="inlineStr">
        <is>
          <t xml:space="preserve">EXCLUDE_REVIEW</t>
        </is>
      </c>
      <c r="G633" s="0" t="inlineStr">
        <is>
          <t xml:space="preserve">BC</t>
        </is>
      </c>
      <c r="H633" s="5">
        <v>0</v>
      </c>
      <c r="I633" s="5">
        <v>0</v>
      </c>
      <c r="J633" s="5">
        <v>1</v>
      </c>
      <c r="K633" s="5">
        <v>7.970268</v>
      </c>
      <c r="L633" s="7">
        <v>0.0</v>
      </c>
      <c r="M633" s="7">
        <v>0.0</v>
      </c>
      <c r="N633" s="7">
        <v>0.0</v>
      </c>
      <c r="O633" s="7">
        <v>0.0</v>
      </c>
    </row>
    <row r="634" outlineLevel="1">
      <c r="B634" s="0" t="inlineStr">
        <is>
          <t xml:space="preserve">2024-03-29</t>
        </is>
      </c>
      <c r="C634" s="0" t="inlineStr">
        <is>
          <t xml:space="preserve">N00024-23-C-5307</t>
        </is>
      </c>
      <c r="D634" s="0" t="inlineStr">
        <is>
          <t xml:space="preserve">non_sub</t>
        </is>
      </c>
      <c r="E634" s="0" t="inlineStr">
        <is>
          <t xml:space="preserve">fms</t>
        </is>
      </c>
      <c r="F634" s="0" t="inlineStr">
        <is>
          <t xml:space="preserve">EXCLUDE_REVIEW</t>
        </is>
      </c>
      <c r="G634" s="0" t="inlineStr">
        <is>
          <t xml:space="preserve">BC</t>
        </is>
      </c>
      <c r="H634" s="5">
        <v>0</v>
      </c>
      <c r="I634" s="5">
        <v>0</v>
      </c>
      <c r="J634" s="5">
        <v>1</v>
      </c>
      <c r="K634" s="5">
        <v>7.879295</v>
      </c>
      <c r="L634" s="7">
        <v>0.0</v>
      </c>
      <c r="M634" s="7">
        <v>0.0</v>
      </c>
      <c r="N634" s="7">
        <v>0.0</v>
      </c>
      <c r="O634" s="7">
        <v>0.0</v>
      </c>
    </row>
    <row r="635" outlineLevel="1">
      <c r="B635" s="0" t="inlineStr">
        <is>
          <t xml:space="preserve">2024-08-27</t>
        </is>
      </c>
      <c r="C635" s="0" t="inlineStr">
        <is>
          <t xml:space="preserve">N00024-13-C-2305</t>
        </is>
      </c>
      <c r="D635" s="0" t="inlineStr">
        <is>
          <t xml:space="preserve">non_sub</t>
        </is>
      </c>
      <c r="E635" s="0" t="inlineStr">
        <is>
          <t xml:space="preserve">sustainment_maintenance</t>
        </is>
      </c>
      <c r="F635" s="0" t="inlineStr">
        <is>
          <t xml:space="preserve">EXCLUDE_REVIEW</t>
        </is>
      </c>
      <c r="G635" s="0" t="inlineStr">
        <is>
          <t xml:space="preserve">BC</t>
        </is>
      </c>
      <c r="H635" s="5">
        <v>0</v>
      </c>
      <c r="I635" s="5">
        <v>0</v>
      </c>
      <c r="J635" s="5">
        <v>1</v>
      </c>
      <c r="K635" s="5">
        <v>7.802168</v>
      </c>
      <c r="L635" s="7">
        <v>0.0</v>
      </c>
      <c r="M635" s="7">
        <v>0.0</v>
      </c>
      <c r="N635" s="7">
        <v>0.99</v>
      </c>
      <c r="O635" s="7">
        <v>0.0</v>
      </c>
    </row>
    <row r="636" outlineLevel="1">
      <c r="B636" s="0" t="inlineStr">
        <is>
          <t xml:space="preserve">2025-06-12</t>
        </is>
      </c>
      <c r="C636" s="0" t="inlineStr">
        <is>
          <t xml:space="preserve">N00024-19-G-2319</t>
        </is>
      </c>
      <c r="D636" s="0" t="inlineStr">
        <is>
          <t xml:space="preserve">non_sub</t>
        </is>
      </c>
      <c r="E636" s="0" t="inlineStr">
        <is>
          <t xml:space="preserve">sustainment_maintenance</t>
        </is>
      </c>
      <c r="F636" s="0" t="inlineStr">
        <is>
          <t xml:space="preserve">EXCLUDE_REVIEW</t>
        </is>
      </c>
      <c r="G636" s="0" t="inlineStr">
        <is>
          <t xml:space="preserve">BC</t>
        </is>
      </c>
      <c r="H636" s="5">
        <v>0</v>
      </c>
      <c r="I636" s="5">
        <v>0</v>
      </c>
      <c r="J636" s="5">
        <v>1</v>
      </c>
      <c r="K636" s="5">
        <v>7.755462</v>
      </c>
      <c r="L636" s="7">
        <v>0.0</v>
      </c>
      <c r="M636" s="7">
        <v>0.0</v>
      </c>
      <c r="N636" s="7">
        <v>1.0</v>
      </c>
      <c r="O636" s="7">
        <v>0.0</v>
      </c>
    </row>
    <row r="637" outlineLevel="1">
      <c r="B637" s="0" t="inlineStr">
        <is>
          <t xml:space="preserve">2025-09-11</t>
        </is>
      </c>
      <c r="C637" s="0" t="inlineStr">
        <is>
          <t xml:space="preserve">-</t>
        </is>
      </c>
      <c r="D637" s="0" t="inlineStr">
        <is>
          <t xml:space="preserve">non_sub</t>
        </is>
      </c>
      <c r="E637" s="0" t="inlineStr">
        <is>
          <t xml:space="preserve">lead_yard</t>
        </is>
      </c>
      <c r="F637" s="0" t="inlineStr">
        <is>
          <t xml:space="preserve">EXCLUDE_REVIEW</t>
        </is>
      </c>
      <c r="G637" s="0" t="inlineStr">
        <is>
          <t xml:space="preserve">BC</t>
        </is>
      </c>
      <c r="H637" s="5">
        <v>0</v>
      </c>
      <c r="I637" s="5">
        <v>0</v>
      </c>
      <c r="J637" s="5">
        <v>1</v>
      </c>
      <c r="K637" s="5">
        <v>7.72985</v>
      </c>
      <c r="L637" s="7">
        <v>0.0</v>
      </c>
      <c r="M637" s="7">
        <v>0.0</v>
      </c>
      <c r="N637" s="7">
        <v>0.0</v>
      </c>
      <c r="O637" s="7">
        <v>0.0</v>
      </c>
    </row>
    <row r="638" outlineLevel="1">
      <c r="B638" s="0" t="inlineStr">
        <is>
          <t xml:space="preserve">2025-08-28</t>
        </is>
      </c>
      <c r="C638" s="0" t="inlineStr">
        <is>
          <t xml:space="preserve">N00024-23-F-6311</t>
        </is>
      </c>
      <c r="D638" s="0" t="inlineStr">
        <is>
          <t xml:space="preserve">non_sub</t>
        </is>
      </c>
      <c r="E638" s="0" t="inlineStr">
        <is>
          <t xml:space="preserve">sustainment_maintenance</t>
        </is>
      </c>
      <c r="F638" s="0" t="inlineStr">
        <is>
          <t xml:space="preserve">EXCLUDE_REVIEW</t>
        </is>
      </c>
      <c r="G638" s="0" t="inlineStr">
        <is>
          <t xml:space="preserve">BC</t>
        </is>
      </c>
      <c r="H638" s="5">
        <v>0</v>
      </c>
      <c r="I638" s="5">
        <v>0</v>
      </c>
      <c r="J638" s="5">
        <v>1</v>
      </c>
      <c r="K638" s="5">
        <v>7.682433</v>
      </c>
      <c r="L638" s="7">
        <v>0.0</v>
      </c>
      <c r="M638" s="7">
        <v>0.0</v>
      </c>
      <c r="N638" s="7">
        <v>0.98</v>
      </c>
      <c r="O638" s="7">
        <v>0.0</v>
      </c>
    </row>
    <row r="639" outlineLevel="1">
      <c r="B639" s="0" t="inlineStr">
        <is>
          <t xml:space="preserve">2025-07-23</t>
        </is>
      </c>
      <c r="C639" s="0" t="inlineStr">
        <is>
          <t xml:space="preserve">N00024-22-C-5218</t>
        </is>
      </c>
      <c r="D639" s="0" t="inlineStr">
        <is>
          <t xml:space="preserve">non_sub</t>
        </is>
      </c>
      <c r="E639" s="0" t="inlineStr">
        <is>
          <t xml:space="preserve">other</t>
        </is>
      </c>
      <c r="F639" s="0" t="inlineStr">
        <is>
          <t xml:space="preserve">EXCLUDE_REVIEW</t>
        </is>
      </c>
      <c r="G639" s="0" t="inlineStr">
        <is>
          <t xml:space="preserve">BC</t>
        </is>
      </c>
      <c r="H639" s="5">
        <v>0</v>
      </c>
      <c r="I639" s="5">
        <v>0</v>
      </c>
      <c r="J639" s="5">
        <v>1</v>
      </c>
      <c r="K639" s="5">
        <v>7.64603</v>
      </c>
      <c r="L639" s="7">
        <v>0.0</v>
      </c>
      <c r="M639" s="7">
        <v>0.0</v>
      </c>
      <c r="N639" s="7">
        <v>1.0</v>
      </c>
      <c r="O639" s="7">
        <v>0.0</v>
      </c>
    </row>
    <row r="640" outlineLevel="1">
      <c r="B640" s="0" t="inlineStr">
        <is>
          <t xml:space="preserve">2023-09-13</t>
        </is>
      </c>
      <c r="C640" s="0" t="inlineStr">
        <is>
          <t xml:space="preserve">-</t>
        </is>
      </c>
      <c r="D640" s="0" t="inlineStr">
        <is>
          <t xml:space="preserve">non_sub</t>
        </is>
      </c>
      <c r="E640" s="0" t="inlineStr">
        <is>
          <t xml:space="preserve">sustainment_maintenance</t>
        </is>
      </c>
      <c r="F640" s="0" t="inlineStr">
        <is>
          <t xml:space="preserve">EXCLUDE_REVIEW</t>
        </is>
      </c>
      <c r="G640" s="0" t="inlineStr">
        <is>
          <t xml:space="preserve">BC</t>
        </is>
      </c>
      <c r="H640" s="5">
        <v>0</v>
      </c>
      <c r="I640" s="5">
        <v>0</v>
      </c>
      <c r="J640" s="5">
        <v>1</v>
      </c>
      <c r="K640" s="5">
        <v>7.634599</v>
      </c>
      <c r="L640" s="7">
        <v>0.0</v>
      </c>
      <c r="M640" s="7">
        <v>0.0</v>
      </c>
      <c r="N640" s="7">
        <v>0.0</v>
      </c>
      <c r="O640" s="7">
        <v>0.0</v>
      </c>
    </row>
    <row r="641" outlineLevel="1">
      <c r="B641" s="0" t="inlineStr">
        <is>
          <t xml:space="preserve">2022-09-27</t>
        </is>
      </c>
      <c r="C641" s="0" t="inlineStr">
        <is>
          <t xml:space="preserve">N32253-22-C-0008</t>
        </is>
      </c>
      <c r="D641" s="0" t="inlineStr">
        <is>
          <t xml:space="preserve">va</t>
        </is>
      </c>
      <c r="E641" s="0" t="inlineStr">
        <is>
          <t xml:space="preserve">other</t>
        </is>
      </c>
      <c r="F641" s="0" t="inlineStr">
        <is>
          <t xml:space="preserve">EXCLUDE_REVIEW</t>
        </is>
      </c>
      <c r="G641" s="0" t="inlineStr">
        <is>
          <t xml:space="preserve">BC</t>
        </is>
      </c>
      <c r="H641" s="5">
        <v>0</v>
      </c>
      <c r="I641" s="5">
        <v>0</v>
      </c>
      <c r="J641" s="5">
        <v>1</v>
      </c>
      <c r="K641" s="5">
        <v>7.612324</v>
      </c>
      <c r="L641" s="7">
        <v>0.0</v>
      </c>
      <c r="M641" s="7">
        <v>0.0</v>
      </c>
      <c r="N641" s="7">
        <v>0.0</v>
      </c>
      <c r="O641" s="7">
        <v>0.0</v>
      </c>
    </row>
    <row r="642" outlineLevel="1">
      <c r="B642" s="0" t="inlineStr">
        <is>
          <t xml:space="preserve">2024-09-27</t>
        </is>
      </c>
      <c r="C642" s="0" t="inlineStr">
        <is>
          <t xml:space="preserve">-</t>
        </is>
      </c>
      <c r="D642" s="0" t="inlineStr">
        <is>
          <t xml:space="preserve">non_sub</t>
        </is>
      </c>
      <c r="E642" s="0" t="inlineStr">
        <is>
          <t xml:space="preserve">sustainment_maintenance</t>
        </is>
      </c>
      <c r="F642" s="0" t="inlineStr">
        <is>
          <t xml:space="preserve">EXCLUDE_REVIEW</t>
        </is>
      </c>
      <c r="G642" s="0" t="inlineStr">
        <is>
          <t xml:space="preserve">BC</t>
        </is>
      </c>
      <c r="H642" s="5">
        <v>0</v>
      </c>
      <c r="I642" s="5">
        <v>0</v>
      </c>
      <c r="J642" s="5">
        <v>1</v>
      </c>
      <c r="K642" s="5">
        <v>7.604996</v>
      </c>
      <c r="L642" s="7">
        <v>0.0</v>
      </c>
      <c r="M642" s="7">
        <v>0.0</v>
      </c>
      <c r="N642" s="7">
        <v>1.0</v>
      </c>
      <c r="O642" s="7">
        <v>0.0</v>
      </c>
    </row>
    <row r="643" outlineLevel="1">
      <c r="B643" s="0" t="inlineStr">
        <is>
          <t xml:space="preserve">2024-08-01</t>
        </is>
      </c>
      <c r="C643" s="0" t="inlineStr">
        <is>
          <t xml:space="preserve">N00024-24-F-6218</t>
        </is>
      </c>
      <c r="D643" s="0" t="inlineStr">
        <is>
          <t xml:space="preserve">sub_other</t>
        </is>
      </c>
      <c r="E643" s="0" t="inlineStr">
        <is>
          <t xml:space="preserve">other</t>
        </is>
      </c>
      <c r="F643" s="0" t="inlineStr">
        <is>
          <t xml:space="preserve">EXCLUDE_REVIEW</t>
        </is>
      </c>
      <c r="G643" s="0" t="inlineStr">
        <is>
          <t xml:space="preserve">BC</t>
        </is>
      </c>
      <c r="H643" s="5">
        <v>0</v>
      </c>
      <c r="I643" s="5">
        <v>0</v>
      </c>
      <c r="J643" s="5">
        <v>1</v>
      </c>
      <c r="K643" s="5">
        <v>7.600363</v>
      </c>
      <c r="L643" s="7">
        <v>0.0</v>
      </c>
      <c r="M643" s="7">
        <v>0.0</v>
      </c>
      <c r="N643" s="7">
        <v>0.0</v>
      </c>
      <c r="O643" s="7">
        <v>0.0</v>
      </c>
    </row>
    <row r="644" outlineLevel="1">
      <c r="B644" s="0" t="inlineStr">
        <is>
          <t xml:space="preserve">2025-07-31</t>
        </is>
      </c>
      <c r="C644" s="0" t="inlineStr">
        <is>
          <t xml:space="preserve">N00024-23-C-6110</t>
        </is>
      </c>
      <c r="D644" s="0" t="inlineStr">
        <is>
          <t xml:space="preserve">non_sub</t>
        </is>
      </c>
      <c r="E644" s="0" t="inlineStr">
        <is>
          <t xml:space="preserve">repair_overhaul</t>
        </is>
      </c>
      <c r="F644" s="0" t="inlineStr">
        <is>
          <t xml:space="preserve">EXCLUDE_REVIEW</t>
        </is>
      </c>
      <c r="G644" s="0" t="inlineStr">
        <is>
          <t xml:space="preserve">BC</t>
        </is>
      </c>
      <c r="H644" s="5">
        <v>0</v>
      </c>
      <c r="I644" s="5">
        <v>0</v>
      </c>
      <c r="J644" s="5">
        <v>1</v>
      </c>
      <c r="K644" s="5">
        <v>7.558892</v>
      </c>
      <c r="L644" s="7">
        <v>0.0</v>
      </c>
      <c r="M644" s="7">
        <v>0.0</v>
      </c>
      <c r="N644" s="7">
        <v>0.0</v>
      </c>
      <c r="O644" s="7">
        <v>0.0</v>
      </c>
    </row>
    <row r="645" outlineLevel="1">
      <c r="B645" s="0" t="inlineStr">
        <is>
          <t xml:space="preserve">2024-12-13</t>
        </is>
      </c>
      <c r="C645" s="0" t="inlineStr">
        <is>
          <t xml:space="preserve">-</t>
        </is>
      </c>
      <c r="D645" s="0" t="inlineStr">
        <is>
          <t xml:space="preserve">non_sub</t>
        </is>
      </c>
      <c r="E645" s="0" t="inlineStr">
        <is>
          <t xml:space="preserve">sustainment_maintenance</t>
        </is>
      </c>
      <c r="F645" s="0" t="inlineStr">
        <is>
          <t xml:space="preserve">EXCLUDE_REVIEW</t>
        </is>
      </c>
      <c r="G645" s="0" t="inlineStr">
        <is>
          <t xml:space="preserve">BC</t>
        </is>
      </c>
      <c r="H645" s="5">
        <v>0</v>
      </c>
      <c r="I645" s="5">
        <v>0</v>
      </c>
      <c r="J645" s="5">
        <v>1</v>
      </c>
      <c r="K645" s="5">
        <v>7.556155980000001</v>
      </c>
      <c r="L645" s="7">
        <v>0.0</v>
      </c>
      <c r="M645" s="7">
        <v>0.0</v>
      </c>
      <c r="N645" s="7">
        <v>1.0</v>
      </c>
      <c r="O645" s="7">
        <v>0.0</v>
      </c>
    </row>
    <row r="646" outlineLevel="1">
      <c r="B646" s="0" t="inlineStr">
        <is>
          <t xml:space="preserve">2023-06-08</t>
        </is>
      </c>
      <c r="C646" s="0" t="inlineStr">
        <is>
          <t xml:space="preserve">-</t>
        </is>
      </c>
      <c r="D646" s="0" t="inlineStr">
        <is>
          <t xml:space="preserve">sub_repair</t>
        </is>
      </c>
      <c r="E646" s="0" t="inlineStr">
        <is>
          <t xml:space="preserve">repair_overhaul</t>
        </is>
      </c>
      <c r="F646" s="0" t="inlineStr">
        <is>
          <t xml:space="preserve">EXCLUDE_REVIEW</t>
        </is>
      </c>
      <c r="G646" s="0" t="inlineStr">
        <is>
          <t xml:space="preserve">BC</t>
        </is>
      </c>
      <c r="H646" s="5">
        <v>0</v>
      </c>
      <c r="I646" s="5">
        <v>0</v>
      </c>
      <c r="J646" s="5">
        <v>1</v>
      </c>
      <c r="K646" s="5">
        <v>7.550232</v>
      </c>
      <c r="L646" s="7">
        <v>0.0</v>
      </c>
      <c r="M646" s="7">
        <v>0.0</v>
      </c>
      <c r="N646" s="7">
        <v>0.0</v>
      </c>
      <c r="O646" s="7">
        <v>0.0</v>
      </c>
    </row>
    <row r="647" outlineLevel="1">
      <c r="B647" s="0" t="inlineStr">
        <is>
          <t xml:space="preserve">2023-09-21</t>
        </is>
      </c>
      <c r="C647" s="0" t="inlineStr">
        <is>
          <t xml:space="preserve">-</t>
        </is>
      </c>
      <c r="D647" s="0" t="inlineStr">
        <is>
          <t xml:space="preserve">non_sub</t>
        </is>
      </c>
      <c r="E647" s="0" t="inlineStr">
        <is>
          <t xml:space="preserve">construction</t>
        </is>
      </c>
      <c r="F647" s="0" t="inlineStr">
        <is>
          <t xml:space="preserve">INCLUDE_BC</t>
        </is>
      </c>
      <c r="G647" s="0" t="inlineStr">
        <is>
          <t xml:space="preserve">BC</t>
        </is>
      </c>
      <c r="H647" s="5">
        <v>0</v>
      </c>
      <c r="I647" s="5">
        <v>0</v>
      </c>
      <c r="J647" s="5">
        <v>1</v>
      </c>
      <c r="K647" s="5">
        <v>7.546645</v>
      </c>
      <c r="L647" s="7">
        <v>0.0</v>
      </c>
      <c r="M647" s="7">
        <v>0.0</v>
      </c>
      <c r="N647" s="7">
        <v>0.0</v>
      </c>
      <c r="O647" s="7">
        <v>0.0</v>
      </c>
    </row>
    <row r="648" outlineLevel="1">
      <c r="B648" s="0" t="inlineStr">
        <is>
          <t xml:space="preserve">2025-03-14</t>
        </is>
      </c>
      <c r="C648" s="0" t="inlineStr">
        <is>
          <t xml:space="preserve">N00024-24-C-2301</t>
        </is>
      </c>
      <c r="D648" s="0" t="inlineStr">
        <is>
          <t xml:space="preserve">non_sub</t>
        </is>
      </c>
      <c r="E648" s="0" t="inlineStr">
        <is>
          <t xml:space="preserve">other</t>
        </is>
      </c>
      <c r="F648" s="0" t="inlineStr">
        <is>
          <t xml:space="preserve">EXCLUDE_REVIEW</t>
        </is>
      </c>
      <c r="G648" s="0" t="inlineStr">
        <is>
          <t xml:space="preserve">BC</t>
        </is>
      </c>
      <c r="H648" s="5">
        <v>0</v>
      </c>
      <c r="I648" s="5">
        <v>0</v>
      </c>
      <c r="J648" s="5">
        <v>1</v>
      </c>
      <c r="K648" s="5">
        <v>7.545897</v>
      </c>
      <c r="L648" s="7">
        <v>0.0</v>
      </c>
      <c r="M648" s="7">
        <v>0.0</v>
      </c>
      <c r="N648" s="7">
        <v>0.0</v>
      </c>
      <c r="O648" s="7">
        <v>0.0</v>
      </c>
    </row>
    <row r="649" outlineLevel="1">
      <c r="B649" s="0" t="inlineStr">
        <is>
          <t xml:space="preserve">2026-01-16</t>
        </is>
      </c>
      <c r="C649" s="0" t="inlineStr">
        <is>
          <t xml:space="preserve">-</t>
        </is>
      </c>
      <c r="D649" s="0" t="inlineStr">
        <is>
          <t xml:space="preserve">non_sub</t>
        </is>
      </c>
      <c r="E649" s="0" t="inlineStr">
        <is>
          <t xml:space="preserve">sustainment_maintenance</t>
        </is>
      </c>
      <c r="F649" s="0" t="inlineStr">
        <is>
          <t xml:space="preserve">EXCLUDE_REVIEW</t>
        </is>
      </c>
      <c r="G649" s="0" t="inlineStr">
        <is>
          <t xml:space="preserve">BC</t>
        </is>
      </c>
      <c r="H649" s="5">
        <v>0</v>
      </c>
      <c r="I649" s="5">
        <v>0</v>
      </c>
      <c r="J649" s="5">
        <v>1</v>
      </c>
      <c r="K649" s="5">
        <v>5.394939</v>
      </c>
      <c r="L649" s="7">
        <v>0.0</v>
      </c>
      <c r="M649" s="7">
        <v>0.0</v>
      </c>
      <c r="N649" s="7">
        <v>0.0</v>
      </c>
      <c r="O649" s="7">
        <v>0.0</v>
      </c>
    </row>
    <row r="650" outlineLevel="1">
      <c r="B650" s="0" t="inlineStr">
        <is>
          <t xml:space="preserve">2025-03-26</t>
        </is>
      </c>
      <c r="C650" s="0" t="inlineStr">
        <is>
          <t xml:space="preserve">-</t>
        </is>
      </c>
      <c r="D650" s="0" t="inlineStr">
        <is>
          <t xml:space="preserve">sub_other</t>
        </is>
      </c>
      <c r="E650" s="0" t="inlineStr">
        <is>
          <t xml:space="preserve">sustainment_maintenance</t>
        </is>
      </c>
      <c r="F650" s="0" t="inlineStr">
        <is>
          <t xml:space="preserve">EXCLUDE_REVIEW</t>
        </is>
      </c>
      <c r="G650" s="0" t="inlineStr">
        <is>
          <t xml:space="preserve">BC</t>
        </is>
      </c>
      <c r="H650" s="5">
        <v>0</v>
      </c>
      <c r="I650" s="5">
        <v>0</v>
      </c>
      <c r="J650" s="5">
        <v>1</v>
      </c>
      <c r="K650" s="5">
        <v>0.001</v>
      </c>
      <c r="L650" s="7">
        <v>0.0</v>
      </c>
      <c r="M650" s="7">
        <v>0.0</v>
      </c>
      <c r="N650" s="7">
        <v>0.0</v>
      </c>
      <c r="O650" s="7">
        <v>0.0</v>
      </c>
    </row>
    <row r="651" outlineLevel="1">
      <c r="B651" s="0" t="inlineStr">
        <is>
          <t xml:space="preserve">2025-02-03</t>
        </is>
      </c>
      <c r="C651" s="0" t="inlineStr">
        <is>
          <t xml:space="preserve">-</t>
        </is>
      </c>
      <c r="D651" s="0" t="inlineStr">
        <is>
          <t xml:space="preserve">non_sub</t>
        </is>
      </c>
      <c r="E651" s="0" t="inlineStr">
        <is>
          <t xml:space="preserve">other</t>
        </is>
      </c>
      <c r="F651" s="0" t="inlineStr">
        <is>
          <t xml:space="preserve">EXCLUDE_REVIEW</t>
        </is>
      </c>
      <c r="G651" s="0" t="inlineStr">
        <is>
          <t xml:space="preserve">BC</t>
        </is>
      </c>
      <c r="H651" s="5">
        <v>0</v>
      </c>
      <c r="I651" s="5">
        <v>0</v>
      </c>
      <c r="J651" s="5">
        <v>1</v>
      </c>
      <c r="K651" s="5">
        <v>0.0</v>
      </c>
      <c r="L651" s="7">
        <v>0.0</v>
      </c>
      <c r="M651" s="7">
        <v>0.0</v>
      </c>
      <c r="N651" s="7">
        <v>1.0</v>
      </c>
      <c r="O651" s="7">
        <v>0.0</v>
      </c>
    </row>
    <row r="652" outlineLevel="1">
      <c r="B652" s="0" t="inlineStr">
        <is>
          <t xml:space="preserve">2025-02-20</t>
        </is>
      </c>
      <c r="C652" s="0" t="inlineStr">
        <is>
          <t xml:space="preserve">N00024-22-C-2319</t>
        </is>
      </c>
      <c r="D652" s="0" t="inlineStr">
        <is>
          <t xml:space="preserve">non_sub</t>
        </is>
      </c>
      <c r="E652" s="0" t="inlineStr">
        <is>
          <t xml:space="preserve">other</t>
        </is>
      </c>
      <c r="F652" s="0" t="inlineStr">
        <is>
          <t xml:space="preserve">EXCLUDE_REVIEW</t>
        </is>
      </c>
      <c r="G652" s="0" t="inlineStr">
        <is>
          <t xml:space="preserve">BC</t>
        </is>
      </c>
      <c r="H652" s="5">
        <v>0</v>
      </c>
      <c r="I652" s="5">
        <v>0</v>
      </c>
      <c r="J652" s="5">
        <v>1</v>
      </c>
      <c r="K652" s="5">
        <v>0.0</v>
      </c>
      <c r="L652" s="7">
        <v>0.0</v>
      </c>
      <c r="M652" s="7">
        <v>0.0</v>
      </c>
      <c r="N652" s="7">
        <v>0.0</v>
      </c>
      <c r="O652" s="7">
        <v>0.0</v>
      </c>
    </row>
    <row r="653" outlineLevel="1">
      <c r="B653" s="0" t="inlineStr">
        <is>
          <t xml:space="preserve">2025-02-21</t>
        </is>
      </c>
      <c r="C653" s="0" t="inlineStr">
        <is>
          <t xml:space="preserve">N00024-22-C-2319</t>
        </is>
      </c>
      <c r="D653" s="0" t="inlineStr">
        <is>
          <t xml:space="preserve">non_sub</t>
        </is>
      </c>
      <c r="E653" s="0" t="inlineStr">
        <is>
          <t xml:space="preserve">component_procurement</t>
        </is>
      </c>
      <c r="F653" s="0" t="inlineStr">
        <is>
          <t xml:space="preserve">INCLUDE_BC</t>
        </is>
      </c>
      <c r="G653" s="0" t="inlineStr">
        <is>
          <t xml:space="preserve">BC</t>
        </is>
      </c>
      <c r="H653" s="5">
        <v>0</v>
      </c>
      <c r="I653" s="5">
        <v>0</v>
      </c>
      <c r="J653" s="5">
        <v>1</v>
      </c>
      <c r="K653" s="5">
        <v>0.0</v>
      </c>
      <c r="L653" s="7">
        <v>0.0</v>
      </c>
      <c r="M653" s="7">
        <v>0.0</v>
      </c>
      <c r="N653" s="7">
        <v>0.0</v>
      </c>
      <c r="O653" s="7">
        <v>0.0</v>
      </c>
    </row>
    <row r="654" outlineLevel="1">
      <c r="B654" s="0" t="inlineStr">
        <is>
          <t xml:space="preserve">2025-05-16</t>
        </is>
      </c>
      <c r="C654" s="0" t="inlineStr">
        <is>
          <t xml:space="preserve">N00024-23-C-2305</t>
        </is>
      </c>
      <c r="D654" s="0" t="inlineStr">
        <is>
          <t xml:space="preserve">non_sub</t>
        </is>
      </c>
      <c r="E654" s="0" t="inlineStr">
        <is>
          <t xml:space="preserve">other</t>
        </is>
      </c>
      <c r="F654" s="0" t="inlineStr">
        <is>
          <t xml:space="preserve">EXCLUDE_REVIEW</t>
        </is>
      </c>
      <c r="G654" s="0" t="inlineStr">
        <is>
          <t xml:space="preserve">BC</t>
        </is>
      </c>
      <c r="H654" s="5">
        <v>0</v>
      </c>
      <c r="I654" s="5">
        <v>0</v>
      </c>
      <c r="J654" s="5">
        <v>1</v>
      </c>
      <c r="K654" s="5">
        <v>0.0</v>
      </c>
      <c r="L654" s="7">
        <v>0.0</v>
      </c>
      <c r="M654" s="7">
        <v>0.0</v>
      </c>
      <c r="N654" s="7">
        <v>0.0</v>
      </c>
      <c r="O654" s="7">
        <v>0.0</v>
      </c>
    </row>
    <row r="655" outlineLevel="1">
      <c r="B655" s="0" t="inlineStr">
        <is>
          <t xml:space="preserve">2025-06-13</t>
        </is>
      </c>
      <c r="C655" s="0" t="inlineStr">
        <is>
          <t xml:space="preserve">N00024-18-C-2307</t>
        </is>
      </c>
      <c r="D655" s="0" t="inlineStr">
        <is>
          <t xml:space="preserve">non_sub</t>
        </is>
      </c>
      <c r="E655" s="0" t="inlineStr">
        <is>
          <t xml:space="preserve">other</t>
        </is>
      </c>
      <c r="F655" s="0" t="inlineStr">
        <is>
          <t xml:space="preserve">EXCLUDE_REVIEW</t>
        </is>
      </c>
      <c r="G655" s="0" t="inlineStr">
        <is>
          <t xml:space="preserve">BC</t>
        </is>
      </c>
      <c r="H655" s="5">
        <v>0</v>
      </c>
      <c r="I655" s="5">
        <v>0</v>
      </c>
      <c r="J655" s="5">
        <v>1</v>
      </c>
      <c r="K655" s="5">
        <v>0.0</v>
      </c>
      <c r="L655" s="7">
        <v>0.0</v>
      </c>
      <c r="M655" s="7">
        <v>0.0</v>
      </c>
      <c r="N655" s="7">
        <v>0.0</v>
      </c>
      <c r="O655" s="7">
        <v>0.0</v>
      </c>
    </row>
    <row r="656" outlineLevel="1">
      <c r="B656" s="0" t="inlineStr">
        <is>
          <t xml:space="preserve">2025-06-18</t>
        </is>
      </c>
      <c r="C656" s="0" t="inlineStr">
        <is>
          <t xml:space="preserve">N00024-18-C-2406</t>
        </is>
      </c>
      <c r="D656" s="0" t="inlineStr">
        <is>
          <t xml:space="preserve">non_sub</t>
        </is>
      </c>
      <c r="E656" s="0" t="inlineStr">
        <is>
          <t xml:space="preserve">other</t>
        </is>
      </c>
      <c r="F656" s="0" t="inlineStr">
        <is>
          <t xml:space="preserve">EXCLUDE_REVIEW</t>
        </is>
      </c>
      <c r="G656" s="0" t="inlineStr">
        <is>
          <t xml:space="preserve">BC</t>
        </is>
      </c>
      <c r="H656" s="5">
        <v>0</v>
      </c>
      <c r="I656" s="5">
        <v>0</v>
      </c>
      <c r="J656" s="5">
        <v>1</v>
      </c>
      <c r="K656" s="5">
        <v>0.0</v>
      </c>
      <c r="L656" s="7">
        <v>0.0</v>
      </c>
      <c r="M656" s="7">
        <v>0.0</v>
      </c>
      <c r="N656" s="7">
        <v>0.87</v>
      </c>
      <c r="O656" s="7">
        <v>0.0</v>
      </c>
    </row>
    <row r="657" outlineLevel="1">
      <c r="B657" s="0" t="inlineStr">
        <is>
          <t xml:space="preserve">2025-07-01</t>
        </is>
      </c>
      <c r="C657" s="0" t="inlineStr">
        <is>
          <t xml:space="preserve">N00024-18-C-2307</t>
        </is>
      </c>
      <c r="D657" s="0" t="inlineStr">
        <is>
          <t xml:space="preserve">non_sub</t>
        </is>
      </c>
      <c r="E657" s="0" t="inlineStr">
        <is>
          <t xml:space="preserve">other</t>
        </is>
      </c>
      <c r="F657" s="0" t="inlineStr">
        <is>
          <t xml:space="preserve">EXCLUDE_REVIEW</t>
        </is>
      </c>
      <c r="G657" s="0" t="inlineStr">
        <is>
          <t xml:space="preserve">BC</t>
        </is>
      </c>
      <c r="H657" s="5">
        <v>0</v>
      </c>
      <c r="I657" s="5">
        <v>0</v>
      </c>
      <c r="J657" s="5">
        <v>1</v>
      </c>
      <c r="K657" s="5">
        <v>0.0</v>
      </c>
      <c r="L657" s="7">
        <v>0.0</v>
      </c>
      <c r="M657" s="7">
        <v>0.0</v>
      </c>
      <c r="N657" s="7">
        <v>1.0</v>
      </c>
      <c r="O657" s="7">
        <v>0.0</v>
      </c>
    </row>
    <row r="658" outlineLevel="1">
      <c r="B658" s="0" t="inlineStr">
        <is>
          <t xml:space="preserve">2025-07-17</t>
        </is>
      </c>
      <c r="C658" s="0" t="inlineStr">
        <is>
          <t xml:space="preserve">N00024-22-C-2318</t>
        </is>
      </c>
      <c r="D658" s="0" t="inlineStr">
        <is>
          <t xml:space="preserve">non_sub</t>
        </is>
      </c>
      <c r="E658" s="0" t="inlineStr">
        <is>
          <t xml:space="preserve">other</t>
        </is>
      </c>
      <c r="F658" s="0" t="inlineStr">
        <is>
          <t xml:space="preserve">EXCLUDE_REVIEW</t>
        </is>
      </c>
      <c r="G658" s="0" t="inlineStr">
        <is>
          <t xml:space="preserve">BC</t>
        </is>
      </c>
      <c r="H658" s="5">
        <v>0</v>
      </c>
      <c r="I658" s="5">
        <v>0</v>
      </c>
      <c r="J658" s="5">
        <v>1</v>
      </c>
      <c r="K658" s="5">
        <v>0.0</v>
      </c>
      <c r="L658" s="7">
        <v>0.0</v>
      </c>
      <c r="M658" s="7">
        <v>0.04</v>
      </c>
      <c r="N658" s="7">
        <v>1.96</v>
      </c>
      <c r="O658" s="7">
        <v>0.0</v>
      </c>
    </row>
    <row r="659" outlineLevel="1">
      <c r="B659" s="0" t="inlineStr">
        <is>
          <t xml:space="preserve">2025-07-31</t>
        </is>
      </c>
      <c r="C659" s="0" t="inlineStr">
        <is>
          <t xml:space="preserve">N00024-23-C-2305</t>
        </is>
      </c>
      <c r="D659" s="0" t="inlineStr">
        <is>
          <t xml:space="preserve">non_sub</t>
        </is>
      </c>
      <c r="E659" s="0" t="inlineStr">
        <is>
          <t xml:space="preserve">construction</t>
        </is>
      </c>
      <c r="F659" s="0" t="inlineStr">
        <is>
          <t xml:space="preserve">INCLUDE_BC</t>
        </is>
      </c>
      <c r="G659" s="0" t="inlineStr">
        <is>
          <t xml:space="preserve">BC</t>
        </is>
      </c>
      <c r="H659" s="5">
        <v>0</v>
      </c>
      <c r="I659" s="5">
        <v>0</v>
      </c>
      <c r="J659" s="5">
        <v>1</v>
      </c>
      <c r="K659" s="5">
        <v>0.0</v>
      </c>
      <c r="L659" s="7">
        <v>0.0</v>
      </c>
      <c r="M659" s="7">
        <v>0.0</v>
      </c>
      <c r="N659" s="7">
        <v>0.81</v>
      </c>
      <c r="O659" s="7">
        <v>0.0</v>
      </c>
    </row>
    <row r="660" outlineLevel="1">
      <c r="B660" s="0" t="inlineStr">
        <is>
          <t xml:space="preserve">2025-12-05</t>
        </is>
      </c>
      <c r="C660" s="0" t="inlineStr">
        <is>
          <t xml:space="preserve">N00024-18-C-2307</t>
        </is>
      </c>
      <c r="D660" s="0" t="inlineStr">
        <is>
          <t xml:space="preserve">non_sub</t>
        </is>
      </c>
      <c r="E660" s="0" t="inlineStr">
        <is>
          <t xml:space="preserve">other</t>
        </is>
      </c>
      <c r="F660" s="0" t="inlineStr">
        <is>
          <t xml:space="preserve">EXCLUDE_REVIEW</t>
        </is>
      </c>
      <c r="G660" s="0" t="inlineStr">
        <is>
          <t xml:space="preserve">BC</t>
        </is>
      </c>
      <c r="H660" s="5">
        <v>0</v>
      </c>
      <c r="I660" s="5">
        <v>0</v>
      </c>
      <c r="J660" s="5">
        <v>1</v>
      </c>
      <c r="K660" s="5">
        <v>0.0</v>
      </c>
      <c r="L660" s="7">
        <v>0.0</v>
      </c>
      <c r="M660" s="7">
        <v>0.0</v>
      </c>
      <c r="N660" s="7">
        <v>0.0</v>
      </c>
      <c r="O660" s="7">
        <v>0.0</v>
      </c>
    </row>
    <row r="661" outlineLevel="1">
      <c r="B661" s="0" t="inlineStr">
        <is>
          <t xml:space="preserve">2026-03-27</t>
        </is>
      </c>
      <c r="C661" s="0" t="inlineStr">
        <is>
          <t xml:space="preserve">-</t>
        </is>
      </c>
      <c r="D661" s="0" t="inlineStr">
        <is>
          <t xml:space="preserve">non_sub</t>
        </is>
      </c>
      <c r="E661" s="0" t="inlineStr">
        <is>
          <t xml:space="preserve">other</t>
        </is>
      </c>
      <c r="F661" s="0" t="inlineStr">
        <is>
          <t xml:space="preserve">EXCLUDE_REVIEW</t>
        </is>
      </c>
      <c r="G661" s="0" t="inlineStr">
        <is>
          <t xml:space="preserve">BC</t>
        </is>
      </c>
      <c r="H661" s="5">
        <v>0</v>
      </c>
      <c r="I661" s="5">
        <v>0</v>
      </c>
      <c r="J661" s="5">
        <v>1</v>
      </c>
      <c r="K661" s="5">
        <v>0.0</v>
      </c>
      <c r="L661" s="7">
        <v>0.0</v>
      </c>
      <c r="M661" s="7">
        <v>0.0</v>
      </c>
      <c r="N661" s="7">
        <v>0.0</v>
      </c>
      <c r="O661" s="7">
        <v>0.0</v>
      </c>
    </row>
    <row r="662" outlineLevel="1">
      <c r="B662" s="0" t="inlineStr">
        <is>
          <t xml:space="preserve">2026-03-30</t>
        </is>
      </c>
      <c r="C662" s="0" t="inlineStr">
        <is>
          <t xml:space="preserve">-</t>
        </is>
      </c>
      <c r="D662" s="0" t="inlineStr">
        <is>
          <t xml:space="preserve">sub_other</t>
        </is>
      </c>
      <c r="E662" s="0" t="inlineStr">
        <is>
          <t xml:space="preserve">sustainment_maintenance</t>
        </is>
      </c>
      <c r="F662" s="0" t="inlineStr">
        <is>
          <t xml:space="preserve">EXCLUDE_REVIEW</t>
        </is>
      </c>
      <c r="G662" s="0" t="inlineStr">
        <is>
          <t xml:space="preserve">BC</t>
        </is>
      </c>
      <c r="H662" s="5">
        <v>0</v>
      </c>
      <c r="I662" s="5">
        <v>0</v>
      </c>
      <c r="J662" s="5">
        <v>1</v>
      </c>
      <c r="K662" s="5">
        <v>0.0</v>
      </c>
      <c r="L662" s="7">
        <v>0.0</v>
      </c>
      <c r="M662" s="7">
        <v>0.0</v>
      </c>
      <c r="N662" s="7">
        <v>0.0</v>
      </c>
      <c r="O662" s="7">
        <v>0.0</v>
      </c>
    </row>
    <row r="663" outlineLevel="1">
      <c r="B663" s="0" t="inlineStr">
        <is>
          <t xml:space="preserve">2026-05-01</t>
        </is>
      </c>
      <c r="C663" s="0" t="inlineStr">
        <is>
          <t xml:space="preserve">N00024-18-C-2307</t>
        </is>
      </c>
      <c r="D663" s="0" t="inlineStr">
        <is>
          <t xml:space="preserve">non_sub</t>
        </is>
      </c>
      <c r="E663" s="0" t="inlineStr">
        <is>
          <t xml:space="preserve">other</t>
        </is>
      </c>
      <c r="F663" s="0" t="inlineStr">
        <is>
          <t xml:space="preserve">EXCLUDE_REVIEW</t>
        </is>
      </c>
      <c r="G663" s="0" t="inlineStr">
        <is>
          <t xml:space="preserve">BC</t>
        </is>
      </c>
      <c r="H663" s="5">
        <v>0</v>
      </c>
      <c r="I663" s="5">
        <v>0</v>
      </c>
      <c r="J663" s="5">
        <v>1</v>
      </c>
      <c r="K663" s="5">
        <v>0.0</v>
      </c>
      <c r="L663" s="7">
        <v>0.0</v>
      </c>
      <c r="M663" s="7">
        <v>0.0</v>
      </c>
      <c r="N663" s="7">
        <v>0.0</v>
      </c>
      <c r="O663" s="7">
        <v>0.0</v>
      </c>
    </row>
    <row r="664" outlineLevel="1">
      <c r="B664" s="0" t="inlineStr">
        <is>
          <t xml:space="preserve">2026-05-07</t>
        </is>
      </c>
      <c r="C664" s="0" t="inlineStr">
        <is>
          <t xml:space="preserve">N00024-16-C-2116</t>
        </is>
      </c>
      <c r="D664" s="0" t="inlineStr">
        <is>
          <t xml:space="preserve">non_sub</t>
        </is>
      </c>
      <c r="E664" s="0" t="inlineStr">
        <is>
          <t xml:space="preserve">lltm_early_mfg</t>
        </is>
      </c>
      <c r="F664" s="0" t="inlineStr">
        <is>
          <t xml:space="preserve">INCLUDE_AP_LLTM</t>
        </is>
      </c>
      <c r="G664" s="0" t="inlineStr">
        <is>
          <t xml:space="preserve">AP_LLTM</t>
        </is>
      </c>
      <c r="H664" s="5">
        <v>0</v>
      </c>
      <c r="I664" s="5">
        <v>0</v>
      </c>
      <c r="J664" s="5">
        <v>1</v>
      </c>
      <c r="K664" s="5">
        <v>0.0</v>
      </c>
      <c r="L664" s="7">
        <v>0.0</v>
      </c>
      <c r="M664" s="7">
        <v>0.0</v>
      </c>
      <c r="N664" s="7">
        <v>1.0</v>
      </c>
      <c r="O664" s="7">
        <v>0.0</v>
      </c>
    </row>
    <row r="665" outlineLevel="1">
      <c r="B665" s="0" t="inlineStr">
        <is>
          <t xml:space="preserve">2023-01-12</t>
        </is>
      </c>
      <c r="C665" s="0" t="inlineStr">
        <is>
          <t xml:space="preserve">N00024-23-F-5445</t>
        </is>
      </c>
      <c r="D665" s="0" t="inlineStr">
        <is>
          <t xml:space="preserve">non_sub</t>
        </is>
      </c>
      <c r="E665" s="0" t="inlineStr">
        <is>
          <t xml:space="preserve">other</t>
        </is>
      </c>
      <c r="F665" s="0" t="inlineStr">
        <is>
          <t xml:space="preserve">EXCLUDE_REVIEW</t>
        </is>
      </c>
      <c r="G665" s="0" t="inlineStr">
        <is>
          <t xml:space="preserve">BC</t>
        </is>
      </c>
      <c r="H665" s="5">
        <v>0</v>
      </c>
      <c r="I665" s="5">
        <v>0</v>
      </c>
      <c r="J665" s="5">
        <v>1</v>
      </c>
      <c r="K665" s="5">
        <v>0.0</v>
      </c>
      <c r="L665" s="7">
        <v>0.0</v>
      </c>
      <c r="M665" s="7">
        <v>0.0</v>
      </c>
      <c r="N665" s="7">
        <v>1.0</v>
      </c>
      <c r="O665" s="7">
        <v>0.0</v>
      </c>
    </row>
    <row r="666" outlineLevel="1">
      <c r="B666" s="0" t="inlineStr">
        <is>
          <t xml:space="preserve">2022-10-11</t>
        </is>
      </c>
      <c r="C666" s="0" t="inlineStr">
        <is>
          <t xml:space="preserve">N00024-20-C-2300</t>
        </is>
      </c>
      <c r="D666" s="0" t="inlineStr">
        <is>
          <t xml:space="preserve">non_sub</t>
        </is>
      </c>
      <c r="E666" s="0" t="inlineStr">
        <is>
          <t xml:space="preserve">lltm_early_mfg</t>
        </is>
      </c>
      <c r="F666" s="0" t="inlineStr">
        <is>
          <t xml:space="preserve">INCLUDE_AP_LLTM</t>
        </is>
      </c>
      <c r="G666" s="0" t="inlineStr">
        <is>
          <t xml:space="preserve">AP_LLTM</t>
        </is>
      </c>
      <c r="H666" s="5">
        <v>0</v>
      </c>
      <c r="I666" s="5">
        <v>0</v>
      </c>
      <c r="J666" s="5">
        <v>1</v>
      </c>
      <c r="K666" s="5">
        <v>0.0</v>
      </c>
      <c r="L666" s="7">
        <v>0.0</v>
      </c>
      <c r="M666" s="7">
        <v>0.0</v>
      </c>
      <c r="N666" s="7">
        <v>0.0</v>
      </c>
      <c r="O666" s="7">
        <v>0.0</v>
      </c>
    </row>
    <row r="667" outlineLevel="1">
      <c r="B667" s="0" t="inlineStr">
        <is>
          <t xml:space="preserve">2023-01-04</t>
        </is>
      </c>
      <c r="C667" s="0" t="inlineStr">
        <is>
          <t xml:space="preserve">N00024-18-D-4325</t>
        </is>
      </c>
      <c r="D667" s="0" t="inlineStr">
        <is>
          <t xml:space="preserve">non_sub</t>
        </is>
      </c>
      <c r="E667" s="0" t="inlineStr">
        <is>
          <t xml:space="preserve">sustainment_maintenance</t>
        </is>
      </c>
      <c r="F667" s="0" t="inlineStr">
        <is>
          <t xml:space="preserve">EXCLUDE_REVIEW</t>
        </is>
      </c>
      <c r="G667" s="0" t="inlineStr">
        <is>
          <t xml:space="preserve">BC</t>
        </is>
      </c>
      <c r="H667" s="5">
        <v>0</v>
      </c>
      <c r="I667" s="5">
        <v>0</v>
      </c>
      <c r="J667" s="5">
        <v>1</v>
      </c>
      <c r="K667" s="5">
        <v>0.0</v>
      </c>
      <c r="L667" s="7">
        <v>0.0</v>
      </c>
      <c r="M667" s="7">
        <v>0.0</v>
      </c>
      <c r="N667" s="7">
        <v>0.95</v>
      </c>
      <c r="O667" s="7">
        <v>0.0</v>
      </c>
    </row>
    <row r="668" outlineLevel="1">
      <c r="B668" s="0" t="inlineStr">
        <is>
          <t xml:space="preserve">2023-01-04</t>
        </is>
      </c>
      <c r="C668" s="0" t="inlineStr">
        <is>
          <t xml:space="preserve">N00024-18-D-4331</t>
        </is>
      </c>
      <c r="D668" s="0" t="inlineStr">
        <is>
          <t xml:space="preserve">non_sub</t>
        </is>
      </c>
      <c r="E668" s="0" t="inlineStr">
        <is>
          <t xml:space="preserve">sustainment_maintenance</t>
        </is>
      </c>
      <c r="F668" s="0" t="inlineStr">
        <is>
          <t xml:space="preserve">EXCLUDE_REVIEW</t>
        </is>
      </c>
      <c r="G668" s="0" t="inlineStr">
        <is>
          <t xml:space="preserve">BC</t>
        </is>
      </c>
      <c r="H668" s="5">
        <v>0</v>
      </c>
      <c r="I668" s="5">
        <v>0</v>
      </c>
      <c r="J668" s="5">
        <v>1</v>
      </c>
      <c r="K668" s="5">
        <v>0.0</v>
      </c>
      <c r="L668" s="7">
        <v>0.0</v>
      </c>
      <c r="M668" s="7">
        <v>0.0</v>
      </c>
      <c r="N668" s="7">
        <v>0.95</v>
      </c>
      <c r="O668" s="7">
        <v>0.0</v>
      </c>
    </row>
    <row r="669" outlineLevel="1">
      <c r="B669" s="0" t="inlineStr">
        <is>
          <t xml:space="preserve">2023-02-22</t>
        </is>
      </c>
      <c r="C669" s="0" t="inlineStr">
        <is>
          <t xml:space="preserve">N00024-23-C-5404</t>
        </is>
      </c>
      <c r="D669" s="0" t="inlineStr">
        <is>
          <t xml:space="preserve">non_sub</t>
        </is>
      </c>
      <c r="E669" s="0" t="inlineStr">
        <is>
          <t xml:space="preserve">other</t>
        </is>
      </c>
      <c r="F669" s="0" t="inlineStr">
        <is>
          <t xml:space="preserve">EXCLUDE_REVIEW</t>
        </is>
      </c>
      <c r="G669" s="0" t="inlineStr">
        <is>
          <t xml:space="preserve">BC</t>
        </is>
      </c>
      <c r="H669" s="5">
        <v>0</v>
      </c>
      <c r="I669" s="5">
        <v>0</v>
      </c>
      <c r="J669" s="5">
        <v>1</v>
      </c>
      <c r="K669" s="5">
        <v>0.0</v>
      </c>
      <c r="L669" s="7">
        <v>0.0</v>
      </c>
      <c r="M669" s="7">
        <v>0.0</v>
      </c>
      <c r="N669" s="7">
        <v>1.0</v>
      </c>
      <c r="O669" s="7">
        <v>0.0</v>
      </c>
    </row>
    <row r="670" outlineLevel="1">
      <c r="B670" s="0" t="inlineStr">
        <is>
          <t xml:space="preserve">2023-08-01</t>
        </is>
      </c>
      <c r="C670" s="0" t="inlineStr">
        <is>
          <t xml:space="preserve">N00024-23-C-2305</t>
        </is>
      </c>
      <c r="D670" s="0" t="inlineStr">
        <is>
          <t xml:space="preserve">non_sub</t>
        </is>
      </c>
      <c r="E670" s="0" t="inlineStr">
        <is>
          <t xml:space="preserve">sustainment_maintenance</t>
        </is>
      </c>
      <c r="F670" s="0" t="inlineStr">
        <is>
          <t xml:space="preserve">EXCLUDE_REVIEW</t>
        </is>
      </c>
      <c r="G670" s="0" t="inlineStr">
        <is>
          <t xml:space="preserve">BC</t>
        </is>
      </c>
      <c r="H670" s="5">
        <v>0</v>
      </c>
      <c r="I670" s="5">
        <v>0</v>
      </c>
      <c r="J670" s="5">
        <v>1</v>
      </c>
      <c r="K670" s="5">
        <v>0.0</v>
      </c>
      <c r="L670" s="7">
        <v>0.0</v>
      </c>
      <c r="M670" s="7">
        <v>0.0</v>
      </c>
      <c r="N670" s="7">
        <v>0.79</v>
      </c>
      <c r="O670" s="7">
        <v>0.0</v>
      </c>
    </row>
    <row r="671" outlineLevel="1">
      <c r="B671" s="0" t="inlineStr">
        <is>
          <t xml:space="preserve">2023-08-01</t>
        </is>
      </c>
      <c r="C671" s="0" t="inlineStr">
        <is>
          <t xml:space="preserve">N00024-23-C-2307</t>
        </is>
      </c>
      <c r="D671" s="0" t="inlineStr">
        <is>
          <t xml:space="preserve">non_sub</t>
        </is>
      </c>
      <c r="E671" s="0" t="inlineStr">
        <is>
          <t xml:space="preserve">sustainment_maintenance</t>
        </is>
      </c>
      <c r="F671" s="0" t="inlineStr">
        <is>
          <t xml:space="preserve">EXCLUDE_REVIEW</t>
        </is>
      </c>
      <c r="G671" s="0" t="inlineStr">
        <is>
          <t xml:space="preserve">BC</t>
        </is>
      </c>
      <c r="H671" s="5">
        <v>0</v>
      </c>
      <c r="I671" s="5">
        <v>0</v>
      </c>
      <c r="J671" s="5">
        <v>1</v>
      </c>
      <c r="K671" s="5">
        <v>0.0</v>
      </c>
      <c r="L671" s="7">
        <v>0.0</v>
      </c>
      <c r="M671" s="7">
        <v>0.0</v>
      </c>
      <c r="N671" s="7">
        <v>0.77</v>
      </c>
      <c r="O671" s="7">
        <v>0.0</v>
      </c>
    </row>
    <row r="672" outlineLevel="1">
      <c r="B672" s="0" t="inlineStr">
        <is>
          <t xml:space="preserve">2023-09-29</t>
        </is>
      </c>
      <c r="C672" s="0" t="inlineStr">
        <is>
          <t xml:space="preserve">N00030-21-C-6019</t>
        </is>
      </c>
      <c r="D672" s="0" t="inlineStr">
        <is>
          <t xml:space="preserve">non_sub</t>
        </is>
      </c>
      <c r="E672" s="0" t="inlineStr">
        <is>
          <t xml:space="preserve">sustainment_maintenance</t>
        </is>
      </c>
      <c r="F672" s="0" t="inlineStr">
        <is>
          <t xml:space="preserve">EXCLUDE_REVIEW</t>
        </is>
      </c>
      <c r="G672" s="0" t="inlineStr">
        <is>
          <t xml:space="preserve">BC</t>
        </is>
      </c>
      <c r="H672" s="5">
        <v>0</v>
      </c>
      <c r="I672" s="5">
        <v>0</v>
      </c>
      <c r="J672" s="5">
        <v>1</v>
      </c>
      <c r="K672" s="5">
        <v>0.0</v>
      </c>
      <c r="L672" s="7">
        <v>0.0</v>
      </c>
      <c r="M672" s="7">
        <v>0.0</v>
      </c>
      <c r="N672" s="7">
        <v>1.0</v>
      </c>
      <c r="O672" s="7">
        <v>0.0</v>
      </c>
    </row>
    <row r="673" outlineLevel="1">
      <c r="B673" s="0" t="inlineStr">
        <is>
          <t xml:space="preserve">2024-04-03</t>
        </is>
      </c>
      <c r="C673" s="0" t="inlineStr">
        <is>
          <t xml:space="preserve">-</t>
        </is>
      </c>
      <c r="D673" s="0" t="inlineStr">
        <is>
          <t xml:space="preserve">non_sub</t>
        </is>
      </c>
      <c r="E673" s="0" t="inlineStr">
        <is>
          <t xml:space="preserve">other</t>
        </is>
      </c>
      <c r="F673" s="0" t="inlineStr">
        <is>
          <t xml:space="preserve">EXCLUDE_REVIEW</t>
        </is>
      </c>
      <c r="G673" s="0" t="inlineStr">
        <is>
          <t xml:space="preserve">BC</t>
        </is>
      </c>
      <c r="H673" s="5">
        <v>0</v>
      </c>
      <c r="I673" s="5">
        <v>0</v>
      </c>
      <c r="J673" s="5">
        <v>1</v>
      </c>
      <c r="K673" s="5">
        <v>0.0</v>
      </c>
      <c r="L673" s="7">
        <v>0.0</v>
      </c>
      <c r="M673" s="7">
        <v>0.0</v>
      </c>
      <c r="N673" s="7">
        <v>0.0</v>
      </c>
      <c r="O673" s="7">
        <v>0.0</v>
      </c>
    </row>
    <row r="674" outlineLevel="1">
      <c r="B674" s="0" t="inlineStr">
        <is>
          <t xml:space="preserve">2024-07-17</t>
        </is>
      </c>
      <c r="C674" s="0" t="inlineStr">
        <is>
          <t xml:space="preserve">N00024-22-C-2318</t>
        </is>
      </c>
      <c r="D674" s="0" t="inlineStr">
        <is>
          <t xml:space="preserve">non_sub</t>
        </is>
      </c>
      <c r="E674" s="0" t="inlineStr">
        <is>
          <t xml:space="preserve">other</t>
        </is>
      </c>
      <c r="F674" s="0" t="inlineStr">
        <is>
          <t xml:space="preserve">EXCLUDE_REVIEW</t>
        </is>
      </c>
      <c r="G674" s="0" t="inlineStr">
        <is>
          <t xml:space="preserve">BC</t>
        </is>
      </c>
      <c r="H674" s="5">
        <v>0</v>
      </c>
      <c r="I674" s="5">
        <v>0</v>
      </c>
      <c r="J674" s="5">
        <v>1</v>
      </c>
      <c r="K674" s="5">
        <v>0.0</v>
      </c>
      <c r="L674" s="7">
        <v>0.0</v>
      </c>
      <c r="M674" s="7">
        <v>0.04</v>
      </c>
      <c r="N674" s="7">
        <v>1.96</v>
      </c>
      <c r="O674" s="7">
        <v>0.0</v>
      </c>
    </row>
  </sheetData>
  <tableParts count="1">
    <tablePart r:id="rId1"/>
  </tableParts>
</worksheet>
</file>

<file path=xl/worksheets/sheet13.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40" customWidth="1"/>
    <col min="3" max="3" width="22" customWidth="1"/>
    <col min="4" max="4" width="12" customWidth="1"/>
    <col min="5" max="5" width="12" customWidth="1"/>
    <col min="6" max="6" width="30" customWidth="1"/>
    <col min="7" max="7" width="11" customWidth="1"/>
    <col min="8" max="8" width="11" customWidth="1"/>
    <col min="9" max="9" width="12" customWidth="1"/>
    <col min="10" max="10" width="22" customWidth="1"/>
    <col min="11" max="11" width="9" customWidth="1"/>
    <col min="12" max="12" width="7" customWidth="1"/>
    <col min="13" max="13" width="12"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s>
  <sheetData>
    <row r="1"/>
    <row r="2">
      <c r="B2" s="8" t="inlineStr">
        <is>
          <t xml:space="preserve">Entity Master</t>
        </is>
      </c>
      <c r="C2" s="8"/>
      <c r="D2" s="8"/>
      <c r="E2" s="8"/>
      <c r="F2" s="8"/>
      <c r="G2" s="8"/>
      <c r="H2" s="8"/>
      <c r="I2" s="8"/>
      <c r="J2" s="8"/>
      <c r="K2" s="8"/>
      <c r="L2" s="8"/>
    </row>
    <row r="4">
      <c r="B4" s="9" t="inlineStr">
        <is>
          <t xml:space="preserve">§1 - Supplier-addressable base</t>
        </is>
      </c>
      <c r="C4" s="9"/>
      <c r="D4" s="9"/>
      <c r="E4" s="9"/>
      <c r="F4" s="9"/>
      <c r="G4" s="9"/>
      <c r="H4" s="9"/>
      <c r="I4" s="9"/>
      <c r="J4" s="9"/>
      <c r="K4" s="9"/>
      <c r="L4" s="9"/>
    </row>
    <row r="6">
      <c r="B6" s="2" t="inlineStr">
        <is>
          <t xml:space="preserve">Measure</t>
        </is>
      </c>
      <c r="C6" s="22" t="inlineStr">
        <is>
          <t xml:space="preserve">$M / count</t>
        </is>
      </c>
    </row>
    <row r="7">
      <c r="B7" s="0" t="inlineStr">
        <is>
          <t xml:space="preserve">Total entities</t>
        </is>
      </c>
      <c r="C7" s="0">
        <v>928</v>
      </c>
    </row>
    <row r="8">
      <c r="B8" s="1" t="inlineStr">
        <is>
          <t xml:space="preserve">Supplier-addressable subaward total $M</t>
        </is>
      </c>
      <c r="C8" s="4">
        <f>'Entity Master'!C972</f>
      </c>
    </row>
    <row r="9">
      <c r="B9" s="0" t="inlineStr">
        <is>
          <t xml:space="preserve">Prime / co-prime total $M</t>
        </is>
      </c>
      <c r="C9" s="4">
        <f>'Entity Master'!C955+'Entity Master'!C956</f>
      </c>
    </row>
    <row r="10">
      <c r="B10" s="0" t="inlineStr">
        <is>
          <t xml:space="preserve">GFE / SIB total $M</t>
        </is>
      </c>
      <c r="C10" s="4">
        <f>'Entity Master'!C957</f>
      </c>
    </row>
    <row r="11">
      <c r="B11" s="0" t="inlineStr">
        <is>
          <t xml:space="preserve">Unbucketed supplier $M</t>
        </is>
      </c>
      <c r="C11" s="4">
        <f>'Entity Master'!C971</f>
      </c>
    </row>
    <row r="14">
      <c r="A14" s="0" t="inlineStr">
        <is>
          <t xml:space="preserve">x</t>
        </is>
      </c>
      <c r="B14" s="9" t="inlineStr">
        <is>
          <t xml:space="preserve">§2 - Entity classification (registry/NAICS-led; GDEB/Va/Col columns = gated work-type evidence, see Worktype by FY)</t>
        </is>
      </c>
      <c r="C14" s="9"/>
      <c r="D14" s="9"/>
      <c r="E14" s="9"/>
      <c r="F14" s="9"/>
      <c r="G14" s="9"/>
      <c r="H14" s="9"/>
      <c r="I14" s="9"/>
      <c r="J14" s="9"/>
      <c r="K14" s="9"/>
      <c r="L14" s="9"/>
      <c r="M14" s="9"/>
      <c r="N14" s="9"/>
      <c r="O14" s="9"/>
      <c r="P14" s="9"/>
      <c r="Q14" s="9"/>
      <c r="R14" s="9"/>
      <c r="S14" s="9"/>
      <c r="T14" s="9"/>
      <c r="U14" s="9"/>
    </row>
    <row r="16">
      <c r="B16" s="2" t="inlineStr">
        <is>
          <t xml:space="preserve">Vendor</t>
        </is>
      </c>
      <c r="C16" s="2" t="inlineStr">
        <is>
          <t xml:space="preserve">UEI</t>
        </is>
      </c>
      <c r="D16" s="2" t="inlineStr">
        <is>
          <t xml:space="preserve">Country</t>
        </is>
      </c>
      <c r="E16" s="2" t="inlineStr">
        <is>
          <t xml:space="preserve">NAICS-4</t>
        </is>
      </c>
      <c r="F16" s="2" t="inlineStr">
        <is>
          <t xml:space="preserve">NAICS desc</t>
        </is>
      </c>
      <c r="G16" s="22" t="inlineStr">
        <is>
          <t xml:space="preserve">$M</t>
        </is>
      </c>
      <c r="H16" s="2" t="inlineStr">
        <is>
          <t xml:space="preserve">Role</t>
        </is>
      </c>
      <c r="I16" s="2" t="inlineStr">
        <is>
          <t xml:space="preserve">Bucket</t>
        </is>
      </c>
      <c r="J16" s="2" t="inlineStr">
        <is>
          <t xml:space="preserve">Class rule</t>
        </is>
      </c>
      <c r="K16" s="22" t="inlineStr">
        <is>
          <t xml:space="preserve">Modular</t>
        </is>
      </c>
      <c r="L16" s="22" t="inlineStr">
        <is>
          <t xml:space="preserve">VLS</t>
        </is>
      </c>
      <c r="M16" s="22" t="inlineStr">
        <is>
          <t xml:space="preserve">GDEB $M</t>
        </is>
      </c>
      <c r="N16" s="22" t="inlineStr">
        <is>
          <t xml:space="preserve">Va FY22</t>
        </is>
      </c>
      <c r="O16" s="22" t="inlineStr">
        <is>
          <t xml:space="preserve">Va FY23</t>
        </is>
      </c>
      <c r="P16" s="22" t="inlineStr">
        <is>
          <t xml:space="preserve">Va FY24</t>
        </is>
      </c>
      <c r="Q16" s="22" t="inlineStr">
        <is>
          <t xml:space="preserve">Va FY25</t>
        </is>
      </c>
      <c r="R16" s="22" t="inlineStr">
        <is>
          <t xml:space="preserve">Col FY22</t>
        </is>
      </c>
      <c r="S16" s="22" t="inlineStr">
        <is>
          <t xml:space="preserve">Col FY23</t>
        </is>
      </c>
      <c r="T16" s="22" t="inlineStr">
        <is>
          <t xml:space="preserve">Col FY24</t>
        </is>
      </c>
      <c r="U16" s="22" t="inlineStr">
        <is>
          <t xml:space="preserve">Col FY25</t>
        </is>
      </c>
    </row>
    <row r="17" outlineLevel="1">
      <c r="B17" s="0" t="inlineStr">
        <is>
          <t xml:space="preserve">NORTHROP GRUMMAN CORPORATION</t>
        </is>
      </c>
      <c r="C17" s="0" t="inlineStr">
        <is>
          <t xml:space="preserve">LCV2N9FVV739</t>
        </is>
      </c>
      <c r="D17" s="0" t="inlineStr">
        <is>
          <t xml:space="preserve">-</t>
        </is>
      </c>
      <c r="E17" s="0" t="inlineStr">
        <is>
          <t xml:space="preserve">-</t>
        </is>
      </c>
      <c r="F17" s="0" t="inlineStr">
        <is>
          <t xml:space="preserve">-</t>
        </is>
      </c>
      <c r="G17" s="5">
        <v>1425.3336282799992</v>
      </c>
      <c r="H17" s="0" t="inlineStr">
        <is>
          <t xml:space="preserve">supplier</t>
        </is>
      </c>
      <c r="I17" s="0" t="inlineStr">
        <is>
          <t xml:space="preserve">electrical</t>
        </is>
      </c>
      <c r="J17" s="0" t="inlineStr">
        <is>
          <t xml:space="preserve">registry</t>
        </is>
      </c>
      <c r="K17" s="5">
        <v>0</v>
      </c>
      <c r="L17" s="5">
        <v>0</v>
      </c>
      <c r="M17" s="5">
        <v>1425.3336282799992</v>
      </c>
      <c r="N17" s="5">
        <v>51.525318399999996</v>
      </c>
      <c r="O17" s="5">
        <v>414.026038</v>
      </c>
      <c r="P17" s="5">
        <v>71.544</v>
      </c>
      <c r="Q17" s="5">
        <v>0.0</v>
      </c>
      <c r="R17" s="5">
        <v>4.5125815</v>
      </c>
      <c r="S17" s="5">
        <v>212.82903799999997</v>
      </c>
      <c r="T17" s="5">
        <v>125.30586177</v>
      </c>
      <c r="U17" s="5">
        <v>271.228717</v>
      </c>
    </row>
    <row r="18" outlineLevel="1">
      <c r="B18" s="0" t="inlineStr">
        <is>
          <t xml:space="preserve">LEONARDO SPA</t>
        </is>
      </c>
      <c r="C18" s="0" t="inlineStr">
        <is>
          <t xml:space="preserve">GXPHJRVG9MR7</t>
        </is>
      </c>
      <c r="D18" s="0" t="inlineStr">
        <is>
          <t xml:space="preserve">ITA</t>
        </is>
      </c>
      <c r="E18" s="0" t="inlineStr">
        <is>
          <t xml:space="preserve">3364</t>
        </is>
      </c>
      <c r="F18" s="0" t="inlineStr">
        <is>
          <t xml:space="preserve">Aircraft Manufacturing</t>
        </is>
      </c>
      <c r="G18" s="5">
        <v>404.38644646000006</v>
      </c>
      <c r="H18" s="0" t="inlineStr">
        <is>
          <t xml:space="preserve">supplier</t>
        </is>
      </c>
      <c r="I18" s="0" t="inlineStr">
        <is>
          <t xml:space="preserve">electrical</t>
        </is>
      </c>
      <c r="J18" s="0" t="inlineStr">
        <is>
          <t xml:space="preserve">registry</t>
        </is>
      </c>
      <c r="K18" s="5">
        <v>0</v>
      </c>
      <c r="L18" s="5">
        <v>0</v>
      </c>
      <c r="M18" s="5">
        <v>404.38644646000006</v>
      </c>
      <c r="N18" s="5">
        <v>-9.407952460000002</v>
      </c>
      <c r="O18" s="5">
        <v>0.6217624</v>
      </c>
      <c r="P18" s="5">
        <v>2.59740071</v>
      </c>
      <c r="Q18" s="5">
        <v>3.62387258</v>
      </c>
      <c r="R18" s="5">
        <v>0.17247315</v>
      </c>
      <c r="S18" s="5">
        <v>245.87678521000004</v>
      </c>
      <c r="T18" s="5">
        <v>151.60168568999998</v>
      </c>
      <c r="U18" s="5">
        <v>0.0</v>
      </c>
    </row>
    <row r="19" outlineLevel="1">
      <c r="B19" s="0" t="inlineStr">
        <is>
          <t xml:space="preserve">CURTISS-WRIGHT ELECTRO-MECHANICAL CORPORATION</t>
        </is>
      </c>
      <c r="C19" s="0" t="inlineStr">
        <is>
          <t xml:space="preserve">WYDAKCJ5K219</t>
        </is>
      </c>
      <c r="D19" s="0" t="inlineStr">
        <is>
          <t xml:space="preserve">USA</t>
        </is>
      </c>
      <c r="E19" s="0" t="inlineStr">
        <is>
          <t xml:space="preserve">3339</t>
        </is>
      </c>
      <c r="F19" s="0" t="inlineStr">
        <is>
          <t xml:space="preserve">Measuring, Dispensing, and Other Pumping Equipment Manufacturing</t>
        </is>
      </c>
      <c r="G19" s="5">
        <v>194.47737372000003</v>
      </c>
      <c r="H19" s="0" t="inlineStr">
        <is>
          <t xml:space="preserve">supplier</t>
        </is>
      </c>
      <c r="I19" s="0" t="inlineStr">
        <is>
          <t xml:space="preserve">piping</t>
        </is>
      </c>
      <c r="J19" s="0" t="inlineStr">
        <is>
          <t xml:space="preserve">registry</t>
        </is>
      </c>
      <c r="K19" s="5">
        <v>0</v>
      </c>
      <c r="L19" s="5">
        <v>0</v>
      </c>
      <c r="M19" s="5">
        <v>194.47737372000003</v>
      </c>
      <c r="N19" s="5">
        <v>9.03971799</v>
      </c>
      <c r="O19" s="5">
        <v>41.38770140999999</v>
      </c>
      <c r="P19" s="5">
        <v>0.0</v>
      </c>
      <c r="Q19" s="5">
        <v>4.25239232</v>
      </c>
      <c r="R19" s="5">
        <v>30.514753</v>
      </c>
      <c r="S19" s="5">
        <v>43.525065</v>
      </c>
      <c r="T19" s="5">
        <v>51.04297199999999</v>
      </c>
      <c r="U19" s="5">
        <v>14.714772</v>
      </c>
    </row>
    <row r="20" outlineLevel="1">
      <c r="B20" s="0" t="inlineStr">
        <is>
          <t xml:space="preserve">SCOT FORGE COMPANY</t>
        </is>
      </c>
      <c r="C20" s="0" t="inlineStr">
        <is>
          <t xml:space="preserve">N1PJDANWUJ61</t>
        </is>
      </c>
      <c r="D20" s="0" t="inlineStr">
        <is>
          <t xml:space="preserve">USA</t>
        </is>
      </c>
      <c r="E20" s="0" t="inlineStr">
        <is>
          <t xml:space="preserve">3321</t>
        </is>
      </c>
      <c r="F20" s="0" t="inlineStr">
        <is>
          <t xml:space="preserve">Iron and Steel Forging</t>
        </is>
      </c>
      <c r="G20" s="5">
        <v>182.25008899</v>
      </c>
      <c r="H20" s="0" t="inlineStr">
        <is>
          <t xml:space="preserve">supplier</t>
        </is>
      </c>
      <c r="I20" s="0" t="inlineStr">
        <is>
          <t xml:space="preserve">castings</t>
        </is>
      </c>
      <c r="J20" s="0" t="inlineStr">
        <is>
          <t xml:space="preserve">registry</t>
        </is>
      </c>
      <c r="K20" s="5">
        <v>0</v>
      </c>
      <c r="L20" s="5">
        <v>0</v>
      </c>
      <c r="M20" s="5">
        <v>182.25008899</v>
      </c>
      <c r="N20" s="5">
        <v>3.0361195200000006</v>
      </c>
      <c r="O20" s="5">
        <v>17.116562100000007</v>
      </c>
      <c r="P20" s="5">
        <v>8.964001099999999</v>
      </c>
      <c r="Q20" s="5">
        <v>23.25970345</v>
      </c>
      <c r="R20" s="5">
        <v>10.304909</v>
      </c>
      <c r="S20" s="5">
        <v>23.652795200000003</v>
      </c>
      <c r="T20" s="5">
        <v>43.759234800000016</v>
      </c>
      <c r="U20" s="5">
        <v>0.8084404000000001</v>
      </c>
    </row>
    <row r="21" outlineLevel="1">
      <c r="B21" s="0" t="inlineStr">
        <is>
          <t xml:space="preserve">RHOADS METAL FABRICATIONS, INC.</t>
        </is>
      </c>
      <c r="C21" s="0" t="inlineStr">
        <is>
          <t xml:space="preserve">KENVPMBVBT39</t>
        </is>
      </c>
      <c r="D21" s="0" t="inlineStr">
        <is>
          <t xml:space="preserve">-</t>
        </is>
      </c>
      <c r="E21" s="0" t="inlineStr">
        <is>
          <t xml:space="preserve">-</t>
        </is>
      </c>
      <c r="F21" s="0" t="inlineStr">
        <is>
          <t xml:space="preserve">-</t>
        </is>
      </c>
      <c r="G21" s="5">
        <v>141.90534268</v>
      </c>
      <c r="H21" s="0" t="inlineStr">
        <is>
          <t xml:space="preserve">supplier</t>
        </is>
      </c>
      <c r="I21" s="0" t="inlineStr">
        <is>
          <t xml:space="preserve">structural</t>
        </is>
      </c>
      <c r="J21" s="0" t="inlineStr">
        <is>
          <t xml:space="preserve">registry</t>
        </is>
      </c>
      <c r="K21" s="5">
        <v>1</v>
      </c>
      <c r="L21" s="5">
        <v>0</v>
      </c>
      <c r="M21" s="5">
        <v>141.90534268</v>
      </c>
      <c r="N21" s="5">
        <v>0.0214</v>
      </c>
      <c r="O21" s="5">
        <v>15.060196739999999</v>
      </c>
      <c r="P21" s="5">
        <v>1.227004</v>
      </c>
      <c r="Q21" s="5">
        <v>1.26</v>
      </c>
      <c r="R21" s="5">
        <v>0.007828879999999996</v>
      </c>
      <c r="S21" s="5">
        <v>84.32763226</v>
      </c>
      <c r="T21" s="5">
        <v>33.773903569999995</v>
      </c>
      <c r="U21" s="5">
        <v>6.22737723</v>
      </c>
    </row>
    <row r="22" outlineLevel="1">
      <c r="B22" s="0" t="inlineStr">
        <is>
          <t xml:space="preserve">DC FABRICATORS INC</t>
        </is>
      </c>
      <c r="C22" s="0" t="inlineStr">
        <is>
          <t xml:space="preserve">E8LNMDLEKM35</t>
        </is>
      </c>
      <c r="D22" s="0" t="inlineStr">
        <is>
          <t xml:space="preserve">USA</t>
        </is>
      </c>
      <c r="E22" s="0" t="inlineStr">
        <is>
          <t xml:space="preserve">3323</t>
        </is>
      </c>
      <c r="F22" s="0" t="inlineStr">
        <is>
          <t xml:space="preserve">Fabricated Structural Metal Manufacturing</t>
        </is>
      </c>
      <c r="G22" s="5">
        <v>125.67588263999998</v>
      </c>
      <c r="H22" s="0" t="inlineStr">
        <is>
          <t xml:space="preserve">supplier</t>
        </is>
      </c>
      <c r="I22" s="0" t="inlineStr">
        <is>
          <t xml:space="preserve">structural</t>
        </is>
      </c>
      <c r="J22" s="0" t="inlineStr">
        <is>
          <t xml:space="preserve">registry</t>
        </is>
      </c>
      <c r="K22" s="5">
        <v>1</v>
      </c>
      <c r="L22" s="5">
        <v>0</v>
      </c>
      <c r="M22" s="5">
        <v>125.67588263999998</v>
      </c>
      <c r="N22" s="5">
        <v>6.988434</v>
      </c>
      <c r="O22" s="5">
        <v>75.32723838000001</v>
      </c>
      <c r="P22" s="5">
        <v>6.2540960000000005</v>
      </c>
      <c r="Q22" s="5">
        <v>18.791985269999998</v>
      </c>
      <c r="R22" s="5">
        <v>0.8101451999999999</v>
      </c>
      <c r="S22" s="5">
        <v>4.412338</v>
      </c>
      <c r="T22" s="5">
        <v>11.87312779</v>
      </c>
      <c r="U22" s="5">
        <v>1.218518</v>
      </c>
    </row>
    <row r="23" outlineLevel="1">
      <c r="B23" s="0" t="inlineStr">
        <is>
          <t xml:space="preserve">ESCO TECHNOLOGIES INC.</t>
        </is>
      </c>
      <c r="C23" s="0" t="inlineStr">
        <is>
          <t xml:space="preserve">FLDEFFBLR5P3</t>
        </is>
      </c>
      <c r="D23" s="0" t="inlineStr">
        <is>
          <t xml:space="preserve">USA</t>
        </is>
      </c>
      <c r="E23" s="0" t="inlineStr">
        <is>
          <t xml:space="preserve">3252</t>
        </is>
      </c>
      <c r="F23" s="0" t="inlineStr">
        <is>
          <t xml:space="preserve">Synthetic Rubber Manufacturing</t>
        </is>
      </c>
      <c r="G23" s="5">
        <v>112.39094153000002</v>
      </c>
      <c r="H23" s="0" t="inlineStr">
        <is>
          <t xml:space="preserve">supplier</t>
        </is>
      </c>
      <c r="I23" s="0" t="inlineStr">
        <is>
          <t xml:space="preserve">coatings</t>
        </is>
      </c>
      <c r="J23" s="0" t="inlineStr">
        <is>
          <t xml:space="preserve">registry</t>
        </is>
      </c>
      <c r="K23" s="5">
        <v>0</v>
      </c>
      <c r="L23" s="5">
        <v>0</v>
      </c>
      <c r="M23" s="5">
        <v>112.39094153000002</v>
      </c>
      <c r="N23" s="5">
        <v>3.1975621300000006</v>
      </c>
      <c r="O23" s="5">
        <v>32.764668789999995</v>
      </c>
      <c r="P23" s="5">
        <v>0.7112851499999999</v>
      </c>
      <c r="Q23" s="5">
        <v>-0.17223017999999998</v>
      </c>
      <c r="R23" s="5">
        <v>0.038831910000000004</v>
      </c>
      <c r="S23" s="5">
        <v>0.15003746</v>
      </c>
      <c r="T23" s="5">
        <v>0.21446424999999997</v>
      </c>
      <c r="U23" s="5">
        <v>0.04024095</v>
      </c>
    </row>
    <row r="24" outlineLevel="1">
      <c r="B24" s="0" t="inlineStr">
        <is>
          <t xml:space="preserve">AUSTAL USA, LLC</t>
        </is>
      </c>
      <c r="C24" s="0" t="inlineStr">
        <is>
          <t xml:space="preserve">RG6LJJM6JBS3</t>
        </is>
      </c>
      <c r="D24" s="0" t="inlineStr">
        <is>
          <t xml:space="preserve">-</t>
        </is>
      </c>
      <c r="E24" s="0" t="inlineStr">
        <is>
          <t xml:space="preserve">-</t>
        </is>
      </c>
      <c r="F24" s="0" t="inlineStr">
        <is>
          <t xml:space="preserve">-</t>
        </is>
      </c>
      <c r="G24" s="5">
        <v>87.55535397999996</v>
      </c>
      <c r="H24" s="0" t="inlineStr">
        <is>
          <t xml:space="preserve">supplier</t>
        </is>
      </c>
      <c r="I24" s="0" t="inlineStr">
        <is>
          <t xml:space="preserve">structural</t>
        </is>
      </c>
      <c r="J24" s="0" t="inlineStr">
        <is>
          <t xml:space="preserve">registry</t>
        </is>
      </c>
      <c r="K24" s="5">
        <v>1</v>
      </c>
      <c r="L24" s="5">
        <v>0</v>
      </c>
      <c r="M24" s="5">
        <v>87.55535397999996</v>
      </c>
      <c r="N24" s="5">
        <v>0.0</v>
      </c>
      <c r="O24" s="5">
        <v>48.37094705</v>
      </c>
      <c r="P24" s="5">
        <v>14.85172774</v>
      </c>
      <c r="Q24" s="5">
        <v>0.0</v>
      </c>
      <c r="R24" s="5">
        <v>5.859715</v>
      </c>
      <c r="S24" s="5">
        <v>7.312510230000001</v>
      </c>
      <c r="T24" s="5">
        <v>11.16045396</v>
      </c>
      <c r="U24" s="5">
        <v>0.0</v>
      </c>
    </row>
    <row r="25" outlineLevel="1">
      <c r="B25" s="0" t="inlineStr">
        <is>
          <t xml:space="preserve">ROSYTH ROYAL DOCKYARD LIMITED</t>
        </is>
      </c>
      <c r="C25" s="0" t="inlineStr">
        <is>
          <t xml:space="preserve">LSMBJZFLN8L9</t>
        </is>
      </c>
      <c r="D25" s="0" t="inlineStr">
        <is>
          <t xml:space="preserve">GBR</t>
        </is>
      </c>
      <c r="E25" s="0" t="inlineStr">
        <is>
          <t xml:space="preserve">3366</t>
        </is>
      </c>
      <c r="F25" s="0" t="inlineStr">
        <is>
          <t xml:space="preserve">Ship Building and Repairing</t>
        </is>
      </c>
      <c r="G25" s="5">
        <v>83.98194283000001</v>
      </c>
      <c r="H25" s="0" t="inlineStr">
        <is>
          <t xml:space="preserve">foreign_fms</t>
        </is>
      </c>
      <c r="I25" s="0" t="inlineStr">
        <is>
          <t xml:space="preserve">-</t>
        </is>
      </c>
      <c r="J25" s="0" t="inlineStr">
        <is>
          <t xml:space="preserve">registry</t>
        </is>
      </c>
      <c r="K25" s="5">
        <v>0</v>
      </c>
      <c r="L25" s="5">
        <v>0</v>
      </c>
      <c r="M25" s="5">
        <v>83.98194283000001</v>
      </c>
      <c r="N25" s="5">
        <v>0.0</v>
      </c>
      <c r="O25" s="5">
        <v>0.0</v>
      </c>
      <c r="P25" s="5">
        <v>0.0</v>
      </c>
      <c r="Q25" s="5">
        <v>0.0</v>
      </c>
      <c r="R25" s="5">
        <v>0.0</v>
      </c>
      <c r="S25" s="5">
        <v>22.733710830000007</v>
      </c>
      <c r="T25" s="5">
        <v>61.248232</v>
      </c>
      <c r="U25" s="5">
        <v>0.0</v>
      </c>
    </row>
    <row r="26" outlineLevel="1">
      <c r="B26" s="0" t="inlineStr">
        <is>
          <t xml:space="preserve">W INTERNATIONAL, LLC</t>
        </is>
      </c>
      <c r="C26" s="0" t="inlineStr">
        <is>
          <t xml:space="preserve">XQW8RJNNAXX8</t>
        </is>
      </c>
      <c r="D26" s="0" t="inlineStr">
        <is>
          <t xml:space="preserve">USA</t>
        </is>
      </c>
      <c r="E26" s="0" t="inlineStr">
        <is>
          <t xml:space="preserve">3369</t>
        </is>
      </c>
      <c r="F26" s="0" t="inlineStr">
        <is>
          <t xml:space="preserve">Military Armored Vehicle, Tank, and Tank Component Manufacturing</t>
        </is>
      </c>
      <c r="G26" s="5">
        <v>82.60281895000003</v>
      </c>
      <c r="H26" s="0" t="inlineStr">
        <is>
          <t xml:space="preserve">supplier</t>
        </is>
      </c>
      <c r="I26" s="0" t="inlineStr">
        <is>
          <t xml:space="preserve">structural</t>
        </is>
      </c>
      <c r="J26" s="0" t="inlineStr">
        <is>
          <t xml:space="preserve">registry</t>
        </is>
      </c>
      <c r="K26" s="5">
        <v>1</v>
      </c>
      <c r="L26" s="5">
        <v>0</v>
      </c>
      <c r="M26" s="5">
        <v>82.60281895000003</v>
      </c>
      <c r="N26" s="5">
        <v>6.137467</v>
      </c>
      <c r="O26" s="5">
        <v>5.503512210000001</v>
      </c>
      <c r="P26" s="5">
        <v>7.2701582400000015</v>
      </c>
      <c r="Q26" s="5">
        <v>8.63128228</v>
      </c>
      <c r="R26" s="5">
        <v>13.15035438</v>
      </c>
      <c r="S26" s="5">
        <v>29.305467639999993</v>
      </c>
      <c r="T26" s="5">
        <v>0.9352188</v>
      </c>
      <c r="U26" s="5">
        <v>10.2551184</v>
      </c>
    </row>
    <row r="27" outlineLevel="1">
      <c r="B27" s="0" t="inlineStr">
        <is>
          <t xml:space="preserve">GRAHAM CORP</t>
        </is>
      </c>
      <c r="C27" s="0" t="inlineStr">
        <is>
          <t xml:space="preserve">F2LEAK3EK9R3</t>
        </is>
      </c>
      <c r="D27" s="0" t="inlineStr">
        <is>
          <t xml:space="preserve">USA</t>
        </is>
      </c>
      <c r="E27" s="0" t="inlineStr">
        <is>
          <t xml:space="preserve">3366</t>
        </is>
      </c>
      <c r="F27" s="0" t="inlineStr">
        <is>
          <t xml:space="preserve">Ship Building and Repairing</t>
        </is>
      </c>
      <c r="G27" s="5">
        <v>81.59495505999998</v>
      </c>
      <c r="H27" s="0" t="inlineStr">
        <is>
          <t xml:space="preserve">supplier</t>
        </is>
      </c>
      <c r="I27" s="0" t="inlineStr">
        <is>
          <t xml:space="preserve">piping</t>
        </is>
      </c>
      <c r="J27" s="0" t="inlineStr">
        <is>
          <t xml:space="preserve">registry</t>
        </is>
      </c>
      <c r="K27" s="5">
        <v>0</v>
      </c>
      <c r="L27" s="5">
        <v>0</v>
      </c>
      <c r="M27" s="5">
        <v>81.59495505999998</v>
      </c>
      <c r="N27" s="5">
        <v>0.0</v>
      </c>
      <c r="O27" s="5">
        <v>0.0</v>
      </c>
      <c r="P27" s="5">
        <v>0.0</v>
      </c>
      <c r="Q27" s="5">
        <v>0.0</v>
      </c>
      <c r="R27" s="5">
        <v>1.5995439999999999</v>
      </c>
      <c r="S27" s="5">
        <v>30.43814104</v>
      </c>
      <c r="T27" s="5">
        <v>41.90913801999999</v>
      </c>
      <c r="U27" s="5">
        <v>7.648132</v>
      </c>
    </row>
    <row r="28" outlineLevel="1">
      <c r="B28" s="0" t="inlineStr">
        <is>
          <t xml:space="preserve">ESCO TECHNOLOGIES INC.</t>
        </is>
      </c>
      <c r="C28" s="0" t="inlineStr">
        <is>
          <t xml:space="preserve">SX6BF52K2WB1</t>
        </is>
      </c>
      <c r="D28" s="0" t="inlineStr">
        <is>
          <t xml:space="preserve">USA</t>
        </is>
      </c>
      <c r="E28" s="0" t="inlineStr">
        <is>
          <t xml:space="preserve">5511</t>
        </is>
      </c>
      <c r="F28" s="0" t="inlineStr">
        <is>
          <t xml:space="preserve">Corporate, Subsidiary, and Regional Managing Offices</t>
        </is>
      </c>
      <c r="G28" s="5">
        <v>78.06274924000003</v>
      </c>
      <c r="H28" s="0" t="inlineStr">
        <is>
          <t xml:space="preserve">supplier</t>
        </is>
      </c>
      <c r="I28" s="0" t="inlineStr">
        <is>
          <t xml:space="preserve">piping</t>
        </is>
      </c>
      <c r="J28" s="0" t="inlineStr">
        <is>
          <t xml:space="preserve">registry</t>
        </is>
      </c>
      <c r="K28" s="5">
        <v>0</v>
      </c>
      <c r="L28" s="5">
        <v>0</v>
      </c>
      <c r="M28" s="5">
        <v>76.28177324000002</v>
      </c>
      <c r="N28" s="5">
        <v>0.74</v>
      </c>
      <c r="O28" s="5">
        <v>0.084264</v>
      </c>
      <c r="P28" s="5">
        <v>31.67759208</v>
      </c>
      <c r="Q28" s="5">
        <v>9.69780211</v>
      </c>
      <c r="R28" s="5">
        <v>8.133715</v>
      </c>
      <c r="S28" s="5">
        <v>2.6352350699999993</v>
      </c>
      <c r="T28" s="5">
        <v>6.620910980000001</v>
      </c>
      <c r="U28" s="5">
        <v>0.49422</v>
      </c>
    </row>
    <row r="29" outlineLevel="1">
      <c r="B29" s="0" t="inlineStr">
        <is>
          <t xml:space="preserve">W INTERNATIONAL SC, LLC</t>
        </is>
      </c>
      <c r="C29" s="0" t="inlineStr">
        <is>
          <t xml:space="preserve">Y6X3BDLEPNJ6</t>
        </is>
      </c>
      <c r="D29" s="0" t="inlineStr">
        <is>
          <t xml:space="preserve">USA</t>
        </is>
      </c>
      <c r="E29" s="0" t="inlineStr">
        <is>
          <t xml:space="preserve">3366</t>
        </is>
      </c>
      <c r="F29" s="0" t="inlineStr">
        <is>
          <t xml:space="preserve">Ship Building and Repairing</t>
        </is>
      </c>
      <c r="G29" s="5">
        <v>74.07565648</v>
      </c>
      <c r="H29" s="0" t="inlineStr">
        <is>
          <t xml:space="preserve">supplier</t>
        </is>
      </c>
      <c r="I29" s="0" t="inlineStr">
        <is>
          <t xml:space="preserve">structural</t>
        </is>
      </c>
      <c r="J29" s="0" t="inlineStr">
        <is>
          <t xml:space="preserve">registry</t>
        </is>
      </c>
      <c r="K29" s="5">
        <v>1</v>
      </c>
      <c r="L29" s="5">
        <v>0</v>
      </c>
      <c r="M29" s="5">
        <v>74.07565648</v>
      </c>
      <c r="N29" s="5">
        <v>-0.21518025</v>
      </c>
      <c r="O29" s="5">
        <v>0.0</v>
      </c>
      <c r="P29" s="5">
        <v>0.0</v>
      </c>
      <c r="Q29" s="5">
        <v>0.0</v>
      </c>
      <c r="R29" s="5">
        <v>-3.2574508399999997</v>
      </c>
      <c r="S29" s="5">
        <v>0.0</v>
      </c>
      <c r="T29" s="5">
        <v>0.0</v>
      </c>
      <c r="U29" s="5">
        <v>0.0</v>
      </c>
    </row>
    <row r="30" outlineLevel="1">
      <c r="B30" s="0" t="inlineStr">
        <is>
          <t xml:space="preserve">PRECISION CUSTOM COMPONENTS, LLC</t>
        </is>
      </c>
      <c r="C30" s="0" t="inlineStr">
        <is>
          <t xml:space="preserve">YD1GK53355R5</t>
        </is>
      </c>
      <c r="D30" s="0" t="inlineStr">
        <is>
          <t xml:space="preserve">USA</t>
        </is>
      </c>
      <c r="E30" s="0" t="inlineStr">
        <is>
          <t xml:space="preserve">3323</t>
        </is>
      </c>
      <c r="F30" s="0" t="inlineStr">
        <is>
          <t xml:space="preserve">Plate Work Manufacturing</t>
        </is>
      </c>
      <c r="G30" s="5">
        <v>68.84526475000001</v>
      </c>
      <c r="H30" s="0" t="inlineStr">
        <is>
          <t xml:space="preserve">supplier</t>
        </is>
      </c>
      <c r="I30" s="0" t="inlineStr">
        <is>
          <t xml:space="preserve">structural</t>
        </is>
      </c>
      <c r="J30" s="0" t="inlineStr">
        <is>
          <t xml:space="preserve">registry</t>
        </is>
      </c>
      <c r="K30" s="5">
        <v>1</v>
      </c>
      <c r="L30" s="5">
        <v>0</v>
      </c>
      <c r="M30" s="5">
        <v>68.84526475000001</v>
      </c>
      <c r="N30" s="5">
        <v>0.356938</v>
      </c>
      <c r="O30" s="5">
        <v>1.37030914</v>
      </c>
      <c r="P30" s="5">
        <v>20.48330514</v>
      </c>
      <c r="Q30" s="5">
        <v>30.58521027</v>
      </c>
      <c r="R30" s="5">
        <v>0.701369</v>
      </c>
      <c r="S30" s="5">
        <v>7.205609120000001</v>
      </c>
      <c r="T30" s="5">
        <v>1.5680280000000002</v>
      </c>
      <c r="U30" s="5">
        <v>0.29941</v>
      </c>
    </row>
    <row r="31" outlineLevel="1">
      <c r="B31" s="0" t="inlineStr">
        <is>
          <t xml:space="preserve">JOHNSON CONTROLS NAVY SYSTEMS, LLC</t>
        </is>
      </c>
      <c r="C31" s="0" t="inlineStr">
        <is>
          <t xml:space="preserve">SLD5KEGGLLZ3</t>
        </is>
      </c>
      <c r="D31" s="0" t="inlineStr">
        <is>
          <t xml:space="preserve">USA</t>
        </is>
      </c>
      <c r="E31" s="0" t="inlineStr">
        <is>
          <t xml:space="preserve">3334</t>
        </is>
      </c>
      <c r="F31" s="0" t="inlineStr">
        <is>
          <t xml:space="preserve">Air-Conditioning and Warm Air Heating Equipment and Commercial and Industrial Refrigeration Equipment Manufacturing</t>
        </is>
      </c>
      <c r="G31" s="5">
        <v>58.748168889999995</v>
      </c>
      <c r="H31" s="0" t="inlineStr">
        <is>
          <t xml:space="preserve">supplier</t>
        </is>
      </c>
      <c r="I31" s="0" t="inlineStr">
        <is>
          <t xml:space="preserve">hvac</t>
        </is>
      </c>
      <c r="J31" s="0" t="inlineStr">
        <is>
          <t xml:space="preserve">registry</t>
        </is>
      </c>
      <c r="K31" s="5">
        <v>0</v>
      </c>
      <c r="L31" s="5">
        <v>0</v>
      </c>
      <c r="M31" s="5">
        <v>58.748168889999995</v>
      </c>
      <c r="N31" s="5">
        <v>0.4153369</v>
      </c>
      <c r="O31" s="5">
        <v>14.427399999999999</v>
      </c>
      <c r="P31" s="5">
        <v>0.0</v>
      </c>
      <c r="Q31" s="5">
        <v>0.0</v>
      </c>
      <c r="R31" s="5">
        <v>11.37835633</v>
      </c>
      <c r="S31" s="5">
        <v>15.804967</v>
      </c>
      <c r="T31" s="5">
        <v>7.421</v>
      </c>
      <c r="U31" s="5">
        <v>0.0</v>
      </c>
    </row>
    <row r="32" outlineLevel="1">
      <c r="B32" s="0" t="inlineStr">
        <is>
          <t xml:space="preserve">OIL STATES INTERNATIONAL, INC.</t>
        </is>
      </c>
      <c r="C32" s="0" t="inlineStr">
        <is>
          <t xml:space="preserve">G9HKMXL5L973</t>
        </is>
      </c>
      <c r="D32" s="0" t="inlineStr">
        <is>
          <t xml:space="preserve">USA</t>
        </is>
      </c>
      <c r="E32" s="0" t="inlineStr">
        <is>
          <t xml:space="preserve">3262</t>
        </is>
      </c>
      <c r="F32" s="0" t="inlineStr">
        <is>
          <t xml:space="preserve">Rubber Product Manufacturing for Mechanical Use</t>
        </is>
      </c>
      <c r="G32" s="5">
        <v>58.608005490000004</v>
      </c>
      <c r="H32" s="0" t="inlineStr">
        <is>
          <t xml:space="preserve">supplier</t>
        </is>
      </c>
      <c r="I32" s="0" t="inlineStr">
        <is>
          <t xml:space="preserve">coatings</t>
        </is>
      </c>
      <c r="J32" s="0" t="inlineStr">
        <is>
          <t xml:space="preserve">registry</t>
        </is>
      </c>
      <c r="K32" s="5">
        <v>0</v>
      </c>
      <c r="L32" s="5">
        <v>0</v>
      </c>
      <c r="M32" s="5">
        <v>58.608005490000004</v>
      </c>
      <c r="N32" s="5">
        <v>-0.0504155</v>
      </c>
      <c r="O32" s="5">
        <v>0.0</v>
      </c>
      <c r="P32" s="5">
        <v>0.0</v>
      </c>
      <c r="Q32" s="5">
        <v>0.0</v>
      </c>
      <c r="R32" s="5">
        <v>0.10764</v>
      </c>
      <c r="S32" s="5">
        <v>0.0</v>
      </c>
      <c r="T32" s="5">
        <v>0.0</v>
      </c>
      <c r="U32" s="5">
        <v>0.0</v>
      </c>
    </row>
    <row r="33" outlineLevel="1">
      <c r="B33" s="0" t="inlineStr">
        <is>
          <t xml:space="preserve">GOODRICH CORP</t>
        </is>
      </c>
      <c r="C33" s="0" t="inlineStr">
        <is>
          <t xml:space="preserve">CBMZJ3Z5SC89</t>
        </is>
      </c>
      <c r="D33" s="0" t="inlineStr">
        <is>
          <t xml:space="preserve">-</t>
        </is>
      </c>
      <c r="E33" s="0" t="inlineStr">
        <is>
          <t xml:space="preserve">-</t>
        </is>
      </c>
      <c r="F33" s="0" t="inlineStr">
        <is>
          <t xml:space="preserve">-</t>
        </is>
      </c>
      <c r="G33" s="5">
        <v>55.43808843</v>
      </c>
      <c r="H33" s="0" t="inlineStr">
        <is>
          <t xml:space="preserve">supplier</t>
        </is>
      </c>
      <c r="I33" s="0" t="inlineStr">
        <is>
          <t xml:space="preserve">coatings</t>
        </is>
      </c>
      <c r="J33" s="0" t="inlineStr">
        <is>
          <t xml:space="preserve">registry</t>
        </is>
      </c>
      <c r="K33" s="5">
        <v>0</v>
      </c>
      <c r="L33" s="5">
        <v>0</v>
      </c>
      <c r="M33" s="5">
        <v>55.43808843</v>
      </c>
      <c r="N33" s="5">
        <v>0.0</v>
      </c>
      <c r="O33" s="5">
        <v>50.44220904</v>
      </c>
      <c r="P33" s="5">
        <v>0.420284</v>
      </c>
      <c r="Q33" s="5">
        <v>0.0</v>
      </c>
      <c r="R33" s="5">
        <v>0.0</v>
      </c>
      <c r="S33" s="5">
        <v>1.23665139</v>
      </c>
      <c r="T33" s="5">
        <v>3.338944</v>
      </c>
      <c r="U33" s="5">
        <v>0.0</v>
      </c>
    </row>
    <row r="34" outlineLevel="1">
      <c r="B34" s="0" t="inlineStr">
        <is>
          <t xml:space="preserve">GLOBE COMPOSITE SOLUTIONS, LLC</t>
        </is>
      </c>
      <c r="C34" s="0" t="inlineStr">
        <is>
          <t xml:space="preserve">FLDEFFBLR5P3</t>
        </is>
      </c>
      <c r="D34" s="0" t="inlineStr">
        <is>
          <t xml:space="preserve">USA</t>
        </is>
      </c>
      <c r="E34" s="0" t="inlineStr">
        <is>
          <t xml:space="preserve">3252</t>
        </is>
      </c>
      <c r="F34" s="0" t="inlineStr">
        <is>
          <t xml:space="preserve">Synthetic Rubber Manufacturing</t>
        </is>
      </c>
      <c r="G34" s="5">
        <v>54.17056183</v>
      </c>
      <c r="H34" s="0" t="inlineStr">
        <is>
          <t xml:space="preserve">supplier</t>
        </is>
      </c>
      <c r="I34" s="0" t="inlineStr">
        <is>
          <t xml:space="preserve">coatings</t>
        </is>
      </c>
      <c r="J34" s="0" t="inlineStr">
        <is>
          <t xml:space="preserve">registry</t>
        </is>
      </c>
      <c r="K34" s="5">
        <v>0</v>
      </c>
      <c r="L34" s="5">
        <v>0</v>
      </c>
      <c r="M34" s="5">
        <v>54.17056183</v>
      </c>
      <c r="N34" s="5">
        <v>0.0</v>
      </c>
      <c r="O34" s="5">
        <v>29.472224770000004</v>
      </c>
      <c r="P34" s="5">
        <v>24.698337060000004</v>
      </c>
      <c r="Q34" s="5">
        <v>0.0</v>
      </c>
      <c r="R34" s="5">
        <v>0.0</v>
      </c>
      <c r="S34" s="5">
        <v>0.0</v>
      </c>
      <c r="T34" s="5">
        <v>0.0</v>
      </c>
      <c r="U34" s="5">
        <v>0.0</v>
      </c>
    </row>
    <row r="35" outlineLevel="1">
      <c r="B35" s="0" t="inlineStr">
        <is>
          <t xml:space="preserve">LEONARDO SPA</t>
        </is>
      </c>
      <c r="C35" s="0" t="inlineStr">
        <is>
          <t xml:space="preserve">CPHLNLBGWFN5</t>
        </is>
      </c>
      <c r="D35" s="0" t="inlineStr">
        <is>
          <t xml:space="preserve">ITA</t>
        </is>
      </c>
      <c r="E35" s="0" t="inlineStr">
        <is>
          <t xml:space="preserve">3364</t>
        </is>
      </c>
      <c r="F35" s="0" t="inlineStr">
        <is>
          <t xml:space="preserve">Aircraft Manufacturing</t>
        </is>
      </c>
      <c r="G35" s="5">
        <v>51.385030519999994</v>
      </c>
      <c r="H35" s="0" t="inlineStr">
        <is>
          <t xml:space="preserve">supplier</t>
        </is>
      </c>
      <c r="I35" s="0" t="inlineStr">
        <is>
          <t xml:space="preserve">electrical</t>
        </is>
      </c>
      <c r="J35" s="0" t="inlineStr">
        <is>
          <t xml:space="preserve">registry</t>
        </is>
      </c>
      <c r="K35" s="5">
        <v>0</v>
      </c>
      <c r="L35" s="5">
        <v>0</v>
      </c>
      <c r="M35" s="5">
        <v>0.25248351999999996</v>
      </c>
      <c r="N35" s="5">
        <v>0.048079</v>
      </c>
      <c r="O35" s="5">
        <v>0.12850632</v>
      </c>
      <c r="P35" s="5">
        <v>0.0</v>
      </c>
      <c r="Q35" s="5">
        <v>0.0</v>
      </c>
      <c r="R35" s="5">
        <v>0.0</v>
      </c>
      <c r="S35" s="5">
        <v>0.0349482</v>
      </c>
      <c r="T35" s="5">
        <v>0.0</v>
      </c>
      <c r="U35" s="5">
        <v>0.04095</v>
      </c>
    </row>
    <row r="36" outlineLevel="1">
      <c r="B36" s="0" t="inlineStr">
        <is>
          <t xml:space="preserve">ADVANCE MFG.CO., INC.</t>
        </is>
      </c>
      <c r="C36" s="0" t="inlineStr">
        <is>
          <t xml:space="preserve">MMCKJNNMSG23</t>
        </is>
      </c>
      <c r="D36" s="0" t="inlineStr">
        <is>
          <t xml:space="preserve">USA</t>
        </is>
      </c>
      <c r="E36" s="0" t="inlineStr">
        <is>
          <t xml:space="preserve">3327</t>
        </is>
      </c>
      <c r="F36" s="0" t="inlineStr">
        <is>
          <t xml:space="preserve">Machine Shops</t>
        </is>
      </c>
      <c r="G36" s="5">
        <v>51.20058849000001</v>
      </c>
      <c r="H36" s="0" t="inlineStr">
        <is>
          <t xml:space="preserve">supplier</t>
        </is>
      </c>
      <c r="I36" s="0" t="inlineStr">
        <is>
          <t xml:space="preserve">machining</t>
        </is>
      </c>
      <c r="J36" s="0" t="inlineStr">
        <is>
          <t xml:space="preserve">registry</t>
        </is>
      </c>
      <c r="K36" s="5">
        <v>0</v>
      </c>
      <c r="L36" s="5">
        <v>0</v>
      </c>
      <c r="M36" s="5">
        <v>51.20058849000001</v>
      </c>
      <c r="N36" s="5">
        <v>6.9757749800000015</v>
      </c>
      <c r="O36" s="5">
        <v>4.049257000000001</v>
      </c>
      <c r="P36" s="5">
        <v>2.486564</v>
      </c>
      <c r="Q36" s="5">
        <v>1.040303</v>
      </c>
      <c r="R36" s="5">
        <v>2.3937230000000005</v>
      </c>
      <c r="S36" s="5">
        <v>5.831143999999999</v>
      </c>
      <c r="T36" s="5">
        <v>6.916564000000001</v>
      </c>
      <c r="U36" s="5">
        <v>0.52885</v>
      </c>
    </row>
    <row r="37" outlineLevel="1">
      <c r="B37" s="0" t="inlineStr">
        <is>
          <t xml:space="preserve">HUNT VALVE COMPANY, INC.</t>
        </is>
      </c>
      <c r="C37" s="0" t="inlineStr">
        <is>
          <t xml:space="preserve">DJG7NEG7QRK5</t>
        </is>
      </c>
      <c r="D37" s="0" t="inlineStr">
        <is>
          <t xml:space="preserve">-</t>
        </is>
      </c>
      <c r="E37" s="0" t="inlineStr">
        <is>
          <t xml:space="preserve">-</t>
        </is>
      </c>
      <c r="F37" s="0" t="inlineStr">
        <is>
          <t xml:space="preserve">-</t>
        </is>
      </c>
      <c r="G37" s="5">
        <v>50.36290593999998</v>
      </c>
      <c r="H37" s="0" t="inlineStr">
        <is>
          <t xml:space="preserve">supplier</t>
        </is>
      </c>
      <c r="I37" s="0" t="inlineStr">
        <is>
          <t xml:space="preserve">piping</t>
        </is>
      </c>
      <c r="J37" s="0" t="inlineStr">
        <is>
          <t xml:space="preserve">registry</t>
        </is>
      </c>
      <c r="K37" s="5">
        <v>0</v>
      </c>
      <c r="L37" s="5">
        <v>0</v>
      </c>
      <c r="M37" s="5">
        <v>50.36290593999998</v>
      </c>
      <c r="N37" s="5">
        <v>0.21765700000000002</v>
      </c>
      <c r="O37" s="5">
        <v>2.12116881</v>
      </c>
      <c r="P37" s="5">
        <v>13.733139780000002</v>
      </c>
      <c r="Q37" s="5">
        <v>0.713612</v>
      </c>
      <c r="R37" s="5">
        <v>3.5721380000000003</v>
      </c>
      <c r="S37" s="5">
        <v>3.7111943500000004</v>
      </c>
      <c r="T37" s="5">
        <v>6.986702479999999</v>
      </c>
      <c r="U37" s="5">
        <v>9.35222762</v>
      </c>
    </row>
    <row r="38" outlineLevel="1">
      <c r="B38" s="0" t="inlineStr">
        <is>
          <t xml:space="preserve">PORTLAND VALVE LLC</t>
        </is>
      </c>
      <c r="C38" s="0" t="inlineStr">
        <is>
          <t xml:space="preserve">JEP5GQGFPUL9</t>
        </is>
      </c>
      <c r="D38" s="0" t="inlineStr">
        <is>
          <t xml:space="preserve">USA</t>
        </is>
      </c>
      <c r="E38" s="0" t="inlineStr">
        <is>
          <t xml:space="preserve">3329</t>
        </is>
      </c>
      <c r="F38" s="0" t="inlineStr">
        <is>
          <t xml:space="preserve">Industrial Valve Manufacturing</t>
        </is>
      </c>
      <c r="G38" s="5">
        <v>49.765313549999995</v>
      </c>
      <c r="H38" s="0" t="inlineStr">
        <is>
          <t xml:space="preserve">supplier</t>
        </is>
      </c>
      <c r="I38" s="0" t="inlineStr">
        <is>
          <t xml:space="preserve">piping</t>
        </is>
      </c>
      <c r="J38" s="0" t="inlineStr">
        <is>
          <t xml:space="preserve">registry</t>
        </is>
      </c>
      <c r="K38" s="5">
        <v>0</v>
      </c>
      <c r="L38" s="5">
        <v>0</v>
      </c>
      <c r="M38" s="5">
        <v>49.765313549999995</v>
      </c>
      <c r="N38" s="5">
        <v>0.8573609000000001</v>
      </c>
      <c r="O38" s="5">
        <v>3.40058974</v>
      </c>
      <c r="P38" s="5">
        <v>29.47828943</v>
      </c>
      <c r="Q38" s="5">
        <v>1.2732544000000001</v>
      </c>
      <c r="R38" s="5">
        <v>1.5450679999999999</v>
      </c>
      <c r="S38" s="5">
        <v>1.0671500000000003</v>
      </c>
      <c r="T38" s="5">
        <v>10.003498970000003</v>
      </c>
      <c r="U38" s="5">
        <v>2.14010211</v>
      </c>
    </row>
    <row r="39" outlineLevel="1">
      <c r="B39" s="0" t="inlineStr">
        <is>
          <t xml:space="preserve">BABCOCK &amp; WILCOX COMPANY, THE</t>
        </is>
      </c>
      <c r="C39" s="0" t="inlineStr">
        <is>
          <t xml:space="preserve">CMT4S6G76QB5</t>
        </is>
      </c>
      <c r="D39" s="0" t="inlineStr">
        <is>
          <t xml:space="preserve">-</t>
        </is>
      </c>
      <c r="E39" s="0" t="inlineStr">
        <is>
          <t xml:space="preserve">-</t>
        </is>
      </c>
      <c r="F39" s="0" t="inlineStr">
        <is>
          <t xml:space="preserve">-</t>
        </is>
      </c>
      <c r="G39" s="5">
        <v>49.318585</v>
      </c>
      <c r="H39" s="0" t="inlineStr">
        <is>
          <t xml:space="preserve">gfe_sib</t>
        </is>
      </c>
      <c r="I39" s="0" t="inlineStr">
        <is>
          <t xml:space="preserve">-</t>
        </is>
      </c>
      <c r="J39" s="0" t="inlineStr">
        <is>
          <t xml:space="preserve">registry</t>
        </is>
      </c>
      <c r="K39" s="5">
        <v>0</v>
      </c>
      <c r="L39" s="5">
        <v>0</v>
      </c>
      <c r="M39" s="5">
        <v>0.0</v>
      </c>
      <c r="N39" s="5">
        <v>0.0</v>
      </c>
      <c r="O39" s="5">
        <v>0.0</v>
      </c>
      <c r="P39" s="5">
        <v>0.0</v>
      </c>
      <c r="Q39" s="5">
        <v>0.0</v>
      </c>
      <c r="R39" s="5">
        <v>0.0</v>
      </c>
      <c r="S39" s="5">
        <v>0.0</v>
      </c>
      <c r="T39" s="5">
        <v>0.0</v>
      </c>
      <c r="U39" s="5">
        <v>0.0</v>
      </c>
    </row>
    <row r="40" outlineLevel="1">
      <c r="B40" s="0" t="inlineStr">
        <is>
          <t xml:space="preserve">CIRCOR INTERNATIONAL, INC.</t>
        </is>
      </c>
      <c r="C40" s="0" t="inlineStr">
        <is>
          <t xml:space="preserve">JEP5GQGFPUL9</t>
        </is>
      </c>
      <c r="D40" s="0" t="inlineStr">
        <is>
          <t xml:space="preserve">USA</t>
        </is>
      </c>
      <c r="E40" s="0" t="inlineStr">
        <is>
          <t xml:space="preserve">3329</t>
        </is>
      </c>
      <c r="F40" s="0" t="inlineStr">
        <is>
          <t xml:space="preserve">Industrial Valve Manufacturing</t>
        </is>
      </c>
      <c r="G40" s="5">
        <v>47.157809520000015</v>
      </c>
      <c r="H40" s="0" t="inlineStr">
        <is>
          <t xml:space="preserve">supplier</t>
        </is>
      </c>
      <c r="I40" s="0" t="inlineStr">
        <is>
          <t xml:space="preserve">piping</t>
        </is>
      </c>
      <c r="J40" s="0" t="inlineStr">
        <is>
          <t xml:space="preserve">registry</t>
        </is>
      </c>
      <c r="K40" s="5">
        <v>0</v>
      </c>
      <c r="L40" s="5">
        <v>0</v>
      </c>
      <c r="M40" s="5">
        <v>47.157809520000015</v>
      </c>
      <c r="N40" s="5">
        <v>0.25830000000000003</v>
      </c>
      <c r="O40" s="5">
        <v>0.0</v>
      </c>
      <c r="P40" s="5">
        <v>0.0</v>
      </c>
      <c r="Q40" s="5">
        <v>0.0</v>
      </c>
      <c r="R40" s="5">
        <v>2.272455</v>
      </c>
      <c r="S40" s="5">
        <v>0.0</v>
      </c>
      <c r="T40" s="5">
        <v>0.0</v>
      </c>
      <c r="U40" s="5">
        <v>0.0</v>
      </c>
    </row>
    <row r="41" outlineLevel="1">
      <c r="B41" s="0" t="inlineStr">
        <is>
          <t xml:space="preserve">CURTISS-WRIGHT FLOW CONTROL CORPORATION</t>
        </is>
      </c>
      <c r="C41" s="0" t="inlineStr">
        <is>
          <t xml:space="preserve">NYGUEDY27AM8</t>
        </is>
      </c>
      <c r="D41" s="0" t="inlineStr">
        <is>
          <t xml:space="preserve">-</t>
        </is>
      </c>
      <c r="E41" s="0" t="inlineStr">
        <is>
          <t xml:space="preserve">-</t>
        </is>
      </c>
      <c r="F41" s="0" t="inlineStr">
        <is>
          <t xml:space="preserve">-</t>
        </is>
      </c>
      <c r="G41" s="5">
        <v>45.341686079999995</v>
      </c>
      <c r="H41" s="0" t="inlineStr">
        <is>
          <t xml:space="preserve">supplier</t>
        </is>
      </c>
      <c r="I41" s="0" t="inlineStr">
        <is>
          <t xml:space="preserve">piping</t>
        </is>
      </c>
      <c r="J41" s="0" t="inlineStr">
        <is>
          <t xml:space="preserve">registry</t>
        </is>
      </c>
      <c r="K41" s="5">
        <v>0</v>
      </c>
      <c r="L41" s="5">
        <v>0</v>
      </c>
      <c r="M41" s="5">
        <v>45.341686079999995</v>
      </c>
      <c r="N41" s="5">
        <v>0.2458296</v>
      </c>
      <c r="O41" s="5">
        <v>5.8231935299999975</v>
      </c>
      <c r="P41" s="5">
        <v>29.671518540000005</v>
      </c>
      <c r="Q41" s="5">
        <v>0.26377075999999994</v>
      </c>
      <c r="R41" s="5">
        <v>1.955094</v>
      </c>
      <c r="S41" s="5">
        <v>1.330748</v>
      </c>
      <c r="T41" s="5">
        <v>6.197957669999999</v>
      </c>
      <c r="U41" s="5">
        <v>-0.14642602</v>
      </c>
    </row>
    <row r="42" outlineLevel="1">
      <c r="B42" s="0" t="inlineStr">
        <is>
          <t xml:space="preserve">TELEDYNE TECHNOLOGIES INCORPORATED</t>
        </is>
      </c>
      <c r="C42" s="0" t="inlineStr">
        <is>
          <t xml:space="preserve">PAH8M4BJACA5</t>
        </is>
      </c>
      <c r="D42" s="0" t="inlineStr">
        <is>
          <t xml:space="preserve">USA</t>
        </is>
      </c>
      <c r="E42" s="0" t="inlineStr">
        <is>
          <t xml:space="preserve">3344</t>
        </is>
      </c>
      <c r="F42" s="0" t="inlineStr">
        <is>
          <t xml:space="preserve">Electronic Connector Manufacturing</t>
        </is>
      </c>
      <c r="G42" s="5">
        <v>44.510540030000016</v>
      </c>
      <c r="H42" s="0" t="inlineStr">
        <is>
          <t xml:space="preserve">mission_systems</t>
        </is>
      </c>
      <c r="I42" s="0" t="inlineStr">
        <is>
          <t xml:space="preserve">-</t>
        </is>
      </c>
      <c r="J42" s="0" t="inlineStr">
        <is>
          <t xml:space="preserve">registry</t>
        </is>
      </c>
      <c r="K42" s="5">
        <v>0</v>
      </c>
      <c r="L42" s="5">
        <v>0</v>
      </c>
      <c r="M42" s="5">
        <v>44.510540030000016</v>
      </c>
      <c r="N42" s="5">
        <v>0.427239</v>
      </c>
      <c r="O42" s="5">
        <v>0.0</v>
      </c>
      <c r="P42" s="5">
        <v>0.0</v>
      </c>
      <c r="Q42" s="5">
        <v>0.0</v>
      </c>
      <c r="R42" s="5">
        <v>0.071007</v>
      </c>
      <c r="S42" s="5">
        <v>0.0</v>
      </c>
      <c r="T42" s="5">
        <v>0.0</v>
      </c>
      <c r="U42" s="5">
        <v>0.0</v>
      </c>
    </row>
    <row r="43" outlineLevel="1">
      <c r="B43" s="0" t="inlineStr">
        <is>
          <t xml:space="preserve">CURTISS-WRIGHT CORPORATION</t>
        </is>
      </c>
      <c r="C43" s="0" t="inlineStr">
        <is>
          <t xml:space="preserve">WYDAKCJ5K219</t>
        </is>
      </c>
      <c r="D43" s="0" t="inlineStr">
        <is>
          <t xml:space="preserve">USA</t>
        </is>
      </c>
      <c r="E43" s="0" t="inlineStr">
        <is>
          <t xml:space="preserve">3339</t>
        </is>
      </c>
      <c r="F43" s="0" t="inlineStr">
        <is>
          <t xml:space="preserve">Measuring, Dispensing, and Other Pumping Equipment Manufacturing</t>
        </is>
      </c>
      <c r="G43" s="5">
        <v>42.10576899999999</v>
      </c>
      <c r="H43" s="0" t="inlineStr">
        <is>
          <t xml:space="preserve">supplier</t>
        </is>
      </c>
      <c r="I43" s="0" t="inlineStr">
        <is>
          <t xml:space="preserve">piping</t>
        </is>
      </c>
      <c r="J43" s="0" t="inlineStr">
        <is>
          <t xml:space="preserve">registry</t>
        </is>
      </c>
      <c r="K43" s="5">
        <v>0</v>
      </c>
      <c r="L43" s="5">
        <v>0</v>
      </c>
      <c r="M43" s="5">
        <v>31.828884999999993</v>
      </c>
      <c r="N43" s="5">
        <v>0.0</v>
      </c>
      <c r="O43" s="5">
        <v>0.0</v>
      </c>
      <c r="P43" s="5">
        <v>0.0</v>
      </c>
      <c r="Q43" s="5">
        <v>0.0</v>
      </c>
      <c r="R43" s="5">
        <v>3.5149369999999998</v>
      </c>
      <c r="S43" s="5">
        <v>0.0</v>
      </c>
      <c r="T43" s="5">
        <v>0.0</v>
      </c>
      <c r="U43" s="5">
        <v>0.0</v>
      </c>
    </row>
    <row r="44" outlineLevel="1">
      <c r="B44" s="0" t="inlineStr">
        <is>
          <t xml:space="preserve">CP INDUSTRIES HOLDINGS, INC</t>
        </is>
      </c>
      <c r="C44" s="0" t="inlineStr">
        <is>
          <t xml:space="preserve">MSYWUDGYPKF5</t>
        </is>
      </c>
      <c r="D44" s="0" t="inlineStr">
        <is>
          <t xml:space="preserve">-</t>
        </is>
      </c>
      <c r="E44" s="0" t="inlineStr">
        <is>
          <t xml:space="preserve">-</t>
        </is>
      </c>
      <c r="F44" s="0" t="inlineStr">
        <is>
          <t xml:space="preserve">-</t>
        </is>
      </c>
      <c r="G44" s="5">
        <v>40.810170969999994</v>
      </c>
      <c r="H44" s="0" t="inlineStr">
        <is>
          <t xml:space="preserve">supplier</t>
        </is>
      </c>
      <c r="I44" s="0" t="inlineStr">
        <is>
          <t xml:space="preserve">structural</t>
        </is>
      </c>
      <c r="J44" s="0" t="inlineStr">
        <is>
          <t xml:space="preserve">registry</t>
        </is>
      </c>
      <c r="K44" s="5">
        <v>0</v>
      </c>
      <c r="L44" s="5">
        <v>0</v>
      </c>
      <c r="M44" s="5">
        <v>40.810170969999994</v>
      </c>
      <c r="N44" s="5">
        <v>0.0</v>
      </c>
      <c r="O44" s="5">
        <v>4.12158115</v>
      </c>
      <c r="P44" s="5">
        <v>0.0</v>
      </c>
      <c r="Q44" s="5">
        <v>0.0</v>
      </c>
      <c r="R44" s="5">
        <v>0.0</v>
      </c>
      <c r="S44" s="5">
        <v>17.194590039999998</v>
      </c>
      <c r="T44" s="5">
        <v>4.42009712</v>
      </c>
      <c r="U44" s="5">
        <v>11.13188078</v>
      </c>
    </row>
    <row r="45" outlineLevel="1">
      <c r="B45" s="0" t="inlineStr">
        <is>
          <t xml:space="preserve">KME AMERICA MARINE TUBE &amp; FITTING, LLC</t>
        </is>
      </c>
      <c r="C45" s="0" t="inlineStr">
        <is>
          <t xml:space="preserve">DK14KTLXA9M5</t>
        </is>
      </c>
      <c r="D45" s="0" t="inlineStr">
        <is>
          <t xml:space="preserve">USA</t>
        </is>
      </c>
      <c r="E45" s="0" t="inlineStr">
        <is>
          <t xml:space="preserve">3329</t>
        </is>
      </c>
      <c r="F45" s="0" t="inlineStr">
        <is>
          <t xml:space="preserve">Other Metal Valve and Pipe Fitting Manufacturing</t>
        </is>
      </c>
      <c r="G45" s="5">
        <v>39.280952600000035</v>
      </c>
      <c r="H45" s="0" t="inlineStr">
        <is>
          <t xml:space="preserve">supplier</t>
        </is>
      </c>
      <c r="I45" s="0" t="inlineStr">
        <is>
          <t xml:space="preserve">piping</t>
        </is>
      </c>
      <c r="J45" s="0" t="inlineStr">
        <is>
          <t xml:space="preserve">registry</t>
        </is>
      </c>
      <c r="K45" s="5">
        <v>0</v>
      </c>
      <c r="L45" s="5">
        <v>0</v>
      </c>
      <c r="M45" s="5">
        <v>39.280952600000035</v>
      </c>
      <c r="N45" s="5">
        <v>0.8801594499999998</v>
      </c>
      <c r="O45" s="5">
        <v>2.312333029999999</v>
      </c>
      <c r="P45" s="5">
        <v>0.59737821</v>
      </c>
      <c r="Q45" s="5">
        <v>14.25386619</v>
      </c>
      <c r="R45" s="5">
        <v>1.6042257</v>
      </c>
      <c r="S45" s="5">
        <v>0.46116233</v>
      </c>
      <c r="T45" s="5">
        <v>5.485128690000004</v>
      </c>
      <c r="U45" s="5">
        <v>0.9641276</v>
      </c>
    </row>
    <row r="46" outlineLevel="1">
      <c r="B46" s="0" t="inlineStr">
        <is>
          <t xml:space="preserve">D.C. FABRICATORS INC.</t>
        </is>
      </c>
      <c r="C46" s="0" t="inlineStr">
        <is>
          <t xml:space="preserve">E8LNMDLEKM35</t>
        </is>
      </c>
      <c r="D46" s="0" t="inlineStr">
        <is>
          <t xml:space="preserve">USA</t>
        </is>
      </c>
      <c r="E46" s="0" t="inlineStr">
        <is>
          <t xml:space="preserve">3323</t>
        </is>
      </c>
      <c r="F46" s="0" t="inlineStr">
        <is>
          <t xml:space="preserve">Fabricated Structural Metal Manufacturing</t>
        </is>
      </c>
      <c r="G46" s="5">
        <v>37.24054699999999</v>
      </c>
      <c r="H46" s="0" t="inlineStr">
        <is>
          <t xml:space="preserve">supplier</t>
        </is>
      </c>
      <c r="I46" s="0" t="inlineStr">
        <is>
          <t xml:space="preserve">structural</t>
        </is>
      </c>
      <c r="J46" s="0" t="inlineStr">
        <is>
          <t xml:space="preserve">registry</t>
        </is>
      </c>
      <c r="K46" s="5">
        <v>1</v>
      </c>
      <c r="L46" s="5">
        <v>0</v>
      </c>
      <c r="M46" s="5">
        <v>31.113557999999994</v>
      </c>
      <c r="N46" s="5">
        <v>1.9925689999999998</v>
      </c>
      <c r="O46" s="5">
        <v>0.0</v>
      </c>
      <c r="P46" s="5">
        <v>0.0</v>
      </c>
      <c r="Q46" s="5">
        <v>0.0</v>
      </c>
      <c r="R46" s="5">
        <v>0.0</v>
      </c>
      <c r="S46" s="5">
        <v>0.0</v>
      </c>
      <c r="T46" s="5">
        <v>0.0</v>
      </c>
      <c r="U46" s="5">
        <v>0.0</v>
      </c>
    </row>
    <row r="47" outlineLevel="1">
      <c r="B47" s="0" t="inlineStr">
        <is>
          <t xml:space="preserve">ALLARD NAZARIAN GROUP, INC.</t>
        </is>
      </c>
      <c r="C47" s="0" t="inlineStr">
        <is>
          <t xml:space="preserve">NEGFNA8YS723</t>
        </is>
      </c>
      <c r="D47" s="0" t="inlineStr">
        <is>
          <t xml:space="preserve">USA</t>
        </is>
      </c>
      <c r="E47" s="0" t="inlineStr">
        <is>
          <t xml:space="preserve">3399</t>
        </is>
      </c>
      <c r="F47" s="0" t="inlineStr">
        <is>
          <t xml:space="preserve">All Other Miscellaneous Manufacturing</t>
        </is>
      </c>
      <c r="G47" s="5">
        <v>37.09606214</v>
      </c>
      <c r="H47" s="0" t="inlineStr">
        <is>
          <t xml:space="preserve">mission_systems</t>
        </is>
      </c>
      <c r="I47" s="0" t="inlineStr">
        <is>
          <t xml:space="preserve">-</t>
        </is>
      </c>
      <c r="J47" s="0" t="inlineStr">
        <is>
          <t xml:space="preserve">registry</t>
        </is>
      </c>
      <c r="K47" s="5">
        <v>0</v>
      </c>
      <c r="L47" s="5">
        <v>0</v>
      </c>
      <c r="M47" s="5">
        <v>37.09606214</v>
      </c>
      <c r="N47" s="5">
        <v>4.17627</v>
      </c>
      <c r="O47" s="5">
        <v>2.15580512</v>
      </c>
      <c r="P47" s="5">
        <v>5.85382046</v>
      </c>
      <c r="Q47" s="5">
        <v>0.0</v>
      </c>
      <c r="R47" s="5">
        <v>2.9510947500000007</v>
      </c>
      <c r="S47" s="5">
        <v>0.0</v>
      </c>
      <c r="T47" s="5">
        <v>8.7945726</v>
      </c>
      <c r="U47" s="5">
        <v>0.0</v>
      </c>
    </row>
    <row r="48" outlineLevel="1">
      <c r="B48" s="0" t="inlineStr">
        <is>
          <t xml:space="preserve">LEONARDO SPA</t>
        </is>
      </c>
      <c r="C48" s="0" t="inlineStr">
        <is>
          <t xml:space="preserve">VL18ZH6YLPY5</t>
        </is>
      </c>
      <c r="D48" s="0" t="inlineStr">
        <is>
          <t xml:space="preserve">ITA</t>
        </is>
      </c>
      <c r="E48" s="0" t="inlineStr">
        <is>
          <t xml:space="preserve">3364</t>
        </is>
      </c>
      <c r="F48" s="0" t="inlineStr">
        <is>
          <t xml:space="preserve">Aircraft Manufacturing</t>
        </is>
      </c>
      <c r="G48" s="5">
        <v>36.06469083</v>
      </c>
      <c r="H48" s="0" t="inlineStr">
        <is>
          <t xml:space="preserve">supplier</t>
        </is>
      </c>
      <c r="I48" s="0" t="inlineStr">
        <is>
          <t xml:space="preserve">electrical</t>
        </is>
      </c>
      <c r="J48" s="0" t="inlineStr">
        <is>
          <t xml:space="preserve">registry</t>
        </is>
      </c>
      <c r="K48" s="5">
        <v>0</v>
      </c>
      <c r="L48" s="5">
        <v>0</v>
      </c>
      <c r="M48" s="5">
        <v>36.06469083</v>
      </c>
      <c r="N48" s="5">
        <v>0.0</v>
      </c>
      <c r="O48" s="5">
        <v>0.0</v>
      </c>
      <c r="P48" s="5">
        <v>0.0</v>
      </c>
      <c r="Q48" s="5">
        <v>0.0</v>
      </c>
      <c r="R48" s="5">
        <v>0.0</v>
      </c>
      <c r="S48" s="5">
        <v>0.0</v>
      </c>
      <c r="T48" s="5">
        <v>22.634857</v>
      </c>
      <c r="U48" s="5">
        <v>13.42983383</v>
      </c>
    </row>
    <row r="49" outlineLevel="1">
      <c r="B49" s="0" t="inlineStr">
        <is>
          <t xml:space="preserve">CURTISS-WRIGHT CORPORATION</t>
        </is>
      </c>
      <c r="C49" s="0" t="inlineStr">
        <is>
          <t xml:space="preserve">JKZNKGGWYZ87</t>
        </is>
      </c>
      <c r="D49" s="0" t="inlineStr">
        <is>
          <t xml:space="preserve">USA</t>
        </is>
      </c>
      <c r="E49" s="0" t="inlineStr">
        <is>
          <t xml:space="preserve">3329</t>
        </is>
      </c>
      <c r="F49" s="0" t="inlineStr">
        <is>
          <t xml:space="preserve">Industrial Valve Manufacturing</t>
        </is>
      </c>
      <c r="G49" s="5">
        <v>34.399125000000005</v>
      </c>
      <c r="H49" s="0" t="inlineStr">
        <is>
          <t xml:space="preserve">supplier</t>
        </is>
      </c>
      <c r="I49" s="0" t="inlineStr">
        <is>
          <t xml:space="preserve">electrical</t>
        </is>
      </c>
      <c r="J49" s="0" t="inlineStr">
        <is>
          <t xml:space="preserve">registry</t>
        </is>
      </c>
      <c r="K49" s="5">
        <v>0</v>
      </c>
      <c r="L49" s="5">
        <v>0</v>
      </c>
      <c r="M49" s="5">
        <v>17.196894</v>
      </c>
      <c r="N49" s="5">
        <v>0.5</v>
      </c>
      <c r="O49" s="5">
        <v>0.0</v>
      </c>
      <c r="P49" s="5">
        <v>1.204789</v>
      </c>
      <c r="Q49" s="5">
        <v>0.0</v>
      </c>
      <c r="R49" s="5">
        <v>0.646626</v>
      </c>
      <c r="S49" s="5">
        <v>4.363841</v>
      </c>
      <c r="T49" s="5">
        <v>0.0</v>
      </c>
      <c r="U49" s="5">
        <v>0.0</v>
      </c>
    </row>
    <row r="50" outlineLevel="1">
      <c r="B50" s="0" t="inlineStr">
        <is>
          <t xml:space="preserve">MOOG INC.</t>
        </is>
      </c>
      <c r="C50" s="0" t="inlineStr">
        <is>
          <t xml:space="preserve">WJ45NXW2TVD7</t>
        </is>
      </c>
      <c r="D50" s="0" t="inlineStr">
        <is>
          <t xml:space="preserve">USA</t>
        </is>
      </c>
      <c r="E50" s="0" t="inlineStr">
        <is>
          <t xml:space="preserve">3339</t>
        </is>
      </c>
      <c r="F50" s="0" t="inlineStr">
        <is>
          <t xml:space="preserve">Fluid Power Cylinder and Actuator Manufacturing</t>
        </is>
      </c>
      <c r="G50" s="5">
        <v>33.49006610000001</v>
      </c>
      <c r="H50" s="0" t="inlineStr">
        <is>
          <t xml:space="preserve">supplier</t>
        </is>
      </c>
      <c r="I50" s="0" t="inlineStr">
        <is>
          <t xml:space="preserve">piping</t>
        </is>
      </c>
      <c r="J50" s="0" t="inlineStr">
        <is>
          <t xml:space="preserve">registry</t>
        </is>
      </c>
      <c r="K50" s="5">
        <v>0</v>
      </c>
      <c r="L50" s="5">
        <v>0</v>
      </c>
      <c r="M50" s="5">
        <v>33.49006610000001</v>
      </c>
      <c r="N50" s="5">
        <v>0.7991503600000001</v>
      </c>
      <c r="O50" s="5">
        <v>3.15419072</v>
      </c>
      <c r="P50" s="5">
        <v>4.40928541</v>
      </c>
      <c r="Q50" s="5">
        <v>4.18428303</v>
      </c>
      <c r="R50" s="5">
        <v>0.17590019999999995</v>
      </c>
      <c r="S50" s="5">
        <v>7.65036035</v>
      </c>
      <c r="T50" s="5">
        <v>4.427115830000001</v>
      </c>
      <c r="U50" s="5">
        <v>0.0</v>
      </c>
    </row>
    <row r="51" outlineLevel="1">
      <c r="B51" s="0" t="inlineStr">
        <is>
          <t xml:space="preserve">CUSTOM ALLOY CORPORATION</t>
        </is>
      </c>
      <c r="C51" s="0" t="inlineStr">
        <is>
          <t xml:space="preserve">N79NY6FRL2F3</t>
        </is>
      </c>
      <c r="D51" s="0" t="inlineStr">
        <is>
          <t xml:space="preserve">USA</t>
        </is>
      </c>
      <c r="E51" s="0" t="inlineStr">
        <is>
          <t xml:space="preserve">3329</t>
        </is>
      </c>
      <c r="F51" s="0" t="inlineStr">
        <is>
          <t xml:space="preserve">Fabricated Pipe and Pipe Fitting Manufacturing</t>
        </is>
      </c>
      <c r="G51" s="5">
        <v>32.89483267000002</v>
      </c>
      <c r="H51" s="0" t="inlineStr">
        <is>
          <t xml:space="preserve">supplier</t>
        </is>
      </c>
      <c r="I51" s="0" t="inlineStr">
        <is>
          <t xml:space="preserve">piping</t>
        </is>
      </c>
      <c r="J51" s="0" t="inlineStr">
        <is>
          <t xml:space="preserve">registry</t>
        </is>
      </c>
      <c r="K51" s="5">
        <v>0</v>
      </c>
      <c r="L51" s="5">
        <v>0</v>
      </c>
      <c r="M51" s="5">
        <v>32.89483267000002</v>
      </c>
      <c r="N51" s="5">
        <v>1.2810586</v>
      </c>
      <c r="O51" s="5">
        <v>0.09884075</v>
      </c>
      <c r="P51" s="5">
        <v>0.0</v>
      </c>
      <c r="Q51" s="5">
        <v>0.0046177</v>
      </c>
      <c r="R51" s="5">
        <v>3.0001027799999993</v>
      </c>
      <c r="S51" s="5">
        <v>2.1399123300000005</v>
      </c>
      <c r="T51" s="5">
        <v>0.0</v>
      </c>
      <c r="U51" s="5">
        <v>0.1198983</v>
      </c>
    </row>
    <row r="52" outlineLevel="1">
      <c r="B52" s="0" t="inlineStr">
        <is>
          <t xml:space="preserve">APCO TECHNOLOGIES SA</t>
        </is>
      </c>
      <c r="C52" s="0" t="inlineStr">
        <is>
          <t xml:space="preserve">FK17Z7DJWLL1</t>
        </is>
      </c>
      <c r="D52" s="0" t="inlineStr">
        <is>
          <t xml:space="preserve">CHE</t>
        </is>
      </c>
      <c r="E52" s="0" t="inlineStr">
        <is>
          <t xml:space="preserve">-</t>
        </is>
      </c>
      <c r="F52" s="0" t="inlineStr">
        <is>
          <t xml:space="preserve">-</t>
        </is>
      </c>
      <c r="G52" s="5">
        <v>32.801704260000015</v>
      </c>
      <c r="H52" s="0" t="inlineStr">
        <is>
          <t xml:space="preserve">foreign_fms</t>
        </is>
      </c>
      <c r="I52" s="0" t="inlineStr">
        <is>
          <t xml:space="preserve">-</t>
        </is>
      </c>
      <c r="J52" s="0" t="inlineStr">
        <is>
          <t xml:space="preserve">registry</t>
        </is>
      </c>
      <c r="K52" s="5">
        <v>0</v>
      </c>
      <c r="L52" s="5">
        <v>0</v>
      </c>
      <c r="M52" s="5">
        <v>32.801704260000015</v>
      </c>
      <c r="N52" s="5">
        <v>1.619031</v>
      </c>
      <c r="O52" s="5">
        <v>0.0</v>
      </c>
      <c r="P52" s="5">
        <v>0.0</v>
      </c>
      <c r="Q52" s="5">
        <v>0.0</v>
      </c>
      <c r="R52" s="5">
        <v>31.96166546</v>
      </c>
      <c r="S52" s="5">
        <v>-13.498058200000006</v>
      </c>
      <c r="T52" s="5">
        <v>1.4428110000000132</v>
      </c>
      <c r="U52" s="5">
        <v>6.904069999999998</v>
      </c>
    </row>
    <row r="53" outlineLevel="1">
      <c r="B53" s="0" t="inlineStr">
        <is>
          <t xml:space="preserve">CEPEDA ASSOCIATES, INC.</t>
        </is>
      </c>
      <c r="C53" s="0" t="inlineStr">
        <is>
          <t xml:space="preserve">LJRBXLTGXN57</t>
        </is>
      </c>
      <c r="D53" s="0" t="inlineStr">
        <is>
          <t xml:space="preserve">USA</t>
        </is>
      </c>
      <c r="E53" s="0" t="inlineStr">
        <is>
          <t xml:space="preserve">3334</t>
        </is>
      </c>
      <c r="F53" s="0" t="inlineStr">
        <is>
          <t xml:space="preserve">Industrial and Commercial Fan and Blower and Air Purification Equipment Manufacturing</t>
        </is>
      </c>
      <c r="G53" s="5">
        <v>31.571417009999987</v>
      </c>
      <c r="H53" s="0" t="inlineStr">
        <is>
          <t xml:space="preserve">supplier</t>
        </is>
      </c>
      <c r="I53" s="0" t="inlineStr">
        <is>
          <t xml:space="preserve">hvac</t>
        </is>
      </c>
      <c r="J53" s="0" t="inlineStr">
        <is>
          <t xml:space="preserve">registry</t>
        </is>
      </c>
      <c r="K53" s="5">
        <v>0</v>
      </c>
      <c r="L53" s="5">
        <v>0</v>
      </c>
      <c r="M53" s="5">
        <v>31.571417009999987</v>
      </c>
      <c r="N53" s="5">
        <v>0.0</v>
      </c>
      <c r="O53" s="5">
        <v>0.5740666799999999</v>
      </c>
      <c r="P53" s="5">
        <v>0.35819711</v>
      </c>
      <c r="Q53" s="5">
        <v>2.1763767200000004</v>
      </c>
      <c r="R53" s="5">
        <v>0.36694298000000003</v>
      </c>
      <c r="S53" s="5">
        <v>0.7848253</v>
      </c>
      <c r="T53" s="5">
        <v>0.7184729400000001</v>
      </c>
      <c r="U53" s="5">
        <v>16.303284</v>
      </c>
    </row>
    <row r="54" outlineLevel="1">
      <c r="B54" s="0" t="inlineStr">
        <is>
          <t xml:space="preserve">L3HARRIS TECHNOLOGIES, INC.</t>
        </is>
      </c>
      <c r="C54" s="0" t="inlineStr">
        <is>
          <t xml:space="preserve">CFXRGJSB9UB6</t>
        </is>
      </c>
      <c r="D54" s="0" t="inlineStr">
        <is>
          <t xml:space="preserve">USA</t>
        </is>
      </c>
      <c r="E54" s="0" t="inlineStr">
        <is>
          <t xml:space="preserve">3353</t>
        </is>
      </c>
      <c r="F54" s="0" t="inlineStr">
        <is>
          <t xml:space="preserve">Switchgear and Switchboard Apparatus Manufacturing</t>
        </is>
      </c>
      <c r="G54" s="5">
        <v>30.237166530000003</v>
      </c>
      <c r="H54" s="0" t="inlineStr">
        <is>
          <t xml:space="preserve">mission_systems</t>
        </is>
      </c>
      <c r="I54" s="0" t="inlineStr">
        <is>
          <t xml:space="preserve">-</t>
        </is>
      </c>
      <c r="J54" s="0" t="inlineStr">
        <is>
          <t xml:space="preserve">registry</t>
        </is>
      </c>
      <c r="K54" s="5">
        <v>0</v>
      </c>
      <c r="L54" s="5">
        <v>0</v>
      </c>
      <c r="M54" s="5">
        <v>7.415454530000001</v>
      </c>
      <c r="N54" s="5">
        <v>0.0</v>
      </c>
      <c r="O54" s="5">
        <v>0.0</v>
      </c>
      <c r="P54" s="5">
        <v>0.0</v>
      </c>
      <c r="Q54" s="5">
        <v>0.0</v>
      </c>
      <c r="R54" s="5">
        <v>0.0</v>
      </c>
      <c r="S54" s="5">
        <v>0.0</v>
      </c>
      <c r="T54" s="5">
        <v>0.0</v>
      </c>
      <c r="U54" s="5">
        <v>0.0</v>
      </c>
    </row>
    <row r="55" outlineLevel="1">
      <c r="B55" s="0" t="inlineStr">
        <is>
          <t xml:space="preserve">C. H. POWELL COMPANY</t>
        </is>
      </c>
      <c r="C55" s="0" t="inlineStr">
        <is>
          <t xml:space="preserve">JG6AMW7E23Z6</t>
        </is>
      </c>
      <c r="D55" s="0" t="inlineStr">
        <is>
          <t xml:space="preserve">USA</t>
        </is>
      </c>
      <c r="E55" s="0" t="inlineStr">
        <is>
          <t xml:space="preserve">4885</t>
        </is>
      </c>
      <c r="F55" s="0" t="inlineStr">
        <is>
          <t xml:space="preserve">Freight Transportation Arrangement</t>
        </is>
      </c>
      <c r="G55" s="5">
        <v>30.22089132</v>
      </c>
      <c r="H55" s="0" t="inlineStr">
        <is>
          <t xml:space="preserve">service</t>
        </is>
      </c>
      <c r="I55" s="0" t="inlineStr">
        <is>
          <t xml:space="preserve">-</t>
        </is>
      </c>
      <c r="J55" s="0" t="inlineStr">
        <is>
          <t xml:space="preserve">registry</t>
        </is>
      </c>
      <c r="K55" s="5">
        <v>0</v>
      </c>
      <c r="L55" s="5">
        <v>0</v>
      </c>
      <c r="M55" s="5">
        <v>30.22089132</v>
      </c>
      <c r="N55" s="5">
        <v>0.0</v>
      </c>
      <c r="O55" s="5">
        <v>0.0</v>
      </c>
      <c r="P55" s="5">
        <v>0.0</v>
      </c>
      <c r="Q55" s="5">
        <v>0.0</v>
      </c>
      <c r="R55" s="5">
        <v>12.4</v>
      </c>
      <c r="S55" s="5">
        <v>17.76042844</v>
      </c>
      <c r="T55" s="5">
        <v>0.0</v>
      </c>
      <c r="U55" s="5">
        <v>0.0</v>
      </c>
    </row>
    <row r="56" outlineLevel="1">
      <c r="B56" s="0" t="inlineStr">
        <is>
          <t xml:space="preserve">OIL STATES INDUSTRIES, INC.</t>
        </is>
      </c>
      <c r="C56" s="0" t="inlineStr">
        <is>
          <t xml:space="preserve">G9HKMXL5L973</t>
        </is>
      </c>
      <c r="D56" s="0" t="inlineStr">
        <is>
          <t xml:space="preserve">USA</t>
        </is>
      </c>
      <c r="E56" s="0" t="inlineStr">
        <is>
          <t xml:space="preserve">3262</t>
        </is>
      </c>
      <c r="F56" s="0" t="inlineStr">
        <is>
          <t xml:space="preserve">Rubber Product Manufacturing for Mechanical Use</t>
        </is>
      </c>
      <c r="G56" s="5">
        <v>30.032692020000002</v>
      </c>
      <c r="H56" s="0" t="inlineStr">
        <is>
          <t xml:space="preserve">supplier</t>
        </is>
      </c>
      <c r="I56" s="0" t="inlineStr">
        <is>
          <t xml:space="preserve">coatings</t>
        </is>
      </c>
      <c r="J56" s="0" t="inlineStr">
        <is>
          <t xml:space="preserve">registry</t>
        </is>
      </c>
      <c r="K56" s="5">
        <v>0</v>
      </c>
      <c r="L56" s="5">
        <v>0</v>
      </c>
      <c r="M56" s="5">
        <v>30.032692020000002</v>
      </c>
      <c r="N56" s="5">
        <v>-0.58271642</v>
      </c>
      <c r="O56" s="5">
        <v>1.6337483000000002</v>
      </c>
      <c r="P56" s="5">
        <v>2.7303850500000006</v>
      </c>
      <c r="Q56" s="5">
        <v>14.815676579999998</v>
      </c>
      <c r="R56" s="5">
        <v>1.56119054</v>
      </c>
      <c r="S56" s="5">
        <v>3.61310312</v>
      </c>
      <c r="T56" s="5">
        <v>2.04869891</v>
      </c>
      <c r="U56" s="5">
        <v>4.2126059399999995</v>
      </c>
    </row>
    <row r="57" outlineLevel="1">
      <c r="B57" s="0" t="inlineStr">
        <is>
          <t xml:space="preserve">MAROTTA CONTROLS INC</t>
        </is>
      </c>
      <c r="C57" s="0" t="inlineStr">
        <is>
          <t xml:space="preserve">Q35JL9GFCAK3</t>
        </is>
      </c>
      <c r="D57" s="0" t="inlineStr">
        <is>
          <t xml:space="preserve">USA</t>
        </is>
      </c>
      <c r="E57" s="0" t="inlineStr">
        <is>
          <t xml:space="preserve">3329</t>
        </is>
      </c>
      <c r="F57" s="0" t="inlineStr">
        <is>
          <t xml:space="preserve">Fluid Power Valve and Hose Fitting Manufacturing</t>
        </is>
      </c>
      <c r="G57" s="5">
        <v>30.01377112999999</v>
      </c>
      <c r="H57" s="0" t="inlineStr">
        <is>
          <t xml:space="preserve">supplier</t>
        </is>
      </c>
      <c r="I57" s="0" t="inlineStr">
        <is>
          <t xml:space="preserve">piping</t>
        </is>
      </c>
      <c r="J57" s="0" t="inlineStr">
        <is>
          <t xml:space="preserve">registry</t>
        </is>
      </c>
      <c r="K57" s="5">
        <v>0</v>
      </c>
      <c r="L57" s="5">
        <v>0</v>
      </c>
      <c r="M57" s="5">
        <v>30.01377112999999</v>
      </c>
      <c r="N57" s="5">
        <v>-0.411139</v>
      </c>
      <c r="O57" s="5">
        <v>0.0</v>
      </c>
      <c r="P57" s="5">
        <v>0.0</v>
      </c>
      <c r="Q57" s="5">
        <v>0.0</v>
      </c>
      <c r="R57" s="5">
        <v>1.8846320000000003</v>
      </c>
      <c r="S57" s="5">
        <v>20.48099015</v>
      </c>
      <c r="T57" s="5">
        <v>4.329705430000001</v>
      </c>
      <c r="U57" s="5">
        <v>3.72958255</v>
      </c>
    </row>
    <row r="58" outlineLevel="1">
      <c r="B58" s="0" t="inlineStr">
        <is>
          <t xml:space="preserve">B &amp; F MACHINE CO., INC.</t>
        </is>
      </c>
      <c r="C58" s="0" t="inlineStr">
        <is>
          <t xml:space="preserve">K3XPS1HXNBF3</t>
        </is>
      </c>
      <c r="D58" s="0" t="inlineStr">
        <is>
          <t xml:space="preserve">USA</t>
        </is>
      </c>
      <c r="E58" s="0" t="inlineStr">
        <is>
          <t xml:space="preserve">3327</t>
        </is>
      </c>
      <c r="F58" s="0" t="inlineStr">
        <is>
          <t xml:space="preserve">Machine Shops</t>
        </is>
      </c>
      <c r="G58" s="5">
        <v>29.454525440000005</v>
      </c>
      <c r="H58" s="0" t="inlineStr">
        <is>
          <t xml:space="preserve">supplier</t>
        </is>
      </c>
      <c r="I58" s="0" t="inlineStr">
        <is>
          <t xml:space="preserve">machining</t>
        </is>
      </c>
      <c r="J58" s="0" t="inlineStr">
        <is>
          <t xml:space="preserve">registry</t>
        </is>
      </c>
      <c r="K58" s="5">
        <v>0</v>
      </c>
      <c r="L58" s="5">
        <v>0</v>
      </c>
      <c r="M58" s="5">
        <v>29.454525440000005</v>
      </c>
      <c r="N58" s="5">
        <v>3.807382999999999</v>
      </c>
      <c r="O58" s="5">
        <v>0.572087</v>
      </c>
      <c r="P58" s="5">
        <v>2.50712316</v>
      </c>
      <c r="Q58" s="5">
        <v>4.09906242</v>
      </c>
      <c r="R58" s="5">
        <v>1.8622379999999998</v>
      </c>
      <c r="S58" s="5">
        <v>2.1528289999999997</v>
      </c>
      <c r="T58" s="5">
        <v>2.2581458599999955</v>
      </c>
      <c r="U58" s="5">
        <v>0.0</v>
      </c>
    </row>
    <row r="59" outlineLevel="1">
      <c r="B59" s="0" t="inlineStr">
        <is>
          <t xml:space="preserve">EMS DEVELOPMENT CORPORATION</t>
        </is>
      </c>
      <c r="C59" s="0" t="inlineStr">
        <is>
          <t xml:space="preserve">F42BKS7EHCL8</t>
        </is>
      </c>
      <c r="D59" s="0" t="inlineStr">
        <is>
          <t xml:space="preserve">USA</t>
        </is>
      </c>
      <c r="E59" s="0" t="inlineStr">
        <is>
          <t xml:space="preserve">3344</t>
        </is>
      </c>
      <c r="F59" s="0" t="inlineStr">
        <is>
          <t xml:space="preserve">Capacitor, Resistor, Coil, Transformer, and Other Inductor Manufacturing</t>
        </is>
      </c>
      <c r="G59" s="5">
        <v>28.72655251999999</v>
      </c>
      <c r="H59" s="0" t="inlineStr">
        <is>
          <t xml:space="preserve">mission_systems</t>
        </is>
      </c>
      <c r="I59" s="0" t="inlineStr">
        <is>
          <t xml:space="preserve">-</t>
        </is>
      </c>
      <c r="J59" s="0" t="inlineStr">
        <is>
          <t xml:space="preserve">registry</t>
        </is>
      </c>
      <c r="K59" s="5">
        <v>0</v>
      </c>
      <c r="L59" s="5">
        <v>0</v>
      </c>
      <c r="M59" s="5">
        <v>28.72655251999999</v>
      </c>
      <c r="N59" s="5">
        <v>6.826436019999999</v>
      </c>
      <c r="O59" s="5">
        <v>0.58149924</v>
      </c>
      <c r="P59" s="5">
        <v>0.0</v>
      </c>
      <c r="Q59" s="5">
        <v>8.507028759999999</v>
      </c>
      <c r="R59" s="5">
        <v>0.431782</v>
      </c>
      <c r="S59" s="5">
        <v>9.910458049999997</v>
      </c>
      <c r="T59" s="5">
        <v>2.46934845</v>
      </c>
      <c r="U59" s="5">
        <v>0.0</v>
      </c>
    </row>
    <row r="60" outlineLevel="1">
      <c r="B60" s="0" t="inlineStr">
        <is>
          <t xml:space="preserve">WAUKESHA BEARINGS CORPORATION</t>
        </is>
      </c>
      <c r="C60" s="0" t="inlineStr">
        <is>
          <t xml:space="preserve">F76KN7T9YP64</t>
        </is>
      </c>
      <c r="D60" s="0" t="inlineStr">
        <is>
          <t xml:space="preserve">USA</t>
        </is>
      </c>
      <c r="E60" s="0" t="inlineStr">
        <is>
          <t xml:space="preserve">3336</t>
        </is>
      </c>
      <c r="F60" s="0" t="inlineStr">
        <is>
          <t xml:space="preserve">Mechanical Power Transmission Equipment Manufacturing</t>
        </is>
      </c>
      <c r="G60" s="5">
        <v>28.271585720000004</v>
      </c>
      <c r="H60" s="0" t="inlineStr">
        <is>
          <t xml:space="preserve">supplier</t>
        </is>
      </c>
      <c r="I60" s="0" t="inlineStr">
        <is>
          <t xml:space="preserve">machining</t>
        </is>
      </c>
      <c r="J60" s="0" t="inlineStr">
        <is>
          <t xml:space="preserve">registry</t>
        </is>
      </c>
      <c r="K60" s="5">
        <v>0</v>
      </c>
      <c r="L60" s="5">
        <v>0</v>
      </c>
      <c r="M60" s="5">
        <v>28.271585720000004</v>
      </c>
      <c r="N60" s="5">
        <v>0.0</v>
      </c>
      <c r="O60" s="5">
        <v>-3.04e-06</v>
      </c>
      <c r="P60" s="5">
        <v>16.149099380000003</v>
      </c>
      <c r="Q60" s="5">
        <v>1.48731254</v>
      </c>
      <c r="R60" s="5">
        <v>1.733798</v>
      </c>
      <c r="S60" s="5">
        <v>6.7227</v>
      </c>
      <c r="T60" s="5">
        <v>2.17867884</v>
      </c>
      <c r="U60" s="5">
        <v>0.0</v>
      </c>
    </row>
    <row r="61" outlineLevel="1">
      <c r="B61" s="0" t="inlineStr">
        <is>
          <t xml:space="preserve">HANSOME ENERGY SYSTEMS INC</t>
        </is>
      </c>
      <c r="C61" s="0" t="inlineStr">
        <is>
          <t xml:space="preserve">UHXFGP3DCRK7</t>
        </is>
      </c>
      <c r="D61" s="0" t="inlineStr">
        <is>
          <t xml:space="preserve">-</t>
        </is>
      </c>
      <c r="E61" s="0" t="inlineStr">
        <is>
          <t xml:space="preserve">-</t>
        </is>
      </c>
      <c r="F61" s="0" t="inlineStr">
        <is>
          <t xml:space="preserve">-</t>
        </is>
      </c>
      <c r="G61" s="5">
        <v>28.229896</v>
      </c>
      <c r="H61" s="0" t="inlineStr">
        <is>
          <t xml:space="preserve">supplier</t>
        </is>
      </c>
      <c r="I61" s="0" t="inlineStr">
        <is>
          <t xml:space="preserve">hvac</t>
        </is>
      </c>
      <c r="J61" s="0" t="inlineStr">
        <is>
          <t xml:space="preserve">registry</t>
        </is>
      </c>
      <c r="K61" s="5">
        <v>0</v>
      </c>
      <c r="L61" s="5">
        <v>0</v>
      </c>
      <c r="M61" s="5">
        <v>28.229896</v>
      </c>
      <c r="N61" s="5">
        <v>3.299236</v>
      </c>
      <c r="O61" s="5">
        <v>4.934749999999999</v>
      </c>
      <c r="P61" s="5">
        <v>14.323804</v>
      </c>
      <c r="Q61" s="5">
        <v>0.0</v>
      </c>
      <c r="R61" s="5">
        <v>0.90426</v>
      </c>
      <c r="S61" s="5">
        <v>0.365926</v>
      </c>
      <c r="T61" s="5">
        <v>4.40192</v>
      </c>
      <c r="U61" s="5">
        <v>0.0</v>
      </c>
    </row>
    <row r="62" outlineLevel="1">
      <c r="B62" s="0" t="inlineStr">
        <is>
          <t xml:space="preserve">GOODWIN STEEL CASTINGS LIMITED</t>
        </is>
      </c>
      <c r="C62" s="0" t="inlineStr">
        <is>
          <t xml:space="preserve">NN7PCHZFNZP8</t>
        </is>
      </c>
      <c r="D62" s="0" t="inlineStr">
        <is>
          <t xml:space="preserve">Foreign</t>
        </is>
      </c>
      <c r="E62" s="0" t="inlineStr">
        <is>
          <t xml:space="preserve">-</t>
        </is>
      </c>
      <c r="F62" s="0" t="inlineStr">
        <is>
          <t xml:space="preserve">-</t>
        </is>
      </c>
      <c r="G62" s="5">
        <v>27.561779890000004</v>
      </c>
      <c r="H62" s="0" t="inlineStr">
        <is>
          <t xml:space="preserve">foreign_fms</t>
        </is>
      </c>
      <c r="I62" s="0" t="inlineStr">
        <is>
          <t xml:space="preserve">-</t>
        </is>
      </c>
      <c r="J62" s="0" t="inlineStr">
        <is>
          <t xml:space="preserve">registry</t>
        </is>
      </c>
      <c r="K62" s="5">
        <v>0</v>
      </c>
      <c r="L62" s="5">
        <v>0</v>
      </c>
      <c r="M62" s="5">
        <v>27.561779890000004</v>
      </c>
      <c r="N62" s="5">
        <v>0.0</v>
      </c>
      <c r="O62" s="5">
        <v>0.25</v>
      </c>
      <c r="P62" s="5">
        <v>2.5791690000000003</v>
      </c>
      <c r="Q62" s="5">
        <v>0.0</v>
      </c>
      <c r="R62" s="5">
        <v>0.571551</v>
      </c>
      <c r="S62" s="5">
        <v>1.6941902500000001</v>
      </c>
      <c r="T62" s="5">
        <v>17.477483930000005</v>
      </c>
      <c r="U62" s="5">
        <v>4.98938571</v>
      </c>
    </row>
    <row r="63" outlineLevel="1">
      <c r="B63" s="0" t="inlineStr">
        <is>
          <t xml:space="preserve">PEGASUS STEEL LLC</t>
        </is>
      </c>
      <c r="C63" s="0" t="inlineStr">
        <is>
          <t xml:space="preserve">TZVRTYNM3MN3</t>
        </is>
      </c>
      <c r="D63" s="0" t="inlineStr">
        <is>
          <t xml:space="preserve">USA</t>
        </is>
      </c>
      <c r="E63" s="0" t="inlineStr">
        <is>
          <t xml:space="preserve">3323</t>
        </is>
      </c>
      <c r="F63" s="0" t="inlineStr">
        <is>
          <t xml:space="preserve">Plate Work Manufacturing</t>
        </is>
      </c>
      <c r="G63" s="5">
        <v>26.734602700000003</v>
      </c>
      <c r="H63" s="0" t="inlineStr">
        <is>
          <t xml:space="preserve">supplier</t>
        </is>
      </c>
      <c r="I63" s="0" t="inlineStr">
        <is>
          <t xml:space="preserve">structural</t>
        </is>
      </c>
      <c r="J63" s="0" t="inlineStr">
        <is>
          <t xml:space="preserve">registry</t>
        </is>
      </c>
      <c r="K63" s="5">
        <v>0</v>
      </c>
      <c r="L63" s="5">
        <v>0</v>
      </c>
      <c r="M63" s="5">
        <v>26.734602700000003</v>
      </c>
      <c r="N63" s="5">
        <v>2.46335915</v>
      </c>
      <c r="O63" s="5">
        <v>0.0</v>
      </c>
      <c r="P63" s="5">
        <v>0.0</v>
      </c>
      <c r="Q63" s="5">
        <v>0.0</v>
      </c>
      <c r="R63" s="5">
        <v>2.82803776</v>
      </c>
      <c r="S63" s="5">
        <v>0.0</v>
      </c>
      <c r="T63" s="5">
        <v>0.0</v>
      </c>
      <c r="U63" s="5">
        <v>0.0</v>
      </c>
    </row>
    <row r="64" outlineLevel="1">
      <c r="B64" s="0" t="inlineStr">
        <is>
          <t xml:space="preserve">MW JONES &amp; COMPANY INC</t>
        </is>
      </c>
      <c r="C64" s="0" t="inlineStr">
        <is>
          <t xml:space="preserve">K294P4QJHFU9</t>
        </is>
      </c>
      <c r="D64" s="0" t="inlineStr">
        <is>
          <t xml:space="preserve">USA</t>
        </is>
      </c>
      <c r="E64" s="0" t="inlineStr">
        <is>
          <t xml:space="preserve">5416</t>
        </is>
      </c>
      <c r="F64" s="0" t="inlineStr">
        <is>
          <t xml:space="preserve">Administrative Management and General Management Consulting Services</t>
        </is>
      </c>
      <c r="G64" s="5">
        <v>26.636332799999998</v>
      </c>
      <c r="H64" s="0" t="inlineStr">
        <is>
          <t xml:space="preserve">service</t>
        </is>
      </c>
      <c r="I64" s="0" t="inlineStr">
        <is>
          <t xml:space="preserve">-</t>
        </is>
      </c>
      <c r="J64" s="0" t="inlineStr">
        <is>
          <t xml:space="preserve">registry</t>
        </is>
      </c>
      <c r="K64" s="5">
        <v>0</v>
      </c>
      <c r="L64" s="5">
        <v>0</v>
      </c>
      <c r="M64" s="5">
        <v>26.636332799999998</v>
      </c>
      <c r="N64" s="5">
        <v>0.0</v>
      </c>
      <c r="O64" s="5">
        <v>24.15</v>
      </c>
      <c r="P64" s="5">
        <v>0.0</v>
      </c>
      <c r="Q64" s="5">
        <v>0.0</v>
      </c>
      <c r="R64" s="5">
        <v>0.0</v>
      </c>
      <c r="S64" s="5">
        <v>0.0</v>
      </c>
      <c r="T64" s="5">
        <v>2.4863328</v>
      </c>
      <c r="U64" s="5">
        <v>0.0</v>
      </c>
    </row>
    <row r="65" outlineLevel="1">
      <c r="B65" s="0" t="inlineStr">
        <is>
          <t xml:space="preserve">AMERICAN STEEL AND ALUMINUM LLC</t>
        </is>
      </c>
      <c r="C65" s="0" t="inlineStr">
        <is>
          <t xml:space="preserve">LL3PZJHUKZV3</t>
        </is>
      </c>
      <c r="D65" s="0" t="inlineStr">
        <is>
          <t xml:space="preserve">-</t>
        </is>
      </c>
      <c r="E65" s="0" t="inlineStr">
        <is>
          <t xml:space="preserve">-</t>
        </is>
      </c>
      <c r="F65" s="0" t="inlineStr">
        <is>
          <t xml:space="preserve">-</t>
        </is>
      </c>
      <c r="G65" s="5">
        <v>26.23064919000001</v>
      </c>
      <c r="H65" s="0" t="inlineStr">
        <is>
          <t xml:space="preserve">supplier</t>
        </is>
      </c>
      <c r="I65" s="0" t="inlineStr">
        <is>
          <t xml:space="preserve">structural</t>
        </is>
      </c>
      <c r="J65" s="0" t="inlineStr">
        <is>
          <t xml:space="preserve">registry</t>
        </is>
      </c>
      <c r="K65" s="5">
        <v>0</v>
      </c>
      <c r="L65" s="5">
        <v>0</v>
      </c>
      <c r="M65" s="5">
        <v>26.23064919000001</v>
      </c>
      <c r="N65" s="5">
        <v>0.012369</v>
      </c>
      <c r="O65" s="5">
        <v>1.5183781</v>
      </c>
      <c r="P65" s="5">
        <v>0.71914154</v>
      </c>
      <c r="Q65" s="5">
        <v>0.0014</v>
      </c>
      <c r="R65" s="5">
        <v>0.0377286</v>
      </c>
      <c r="S65" s="5">
        <v>23.8303173</v>
      </c>
      <c r="T65" s="5">
        <v>-0.0011264</v>
      </c>
      <c r="U65" s="5">
        <v>0.086184</v>
      </c>
    </row>
    <row r="66" outlineLevel="1">
      <c r="B66" s="0" t="inlineStr">
        <is>
          <t xml:space="preserve">TAYLOR FORGE ENGINEERED SYSTEMS, INC.</t>
        </is>
      </c>
      <c r="C66" s="0" t="inlineStr">
        <is>
          <t xml:space="preserve">WN1PJNXJJ831</t>
        </is>
      </c>
      <c r="D66" s="0" t="inlineStr">
        <is>
          <t xml:space="preserve">USA</t>
        </is>
      </c>
      <c r="E66" s="0" t="inlineStr">
        <is>
          <t xml:space="preserve">3329</t>
        </is>
      </c>
      <c r="F66" s="0" t="inlineStr">
        <is>
          <t xml:space="preserve">Fabricated Pipe and Pipe Fitting Manufacturing</t>
        </is>
      </c>
      <c r="G66" s="5">
        <v>26.052167</v>
      </c>
      <c r="H66" s="0" t="inlineStr">
        <is>
          <t xml:space="preserve">supplier</t>
        </is>
      </c>
      <c r="I66" s="0" t="inlineStr">
        <is>
          <t xml:space="preserve">piping</t>
        </is>
      </c>
      <c r="J66" s="0" t="inlineStr">
        <is>
          <t xml:space="preserve">registry</t>
        </is>
      </c>
      <c r="K66" s="5">
        <v>0</v>
      </c>
      <c r="L66" s="5">
        <v>0</v>
      </c>
      <c r="M66" s="5">
        <v>0.0</v>
      </c>
      <c r="N66" s="5">
        <v>0.0</v>
      </c>
      <c r="O66" s="5">
        <v>0.0</v>
      </c>
      <c r="P66" s="5">
        <v>0.0</v>
      </c>
      <c r="Q66" s="5">
        <v>0.0</v>
      </c>
      <c r="R66" s="5">
        <v>0.0</v>
      </c>
      <c r="S66" s="5">
        <v>0.0</v>
      </c>
      <c r="T66" s="5">
        <v>0.0</v>
      </c>
      <c r="U66" s="5">
        <v>0.0</v>
      </c>
    </row>
    <row r="67" outlineLevel="1">
      <c r="B67" s="0" t="inlineStr">
        <is>
          <t xml:space="preserve">TELEDYNE INSTRUMENTS INC</t>
        </is>
      </c>
      <c r="C67" s="0" t="inlineStr">
        <is>
          <t xml:space="preserve">PAH8M4BJACA5</t>
        </is>
      </c>
      <c r="D67" s="0" t="inlineStr">
        <is>
          <t xml:space="preserve">USA</t>
        </is>
      </c>
      <c r="E67" s="0" t="inlineStr">
        <is>
          <t xml:space="preserve">3344</t>
        </is>
      </c>
      <c r="F67" s="0" t="inlineStr">
        <is>
          <t xml:space="preserve">Electronic Connector Manufacturing</t>
        </is>
      </c>
      <c r="G67" s="5">
        <v>24.741317000000002</v>
      </c>
      <c r="H67" s="0" t="inlineStr">
        <is>
          <t xml:space="preserve">mission_systems</t>
        </is>
      </c>
      <c r="I67" s="0" t="inlineStr">
        <is>
          <t xml:space="preserve">-</t>
        </is>
      </c>
      <c r="J67" s="0" t="inlineStr">
        <is>
          <t xml:space="preserve">registry</t>
        </is>
      </c>
      <c r="K67" s="5">
        <v>0</v>
      </c>
      <c r="L67" s="5">
        <v>0</v>
      </c>
      <c r="M67" s="5">
        <v>24.741317000000002</v>
      </c>
      <c r="N67" s="5">
        <v>0.522939</v>
      </c>
      <c r="O67" s="5">
        <v>7.066205999999999</v>
      </c>
      <c r="P67" s="5">
        <v>4.3514360000000005</v>
      </c>
      <c r="Q67" s="5">
        <v>5.781936000000002</v>
      </c>
      <c r="R67" s="5">
        <v>0.046057</v>
      </c>
      <c r="S67" s="5">
        <v>2.8565979999999995</v>
      </c>
      <c r="T67" s="5">
        <v>3.3727110000000002</v>
      </c>
      <c r="U67" s="5">
        <v>0.7434339999999999</v>
      </c>
    </row>
    <row r="68" outlineLevel="1">
      <c r="B68" s="0" t="inlineStr">
        <is>
          <t xml:space="preserve">CIRCOR NAVAL SOLUTIONS LLC</t>
        </is>
      </c>
      <c r="C68" s="0" t="inlineStr">
        <is>
          <t xml:space="preserve">KYURG7LRSC89</t>
        </is>
      </c>
      <c r="D68" s="0" t="inlineStr">
        <is>
          <t xml:space="preserve">-</t>
        </is>
      </c>
      <c r="E68" s="0" t="inlineStr">
        <is>
          <t xml:space="preserve">-</t>
        </is>
      </c>
      <c r="F68" s="0" t="inlineStr">
        <is>
          <t xml:space="preserve">-</t>
        </is>
      </c>
      <c r="G68" s="5">
        <v>23.777822680000007</v>
      </c>
      <c r="H68" s="0" t="inlineStr">
        <is>
          <t xml:space="preserve">supplier</t>
        </is>
      </c>
      <c r="I68" s="0" t="inlineStr">
        <is>
          <t xml:space="preserve">piping</t>
        </is>
      </c>
      <c r="J68" s="0" t="inlineStr">
        <is>
          <t xml:space="preserve">registry</t>
        </is>
      </c>
      <c r="K68" s="5">
        <v>0</v>
      </c>
      <c r="L68" s="5">
        <v>0</v>
      </c>
      <c r="M68" s="5">
        <v>23.777822680000007</v>
      </c>
      <c r="N68" s="5">
        <v>2.454173</v>
      </c>
      <c r="O68" s="5">
        <v>2.384937</v>
      </c>
      <c r="P68" s="5">
        <v>0.7975436</v>
      </c>
      <c r="Q68" s="5">
        <v>0.75079552</v>
      </c>
      <c r="R68" s="5">
        <v>0.6661999999999999</v>
      </c>
      <c r="S68" s="5">
        <v>8.849482559999998</v>
      </c>
      <c r="T68" s="5">
        <v>0.36952799999999997</v>
      </c>
      <c r="U68" s="5">
        <v>7.505163</v>
      </c>
    </row>
    <row r="69" outlineLevel="1">
      <c r="B69" s="0" t="inlineStr">
        <is>
          <t xml:space="preserve">BAE SYSTEMS LAND &amp; ARMAMENTS L.P.</t>
        </is>
      </c>
      <c r="C69" s="0" t="inlineStr">
        <is>
          <t xml:space="preserve">YNJNTZWVC3H6</t>
        </is>
      </c>
      <c r="D69" s="0" t="inlineStr">
        <is>
          <t xml:space="preserve">-</t>
        </is>
      </c>
      <c r="E69" s="0" t="inlineStr">
        <is>
          <t xml:space="preserve">-</t>
        </is>
      </c>
      <c r="F69" s="0" t="inlineStr">
        <is>
          <t xml:space="preserve">-</t>
        </is>
      </c>
      <c r="G69" s="5">
        <v>23.19768550999999</v>
      </c>
      <c r="H69" s="0" t="inlineStr">
        <is>
          <t xml:space="preserve">mission_systems</t>
        </is>
      </c>
      <c r="I69" s="0" t="inlineStr">
        <is>
          <t xml:space="preserve">-</t>
        </is>
      </c>
      <c r="J69" s="0" t="inlineStr">
        <is>
          <t xml:space="preserve">registry</t>
        </is>
      </c>
      <c r="K69" s="5">
        <v>0</v>
      </c>
      <c r="L69" s="5">
        <v>0</v>
      </c>
      <c r="M69" s="5">
        <v>23.19768550999999</v>
      </c>
      <c r="N69" s="5">
        <v>0.080362</v>
      </c>
      <c r="O69" s="5">
        <v>3.2127683499999975</v>
      </c>
      <c r="P69" s="5">
        <v>19.90455516</v>
      </c>
      <c r="Q69" s="5">
        <v>0.0</v>
      </c>
      <c r="R69" s="5">
        <v>0.0</v>
      </c>
      <c r="S69" s="5">
        <v>0.0</v>
      </c>
      <c r="T69" s="5">
        <v>0.0</v>
      </c>
      <c r="U69" s="5">
        <v>0.0</v>
      </c>
    </row>
    <row r="70" outlineLevel="1">
      <c r="B70" s="0" t="inlineStr">
        <is>
          <t xml:space="preserve">CURTISS-WRIGHT CORPORATION</t>
        </is>
      </c>
      <c r="C70" s="0" t="inlineStr">
        <is>
          <t xml:space="preserve">NYGUEDY27AM8</t>
        </is>
      </c>
      <c r="D70" s="0" t="inlineStr">
        <is>
          <t xml:space="preserve">USA</t>
        </is>
      </c>
      <c r="E70" s="0" t="inlineStr">
        <is>
          <t xml:space="preserve">3329</t>
        </is>
      </c>
      <c r="F70" s="0" t="inlineStr">
        <is>
          <t xml:space="preserve">Industrial Valve Manufacturing</t>
        </is>
      </c>
      <c r="G70" s="5">
        <v>22.22133176000001</v>
      </c>
      <c r="H70" s="0" t="inlineStr">
        <is>
          <t xml:space="preserve">supplier</t>
        </is>
      </c>
      <c r="I70" s="0" t="inlineStr">
        <is>
          <t xml:space="preserve">piping</t>
        </is>
      </c>
      <c r="J70" s="0" t="inlineStr">
        <is>
          <t xml:space="preserve">registry</t>
        </is>
      </c>
      <c r="K70" s="5">
        <v>0</v>
      </c>
      <c r="L70" s="5">
        <v>0</v>
      </c>
      <c r="M70" s="5">
        <v>20.81129276000001</v>
      </c>
      <c r="N70" s="5">
        <v>0.48050731999999996</v>
      </c>
      <c r="O70" s="5">
        <v>0.0</v>
      </c>
      <c r="P70" s="5">
        <v>0.0</v>
      </c>
      <c r="Q70" s="5">
        <v>0.0</v>
      </c>
      <c r="R70" s="5">
        <v>4.7440690000000005</v>
      </c>
      <c r="S70" s="5">
        <v>0.0</v>
      </c>
      <c r="T70" s="5">
        <v>0.0</v>
      </c>
      <c r="U70" s="5">
        <v>0.0</v>
      </c>
    </row>
    <row r="71" outlineLevel="1">
      <c r="B71" s="0" t="inlineStr">
        <is>
          <t xml:space="preserve">PEGASUS STEEL, LLC</t>
        </is>
      </c>
      <c r="C71" s="0" t="inlineStr">
        <is>
          <t xml:space="preserve">TZVRTYNM3MN3</t>
        </is>
      </c>
      <c r="D71" s="0" t="inlineStr">
        <is>
          <t xml:space="preserve">USA</t>
        </is>
      </c>
      <c r="E71" s="0" t="inlineStr">
        <is>
          <t xml:space="preserve">3323</t>
        </is>
      </c>
      <c r="F71" s="0" t="inlineStr">
        <is>
          <t xml:space="preserve">Plate Work Manufacturing</t>
        </is>
      </c>
      <c r="G71" s="5">
        <v>22.185451170000007</v>
      </c>
      <c r="H71" s="0" t="inlineStr">
        <is>
          <t xml:space="preserve">supplier</t>
        </is>
      </c>
      <c r="I71" s="0" t="inlineStr">
        <is>
          <t xml:space="preserve">structural</t>
        </is>
      </c>
      <c r="J71" s="0" t="inlineStr">
        <is>
          <t xml:space="preserve">registry</t>
        </is>
      </c>
      <c r="K71" s="5">
        <v>0</v>
      </c>
      <c r="L71" s="5">
        <v>0</v>
      </c>
      <c r="M71" s="5">
        <v>22.185451170000007</v>
      </c>
      <c r="N71" s="5">
        <v>2.2546693299999996</v>
      </c>
      <c r="O71" s="5">
        <v>3.58425294</v>
      </c>
      <c r="P71" s="5">
        <v>3.5789171699999995</v>
      </c>
      <c r="Q71" s="5">
        <v>0.9379869999999999</v>
      </c>
      <c r="R71" s="5">
        <v>5.015503539999999</v>
      </c>
      <c r="S71" s="5">
        <v>4.27915514</v>
      </c>
      <c r="T71" s="5">
        <v>15.876198230000002</v>
      </c>
      <c r="U71" s="5">
        <v>0.13492934</v>
      </c>
    </row>
    <row r="72" outlineLevel="1">
      <c r="B72" s="0" t="inlineStr">
        <is>
          <t xml:space="preserve">CURTISS-WRIGHT ELECTRO-MECHANICAL CORPORATION</t>
        </is>
      </c>
      <c r="C72" s="0" t="inlineStr">
        <is>
          <t xml:space="preserve">JKZNKGGWYZ87</t>
        </is>
      </c>
      <c r="D72" s="0" t="inlineStr">
        <is>
          <t xml:space="preserve">-</t>
        </is>
      </c>
      <c r="E72" s="0" t="inlineStr">
        <is>
          <t xml:space="preserve">-</t>
        </is>
      </c>
      <c r="F72" s="0" t="inlineStr">
        <is>
          <t xml:space="preserve">-</t>
        </is>
      </c>
      <c r="G72" s="5">
        <v>21.519171999999998</v>
      </c>
      <c r="H72" s="0" t="inlineStr">
        <is>
          <t xml:space="preserve">supplier</t>
        </is>
      </c>
      <c r="I72" s="0" t="inlineStr">
        <is>
          <t xml:space="preserve">electrical</t>
        </is>
      </c>
      <c r="J72" s="0" t="inlineStr">
        <is>
          <t xml:space="preserve">registry</t>
        </is>
      </c>
      <c r="K72" s="5">
        <v>0</v>
      </c>
      <c r="L72" s="5">
        <v>0</v>
      </c>
      <c r="M72" s="5">
        <v>21.519171999999998</v>
      </c>
      <c r="N72" s="5">
        <v>0.52418</v>
      </c>
      <c r="O72" s="5">
        <v>0.0</v>
      </c>
      <c r="P72" s="5">
        <v>20.994992</v>
      </c>
      <c r="Q72" s="5">
        <v>0.0</v>
      </c>
      <c r="R72" s="5">
        <v>0.0</v>
      </c>
      <c r="S72" s="5">
        <v>0.0</v>
      </c>
      <c r="T72" s="5">
        <v>0.0</v>
      </c>
      <c r="U72" s="5">
        <v>0.0</v>
      </c>
    </row>
    <row r="73" outlineLevel="1">
      <c r="B73" s="0" t="inlineStr">
        <is>
          <t xml:space="preserve">PLAINVILLE ELECTRICAL PRODUCTS COMPANY, THE</t>
        </is>
      </c>
      <c r="C73" s="0" t="inlineStr">
        <is>
          <t xml:space="preserve">WVW5FMYALEL6</t>
        </is>
      </c>
      <c r="D73" s="0" t="inlineStr">
        <is>
          <t xml:space="preserve">USA</t>
        </is>
      </c>
      <c r="E73" s="0" t="inlineStr">
        <is>
          <t xml:space="preserve">3353</t>
        </is>
      </c>
      <c r="F73" s="0" t="inlineStr">
        <is>
          <t xml:space="preserve">Switchgear and Switchboard Apparatus Manufacturing</t>
        </is>
      </c>
      <c r="G73" s="5">
        <v>20.80081885</v>
      </c>
      <c r="H73" s="0" t="inlineStr">
        <is>
          <t xml:space="preserve">supplier</t>
        </is>
      </c>
      <c r="I73" s="0" t="inlineStr">
        <is>
          <t xml:space="preserve">electrical</t>
        </is>
      </c>
      <c r="J73" s="0" t="inlineStr">
        <is>
          <t xml:space="preserve">registry</t>
        </is>
      </c>
      <c r="K73" s="5">
        <v>0</v>
      </c>
      <c r="L73" s="5">
        <v>0</v>
      </c>
      <c r="M73" s="5">
        <v>20.80081885</v>
      </c>
      <c r="N73" s="5">
        <v>0.0</v>
      </c>
      <c r="O73" s="5">
        <v>0.0</v>
      </c>
      <c r="P73" s="5">
        <v>0.0</v>
      </c>
      <c r="Q73" s="5">
        <v>0.0</v>
      </c>
      <c r="R73" s="5">
        <v>-0.05022899</v>
      </c>
      <c r="S73" s="5">
        <v>4.9692099</v>
      </c>
      <c r="T73" s="5">
        <v>5.555349</v>
      </c>
      <c r="U73" s="5">
        <v>7.406556940000001</v>
      </c>
    </row>
    <row r="74" outlineLevel="1">
      <c r="B74" s="0" t="inlineStr">
        <is>
          <t xml:space="preserve">CATERPILLAR INC</t>
        </is>
      </c>
      <c r="C74" s="0" t="inlineStr">
        <is>
          <t xml:space="preserve">C9C6HPQLL4A8</t>
        </is>
      </c>
      <c r="D74" s="0" t="inlineStr">
        <is>
          <t xml:space="preserve">-</t>
        </is>
      </c>
      <c r="E74" s="0" t="inlineStr">
        <is>
          <t xml:space="preserve">-</t>
        </is>
      </c>
      <c r="F74" s="0" t="inlineStr">
        <is>
          <t xml:space="preserve">-</t>
        </is>
      </c>
      <c r="G74" s="5">
        <v>19.51558831</v>
      </c>
      <c r="H74" s="0" t="inlineStr">
        <is>
          <t xml:space="preserve">supplier</t>
        </is>
      </c>
      <c r="I74" s="0" t="inlineStr">
        <is>
          <t xml:space="preserve">electrical</t>
        </is>
      </c>
      <c r="J74" s="0" t="inlineStr">
        <is>
          <t xml:space="preserve">registry</t>
        </is>
      </c>
      <c r="K74" s="5">
        <v>0</v>
      </c>
      <c r="L74" s="5">
        <v>0</v>
      </c>
      <c r="M74" s="5">
        <v>19.51558831</v>
      </c>
      <c r="N74" s="5">
        <v>0.0</v>
      </c>
      <c r="O74" s="5">
        <v>0.0</v>
      </c>
      <c r="P74" s="5">
        <v>0.0</v>
      </c>
      <c r="Q74" s="5">
        <v>0.0</v>
      </c>
      <c r="R74" s="5">
        <v>2.2085759400000002</v>
      </c>
      <c r="S74" s="5">
        <v>11.946274159999998</v>
      </c>
      <c r="T74" s="5">
        <v>5.36073821</v>
      </c>
      <c r="U74" s="5">
        <v>0.0</v>
      </c>
    </row>
    <row r="75" outlineLevel="1">
      <c r="B75" s="0" t="inlineStr">
        <is>
          <t xml:space="preserve">CRAFT MACHINE WORKS, INC.</t>
        </is>
      </c>
      <c r="C75" s="0" t="inlineStr">
        <is>
          <t xml:space="preserve">CW48SQ7KJX68</t>
        </is>
      </c>
      <c r="D75" s="0" t="inlineStr">
        <is>
          <t xml:space="preserve">USA</t>
        </is>
      </c>
      <c r="E75" s="0" t="inlineStr">
        <is>
          <t xml:space="preserve">3366</t>
        </is>
      </c>
      <c r="F75" s="0" t="inlineStr">
        <is>
          <t xml:space="preserve">Ship Building and Repairing</t>
        </is>
      </c>
      <c r="G75" s="5">
        <v>19.480985840000006</v>
      </c>
      <c r="H75" s="0" t="inlineStr">
        <is>
          <t xml:space="preserve">supplier</t>
        </is>
      </c>
      <c r="I75" s="0" t="inlineStr">
        <is>
          <t xml:space="preserve">structural</t>
        </is>
      </c>
      <c r="J75" s="0" t="inlineStr">
        <is>
          <t xml:space="preserve">naics4</t>
        </is>
      </c>
      <c r="K75" s="5">
        <v>0</v>
      </c>
      <c r="L75" s="5">
        <v>0</v>
      </c>
      <c r="M75" s="5">
        <v>19.480985840000006</v>
      </c>
      <c r="N75" s="5">
        <v>2.7999132400000004</v>
      </c>
      <c r="O75" s="5">
        <v>0.42451967</v>
      </c>
      <c r="P75" s="5">
        <v>1.6034268600000001</v>
      </c>
      <c r="Q75" s="5">
        <v>0.2068492</v>
      </c>
      <c r="R75" s="5">
        <v>1.62734263</v>
      </c>
      <c r="S75" s="5">
        <v>4.93977746</v>
      </c>
      <c r="T75" s="5">
        <v>6.46411916</v>
      </c>
      <c r="U75" s="5">
        <v>0.9884036199999998</v>
      </c>
    </row>
    <row r="76" outlineLevel="1">
      <c r="B76" s="0" t="inlineStr">
        <is>
          <t xml:space="preserve">EURO MACHINERY SPECIALISTS</t>
        </is>
      </c>
      <c r="C76" s="0" t="inlineStr">
        <is>
          <t xml:space="preserve">GJNEBDUDNTA1</t>
        </is>
      </c>
      <c r="D76" s="0" t="inlineStr">
        <is>
          <t xml:space="preserve">USA</t>
        </is>
      </c>
      <c r="E76" s="0" t="inlineStr">
        <is>
          <t xml:space="preserve">8113</t>
        </is>
      </c>
      <c r="F76" s="0" t="inlineStr">
        <is>
          <t xml:space="preserve">Commercial and Industrial Machinery and Equipment (except Automotive and Electronic) Repair and Maintenance</t>
        </is>
      </c>
      <c r="G76" s="5">
        <v>19.003852</v>
      </c>
      <c r="H76" s="0" t="inlineStr">
        <is>
          <t xml:space="preserve">service</t>
        </is>
      </c>
      <c r="I76" s="0" t="inlineStr">
        <is>
          <t xml:space="preserve">-</t>
        </is>
      </c>
      <c r="J76" s="0" t="inlineStr">
        <is>
          <t xml:space="preserve">registry</t>
        </is>
      </c>
      <c r="K76" s="5">
        <v>0</v>
      </c>
      <c r="L76" s="5">
        <v>0</v>
      </c>
      <c r="M76" s="5">
        <v>19.003852</v>
      </c>
      <c r="N76" s="5">
        <v>0.0</v>
      </c>
      <c r="O76" s="5">
        <v>0.0</v>
      </c>
      <c r="P76" s="5">
        <v>0.0</v>
      </c>
      <c r="Q76" s="5">
        <v>0.0</v>
      </c>
      <c r="R76" s="5">
        <v>0.0</v>
      </c>
      <c r="S76" s="5">
        <v>0.2195</v>
      </c>
      <c r="T76" s="5">
        <v>0.0</v>
      </c>
      <c r="U76" s="5">
        <v>0.0</v>
      </c>
    </row>
    <row r="77" outlineLevel="1">
      <c r="B77" s="0" t="inlineStr">
        <is>
          <t xml:space="preserve">ULTRA ELECTRONICS HOLDINGS PLC</t>
        </is>
      </c>
      <c r="C77" s="0" t="inlineStr">
        <is>
          <t xml:space="preserve">F42BKS7EHCL8</t>
        </is>
      </c>
      <c r="D77" s="0" t="inlineStr">
        <is>
          <t xml:space="preserve">USA</t>
        </is>
      </c>
      <c r="E77" s="0" t="inlineStr">
        <is>
          <t xml:space="preserve">3344</t>
        </is>
      </c>
      <c r="F77" s="0" t="inlineStr">
        <is>
          <t xml:space="preserve">Capacitor, Resistor, Coil, Transformer, and Other Inductor Manufacturing</t>
        </is>
      </c>
      <c r="G77" s="5">
        <v>18.45972216</v>
      </c>
      <c r="H77" s="0" t="inlineStr">
        <is>
          <t xml:space="preserve">mission_systems</t>
        </is>
      </c>
      <c r="I77" s="0" t="inlineStr">
        <is>
          <t xml:space="preserve">-</t>
        </is>
      </c>
      <c r="J77" s="0" t="inlineStr">
        <is>
          <t xml:space="preserve">registry</t>
        </is>
      </c>
      <c r="K77" s="5">
        <v>0</v>
      </c>
      <c r="L77" s="5">
        <v>0</v>
      </c>
      <c r="M77" s="5">
        <v>18.45972216</v>
      </c>
      <c r="N77" s="5">
        <v>0.318</v>
      </c>
      <c r="O77" s="5">
        <v>0.0</v>
      </c>
      <c r="P77" s="5">
        <v>0.0</v>
      </c>
      <c r="Q77" s="5">
        <v>0.0</v>
      </c>
      <c r="R77" s="5">
        <v>0.0</v>
      </c>
      <c r="S77" s="5">
        <v>0.0</v>
      </c>
      <c r="T77" s="5">
        <v>0.0</v>
      </c>
      <c r="U77" s="5">
        <v>0.0</v>
      </c>
    </row>
    <row r="78" outlineLevel="1">
      <c r="B78" s="0" t="inlineStr">
        <is>
          <t xml:space="preserve">BEAST CODE LLC</t>
        </is>
      </c>
      <c r="C78" s="0" t="inlineStr">
        <is>
          <t xml:space="preserve">DA1PDLWQ7BH4</t>
        </is>
      </c>
      <c r="D78" s="0" t="inlineStr">
        <is>
          <t xml:space="preserve">USA</t>
        </is>
      </c>
      <c r="E78" s="0" t="inlineStr">
        <is>
          <t xml:space="preserve">5132</t>
        </is>
      </c>
      <c r="F78" s="0" t="inlineStr">
        <is>
          <t xml:space="preserve">Software Publishers</t>
        </is>
      </c>
      <c r="G78" s="5">
        <v>17.571750790000003</v>
      </c>
      <c r="H78" s="0" t="inlineStr">
        <is>
          <t xml:space="preserve">service</t>
        </is>
      </c>
      <c r="I78" s="0" t="inlineStr">
        <is>
          <t xml:space="preserve">-</t>
        </is>
      </c>
      <c r="J78" s="0" t="inlineStr">
        <is>
          <t xml:space="preserve">service NAICS</t>
        </is>
      </c>
      <c r="K78" s="5">
        <v>0</v>
      </c>
      <c r="L78" s="5">
        <v>0</v>
      </c>
      <c r="M78" s="5">
        <v>17.571750790000003</v>
      </c>
      <c r="N78" s="5">
        <v>0.0</v>
      </c>
      <c r="O78" s="5">
        <v>0.0</v>
      </c>
      <c r="P78" s="5">
        <v>0.0</v>
      </c>
      <c r="Q78" s="5">
        <v>0.0</v>
      </c>
      <c r="R78" s="5">
        <v>2.16855214</v>
      </c>
      <c r="S78" s="5">
        <v>2.2039768399999997</v>
      </c>
      <c r="T78" s="5">
        <v>11.032471809999999</v>
      </c>
      <c r="U78" s="5">
        <v>0.0</v>
      </c>
    </row>
    <row r="79" outlineLevel="1">
      <c r="B79" s="0" t="inlineStr">
        <is>
          <t xml:space="preserve">PARKER-HANNIFIN CORPORATION</t>
        </is>
      </c>
      <c r="C79" s="0" t="inlineStr">
        <is>
          <t xml:space="preserve">N5KMLMXEPFM5</t>
        </is>
      </c>
      <c r="D79" s="0" t="inlineStr">
        <is>
          <t xml:space="preserve">USA</t>
        </is>
      </c>
      <c r="E79" s="0" t="inlineStr">
        <is>
          <t xml:space="preserve">5511</t>
        </is>
      </c>
      <c r="F79" s="0" t="inlineStr">
        <is>
          <t xml:space="preserve">Corporate, Subsidiary, and Regional Managing Offices</t>
        </is>
      </c>
      <c r="G79" s="5">
        <v>17.1422817</v>
      </c>
      <c r="H79" s="0" t="inlineStr">
        <is>
          <t xml:space="preserve">supplier</t>
        </is>
      </c>
      <c r="I79" s="0" t="inlineStr">
        <is>
          <t xml:space="preserve">piping</t>
        </is>
      </c>
      <c r="J79" s="0" t="inlineStr">
        <is>
          <t xml:space="preserve">registry</t>
        </is>
      </c>
      <c r="K79" s="5">
        <v>0</v>
      </c>
      <c r="L79" s="5">
        <v>0</v>
      </c>
      <c r="M79" s="5">
        <v>17.1422817</v>
      </c>
      <c r="N79" s="5">
        <v>0.0</v>
      </c>
      <c r="O79" s="5">
        <v>0.05</v>
      </c>
      <c r="P79" s="5">
        <v>0.04</v>
      </c>
      <c r="Q79" s="5">
        <v>0.0</v>
      </c>
      <c r="R79" s="5">
        <v>0.0</v>
      </c>
      <c r="S79" s="5">
        <v>0.79238748</v>
      </c>
      <c r="T79" s="5">
        <v>7.658954</v>
      </c>
      <c r="U79" s="5">
        <v>0.0</v>
      </c>
    </row>
    <row r="80" outlineLevel="1">
      <c r="B80" s="0" t="inlineStr">
        <is>
          <t xml:space="preserve">DELTAK MANUFACTURING, INC.</t>
        </is>
      </c>
      <c r="C80" s="0" t="inlineStr">
        <is>
          <t xml:space="preserve">C256E427Q518</t>
        </is>
      </c>
      <c r="D80" s="0" t="inlineStr">
        <is>
          <t xml:space="preserve">USA</t>
        </is>
      </c>
      <c r="E80" s="0" t="inlineStr">
        <is>
          <t xml:space="preserve">3323</t>
        </is>
      </c>
      <c r="F80" s="0" t="inlineStr">
        <is>
          <t xml:space="preserve">Ornamental and Architectural Metal Work Manufacturing</t>
        </is>
      </c>
      <c r="G80" s="5">
        <v>16.4101013</v>
      </c>
      <c r="H80" s="0" t="inlineStr">
        <is>
          <t xml:space="preserve">supplier</t>
        </is>
      </c>
      <c r="I80" s="0" t="inlineStr">
        <is>
          <t xml:space="preserve">structural</t>
        </is>
      </c>
      <c r="J80" s="0" t="inlineStr">
        <is>
          <t xml:space="preserve">naics4</t>
        </is>
      </c>
      <c r="K80" s="5">
        <v>0</v>
      </c>
      <c r="L80" s="5">
        <v>0</v>
      </c>
      <c r="M80" s="5">
        <v>16.4101013</v>
      </c>
      <c r="N80" s="5">
        <v>13.21445436</v>
      </c>
      <c r="O80" s="5">
        <v>0.0</v>
      </c>
      <c r="P80" s="5">
        <v>0.0</v>
      </c>
      <c r="Q80" s="5">
        <v>0.0</v>
      </c>
      <c r="R80" s="5">
        <v>0.0</v>
      </c>
      <c r="S80" s="5">
        <v>0.0</v>
      </c>
      <c r="T80" s="5">
        <v>0.0</v>
      </c>
      <c r="U80" s="5">
        <v>0.0</v>
      </c>
    </row>
    <row r="81" outlineLevel="1">
      <c r="B81" s="0" t="inlineStr">
        <is>
          <t xml:space="preserve">L3HARRIS TECHNOLOGIES, INC.</t>
        </is>
      </c>
      <c r="C81" s="0" t="inlineStr">
        <is>
          <t xml:space="preserve">PTMFLMD2CUB4</t>
        </is>
      </c>
      <c r="D81" s="0" t="inlineStr">
        <is>
          <t xml:space="preserve">USA</t>
        </is>
      </c>
      <c r="E81" s="0" t="inlineStr">
        <is>
          <t xml:space="preserve">3345</t>
        </is>
      </c>
      <c r="F81" s="0" t="inlineStr">
        <is>
          <t xml:space="preserve">Search, Detection, Navigation, Guidance, Aeronautical, and Nautical System and Instrument Manufacturing</t>
        </is>
      </c>
      <c r="G81" s="5">
        <v>16.362501499999997</v>
      </c>
      <c r="H81" s="0" t="inlineStr">
        <is>
          <t xml:space="preserve">supplier</t>
        </is>
      </c>
      <c r="I81" s="0" t="inlineStr">
        <is>
          <t xml:space="preserve">unbucketed</t>
        </is>
      </c>
      <c r="J81" s="0" t="inlineStr">
        <is>
          <t xml:space="preserve">vendor-override</t>
        </is>
      </c>
      <c r="K81" s="5">
        <v>0</v>
      </c>
      <c r="L81" s="5">
        <v>0</v>
      </c>
      <c r="M81" s="5">
        <v>16.362501499999997</v>
      </c>
      <c r="N81" s="5">
        <v>0.0</v>
      </c>
      <c r="O81" s="5">
        <v>0.0</v>
      </c>
      <c r="P81" s="5">
        <v>0.0</v>
      </c>
      <c r="Q81" s="5">
        <v>0.0</v>
      </c>
      <c r="R81" s="5">
        <v>0.051664</v>
      </c>
      <c r="S81" s="5">
        <v>0.0</v>
      </c>
      <c r="T81" s="5">
        <v>0.0</v>
      </c>
      <c r="U81" s="5">
        <v>0.0</v>
      </c>
    </row>
    <row r="82" outlineLevel="1">
      <c r="B82" s="0" t="inlineStr">
        <is>
          <t xml:space="preserve">ESPEY MFG AND ELECTRONICS CORP</t>
        </is>
      </c>
      <c r="C82" s="0" t="inlineStr">
        <is>
          <t xml:space="preserve">Z89SS59265U9</t>
        </is>
      </c>
      <c r="D82" s="0" t="inlineStr">
        <is>
          <t xml:space="preserve">USA</t>
        </is>
      </c>
      <c r="E82" s="0" t="inlineStr">
        <is>
          <t xml:space="preserve">3359</t>
        </is>
      </c>
      <c r="F82" s="0" t="inlineStr">
        <is>
          <t xml:space="preserve">All Other Miscellaneous Electrical Equipment and Component Manufacturing</t>
        </is>
      </c>
      <c r="G82" s="5">
        <v>16.159300279999997</v>
      </c>
      <c r="H82" s="0" t="inlineStr">
        <is>
          <t xml:space="preserve">supplier</t>
        </is>
      </c>
      <c r="I82" s="0" t="inlineStr">
        <is>
          <t xml:space="preserve">electrical</t>
        </is>
      </c>
      <c r="J82" s="0" t="inlineStr">
        <is>
          <t xml:space="preserve">registry</t>
        </is>
      </c>
      <c r="K82" s="5">
        <v>0</v>
      </c>
      <c r="L82" s="5">
        <v>0</v>
      </c>
      <c r="M82" s="5">
        <v>16.159300279999997</v>
      </c>
      <c r="N82" s="5">
        <v>0.9624600000000001</v>
      </c>
      <c r="O82" s="5">
        <v>0.414415</v>
      </c>
      <c r="P82" s="5">
        <v>-0.02538</v>
      </c>
      <c r="Q82" s="5">
        <v>0.035</v>
      </c>
      <c r="R82" s="5">
        <v>6.7417276</v>
      </c>
      <c r="S82" s="5">
        <v>4.4381255600000005</v>
      </c>
      <c r="T82" s="5">
        <v>0.6143044799999999</v>
      </c>
      <c r="U82" s="5">
        <v>3.0013140000000003</v>
      </c>
    </row>
    <row r="83" outlineLevel="1">
      <c r="B83" s="0" t="inlineStr">
        <is>
          <t xml:space="preserve">HAMILL MANUFACTURING COMPANY</t>
        </is>
      </c>
      <c r="C83" s="0" t="inlineStr">
        <is>
          <t xml:space="preserve">E84NNWLU6RK3</t>
        </is>
      </c>
      <c r="D83" s="0" t="inlineStr">
        <is>
          <t xml:space="preserve">USA</t>
        </is>
      </c>
      <c r="E83" s="0" t="inlineStr">
        <is>
          <t xml:space="preserve">3327</t>
        </is>
      </c>
      <c r="F83" s="0" t="inlineStr">
        <is>
          <t xml:space="preserve">Machine Shops</t>
        </is>
      </c>
      <c r="G83" s="5">
        <v>16.126447</v>
      </c>
      <c r="H83" s="0" t="inlineStr">
        <is>
          <t xml:space="preserve">supplier</t>
        </is>
      </c>
      <c r="I83" s="0" t="inlineStr">
        <is>
          <t xml:space="preserve">machining</t>
        </is>
      </c>
      <c r="J83" s="0" t="inlineStr">
        <is>
          <t xml:space="preserve">naics4</t>
        </is>
      </c>
      <c r="K83" s="5">
        <v>0</v>
      </c>
      <c r="L83" s="5">
        <v>0</v>
      </c>
      <c r="M83" s="5">
        <v>0.0</v>
      </c>
      <c r="N83" s="5">
        <v>0.0</v>
      </c>
      <c r="O83" s="5">
        <v>0.0</v>
      </c>
      <c r="P83" s="5">
        <v>0.0</v>
      </c>
      <c r="Q83" s="5">
        <v>0.0</v>
      </c>
      <c r="R83" s="5">
        <v>0.0</v>
      </c>
      <c r="S83" s="5">
        <v>0.0</v>
      </c>
      <c r="T83" s="5">
        <v>0.0</v>
      </c>
      <c r="U83" s="5">
        <v>0.0</v>
      </c>
    </row>
    <row r="84" outlineLevel="1">
      <c r="B84" s="0" t="inlineStr">
        <is>
          <t xml:space="preserve">BABCOCK INTERNATIONAL GROUP PLC</t>
        </is>
      </c>
      <c r="C84" s="0" t="inlineStr">
        <is>
          <t xml:space="preserve">DK2SLQURMJF3</t>
        </is>
      </c>
      <c r="D84" s="0" t="inlineStr">
        <is>
          <t xml:space="preserve">Foreign</t>
        </is>
      </c>
      <c r="E84" s="0" t="inlineStr">
        <is>
          <t xml:space="preserve">-</t>
        </is>
      </c>
      <c r="F84" s="0" t="inlineStr">
        <is>
          <t xml:space="preserve">-</t>
        </is>
      </c>
      <c r="G84" s="5">
        <v>15.96022132</v>
      </c>
      <c r="H84" s="0" t="inlineStr">
        <is>
          <t xml:space="preserve">foreign_fms</t>
        </is>
      </c>
      <c r="I84" s="0" t="inlineStr">
        <is>
          <t xml:space="preserve">-</t>
        </is>
      </c>
      <c r="J84" s="0" t="inlineStr">
        <is>
          <t xml:space="preserve">foreign flag</t>
        </is>
      </c>
      <c r="K84" s="5">
        <v>0</v>
      </c>
      <c r="L84" s="5">
        <v>0</v>
      </c>
      <c r="M84" s="5">
        <v>15.96022132</v>
      </c>
      <c r="N84" s="5">
        <v>0.0</v>
      </c>
      <c r="O84" s="5">
        <v>0.0</v>
      </c>
      <c r="P84" s="5">
        <v>0.0</v>
      </c>
      <c r="Q84" s="5">
        <v>0.0</v>
      </c>
      <c r="R84" s="5">
        <v>0.361476</v>
      </c>
      <c r="S84" s="5">
        <v>0.0</v>
      </c>
      <c r="T84" s="5">
        <v>0.0</v>
      </c>
      <c r="U84" s="5">
        <v>0.0</v>
      </c>
    </row>
    <row r="85" outlineLevel="1">
      <c r="B85" s="0" t="inlineStr">
        <is>
          <t xml:space="preserve">HUNTINGTON INGALLS INDUSTRIES, INC.</t>
        </is>
      </c>
      <c r="C85" s="0" t="inlineStr">
        <is>
          <t xml:space="preserve">WMXDDH6HJNA5</t>
        </is>
      </c>
      <c r="D85" s="0" t="inlineStr">
        <is>
          <t xml:space="preserve">USA</t>
        </is>
      </c>
      <c r="E85" s="0" t="inlineStr">
        <is>
          <t xml:space="preserve">3366</t>
        </is>
      </c>
      <c r="F85" s="0" t="inlineStr">
        <is>
          <t xml:space="preserve">Ship Building and Repairing</t>
        </is>
      </c>
      <c r="G85" s="5">
        <v>15.574211</v>
      </c>
      <c r="H85" s="0" t="inlineStr">
        <is>
          <t xml:space="preserve">prime</t>
        </is>
      </c>
      <c r="I85" s="0" t="inlineStr">
        <is>
          <t xml:space="preserve">-</t>
        </is>
      </c>
      <c r="J85" s="0" t="inlineStr">
        <is>
          <t xml:space="preserve">registry</t>
        </is>
      </c>
      <c r="K85" s="5">
        <v>0</v>
      </c>
      <c r="L85" s="5">
        <v>0</v>
      </c>
      <c r="M85" s="5">
        <v>15.574211</v>
      </c>
      <c r="N85" s="5">
        <v>0.0</v>
      </c>
      <c r="O85" s="5">
        <v>0.0</v>
      </c>
      <c r="P85" s="5">
        <v>0.0</v>
      </c>
      <c r="Q85" s="5">
        <v>0.0</v>
      </c>
      <c r="R85" s="5">
        <v>0.0</v>
      </c>
      <c r="S85" s="5">
        <v>0.0</v>
      </c>
      <c r="T85" s="5">
        <v>0.0</v>
      </c>
      <c r="U85" s="5">
        <v>0.0</v>
      </c>
    </row>
    <row r="86" outlineLevel="1">
      <c r="B86" s="0" t="inlineStr">
        <is>
          <t xml:space="preserve">COLLINS &amp; JEWELL COMPANY, INC.</t>
        </is>
      </c>
      <c r="C86" s="0" t="inlineStr">
        <is>
          <t xml:space="preserve">TY25RCEB5FF3</t>
        </is>
      </c>
      <c r="D86" s="0" t="inlineStr">
        <is>
          <t xml:space="preserve">USA</t>
        </is>
      </c>
      <c r="E86" s="0" t="inlineStr">
        <is>
          <t xml:space="preserve">3329</t>
        </is>
      </c>
      <c r="F86" s="0" t="inlineStr">
        <is>
          <t xml:space="preserve">All Other Miscellaneous Fabricated Metal Product Manufacturing</t>
        </is>
      </c>
      <c r="G86" s="5">
        <v>15.564475990000005</v>
      </c>
      <c r="H86" s="0" t="inlineStr">
        <is>
          <t xml:space="preserve">supplier</t>
        </is>
      </c>
      <c r="I86" s="0" t="inlineStr">
        <is>
          <t xml:space="preserve">piping</t>
        </is>
      </c>
      <c r="J86" s="0" t="inlineStr">
        <is>
          <t xml:space="preserve">naics4</t>
        </is>
      </c>
      <c r="K86" s="5">
        <v>0</v>
      </c>
      <c r="L86" s="5">
        <v>0</v>
      </c>
      <c r="M86" s="5">
        <v>15.564475990000005</v>
      </c>
      <c r="N86" s="5">
        <v>0.6477906400000001</v>
      </c>
      <c r="O86" s="5">
        <v>0.343794</v>
      </c>
      <c r="P86" s="5">
        <v>0.134161</v>
      </c>
      <c r="Q86" s="5">
        <v>2.954589</v>
      </c>
      <c r="R86" s="5">
        <v>0.1</v>
      </c>
      <c r="S86" s="5">
        <v>3.1754117599999994</v>
      </c>
      <c r="T86" s="5">
        <v>1.21073</v>
      </c>
      <c r="U86" s="5">
        <v>0.091166</v>
      </c>
    </row>
    <row r="87" outlineLevel="1">
      <c r="B87" s="0" t="inlineStr">
        <is>
          <t xml:space="preserve">SCOT FORGE CO</t>
        </is>
      </c>
      <c r="C87" s="0" t="inlineStr">
        <is>
          <t xml:space="preserve">N1PJDANWUJ61</t>
        </is>
      </c>
      <c r="D87" s="0" t="inlineStr">
        <is>
          <t xml:space="preserve">USA</t>
        </is>
      </c>
      <c r="E87" s="0" t="inlineStr">
        <is>
          <t xml:space="preserve">3321</t>
        </is>
      </c>
      <c r="F87" s="0" t="inlineStr">
        <is>
          <t xml:space="preserve">Iron and Steel Forging</t>
        </is>
      </c>
      <c r="G87" s="5">
        <v>15.282737000000003</v>
      </c>
      <c r="H87" s="0" t="inlineStr">
        <is>
          <t xml:space="preserve">supplier</t>
        </is>
      </c>
      <c r="I87" s="0" t="inlineStr">
        <is>
          <t xml:space="preserve">castings</t>
        </is>
      </c>
      <c r="J87" s="0" t="inlineStr">
        <is>
          <t xml:space="preserve">registry</t>
        </is>
      </c>
      <c r="K87" s="5">
        <v>0</v>
      </c>
      <c r="L87" s="5">
        <v>0</v>
      </c>
      <c r="M87" s="5">
        <v>15.282737000000003</v>
      </c>
      <c r="N87" s="5">
        <v>1.859772</v>
      </c>
      <c r="O87" s="5">
        <v>4.381529</v>
      </c>
      <c r="P87" s="5">
        <v>0.59185</v>
      </c>
      <c r="Q87" s="5">
        <v>0.0</v>
      </c>
      <c r="R87" s="5">
        <v>0.795855</v>
      </c>
      <c r="S87" s="5">
        <v>2.192299</v>
      </c>
      <c r="T87" s="5">
        <v>5.461432</v>
      </c>
      <c r="U87" s="5">
        <v>0.0</v>
      </c>
    </row>
    <row r="88" outlineLevel="1">
      <c r="B88" s="0" t="inlineStr">
        <is>
          <t xml:space="preserve">CUNICO CORPORATION</t>
        </is>
      </c>
      <c r="C88" s="0" t="inlineStr">
        <is>
          <t xml:space="preserve">RLXQHCXFT513</t>
        </is>
      </c>
      <c r="D88" s="0" t="inlineStr">
        <is>
          <t xml:space="preserve">USA</t>
        </is>
      </c>
      <c r="E88" s="0" t="inlineStr">
        <is>
          <t xml:space="preserve">3329</t>
        </is>
      </c>
      <c r="F88" s="0" t="inlineStr">
        <is>
          <t xml:space="preserve">Fabricated Pipe and Pipe Fitting Manufacturing</t>
        </is>
      </c>
      <c r="G88" s="5">
        <v>15.195585269999999</v>
      </c>
      <c r="H88" s="0" t="inlineStr">
        <is>
          <t xml:space="preserve">supplier</t>
        </is>
      </c>
      <c r="I88" s="0" t="inlineStr">
        <is>
          <t xml:space="preserve">piping</t>
        </is>
      </c>
      <c r="J88" s="0" t="inlineStr">
        <is>
          <t xml:space="preserve">registry</t>
        </is>
      </c>
      <c r="K88" s="5">
        <v>0</v>
      </c>
      <c r="L88" s="5">
        <v>0</v>
      </c>
      <c r="M88" s="5">
        <v>15.195585269999999</v>
      </c>
      <c r="N88" s="5">
        <v>0.0539916</v>
      </c>
      <c r="O88" s="5">
        <v>1.08174191</v>
      </c>
      <c r="P88" s="5">
        <v>0.063163</v>
      </c>
      <c r="Q88" s="5">
        <v>12.97916806</v>
      </c>
      <c r="R88" s="5">
        <v>0.122456</v>
      </c>
      <c r="S88" s="5">
        <v>0.0</v>
      </c>
      <c r="T88" s="5">
        <v>0.043314</v>
      </c>
      <c r="U88" s="5">
        <v>0.827026</v>
      </c>
    </row>
    <row r="89" outlineLevel="1">
      <c r="B89" s="0" t="inlineStr">
        <is>
          <t xml:space="preserve">L-3 COMMUNICATIONS HOLDINGS, INC.</t>
        </is>
      </c>
      <c r="C89" s="0" t="inlineStr">
        <is>
          <t xml:space="preserve">HLVNZXU8EAM1</t>
        </is>
      </c>
      <c r="D89" s="0" t="inlineStr">
        <is>
          <t xml:space="preserve">-</t>
        </is>
      </c>
      <c r="E89" s="0" t="inlineStr">
        <is>
          <t xml:space="preserve">-</t>
        </is>
      </c>
      <c r="F89" s="0" t="inlineStr">
        <is>
          <t xml:space="preserve">-</t>
        </is>
      </c>
      <c r="G89" s="5">
        <v>15.175343999999999</v>
      </c>
      <c r="H89" s="0" t="inlineStr">
        <is>
          <t xml:space="preserve">mission_systems</t>
        </is>
      </c>
      <c r="I89" s="0" t="inlineStr">
        <is>
          <t xml:space="preserve">-</t>
        </is>
      </c>
      <c r="J89" s="0" t="inlineStr">
        <is>
          <t xml:space="preserve">registry</t>
        </is>
      </c>
      <c r="K89" s="5">
        <v>0</v>
      </c>
      <c r="L89" s="5">
        <v>0</v>
      </c>
      <c r="M89" s="5">
        <v>0.0</v>
      </c>
      <c r="N89" s="5">
        <v>0.0</v>
      </c>
      <c r="O89" s="5">
        <v>0.0</v>
      </c>
      <c r="P89" s="5">
        <v>0.0</v>
      </c>
      <c r="Q89" s="5">
        <v>0.0</v>
      </c>
      <c r="R89" s="5">
        <v>0.0</v>
      </c>
      <c r="S89" s="5">
        <v>0.0</v>
      </c>
      <c r="T89" s="5">
        <v>0.0</v>
      </c>
      <c r="U89" s="5">
        <v>0.0</v>
      </c>
    </row>
    <row r="90" outlineLevel="1">
      <c r="B90" s="0" t="inlineStr">
        <is>
          <t xml:space="preserve">FLUID CONDITIONING PRODUCTS, INC.</t>
        </is>
      </c>
      <c r="C90" s="0" t="inlineStr">
        <is>
          <t xml:space="preserve">FMC8BKMNMKF2</t>
        </is>
      </c>
      <c r="D90" s="0" t="inlineStr">
        <is>
          <t xml:space="preserve">USA</t>
        </is>
      </c>
      <c r="E90" s="0" t="inlineStr">
        <is>
          <t xml:space="preserve">3399</t>
        </is>
      </c>
      <c r="F90" s="0" t="inlineStr">
        <is>
          <t xml:space="preserve">All Other Miscellaneous Manufacturing</t>
        </is>
      </c>
      <c r="G90" s="5">
        <v>15.16820376000001</v>
      </c>
      <c r="H90" s="0" t="inlineStr">
        <is>
          <t xml:space="preserve">supplier</t>
        </is>
      </c>
      <c r="I90" s="0" t="inlineStr">
        <is>
          <t xml:space="preserve">piping</t>
        </is>
      </c>
      <c r="J90" s="0" t="inlineStr">
        <is>
          <t xml:space="preserve">registry</t>
        </is>
      </c>
      <c r="K90" s="5">
        <v>0</v>
      </c>
      <c r="L90" s="5">
        <v>0</v>
      </c>
      <c r="M90" s="5">
        <v>15.16820376000001</v>
      </c>
      <c r="N90" s="5">
        <v>0.154312</v>
      </c>
      <c r="O90" s="5">
        <v>0.65428393</v>
      </c>
      <c r="P90" s="5">
        <v>4.70890098</v>
      </c>
      <c r="Q90" s="5">
        <v>0.610444</v>
      </c>
      <c r="R90" s="5">
        <v>0.6957820000000001</v>
      </c>
      <c r="S90" s="5">
        <v>2.1536695999999997</v>
      </c>
      <c r="T90" s="5">
        <v>2.06370565</v>
      </c>
      <c r="U90" s="5">
        <v>0.9130653799999998</v>
      </c>
    </row>
    <row r="91" outlineLevel="1">
      <c r="B91" s="0" t="inlineStr">
        <is>
          <t xml:space="preserve">JAMESTOWN METAL MARINE SALES, INC.</t>
        </is>
      </c>
      <c r="C91" s="0" t="inlineStr">
        <is>
          <t xml:space="preserve">QNEXJLA47BM4</t>
        </is>
      </c>
      <c r="D91" s="0" t="inlineStr">
        <is>
          <t xml:space="preserve">USA</t>
        </is>
      </c>
      <c r="E91" s="0" t="inlineStr">
        <is>
          <t xml:space="preserve">3366</t>
        </is>
      </c>
      <c r="F91" s="0" t="inlineStr">
        <is>
          <t xml:space="preserve">Ship Building and Repairing</t>
        </is>
      </c>
      <c r="G91" s="5">
        <v>14.232409</v>
      </c>
      <c r="H91" s="0" t="inlineStr">
        <is>
          <t xml:space="preserve">supplier</t>
        </is>
      </c>
      <c r="I91" s="0" t="inlineStr">
        <is>
          <t xml:space="preserve">structural</t>
        </is>
      </c>
      <c r="J91" s="0" t="inlineStr">
        <is>
          <t xml:space="preserve">registry</t>
        </is>
      </c>
      <c r="K91" s="5">
        <v>0</v>
      </c>
      <c r="L91" s="5">
        <v>0</v>
      </c>
      <c r="M91" s="5">
        <v>14.232409</v>
      </c>
      <c r="N91" s="5">
        <v>0.0</v>
      </c>
      <c r="O91" s="5">
        <v>1.5080030000000002</v>
      </c>
      <c r="P91" s="5">
        <v>0.124984</v>
      </c>
      <c r="Q91" s="5">
        <v>0.1898</v>
      </c>
      <c r="R91" s="5">
        <v>0.080561</v>
      </c>
      <c r="S91" s="5">
        <v>2.772946</v>
      </c>
      <c r="T91" s="5">
        <v>0.503027</v>
      </c>
      <c r="U91" s="5">
        <v>0.0</v>
      </c>
    </row>
    <row r="92" outlineLevel="1">
      <c r="B92" s="0" t="inlineStr">
        <is>
          <t xml:space="preserve">L3HARRIS MARITIME POWER &amp; ENERGY SOLUTIONS, INC.</t>
        </is>
      </c>
      <c r="C92" s="0" t="inlineStr">
        <is>
          <t xml:space="preserve">CFXRGJSB9UB6</t>
        </is>
      </c>
      <c r="D92" s="0" t="inlineStr">
        <is>
          <t xml:space="preserve">USA</t>
        </is>
      </c>
      <c r="E92" s="0" t="inlineStr">
        <is>
          <t xml:space="preserve">3353</t>
        </is>
      </c>
      <c r="F92" s="0" t="inlineStr">
        <is>
          <t xml:space="preserve">Switchgear and Switchboard Apparatus Manufacturing</t>
        </is>
      </c>
      <c r="G92" s="5">
        <v>14.065618</v>
      </c>
      <c r="H92" s="0" t="inlineStr">
        <is>
          <t xml:space="preserve">mission_systems</t>
        </is>
      </c>
      <c r="I92" s="0" t="inlineStr">
        <is>
          <t xml:space="preserve">-</t>
        </is>
      </c>
      <c r="J92" s="0" t="inlineStr">
        <is>
          <t xml:space="preserve">registry</t>
        </is>
      </c>
      <c r="K92" s="5">
        <v>0</v>
      </c>
      <c r="L92" s="5">
        <v>0</v>
      </c>
      <c r="M92" s="5">
        <v>14.065618</v>
      </c>
      <c r="N92" s="5">
        <v>0.0</v>
      </c>
      <c r="O92" s="5">
        <v>0.0</v>
      </c>
      <c r="P92" s="5">
        <v>0.075</v>
      </c>
      <c r="Q92" s="5">
        <v>0.0</v>
      </c>
      <c r="R92" s="5">
        <v>6.1</v>
      </c>
      <c r="S92" s="5">
        <v>2.6399999999999997</v>
      </c>
      <c r="T92" s="5">
        <v>4.951415</v>
      </c>
      <c r="U92" s="5">
        <v>0.0</v>
      </c>
    </row>
    <row r="93" outlineLevel="1">
      <c r="B93" s="0" t="inlineStr">
        <is>
          <t xml:space="preserve">OCEANEERING INTERNATIONAL INC</t>
        </is>
      </c>
      <c r="C93" s="0" t="inlineStr">
        <is>
          <t xml:space="preserve">X6N2CNV552X7</t>
        </is>
      </c>
      <c r="D93" s="0" t="inlineStr">
        <is>
          <t xml:space="preserve">-</t>
        </is>
      </c>
      <c r="E93" s="0" t="inlineStr">
        <is>
          <t xml:space="preserve">-</t>
        </is>
      </c>
      <c r="F93" s="0" t="inlineStr">
        <is>
          <t xml:space="preserve">-</t>
        </is>
      </c>
      <c r="G93" s="5">
        <v>13.940329189999998</v>
      </c>
      <c r="H93" s="0" t="inlineStr">
        <is>
          <t xml:space="preserve">supplier</t>
        </is>
      </c>
      <c r="I93" s="0" t="inlineStr">
        <is>
          <t xml:space="preserve">structural</t>
        </is>
      </c>
      <c r="J93" s="0" t="inlineStr">
        <is>
          <t xml:space="preserve">registry</t>
        </is>
      </c>
      <c r="K93" s="5">
        <v>0</v>
      </c>
      <c r="L93" s="5">
        <v>0</v>
      </c>
      <c r="M93" s="5">
        <v>13.940329189999998</v>
      </c>
      <c r="N93" s="5">
        <v>0.035017</v>
      </c>
      <c r="O93" s="5">
        <v>1.3929990000000003</v>
      </c>
      <c r="P93" s="5">
        <v>0.92913645</v>
      </c>
      <c r="Q93" s="5">
        <v>0.0</v>
      </c>
      <c r="R93" s="5">
        <v>1.00012737</v>
      </c>
      <c r="S93" s="5">
        <v>8.873017670000003</v>
      </c>
      <c r="T93" s="5">
        <v>1.7004757000000004</v>
      </c>
      <c r="U93" s="5">
        <v>0.009556</v>
      </c>
    </row>
    <row r="94" outlineLevel="1">
      <c r="B94" s="0" t="inlineStr">
        <is>
          <t xml:space="preserve">CURTISS-WRIGHT CORPORATION</t>
        </is>
      </c>
      <c r="C94" s="0" t="inlineStr">
        <is>
          <t xml:space="preserve">MSFLXVQVJMG4</t>
        </is>
      </c>
      <c r="D94" s="0" t="inlineStr">
        <is>
          <t xml:space="preserve">USA</t>
        </is>
      </c>
      <c r="E94" s="0" t="inlineStr">
        <is>
          <t xml:space="preserve">3329</t>
        </is>
      </c>
      <c r="F94" s="0" t="inlineStr">
        <is>
          <t xml:space="preserve">Industrial Valve Manufacturing</t>
        </is>
      </c>
      <c r="G94" s="5">
        <v>13.792455</v>
      </c>
      <c r="H94" s="0" t="inlineStr">
        <is>
          <t xml:space="preserve">supplier</t>
        </is>
      </c>
      <c r="I94" s="0" t="inlineStr">
        <is>
          <t xml:space="preserve">piping</t>
        </is>
      </c>
      <c r="J94" s="0" t="inlineStr">
        <is>
          <t xml:space="preserve">naics4</t>
        </is>
      </c>
      <c r="K94" s="5">
        <v>0</v>
      </c>
      <c r="L94" s="5">
        <v>0</v>
      </c>
      <c r="M94" s="5">
        <v>2.291903</v>
      </c>
      <c r="N94" s="5">
        <v>0.0</v>
      </c>
      <c r="O94" s="5">
        <v>0.0</v>
      </c>
      <c r="P94" s="5">
        <v>0.0</v>
      </c>
      <c r="Q94" s="5">
        <v>0.0</v>
      </c>
      <c r="R94" s="5">
        <v>0.1833</v>
      </c>
      <c r="S94" s="5">
        <v>0.31309000000000003</v>
      </c>
      <c r="T94" s="5">
        <v>0.0</v>
      </c>
      <c r="U94" s="5">
        <v>0.0</v>
      </c>
    </row>
    <row r="95" outlineLevel="1">
      <c r="B95" s="0" t="inlineStr">
        <is>
          <t xml:space="preserve">TRIDENT MARITIME SYSTEMS - CAC, LLC</t>
        </is>
      </c>
      <c r="C95" s="0" t="inlineStr">
        <is>
          <t xml:space="preserve">WESDY4U81NP8</t>
        </is>
      </c>
      <c r="D95" s="0" t="inlineStr">
        <is>
          <t xml:space="preserve">USA</t>
        </is>
      </c>
      <c r="E95" s="0" t="inlineStr">
        <is>
          <t xml:space="preserve">3329</t>
        </is>
      </c>
      <c r="F95" s="0" t="inlineStr">
        <is>
          <t xml:space="preserve">Fabricated Pipe and Pipe Fitting Manufacturing</t>
        </is>
      </c>
      <c r="G95" s="5">
        <v>13.602645069999994</v>
      </c>
      <c r="H95" s="0" t="inlineStr">
        <is>
          <t xml:space="preserve">supplier</t>
        </is>
      </c>
      <c r="I95" s="0" t="inlineStr">
        <is>
          <t xml:space="preserve">piping</t>
        </is>
      </c>
      <c r="J95" s="0" t="inlineStr">
        <is>
          <t xml:space="preserve">naics4</t>
        </is>
      </c>
      <c r="K95" s="5">
        <v>0</v>
      </c>
      <c r="L95" s="5">
        <v>0</v>
      </c>
      <c r="M95" s="5">
        <v>13.602645069999994</v>
      </c>
      <c r="N95" s="5">
        <v>0.0</v>
      </c>
      <c r="O95" s="5">
        <v>0.16875703999999997</v>
      </c>
      <c r="P95" s="5">
        <v>2.20673283</v>
      </c>
      <c r="Q95" s="5">
        <v>3.8868510400000003</v>
      </c>
      <c r="R95" s="5">
        <v>0.0</v>
      </c>
      <c r="S95" s="5">
        <v>0.16042247999999998</v>
      </c>
      <c r="T95" s="5">
        <v>6.519035660000002</v>
      </c>
      <c r="U95" s="5">
        <v>0.6608460199999999</v>
      </c>
    </row>
    <row r="96" outlineLevel="1">
      <c r="B96" s="0" t="inlineStr">
        <is>
          <t xml:space="preserve">GENERAL ATOMICS</t>
        </is>
      </c>
      <c r="C96" s="0" t="inlineStr">
        <is>
          <t xml:space="preserve">HW4GNCTLLAM4</t>
        </is>
      </c>
      <c r="D96" s="0" t="inlineStr">
        <is>
          <t xml:space="preserve">-</t>
        </is>
      </c>
      <c r="E96" s="0" t="inlineStr">
        <is>
          <t xml:space="preserve">-</t>
        </is>
      </c>
      <c r="F96" s="0" t="inlineStr">
        <is>
          <t xml:space="preserve">-</t>
        </is>
      </c>
      <c r="G96" s="5">
        <v>13.538118</v>
      </c>
      <c r="H96" s="0" t="inlineStr">
        <is>
          <t xml:space="preserve">supplier</t>
        </is>
      </c>
      <c r="I96" s="0" t="inlineStr">
        <is>
          <t xml:space="preserve">unbucketed</t>
        </is>
      </c>
      <c r="J96" s="0" t="inlineStr">
        <is>
          <t xml:space="preserve">residual</t>
        </is>
      </c>
      <c r="K96" s="5">
        <v>0</v>
      </c>
      <c r="L96" s="5">
        <v>0</v>
      </c>
      <c r="M96" s="5">
        <v>13.538118</v>
      </c>
      <c r="N96" s="5">
        <v>0.0</v>
      </c>
      <c r="O96" s="5">
        <v>0.0</v>
      </c>
      <c r="P96" s="5">
        <v>0.0</v>
      </c>
      <c r="Q96" s="5">
        <v>0.0</v>
      </c>
      <c r="R96" s="5">
        <v>0.0</v>
      </c>
      <c r="S96" s="5">
        <v>13.538118</v>
      </c>
      <c r="T96" s="5">
        <v>0.0</v>
      </c>
      <c r="U96" s="5">
        <v>0.0</v>
      </c>
    </row>
    <row r="97" outlineLevel="1">
      <c r="B97" s="0" t="inlineStr">
        <is>
          <t xml:space="preserve">LEHIGH HEAVY FORGE CORP</t>
        </is>
      </c>
      <c r="C97" s="0" t="inlineStr">
        <is>
          <t xml:space="preserve">D7HNEN3DAN36</t>
        </is>
      </c>
      <c r="D97" s="0" t="inlineStr">
        <is>
          <t xml:space="preserve">-</t>
        </is>
      </c>
      <c r="E97" s="0" t="inlineStr">
        <is>
          <t xml:space="preserve">-</t>
        </is>
      </c>
      <c r="F97" s="0" t="inlineStr">
        <is>
          <t xml:space="preserve">-</t>
        </is>
      </c>
      <c r="G97" s="5">
        <v>13.512982339999999</v>
      </c>
      <c r="H97" s="0" t="inlineStr">
        <is>
          <t xml:space="preserve">supplier</t>
        </is>
      </c>
      <c r="I97" s="0" t="inlineStr">
        <is>
          <t xml:space="preserve">unbucketed</t>
        </is>
      </c>
      <c r="J97" s="0" t="inlineStr">
        <is>
          <t xml:space="preserve">residual</t>
        </is>
      </c>
      <c r="K97" s="5">
        <v>0</v>
      </c>
      <c r="L97" s="5">
        <v>0</v>
      </c>
      <c r="M97" s="5">
        <v>13.512982339999999</v>
      </c>
      <c r="N97" s="5">
        <v>0.0</v>
      </c>
      <c r="O97" s="5">
        <v>0.89253734</v>
      </c>
      <c r="P97" s="5">
        <v>0.806198</v>
      </c>
      <c r="Q97" s="5">
        <v>1.166249</v>
      </c>
      <c r="R97" s="5">
        <v>4.266584</v>
      </c>
      <c r="S97" s="5">
        <v>1.7743780000000002</v>
      </c>
      <c r="T97" s="5">
        <v>4.607036</v>
      </c>
      <c r="U97" s="5">
        <v>0.0</v>
      </c>
    </row>
    <row r="98" outlineLevel="1">
      <c r="B98" s="0" t="inlineStr">
        <is>
          <t xml:space="preserve">LOCKHEED MARTIN CORPORATION</t>
        </is>
      </c>
      <c r="C98" s="0" t="inlineStr">
        <is>
          <t xml:space="preserve">MAENKG4UJLK8</t>
        </is>
      </c>
      <c r="D98" s="0" t="inlineStr">
        <is>
          <t xml:space="preserve">-</t>
        </is>
      </c>
      <c r="E98" s="0" t="inlineStr">
        <is>
          <t xml:space="preserve">-</t>
        </is>
      </c>
      <c r="F98" s="0" t="inlineStr">
        <is>
          <t xml:space="preserve">-</t>
        </is>
      </c>
      <c r="G98" s="5">
        <v>13.412324</v>
      </c>
      <c r="H98" s="0" t="inlineStr">
        <is>
          <t xml:space="preserve">gfe_sib</t>
        </is>
      </c>
      <c r="I98" s="0" t="inlineStr">
        <is>
          <t xml:space="preserve">-</t>
        </is>
      </c>
      <c r="J98" s="0" t="inlineStr">
        <is>
          <t xml:space="preserve">GFE/SIB name</t>
        </is>
      </c>
      <c r="K98" s="5">
        <v>0</v>
      </c>
      <c r="L98" s="5">
        <v>0</v>
      </c>
      <c r="M98" s="5">
        <v>0.0</v>
      </c>
      <c r="N98" s="5">
        <v>0.0</v>
      </c>
      <c r="O98" s="5">
        <v>0.0</v>
      </c>
      <c r="P98" s="5">
        <v>0.0</v>
      </c>
      <c r="Q98" s="5">
        <v>0.0</v>
      </c>
      <c r="R98" s="5">
        <v>0.0</v>
      </c>
      <c r="S98" s="5">
        <v>0.0</v>
      </c>
      <c r="T98" s="5">
        <v>0.0</v>
      </c>
      <c r="U98" s="5">
        <v>0.0</v>
      </c>
    </row>
    <row r="99" outlineLevel="1">
      <c r="B99" s="0" t="inlineStr">
        <is>
          <t xml:space="preserve">AMPHENOL CORPORATION</t>
        </is>
      </c>
      <c r="C99" s="0" t="inlineStr">
        <is>
          <t xml:space="preserve">WREEAHYMRQ45</t>
        </is>
      </c>
      <c r="D99" s="0" t="inlineStr">
        <is>
          <t xml:space="preserve">-</t>
        </is>
      </c>
      <c r="E99" s="0" t="inlineStr">
        <is>
          <t xml:space="preserve">-</t>
        </is>
      </c>
      <c r="F99" s="0" t="inlineStr">
        <is>
          <t xml:space="preserve">-</t>
        </is>
      </c>
      <c r="G99" s="5">
        <v>13.08377918</v>
      </c>
      <c r="H99" s="0" t="inlineStr">
        <is>
          <t xml:space="preserve">supplier</t>
        </is>
      </c>
      <c r="I99" s="0" t="inlineStr">
        <is>
          <t xml:space="preserve">electrical</t>
        </is>
      </c>
      <c r="J99" s="0" t="inlineStr">
        <is>
          <t xml:space="preserve">registry</t>
        </is>
      </c>
      <c r="K99" s="5">
        <v>0</v>
      </c>
      <c r="L99" s="5">
        <v>0</v>
      </c>
      <c r="M99" s="5">
        <v>13.08377918</v>
      </c>
      <c r="N99" s="5">
        <v>0.003375</v>
      </c>
      <c r="O99" s="5">
        <v>0.8155804799999999</v>
      </c>
      <c r="P99" s="5">
        <v>0.0</v>
      </c>
      <c r="Q99" s="5">
        <v>0.0</v>
      </c>
      <c r="R99" s="5">
        <v>2.5239580000000004</v>
      </c>
      <c r="S99" s="5">
        <v>7.011784</v>
      </c>
      <c r="T99" s="5">
        <v>0.0</v>
      </c>
      <c r="U99" s="5">
        <v>0.0</v>
      </c>
    </row>
    <row r="100" outlineLevel="1">
      <c r="B100" s="0" t="inlineStr">
        <is>
          <t xml:space="preserve">RIX INDUSTRIES</t>
        </is>
      </c>
      <c r="C100" s="0" t="inlineStr">
        <is>
          <t xml:space="preserve">V1MQFNQB56Z5</t>
        </is>
      </c>
      <c r="D100" s="0" t="inlineStr">
        <is>
          <t xml:space="preserve">USA</t>
        </is>
      </c>
      <c r="E100" s="0" t="inlineStr">
        <is>
          <t xml:space="preserve">3339</t>
        </is>
      </c>
      <c r="F100" s="0" t="inlineStr">
        <is>
          <t xml:space="preserve">Air and Gas Compressor Manufacturing</t>
        </is>
      </c>
      <c r="G100" s="5">
        <v>12.319257030000001</v>
      </c>
      <c r="H100" s="0" t="inlineStr">
        <is>
          <t xml:space="preserve">supplier</t>
        </is>
      </c>
      <c r="I100" s="0" t="inlineStr">
        <is>
          <t xml:space="preserve">piping</t>
        </is>
      </c>
      <c r="J100" s="0" t="inlineStr">
        <is>
          <t xml:space="preserve">registry</t>
        </is>
      </c>
      <c r="K100" s="5">
        <v>0</v>
      </c>
      <c r="L100" s="5">
        <v>0</v>
      </c>
      <c r="M100" s="5">
        <v>12.319257030000001</v>
      </c>
      <c r="N100" s="5">
        <v>0.0846152</v>
      </c>
      <c r="O100" s="5">
        <v>2.718</v>
      </c>
      <c r="P100" s="5">
        <v>0.0</v>
      </c>
      <c r="Q100" s="5">
        <v>0.4029852</v>
      </c>
      <c r="R100" s="5">
        <v>1.767177</v>
      </c>
      <c r="S100" s="5">
        <v>0.9533906400000001</v>
      </c>
      <c r="T100" s="5">
        <v>0.0</v>
      </c>
      <c r="U100" s="5">
        <v>0.0</v>
      </c>
    </row>
    <row r="101" outlineLevel="1">
      <c r="B101" s="0" t="inlineStr">
        <is>
          <t xml:space="preserve">LAG INTERNATIONAL S.A.</t>
        </is>
      </c>
      <c r="C101" s="0" t="inlineStr">
        <is>
          <t xml:space="preserve">ZFNUGJEGR2Q9</t>
        </is>
      </c>
      <c r="D101" s="0" t="inlineStr">
        <is>
          <t xml:space="preserve">-</t>
        </is>
      </c>
      <c r="E101" s="0" t="inlineStr">
        <is>
          <t xml:space="preserve">-</t>
        </is>
      </c>
      <c r="F101" s="0" t="inlineStr">
        <is>
          <t xml:space="preserve">-</t>
        </is>
      </c>
      <c r="G101" s="5">
        <v>11.916944</v>
      </c>
      <c r="H101" s="0" t="inlineStr">
        <is>
          <t xml:space="preserve">supplier</t>
        </is>
      </c>
      <c r="I101" s="0" t="inlineStr">
        <is>
          <t xml:space="preserve">unbucketed</t>
        </is>
      </c>
      <c r="J101" s="0" t="inlineStr">
        <is>
          <t xml:space="preserve">residual</t>
        </is>
      </c>
      <c r="K101" s="5">
        <v>0</v>
      </c>
      <c r="L101" s="5">
        <v>0</v>
      </c>
      <c r="M101" s="5">
        <v>11.916944</v>
      </c>
      <c r="N101" s="5">
        <v>0.0</v>
      </c>
      <c r="O101" s="5">
        <v>0.0</v>
      </c>
      <c r="P101" s="5">
        <v>0.0</v>
      </c>
      <c r="Q101" s="5">
        <v>0.0</v>
      </c>
      <c r="R101" s="5">
        <v>0.0</v>
      </c>
      <c r="S101" s="5">
        <v>0.0</v>
      </c>
      <c r="T101" s="5">
        <v>0.0</v>
      </c>
      <c r="U101" s="5">
        <v>0.0</v>
      </c>
    </row>
    <row r="102" outlineLevel="1">
      <c r="B102" s="0" t="inlineStr">
        <is>
          <t xml:space="preserve">OIL STATES INDUSTRIES, INC</t>
        </is>
      </c>
      <c r="C102" s="0" t="inlineStr">
        <is>
          <t xml:space="preserve">G9HKMXL5L973</t>
        </is>
      </c>
      <c r="D102" s="0" t="inlineStr">
        <is>
          <t xml:space="preserve">USA</t>
        </is>
      </c>
      <c r="E102" s="0" t="inlineStr">
        <is>
          <t xml:space="preserve">3262</t>
        </is>
      </c>
      <c r="F102" s="0" t="inlineStr">
        <is>
          <t xml:space="preserve">Rubber Product Manufacturing for Mechanical Use</t>
        </is>
      </c>
      <c r="G102" s="5">
        <v>11.743791899999998</v>
      </c>
      <c r="H102" s="0" t="inlineStr">
        <is>
          <t xml:space="preserve">supplier</t>
        </is>
      </c>
      <c r="I102" s="0" t="inlineStr">
        <is>
          <t xml:space="preserve">coatings</t>
        </is>
      </c>
      <c r="J102" s="0" t="inlineStr">
        <is>
          <t xml:space="preserve">registry</t>
        </is>
      </c>
      <c r="K102" s="5">
        <v>0</v>
      </c>
      <c r="L102" s="5">
        <v>0</v>
      </c>
      <c r="M102" s="5">
        <v>11.743791899999998</v>
      </c>
      <c r="N102" s="5">
        <v>0.0</v>
      </c>
      <c r="O102" s="5">
        <v>1.4309962200000002</v>
      </c>
      <c r="P102" s="5">
        <v>1.0733472800000001</v>
      </c>
      <c r="Q102" s="5">
        <v>0.0</v>
      </c>
      <c r="R102" s="5">
        <v>0.0</v>
      </c>
      <c r="S102" s="5">
        <v>2.90137953</v>
      </c>
      <c r="T102" s="5">
        <v>6.338068870000001</v>
      </c>
      <c r="U102" s="5">
        <v>0.0</v>
      </c>
    </row>
    <row r="103" outlineLevel="1">
      <c r="B103" s="0" t="inlineStr">
        <is>
          <t xml:space="preserve">METALTEK INTERNATIONAL, INC.</t>
        </is>
      </c>
      <c r="C103" s="0" t="inlineStr">
        <is>
          <t xml:space="preserve">JK4WJKLD44G9</t>
        </is>
      </c>
      <c r="D103" s="0" t="inlineStr">
        <is>
          <t xml:space="preserve">USA</t>
        </is>
      </c>
      <c r="E103" s="0" t="inlineStr">
        <is>
          <t xml:space="preserve">3315</t>
        </is>
      </c>
      <c r="F103" s="0" t="inlineStr">
        <is>
          <t xml:space="preserve">Other Nonferrous Metal Foundries (except Die-Casting)</t>
        </is>
      </c>
      <c r="G103" s="5">
        <v>11.247675000000006</v>
      </c>
      <c r="H103" s="0" t="inlineStr">
        <is>
          <t xml:space="preserve">supplier</t>
        </is>
      </c>
      <c r="I103" s="0" t="inlineStr">
        <is>
          <t xml:space="preserve">castings</t>
        </is>
      </c>
      <c r="J103" s="0" t="inlineStr">
        <is>
          <t xml:space="preserve">naics4</t>
        </is>
      </c>
      <c r="K103" s="5">
        <v>0</v>
      </c>
      <c r="L103" s="5">
        <v>0</v>
      </c>
      <c r="M103" s="5">
        <v>11.247675000000006</v>
      </c>
      <c r="N103" s="5">
        <v>0.2303</v>
      </c>
      <c r="O103" s="5">
        <v>0.61944</v>
      </c>
      <c r="P103" s="5">
        <v>0.5717340000000001</v>
      </c>
      <c r="Q103" s="5">
        <v>3.154365</v>
      </c>
      <c r="R103" s="5">
        <v>0.012800000000000006</v>
      </c>
      <c r="S103" s="5">
        <v>1.5425600000000002</v>
      </c>
      <c r="T103" s="5">
        <v>0.653955</v>
      </c>
      <c r="U103" s="5">
        <v>0.6172759999999999</v>
      </c>
    </row>
    <row r="104" outlineLevel="1">
      <c r="B104" s="0" t="inlineStr">
        <is>
          <t xml:space="preserve">CIRCOR PUMPS NORTH AMERICA LLC</t>
        </is>
      </c>
      <c r="C104" s="0" t="inlineStr">
        <is>
          <t xml:space="preserve">GUD4TJE3FN31</t>
        </is>
      </c>
      <c r="D104" s="0" t="inlineStr">
        <is>
          <t xml:space="preserve">-</t>
        </is>
      </c>
      <c r="E104" s="0" t="inlineStr">
        <is>
          <t xml:space="preserve">-</t>
        </is>
      </c>
      <c r="F104" s="0" t="inlineStr">
        <is>
          <t xml:space="preserve">-</t>
        </is>
      </c>
      <c r="G104" s="5">
        <v>11.00732514</v>
      </c>
      <c r="H104" s="0" t="inlineStr">
        <is>
          <t xml:space="preserve">supplier</t>
        </is>
      </c>
      <c r="I104" s="0" t="inlineStr">
        <is>
          <t xml:space="preserve">piping</t>
        </is>
      </c>
      <c r="J104" s="0" t="inlineStr">
        <is>
          <t xml:space="preserve">vendor-override</t>
        </is>
      </c>
      <c r="K104" s="5">
        <v>0</v>
      </c>
      <c r="L104" s="5">
        <v>0</v>
      </c>
      <c r="M104" s="5">
        <v>11.00732514</v>
      </c>
      <c r="N104" s="5">
        <v>0.0</v>
      </c>
      <c r="O104" s="5">
        <v>2.9099851200000004</v>
      </c>
      <c r="P104" s="5">
        <v>0.0</v>
      </c>
      <c r="Q104" s="5">
        <v>0.0</v>
      </c>
      <c r="R104" s="5">
        <v>0.95981802</v>
      </c>
      <c r="S104" s="5">
        <v>6.696814</v>
      </c>
      <c r="T104" s="5">
        <v>0.0</v>
      </c>
      <c r="U104" s="5">
        <v>0.0</v>
      </c>
    </row>
    <row r="105" outlineLevel="1">
      <c r="B105" s="0" t="inlineStr">
        <is>
          <t xml:space="preserve">THE AMERICAN TANK &amp; FABRICATING COMPANY</t>
        </is>
      </c>
      <c r="C105" s="0" t="inlineStr">
        <is>
          <t xml:space="preserve">PUG1H9MFJD63</t>
        </is>
      </c>
      <c r="D105" s="0" t="inlineStr">
        <is>
          <t xml:space="preserve">USA</t>
        </is>
      </c>
      <c r="E105" s="0" t="inlineStr">
        <is>
          <t xml:space="preserve">3323</t>
        </is>
      </c>
      <c r="F105" s="0" t="inlineStr">
        <is>
          <t xml:space="preserve">Plate Work Manufacturing</t>
        </is>
      </c>
      <c r="G105" s="5">
        <v>10.851404919999998</v>
      </c>
      <c r="H105" s="0" t="inlineStr">
        <is>
          <t xml:space="preserve">supplier</t>
        </is>
      </c>
      <c r="I105" s="0" t="inlineStr">
        <is>
          <t xml:space="preserve">structural</t>
        </is>
      </c>
      <c r="J105" s="0" t="inlineStr">
        <is>
          <t xml:space="preserve">registry</t>
        </is>
      </c>
      <c r="K105" s="5">
        <v>0</v>
      </c>
      <c r="L105" s="5">
        <v>0</v>
      </c>
      <c r="M105" s="5">
        <v>10.851404919999998</v>
      </c>
      <c r="N105" s="5">
        <v>0.0</v>
      </c>
      <c r="O105" s="5">
        <v>2.6704771899999997</v>
      </c>
      <c r="P105" s="5">
        <v>0.37693055000000003</v>
      </c>
      <c r="Q105" s="5">
        <v>0.0</v>
      </c>
      <c r="R105" s="5">
        <v>1.4760347600000001</v>
      </c>
      <c r="S105" s="5">
        <v>0.65414009</v>
      </c>
      <c r="T105" s="5">
        <v>1.9382556100000006</v>
      </c>
      <c r="U105" s="5">
        <v>3.73556672</v>
      </c>
    </row>
    <row r="106" outlineLevel="1">
      <c r="B106" s="0" t="inlineStr">
        <is>
          <t xml:space="preserve">KOIKE ARONSON, INC.</t>
        </is>
      </c>
      <c r="C106" s="0" t="inlineStr">
        <is>
          <t xml:space="preserve">UMQ8KHJJUBN6</t>
        </is>
      </c>
      <c r="D106" s="0" t="inlineStr">
        <is>
          <t xml:space="preserve">-</t>
        </is>
      </c>
      <c r="E106" s="0" t="inlineStr">
        <is>
          <t xml:space="preserve">-</t>
        </is>
      </c>
      <c r="F106" s="0" t="inlineStr">
        <is>
          <t xml:space="preserve">-</t>
        </is>
      </c>
      <c r="G106" s="5">
        <v>10.622193</v>
      </c>
      <c r="H106" s="0" t="inlineStr">
        <is>
          <t xml:space="preserve">supplier</t>
        </is>
      </c>
      <c r="I106" s="0" t="inlineStr">
        <is>
          <t xml:space="preserve">unbucketed</t>
        </is>
      </c>
      <c r="J106" s="0" t="inlineStr">
        <is>
          <t xml:space="preserve">residual</t>
        </is>
      </c>
      <c r="K106" s="5">
        <v>0</v>
      </c>
      <c r="L106" s="5">
        <v>0</v>
      </c>
      <c r="M106" s="5">
        <v>10.622193</v>
      </c>
      <c r="N106" s="5">
        <v>0.0</v>
      </c>
      <c r="O106" s="5">
        <v>0.0</v>
      </c>
      <c r="P106" s="5">
        <v>0.0</v>
      </c>
      <c r="Q106" s="5">
        <v>0.0</v>
      </c>
      <c r="R106" s="5">
        <v>0.0</v>
      </c>
      <c r="S106" s="5">
        <v>10.412453</v>
      </c>
      <c r="T106" s="5">
        <v>0.20973999999999998</v>
      </c>
      <c r="U106" s="5">
        <v>0.0</v>
      </c>
    </row>
    <row r="107" outlineLevel="1">
      <c r="B107" s="0" t="inlineStr">
        <is>
          <t xml:space="preserve">AGI UK ACQUISITION LIMITED</t>
        </is>
      </c>
      <c r="C107" s="0" t="inlineStr">
        <is>
          <t xml:space="preserve">E9DKKLZNCQS9</t>
        </is>
      </c>
      <c r="D107" s="0" t="inlineStr">
        <is>
          <t xml:space="preserve">GBR</t>
        </is>
      </c>
      <c r="E107" s="0" t="inlineStr">
        <is>
          <t xml:space="preserve">3344</t>
        </is>
      </c>
      <c r="F107" s="0" t="inlineStr">
        <is>
          <t xml:space="preserve">Other Electronic Component Manufacturing</t>
        </is>
      </c>
      <c r="G107" s="5">
        <v>10.48843683</v>
      </c>
      <c r="H107" s="0" t="inlineStr">
        <is>
          <t xml:space="preserve">supplier</t>
        </is>
      </c>
      <c r="I107" s="0" t="inlineStr">
        <is>
          <t xml:space="preserve">electrical</t>
        </is>
      </c>
      <c r="J107" s="0" t="inlineStr">
        <is>
          <t xml:space="preserve">registry</t>
        </is>
      </c>
      <c r="K107" s="5">
        <v>0</v>
      </c>
      <c r="L107" s="5">
        <v>0</v>
      </c>
      <c r="M107" s="5">
        <v>10.48843683</v>
      </c>
      <c r="N107" s="5">
        <v>0.0</v>
      </c>
      <c r="O107" s="5">
        <v>0.0</v>
      </c>
      <c r="P107" s="5">
        <v>0.0</v>
      </c>
      <c r="Q107" s="5">
        <v>0.0</v>
      </c>
      <c r="R107" s="5">
        <v>0.0</v>
      </c>
      <c r="S107" s="5">
        <v>0.0</v>
      </c>
      <c r="T107" s="5">
        <v>0.0</v>
      </c>
      <c r="U107" s="5">
        <v>0.0</v>
      </c>
    </row>
    <row r="108" outlineLevel="1">
      <c r="B108" s="0" t="inlineStr">
        <is>
          <t xml:space="preserve">D. W. CLARK, INC</t>
        </is>
      </c>
      <c r="C108" s="0" t="inlineStr">
        <is>
          <t xml:space="preserve">MKDGDE6K34N5</t>
        </is>
      </c>
      <c r="D108" s="0" t="inlineStr">
        <is>
          <t xml:space="preserve">USA</t>
        </is>
      </c>
      <c r="E108" s="0" t="inlineStr">
        <is>
          <t xml:space="preserve">3315</t>
        </is>
      </c>
      <c r="F108" s="0" t="inlineStr">
        <is>
          <t xml:space="preserve">Steel Foundries (except Investment)</t>
        </is>
      </c>
      <c r="G108" s="5">
        <v>10.352531900000004</v>
      </c>
      <c r="H108" s="0" t="inlineStr">
        <is>
          <t xml:space="preserve">supplier</t>
        </is>
      </c>
      <c r="I108" s="0" t="inlineStr">
        <is>
          <t xml:space="preserve">castings</t>
        </is>
      </c>
      <c r="J108" s="0" t="inlineStr">
        <is>
          <t xml:space="preserve">naics4</t>
        </is>
      </c>
      <c r="K108" s="5">
        <v>0</v>
      </c>
      <c r="L108" s="5">
        <v>0</v>
      </c>
      <c r="M108" s="5">
        <v>10.352531900000004</v>
      </c>
      <c r="N108" s="5">
        <v>0.0</v>
      </c>
      <c r="O108" s="5">
        <v>0.055012</v>
      </c>
      <c r="P108" s="5">
        <v>0.0</v>
      </c>
      <c r="Q108" s="5">
        <v>1.3007716</v>
      </c>
      <c r="R108" s="5">
        <v>0.407889</v>
      </c>
      <c r="S108" s="5">
        <v>6.615171999999999</v>
      </c>
      <c r="T108" s="5">
        <v>1.6903806799999999</v>
      </c>
      <c r="U108" s="5">
        <v>0.28330662</v>
      </c>
    </row>
    <row r="109" outlineLevel="1">
      <c r="B109" s="0" t="inlineStr">
        <is>
          <t xml:space="preserve">MERRILL TECHNOLOGIES GROUP, LLC</t>
        </is>
      </c>
      <c r="C109" s="0" t="inlineStr">
        <is>
          <t xml:space="preserve">GE4GA2B9JYF9</t>
        </is>
      </c>
      <c r="D109" s="0" t="inlineStr">
        <is>
          <t xml:space="preserve">USA</t>
        </is>
      </c>
      <c r="E109" s="0" t="inlineStr">
        <is>
          <t xml:space="preserve">3329</t>
        </is>
      </c>
      <c r="F109" s="0" t="inlineStr">
        <is>
          <t xml:space="preserve">All Other Miscellaneous Fabricated Metal Product Manufacturing</t>
        </is>
      </c>
      <c r="G109" s="5">
        <v>10.138614979999998</v>
      </c>
      <c r="H109" s="0" t="inlineStr">
        <is>
          <t xml:space="preserve">supplier</t>
        </is>
      </c>
      <c r="I109" s="0" t="inlineStr">
        <is>
          <t xml:space="preserve">piping</t>
        </is>
      </c>
      <c r="J109" s="0" t="inlineStr">
        <is>
          <t xml:space="preserve">naics4</t>
        </is>
      </c>
      <c r="K109" s="5">
        <v>0</v>
      </c>
      <c r="L109" s="5">
        <v>0</v>
      </c>
      <c r="M109" s="5">
        <v>10.138614979999998</v>
      </c>
      <c r="N109" s="5">
        <v>0.769606</v>
      </c>
      <c r="O109" s="5">
        <v>1.722506</v>
      </c>
      <c r="P109" s="5">
        <v>3.7739939999999996</v>
      </c>
      <c r="Q109" s="5">
        <v>0.80951998</v>
      </c>
      <c r="R109" s="5">
        <v>0.002096</v>
      </c>
      <c r="S109" s="5">
        <v>0.279541</v>
      </c>
      <c r="T109" s="5">
        <v>2.660399</v>
      </c>
      <c r="U109" s="5">
        <v>0.120953</v>
      </c>
    </row>
    <row r="110" outlineLevel="1">
      <c r="B110" s="0" t="inlineStr">
        <is>
          <t xml:space="preserve">BRANTNER AND ASSOCIATES, INC.</t>
        </is>
      </c>
      <c r="C110" s="0" t="inlineStr">
        <is>
          <t xml:space="preserve">KMDLJAJQ4UM1</t>
        </is>
      </c>
      <c r="D110" s="0" t="inlineStr">
        <is>
          <t xml:space="preserve">-</t>
        </is>
      </c>
      <c r="E110" s="0" t="inlineStr">
        <is>
          <t xml:space="preserve">-</t>
        </is>
      </c>
      <c r="F110" s="0" t="inlineStr">
        <is>
          <t xml:space="preserve">-</t>
        </is>
      </c>
      <c r="G110" s="5">
        <v>10.13121835</v>
      </c>
      <c r="H110" s="0" t="inlineStr">
        <is>
          <t xml:space="preserve">supplier</t>
        </is>
      </c>
      <c r="I110" s="0" t="inlineStr">
        <is>
          <t xml:space="preserve">electrical</t>
        </is>
      </c>
      <c r="J110" s="0" t="inlineStr">
        <is>
          <t xml:space="preserve">registry</t>
        </is>
      </c>
      <c r="K110" s="5">
        <v>0</v>
      </c>
      <c r="L110" s="5">
        <v>0</v>
      </c>
      <c r="M110" s="5">
        <v>10.13121835</v>
      </c>
      <c r="N110" s="5">
        <v>1.26539248</v>
      </c>
      <c r="O110" s="5">
        <v>2.79987793</v>
      </c>
      <c r="P110" s="5">
        <v>1.3852650000000002</v>
      </c>
      <c r="Q110" s="5">
        <v>0.2742</v>
      </c>
      <c r="R110" s="5">
        <v>0.0</v>
      </c>
      <c r="S110" s="5">
        <v>2.9524089399999998</v>
      </c>
      <c r="T110" s="5">
        <v>0.861381</v>
      </c>
      <c r="U110" s="5">
        <v>0.592693</v>
      </c>
    </row>
    <row r="111" outlineLevel="1">
      <c r="B111" s="0" t="inlineStr">
        <is>
          <t xml:space="preserve">SEEMANN COMPOSITES, LLC</t>
        </is>
      </c>
      <c r="C111" s="0" t="inlineStr">
        <is>
          <t xml:space="preserve">WXRTZLL25AE5</t>
        </is>
      </c>
      <c r="D111" s="0" t="inlineStr">
        <is>
          <t xml:space="preserve">USA</t>
        </is>
      </c>
      <c r="E111" s="0" t="inlineStr">
        <is>
          <t xml:space="preserve">3259</t>
        </is>
      </c>
      <c r="F111" s="0" t="inlineStr">
        <is>
          <t xml:space="preserve">Custom Compounding of Purchased Resins</t>
        </is>
      </c>
      <c r="G111" s="5">
        <v>10.0020288</v>
      </c>
      <c r="H111" s="0" t="inlineStr">
        <is>
          <t xml:space="preserve">supplier</t>
        </is>
      </c>
      <c r="I111" s="0" t="inlineStr">
        <is>
          <t xml:space="preserve">coatings</t>
        </is>
      </c>
      <c r="J111" s="0" t="inlineStr">
        <is>
          <t xml:space="preserve">naics4</t>
        </is>
      </c>
      <c r="K111" s="5">
        <v>0</v>
      </c>
      <c r="L111" s="5">
        <v>0</v>
      </c>
      <c r="M111" s="5">
        <v>10.0020288</v>
      </c>
      <c r="N111" s="5">
        <v>0.0</v>
      </c>
      <c r="O111" s="5">
        <v>0.30466924</v>
      </c>
      <c r="P111" s="5">
        <v>0.0</v>
      </c>
      <c r="Q111" s="5">
        <v>0.37778471999999996</v>
      </c>
      <c r="R111" s="5">
        <v>1.70516567</v>
      </c>
      <c r="S111" s="5">
        <v>2.247465</v>
      </c>
      <c r="T111" s="5">
        <v>1.9214653700000002</v>
      </c>
      <c r="U111" s="5">
        <v>0.20483352</v>
      </c>
    </row>
    <row r="112" outlineLevel="1">
      <c r="B112" s="0" t="inlineStr">
        <is>
          <t xml:space="preserve">ARCLINE INVESTMENT MANAGEMENT LP</t>
        </is>
      </c>
      <c r="C112" s="0" t="inlineStr">
        <is>
          <t xml:space="preserve">DJG7NEG7QRK5</t>
        </is>
      </c>
      <c r="D112" s="0" t="inlineStr">
        <is>
          <t xml:space="preserve">-</t>
        </is>
      </c>
      <c r="E112" s="0" t="inlineStr">
        <is>
          <t xml:space="preserve">-</t>
        </is>
      </c>
      <c r="F112" s="0" t="inlineStr">
        <is>
          <t xml:space="preserve">-</t>
        </is>
      </c>
      <c r="G112" s="5">
        <v>9.911608500000003</v>
      </c>
      <c r="H112" s="0" t="inlineStr">
        <is>
          <t xml:space="preserve">supplier</t>
        </is>
      </c>
      <c r="I112" s="0" t="inlineStr">
        <is>
          <t xml:space="preserve">piping</t>
        </is>
      </c>
      <c r="J112" s="0" t="inlineStr">
        <is>
          <t xml:space="preserve">registry</t>
        </is>
      </c>
      <c r="K112" s="5">
        <v>0</v>
      </c>
      <c r="L112" s="5">
        <v>0</v>
      </c>
      <c r="M112" s="5">
        <v>9.911608500000003</v>
      </c>
      <c r="N112" s="5">
        <v>0.6027631</v>
      </c>
      <c r="O112" s="5">
        <v>0.0</v>
      </c>
      <c r="P112" s="5">
        <v>0.0</v>
      </c>
      <c r="Q112" s="5">
        <v>0.0</v>
      </c>
      <c r="R112" s="5">
        <v>4.992526</v>
      </c>
      <c r="S112" s="5">
        <v>0.0</v>
      </c>
      <c r="T112" s="5">
        <v>0.0</v>
      </c>
      <c r="U112" s="5">
        <v>0.0</v>
      </c>
    </row>
    <row r="113" outlineLevel="1">
      <c r="B113" s="0" t="inlineStr">
        <is>
          <t xml:space="preserve">SARGENT AEROSPACE &amp; DEFENSE, LLC</t>
        </is>
      </c>
      <c r="C113" s="0" t="inlineStr">
        <is>
          <t xml:space="preserve">F8M5LJA6LJL4</t>
        </is>
      </c>
      <c r="D113" s="0" t="inlineStr">
        <is>
          <t xml:space="preserve">-</t>
        </is>
      </c>
      <c r="E113" s="0" t="inlineStr">
        <is>
          <t xml:space="preserve">-</t>
        </is>
      </c>
      <c r="F113" s="0" t="inlineStr">
        <is>
          <t xml:space="preserve">-</t>
        </is>
      </c>
      <c r="G113" s="5">
        <v>9.8784843</v>
      </c>
      <c r="H113" s="0" t="inlineStr">
        <is>
          <t xml:space="preserve">supplier</t>
        </is>
      </c>
      <c r="I113" s="0" t="inlineStr">
        <is>
          <t xml:space="preserve">unbucketed</t>
        </is>
      </c>
      <c r="J113" s="0" t="inlineStr">
        <is>
          <t xml:space="preserve">residual</t>
        </is>
      </c>
      <c r="K113" s="5">
        <v>0</v>
      </c>
      <c r="L113" s="5">
        <v>0</v>
      </c>
      <c r="M113" s="5">
        <v>9.8784843</v>
      </c>
      <c r="N113" s="5">
        <v>0.0</v>
      </c>
      <c r="O113" s="5">
        <v>0.0</v>
      </c>
      <c r="P113" s="5">
        <v>0.10566089999999999</v>
      </c>
      <c r="Q113" s="5">
        <v>0.0</v>
      </c>
      <c r="R113" s="5">
        <v>1.70675963</v>
      </c>
      <c r="S113" s="5">
        <v>6.55799317</v>
      </c>
      <c r="T113" s="5">
        <v>0.935568</v>
      </c>
      <c r="U113" s="5">
        <v>0.5700476</v>
      </c>
    </row>
    <row r="114" outlineLevel="1">
      <c r="B114" s="0" t="inlineStr">
        <is>
          <t xml:space="preserve">PRL INDUSTRIES INC</t>
        </is>
      </c>
      <c r="C114" s="0" t="inlineStr">
        <is>
          <t xml:space="preserve">CXK2Y51KDBW1</t>
        </is>
      </c>
      <c r="D114" s="0" t="inlineStr">
        <is>
          <t xml:space="preserve">USA</t>
        </is>
      </c>
      <c r="E114" s="0" t="inlineStr">
        <is>
          <t xml:space="preserve">3315</t>
        </is>
      </c>
      <c r="F114" s="0" t="inlineStr">
        <is>
          <t xml:space="preserve">Steel Foundries (except Investment)</t>
        </is>
      </c>
      <c r="G114" s="5">
        <v>9.815824119999995</v>
      </c>
      <c r="H114" s="0" t="inlineStr">
        <is>
          <t xml:space="preserve">supplier</t>
        </is>
      </c>
      <c r="I114" s="0" t="inlineStr">
        <is>
          <t xml:space="preserve">castings</t>
        </is>
      </c>
      <c r="J114" s="0" t="inlineStr">
        <is>
          <t xml:space="preserve">naics4</t>
        </is>
      </c>
      <c r="K114" s="5">
        <v>0</v>
      </c>
      <c r="L114" s="5">
        <v>0</v>
      </c>
      <c r="M114" s="5">
        <v>9.815824119999995</v>
      </c>
      <c r="N114" s="5">
        <v>0.0</v>
      </c>
      <c r="O114" s="5">
        <v>0.0</v>
      </c>
      <c r="P114" s="5">
        <v>0.0</v>
      </c>
      <c r="Q114" s="5">
        <v>0.030838400000000002</v>
      </c>
      <c r="R114" s="5">
        <v>9.61414172</v>
      </c>
      <c r="S114" s="5">
        <v>0.0</v>
      </c>
      <c r="T114" s="5">
        <v>-32.64991955</v>
      </c>
      <c r="U114" s="5">
        <v>32.82076355</v>
      </c>
    </row>
    <row r="115" outlineLevel="1">
      <c r="B115" s="0" t="inlineStr">
        <is>
          <t xml:space="preserve">FOSTER-MILLER, INC.</t>
        </is>
      </c>
      <c r="C115" s="0" t="inlineStr">
        <is>
          <t xml:space="preserve">XDF1FRDG8KK4</t>
        </is>
      </c>
      <c r="D115" s="0" t="inlineStr">
        <is>
          <t xml:space="preserve">USA</t>
        </is>
      </c>
      <c r="E115" s="0" t="inlineStr">
        <is>
          <t xml:space="preserve">3364</t>
        </is>
      </c>
      <c r="F115" s="0" t="inlineStr">
        <is>
          <t xml:space="preserve">Other Aircraft Parts and Auxiliary Equipment Manufacturing</t>
        </is>
      </c>
      <c r="G115" s="5">
        <v>9.16503041</v>
      </c>
      <c r="H115" s="0" t="inlineStr">
        <is>
          <t xml:space="preserve">supplier</t>
        </is>
      </c>
      <c r="I115" s="0" t="inlineStr">
        <is>
          <t xml:space="preserve">electrical</t>
        </is>
      </c>
      <c r="J115" s="0" t="inlineStr">
        <is>
          <t xml:space="preserve">registry</t>
        </is>
      </c>
      <c r="K115" s="5">
        <v>0</v>
      </c>
      <c r="L115" s="5">
        <v>0</v>
      </c>
      <c r="M115" s="5">
        <v>9.16503041</v>
      </c>
      <c r="N115" s="5">
        <v>0.12869057</v>
      </c>
      <c r="O115" s="5">
        <v>6.774714</v>
      </c>
      <c r="P115" s="5">
        <v>0.0</v>
      </c>
      <c r="Q115" s="5">
        <v>1.930576</v>
      </c>
      <c r="R115" s="5">
        <v>0.0</v>
      </c>
      <c r="S115" s="5">
        <v>0.33104984000000004</v>
      </c>
      <c r="T115" s="5">
        <v>0.0</v>
      </c>
      <c r="U115" s="5">
        <v>0.0</v>
      </c>
    </row>
    <row r="116" outlineLevel="1">
      <c r="B116" s="0" t="inlineStr">
        <is>
          <t xml:space="preserve">GENERAL TOOL COMPANY</t>
        </is>
      </c>
      <c r="C116" s="0" t="inlineStr">
        <is>
          <t xml:space="preserve">FWF8QBPCGLG3</t>
        </is>
      </c>
      <c r="D116" s="0" t="inlineStr">
        <is>
          <t xml:space="preserve">USA</t>
        </is>
      </c>
      <c r="E116" s="0" t="inlineStr">
        <is>
          <t xml:space="preserve">3364</t>
        </is>
      </c>
      <c r="F116" s="0" t="inlineStr">
        <is>
          <t xml:space="preserve">Other Guided Missile and Space Vehicle Parts and Auxiliary Equipment Manufacturing</t>
        </is>
      </c>
      <c r="G116" s="5">
        <v>9.12394919</v>
      </c>
      <c r="H116" s="0" t="inlineStr">
        <is>
          <t xml:space="preserve">supplier</t>
        </is>
      </c>
      <c r="I116" s="0" t="inlineStr">
        <is>
          <t xml:space="preserve">machining</t>
        </is>
      </c>
      <c r="J116" s="0" t="inlineStr">
        <is>
          <t xml:space="preserve">registry</t>
        </is>
      </c>
      <c r="K116" s="5">
        <v>0</v>
      </c>
      <c r="L116" s="5">
        <v>0</v>
      </c>
      <c r="M116" s="5">
        <v>9.12394919</v>
      </c>
      <c r="N116" s="5">
        <v>1.778105</v>
      </c>
      <c r="O116" s="5">
        <v>1.6965888799999997</v>
      </c>
      <c r="P116" s="5">
        <v>0.69</v>
      </c>
      <c r="Q116" s="5">
        <v>1.78382634</v>
      </c>
      <c r="R116" s="5">
        <v>1.1201370000000002</v>
      </c>
      <c r="S116" s="5">
        <v>0.9748099599999999</v>
      </c>
      <c r="T116" s="5">
        <v>0.85168901</v>
      </c>
      <c r="U116" s="5">
        <v>-0.276196</v>
      </c>
    </row>
    <row r="117" outlineLevel="1">
      <c r="B117" s="0" t="inlineStr">
        <is>
          <t xml:space="preserve">EURO MACHINERY SPECIALISTS, INC</t>
        </is>
      </c>
      <c r="C117" s="0" t="inlineStr">
        <is>
          <t xml:space="preserve">GJNEBDUDNTA1</t>
        </is>
      </c>
      <c r="D117" s="0" t="inlineStr">
        <is>
          <t xml:space="preserve">USA</t>
        </is>
      </c>
      <c r="E117" s="0" t="inlineStr">
        <is>
          <t xml:space="preserve">8113</t>
        </is>
      </c>
      <c r="F117" s="0" t="inlineStr">
        <is>
          <t xml:space="preserve">Commercial and Industrial Machinery and Equipment (except Automotive and Electronic) Repair and Maintenance</t>
        </is>
      </c>
      <c r="G117" s="5">
        <v>9.120849</v>
      </c>
      <c r="H117" s="0" t="inlineStr">
        <is>
          <t xml:space="preserve">service</t>
        </is>
      </c>
      <c r="I117" s="0" t="inlineStr">
        <is>
          <t xml:space="preserve">-</t>
        </is>
      </c>
      <c r="J117" s="0" t="inlineStr">
        <is>
          <t xml:space="preserve">registry</t>
        </is>
      </c>
      <c r="K117" s="5">
        <v>0</v>
      </c>
      <c r="L117" s="5">
        <v>0</v>
      </c>
      <c r="M117" s="5">
        <v>9.120849</v>
      </c>
      <c r="N117" s="5">
        <v>0.0</v>
      </c>
      <c r="O117" s="5">
        <v>0.0</v>
      </c>
      <c r="P117" s="5">
        <v>0.0</v>
      </c>
      <c r="Q117" s="5">
        <v>0.0</v>
      </c>
      <c r="R117" s="5">
        <v>9.084849</v>
      </c>
      <c r="S117" s="5">
        <v>0.036</v>
      </c>
      <c r="T117" s="5">
        <v>0.0</v>
      </c>
      <c r="U117" s="5">
        <v>0.0</v>
      </c>
    </row>
    <row r="118" outlineLevel="1">
      <c r="B118" s="0" t="inlineStr">
        <is>
          <t xml:space="preserve">SOPHEON CORPORATION</t>
        </is>
      </c>
      <c r="C118" s="0" t="inlineStr">
        <is>
          <t xml:space="preserve">NSWQJBEZZD83</t>
        </is>
      </c>
      <c r="D118" s="0" t="inlineStr">
        <is>
          <t xml:space="preserve">USA</t>
        </is>
      </c>
      <c r="E118" s="0" t="inlineStr">
        <is>
          <t xml:space="preserve">5132</t>
        </is>
      </c>
      <c r="F118" s="0" t="inlineStr">
        <is>
          <t xml:space="preserve">Software Publishers</t>
        </is>
      </c>
      <c r="G118" s="5">
        <v>9.102085999999998</v>
      </c>
      <c r="H118" s="0" t="inlineStr">
        <is>
          <t xml:space="preserve">service</t>
        </is>
      </c>
      <c r="I118" s="0" t="inlineStr">
        <is>
          <t xml:space="preserve">-</t>
        </is>
      </c>
      <c r="J118" s="0" t="inlineStr">
        <is>
          <t xml:space="preserve">service NAICS</t>
        </is>
      </c>
      <c r="K118" s="5">
        <v>0</v>
      </c>
      <c r="L118" s="5">
        <v>0</v>
      </c>
      <c r="M118" s="5">
        <v>9.102085999999998</v>
      </c>
      <c r="N118" s="5">
        <v>0.0</v>
      </c>
      <c r="O118" s="5">
        <v>0.0</v>
      </c>
      <c r="P118" s="5">
        <v>0.0</v>
      </c>
      <c r="Q118" s="5">
        <v>0.0</v>
      </c>
      <c r="R118" s="5">
        <v>0.045834</v>
      </c>
      <c r="S118" s="5">
        <v>6.262829000000001</v>
      </c>
      <c r="T118" s="5">
        <v>2.793423</v>
      </c>
      <c r="U118" s="5">
        <v>0.0</v>
      </c>
    </row>
    <row r="119" outlineLevel="1">
      <c r="B119" s="0" t="inlineStr">
        <is>
          <t xml:space="preserve">KSARIA CORPORATION</t>
        </is>
      </c>
      <c r="C119" s="0" t="inlineStr">
        <is>
          <t xml:space="preserve">NTREK31GP8N3</t>
        </is>
      </c>
      <c r="D119" s="0" t="inlineStr">
        <is>
          <t xml:space="preserve">USA</t>
        </is>
      </c>
      <c r="E119" s="0" t="inlineStr">
        <is>
          <t xml:space="preserve">3344</t>
        </is>
      </c>
      <c r="F119" s="0" t="inlineStr">
        <is>
          <t xml:space="preserve">Electronic Connector Manufacturing</t>
        </is>
      </c>
      <c r="G119" s="5">
        <v>8.877996619999996</v>
      </c>
      <c r="H119" s="0" t="inlineStr">
        <is>
          <t xml:space="preserve">supplier</t>
        </is>
      </c>
      <c r="I119" s="0" t="inlineStr">
        <is>
          <t xml:space="preserve">electrical</t>
        </is>
      </c>
      <c r="J119" s="0" t="inlineStr">
        <is>
          <t xml:space="preserve">registry</t>
        </is>
      </c>
      <c r="K119" s="5">
        <v>0</v>
      </c>
      <c r="L119" s="5">
        <v>0</v>
      </c>
      <c r="M119" s="5">
        <v>8.877996619999996</v>
      </c>
      <c r="N119" s="5">
        <v>2.5181438899999997</v>
      </c>
      <c r="O119" s="5">
        <v>0.9628706799999999</v>
      </c>
      <c r="P119" s="5">
        <v>0.7670463799999999</v>
      </c>
      <c r="Q119" s="5">
        <v>0.50344829</v>
      </c>
      <c r="R119" s="5">
        <v>0.0</v>
      </c>
      <c r="S119" s="5">
        <v>2.75416666</v>
      </c>
      <c r="T119" s="5">
        <v>0.0</v>
      </c>
      <c r="U119" s="5">
        <v>0.0020754299999999996</v>
      </c>
    </row>
    <row r="120" outlineLevel="1">
      <c r="B120" s="0" t="inlineStr">
        <is>
          <t xml:space="preserve">MAROTTA CONTROLS, INC.</t>
        </is>
      </c>
      <c r="C120" s="0" t="inlineStr">
        <is>
          <t xml:space="preserve">Q35JL9GFCAK3</t>
        </is>
      </c>
      <c r="D120" s="0" t="inlineStr">
        <is>
          <t xml:space="preserve">USA</t>
        </is>
      </c>
      <c r="E120" s="0" t="inlineStr">
        <is>
          <t xml:space="preserve">3329</t>
        </is>
      </c>
      <c r="F120" s="0" t="inlineStr">
        <is>
          <t xml:space="preserve">Fluid Power Valve and Hose Fitting Manufacturing</t>
        </is>
      </c>
      <c r="G120" s="5">
        <v>8.861841840000002</v>
      </c>
      <c r="H120" s="0" t="inlineStr">
        <is>
          <t xml:space="preserve">supplier</t>
        </is>
      </c>
      <c r="I120" s="0" t="inlineStr">
        <is>
          <t xml:space="preserve">piping</t>
        </is>
      </c>
      <c r="J120" s="0" t="inlineStr">
        <is>
          <t xml:space="preserve">registry</t>
        </is>
      </c>
      <c r="K120" s="5">
        <v>0</v>
      </c>
      <c r="L120" s="5">
        <v>0</v>
      </c>
      <c r="M120" s="5">
        <v>8.861841840000002</v>
      </c>
      <c r="N120" s="5">
        <v>0.0</v>
      </c>
      <c r="O120" s="5">
        <v>0.0</v>
      </c>
      <c r="P120" s="5">
        <v>0.0</v>
      </c>
      <c r="Q120" s="5">
        <v>0.0</v>
      </c>
      <c r="R120" s="5">
        <v>0.0</v>
      </c>
      <c r="S120" s="5">
        <v>0.0</v>
      </c>
      <c r="T120" s="5">
        <v>0.0</v>
      </c>
      <c r="U120" s="5">
        <v>0.0</v>
      </c>
    </row>
    <row r="121" outlineLevel="1">
      <c r="B121" s="0" t="inlineStr">
        <is>
          <t xml:space="preserve">MILWAUKEE VALVE COMPANY, LLC</t>
        </is>
      </c>
      <c r="C121" s="0" t="inlineStr">
        <is>
          <t xml:space="preserve">CE3HF8PLAFD3</t>
        </is>
      </c>
      <c r="D121" s="0" t="inlineStr">
        <is>
          <t xml:space="preserve">USA</t>
        </is>
      </c>
      <c r="E121" s="0" t="inlineStr">
        <is>
          <t xml:space="preserve">3329</t>
        </is>
      </c>
      <c r="F121" s="0" t="inlineStr">
        <is>
          <t xml:space="preserve">Industrial Valve Manufacturing</t>
        </is>
      </c>
      <c r="G121" s="5">
        <v>8.485974469999999</v>
      </c>
      <c r="H121" s="0" t="inlineStr">
        <is>
          <t xml:space="preserve">supplier</t>
        </is>
      </c>
      <c r="I121" s="0" t="inlineStr">
        <is>
          <t xml:space="preserve">piping</t>
        </is>
      </c>
      <c r="J121" s="0" t="inlineStr">
        <is>
          <t xml:space="preserve">naics4</t>
        </is>
      </c>
      <c r="K121" s="5">
        <v>0</v>
      </c>
      <c r="L121" s="5">
        <v>0</v>
      </c>
      <c r="M121" s="5">
        <v>8.485974469999999</v>
      </c>
      <c r="N121" s="5">
        <v>0.0</v>
      </c>
      <c r="O121" s="5">
        <v>0.5086693600000001</v>
      </c>
      <c r="P121" s="5">
        <v>5.16445901</v>
      </c>
      <c r="Q121" s="5">
        <v>0.0</v>
      </c>
      <c r="R121" s="5">
        <v>0.052379</v>
      </c>
      <c r="S121" s="5">
        <v>0.090799</v>
      </c>
      <c r="T121" s="5">
        <v>0.37056199999999995</v>
      </c>
      <c r="U121" s="5">
        <v>2.2991061000000004</v>
      </c>
    </row>
    <row r="122" outlineLevel="1">
      <c r="B122" s="0" t="inlineStr">
        <is>
          <t xml:space="preserve">CURTISS-WRIGHT ELECTRO-MECHANICAL CORP</t>
        </is>
      </c>
      <c r="C122" s="0" t="inlineStr">
        <is>
          <t xml:space="preserve">VXHFDAKS2LZ6</t>
        </is>
      </c>
      <c r="D122" s="0" t="inlineStr">
        <is>
          <t xml:space="preserve">USA</t>
        </is>
      </c>
      <c r="E122" s="0" t="inlineStr">
        <is>
          <t xml:space="preserve">3336</t>
        </is>
      </c>
      <c r="F122" s="0" t="inlineStr">
        <is>
          <t xml:space="preserve">Turbine and Turbine Generator Set Units Manufacturing</t>
        </is>
      </c>
      <c r="G122" s="5">
        <v>8.32572398</v>
      </c>
      <c r="H122" s="0" t="inlineStr">
        <is>
          <t xml:space="preserve">supplier</t>
        </is>
      </c>
      <c r="I122" s="0" t="inlineStr">
        <is>
          <t xml:space="preserve">machining</t>
        </is>
      </c>
      <c r="J122" s="0" t="inlineStr">
        <is>
          <t xml:space="preserve">naics4</t>
        </is>
      </c>
      <c r="K122" s="5">
        <v>0</v>
      </c>
      <c r="L122" s="5">
        <v>0</v>
      </c>
      <c r="M122" s="5">
        <v>8.32572398</v>
      </c>
      <c r="N122" s="5">
        <v>0.0</v>
      </c>
      <c r="O122" s="5">
        <v>0.24435198000000002</v>
      </c>
      <c r="P122" s="5">
        <v>0.0</v>
      </c>
      <c r="Q122" s="5">
        <v>5.04066</v>
      </c>
      <c r="R122" s="5">
        <v>1.0</v>
      </c>
      <c r="S122" s="5">
        <v>2.040712</v>
      </c>
      <c r="T122" s="5">
        <v>0.0</v>
      </c>
      <c r="U122" s="5">
        <v>0.0</v>
      </c>
    </row>
    <row r="123" outlineLevel="1">
      <c r="B123" s="0" t="inlineStr">
        <is>
          <t xml:space="preserve">AMERICAN TANK &amp; FABRICATING CO</t>
        </is>
      </c>
      <c r="C123" s="0" t="inlineStr">
        <is>
          <t xml:space="preserve">PUG1H9MFJD63</t>
        </is>
      </c>
      <c r="D123" s="0" t="inlineStr">
        <is>
          <t xml:space="preserve">USA</t>
        </is>
      </c>
      <c r="E123" s="0" t="inlineStr">
        <is>
          <t xml:space="preserve">3323</t>
        </is>
      </c>
      <c r="F123" s="0" t="inlineStr">
        <is>
          <t xml:space="preserve">Plate Work Manufacturing</t>
        </is>
      </c>
      <c r="G123" s="5">
        <v>8.274961840000001</v>
      </c>
      <c r="H123" s="0" t="inlineStr">
        <is>
          <t xml:space="preserve">supplier</t>
        </is>
      </c>
      <c r="I123" s="0" t="inlineStr">
        <is>
          <t xml:space="preserve">structural</t>
        </is>
      </c>
      <c r="J123" s="0" t="inlineStr">
        <is>
          <t xml:space="preserve">registry</t>
        </is>
      </c>
      <c r="K123" s="5">
        <v>0</v>
      </c>
      <c r="L123" s="5">
        <v>0</v>
      </c>
      <c r="M123" s="5">
        <v>8.274961840000001</v>
      </c>
      <c r="N123" s="5">
        <v>7.352877</v>
      </c>
      <c r="O123" s="5">
        <v>0.12533757</v>
      </c>
      <c r="P123" s="5">
        <v>0.28465567999999997</v>
      </c>
      <c r="Q123" s="5">
        <v>0.0</v>
      </c>
      <c r="R123" s="5">
        <v>0.0</v>
      </c>
      <c r="S123" s="5">
        <v>0.12888306000000005</v>
      </c>
      <c r="T123" s="5">
        <v>0.3832085299999999</v>
      </c>
      <c r="U123" s="5">
        <v>0.0</v>
      </c>
    </row>
    <row r="124" outlineLevel="1">
      <c r="B124" s="0" t="inlineStr">
        <is>
          <t xml:space="preserve">LANDSTAR SYSTEM, INC.</t>
        </is>
      </c>
      <c r="C124" s="0" t="inlineStr">
        <is>
          <t xml:space="preserve">MK9SR2K87JN5</t>
        </is>
      </c>
      <c r="D124" s="0" t="inlineStr">
        <is>
          <t xml:space="preserve">-</t>
        </is>
      </c>
      <c r="E124" s="0" t="inlineStr">
        <is>
          <t xml:space="preserve">-</t>
        </is>
      </c>
      <c r="F124" s="0" t="inlineStr">
        <is>
          <t xml:space="preserve">-</t>
        </is>
      </c>
      <c r="G124" s="5">
        <v>8.14015555</v>
      </c>
      <c r="H124" s="0" t="inlineStr">
        <is>
          <t xml:space="preserve">supplier</t>
        </is>
      </c>
      <c r="I124" s="0" t="inlineStr">
        <is>
          <t xml:space="preserve">unbucketed</t>
        </is>
      </c>
      <c r="J124" s="0" t="inlineStr">
        <is>
          <t xml:space="preserve">residual</t>
        </is>
      </c>
      <c r="K124" s="5">
        <v>0</v>
      </c>
      <c r="L124" s="5">
        <v>0</v>
      </c>
      <c r="M124" s="5">
        <v>8.14015555</v>
      </c>
      <c r="N124" s="5">
        <v>0.0</v>
      </c>
      <c r="O124" s="5">
        <v>0.0</v>
      </c>
      <c r="P124" s="5">
        <v>0.0</v>
      </c>
      <c r="Q124" s="5">
        <v>0.0</v>
      </c>
      <c r="R124" s="5">
        <v>0.0</v>
      </c>
      <c r="S124" s="5">
        <v>2.0</v>
      </c>
      <c r="T124" s="5">
        <v>0.0</v>
      </c>
      <c r="U124" s="5">
        <v>0.0</v>
      </c>
    </row>
    <row r="125" outlineLevel="1">
      <c r="B125" s="0" t="inlineStr">
        <is>
          <t xml:space="preserve">FAIRLEAD INTEGRATED, LLC</t>
        </is>
      </c>
      <c r="C125" s="0" t="inlineStr">
        <is>
          <t xml:space="preserve">DXM3GSLGH2Z5</t>
        </is>
      </c>
      <c r="D125" s="0" t="inlineStr">
        <is>
          <t xml:space="preserve">USA</t>
        </is>
      </c>
      <c r="E125" s="0" t="inlineStr">
        <is>
          <t xml:space="preserve">3366</t>
        </is>
      </c>
      <c r="F125" s="0" t="inlineStr">
        <is>
          <t xml:space="preserve">Ship Building and Repairing</t>
        </is>
      </c>
      <c r="G125" s="5">
        <v>7.970765120000002</v>
      </c>
      <c r="H125" s="0" t="inlineStr">
        <is>
          <t xml:space="preserve">supplier</t>
        </is>
      </c>
      <c r="I125" s="0" t="inlineStr">
        <is>
          <t xml:space="preserve">structural</t>
        </is>
      </c>
      <c r="J125" s="0" t="inlineStr">
        <is>
          <t xml:space="preserve">naics4</t>
        </is>
      </c>
      <c r="K125" s="5">
        <v>0</v>
      </c>
      <c r="L125" s="5">
        <v>0</v>
      </c>
      <c r="M125" s="5">
        <v>7.970765120000002</v>
      </c>
      <c r="N125" s="5">
        <v>0.29724009999999995</v>
      </c>
      <c r="O125" s="5">
        <v>0.936849</v>
      </c>
      <c r="P125" s="5">
        <v>0.0</v>
      </c>
      <c r="Q125" s="5">
        <v>-0.13773412</v>
      </c>
      <c r="R125" s="5">
        <v>0.41333</v>
      </c>
      <c r="S125" s="5">
        <v>3.0843203599999995</v>
      </c>
      <c r="T125" s="5">
        <v>0.330959</v>
      </c>
      <c r="U125" s="5">
        <v>0.0</v>
      </c>
    </row>
    <row r="126" outlineLevel="1">
      <c r="B126" s="0" t="inlineStr">
        <is>
          <t xml:space="preserve">WARD LEONARD CT LLC</t>
        </is>
      </c>
      <c r="C126" s="0" t="inlineStr">
        <is>
          <t xml:space="preserve">MKXMUFJJYLY5</t>
        </is>
      </c>
      <c r="D126" s="0" t="inlineStr">
        <is>
          <t xml:space="preserve">USA</t>
        </is>
      </c>
      <c r="E126" s="0" t="inlineStr">
        <is>
          <t xml:space="preserve">3353</t>
        </is>
      </c>
      <c r="F126" s="0" t="inlineStr">
        <is>
          <t xml:space="preserve">Motor and Generator Manufacturing</t>
        </is>
      </c>
      <c r="G126" s="5">
        <v>7.930880300000001</v>
      </c>
      <c r="H126" s="0" t="inlineStr">
        <is>
          <t xml:space="preserve">supplier</t>
        </is>
      </c>
      <c r="I126" s="0" t="inlineStr">
        <is>
          <t xml:space="preserve">electrical</t>
        </is>
      </c>
      <c r="J126" s="0" t="inlineStr">
        <is>
          <t xml:space="preserve">registry</t>
        </is>
      </c>
      <c r="K126" s="5">
        <v>0</v>
      </c>
      <c r="L126" s="5">
        <v>0</v>
      </c>
      <c r="M126" s="5">
        <v>7.930880300000001</v>
      </c>
      <c r="N126" s="5">
        <v>0.22740115</v>
      </c>
      <c r="O126" s="5">
        <v>1.66235025</v>
      </c>
      <c r="P126" s="5">
        <v>1.4280147600000002</v>
      </c>
      <c r="Q126" s="5">
        <v>0.0</v>
      </c>
      <c r="R126" s="5">
        <v>0.0</v>
      </c>
      <c r="S126" s="5">
        <v>0.04638</v>
      </c>
      <c r="T126" s="5">
        <v>0.1659705</v>
      </c>
      <c r="U126" s="5">
        <v>4.19875564</v>
      </c>
    </row>
    <row r="127" outlineLevel="1">
      <c r="B127" s="0" t="inlineStr">
        <is>
          <t xml:space="preserve">CITADEL CAPITAL CORPORATION</t>
        </is>
      </c>
      <c r="C127" s="0" t="inlineStr">
        <is>
          <t xml:space="preserve">RLXQHCXFT513</t>
        </is>
      </c>
      <c r="D127" s="0" t="inlineStr">
        <is>
          <t xml:space="preserve">USA</t>
        </is>
      </c>
      <c r="E127" s="0" t="inlineStr">
        <is>
          <t xml:space="preserve">3329</t>
        </is>
      </c>
      <c r="F127" s="0" t="inlineStr">
        <is>
          <t xml:space="preserve">Fabricated Pipe and Pipe Fitting Manufacturing</t>
        </is>
      </c>
      <c r="G127" s="5">
        <v>7.857800599999999</v>
      </c>
      <c r="H127" s="0" t="inlineStr">
        <is>
          <t xml:space="preserve">supplier</t>
        </is>
      </c>
      <c r="I127" s="0" t="inlineStr">
        <is>
          <t xml:space="preserve">piping</t>
        </is>
      </c>
      <c r="J127" s="0" t="inlineStr">
        <is>
          <t xml:space="preserve">registry</t>
        </is>
      </c>
      <c r="K127" s="5">
        <v>0</v>
      </c>
      <c r="L127" s="5">
        <v>0</v>
      </c>
      <c r="M127" s="5">
        <v>7.857800599999999</v>
      </c>
      <c r="N127" s="5">
        <v>6.876066099999999</v>
      </c>
      <c r="O127" s="5">
        <v>0.0</v>
      </c>
      <c r="P127" s="5">
        <v>0.0</v>
      </c>
      <c r="Q127" s="5">
        <v>0.0</v>
      </c>
      <c r="R127" s="5">
        <v>0.485693</v>
      </c>
      <c r="S127" s="5">
        <v>0.0</v>
      </c>
      <c r="T127" s="5">
        <v>0.0</v>
      </c>
      <c r="U127" s="5">
        <v>0.0</v>
      </c>
    </row>
    <row r="128" outlineLevel="1">
      <c r="B128" s="0" t="inlineStr">
        <is>
          <t xml:space="preserve">CURTISS-WRIGHT FLOW CONTROL SERVICE, LLC</t>
        </is>
      </c>
      <c r="C128" s="0" t="inlineStr">
        <is>
          <t xml:space="preserve">NYGUEDY27AM8</t>
        </is>
      </c>
      <c r="D128" s="0" t="inlineStr">
        <is>
          <t xml:space="preserve">-</t>
        </is>
      </c>
      <c r="E128" s="0" t="inlineStr">
        <is>
          <t xml:space="preserve">-</t>
        </is>
      </c>
      <c r="F128" s="0" t="inlineStr">
        <is>
          <t xml:space="preserve">-</t>
        </is>
      </c>
      <c r="G128" s="5">
        <v>7.84355807</v>
      </c>
      <c r="H128" s="0" t="inlineStr">
        <is>
          <t xml:space="preserve">supplier</t>
        </is>
      </c>
      <c r="I128" s="0" t="inlineStr">
        <is>
          <t xml:space="preserve">piping</t>
        </is>
      </c>
      <c r="J128" s="0" t="inlineStr">
        <is>
          <t xml:space="preserve">registry</t>
        </is>
      </c>
      <c r="K128" s="5">
        <v>0</v>
      </c>
      <c r="L128" s="5">
        <v>0</v>
      </c>
      <c r="M128" s="5">
        <v>7.84355807</v>
      </c>
      <c r="N128" s="5">
        <v>0.0</v>
      </c>
      <c r="O128" s="5">
        <v>0.0</v>
      </c>
      <c r="P128" s="5">
        <v>0.0</v>
      </c>
      <c r="Q128" s="5">
        <v>7.84355807</v>
      </c>
      <c r="R128" s="5">
        <v>0.0</v>
      </c>
      <c r="S128" s="5">
        <v>0.0</v>
      </c>
      <c r="T128" s="5">
        <v>0.0</v>
      </c>
      <c r="U128" s="5">
        <v>0.0</v>
      </c>
    </row>
    <row r="129" outlineLevel="1">
      <c r="B129" s="0" t="inlineStr">
        <is>
          <t xml:space="preserve">A/Z CORPORATION</t>
        </is>
      </c>
      <c r="C129" s="0" t="inlineStr">
        <is>
          <t xml:space="preserve">QCFDU4MA1444</t>
        </is>
      </c>
      <c r="D129" s="0" t="inlineStr">
        <is>
          <t xml:space="preserve">USA</t>
        </is>
      </c>
      <c r="E129" s="0" t="inlineStr">
        <is>
          <t xml:space="preserve">2362</t>
        </is>
      </c>
      <c r="F129" s="0" t="inlineStr">
        <is>
          <t xml:space="preserve">Industrial Building Construction</t>
        </is>
      </c>
      <c r="G129" s="5">
        <v>7.826123739999998</v>
      </c>
      <c r="H129" s="0" t="inlineStr">
        <is>
          <t xml:space="preserve">service</t>
        </is>
      </c>
      <c r="I129" s="0" t="inlineStr">
        <is>
          <t xml:space="preserve">-</t>
        </is>
      </c>
      <c r="J129" s="0" t="inlineStr">
        <is>
          <t xml:space="preserve">service NAICS</t>
        </is>
      </c>
      <c r="K129" s="5">
        <v>0</v>
      </c>
      <c r="L129" s="5">
        <v>0</v>
      </c>
      <c r="M129" s="5">
        <v>7.826123739999998</v>
      </c>
      <c r="N129" s="5">
        <v>0.0</v>
      </c>
      <c r="O129" s="5">
        <v>0.0</v>
      </c>
      <c r="P129" s="5">
        <v>-0.453915</v>
      </c>
      <c r="Q129" s="5">
        <v>0.0</v>
      </c>
      <c r="R129" s="5">
        <v>0.08119064</v>
      </c>
      <c r="S129" s="5">
        <v>1.1358420999999999</v>
      </c>
      <c r="T129" s="5">
        <v>7.063006000000001</v>
      </c>
      <c r="U129" s="5">
        <v>0.0</v>
      </c>
    </row>
    <row r="130" outlineLevel="1">
      <c r="B130" s="0" t="inlineStr">
        <is>
          <t xml:space="preserve">HUTCHINSON AEROSPACE &amp; INDUSTRY, INC.</t>
        </is>
      </c>
      <c r="C130" s="0" t="inlineStr">
        <is>
          <t xml:space="preserve">N5BYYW3MMFP7</t>
        </is>
      </c>
      <c r="D130" s="0" t="inlineStr">
        <is>
          <t xml:space="preserve">-</t>
        </is>
      </c>
      <c r="E130" s="0" t="inlineStr">
        <is>
          <t xml:space="preserve">-</t>
        </is>
      </c>
      <c r="F130" s="0" t="inlineStr">
        <is>
          <t xml:space="preserve">-</t>
        </is>
      </c>
      <c r="G130" s="5">
        <v>7.796777</v>
      </c>
      <c r="H130" s="0" t="inlineStr">
        <is>
          <t xml:space="preserve">supplier</t>
        </is>
      </c>
      <c r="I130" s="0" t="inlineStr">
        <is>
          <t xml:space="preserve">coatings</t>
        </is>
      </c>
      <c r="J130" s="0" t="inlineStr">
        <is>
          <t xml:space="preserve">registry</t>
        </is>
      </c>
      <c r="K130" s="5">
        <v>0</v>
      </c>
      <c r="L130" s="5">
        <v>0</v>
      </c>
      <c r="M130" s="5">
        <v>7.796777</v>
      </c>
      <c r="N130" s="5">
        <v>0.0</v>
      </c>
      <c r="O130" s="5">
        <v>0.488857</v>
      </c>
      <c r="P130" s="5">
        <v>1.16652</v>
      </c>
      <c r="Q130" s="5">
        <v>0.0</v>
      </c>
      <c r="R130" s="5">
        <v>0.0</v>
      </c>
      <c r="S130" s="5">
        <v>2.20695</v>
      </c>
      <c r="T130" s="5">
        <v>1.82065</v>
      </c>
      <c r="U130" s="5">
        <v>2.1138</v>
      </c>
    </row>
    <row r="131" outlineLevel="1">
      <c r="B131" s="0" t="inlineStr">
        <is>
          <t xml:space="preserve">RHOADS INDUSTRIES, INC.</t>
        </is>
      </c>
      <c r="C131" s="0" t="inlineStr">
        <is>
          <t xml:space="preserve">LPY6KXBKHMK8</t>
        </is>
      </c>
      <c r="D131" s="0" t="inlineStr">
        <is>
          <t xml:space="preserve">USA</t>
        </is>
      </c>
      <c r="E131" s="0" t="inlineStr">
        <is>
          <t xml:space="preserve">3366</t>
        </is>
      </c>
      <c r="F131" s="0" t="inlineStr">
        <is>
          <t xml:space="preserve">Ship Building and Repairing</t>
        </is>
      </c>
      <c r="G131" s="5">
        <v>7.75337018</v>
      </c>
      <c r="H131" s="0" t="inlineStr">
        <is>
          <t xml:space="preserve">supplier</t>
        </is>
      </c>
      <c r="I131" s="0" t="inlineStr">
        <is>
          <t xml:space="preserve">structural</t>
        </is>
      </c>
      <c r="J131" s="0" t="inlineStr">
        <is>
          <t xml:space="preserve">naics4</t>
        </is>
      </c>
      <c r="K131" s="5">
        <v>0</v>
      </c>
      <c r="L131" s="5">
        <v>0</v>
      </c>
      <c r="M131" s="5">
        <v>7.75337018</v>
      </c>
      <c r="N131" s="5">
        <v>2.9667840000000005</v>
      </c>
      <c r="O131" s="5">
        <v>0.0</v>
      </c>
      <c r="P131" s="5">
        <v>0.0</v>
      </c>
      <c r="Q131" s="5">
        <v>0.0</v>
      </c>
      <c r="R131" s="5">
        <v>3.17907749</v>
      </c>
      <c r="S131" s="5">
        <v>0.0</v>
      </c>
      <c r="T131" s="5">
        <v>0.0</v>
      </c>
      <c r="U131" s="5">
        <v>0.0</v>
      </c>
    </row>
    <row r="132" outlineLevel="1">
      <c r="B132" s="0" t="inlineStr">
        <is>
          <t xml:space="preserve">AMMCON CORP.</t>
        </is>
      </c>
      <c r="C132" s="0" t="inlineStr">
        <is>
          <t xml:space="preserve">W3KUJLTCRLV1</t>
        </is>
      </c>
      <c r="D132" s="0" t="inlineStr">
        <is>
          <t xml:space="preserve">USA</t>
        </is>
      </c>
      <c r="E132" s="0" t="inlineStr">
        <is>
          <t xml:space="preserve">3329</t>
        </is>
      </c>
      <c r="F132" s="0" t="inlineStr">
        <is>
          <t xml:space="preserve">Other Metal Valve and Pipe Fitting Manufacturing</t>
        </is>
      </c>
      <c r="G132" s="5">
        <v>7.709919210000002</v>
      </c>
      <c r="H132" s="0" t="inlineStr">
        <is>
          <t xml:space="preserve">supplier</t>
        </is>
      </c>
      <c r="I132" s="0" t="inlineStr">
        <is>
          <t xml:space="preserve">piping</t>
        </is>
      </c>
      <c r="J132" s="0" t="inlineStr">
        <is>
          <t xml:space="preserve">naics4</t>
        </is>
      </c>
      <c r="K132" s="5">
        <v>0</v>
      </c>
      <c r="L132" s="5">
        <v>0</v>
      </c>
      <c r="M132" s="5">
        <v>7.709919210000002</v>
      </c>
      <c r="N132" s="5">
        <v>0.6311212399999999</v>
      </c>
      <c r="O132" s="5">
        <v>0.07202</v>
      </c>
      <c r="P132" s="5">
        <v>0.0</v>
      </c>
      <c r="Q132" s="5">
        <v>0.0</v>
      </c>
      <c r="R132" s="5">
        <v>0.49280339999999995</v>
      </c>
      <c r="S132" s="5">
        <v>0.283586</v>
      </c>
      <c r="T132" s="5">
        <v>0.0</v>
      </c>
      <c r="U132" s="5">
        <v>0.0</v>
      </c>
    </row>
    <row r="133" outlineLevel="1">
      <c r="B133" s="0" t="inlineStr">
        <is>
          <t xml:space="preserve">LESLIE CONTROLS, INC.</t>
        </is>
      </c>
      <c r="C133" s="0" t="inlineStr">
        <is>
          <t xml:space="preserve">HUK5MJK4MH39</t>
        </is>
      </c>
      <c r="D133" s="0" t="inlineStr">
        <is>
          <t xml:space="preserve">-</t>
        </is>
      </c>
      <c r="E133" s="0" t="inlineStr">
        <is>
          <t xml:space="preserve">-</t>
        </is>
      </c>
      <c r="F133" s="0" t="inlineStr">
        <is>
          <t xml:space="preserve">-</t>
        </is>
      </c>
      <c r="G133" s="5">
        <v>7.634580799999997</v>
      </c>
      <c r="H133" s="0" t="inlineStr">
        <is>
          <t xml:space="preserve">supplier</t>
        </is>
      </c>
      <c r="I133" s="0" t="inlineStr">
        <is>
          <t xml:space="preserve">piping</t>
        </is>
      </c>
      <c r="J133" s="0" t="inlineStr">
        <is>
          <t xml:space="preserve">registry</t>
        </is>
      </c>
      <c r="K133" s="5">
        <v>0</v>
      </c>
      <c r="L133" s="5">
        <v>0</v>
      </c>
      <c r="M133" s="5">
        <v>7.634580799999997</v>
      </c>
      <c r="N133" s="5">
        <v>0.0</v>
      </c>
      <c r="O133" s="5">
        <v>0.0</v>
      </c>
      <c r="P133" s="5">
        <v>0.0</v>
      </c>
      <c r="Q133" s="5">
        <v>0.0</v>
      </c>
      <c r="R133" s="5">
        <v>0.012178</v>
      </c>
      <c r="S133" s="5">
        <v>0.26353</v>
      </c>
      <c r="T133" s="5">
        <v>7.358872799999998</v>
      </c>
      <c r="U133" s="5">
        <v>0.0</v>
      </c>
    </row>
    <row r="134" outlineLevel="1">
      <c r="B134" s="0" t="inlineStr">
        <is>
          <t xml:space="preserve">THE GRAHAM CORPORATION</t>
        </is>
      </c>
      <c r="C134" s="0" t="inlineStr">
        <is>
          <t xml:space="preserve">F2LEAK3EK9R3</t>
        </is>
      </c>
      <c r="D134" s="0" t="inlineStr">
        <is>
          <t xml:space="preserve">USA</t>
        </is>
      </c>
      <c r="E134" s="0" t="inlineStr">
        <is>
          <t xml:space="preserve">3366</t>
        </is>
      </c>
      <c r="F134" s="0" t="inlineStr">
        <is>
          <t xml:space="preserve">Ship Building and Repairing</t>
        </is>
      </c>
      <c r="G134" s="5">
        <v>7.525392</v>
      </c>
      <c r="H134" s="0" t="inlineStr">
        <is>
          <t xml:space="preserve">supplier</t>
        </is>
      </c>
      <c r="I134" s="0" t="inlineStr">
        <is>
          <t xml:space="preserve">piping</t>
        </is>
      </c>
      <c r="J134" s="0" t="inlineStr">
        <is>
          <t xml:space="preserve">registry</t>
        </is>
      </c>
      <c r="K134" s="5">
        <v>0</v>
      </c>
      <c r="L134" s="5">
        <v>0</v>
      </c>
      <c r="M134" s="5">
        <v>1.975308</v>
      </c>
      <c r="N134" s="5">
        <v>0.0</v>
      </c>
      <c r="O134" s="5">
        <v>0.0</v>
      </c>
      <c r="P134" s="5">
        <v>0.0</v>
      </c>
      <c r="Q134" s="5">
        <v>0.0</v>
      </c>
      <c r="R134" s="5">
        <v>0.0</v>
      </c>
      <c r="S134" s="5">
        <v>0.0</v>
      </c>
      <c r="T134" s="5">
        <v>0.0</v>
      </c>
      <c r="U134" s="5">
        <v>0.0</v>
      </c>
    </row>
    <row r="135" outlineLevel="1">
      <c r="B135" s="0" t="inlineStr">
        <is>
          <t xml:space="preserve">YOUNG ENGINEERING &amp; MANUFACTURING, INC.</t>
        </is>
      </c>
      <c r="C135" s="0" t="inlineStr">
        <is>
          <t xml:space="preserve">LG88NCWJ3A95</t>
        </is>
      </c>
      <c r="D135" s="0" t="inlineStr">
        <is>
          <t xml:space="preserve">USA</t>
        </is>
      </c>
      <c r="E135" s="0" t="inlineStr">
        <is>
          <t xml:space="preserve">3324</t>
        </is>
      </c>
      <c r="F135" s="0" t="inlineStr">
        <is>
          <t xml:space="preserve">Metal Tank (Heavy Gauge) Manufacturing</t>
        </is>
      </c>
      <c r="G135" s="5">
        <v>7.27238162</v>
      </c>
      <c r="H135" s="0" t="inlineStr">
        <is>
          <t xml:space="preserve">supplier</t>
        </is>
      </c>
      <c r="I135" s="0" t="inlineStr">
        <is>
          <t xml:space="preserve">structural</t>
        </is>
      </c>
      <c r="J135" s="0" t="inlineStr">
        <is>
          <t xml:space="preserve">naics4</t>
        </is>
      </c>
      <c r="K135" s="5">
        <v>0</v>
      </c>
      <c r="L135" s="5">
        <v>0</v>
      </c>
      <c r="M135" s="5">
        <v>7.27238162</v>
      </c>
      <c r="N135" s="5">
        <v>0.0</v>
      </c>
      <c r="O135" s="5">
        <v>0.149371</v>
      </c>
      <c r="P135" s="5">
        <v>0.0</v>
      </c>
      <c r="Q135" s="5">
        <v>0.0</v>
      </c>
      <c r="R135" s="5">
        <v>0.21261999999999998</v>
      </c>
      <c r="S135" s="5">
        <v>3.251515220000001</v>
      </c>
      <c r="T135" s="5">
        <v>2.0078294</v>
      </c>
      <c r="U135" s="5">
        <v>0.0</v>
      </c>
    </row>
    <row r="136" outlineLevel="1">
      <c r="B136" s="0" t="inlineStr">
        <is>
          <t xml:space="preserve">COLFAX CORPORATION</t>
        </is>
      </c>
      <c r="C136" s="0" t="inlineStr">
        <is>
          <t xml:space="preserve">KYURG7LRSC89</t>
        </is>
      </c>
      <c r="D136" s="0" t="inlineStr">
        <is>
          <t xml:space="preserve">USA</t>
        </is>
      </c>
      <c r="E136" s="0" t="inlineStr">
        <is>
          <t xml:space="preserve">3334</t>
        </is>
      </c>
      <c r="F136" s="0" t="inlineStr">
        <is>
          <t xml:space="preserve">Industrial and Commercial Fan and Blower and Air Purification Equipment Manufacturing</t>
        </is>
      </c>
      <c r="G136" s="5">
        <v>7.0859301100000005</v>
      </c>
      <c r="H136" s="0" t="inlineStr">
        <is>
          <t xml:space="preserve">supplier</t>
        </is>
      </c>
      <c r="I136" s="0" t="inlineStr">
        <is>
          <t xml:space="preserve">piping</t>
        </is>
      </c>
      <c r="J136" s="0" t="inlineStr">
        <is>
          <t xml:space="preserve">registry</t>
        </is>
      </c>
      <c r="K136" s="5">
        <v>0</v>
      </c>
      <c r="L136" s="5">
        <v>0</v>
      </c>
      <c r="M136" s="5">
        <v>7.0859301100000005</v>
      </c>
      <c r="N136" s="5">
        <v>0.0</v>
      </c>
      <c r="O136" s="5">
        <v>6.62903511</v>
      </c>
      <c r="P136" s="5">
        <v>0.0</v>
      </c>
      <c r="Q136" s="5">
        <v>0.0</v>
      </c>
      <c r="R136" s="5">
        <v>0.0</v>
      </c>
      <c r="S136" s="5">
        <v>0.0</v>
      </c>
      <c r="T136" s="5">
        <v>0.456895</v>
      </c>
      <c r="U136" s="5">
        <v>0.0</v>
      </c>
    </row>
    <row r="137" outlineLevel="1">
      <c r="B137" s="0" t="inlineStr">
        <is>
          <t xml:space="preserve">BAKER SHEET METAL CORPORATION</t>
        </is>
      </c>
      <c r="C137" s="0" t="inlineStr">
        <is>
          <t xml:space="preserve">RYRLL49HWN65</t>
        </is>
      </c>
      <c r="D137" s="0" t="inlineStr">
        <is>
          <t xml:space="preserve">USA</t>
        </is>
      </c>
      <c r="E137" s="0" t="inlineStr">
        <is>
          <t xml:space="preserve">3323</t>
        </is>
      </c>
      <c r="F137" s="0" t="inlineStr">
        <is>
          <t xml:space="preserve">Sheet Metal Work Manufacturing</t>
        </is>
      </c>
      <c r="G137" s="5">
        <v>7.006414</v>
      </c>
      <c r="H137" s="0" t="inlineStr">
        <is>
          <t xml:space="preserve">supplier</t>
        </is>
      </c>
      <c r="I137" s="0" t="inlineStr">
        <is>
          <t xml:space="preserve">structural</t>
        </is>
      </c>
      <c r="J137" s="0" t="inlineStr">
        <is>
          <t xml:space="preserve">naics4</t>
        </is>
      </c>
      <c r="K137" s="5">
        <v>0</v>
      </c>
      <c r="L137" s="5">
        <v>0</v>
      </c>
      <c r="M137" s="5">
        <v>7.006414</v>
      </c>
      <c r="N137" s="5">
        <v>0.206584</v>
      </c>
      <c r="O137" s="5">
        <v>0.8864199999999999</v>
      </c>
      <c r="P137" s="5">
        <v>0.533484</v>
      </c>
      <c r="Q137" s="5">
        <v>0.0</v>
      </c>
      <c r="R137" s="5">
        <v>0.0</v>
      </c>
      <c r="S137" s="5">
        <v>1.4523439999999996</v>
      </c>
      <c r="T137" s="5">
        <v>0.75698</v>
      </c>
      <c r="U137" s="5">
        <v>0.0</v>
      </c>
    </row>
    <row r="138" outlineLevel="1">
      <c r="B138" s="0" t="inlineStr">
        <is>
          <t xml:space="preserve">RANOR INC.</t>
        </is>
      </c>
      <c r="C138" s="0" t="inlineStr">
        <is>
          <t xml:space="preserve">MF1LU8RPCMB8</t>
        </is>
      </c>
      <c r="D138" s="0" t="inlineStr">
        <is>
          <t xml:space="preserve">USA</t>
        </is>
      </c>
      <c r="E138" s="0" t="inlineStr">
        <is>
          <t xml:space="preserve">3323</t>
        </is>
      </c>
      <c r="F138" s="0" t="inlineStr">
        <is>
          <t xml:space="preserve">Plate Work Manufacturing</t>
        </is>
      </c>
      <c r="G138" s="5">
        <v>7.002718590000002</v>
      </c>
      <c r="H138" s="0" t="inlineStr">
        <is>
          <t xml:space="preserve">supplier</t>
        </is>
      </c>
      <c r="I138" s="0" t="inlineStr">
        <is>
          <t xml:space="preserve">structural</t>
        </is>
      </c>
      <c r="J138" s="0" t="inlineStr">
        <is>
          <t xml:space="preserve">naics4</t>
        </is>
      </c>
      <c r="K138" s="5">
        <v>0</v>
      </c>
      <c r="L138" s="5">
        <v>0</v>
      </c>
      <c r="M138" s="5">
        <v>6.329003590000002</v>
      </c>
      <c r="N138" s="5">
        <v>0.09921999999999999</v>
      </c>
      <c r="O138" s="5">
        <v>1.074683</v>
      </c>
      <c r="P138" s="5">
        <v>2.35260157</v>
      </c>
      <c r="Q138" s="5">
        <v>0.27489800000000003</v>
      </c>
      <c r="R138" s="5">
        <v>0.002365</v>
      </c>
      <c r="S138" s="5">
        <v>1.22638002</v>
      </c>
      <c r="T138" s="5">
        <v>1.298856</v>
      </c>
      <c r="U138" s="5">
        <v>0.0</v>
      </c>
    </row>
    <row r="139" outlineLevel="1">
      <c r="B139" s="0" t="inlineStr">
        <is>
          <t xml:space="preserve">OCEANEERING INTERNATIONAL, INC.</t>
        </is>
      </c>
      <c r="C139" s="0" t="inlineStr">
        <is>
          <t xml:space="preserve">X6N2CNV552X7</t>
        </is>
      </c>
      <c r="D139" s="0" t="inlineStr">
        <is>
          <t xml:space="preserve">-</t>
        </is>
      </c>
      <c r="E139" s="0" t="inlineStr">
        <is>
          <t xml:space="preserve">-</t>
        </is>
      </c>
      <c r="F139" s="0" t="inlineStr">
        <is>
          <t xml:space="preserve">-</t>
        </is>
      </c>
      <c r="G139" s="5">
        <v>6.98932178</v>
      </c>
      <c r="H139" s="0" t="inlineStr">
        <is>
          <t xml:space="preserve">supplier</t>
        </is>
      </c>
      <c r="I139" s="0" t="inlineStr">
        <is>
          <t xml:space="preserve">structural</t>
        </is>
      </c>
      <c r="J139" s="0" t="inlineStr">
        <is>
          <t xml:space="preserve">registry</t>
        </is>
      </c>
      <c r="K139" s="5">
        <v>0</v>
      </c>
      <c r="L139" s="5">
        <v>0</v>
      </c>
      <c r="M139" s="5">
        <v>6.98932178</v>
      </c>
      <c r="N139" s="5">
        <v>4.183186999999999</v>
      </c>
      <c r="O139" s="5">
        <v>0.0</v>
      </c>
      <c r="P139" s="5">
        <v>0.0</v>
      </c>
      <c r="Q139" s="5">
        <v>0.0</v>
      </c>
      <c r="R139" s="5">
        <v>0.15465795000000002</v>
      </c>
      <c r="S139" s="5">
        <v>0.0</v>
      </c>
      <c r="T139" s="5">
        <v>0.0</v>
      </c>
      <c r="U139" s="5">
        <v>0.0</v>
      </c>
    </row>
    <row r="140" outlineLevel="1">
      <c r="B140" s="0" t="inlineStr">
        <is>
          <t xml:space="preserve">COLONNA'S SHIP YARD, INCORPORATED</t>
        </is>
      </c>
      <c r="C140" s="0" t="inlineStr">
        <is>
          <t xml:space="preserve">JSAXGRLNEJ63</t>
        </is>
      </c>
      <c r="D140" s="0" t="inlineStr">
        <is>
          <t xml:space="preserve">USA</t>
        </is>
      </c>
      <c r="E140" s="0" t="inlineStr">
        <is>
          <t xml:space="preserve">3366</t>
        </is>
      </c>
      <c r="F140" s="0" t="inlineStr">
        <is>
          <t xml:space="preserve">Ship Building and Repairing</t>
        </is>
      </c>
      <c r="G140" s="5">
        <v>6.946420000000001</v>
      </c>
      <c r="H140" s="0" t="inlineStr">
        <is>
          <t xml:space="preserve">supplier</t>
        </is>
      </c>
      <c r="I140" s="0" t="inlineStr">
        <is>
          <t xml:space="preserve">structural</t>
        </is>
      </c>
      <c r="J140" s="0" t="inlineStr">
        <is>
          <t xml:space="preserve">naics4</t>
        </is>
      </c>
      <c r="K140" s="5">
        <v>0</v>
      </c>
      <c r="L140" s="5">
        <v>0</v>
      </c>
      <c r="M140" s="5">
        <v>6.946420000000001</v>
      </c>
      <c r="N140" s="5">
        <v>0.0</v>
      </c>
      <c r="O140" s="5">
        <v>1.125922</v>
      </c>
      <c r="P140" s="5">
        <v>3.725958</v>
      </c>
      <c r="Q140" s="5">
        <v>0.0</v>
      </c>
      <c r="R140" s="5">
        <v>0.0</v>
      </c>
      <c r="S140" s="5">
        <v>0.0</v>
      </c>
      <c r="T140" s="5">
        <v>0.0</v>
      </c>
      <c r="U140" s="5">
        <v>2.09454</v>
      </c>
    </row>
    <row r="141" outlineLevel="1">
      <c r="B141" s="0" t="inlineStr">
        <is>
          <t xml:space="preserve">TOTAL SA</t>
        </is>
      </c>
      <c r="C141" s="0" t="inlineStr">
        <is>
          <t xml:space="preserve">N5BYYW3MMFP7</t>
        </is>
      </c>
      <c r="D141" s="0" t="inlineStr">
        <is>
          <t xml:space="preserve">FRA</t>
        </is>
      </c>
      <c r="E141" s="0" t="inlineStr">
        <is>
          <t xml:space="preserve">4247</t>
        </is>
      </c>
      <c r="F141" s="0" t="inlineStr">
        <is>
          <t xml:space="preserve">Petroleum Bulk Stations and Terminals</t>
        </is>
      </c>
      <c r="G141" s="5">
        <v>6.8712789999999995</v>
      </c>
      <c r="H141" s="0" t="inlineStr">
        <is>
          <t xml:space="preserve">supplier</t>
        </is>
      </c>
      <c r="I141" s="0" t="inlineStr">
        <is>
          <t xml:space="preserve">coatings</t>
        </is>
      </c>
      <c r="J141" s="0" t="inlineStr">
        <is>
          <t xml:space="preserve">registry</t>
        </is>
      </c>
      <c r="K141" s="5">
        <v>0</v>
      </c>
      <c r="L141" s="5">
        <v>0</v>
      </c>
      <c r="M141" s="5">
        <v>6.8712789999999995</v>
      </c>
      <c r="N141" s="5">
        <v>6.446</v>
      </c>
      <c r="O141" s="5">
        <v>0.097129</v>
      </c>
      <c r="P141" s="5">
        <v>0.0</v>
      </c>
      <c r="Q141" s="5">
        <v>0.0</v>
      </c>
      <c r="R141" s="5">
        <v>0.17135</v>
      </c>
      <c r="S141" s="5">
        <v>0.0</v>
      </c>
      <c r="T141" s="5">
        <v>0.1568</v>
      </c>
      <c r="U141" s="5">
        <v>0.0</v>
      </c>
    </row>
    <row r="142" outlineLevel="1">
      <c r="B142" s="0" t="inlineStr">
        <is>
          <t xml:space="preserve">SHEFFIELD FORGEMASTERS ENGINEERING LIMITED</t>
        </is>
      </c>
      <c r="C142" s="0" t="inlineStr">
        <is>
          <t xml:space="preserve">LPWJLN5JQPW4</t>
        </is>
      </c>
      <c r="D142" s="0" t="inlineStr">
        <is>
          <t xml:space="preserve">Foreign</t>
        </is>
      </c>
      <c r="E142" s="0" t="inlineStr">
        <is>
          <t xml:space="preserve">-</t>
        </is>
      </c>
      <c r="F142" s="0" t="inlineStr">
        <is>
          <t xml:space="preserve">-</t>
        </is>
      </c>
      <c r="G142" s="5">
        <v>6.80912799</v>
      </c>
      <c r="H142" s="0" t="inlineStr">
        <is>
          <t xml:space="preserve">foreign_fms</t>
        </is>
      </c>
      <c r="I142" s="0" t="inlineStr">
        <is>
          <t xml:space="preserve">-</t>
        </is>
      </c>
      <c r="J142" s="0" t="inlineStr">
        <is>
          <t xml:space="preserve">foreign flag</t>
        </is>
      </c>
      <c r="K142" s="5">
        <v>0</v>
      </c>
      <c r="L142" s="5">
        <v>0</v>
      </c>
      <c r="M142" s="5">
        <v>6.80912799</v>
      </c>
      <c r="N142" s="5">
        <v>0.0</v>
      </c>
      <c r="O142" s="5">
        <v>0.25</v>
      </c>
      <c r="P142" s="5">
        <v>0.0</v>
      </c>
      <c r="Q142" s="5">
        <v>0.0</v>
      </c>
      <c r="R142" s="5">
        <v>0.0</v>
      </c>
      <c r="S142" s="5">
        <v>4.0</v>
      </c>
      <c r="T142" s="5">
        <v>0.0</v>
      </c>
      <c r="U142" s="5">
        <v>2.5591279900000004</v>
      </c>
    </row>
    <row r="143" outlineLevel="1">
      <c r="B143" s="0" t="inlineStr">
        <is>
          <t xml:space="preserve">RTX BBN TECHNOLOGIES, INC.</t>
        </is>
      </c>
      <c r="C143" s="0" t="inlineStr">
        <is>
          <t xml:space="preserve">JAXJSTJJSP74</t>
        </is>
      </c>
      <c r="D143" s="0" t="inlineStr">
        <is>
          <t xml:space="preserve">-</t>
        </is>
      </c>
      <c r="E143" s="0" t="inlineStr">
        <is>
          <t xml:space="preserve">-</t>
        </is>
      </c>
      <c r="F143" s="0" t="inlineStr">
        <is>
          <t xml:space="preserve">-</t>
        </is>
      </c>
      <c r="G143" s="5">
        <v>6.649738</v>
      </c>
      <c r="H143" s="0" t="inlineStr">
        <is>
          <t xml:space="preserve">supplier</t>
        </is>
      </c>
      <c r="I143" s="0" t="inlineStr">
        <is>
          <t xml:space="preserve">coatings</t>
        </is>
      </c>
      <c r="J143" s="0" t="inlineStr">
        <is>
          <t xml:space="preserve">registry</t>
        </is>
      </c>
      <c r="K143" s="5">
        <v>0</v>
      </c>
      <c r="L143" s="5">
        <v>0</v>
      </c>
      <c r="M143" s="5">
        <v>6.649738</v>
      </c>
      <c r="N143" s="5">
        <v>0.0</v>
      </c>
      <c r="O143" s="5">
        <v>0.0</v>
      </c>
      <c r="P143" s="5">
        <v>0.0</v>
      </c>
      <c r="Q143" s="5">
        <v>0.0</v>
      </c>
      <c r="R143" s="5">
        <v>0.0</v>
      </c>
      <c r="S143" s="5">
        <v>1.0</v>
      </c>
      <c r="T143" s="5">
        <v>2.326088</v>
      </c>
      <c r="U143" s="5">
        <v>0.0</v>
      </c>
    </row>
    <row r="144" outlineLevel="1">
      <c r="B144" s="0" t="inlineStr">
        <is>
          <t xml:space="preserve">EMERSON AUTOMATION SOLUTIONS FINAL CONTROL US LP</t>
        </is>
      </c>
      <c r="C144" s="0" t="inlineStr">
        <is>
          <t xml:space="preserve">HSV2N9ACRTJ6</t>
        </is>
      </c>
      <c r="D144" s="0" t="inlineStr">
        <is>
          <t xml:space="preserve">USA</t>
        </is>
      </c>
      <c r="E144" s="0" t="inlineStr">
        <is>
          <t xml:space="preserve">3329</t>
        </is>
      </c>
      <c r="F144" s="0" t="inlineStr">
        <is>
          <t xml:space="preserve">Industrial Valve Manufacturing</t>
        </is>
      </c>
      <c r="G144" s="5">
        <v>6.518006999999999</v>
      </c>
      <c r="H144" s="0" t="inlineStr">
        <is>
          <t xml:space="preserve">supplier</t>
        </is>
      </c>
      <c r="I144" s="0" t="inlineStr">
        <is>
          <t xml:space="preserve">piping</t>
        </is>
      </c>
      <c r="J144" s="0" t="inlineStr">
        <is>
          <t xml:space="preserve">naics4</t>
        </is>
      </c>
      <c r="K144" s="5">
        <v>0</v>
      </c>
      <c r="L144" s="5">
        <v>0</v>
      </c>
      <c r="M144" s="5">
        <v>6.518006999999999</v>
      </c>
      <c r="N144" s="5">
        <v>0.02284</v>
      </c>
      <c r="O144" s="5">
        <v>0.7289820000000001</v>
      </c>
      <c r="P144" s="5">
        <v>0.28809700000000005</v>
      </c>
      <c r="Q144" s="5">
        <v>0.337812</v>
      </c>
      <c r="R144" s="5">
        <v>0.10759</v>
      </c>
      <c r="S144" s="5">
        <v>2.7824789999999995</v>
      </c>
      <c r="T144" s="5">
        <v>2.022147</v>
      </c>
      <c r="U144" s="5">
        <v>0.22806</v>
      </c>
    </row>
    <row r="145" outlineLevel="1">
      <c r="B145" s="0" t="inlineStr">
        <is>
          <t xml:space="preserve">TECHPRECISION CORPORATION</t>
        </is>
      </c>
      <c r="C145" s="0" t="inlineStr">
        <is>
          <t xml:space="preserve">MF1LU8RPCMB8</t>
        </is>
      </c>
      <c r="D145" s="0" t="inlineStr">
        <is>
          <t xml:space="preserve">USA</t>
        </is>
      </c>
      <c r="E145" s="0" t="inlineStr">
        <is>
          <t xml:space="preserve">3323</t>
        </is>
      </c>
      <c r="F145" s="0" t="inlineStr">
        <is>
          <t xml:space="preserve">Plate Work Manufacturing</t>
        </is>
      </c>
      <c r="G145" s="5">
        <v>6.446338000000001</v>
      </c>
      <c r="H145" s="0" t="inlineStr">
        <is>
          <t xml:space="preserve">supplier</t>
        </is>
      </c>
      <c r="I145" s="0" t="inlineStr">
        <is>
          <t xml:space="preserve">structural</t>
        </is>
      </c>
      <c r="J145" s="0" t="inlineStr">
        <is>
          <t xml:space="preserve">naics4</t>
        </is>
      </c>
      <c r="K145" s="5">
        <v>0</v>
      </c>
      <c r="L145" s="5">
        <v>0</v>
      </c>
      <c r="M145" s="5">
        <v>6.446338000000001</v>
      </c>
      <c r="N145" s="5">
        <v>0.0</v>
      </c>
      <c r="O145" s="5">
        <v>0.0</v>
      </c>
      <c r="P145" s="5">
        <v>0.0</v>
      </c>
      <c r="Q145" s="5">
        <v>0.0</v>
      </c>
      <c r="R145" s="5">
        <v>3.692</v>
      </c>
      <c r="S145" s="5">
        <v>0.0</v>
      </c>
      <c r="T145" s="5">
        <v>0.0</v>
      </c>
      <c r="U145" s="5">
        <v>0.0</v>
      </c>
    </row>
    <row r="146" outlineLevel="1">
      <c r="B146" s="0" t="inlineStr">
        <is>
          <t xml:space="preserve">GOODWIN PLC</t>
        </is>
      </c>
      <c r="C146" s="0" t="inlineStr">
        <is>
          <t xml:space="preserve">NN7PCHZFNZP8</t>
        </is>
      </c>
      <c r="D146" s="0" t="inlineStr">
        <is>
          <t xml:space="preserve">Foreign</t>
        </is>
      </c>
      <c r="E146" s="0" t="inlineStr">
        <is>
          <t xml:space="preserve">-</t>
        </is>
      </c>
      <c r="F146" s="0" t="inlineStr">
        <is>
          <t xml:space="preserve">-</t>
        </is>
      </c>
      <c r="G146" s="5">
        <v>6.213293</v>
      </c>
      <c r="H146" s="0" t="inlineStr">
        <is>
          <t xml:space="preserve">foreign_fms</t>
        </is>
      </c>
      <c r="I146" s="0" t="inlineStr">
        <is>
          <t xml:space="preserve">-</t>
        </is>
      </c>
      <c r="J146" s="0" t="inlineStr">
        <is>
          <t xml:space="preserve">registry</t>
        </is>
      </c>
      <c r="K146" s="5">
        <v>0</v>
      </c>
      <c r="L146" s="5">
        <v>0</v>
      </c>
      <c r="M146" s="5">
        <v>6.213293</v>
      </c>
      <c r="N146" s="5">
        <v>0.0</v>
      </c>
      <c r="O146" s="5">
        <v>0.0</v>
      </c>
      <c r="P146" s="5">
        <v>0.0</v>
      </c>
      <c r="Q146" s="5">
        <v>0.0</v>
      </c>
      <c r="R146" s="5">
        <v>5.942133</v>
      </c>
      <c r="S146" s="5">
        <v>0.0</v>
      </c>
      <c r="T146" s="5">
        <v>0.0</v>
      </c>
      <c r="U146" s="5">
        <v>0.0</v>
      </c>
    </row>
    <row r="147" outlineLevel="1">
      <c r="B147" s="0" t="inlineStr">
        <is>
          <t xml:space="preserve">JAL ENTERPRISES, INC.</t>
        </is>
      </c>
      <c r="C147" s="0" t="inlineStr">
        <is>
          <t xml:space="preserve">U4MMR7DR2DR7</t>
        </is>
      </c>
      <c r="D147" s="0" t="inlineStr">
        <is>
          <t xml:space="preserve">USA</t>
        </is>
      </c>
      <c r="E147" s="0" t="inlineStr">
        <is>
          <t xml:space="preserve">3366</t>
        </is>
      </c>
      <c r="F147" s="0" t="inlineStr">
        <is>
          <t xml:space="preserve">Ship Building and Repairing</t>
        </is>
      </c>
      <c r="G147" s="5">
        <v>6.165238209999998</v>
      </c>
      <c r="H147" s="0" t="inlineStr">
        <is>
          <t xml:space="preserve">supplier</t>
        </is>
      </c>
      <c r="I147" s="0" t="inlineStr">
        <is>
          <t xml:space="preserve">structural</t>
        </is>
      </c>
      <c r="J147" s="0" t="inlineStr">
        <is>
          <t xml:space="preserve">naics4</t>
        </is>
      </c>
      <c r="K147" s="5">
        <v>0</v>
      </c>
      <c r="L147" s="5">
        <v>0</v>
      </c>
      <c r="M147" s="5">
        <v>6.165238209999998</v>
      </c>
      <c r="N147" s="5">
        <v>3.42681593</v>
      </c>
      <c r="O147" s="5">
        <v>0.0</v>
      </c>
      <c r="P147" s="5">
        <v>1.8264256500000002</v>
      </c>
      <c r="Q147" s="5">
        <v>0.0</v>
      </c>
      <c r="R147" s="5">
        <v>0.0271067</v>
      </c>
      <c r="S147" s="5">
        <v>0.0</v>
      </c>
      <c r="T147" s="5">
        <v>0.10148792999999999</v>
      </c>
      <c r="U147" s="5">
        <v>0.0</v>
      </c>
    </row>
    <row r="148" outlineLevel="1">
      <c r="B148" s="0" t="inlineStr">
        <is>
          <t xml:space="preserve">AMERICAN INDUSTRIAL ACQUISITION CORPORATION</t>
        </is>
      </c>
      <c r="C148" s="0" t="inlineStr">
        <is>
          <t xml:space="preserve">VKBFB8MAZ357</t>
        </is>
      </c>
      <c r="D148" s="0" t="inlineStr">
        <is>
          <t xml:space="preserve">USA</t>
        </is>
      </c>
      <c r="E148" s="0" t="inlineStr">
        <is>
          <t xml:space="preserve">5511</t>
        </is>
      </c>
      <c r="F148" s="0" t="inlineStr">
        <is>
          <t xml:space="preserve">Offices of Other Holding Companies</t>
        </is>
      </c>
      <c r="G148" s="5">
        <v>6.022006</v>
      </c>
      <c r="H148" s="0" t="inlineStr">
        <is>
          <t xml:space="preserve">holding</t>
        </is>
      </c>
      <c r="I148" s="0" t="inlineStr">
        <is>
          <t xml:space="preserve">-</t>
        </is>
      </c>
      <c r="J148" s="0" t="inlineStr">
        <is>
          <t xml:space="preserve">holding-co (5511)</t>
        </is>
      </c>
      <c r="K148" s="5">
        <v>0</v>
      </c>
      <c r="L148" s="5">
        <v>0</v>
      </c>
      <c r="M148" s="5">
        <v>6.022006</v>
      </c>
      <c r="N148" s="5">
        <v>1.385</v>
      </c>
      <c r="O148" s="5">
        <v>0.0</v>
      </c>
      <c r="P148" s="5">
        <v>0.0</v>
      </c>
      <c r="Q148" s="5">
        <v>0.0</v>
      </c>
      <c r="R148" s="5">
        <v>0.0</v>
      </c>
      <c r="S148" s="5">
        <v>0.0</v>
      </c>
      <c r="T148" s="5">
        <v>0.0</v>
      </c>
      <c r="U148" s="5">
        <v>0.0</v>
      </c>
    </row>
    <row r="149" outlineLevel="1">
      <c r="B149" s="0" t="inlineStr">
        <is>
          <t xml:space="preserve">HUNTINGTON INGALLS INDUSTRIES, INC</t>
        </is>
      </c>
      <c r="C149" s="0" t="inlineStr">
        <is>
          <t xml:space="preserve">WMXDDH6HJNA5</t>
        </is>
      </c>
      <c r="D149" s="0" t="inlineStr">
        <is>
          <t xml:space="preserve">USA</t>
        </is>
      </c>
      <c r="E149" s="0" t="inlineStr">
        <is>
          <t xml:space="preserve">3366</t>
        </is>
      </c>
      <c r="F149" s="0" t="inlineStr">
        <is>
          <t xml:space="preserve">Ship Building and Repairing</t>
        </is>
      </c>
      <c r="G149" s="5">
        <v>6.0</v>
      </c>
      <c r="H149" s="0" t="inlineStr">
        <is>
          <t xml:space="preserve">prime</t>
        </is>
      </c>
      <c r="I149" s="0" t="inlineStr">
        <is>
          <t xml:space="preserve">-</t>
        </is>
      </c>
      <c r="J149" s="0" t="inlineStr">
        <is>
          <t xml:space="preserve">registry</t>
        </is>
      </c>
      <c r="K149" s="5">
        <v>0</v>
      </c>
      <c r="L149" s="5">
        <v>0</v>
      </c>
      <c r="M149" s="5">
        <v>6.0</v>
      </c>
      <c r="N149" s="5">
        <v>6.0</v>
      </c>
      <c r="O149" s="5">
        <v>0.0</v>
      </c>
      <c r="P149" s="5">
        <v>0.0</v>
      </c>
      <c r="Q149" s="5">
        <v>0.0</v>
      </c>
      <c r="R149" s="5">
        <v>0.0</v>
      </c>
      <c r="S149" s="5">
        <v>0.0</v>
      </c>
      <c r="T149" s="5">
        <v>0.0</v>
      </c>
      <c r="U149" s="5">
        <v>0.0</v>
      </c>
    </row>
    <row r="150" outlineLevel="1">
      <c r="B150" s="0" t="inlineStr">
        <is>
          <t xml:space="preserve">AMERICAN TANK &amp; FABRICATING CO, THE</t>
        </is>
      </c>
      <c r="C150" s="0" t="inlineStr">
        <is>
          <t xml:space="preserve">PUG1H9MFJD63</t>
        </is>
      </c>
      <c r="D150" s="0" t="inlineStr">
        <is>
          <t xml:space="preserve">USA</t>
        </is>
      </c>
      <c r="E150" s="0" t="inlineStr">
        <is>
          <t xml:space="preserve">3323</t>
        </is>
      </c>
      <c r="F150" s="0" t="inlineStr">
        <is>
          <t xml:space="preserve">Plate Work Manufacturing</t>
        </is>
      </c>
      <c r="G150" s="5">
        <v>5.968895760000002</v>
      </c>
      <c r="H150" s="0" t="inlineStr">
        <is>
          <t xml:space="preserve">supplier</t>
        </is>
      </c>
      <c r="I150" s="0" t="inlineStr">
        <is>
          <t xml:space="preserve">structural</t>
        </is>
      </c>
      <c r="J150" s="0" t="inlineStr">
        <is>
          <t xml:space="preserve">registry</t>
        </is>
      </c>
      <c r="K150" s="5">
        <v>0</v>
      </c>
      <c r="L150" s="5">
        <v>0</v>
      </c>
      <c r="M150" s="5">
        <v>5.968895760000002</v>
      </c>
      <c r="N150" s="5">
        <v>3.3200744199999996</v>
      </c>
      <c r="O150" s="5">
        <v>0.0</v>
      </c>
      <c r="P150" s="5">
        <v>0.0</v>
      </c>
      <c r="Q150" s="5">
        <v>0.0</v>
      </c>
      <c r="R150" s="5">
        <v>0.0</v>
      </c>
      <c r="S150" s="5">
        <v>0.0</v>
      </c>
      <c r="T150" s="5">
        <v>0.0</v>
      </c>
      <c r="U150" s="5">
        <v>0.0</v>
      </c>
    </row>
    <row r="151" outlineLevel="1">
      <c r="B151" s="0" t="inlineStr">
        <is>
          <t xml:space="preserve">THE H R HILLERY COMPANY</t>
        </is>
      </c>
      <c r="C151" s="0" t="inlineStr">
        <is>
          <t xml:space="preserve">ZFQBUPK552C3</t>
        </is>
      </c>
      <c r="D151" s="0" t="inlineStr">
        <is>
          <t xml:space="preserve">USA</t>
        </is>
      </c>
      <c r="E151" s="0" t="inlineStr">
        <is>
          <t xml:space="preserve">3323</t>
        </is>
      </c>
      <c r="F151" s="0" t="inlineStr">
        <is>
          <t xml:space="preserve">Fabricated Structural Metal Manufacturing</t>
        </is>
      </c>
      <c r="G151" s="5">
        <v>5.958141590000001</v>
      </c>
      <c r="H151" s="0" t="inlineStr">
        <is>
          <t xml:space="preserve">supplier</t>
        </is>
      </c>
      <c r="I151" s="0" t="inlineStr">
        <is>
          <t xml:space="preserve">structural</t>
        </is>
      </c>
      <c r="J151" s="0" t="inlineStr">
        <is>
          <t xml:space="preserve">naics4</t>
        </is>
      </c>
      <c r="K151" s="5">
        <v>0</v>
      </c>
      <c r="L151" s="5">
        <v>0</v>
      </c>
      <c r="M151" s="5">
        <v>5.958141590000001</v>
      </c>
      <c r="N151" s="5">
        <v>0.0</v>
      </c>
      <c r="O151" s="5">
        <v>0.85540861</v>
      </c>
      <c r="P151" s="5">
        <v>3.5142827800000007</v>
      </c>
      <c r="Q151" s="5">
        <v>0.36462056</v>
      </c>
      <c r="R151" s="5">
        <v>0.14821496</v>
      </c>
      <c r="S151" s="5">
        <v>0.23512106</v>
      </c>
      <c r="T151" s="5">
        <v>0.46780407</v>
      </c>
      <c r="U151" s="5">
        <v>0.34089650999999993</v>
      </c>
    </row>
    <row r="152" outlineLevel="1">
      <c r="B152" s="0" t="inlineStr">
        <is>
          <t xml:space="preserve">COGITIC CORPORATION</t>
        </is>
      </c>
      <c r="C152" s="0" t="inlineStr">
        <is>
          <t xml:space="preserve">ETWEE7EYY9G5</t>
        </is>
      </c>
      <c r="D152" s="0" t="inlineStr">
        <is>
          <t xml:space="preserve">-</t>
        </is>
      </c>
      <c r="E152" s="0" t="inlineStr">
        <is>
          <t xml:space="preserve">-</t>
        </is>
      </c>
      <c r="F152" s="0" t="inlineStr">
        <is>
          <t xml:space="preserve">-</t>
        </is>
      </c>
      <c r="G152" s="5">
        <v>5.953530350000001</v>
      </c>
      <c r="H152" s="0" t="inlineStr">
        <is>
          <t xml:space="preserve">supplier</t>
        </is>
      </c>
      <c r="I152" s="0" t="inlineStr">
        <is>
          <t xml:space="preserve">unbucketed</t>
        </is>
      </c>
      <c r="J152" s="0" t="inlineStr">
        <is>
          <t xml:space="preserve">residual</t>
        </is>
      </c>
      <c r="K152" s="5">
        <v>0</v>
      </c>
      <c r="L152" s="5">
        <v>0</v>
      </c>
      <c r="M152" s="5">
        <v>5.953530350000001</v>
      </c>
      <c r="N152" s="5">
        <v>0.0</v>
      </c>
      <c r="O152" s="5">
        <v>1.13675472</v>
      </c>
      <c r="P152" s="5">
        <v>0.082208</v>
      </c>
      <c r="Q152" s="5">
        <v>0.0</v>
      </c>
      <c r="R152" s="5">
        <v>0.39141680000000006</v>
      </c>
      <c r="S152" s="5">
        <v>0.30240344</v>
      </c>
      <c r="T152" s="5">
        <v>1.01392468</v>
      </c>
      <c r="U152" s="5">
        <v>1.00940576</v>
      </c>
    </row>
    <row r="153" outlineLevel="1">
      <c r="B153" s="0" t="inlineStr">
        <is>
          <t xml:space="preserve">901 D LLC</t>
        </is>
      </c>
      <c r="C153" s="0" t="inlineStr">
        <is>
          <t xml:space="preserve">G319AMB56SW5</t>
        </is>
      </c>
      <c r="D153" s="0" t="inlineStr">
        <is>
          <t xml:space="preserve">USA</t>
        </is>
      </c>
      <c r="E153" s="0" t="inlineStr">
        <is>
          <t xml:space="preserve">3329</t>
        </is>
      </c>
      <c r="F153" s="0" t="inlineStr">
        <is>
          <t xml:space="preserve">All Other Miscellaneous Fabricated Metal Product Manufacturing</t>
        </is>
      </c>
      <c r="G153" s="5">
        <v>5.939363930000001</v>
      </c>
      <c r="H153" s="0" t="inlineStr">
        <is>
          <t xml:space="preserve">supplier</t>
        </is>
      </c>
      <c r="I153" s="0" t="inlineStr">
        <is>
          <t xml:space="preserve">piping</t>
        </is>
      </c>
      <c r="J153" s="0" t="inlineStr">
        <is>
          <t xml:space="preserve">naics4</t>
        </is>
      </c>
      <c r="K153" s="5">
        <v>0</v>
      </c>
      <c r="L153" s="5">
        <v>0</v>
      </c>
      <c r="M153" s="5">
        <v>5.939363930000001</v>
      </c>
      <c r="N153" s="5">
        <v>0.54708704</v>
      </c>
      <c r="O153" s="5">
        <v>0.95</v>
      </c>
      <c r="P153" s="5">
        <v>0.0</v>
      </c>
      <c r="Q153" s="5">
        <v>0.0</v>
      </c>
      <c r="R153" s="5">
        <v>0.25477700000000003</v>
      </c>
      <c r="S153" s="5">
        <v>2.2411249900000003</v>
      </c>
      <c r="T153" s="5">
        <v>1.9463749000000001</v>
      </c>
      <c r="U153" s="5">
        <v>0.0</v>
      </c>
    </row>
    <row r="154" outlineLevel="1">
      <c r="B154" s="0" t="inlineStr">
        <is>
          <t xml:space="preserve">GP STRATEGIES CORPORATION</t>
        </is>
      </c>
      <c r="C154" s="0" t="inlineStr">
        <is>
          <t xml:space="preserve">GLRVV6FC6DB3</t>
        </is>
      </c>
      <c r="D154" s="0" t="inlineStr">
        <is>
          <t xml:space="preserve">USA</t>
        </is>
      </c>
      <c r="E154" s="0" t="inlineStr">
        <is>
          <t xml:space="preserve">6114</t>
        </is>
      </c>
      <c r="F154" s="0" t="inlineStr">
        <is>
          <t xml:space="preserve">Professional and Management Development Training</t>
        </is>
      </c>
      <c r="G154" s="5">
        <v>5.898669749999999</v>
      </c>
      <c r="H154" s="0" t="inlineStr">
        <is>
          <t xml:space="preserve">service</t>
        </is>
      </c>
      <c r="I154" s="0" t="inlineStr">
        <is>
          <t xml:space="preserve">-</t>
        </is>
      </c>
      <c r="J154" s="0" t="inlineStr">
        <is>
          <t xml:space="preserve">service NAICS</t>
        </is>
      </c>
      <c r="K154" s="5">
        <v>0</v>
      </c>
      <c r="L154" s="5">
        <v>0</v>
      </c>
      <c r="M154" s="5">
        <v>5.898669749999999</v>
      </c>
      <c r="N154" s="5">
        <v>0.0</v>
      </c>
      <c r="O154" s="5">
        <v>0.0</v>
      </c>
      <c r="P154" s="5">
        <v>0.0</v>
      </c>
      <c r="Q154" s="5">
        <v>0.0</v>
      </c>
      <c r="R154" s="5">
        <v>0.0</v>
      </c>
      <c r="S154" s="5">
        <v>5.192773999999999</v>
      </c>
      <c r="T154" s="5">
        <v>0.16781574999999999</v>
      </c>
      <c r="U154" s="5">
        <v>0.0</v>
      </c>
    </row>
    <row r="155" outlineLevel="1">
      <c r="B155" s="0" t="inlineStr">
        <is>
          <t xml:space="preserve">MICRO PRECISION, LLC</t>
        </is>
      </c>
      <c r="C155" s="0" t="inlineStr">
        <is>
          <t xml:space="preserve">E2P8AAJA2LK5</t>
        </is>
      </c>
      <c r="D155" s="0" t="inlineStr">
        <is>
          <t xml:space="preserve">USA</t>
        </is>
      </c>
      <c r="E155" s="0" t="inlineStr">
        <is>
          <t xml:space="preserve">3327</t>
        </is>
      </c>
      <c r="F155" s="0" t="inlineStr">
        <is>
          <t xml:space="preserve">Precision Turned Product Manufacturing</t>
        </is>
      </c>
      <c r="G155" s="5">
        <v>5.863218880000003</v>
      </c>
      <c r="H155" s="0" t="inlineStr">
        <is>
          <t xml:space="preserve">supplier</t>
        </is>
      </c>
      <c r="I155" s="0" t="inlineStr">
        <is>
          <t xml:space="preserve">machining</t>
        </is>
      </c>
      <c r="J155" s="0" t="inlineStr">
        <is>
          <t xml:space="preserve">naics4</t>
        </is>
      </c>
      <c r="K155" s="5">
        <v>0</v>
      </c>
      <c r="L155" s="5">
        <v>0</v>
      </c>
      <c r="M155" s="5">
        <v>5.863218880000003</v>
      </c>
      <c r="N155" s="5">
        <v>0.024001</v>
      </c>
      <c r="O155" s="5">
        <v>0.17174737</v>
      </c>
      <c r="P155" s="5">
        <v>1.5885924</v>
      </c>
      <c r="Q155" s="5">
        <v>0.11012000000000001</v>
      </c>
      <c r="R155" s="5">
        <v>0.102031</v>
      </c>
      <c r="S155" s="5">
        <v>0.135453</v>
      </c>
      <c r="T155" s="5">
        <v>1.8396339999999998</v>
      </c>
      <c r="U155" s="5">
        <v>0.0468</v>
      </c>
    </row>
    <row r="156" outlineLevel="1">
      <c r="B156" s="0" t="inlineStr">
        <is>
          <t xml:space="preserve">TRIDENT MARITIME SYSTEMS UK LIMITED</t>
        </is>
      </c>
      <c r="C156" s="0" t="inlineStr">
        <is>
          <t xml:space="preserve">E9DKKLZNCQS9</t>
        </is>
      </c>
      <c r="D156" s="0" t="inlineStr">
        <is>
          <t xml:space="preserve">GBR</t>
        </is>
      </c>
      <c r="E156" s="0" t="inlineStr">
        <is>
          <t xml:space="preserve">3344</t>
        </is>
      </c>
      <c r="F156" s="0" t="inlineStr">
        <is>
          <t xml:space="preserve">Other Electronic Component Manufacturing</t>
        </is>
      </c>
      <c r="G156" s="5">
        <v>5.78735294</v>
      </c>
      <c r="H156" s="0" t="inlineStr">
        <is>
          <t xml:space="preserve">supplier</t>
        </is>
      </c>
      <c r="I156" s="0" t="inlineStr">
        <is>
          <t xml:space="preserve">electrical</t>
        </is>
      </c>
      <c r="J156" s="0" t="inlineStr">
        <is>
          <t xml:space="preserve">registry</t>
        </is>
      </c>
      <c r="K156" s="5">
        <v>0</v>
      </c>
      <c r="L156" s="5">
        <v>0</v>
      </c>
      <c r="M156" s="5">
        <v>5.78735294</v>
      </c>
      <c r="N156" s="5">
        <v>0.039993879999999996</v>
      </c>
      <c r="O156" s="5">
        <v>-0.6378546399999999</v>
      </c>
      <c r="P156" s="5">
        <v>0.62922182</v>
      </c>
      <c r="Q156" s="5">
        <v>4.1093543200000004</v>
      </c>
      <c r="R156" s="5">
        <v>0.0</v>
      </c>
      <c r="S156" s="5">
        <v>1.64663756</v>
      </c>
      <c r="T156" s="5">
        <v>0.0</v>
      </c>
      <c r="U156" s="5">
        <v>0.0</v>
      </c>
    </row>
    <row r="157" outlineLevel="1">
      <c r="B157" s="0" t="inlineStr">
        <is>
          <t xml:space="preserve">BAE SYSTEMS JACKSONVILLE SHIP REPAIR LLC</t>
        </is>
      </c>
      <c r="C157" s="0" t="inlineStr">
        <is>
          <t xml:space="preserve">U23DM4ULNLS3</t>
        </is>
      </c>
      <c r="D157" s="0" t="inlineStr">
        <is>
          <t xml:space="preserve">-</t>
        </is>
      </c>
      <c r="E157" s="0" t="inlineStr">
        <is>
          <t xml:space="preserve">-</t>
        </is>
      </c>
      <c r="F157" s="0" t="inlineStr">
        <is>
          <t xml:space="preserve">-</t>
        </is>
      </c>
      <c r="G157" s="5">
        <v>5.76891041</v>
      </c>
      <c r="H157" s="0" t="inlineStr">
        <is>
          <t xml:space="preserve">supplier</t>
        </is>
      </c>
      <c r="I157" s="0" t="inlineStr">
        <is>
          <t xml:space="preserve">structural</t>
        </is>
      </c>
      <c r="J157" s="0" t="inlineStr">
        <is>
          <t xml:space="preserve">registry</t>
        </is>
      </c>
      <c r="K157" s="5">
        <v>0</v>
      </c>
      <c r="L157" s="5">
        <v>0</v>
      </c>
      <c r="M157" s="5">
        <v>5.76891041</v>
      </c>
      <c r="N157" s="5">
        <v>0.0</v>
      </c>
      <c r="O157" s="5">
        <v>0.0</v>
      </c>
      <c r="P157" s="5">
        <v>3.85740303</v>
      </c>
      <c r="Q157" s="5">
        <v>0.0</v>
      </c>
      <c r="R157" s="5">
        <v>0.0</v>
      </c>
      <c r="S157" s="5">
        <v>0.0</v>
      </c>
      <c r="T157" s="5">
        <v>0.0</v>
      </c>
      <c r="U157" s="5">
        <v>1.91150738</v>
      </c>
    </row>
    <row r="158" outlineLevel="1">
      <c r="B158" s="0" t="inlineStr">
        <is>
          <t xml:space="preserve">ARTCRAFT FABRICATORS INC</t>
        </is>
      </c>
      <c r="C158" s="0" t="inlineStr">
        <is>
          <t xml:space="preserve">CVKGYGVN9229</t>
        </is>
      </c>
      <c r="D158" s="0" t="inlineStr">
        <is>
          <t xml:space="preserve">USA</t>
        </is>
      </c>
      <c r="E158" s="0" t="inlineStr">
        <is>
          <t xml:space="preserve">3327</t>
        </is>
      </c>
      <c r="F158" s="0" t="inlineStr">
        <is>
          <t xml:space="preserve">Machine Shops</t>
        </is>
      </c>
      <c r="G158" s="5">
        <v>5.575706</v>
      </c>
      <c r="H158" s="0" t="inlineStr">
        <is>
          <t xml:space="preserve">supplier</t>
        </is>
      </c>
      <c r="I158" s="0" t="inlineStr">
        <is>
          <t xml:space="preserve">machining</t>
        </is>
      </c>
      <c r="J158" s="0" t="inlineStr">
        <is>
          <t xml:space="preserve">naics4</t>
        </is>
      </c>
      <c r="K158" s="5">
        <v>0</v>
      </c>
      <c r="L158" s="5">
        <v>0</v>
      </c>
      <c r="M158" s="5">
        <v>5.575706</v>
      </c>
      <c r="N158" s="5">
        <v>0.0</v>
      </c>
      <c r="O158" s="5">
        <v>0.0</v>
      </c>
      <c r="P158" s="5">
        <v>0.0</v>
      </c>
      <c r="Q158" s="5">
        <v>0.0</v>
      </c>
      <c r="R158" s="5">
        <v>0.0</v>
      </c>
      <c r="S158" s="5">
        <v>0.0</v>
      </c>
      <c r="T158" s="5">
        <v>5.575706</v>
      </c>
      <c r="U158" s="5">
        <v>0.0</v>
      </c>
    </row>
    <row r="159" outlineLevel="1">
      <c r="B159" s="0" t="inlineStr">
        <is>
          <t xml:space="preserve">CURTISS-WRIGHT ELECTRO-MECHANICAL CORP</t>
        </is>
      </c>
      <c r="C159" s="0" t="inlineStr">
        <is>
          <t xml:space="preserve">HLQLWMV97J37</t>
        </is>
      </c>
      <c r="D159" s="0" t="inlineStr">
        <is>
          <t xml:space="preserve">USA</t>
        </is>
      </c>
      <c r="E159" s="0" t="inlineStr">
        <is>
          <t xml:space="preserve">3366</t>
        </is>
      </c>
      <c r="F159" s="0" t="inlineStr">
        <is>
          <t xml:space="preserve">Ship Building and Repairing</t>
        </is>
      </c>
      <c r="G159" s="5">
        <v>5.442141149999999</v>
      </c>
      <c r="H159" s="0" t="inlineStr">
        <is>
          <t xml:space="preserve">supplier</t>
        </is>
      </c>
      <c r="I159" s="0" t="inlineStr">
        <is>
          <t xml:space="preserve">structural</t>
        </is>
      </c>
      <c r="J159" s="0" t="inlineStr">
        <is>
          <t xml:space="preserve">naics4</t>
        </is>
      </c>
      <c r="K159" s="5">
        <v>0</v>
      </c>
      <c r="L159" s="5">
        <v>0</v>
      </c>
      <c r="M159" s="5">
        <v>5.442141149999999</v>
      </c>
      <c r="N159" s="5">
        <v>0.0</v>
      </c>
      <c r="O159" s="5">
        <v>0.0</v>
      </c>
      <c r="P159" s="5">
        <v>0.0</v>
      </c>
      <c r="Q159" s="5">
        <v>0.0</v>
      </c>
      <c r="R159" s="5">
        <v>0.0</v>
      </c>
      <c r="S159" s="5">
        <v>0.206219</v>
      </c>
      <c r="T159" s="5">
        <v>3.9535276500000003</v>
      </c>
      <c r="U159" s="5">
        <v>1.2823945</v>
      </c>
    </row>
    <row r="160" outlineLevel="1">
      <c r="B160" s="0" t="inlineStr">
        <is>
          <t xml:space="preserve">D K MACHINE INC</t>
        </is>
      </c>
      <c r="C160" s="0" t="inlineStr">
        <is>
          <t xml:space="preserve">FR7WWCCNBQZ6</t>
        </is>
      </c>
      <c r="D160" s="0" t="inlineStr">
        <is>
          <t xml:space="preserve">USA</t>
        </is>
      </c>
      <c r="E160" s="0" t="inlineStr">
        <is>
          <t xml:space="preserve">3329</t>
        </is>
      </c>
      <c r="F160" s="0" t="inlineStr">
        <is>
          <t xml:space="preserve">All Other Miscellaneous Fabricated Metal Product Manufacturing</t>
        </is>
      </c>
      <c r="G160" s="5">
        <v>5.374894680000001</v>
      </c>
      <c r="H160" s="0" t="inlineStr">
        <is>
          <t xml:space="preserve">supplier</t>
        </is>
      </c>
      <c r="I160" s="0" t="inlineStr">
        <is>
          <t xml:space="preserve">piping</t>
        </is>
      </c>
      <c r="J160" s="0" t="inlineStr">
        <is>
          <t xml:space="preserve">naics4</t>
        </is>
      </c>
      <c r="K160" s="5">
        <v>0</v>
      </c>
      <c r="L160" s="5">
        <v>0</v>
      </c>
      <c r="M160" s="5">
        <v>5.374894680000001</v>
      </c>
      <c r="N160" s="5">
        <v>0.0</v>
      </c>
      <c r="O160" s="5">
        <v>0.0</v>
      </c>
      <c r="P160" s="5">
        <v>0.0</v>
      </c>
      <c r="Q160" s="5">
        <v>0.0</v>
      </c>
      <c r="R160" s="5">
        <v>0.0</v>
      </c>
      <c r="S160" s="5">
        <v>0.0</v>
      </c>
      <c r="T160" s="5">
        <v>0.0</v>
      </c>
      <c r="U160" s="5">
        <v>0.0</v>
      </c>
    </row>
    <row r="161" outlineLevel="1">
      <c r="B161" s="0" t="inlineStr">
        <is>
          <t xml:space="preserve">WÄRTSILÄ OYJ ABP</t>
        </is>
      </c>
      <c r="C161" s="0" t="inlineStr">
        <is>
          <t xml:space="preserve">JA2KCX21NL48</t>
        </is>
      </c>
      <c r="D161" s="0" t="inlineStr">
        <is>
          <t xml:space="preserve">-</t>
        </is>
      </c>
      <c r="E161" s="0" t="inlineStr">
        <is>
          <t xml:space="preserve">-</t>
        </is>
      </c>
      <c r="F161" s="0" t="inlineStr">
        <is>
          <t xml:space="preserve">-</t>
        </is>
      </c>
      <c r="G161" s="5">
        <v>5.333199700000001</v>
      </c>
      <c r="H161" s="0" t="inlineStr">
        <is>
          <t xml:space="preserve">supplier</t>
        </is>
      </c>
      <c r="I161" s="0" t="inlineStr">
        <is>
          <t xml:space="preserve">machining</t>
        </is>
      </c>
      <c r="J161" s="0" t="inlineStr">
        <is>
          <t xml:space="preserve">registry</t>
        </is>
      </c>
      <c r="K161" s="5">
        <v>0</v>
      </c>
      <c r="L161" s="5">
        <v>0</v>
      </c>
      <c r="M161" s="5">
        <v>5.333199700000001</v>
      </c>
      <c r="N161" s="5">
        <v>0.0</v>
      </c>
      <c r="O161" s="5">
        <v>0.0</v>
      </c>
      <c r="P161" s="5">
        <v>0.0</v>
      </c>
      <c r="Q161" s="5">
        <v>0.0</v>
      </c>
      <c r="R161" s="5">
        <v>0.0</v>
      </c>
      <c r="S161" s="5">
        <v>0.0</v>
      </c>
      <c r="T161" s="5">
        <v>0.0</v>
      </c>
      <c r="U161" s="5">
        <v>0.0</v>
      </c>
    </row>
    <row r="162" outlineLevel="1">
      <c r="B162" s="0" t="inlineStr">
        <is>
          <t xml:space="preserve">LENAPE FORGED PRODUCTS CORP</t>
        </is>
      </c>
      <c r="C162" s="0" t="inlineStr">
        <is>
          <t xml:space="preserve">GR2CKSBB4MB5</t>
        </is>
      </c>
      <c r="D162" s="0" t="inlineStr">
        <is>
          <t xml:space="preserve">USA</t>
        </is>
      </c>
      <c r="E162" s="0" t="inlineStr">
        <is>
          <t xml:space="preserve">3321</t>
        </is>
      </c>
      <c r="F162" s="0" t="inlineStr">
        <is>
          <t xml:space="preserve">Nonferrous Forging</t>
        </is>
      </c>
      <c r="G162" s="5">
        <v>5.306857000000001</v>
      </c>
      <c r="H162" s="0" t="inlineStr">
        <is>
          <t xml:space="preserve">supplier</t>
        </is>
      </c>
      <c r="I162" s="0" t="inlineStr">
        <is>
          <t xml:space="preserve">castings</t>
        </is>
      </c>
      <c r="J162" s="0" t="inlineStr">
        <is>
          <t xml:space="preserve">naics4</t>
        </is>
      </c>
      <c r="K162" s="5">
        <v>0</v>
      </c>
      <c r="L162" s="5">
        <v>0</v>
      </c>
      <c r="M162" s="5">
        <v>5.306857000000001</v>
      </c>
      <c r="N162" s="5">
        <v>0.0</v>
      </c>
      <c r="O162" s="5">
        <v>0.642119</v>
      </c>
      <c r="P162" s="5">
        <v>0.7155699999999999</v>
      </c>
      <c r="Q162" s="5">
        <v>2.8488379999999998</v>
      </c>
      <c r="R162" s="5">
        <v>0.11122</v>
      </c>
      <c r="S162" s="5">
        <v>0.9747899999999999</v>
      </c>
      <c r="T162" s="5">
        <v>0.01432</v>
      </c>
      <c r="U162" s="5">
        <v>0.0</v>
      </c>
    </row>
    <row r="163" outlineLevel="1">
      <c r="B163" s="0" t="inlineStr">
        <is>
          <t xml:space="preserve">CLEVELAND-CLIFFS INC.</t>
        </is>
      </c>
      <c r="C163" s="0" t="inlineStr">
        <is>
          <t xml:space="preserve">Y7N4SPXNK115</t>
        </is>
      </c>
      <c r="D163" s="0" t="inlineStr">
        <is>
          <t xml:space="preserve">USA</t>
        </is>
      </c>
      <c r="E163" s="0" t="inlineStr">
        <is>
          <t xml:space="preserve">-</t>
        </is>
      </c>
      <c r="F163" s="0" t="inlineStr">
        <is>
          <t xml:space="preserve">-</t>
        </is>
      </c>
      <c r="G163" s="5">
        <v>5.1728967500000005</v>
      </c>
      <c r="H163" s="0" t="inlineStr">
        <is>
          <t xml:space="preserve">supplier</t>
        </is>
      </c>
      <c r="I163" s="0" t="inlineStr">
        <is>
          <t xml:space="preserve">structural</t>
        </is>
      </c>
      <c r="J163" s="0" t="inlineStr">
        <is>
          <t xml:space="preserve">registry</t>
        </is>
      </c>
      <c r="K163" s="5">
        <v>0</v>
      </c>
      <c r="L163" s="5">
        <v>0</v>
      </c>
      <c r="M163" s="5">
        <v>5.1728967500000005</v>
      </c>
      <c r="N163" s="5">
        <v>0.32058714999999993</v>
      </c>
      <c r="O163" s="5">
        <v>0.0</v>
      </c>
      <c r="P163" s="5">
        <v>0.0</v>
      </c>
      <c r="Q163" s="5">
        <v>0.0</v>
      </c>
      <c r="R163" s="5">
        <v>3.47668782</v>
      </c>
      <c r="S163" s="5">
        <v>0.0</v>
      </c>
      <c r="T163" s="5">
        <v>0.0</v>
      </c>
      <c r="U163" s="5">
        <v>0.0</v>
      </c>
    </row>
    <row r="164" outlineLevel="1">
      <c r="B164" s="0" t="inlineStr">
        <is>
          <t xml:space="preserve">WARTSILA OYJ ABP</t>
        </is>
      </c>
      <c r="C164" s="0" t="inlineStr">
        <is>
          <t xml:space="preserve">JA2KCX21NL48</t>
        </is>
      </c>
      <c r="D164" s="0" t="inlineStr">
        <is>
          <t xml:space="preserve">-</t>
        </is>
      </c>
      <c r="E164" s="0" t="inlineStr">
        <is>
          <t xml:space="preserve">-</t>
        </is>
      </c>
      <c r="F164" s="0" t="inlineStr">
        <is>
          <t xml:space="preserve">-</t>
        </is>
      </c>
      <c r="G164" s="5">
        <v>5.15183468</v>
      </c>
      <c r="H164" s="0" t="inlineStr">
        <is>
          <t xml:space="preserve">supplier</t>
        </is>
      </c>
      <c r="I164" s="0" t="inlineStr">
        <is>
          <t xml:space="preserve">machining</t>
        </is>
      </c>
      <c r="J164" s="0" t="inlineStr">
        <is>
          <t xml:space="preserve">registry</t>
        </is>
      </c>
      <c r="K164" s="5">
        <v>0</v>
      </c>
      <c r="L164" s="5">
        <v>0</v>
      </c>
      <c r="M164" s="5">
        <v>5.15183468</v>
      </c>
      <c r="N164" s="5">
        <v>0.0</v>
      </c>
      <c r="O164" s="5">
        <v>0.0</v>
      </c>
      <c r="P164" s="5">
        <v>0.0</v>
      </c>
      <c r="Q164" s="5">
        <v>0.0</v>
      </c>
      <c r="R164" s="5">
        <v>0.0</v>
      </c>
      <c r="S164" s="5">
        <v>0.0</v>
      </c>
      <c r="T164" s="5">
        <v>0.0</v>
      </c>
      <c r="U164" s="5">
        <v>0.0</v>
      </c>
    </row>
    <row r="165" outlineLevel="1">
      <c r="B165" s="0" t="inlineStr">
        <is>
          <t xml:space="preserve">SHERBURN ELECTRONICS INC.</t>
        </is>
      </c>
      <c r="C165" s="0" t="inlineStr">
        <is>
          <t xml:space="preserve">HQYTCMF5RGE4</t>
        </is>
      </c>
      <c r="D165" s="0" t="inlineStr">
        <is>
          <t xml:space="preserve">USA</t>
        </is>
      </c>
      <c r="E165" s="0" t="inlineStr">
        <is>
          <t xml:space="preserve">4236</t>
        </is>
      </c>
      <c r="F165" s="0" t="inlineStr">
        <is>
          <t xml:space="preserve">Other Electronic Parts and Equipment Merchant Wholesalers</t>
        </is>
      </c>
      <c r="G165" s="5">
        <v>5.12439951</v>
      </c>
      <c r="H165" s="0" t="inlineStr">
        <is>
          <t xml:space="preserve">service</t>
        </is>
      </c>
      <c r="I165" s="0" t="inlineStr">
        <is>
          <t xml:space="preserve">-</t>
        </is>
      </c>
      <c r="J165" s="0" t="inlineStr">
        <is>
          <t xml:space="preserve">service NAICS</t>
        </is>
      </c>
      <c r="K165" s="5">
        <v>0</v>
      </c>
      <c r="L165" s="5">
        <v>0</v>
      </c>
      <c r="M165" s="5">
        <v>5.12439951</v>
      </c>
      <c r="N165" s="5">
        <v>0.17750586</v>
      </c>
      <c r="O165" s="5">
        <v>1.1413878400000002</v>
      </c>
      <c r="P165" s="5">
        <v>0.29521822</v>
      </c>
      <c r="Q165" s="5">
        <v>0.25804946</v>
      </c>
      <c r="R165" s="5">
        <v>0.15715372</v>
      </c>
      <c r="S165" s="5">
        <v>0.7426946200000001</v>
      </c>
      <c r="T165" s="5">
        <v>1.21618028</v>
      </c>
      <c r="U165" s="5">
        <v>0.18027536</v>
      </c>
    </row>
    <row r="166" outlineLevel="1">
      <c r="B166" s="0" t="inlineStr">
        <is>
          <t xml:space="preserve">PROGENY SYSTEMS CORPORATION</t>
        </is>
      </c>
      <c r="C166" s="0" t="inlineStr">
        <is>
          <t xml:space="preserve">MU3CM1145E44</t>
        </is>
      </c>
      <c r="D166" s="0" t="inlineStr">
        <is>
          <t xml:space="preserve">USA</t>
        </is>
      </c>
      <c r="E166" s="0" t="inlineStr">
        <is>
          <t xml:space="preserve">5417</t>
        </is>
      </c>
      <c r="F166" s="0" t="inlineStr">
        <is>
          <t xml:space="preserve">Research and Development in the Physical, Engineering, and Life Sciences (except Nanotechnology and Biotechnology)</t>
        </is>
      </c>
      <c r="G166" s="5">
        <v>5.09259187</v>
      </c>
      <c r="H166" s="0" t="inlineStr">
        <is>
          <t xml:space="preserve">service</t>
        </is>
      </c>
      <c r="I166" s="0" t="inlineStr">
        <is>
          <t xml:space="preserve">-</t>
        </is>
      </c>
      <c r="J166" s="0" t="inlineStr">
        <is>
          <t xml:space="preserve">service NAICS</t>
        </is>
      </c>
      <c r="K166" s="5">
        <v>0</v>
      </c>
      <c r="L166" s="5">
        <v>0</v>
      </c>
      <c r="M166" s="5">
        <v>5.09259187</v>
      </c>
      <c r="N166" s="5">
        <v>1.2</v>
      </c>
      <c r="O166" s="5">
        <v>0.0</v>
      </c>
      <c r="P166" s="5">
        <v>0.0</v>
      </c>
      <c r="Q166" s="5">
        <v>0.0</v>
      </c>
      <c r="R166" s="5">
        <v>0.40071876</v>
      </c>
      <c r="S166" s="5">
        <v>0.0</v>
      </c>
      <c r="T166" s="5">
        <v>0.0</v>
      </c>
      <c r="U166" s="5">
        <v>0.0</v>
      </c>
    </row>
    <row r="167" outlineLevel="1">
      <c r="B167" s="0" t="inlineStr">
        <is>
          <t xml:space="preserve">GUILL TOOL &amp; ENGINEERING CO INC</t>
        </is>
      </c>
      <c r="C167" s="0" t="inlineStr">
        <is>
          <t xml:space="preserve">NVPEBL51CSF8</t>
        </is>
      </c>
      <c r="D167" s="0" t="inlineStr">
        <is>
          <t xml:space="preserve">USA</t>
        </is>
      </c>
      <c r="E167" s="0" t="inlineStr">
        <is>
          <t xml:space="preserve">3327</t>
        </is>
      </c>
      <c r="F167" s="0" t="inlineStr">
        <is>
          <t xml:space="preserve">Machine Shops</t>
        </is>
      </c>
      <c r="G167" s="5">
        <v>5.039297010000002</v>
      </c>
      <c r="H167" s="0" t="inlineStr">
        <is>
          <t xml:space="preserve">supplier</t>
        </is>
      </c>
      <c r="I167" s="0" t="inlineStr">
        <is>
          <t xml:space="preserve">machining</t>
        </is>
      </c>
      <c r="J167" s="0" t="inlineStr">
        <is>
          <t xml:space="preserve">naics4</t>
        </is>
      </c>
      <c r="K167" s="5">
        <v>0</v>
      </c>
      <c r="L167" s="5">
        <v>0</v>
      </c>
      <c r="M167" s="5">
        <v>5.039297010000002</v>
      </c>
      <c r="N167" s="5">
        <v>0.14688</v>
      </c>
      <c r="O167" s="5">
        <v>0.466691</v>
      </c>
      <c r="P167" s="5">
        <v>1.3073510000000002</v>
      </c>
      <c r="Q167" s="5">
        <v>0.8419080000000001</v>
      </c>
      <c r="R167" s="5">
        <v>0.03254</v>
      </c>
      <c r="S167" s="5">
        <v>0.22931050000000003</v>
      </c>
      <c r="T167" s="5">
        <v>1.17639851</v>
      </c>
      <c r="U167" s="5">
        <v>0.6122679999999999</v>
      </c>
    </row>
    <row r="168" outlineLevel="1">
      <c r="B168" s="0" t="inlineStr">
        <is>
          <t xml:space="preserve">MELLINGER ENGINEERING, INCORPORATED</t>
        </is>
      </c>
      <c r="C168" s="0" t="inlineStr">
        <is>
          <t xml:space="preserve">E86EYMJR23D1</t>
        </is>
      </c>
      <c r="D168" s="0" t="inlineStr">
        <is>
          <t xml:space="preserve">USA</t>
        </is>
      </c>
      <c r="E168" s="0" t="inlineStr">
        <is>
          <t xml:space="preserve">3329</t>
        </is>
      </c>
      <c r="F168" s="0" t="inlineStr">
        <is>
          <t xml:space="preserve">Industrial Valve Manufacturing</t>
        </is>
      </c>
      <c r="G168" s="5">
        <v>4.9502035000000015</v>
      </c>
      <c r="H168" s="0" t="inlineStr">
        <is>
          <t xml:space="preserve">supplier</t>
        </is>
      </c>
      <c r="I168" s="0" t="inlineStr">
        <is>
          <t xml:space="preserve">piping</t>
        </is>
      </c>
      <c r="J168" s="0" t="inlineStr">
        <is>
          <t xml:space="preserve">naics4</t>
        </is>
      </c>
      <c r="K168" s="5">
        <v>0</v>
      </c>
      <c r="L168" s="5">
        <v>0</v>
      </c>
      <c r="M168" s="5">
        <v>4.9502035000000015</v>
      </c>
      <c r="N168" s="5">
        <v>0.0438795</v>
      </c>
      <c r="O168" s="5">
        <v>0.557947</v>
      </c>
      <c r="P168" s="5">
        <v>0.90639856</v>
      </c>
      <c r="Q168" s="5">
        <v>0.0</v>
      </c>
      <c r="R168" s="5">
        <v>0.83624</v>
      </c>
      <c r="S168" s="5">
        <v>0.588956</v>
      </c>
      <c r="T168" s="5">
        <v>1.19234644</v>
      </c>
      <c r="U168" s="5">
        <v>0.0</v>
      </c>
    </row>
    <row r="169" outlineLevel="1">
      <c r="B169" s="0" t="inlineStr">
        <is>
          <t xml:space="preserve">COLFAX CORPORATION</t>
        </is>
      </c>
      <c r="C169" s="0" t="inlineStr">
        <is>
          <t xml:space="preserve">LB1XJ5UY5961</t>
        </is>
      </c>
      <c r="D169" s="0" t="inlineStr">
        <is>
          <t xml:space="preserve">USA</t>
        </is>
      </c>
      <c r="E169" s="0" t="inlineStr">
        <is>
          <t xml:space="preserve">3334</t>
        </is>
      </c>
      <c r="F169" s="0" t="inlineStr">
        <is>
          <t xml:space="preserve">Industrial and Commercial Fan and Blower and Air Purification Equipment Manufacturing</t>
        </is>
      </c>
      <c r="G169" s="5">
        <v>4.91434746</v>
      </c>
      <c r="H169" s="0" t="inlineStr">
        <is>
          <t xml:space="preserve">supplier</t>
        </is>
      </c>
      <c r="I169" s="0" t="inlineStr">
        <is>
          <t xml:space="preserve">hvac</t>
        </is>
      </c>
      <c r="J169" s="0" t="inlineStr">
        <is>
          <t xml:space="preserve">naics4</t>
        </is>
      </c>
      <c r="K169" s="5">
        <v>0</v>
      </c>
      <c r="L169" s="5">
        <v>0</v>
      </c>
      <c r="M169" s="5">
        <v>4.91434746</v>
      </c>
      <c r="N169" s="5">
        <v>0.0</v>
      </c>
      <c r="O169" s="5">
        <v>0.0</v>
      </c>
      <c r="P169" s="5">
        <v>0.0</v>
      </c>
      <c r="Q169" s="5">
        <v>0.0</v>
      </c>
      <c r="R169" s="5">
        <v>0.0</v>
      </c>
      <c r="S169" s="5">
        <v>0.0</v>
      </c>
      <c r="T169" s="5">
        <v>0.0</v>
      </c>
      <c r="U169" s="5">
        <v>0.0</v>
      </c>
    </row>
    <row r="170" outlineLevel="1">
      <c r="B170" s="0" t="inlineStr">
        <is>
          <t xml:space="preserve">BAE SYSTEMS HOLDINGS INC.</t>
        </is>
      </c>
      <c r="C170" s="0" t="inlineStr">
        <is>
          <t xml:space="preserve">YNJNTZWVC3H6</t>
        </is>
      </c>
      <c r="D170" s="0" t="inlineStr">
        <is>
          <t xml:space="preserve">-</t>
        </is>
      </c>
      <c r="E170" s="0" t="inlineStr">
        <is>
          <t xml:space="preserve">-</t>
        </is>
      </c>
      <c r="F170" s="0" t="inlineStr">
        <is>
          <t xml:space="preserve">-</t>
        </is>
      </c>
      <c r="G170" s="5">
        <v>4.88579815</v>
      </c>
      <c r="H170" s="0" t="inlineStr">
        <is>
          <t xml:space="preserve">mission_systems</t>
        </is>
      </c>
      <c r="I170" s="0" t="inlineStr">
        <is>
          <t xml:space="preserve">-</t>
        </is>
      </c>
      <c r="J170" s="0" t="inlineStr">
        <is>
          <t xml:space="preserve">registry</t>
        </is>
      </c>
      <c r="K170" s="5">
        <v>0</v>
      </c>
      <c r="L170" s="5">
        <v>0</v>
      </c>
      <c r="M170" s="5">
        <v>4.88579815</v>
      </c>
      <c r="N170" s="5">
        <v>0.0</v>
      </c>
      <c r="O170" s="5">
        <v>0.0</v>
      </c>
      <c r="P170" s="5">
        <v>0.0</v>
      </c>
      <c r="Q170" s="5">
        <v>0.0</v>
      </c>
      <c r="R170" s="5">
        <v>0.0</v>
      </c>
      <c r="S170" s="5">
        <v>0.0</v>
      </c>
      <c r="T170" s="5">
        <v>0.0</v>
      </c>
      <c r="U170" s="5">
        <v>0.0</v>
      </c>
    </row>
    <row r="171" outlineLevel="1">
      <c r="B171" s="0" t="inlineStr">
        <is>
          <t xml:space="preserve">PENNSYLVANIA MACHINE WORKS, LLC</t>
        </is>
      </c>
      <c r="C171" s="0" t="inlineStr">
        <is>
          <t xml:space="preserve">CN4DJZSKM3Y3</t>
        </is>
      </c>
      <c r="D171" s="0" t="inlineStr">
        <is>
          <t xml:space="preserve">-</t>
        </is>
      </c>
      <c r="E171" s="0" t="inlineStr">
        <is>
          <t xml:space="preserve">-</t>
        </is>
      </c>
      <c r="F171" s="0" t="inlineStr">
        <is>
          <t xml:space="preserve">-</t>
        </is>
      </c>
      <c r="G171" s="5">
        <v>4.849764900000002</v>
      </c>
      <c r="H171" s="0" t="inlineStr">
        <is>
          <t xml:space="preserve">supplier</t>
        </is>
      </c>
      <c r="I171" s="0" t="inlineStr">
        <is>
          <t xml:space="preserve">unbucketed</t>
        </is>
      </c>
      <c r="J171" s="0" t="inlineStr">
        <is>
          <t xml:space="preserve">residual</t>
        </is>
      </c>
      <c r="K171" s="5">
        <v>0</v>
      </c>
      <c r="L171" s="5">
        <v>0</v>
      </c>
      <c r="M171" s="5">
        <v>4.849764900000002</v>
      </c>
      <c r="N171" s="5">
        <v>0.168895</v>
      </c>
      <c r="O171" s="5">
        <v>0.14732800000000001</v>
      </c>
      <c r="P171" s="5">
        <v>0.42286213</v>
      </c>
      <c r="Q171" s="5">
        <v>0.5937839999999999</v>
      </c>
      <c r="R171" s="5">
        <v>0.14368000000000003</v>
      </c>
      <c r="S171" s="5">
        <v>0.78790938</v>
      </c>
      <c r="T171" s="5">
        <v>1.7757511899999998</v>
      </c>
      <c r="U171" s="5">
        <v>0.8095552</v>
      </c>
    </row>
    <row r="172" outlineLevel="1">
      <c r="B172" s="0" t="inlineStr">
        <is>
          <t xml:space="preserve">CIRCOR INTERNATIONAL, INC.</t>
        </is>
      </c>
      <c r="C172" s="0" t="inlineStr">
        <is>
          <t xml:space="preserve">KYURG7LRSC89</t>
        </is>
      </c>
      <c r="D172" s="0" t="inlineStr">
        <is>
          <t xml:space="preserve">-</t>
        </is>
      </c>
      <c r="E172" s="0" t="inlineStr">
        <is>
          <t xml:space="preserve">-</t>
        </is>
      </c>
      <c r="F172" s="0" t="inlineStr">
        <is>
          <t xml:space="preserve">-</t>
        </is>
      </c>
      <c r="G172" s="5">
        <v>4.7493725</v>
      </c>
      <c r="H172" s="0" t="inlineStr">
        <is>
          <t xml:space="preserve">supplier</t>
        </is>
      </c>
      <c r="I172" s="0" t="inlineStr">
        <is>
          <t xml:space="preserve">piping</t>
        </is>
      </c>
      <c r="J172" s="0" t="inlineStr">
        <is>
          <t xml:space="preserve">registry</t>
        </is>
      </c>
      <c r="K172" s="5">
        <v>0</v>
      </c>
      <c r="L172" s="5">
        <v>0</v>
      </c>
      <c r="M172" s="5">
        <v>4.7493725</v>
      </c>
      <c r="N172" s="5">
        <v>0.0</v>
      </c>
      <c r="O172" s="5">
        <v>0.0</v>
      </c>
      <c r="P172" s="5">
        <v>0.0</v>
      </c>
      <c r="Q172" s="5">
        <v>0.0</v>
      </c>
      <c r="R172" s="5">
        <v>1.9908000000000001</v>
      </c>
      <c r="S172" s="5">
        <v>0.0</v>
      </c>
      <c r="T172" s="5">
        <v>0.0</v>
      </c>
      <c r="U172" s="5">
        <v>0.0</v>
      </c>
    </row>
    <row r="173" outlineLevel="1">
      <c r="B173" s="0" t="inlineStr">
        <is>
          <t xml:space="preserve">AQUA-CHEM, INC.</t>
        </is>
      </c>
      <c r="C173" s="0" t="inlineStr">
        <is>
          <t xml:space="preserve">E3YNKWRANZ18</t>
        </is>
      </c>
      <c r="D173" s="0" t="inlineStr">
        <is>
          <t xml:space="preserve">USA</t>
        </is>
      </c>
      <c r="E173" s="0" t="inlineStr">
        <is>
          <t xml:space="preserve">3324</t>
        </is>
      </c>
      <c r="F173" s="0" t="inlineStr">
        <is>
          <t xml:space="preserve">Power Boiler and Heat Exchanger Manufacturing</t>
        </is>
      </c>
      <c r="G173" s="5">
        <v>4.5857985</v>
      </c>
      <c r="H173" s="0" t="inlineStr">
        <is>
          <t xml:space="preserve">supplier</t>
        </is>
      </c>
      <c r="I173" s="0" t="inlineStr">
        <is>
          <t xml:space="preserve">structural</t>
        </is>
      </c>
      <c r="J173" s="0" t="inlineStr">
        <is>
          <t xml:space="preserve">naics4</t>
        </is>
      </c>
      <c r="K173" s="5">
        <v>0</v>
      </c>
      <c r="L173" s="5">
        <v>0</v>
      </c>
      <c r="M173" s="5">
        <v>4.5857985</v>
      </c>
      <c r="N173" s="5">
        <v>0.0</v>
      </c>
      <c r="O173" s="5">
        <v>0.0</v>
      </c>
      <c r="P173" s="5">
        <v>0.0</v>
      </c>
      <c r="Q173" s="5">
        <v>2.63025</v>
      </c>
      <c r="R173" s="5">
        <v>0.1523495</v>
      </c>
      <c r="S173" s="5">
        <v>1.4985</v>
      </c>
      <c r="T173" s="5">
        <v>0.0</v>
      </c>
      <c r="U173" s="5">
        <v>0.0</v>
      </c>
    </row>
    <row r="174" outlineLevel="1">
      <c r="B174" s="0" t="inlineStr">
        <is>
          <t xml:space="preserve">C &amp; C METALS ENGINEERING INC</t>
        </is>
      </c>
      <c r="C174" s="0" t="inlineStr">
        <is>
          <t xml:space="preserve">WAJ6RKYZTYL3</t>
        </is>
      </c>
      <c r="D174" s="0" t="inlineStr">
        <is>
          <t xml:space="preserve">USA</t>
        </is>
      </c>
      <c r="E174" s="0" t="inlineStr">
        <is>
          <t xml:space="preserve">3327</t>
        </is>
      </c>
      <c r="F174" s="0" t="inlineStr">
        <is>
          <t xml:space="preserve">Machine Shops</t>
        </is>
      </c>
      <c r="G174" s="5">
        <v>4.508133670000002</v>
      </c>
      <c r="H174" s="0" t="inlineStr">
        <is>
          <t xml:space="preserve">supplier</t>
        </is>
      </c>
      <c r="I174" s="0" t="inlineStr">
        <is>
          <t xml:space="preserve">machining</t>
        </is>
      </c>
      <c r="J174" s="0" t="inlineStr">
        <is>
          <t xml:space="preserve">naics4</t>
        </is>
      </c>
      <c r="K174" s="5">
        <v>0</v>
      </c>
      <c r="L174" s="5">
        <v>0</v>
      </c>
      <c r="M174" s="5">
        <v>4.508133670000002</v>
      </c>
      <c r="N174" s="5">
        <v>0.26886100000000007</v>
      </c>
      <c r="O174" s="5">
        <v>0.82606767</v>
      </c>
      <c r="P174" s="5">
        <v>0.527772</v>
      </c>
      <c r="Q174" s="5">
        <v>1.4045999999999998</v>
      </c>
      <c r="R174" s="5">
        <v>0.061411</v>
      </c>
      <c r="S174" s="5">
        <v>0.7609879999999999</v>
      </c>
      <c r="T174" s="5">
        <v>0.5727679999999999</v>
      </c>
      <c r="U174" s="5">
        <v>0.045918</v>
      </c>
    </row>
    <row r="175" outlineLevel="1">
      <c r="B175" s="0" t="inlineStr">
        <is>
          <t xml:space="preserve">HTP MEDS, LLC</t>
        </is>
      </c>
      <c r="C175" s="0" t="inlineStr">
        <is>
          <t xml:space="preserve">FH39KDCYBK21</t>
        </is>
      </c>
      <c r="D175" s="0" t="inlineStr">
        <is>
          <t xml:space="preserve">-</t>
        </is>
      </c>
      <c r="E175" s="0" t="inlineStr">
        <is>
          <t xml:space="preserve">-</t>
        </is>
      </c>
      <c r="F175" s="0" t="inlineStr">
        <is>
          <t xml:space="preserve">-</t>
        </is>
      </c>
      <c r="G175" s="5">
        <v>4.47738733</v>
      </c>
      <c r="H175" s="0" t="inlineStr">
        <is>
          <t xml:space="preserve">supplier</t>
        </is>
      </c>
      <c r="I175" s="0" t="inlineStr">
        <is>
          <t xml:space="preserve">unbucketed</t>
        </is>
      </c>
      <c r="J175" s="0" t="inlineStr">
        <is>
          <t xml:space="preserve">residual</t>
        </is>
      </c>
      <c r="K175" s="5">
        <v>0</v>
      </c>
      <c r="L175" s="5">
        <v>0</v>
      </c>
      <c r="M175" s="5">
        <v>4.47738733</v>
      </c>
      <c r="N175" s="5">
        <v>4.1658311</v>
      </c>
      <c r="O175" s="5">
        <v>0.0</v>
      </c>
      <c r="P175" s="5">
        <v>0.0</v>
      </c>
      <c r="Q175" s="5">
        <v>0.0</v>
      </c>
      <c r="R175" s="5">
        <v>0.13567911</v>
      </c>
      <c r="S175" s="5">
        <v>0.0</v>
      </c>
      <c r="T175" s="5">
        <v>0.0</v>
      </c>
      <c r="U175" s="5">
        <v>0.0</v>
      </c>
    </row>
    <row r="176" outlineLevel="1">
      <c r="B176" s="0" t="inlineStr">
        <is>
          <t xml:space="preserve">B. &amp; F. MACHINE CO., INC.</t>
        </is>
      </c>
      <c r="C176" s="0" t="inlineStr">
        <is>
          <t xml:space="preserve">K3XPS1HXNBF3</t>
        </is>
      </c>
      <c r="D176" s="0" t="inlineStr">
        <is>
          <t xml:space="preserve">USA</t>
        </is>
      </c>
      <c r="E176" s="0" t="inlineStr">
        <is>
          <t xml:space="preserve">3327</t>
        </is>
      </c>
      <c r="F176" s="0" t="inlineStr">
        <is>
          <t xml:space="preserve">Machine Shops</t>
        </is>
      </c>
      <c r="G176" s="5">
        <v>4.431692279999999</v>
      </c>
      <c r="H176" s="0" t="inlineStr">
        <is>
          <t xml:space="preserve">supplier</t>
        </is>
      </c>
      <c r="I176" s="0" t="inlineStr">
        <is>
          <t xml:space="preserve">machining</t>
        </is>
      </c>
      <c r="J176" s="0" t="inlineStr">
        <is>
          <t xml:space="preserve">registry</t>
        </is>
      </c>
      <c r="K176" s="5">
        <v>0</v>
      </c>
      <c r="L176" s="5">
        <v>0</v>
      </c>
      <c r="M176" s="5">
        <v>4.431692279999999</v>
      </c>
      <c r="N176" s="5">
        <v>0.0</v>
      </c>
      <c r="O176" s="5">
        <v>0.0</v>
      </c>
      <c r="P176" s="5">
        <v>0.0</v>
      </c>
      <c r="Q176" s="5">
        <v>0.0</v>
      </c>
      <c r="R176" s="5">
        <v>0.0</v>
      </c>
      <c r="S176" s="5">
        <v>0.0</v>
      </c>
      <c r="T176" s="5">
        <v>0.0</v>
      </c>
      <c r="U176" s="5">
        <v>0.0</v>
      </c>
    </row>
    <row r="177" outlineLevel="1">
      <c r="B177" s="0" t="inlineStr">
        <is>
          <t xml:space="preserve">STRYTEN ENERGY LLC</t>
        </is>
      </c>
      <c r="C177" s="0" t="inlineStr">
        <is>
          <t xml:space="preserve">H8CSTCGGDD87</t>
        </is>
      </c>
      <c r="D177" s="0" t="inlineStr">
        <is>
          <t xml:space="preserve">USA</t>
        </is>
      </c>
      <c r="E177" s="0" t="inlineStr">
        <is>
          <t xml:space="preserve">3359</t>
        </is>
      </c>
      <c r="F177" s="0" t="inlineStr">
        <is>
          <t xml:space="preserve">Battery Manufacturing</t>
        </is>
      </c>
      <c r="G177" s="5">
        <v>4.36454072</v>
      </c>
      <c r="H177" s="0" t="inlineStr">
        <is>
          <t xml:space="preserve">supplier</t>
        </is>
      </c>
      <c r="I177" s="0" t="inlineStr">
        <is>
          <t xml:space="preserve">electrical</t>
        </is>
      </c>
      <c r="J177" s="0" t="inlineStr">
        <is>
          <t xml:space="preserve">naics4</t>
        </is>
      </c>
      <c r="K177" s="5">
        <v>0</v>
      </c>
      <c r="L177" s="5">
        <v>0</v>
      </c>
      <c r="M177" s="5">
        <v>4.36454072</v>
      </c>
      <c r="N177" s="5">
        <v>0.0</v>
      </c>
      <c r="O177" s="5">
        <v>0.0</v>
      </c>
      <c r="P177" s="5">
        <v>0.0</v>
      </c>
      <c r="Q177" s="5">
        <v>0.0</v>
      </c>
      <c r="R177" s="5">
        <v>0.0</v>
      </c>
      <c r="S177" s="5">
        <v>0.0</v>
      </c>
      <c r="T177" s="5">
        <v>0.0</v>
      </c>
      <c r="U177" s="5">
        <v>4.36454072</v>
      </c>
    </row>
    <row r="178" outlineLevel="1">
      <c r="B178" s="0" t="inlineStr">
        <is>
          <t xml:space="preserve">TRILOGIC SYSTEMS CORPORATION</t>
        </is>
      </c>
      <c r="C178" s="0" t="inlineStr">
        <is>
          <t xml:space="preserve">K6LKL4BYZGZ6</t>
        </is>
      </c>
      <c r="D178" s="0" t="inlineStr">
        <is>
          <t xml:space="preserve">USA</t>
        </is>
      </c>
      <c r="E178" s="0" t="inlineStr">
        <is>
          <t xml:space="preserve">5415</t>
        </is>
      </c>
      <c r="F178" s="0" t="inlineStr">
        <is>
          <t xml:space="preserve">Other Computer Related Services</t>
        </is>
      </c>
      <c r="G178" s="5">
        <v>4.320559879999999</v>
      </c>
      <c r="H178" s="0" t="inlineStr">
        <is>
          <t xml:space="preserve">service</t>
        </is>
      </c>
      <c r="I178" s="0" t="inlineStr">
        <is>
          <t xml:space="preserve">-</t>
        </is>
      </c>
      <c r="J178" s="0" t="inlineStr">
        <is>
          <t xml:space="preserve">service NAICS</t>
        </is>
      </c>
      <c r="K178" s="5">
        <v>0</v>
      </c>
      <c r="L178" s="5">
        <v>0</v>
      </c>
      <c r="M178" s="5">
        <v>4.320559879999999</v>
      </c>
      <c r="N178" s="5">
        <v>1.36747088</v>
      </c>
      <c r="O178" s="5">
        <v>1.1204459999999998</v>
      </c>
      <c r="P178" s="5">
        <v>0.26722199999999996</v>
      </c>
      <c r="Q178" s="5">
        <v>0.4898060000000001</v>
      </c>
      <c r="R178" s="5">
        <v>0.304257</v>
      </c>
      <c r="S178" s="5">
        <v>0.215514</v>
      </c>
      <c r="T178" s="5">
        <v>0.0</v>
      </c>
      <c r="U178" s="5">
        <v>0.03501</v>
      </c>
    </row>
    <row r="179" outlineLevel="1">
      <c r="B179" s="0" t="inlineStr">
        <is>
          <t xml:space="preserve">QINETIQ GROUP PLC</t>
        </is>
      </c>
      <c r="C179" s="0" t="inlineStr">
        <is>
          <t xml:space="preserve">XDF1FRDG8KK4</t>
        </is>
      </c>
      <c r="D179" s="0" t="inlineStr">
        <is>
          <t xml:space="preserve">USA</t>
        </is>
      </c>
      <c r="E179" s="0" t="inlineStr">
        <is>
          <t xml:space="preserve">3364</t>
        </is>
      </c>
      <c r="F179" s="0" t="inlineStr">
        <is>
          <t xml:space="preserve">Other Aircraft Parts and Auxiliary Equipment Manufacturing</t>
        </is>
      </c>
      <c r="G179" s="5">
        <v>4.271293</v>
      </c>
      <c r="H179" s="0" t="inlineStr">
        <is>
          <t xml:space="preserve">supplier</t>
        </is>
      </c>
      <c r="I179" s="0" t="inlineStr">
        <is>
          <t xml:space="preserve">electrical</t>
        </is>
      </c>
      <c r="J179" s="0" t="inlineStr">
        <is>
          <t xml:space="preserve">registry</t>
        </is>
      </c>
      <c r="K179" s="5">
        <v>0</v>
      </c>
      <c r="L179" s="5">
        <v>0</v>
      </c>
      <c r="M179" s="5">
        <v>4.271293</v>
      </c>
      <c r="N179" s="5">
        <v>0.0</v>
      </c>
      <c r="O179" s="5">
        <v>2.664204</v>
      </c>
      <c r="P179" s="5">
        <v>0.0</v>
      </c>
      <c r="Q179" s="5">
        <v>0.0</v>
      </c>
      <c r="R179" s="5">
        <v>0.0</v>
      </c>
      <c r="S179" s="5">
        <v>0.0</v>
      </c>
      <c r="T179" s="5">
        <v>0.0</v>
      </c>
      <c r="U179" s="5">
        <v>0.0</v>
      </c>
    </row>
    <row r="180" outlineLevel="1">
      <c r="B180" s="0" t="inlineStr">
        <is>
          <t xml:space="preserve">GLOBAL EXECUTIVE SOLUTIONS LLC</t>
        </is>
      </c>
      <c r="C180" s="0" t="inlineStr">
        <is>
          <t xml:space="preserve">HYNSUU4GPWA9</t>
        </is>
      </c>
      <c r="D180" s="0" t="inlineStr">
        <is>
          <t xml:space="preserve">USA</t>
        </is>
      </c>
      <c r="E180" s="0" t="inlineStr">
        <is>
          <t xml:space="preserve">5416</t>
        </is>
      </c>
      <c r="F180" s="0" t="inlineStr">
        <is>
          <t xml:space="preserve">Administrative Management and General Management Consulting Services</t>
        </is>
      </c>
      <c r="G180" s="5">
        <v>4.263959099999999</v>
      </c>
      <c r="H180" s="0" t="inlineStr">
        <is>
          <t xml:space="preserve">service</t>
        </is>
      </c>
      <c r="I180" s="0" t="inlineStr">
        <is>
          <t xml:space="preserve">-</t>
        </is>
      </c>
      <c r="J180" s="0" t="inlineStr">
        <is>
          <t xml:space="preserve">service NAICS</t>
        </is>
      </c>
      <c r="K180" s="5">
        <v>0</v>
      </c>
      <c r="L180" s="5">
        <v>0</v>
      </c>
      <c r="M180" s="5">
        <v>4.263959099999999</v>
      </c>
      <c r="N180" s="5">
        <v>0.0</v>
      </c>
      <c r="O180" s="5">
        <v>0.15</v>
      </c>
      <c r="P180" s="5">
        <v>3.3030749999999998</v>
      </c>
      <c r="Q180" s="5">
        <v>0.36765109999999995</v>
      </c>
      <c r="R180" s="5">
        <v>0.0</v>
      </c>
      <c r="S180" s="5">
        <v>0.0</v>
      </c>
      <c r="T180" s="5">
        <v>0.443233</v>
      </c>
      <c r="U180" s="5">
        <v>0.0</v>
      </c>
    </row>
    <row r="181" outlineLevel="1">
      <c r="B181" s="0" t="inlineStr">
        <is>
          <t xml:space="preserve">SHELBY SUPPLY CO LLC</t>
        </is>
      </c>
      <c r="C181" s="0" t="inlineStr">
        <is>
          <t xml:space="preserve">QB7EKDNK2E83</t>
        </is>
      </c>
      <c r="D181" s="0" t="inlineStr">
        <is>
          <t xml:space="preserve">USA</t>
        </is>
      </c>
      <c r="E181" s="0" t="inlineStr">
        <is>
          <t xml:space="preserve">3327</t>
        </is>
      </c>
      <c r="F181" s="0" t="inlineStr">
        <is>
          <t xml:space="preserve">Machine Shops</t>
        </is>
      </c>
      <c r="G181" s="5">
        <v>4.26174474</v>
      </c>
      <c r="H181" s="0" t="inlineStr">
        <is>
          <t xml:space="preserve">supplier</t>
        </is>
      </c>
      <c r="I181" s="0" t="inlineStr">
        <is>
          <t xml:space="preserve">machining</t>
        </is>
      </c>
      <c r="J181" s="0" t="inlineStr">
        <is>
          <t xml:space="preserve">naics4</t>
        </is>
      </c>
      <c r="K181" s="5">
        <v>0</v>
      </c>
      <c r="L181" s="5">
        <v>0</v>
      </c>
      <c r="M181" s="5">
        <v>4.26174474</v>
      </c>
      <c r="N181" s="5">
        <v>0.78776</v>
      </c>
      <c r="O181" s="5">
        <v>0.87171096</v>
      </c>
      <c r="P181" s="5">
        <v>0.9088442899999998</v>
      </c>
      <c r="Q181" s="5">
        <v>0.7770919199999999</v>
      </c>
      <c r="R181" s="5">
        <v>0.0</v>
      </c>
      <c r="S181" s="5">
        <v>0.49231965000000005</v>
      </c>
      <c r="T181" s="5">
        <v>0.42401792000000005</v>
      </c>
      <c r="U181" s="5">
        <v>0.0</v>
      </c>
    </row>
    <row r="182" outlineLevel="1">
      <c r="B182" s="0" t="inlineStr">
        <is>
          <t xml:space="preserve">TIOGA PIPE INC</t>
        </is>
      </c>
      <c r="C182" s="0" t="inlineStr">
        <is>
          <t xml:space="preserve">D1L2HV3GLLY3</t>
        </is>
      </c>
      <c r="D182" s="0" t="inlineStr">
        <is>
          <t xml:space="preserve">USA</t>
        </is>
      </c>
      <c r="E182" s="0" t="inlineStr">
        <is>
          <t xml:space="preserve">4235</t>
        </is>
      </c>
      <c r="F182" s="0" t="inlineStr">
        <is>
          <t xml:space="preserve">Metal Service Centers and Other Metal Merchant Wholesalers</t>
        </is>
      </c>
      <c r="G182" s="5">
        <v>4.2424506399999995</v>
      </c>
      <c r="H182" s="0" t="inlineStr">
        <is>
          <t xml:space="preserve">supplier</t>
        </is>
      </c>
      <c r="I182" s="0" t="inlineStr">
        <is>
          <t xml:space="preserve">piping</t>
        </is>
      </c>
      <c r="J182" s="0" t="inlineStr">
        <is>
          <t xml:space="preserve">vendor-override</t>
        </is>
      </c>
      <c r="K182" s="5">
        <v>0</v>
      </c>
      <c r="L182" s="5">
        <v>0</v>
      </c>
      <c r="M182" s="5">
        <v>4.2424506399999995</v>
      </c>
      <c r="N182" s="5">
        <v>0.0</v>
      </c>
      <c r="O182" s="5">
        <v>0.0</v>
      </c>
      <c r="P182" s="5">
        <v>0.0495476</v>
      </c>
      <c r="Q182" s="5">
        <v>3.80630304</v>
      </c>
      <c r="R182" s="5">
        <v>0.0</v>
      </c>
      <c r="S182" s="5">
        <v>0.0</v>
      </c>
      <c r="T182" s="5">
        <v>0.0</v>
      </c>
      <c r="U182" s="5">
        <v>0.3866</v>
      </c>
    </row>
    <row r="183" outlineLevel="1">
      <c r="B183" s="0" t="inlineStr">
        <is>
          <t xml:space="preserve">PDS ENGINEERING &amp; CONSTRUCTION INC</t>
        </is>
      </c>
      <c r="C183" s="0" t="inlineStr">
        <is>
          <t xml:space="preserve">RG8HFHKSV215</t>
        </is>
      </c>
      <c r="D183" s="0" t="inlineStr">
        <is>
          <t xml:space="preserve">-</t>
        </is>
      </c>
      <c r="E183" s="0" t="inlineStr">
        <is>
          <t xml:space="preserve">-</t>
        </is>
      </c>
      <c r="F183" s="0" t="inlineStr">
        <is>
          <t xml:space="preserve">-</t>
        </is>
      </c>
      <c r="G183" s="5">
        <v>4.211816</v>
      </c>
      <c r="H183" s="0" t="inlineStr">
        <is>
          <t xml:space="preserve">supplier</t>
        </is>
      </c>
      <c r="I183" s="0" t="inlineStr">
        <is>
          <t xml:space="preserve">unbucketed</t>
        </is>
      </c>
      <c r="J183" s="0" t="inlineStr">
        <is>
          <t xml:space="preserve">residual</t>
        </is>
      </c>
      <c r="K183" s="5">
        <v>0</v>
      </c>
      <c r="L183" s="5">
        <v>0</v>
      </c>
      <c r="M183" s="5">
        <v>4.211816</v>
      </c>
      <c r="N183" s="5">
        <v>0.0</v>
      </c>
      <c r="O183" s="5">
        <v>0.0</v>
      </c>
      <c r="P183" s="5">
        <v>0.0</v>
      </c>
      <c r="Q183" s="5">
        <v>0.0</v>
      </c>
      <c r="R183" s="5">
        <v>0.0</v>
      </c>
      <c r="S183" s="5">
        <v>0.0</v>
      </c>
      <c r="T183" s="5">
        <v>4.211816</v>
      </c>
      <c r="U183" s="5">
        <v>0.0</v>
      </c>
    </row>
    <row r="184" outlineLevel="1">
      <c r="B184" s="0" t="inlineStr">
        <is>
          <t xml:space="preserve">UNIVERSAL MANUFACTURING CORP.</t>
        </is>
      </c>
      <c r="C184" s="0" t="inlineStr">
        <is>
          <t xml:space="preserve">LYV8XEV314F6</t>
        </is>
      </c>
      <c r="D184" s="0" t="inlineStr">
        <is>
          <t xml:space="preserve">-</t>
        </is>
      </c>
      <c r="E184" s="0" t="inlineStr">
        <is>
          <t xml:space="preserve">-</t>
        </is>
      </c>
      <c r="F184" s="0" t="inlineStr">
        <is>
          <t xml:space="preserve">-</t>
        </is>
      </c>
      <c r="G184" s="5">
        <v>4.201963000000001</v>
      </c>
      <c r="H184" s="0" t="inlineStr">
        <is>
          <t xml:space="preserve">supplier</t>
        </is>
      </c>
      <c r="I184" s="0" t="inlineStr">
        <is>
          <t xml:space="preserve">unbucketed</t>
        </is>
      </c>
      <c r="J184" s="0" t="inlineStr">
        <is>
          <t xml:space="preserve">residual</t>
        </is>
      </c>
      <c r="K184" s="5">
        <v>0</v>
      </c>
      <c r="L184" s="5">
        <v>0</v>
      </c>
      <c r="M184" s="5">
        <v>4.201963000000001</v>
      </c>
      <c r="N184" s="5">
        <v>0.0</v>
      </c>
      <c r="O184" s="5">
        <v>1.5183360000000001</v>
      </c>
      <c r="P184" s="5">
        <v>2.628979</v>
      </c>
      <c r="Q184" s="5">
        <v>0.0</v>
      </c>
      <c r="R184" s="5">
        <v>0.054648</v>
      </c>
      <c r="S184" s="5">
        <v>0.0</v>
      </c>
      <c r="T184" s="5">
        <v>0.0</v>
      </c>
      <c r="U184" s="5">
        <v>0.0</v>
      </c>
    </row>
    <row r="185" outlineLevel="1">
      <c r="B185" s="0" t="inlineStr">
        <is>
          <t xml:space="preserve">RIGGINS COMPANY, L.C.</t>
        </is>
      </c>
      <c r="C185" s="0" t="inlineStr">
        <is>
          <t xml:space="preserve">MVJ8B69F5CL6</t>
        </is>
      </c>
      <c r="D185" s="0" t="inlineStr">
        <is>
          <t xml:space="preserve">-</t>
        </is>
      </c>
      <c r="E185" s="0" t="inlineStr">
        <is>
          <t xml:space="preserve">-</t>
        </is>
      </c>
      <c r="F185" s="0" t="inlineStr">
        <is>
          <t xml:space="preserve">-</t>
        </is>
      </c>
      <c r="G185" s="5">
        <v>4.184595590000001</v>
      </c>
      <c r="H185" s="0" t="inlineStr">
        <is>
          <t xml:space="preserve">supplier</t>
        </is>
      </c>
      <c r="I185" s="0" t="inlineStr">
        <is>
          <t xml:space="preserve">unbucketed</t>
        </is>
      </c>
      <c r="J185" s="0" t="inlineStr">
        <is>
          <t xml:space="preserve">residual</t>
        </is>
      </c>
      <c r="K185" s="5">
        <v>0</v>
      </c>
      <c r="L185" s="5">
        <v>0</v>
      </c>
      <c r="M185" s="5">
        <v>4.184595590000001</v>
      </c>
      <c r="N185" s="5">
        <v>0.0</v>
      </c>
      <c r="O185" s="5">
        <v>0.0886</v>
      </c>
      <c r="P185" s="5">
        <v>1.613963</v>
      </c>
      <c r="Q185" s="5">
        <v>1.3409475899999999</v>
      </c>
      <c r="R185" s="5">
        <v>0.0</v>
      </c>
      <c r="S185" s="5">
        <v>0.558604</v>
      </c>
      <c r="T185" s="5">
        <v>0.31654999999999994</v>
      </c>
      <c r="U185" s="5">
        <v>0.26593100000000003</v>
      </c>
    </row>
    <row r="186" outlineLevel="1">
      <c r="B186" s="0" t="inlineStr">
        <is>
          <t xml:space="preserve">MCKINSEY &amp; COMPANY, INC. WASHINGTON D.C.</t>
        </is>
      </c>
      <c r="C186" s="0" t="inlineStr">
        <is>
          <t xml:space="preserve">N6JZARL64EW5</t>
        </is>
      </c>
      <c r="D186" s="0" t="inlineStr">
        <is>
          <t xml:space="preserve">-</t>
        </is>
      </c>
      <c r="E186" s="0" t="inlineStr">
        <is>
          <t xml:space="preserve">-</t>
        </is>
      </c>
      <c r="F186" s="0" t="inlineStr">
        <is>
          <t xml:space="preserve">-</t>
        </is>
      </c>
      <c r="G186" s="5">
        <v>4.0</v>
      </c>
      <c r="H186" s="0" t="inlineStr">
        <is>
          <t xml:space="preserve">supplier</t>
        </is>
      </c>
      <c r="I186" s="0" t="inlineStr">
        <is>
          <t xml:space="preserve">unbucketed</t>
        </is>
      </c>
      <c r="J186" s="0" t="inlineStr">
        <is>
          <t xml:space="preserve">residual</t>
        </is>
      </c>
      <c r="K186" s="5">
        <v>0</v>
      </c>
      <c r="L186" s="5">
        <v>0</v>
      </c>
      <c r="M186" s="5">
        <v>4.0</v>
      </c>
      <c r="N186" s="5">
        <v>0.0</v>
      </c>
      <c r="O186" s="5">
        <v>0.0</v>
      </c>
      <c r="P186" s="5">
        <v>0.0</v>
      </c>
      <c r="Q186" s="5">
        <v>0.0</v>
      </c>
      <c r="R186" s="5">
        <v>0.0</v>
      </c>
      <c r="S186" s="5">
        <v>4.0</v>
      </c>
      <c r="T186" s="5">
        <v>0.0</v>
      </c>
      <c r="U186" s="5">
        <v>0.0</v>
      </c>
    </row>
    <row r="187" outlineLevel="1">
      <c r="B187" s="0" t="inlineStr">
        <is>
          <t xml:space="preserve">MERRILL TECHNOLOGIES GROUP, INC.</t>
        </is>
      </c>
      <c r="C187" s="0" t="inlineStr">
        <is>
          <t xml:space="preserve">GE4GA2B9JYF9</t>
        </is>
      </c>
      <c r="D187" s="0" t="inlineStr">
        <is>
          <t xml:space="preserve">USA</t>
        </is>
      </c>
      <c r="E187" s="0" t="inlineStr">
        <is>
          <t xml:space="preserve">3329</t>
        </is>
      </c>
      <c r="F187" s="0" t="inlineStr">
        <is>
          <t xml:space="preserve">All Other Miscellaneous Fabricated Metal Product Manufacturing</t>
        </is>
      </c>
      <c r="G187" s="5">
        <v>3.958394</v>
      </c>
      <c r="H187" s="0" t="inlineStr">
        <is>
          <t xml:space="preserve">supplier</t>
        </is>
      </c>
      <c r="I187" s="0" t="inlineStr">
        <is>
          <t xml:space="preserve">piping</t>
        </is>
      </c>
      <c r="J187" s="0" t="inlineStr">
        <is>
          <t xml:space="preserve">naics4</t>
        </is>
      </c>
      <c r="K187" s="5">
        <v>0</v>
      </c>
      <c r="L187" s="5">
        <v>0</v>
      </c>
      <c r="M187" s="5">
        <v>3.958394</v>
      </c>
      <c r="N187" s="5">
        <v>0.0</v>
      </c>
      <c r="O187" s="5">
        <v>0.167526</v>
      </c>
      <c r="P187" s="5">
        <v>0.5981650000000001</v>
      </c>
      <c r="Q187" s="5">
        <v>0.083842</v>
      </c>
      <c r="R187" s="5">
        <v>0.0</v>
      </c>
      <c r="S187" s="5">
        <v>1.714343</v>
      </c>
      <c r="T187" s="5">
        <v>0.670438</v>
      </c>
      <c r="U187" s="5">
        <v>0.72408</v>
      </c>
    </row>
    <row r="188" outlineLevel="1">
      <c r="B188" s="0" t="inlineStr">
        <is>
          <t xml:space="preserve">LEIDOS HOLDINGS, INC.</t>
        </is>
      </c>
      <c r="C188" s="0" t="inlineStr">
        <is>
          <t xml:space="preserve">UE9QJD4KK1L6</t>
        </is>
      </c>
      <c r="D188" s="0" t="inlineStr">
        <is>
          <t xml:space="preserve">USA</t>
        </is>
      </c>
      <c r="E188" s="0" t="inlineStr">
        <is>
          <t xml:space="preserve">5417</t>
        </is>
      </c>
      <c r="F188" s="0" t="inlineStr">
        <is>
          <t xml:space="preserve">Research and Development in the Physical, Engineering, and Life Sciences (except Nanotechnology and Biotechnology)</t>
        </is>
      </c>
      <c r="G188" s="5">
        <v>3.75640134</v>
      </c>
      <c r="H188" s="0" t="inlineStr">
        <is>
          <t xml:space="preserve">service</t>
        </is>
      </c>
      <c r="I188" s="0" t="inlineStr">
        <is>
          <t xml:space="preserve">-</t>
        </is>
      </c>
      <c r="J188" s="0" t="inlineStr">
        <is>
          <t xml:space="preserve">service NAICS</t>
        </is>
      </c>
      <c r="K188" s="5">
        <v>0</v>
      </c>
      <c r="L188" s="5">
        <v>0</v>
      </c>
      <c r="M188" s="5">
        <v>3.75640134</v>
      </c>
      <c r="N188" s="5">
        <v>3.0</v>
      </c>
      <c r="O188" s="5">
        <v>0.0</v>
      </c>
      <c r="P188" s="5">
        <v>0.17548034</v>
      </c>
      <c r="Q188" s="5">
        <v>0.0</v>
      </c>
      <c r="R188" s="5">
        <v>0.27366</v>
      </c>
      <c r="S188" s="5">
        <v>0.307261</v>
      </c>
      <c r="T188" s="5">
        <v>0.0</v>
      </c>
      <c r="U188" s="5">
        <v>0.0</v>
      </c>
    </row>
    <row r="189" outlineLevel="1">
      <c r="B189" s="0" t="inlineStr">
        <is>
          <t xml:space="preserve">APOLLO PROFESSIONAL SOLUTIONS, INC.</t>
        </is>
      </c>
      <c r="C189" s="0" t="inlineStr">
        <is>
          <t xml:space="preserve">CABCB9XBJHK5</t>
        </is>
      </c>
      <c r="D189" s="0" t="inlineStr">
        <is>
          <t xml:space="preserve">-</t>
        </is>
      </c>
      <c r="E189" s="0" t="inlineStr">
        <is>
          <t xml:space="preserve">-</t>
        </is>
      </c>
      <c r="F189" s="0" t="inlineStr">
        <is>
          <t xml:space="preserve">-</t>
        </is>
      </c>
      <c r="G189" s="5">
        <v>3.6209103099999997</v>
      </c>
      <c r="H189" s="0" t="inlineStr">
        <is>
          <t xml:space="preserve">supplier</t>
        </is>
      </c>
      <c r="I189" s="0" t="inlineStr">
        <is>
          <t xml:space="preserve">unbucketed</t>
        </is>
      </c>
      <c r="J189" s="0" t="inlineStr">
        <is>
          <t xml:space="preserve">residual</t>
        </is>
      </c>
      <c r="K189" s="5">
        <v>0</v>
      </c>
      <c r="L189" s="5">
        <v>0</v>
      </c>
      <c r="M189" s="5">
        <v>3.6209103099999997</v>
      </c>
      <c r="N189" s="5">
        <v>-0.00821632</v>
      </c>
      <c r="O189" s="5">
        <v>0.8</v>
      </c>
      <c r="P189" s="5">
        <v>0.0</v>
      </c>
      <c r="Q189" s="5">
        <v>0.30324</v>
      </c>
      <c r="R189" s="5">
        <v>0.1050245</v>
      </c>
      <c r="S189" s="5">
        <v>0.32</v>
      </c>
      <c r="T189" s="5">
        <v>0.13</v>
      </c>
      <c r="U189" s="5">
        <v>0.0</v>
      </c>
    </row>
    <row r="190" outlineLevel="1">
      <c r="B190" s="0" t="inlineStr">
        <is>
          <t xml:space="preserve">IN-PLACE MACHINING COMPANY, LLC</t>
        </is>
      </c>
      <c r="C190" s="0" t="inlineStr">
        <is>
          <t xml:space="preserve">KWHXKLAL87T5</t>
        </is>
      </c>
      <c r="D190" s="0" t="inlineStr">
        <is>
          <t xml:space="preserve">-</t>
        </is>
      </c>
      <c r="E190" s="0" t="inlineStr">
        <is>
          <t xml:space="preserve">-</t>
        </is>
      </c>
      <c r="F190" s="0" t="inlineStr">
        <is>
          <t xml:space="preserve">-</t>
        </is>
      </c>
      <c r="G190" s="5">
        <v>3.6201286</v>
      </c>
      <c r="H190" s="0" t="inlineStr">
        <is>
          <t xml:space="preserve">supplier</t>
        </is>
      </c>
      <c r="I190" s="0" t="inlineStr">
        <is>
          <t xml:space="preserve">unbucketed</t>
        </is>
      </c>
      <c r="J190" s="0" t="inlineStr">
        <is>
          <t xml:space="preserve">residual</t>
        </is>
      </c>
      <c r="K190" s="5">
        <v>0</v>
      </c>
      <c r="L190" s="5">
        <v>0</v>
      </c>
      <c r="M190" s="5">
        <v>3.6201286</v>
      </c>
      <c r="N190" s="5">
        <v>0.0</v>
      </c>
      <c r="O190" s="5">
        <v>0.0</v>
      </c>
      <c r="P190" s="5">
        <v>0.0</v>
      </c>
      <c r="Q190" s="5">
        <v>0.5462366</v>
      </c>
      <c r="R190" s="5">
        <v>0.0</v>
      </c>
      <c r="S190" s="5">
        <v>0.0</v>
      </c>
      <c r="T190" s="5">
        <v>3.073892</v>
      </c>
      <c r="U190" s="5">
        <v>0.0</v>
      </c>
    </row>
    <row r="191" outlineLevel="1">
      <c r="B191" s="0" t="inlineStr">
        <is>
          <t xml:space="preserve">SGL AUTOMATION, LLC</t>
        </is>
      </c>
      <c r="C191" s="0" t="inlineStr">
        <is>
          <t xml:space="preserve">EYMMLMHBMSL5</t>
        </is>
      </c>
      <c r="D191" s="0" t="inlineStr">
        <is>
          <t xml:space="preserve">-</t>
        </is>
      </c>
      <c r="E191" s="0" t="inlineStr">
        <is>
          <t xml:space="preserve">-</t>
        </is>
      </c>
      <c r="F191" s="0" t="inlineStr">
        <is>
          <t xml:space="preserve">-</t>
        </is>
      </c>
      <c r="G191" s="5">
        <v>3.54347754</v>
      </c>
      <c r="H191" s="0" t="inlineStr">
        <is>
          <t xml:space="preserve">supplier</t>
        </is>
      </c>
      <c r="I191" s="0" t="inlineStr">
        <is>
          <t xml:space="preserve">unbucketed</t>
        </is>
      </c>
      <c r="J191" s="0" t="inlineStr">
        <is>
          <t xml:space="preserve">residual</t>
        </is>
      </c>
      <c r="K191" s="5">
        <v>0</v>
      </c>
      <c r="L191" s="5">
        <v>0</v>
      </c>
      <c r="M191" s="5">
        <v>3.54347754</v>
      </c>
      <c r="N191" s="5">
        <v>0.0</v>
      </c>
      <c r="O191" s="5">
        <v>0.0</v>
      </c>
      <c r="P191" s="5">
        <v>0.0</v>
      </c>
      <c r="Q191" s="5">
        <v>0.0</v>
      </c>
      <c r="R191" s="5">
        <v>0.0</v>
      </c>
      <c r="S191" s="5">
        <v>3.54347754</v>
      </c>
      <c r="T191" s="5">
        <v>0.0</v>
      </c>
      <c r="U191" s="5">
        <v>0.0</v>
      </c>
    </row>
    <row r="192" outlineLevel="1">
      <c r="B192" s="0" t="inlineStr">
        <is>
          <t xml:space="preserve">FEDERAL BRONZE CASTING INDUSTRIES, INC.</t>
        </is>
      </c>
      <c r="C192" s="0" t="inlineStr">
        <is>
          <t xml:space="preserve">HTR5K76FMH84</t>
        </is>
      </c>
      <c r="D192" s="0" t="inlineStr">
        <is>
          <t xml:space="preserve">-</t>
        </is>
      </c>
      <c r="E192" s="0" t="inlineStr">
        <is>
          <t xml:space="preserve">-</t>
        </is>
      </c>
      <c r="F192" s="0" t="inlineStr">
        <is>
          <t xml:space="preserve">-</t>
        </is>
      </c>
      <c r="G192" s="5">
        <v>3.5352396000000006</v>
      </c>
      <c r="H192" s="0" t="inlineStr">
        <is>
          <t xml:space="preserve">supplier</t>
        </is>
      </c>
      <c r="I192" s="0" t="inlineStr">
        <is>
          <t xml:space="preserve">unbucketed</t>
        </is>
      </c>
      <c r="J192" s="0" t="inlineStr">
        <is>
          <t xml:space="preserve">residual</t>
        </is>
      </c>
      <c r="K192" s="5">
        <v>0</v>
      </c>
      <c r="L192" s="5">
        <v>0</v>
      </c>
      <c r="M192" s="5">
        <v>3.5352396000000006</v>
      </c>
      <c r="N192" s="5">
        <v>0.04345</v>
      </c>
      <c r="O192" s="5">
        <v>0.0</v>
      </c>
      <c r="P192" s="5">
        <v>0.0</v>
      </c>
      <c r="Q192" s="5">
        <v>0.20704</v>
      </c>
      <c r="R192" s="5">
        <v>0.05346</v>
      </c>
      <c r="S192" s="5">
        <v>0.274632</v>
      </c>
      <c r="T192" s="5">
        <v>2.0940426000000003</v>
      </c>
      <c r="U192" s="5">
        <v>0.140298</v>
      </c>
    </row>
    <row r="193" outlineLevel="1">
      <c r="B193" s="0" t="inlineStr">
        <is>
          <t xml:space="preserve">NORTECH SYSTEMS INC</t>
        </is>
      </c>
      <c r="C193" s="0" t="inlineStr">
        <is>
          <t xml:space="preserve">M553NMG2GTR6</t>
        </is>
      </c>
      <c r="D193" s="0" t="inlineStr">
        <is>
          <t xml:space="preserve">-</t>
        </is>
      </c>
      <c r="E193" s="0" t="inlineStr">
        <is>
          <t xml:space="preserve">-</t>
        </is>
      </c>
      <c r="F193" s="0" t="inlineStr">
        <is>
          <t xml:space="preserve">-</t>
        </is>
      </c>
      <c r="G193" s="5">
        <v>3.50959252</v>
      </c>
      <c r="H193" s="0" t="inlineStr">
        <is>
          <t xml:space="preserve">supplier</t>
        </is>
      </c>
      <c r="I193" s="0" t="inlineStr">
        <is>
          <t xml:space="preserve">unbucketed</t>
        </is>
      </c>
      <c r="J193" s="0" t="inlineStr">
        <is>
          <t xml:space="preserve">residual</t>
        </is>
      </c>
      <c r="K193" s="5">
        <v>0</v>
      </c>
      <c r="L193" s="5">
        <v>0</v>
      </c>
      <c r="M193" s="5">
        <v>3.50959252</v>
      </c>
      <c r="N193" s="5">
        <v>2.07105948</v>
      </c>
      <c r="O193" s="5">
        <v>1.43853304</v>
      </c>
      <c r="P193" s="5">
        <v>0.0</v>
      </c>
      <c r="Q193" s="5">
        <v>0.0</v>
      </c>
      <c r="R193" s="5">
        <v>0.0</v>
      </c>
      <c r="S193" s="5">
        <v>0.0</v>
      </c>
      <c r="T193" s="5">
        <v>0.0</v>
      </c>
      <c r="U193" s="5">
        <v>0.0</v>
      </c>
    </row>
    <row r="194" outlineLevel="1">
      <c r="B194" s="0" t="inlineStr">
        <is>
          <t xml:space="preserve">MIDE TECHNOLOGY CORP</t>
        </is>
      </c>
      <c r="C194" s="0" t="inlineStr">
        <is>
          <t xml:space="preserve">C6C8KS7Y1K76</t>
        </is>
      </c>
      <c r="D194" s="0" t="inlineStr">
        <is>
          <t xml:space="preserve">-</t>
        </is>
      </c>
      <c r="E194" s="0" t="inlineStr">
        <is>
          <t xml:space="preserve">-</t>
        </is>
      </c>
      <c r="F194" s="0" t="inlineStr">
        <is>
          <t xml:space="preserve">-</t>
        </is>
      </c>
      <c r="G194" s="5">
        <v>3.424765</v>
      </c>
      <c r="H194" s="0" t="inlineStr">
        <is>
          <t xml:space="preserve">supplier</t>
        </is>
      </c>
      <c r="I194" s="0" t="inlineStr">
        <is>
          <t xml:space="preserve">unbucketed</t>
        </is>
      </c>
      <c r="J194" s="0" t="inlineStr">
        <is>
          <t xml:space="preserve">residual</t>
        </is>
      </c>
      <c r="K194" s="5">
        <v>0</v>
      </c>
      <c r="L194" s="5">
        <v>0</v>
      </c>
      <c r="M194" s="5">
        <v>3.424765</v>
      </c>
      <c r="N194" s="5">
        <v>0.0</v>
      </c>
      <c r="O194" s="5">
        <v>0.0</v>
      </c>
      <c r="P194" s="5">
        <v>0.0</v>
      </c>
      <c r="Q194" s="5">
        <v>0.0</v>
      </c>
      <c r="R194" s="5">
        <v>0.0</v>
      </c>
      <c r="S194" s="5">
        <v>3.424765</v>
      </c>
      <c r="T194" s="5">
        <v>0.0</v>
      </c>
      <c r="U194" s="5">
        <v>0.0</v>
      </c>
    </row>
    <row r="195" outlineLevel="1">
      <c r="B195" s="0" t="inlineStr">
        <is>
          <t xml:space="preserve">EVEREST KANTO CYLINDER LIMITED</t>
        </is>
      </c>
      <c r="C195" s="0" t="inlineStr">
        <is>
          <t xml:space="preserve">MSYWUDGYPKF5</t>
        </is>
      </c>
      <c r="D195" s="0" t="inlineStr">
        <is>
          <t xml:space="preserve">-</t>
        </is>
      </c>
      <c r="E195" s="0" t="inlineStr">
        <is>
          <t xml:space="preserve">-</t>
        </is>
      </c>
      <c r="F195" s="0" t="inlineStr">
        <is>
          <t xml:space="preserve">-</t>
        </is>
      </c>
      <c r="G195" s="5">
        <v>3.4107817700000003</v>
      </c>
      <c r="H195" s="0" t="inlineStr">
        <is>
          <t xml:space="preserve">supplier</t>
        </is>
      </c>
      <c r="I195" s="0" t="inlineStr">
        <is>
          <t xml:space="preserve">structural</t>
        </is>
      </c>
      <c r="J195" s="0" t="inlineStr">
        <is>
          <t xml:space="preserve">registry</t>
        </is>
      </c>
      <c r="K195" s="5">
        <v>0</v>
      </c>
      <c r="L195" s="5">
        <v>0</v>
      </c>
      <c r="M195" s="5">
        <v>3.4107817700000003</v>
      </c>
      <c r="N195" s="5">
        <v>0.0</v>
      </c>
      <c r="O195" s="5">
        <v>0.0</v>
      </c>
      <c r="P195" s="5">
        <v>0.0</v>
      </c>
      <c r="Q195" s="5">
        <v>0.0</v>
      </c>
      <c r="R195" s="5">
        <v>0.28148</v>
      </c>
      <c r="S195" s="5">
        <v>0.0</v>
      </c>
      <c r="T195" s="5">
        <v>0.0</v>
      </c>
      <c r="U195" s="5">
        <v>0.0</v>
      </c>
    </row>
    <row r="196" outlineLevel="1">
      <c r="B196" s="0" t="inlineStr">
        <is>
          <t xml:space="preserve">GRAYCLIFF PARTNERS LP</t>
        </is>
      </c>
      <c r="C196" s="0" t="inlineStr">
        <is>
          <t xml:space="preserve">G319AMB56SW5</t>
        </is>
      </c>
      <c r="D196" s="0" t="inlineStr">
        <is>
          <t xml:space="preserve">USA</t>
        </is>
      </c>
      <c r="E196" s="0" t="inlineStr">
        <is>
          <t xml:space="preserve">3329</t>
        </is>
      </c>
      <c r="F196" s="0" t="inlineStr">
        <is>
          <t xml:space="preserve">All Other Miscellaneous Fabricated Metal Product Manufacturing</t>
        </is>
      </c>
      <c r="G196" s="5">
        <v>3.4055155999999998</v>
      </c>
      <c r="H196" s="0" t="inlineStr">
        <is>
          <t xml:space="preserve">supplier</t>
        </is>
      </c>
      <c r="I196" s="0" t="inlineStr">
        <is>
          <t xml:space="preserve">piping</t>
        </is>
      </c>
      <c r="J196" s="0" t="inlineStr">
        <is>
          <t xml:space="preserve">naics4</t>
        </is>
      </c>
      <c r="K196" s="5">
        <v>0</v>
      </c>
      <c r="L196" s="5">
        <v>0</v>
      </c>
      <c r="M196" s="5">
        <v>3.4055155999999998</v>
      </c>
      <c r="N196" s="5">
        <v>1.88477798</v>
      </c>
      <c r="O196" s="5">
        <v>0.0</v>
      </c>
      <c r="P196" s="5">
        <v>0.0</v>
      </c>
      <c r="Q196" s="5">
        <v>0.0</v>
      </c>
      <c r="R196" s="5">
        <v>0.0</v>
      </c>
      <c r="S196" s="5">
        <v>0.0</v>
      </c>
      <c r="T196" s="5">
        <v>0.0</v>
      </c>
      <c r="U196" s="5">
        <v>0.0</v>
      </c>
    </row>
    <row r="197" outlineLevel="1">
      <c r="B197" s="0" t="inlineStr">
        <is>
          <t xml:space="preserve">LYME COMPUTER SYSTEMS, INC.</t>
        </is>
      </c>
      <c r="C197" s="0" t="inlineStr">
        <is>
          <t xml:space="preserve">F1UZPBD1VBH9</t>
        </is>
      </c>
      <c r="D197" s="0" t="inlineStr">
        <is>
          <t xml:space="preserve">-</t>
        </is>
      </c>
      <c r="E197" s="0" t="inlineStr">
        <is>
          <t xml:space="preserve">-</t>
        </is>
      </c>
      <c r="F197" s="0" t="inlineStr">
        <is>
          <t xml:space="preserve">-</t>
        </is>
      </c>
      <c r="G197" s="5">
        <v>3.38146886</v>
      </c>
      <c r="H197" s="0" t="inlineStr">
        <is>
          <t xml:space="preserve">supplier</t>
        </is>
      </c>
      <c r="I197" s="0" t="inlineStr">
        <is>
          <t xml:space="preserve">unbucketed</t>
        </is>
      </c>
      <c r="J197" s="0" t="inlineStr">
        <is>
          <t xml:space="preserve">residual</t>
        </is>
      </c>
      <c r="K197" s="5">
        <v>0</v>
      </c>
      <c r="L197" s="5">
        <v>0</v>
      </c>
      <c r="M197" s="5">
        <v>3.38146886</v>
      </c>
      <c r="N197" s="5">
        <v>0.374478</v>
      </c>
      <c r="O197" s="5">
        <v>0.6093569999999999</v>
      </c>
      <c r="P197" s="5">
        <v>0.063856</v>
      </c>
      <c r="Q197" s="5">
        <v>0.3013845</v>
      </c>
      <c r="R197" s="5">
        <v>0.084609</v>
      </c>
      <c r="S197" s="5">
        <v>0.17784035999999998</v>
      </c>
      <c r="T197" s="5">
        <v>0.518351</v>
      </c>
      <c r="U197" s="5">
        <v>0.0</v>
      </c>
    </row>
    <row r="198" outlineLevel="1">
      <c r="B198" s="0" t="inlineStr">
        <is>
          <t xml:space="preserve">DERBYSHIRE MACHINE &amp; TOOL CO</t>
        </is>
      </c>
      <c r="C198" s="0" t="inlineStr">
        <is>
          <t xml:space="preserve">REXPSJ7NAHU8</t>
        </is>
      </c>
      <c r="D198" s="0" t="inlineStr">
        <is>
          <t xml:space="preserve">-</t>
        </is>
      </c>
      <c r="E198" s="0" t="inlineStr">
        <is>
          <t xml:space="preserve">-</t>
        </is>
      </c>
      <c r="F198" s="0" t="inlineStr">
        <is>
          <t xml:space="preserve">-</t>
        </is>
      </c>
      <c r="G198" s="5">
        <v>3.356364999999999</v>
      </c>
      <c r="H198" s="0" t="inlineStr">
        <is>
          <t xml:space="preserve">supplier</t>
        </is>
      </c>
      <c r="I198" s="0" t="inlineStr">
        <is>
          <t xml:space="preserve">unbucketed</t>
        </is>
      </c>
      <c r="J198" s="0" t="inlineStr">
        <is>
          <t xml:space="preserve">residual</t>
        </is>
      </c>
      <c r="K198" s="5">
        <v>0</v>
      </c>
      <c r="L198" s="5">
        <v>0</v>
      </c>
      <c r="M198" s="5">
        <v>3.356364999999999</v>
      </c>
      <c r="N198" s="5">
        <v>0.198302</v>
      </c>
      <c r="O198" s="5">
        <v>0.177126</v>
      </c>
      <c r="P198" s="5">
        <v>0.09308</v>
      </c>
      <c r="Q198" s="5">
        <v>0.339092</v>
      </c>
      <c r="R198" s="5">
        <v>0.5792020000000001</v>
      </c>
      <c r="S198" s="5">
        <v>0.122138</v>
      </c>
      <c r="T198" s="5">
        <v>0.236127</v>
      </c>
      <c r="U198" s="5">
        <v>0.082648</v>
      </c>
    </row>
    <row r="199" outlineLevel="1">
      <c r="B199" s="0" t="inlineStr">
        <is>
          <t xml:space="preserve">BWX TECHNOLOGIES, INC.</t>
        </is>
      </c>
      <c r="C199" s="0" t="inlineStr">
        <is>
          <t xml:space="preserve">CMT4S6G76QB5</t>
        </is>
      </c>
      <c r="D199" s="0" t="inlineStr">
        <is>
          <t xml:space="preserve">-</t>
        </is>
      </c>
      <c r="E199" s="0" t="inlineStr">
        <is>
          <t xml:space="preserve">-</t>
        </is>
      </c>
      <c r="F199" s="0" t="inlineStr">
        <is>
          <t xml:space="preserve">-</t>
        </is>
      </c>
      <c r="G199" s="5">
        <v>3.3432150000000003</v>
      </c>
      <c r="H199" s="0" t="inlineStr">
        <is>
          <t xml:space="preserve">gfe_sib</t>
        </is>
      </c>
      <c r="I199" s="0" t="inlineStr">
        <is>
          <t xml:space="preserve">-</t>
        </is>
      </c>
      <c r="J199" s="0" t="inlineStr">
        <is>
          <t xml:space="preserve">registry</t>
        </is>
      </c>
      <c r="K199" s="5">
        <v>0</v>
      </c>
      <c r="L199" s="5">
        <v>0</v>
      </c>
      <c r="M199" s="5">
        <v>0.0</v>
      </c>
      <c r="N199" s="5">
        <v>0.0</v>
      </c>
      <c r="O199" s="5">
        <v>0.0</v>
      </c>
      <c r="P199" s="5">
        <v>0.0</v>
      </c>
      <c r="Q199" s="5">
        <v>0.0</v>
      </c>
      <c r="R199" s="5">
        <v>0.0</v>
      </c>
      <c r="S199" s="5">
        <v>0.0</v>
      </c>
      <c r="T199" s="5">
        <v>0.0</v>
      </c>
      <c r="U199" s="5">
        <v>0.0</v>
      </c>
    </row>
    <row r="200" outlineLevel="1">
      <c r="B200" s="0" t="inlineStr">
        <is>
          <t xml:space="preserve">LOCKHEED MARTIN CORPORATION</t>
        </is>
      </c>
      <c r="C200" s="0" t="inlineStr">
        <is>
          <t xml:space="preserve">NMHFLDYJJ4C5</t>
        </is>
      </c>
      <c r="D200" s="0" t="inlineStr">
        <is>
          <t xml:space="preserve">-</t>
        </is>
      </c>
      <c r="E200" s="0" t="inlineStr">
        <is>
          <t xml:space="preserve">-</t>
        </is>
      </c>
      <c r="F200" s="0" t="inlineStr">
        <is>
          <t xml:space="preserve">-</t>
        </is>
      </c>
      <c r="G200" s="5">
        <v>3.3345539799999995</v>
      </c>
      <c r="H200" s="0" t="inlineStr">
        <is>
          <t xml:space="preserve">gfe_sib</t>
        </is>
      </c>
      <c r="I200" s="0" t="inlineStr">
        <is>
          <t xml:space="preserve">-</t>
        </is>
      </c>
      <c r="J200" s="0" t="inlineStr">
        <is>
          <t xml:space="preserve">GFE/SIB name</t>
        </is>
      </c>
      <c r="K200" s="5">
        <v>0</v>
      </c>
      <c r="L200" s="5">
        <v>0</v>
      </c>
      <c r="M200" s="5">
        <v>3.3345539799999995</v>
      </c>
      <c r="N200" s="5">
        <v>0.0</v>
      </c>
      <c r="O200" s="5">
        <v>0.0</v>
      </c>
      <c r="P200" s="5">
        <v>0.0</v>
      </c>
      <c r="Q200" s="5">
        <v>0.0</v>
      </c>
      <c r="R200" s="5">
        <v>0.0</v>
      </c>
      <c r="S200" s="5">
        <v>0.0</v>
      </c>
      <c r="T200" s="5">
        <v>0.0</v>
      </c>
      <c r="U200" s="5">
        <v>0.0</v>
      </c>
    </row>
    <row r="201" outlineLevel="1">
      <c r="B201" s="0" t="inlineStr">
        <is>
          <t xml:space="preserve">L3HARRIS MARITIME POWER &amp; ENERGY SOLUTIONS, INC.</t>
        </is>
      </c>
      <c r="C201" s="0" t="inlineStr">
        <is>
          <t xml:space="preserve">ZW3UMG9YVNA9</t>
        </is>
      </c>
      <c r="D201" s="0" t="inlineStr">
        <is>
          <t xml:space="preserve">-</t>
        </is>
      </c>
      <c r="E201" s="0" t="inlineStr">
        <is>
          <t xml:space="preserve">-</t>
        </is>
      </c>
      <c r="F201" s="0" t="inlineStr">
        <is>
          <t xml:space="preserve">-</t>
        </is>
      </c>
      <c r="G201" s="5">
        <v>3.3259714000000002</v>
      </c>
      <c r="H201" s="0" t="inlineStr">
        <is>
          <t xml:space="preserve">supplier</t>
        </is>
      </c>
      <c r="I201" s="0" t="inlineStr">
        <is>
          <t xml:space="preserve">electrical</t>
        </is>
      </c>
      <c r="J201" s="0" t="inlineStr">
        <is>
          <t xml:space="preserve">registry</t>
        </is>
      </c>
      <c r="K201" s="5">
        <v>0</v>
      </c>
      <c r="L201" s="5">
        <v>0</v>
      </c>
      <c r="M201" s="5">
        <v>3.3259714000000002</v>
      </c>
      <c r="N201" s="5">
        <v>-0.002954</v>
      </c>
      <c r="O201" s="5">
        <v>1.1537929999999998</v>
      </c>
      <c r="P201" s="5">
        <v>0.0</v>
      </c>
      <c r="Q201" s="5">
        <v>0.91701618</v>
      </c>
      <c r="R201" s="5">
        <v>0.510851</v>
      </c>
      <c r="S201" s="5">
        <v>0.302597</v>
      </c>
      <c r="T201" s="5">
        <v>0.099201</v>
      </c>
      <c r="U201" s="5">
        <v>0.34546721999999996</v>
      </c>
    </row>
    <row r="202" outlineLevel="1">
      <c r="B202" s="0" t="inlineStr">
        <is>
          <t xml:space="preserve">GARDNER DENVER NASH LLC</t>
        </is>
      </c>
      <c r="C202" s="0" t="inlineStr">
        <is>
          <t xml:space="preserve">FFL2MLNT4FN1</t>
        </is>
      </c>
      <c r="D202" s="0" t="inlineStr">
        <is>
          <t xml:space="preserve">-</t>
        </is>
      </c>
      <c r="E202" s="0" t="inlineStr">
        <is>
          <t xml:space="preserve">-</t>
        </is>
      </c>
      <c r="F202" s="0" t="inlineStr">
        <is>
          <t xml:space="preserve">-</t>
        </is>
      </c>
      <c r="G202" s="5">
        <v>3.29386824</v>
      </c>
      <c r="H202" s="0" t="inlineStr">
        <is>
          <t xml:space="preserve">supplier</t>
        </is>
      </c>
      <c r="I202" s="0" t="inlineStr">
        <is>
          <t xml:space="preserve">unbucketed</t>
        </is>
      </c>
      <c r="J202" s="0" t="inlineStr">
        <is>
          <t xml:space="preserve">residual</t>
        </is>
      </c>
      <c r="K202" s="5">
        <v>0</v>
      </c>
      <c r="L202" s="5">
        <v>0</v>
      </c>
      <c r="M202" s="5">
        <v>3.29386824</v>
      </c>
      <c r="N202" s="5">
        <v>0.0</v>
      </c>
      <c r="O202" s="5">
        <v>0.0</v>
      </c>
      <c r="P202" s="5">
        <v>0.0</v>
      </c>
      <c r="Q202" s="5">
        <v>0.0</v>
      </c>
      <c r="R202" s="5">
        <v>0.12776604000000003</v>
      </c>
      <c r="S202" s="5">
        <v>1.8352672</v>
      </c>
      <c r="T202" s="5">
        <v>0.91856</v>
      </c>
      <c r="U202" s="5">
        <v>0.0</v>
      </c>
    </row>
    <row r="203" outlineLevel="1">
      <c r="B203" s="0" t="inlineStr">
        <is>
          <t xml:space="preserve">L3HARRIS TECHNOLOGIES, INC.</t>
        </is>
      </c>
      <c r="C203" s="0" t="inlineStr">
        <is>
          <t xml:space="preserve">RDG4F8MZVDU1</t>
        </is>
      </c>
      <c r="D203" s="0" t="inlineStr">
        <is>
          <t xml:space="preserve">USA</t>
        </is>
      </c>
      <c r="E203" s="0" t="inlineStr">
        <is>
          <t xml:space="preserve">3345</t>
        </is>
      </c>
      <c r="F203" s="0" t="inlineStr">
        <is>
          <t xml:space="preserve">Search, Detection, Navigation, Guidance, Aeronautical, and Nautical System and Instrument Manufacturing</t>
        </is>
      </c>
      <c r="G203" s="5">
        <v>3.2666020000000002</v>
      </c>
      <c r="H203" s="0" t="inlineStr">
        <is>
          <t xml:space="preserve">supplier</t>
        </is>
      </c>
      <c r="I203" s="0" t="inlineStr">
        <is>
          <t xml:space="preserve">unbucketed</t>
        </is>
      </c>
      <c r="J203" s="0" t="inlineStr">
        <is>
          <t xml:space="preserve">vendor-override</t>
        </is>
      </c>
      <c r="K203" s="5">
        <v>0</v>
      </c>
      <c r="L203" s="5">
        <v>0</v>
      </c>
      <c r="M203" s="5">
        <v>3.2666020000000002</v>
      </c>
      <c r="N203" s="5">
        <v>0.0</v>
      </c>
      <c r="O203" s="5">
        <v>0.0</v>
      </c>
      <c r="P203" s="5">
        <v>0.0</v>
      </c>
      <c r="Q203" s="5">
        <v>0.0</v>
      </c>
      <c r="R203" s="5">
        <v>0.0</v>
      </c>
      <c r="S203" s="5">
        <v>0.0</v>
      </c>
      <c r="T203" s="5">
        <v>0.0</v>
      </c>
      <c r="U203" s="5">
        <v>0.0</v>
      </c>
    </row>
    <row r="204" outlineLevel="1">
      <c r="B204" s="0" t="inlineStr">
        <is>
          <t xml:space="preserve">HYDRATIGHT OPERATIONS INC</t>
        </is>
      </c>
      <c r="C204" s="0" t="inlineStr">
        <is>
          <t xml:space="preserve">T5C6JNLVSC17</t>
        </is>
      </c>
      <c r="D204" s="0" t="inlineStr">
        <is>
          <t xml:space="preserve">-</t>
        </is>
      </c>
      <c r="E204" s="0" t="inlineStr">
        <is>
          <t xml:space="preserve">-</t>
        </is>
      </c>
      <c r="F204" s="0" t="inlineStr">
        <is>
          <t xml:space="preserve">-</t>
        </is>
      </c>
      <c r="G204" s="5">
        <v>3.25047481</v>
      </c>
      <c r="H204" s="0" t="inlineStr">
        <is>
          <t xml:space="preserve">supplier</t>
        </is>
      </c>
      <c r="I204" s="0" t="inlineStr">
        <is>
          <t xml:space="preserve">unbucketed</t>
        </is>
      </c>
      <c r="J204" s="0" t="inlineStr">
        <is>
          <t xml:space="preserve">residual</t>
        </is>
      </c>
      <c r="K204" s="5">
        <v>0</v>
      </c>
      <c r="L204" s="5">
        <v>0</v>
      </c>
      <c r="M204" s="5">
        <v>3.25047481</v>
      </c>
      <c r="N204" s="5">
        <v>0.8749319999999999</v>
      </c>
      <c r="O204" s="5">
        <v>1.16966787</v>
      </c>
      <c r="P204" s="5">
        <v>0.0</v>
      </c>
      <c r="Q204" s="5">
        <v>0.0</v>
      </c>
      <c r="R204" s="5">
        <v>0.6</v>
      </c>
      <c r="S204" s="5">
        <v>0.605685</v>
      </c>
      <c r="T204" s="5">
        <v>-0.09971106</v>
      </c>
      <c r="U204" s="5">
        <v>0.099901</v>
      </c>
    </row>
    <row r="205" outlineLevel="1">
      <c r="B205" s="0" t="inlineStr">
        <is>
          <t xml:space="preserve">SOURCE CODE MIDCO, LLC</t>
        </is>
      </c>
      <c r="C205" s="0" t="inlineStr">
        <is>
          <t xml:space="preserve">WNDYZX3ALFB1</t>
        </is>
      </c>
      <c r="D205" s="0" t="inlineStr">
        <is>
          <t xml:space="preserve">-</t>
        </is>
      </c>
      <c r="E205" s="0" t="inlineStr">
        <is>
          <t xml:space="preserve">-</t>
        </is>
      </c>
      <c r="F205" s="0" t="inlineStr">
        <is>
          <t xml:space="preserve">-</t>
        </is>
      </c>
      <c r="G205" s="5">
        <v>3.2492609999999997</v>
      </c>
      <c r="H205" s="0" t="inlineStr">
        <is>
          <t xml:space="preserve">supplier</t>
        </is>
      </c>
      <c r="I205" s="0" t="inlineStr">
        <is>
          <t xml:space="preserve">unbucketed</t>
        </is>
      </c>
      <c r="J205" s="0" t="inlineStr">
        <is>
          <t xml:space="preserve">residual</t>
        </is>
      </c>
      <c r="K205" s="5">
        <v>0</v>
      </c>
      <c r="L205" s="5">
        <v>0</v>
      </c>
      <c r="M205" s="5">
        <v>3.2492609999999997</v>
      </c>
      <c r="N205" s="5">
        <v>0.60768</v>
      </c>
      <c r="O205" s="5">
        <v>0.0</v>
      </c>
      <c r="P205" s="5">
        <v>0.0</v>
      </c>
      <c r="Q205" s="5">
        <v>0.0</v>
      </c>
      <c r="R205" s="5">
        <v>0.067506</v>
      </c>
      <c r="S205" s="5">
        <v>0.0</v>
      </c>
      <c r="T205" s="5">
        <v>0.0</v>
      </c>
      <c r="U205" s="5">
        <v>0.0</v>
      </c>
    </row>
    <row r="206" outlineLevel="1">
      <c r="B206" s="0" t="inlineStr">
        <is>
          <t xml:space="preserve">FEDERAL METAL CO</t>
        </is>
      </c>
      <c r="C206" s="0" t="inlineStr">
        <is>
          <t xml:space="preserve">JCXDK86FK3L5</t>
        </is>
      </c>
      <c r="D206" s="0" t="inlineStr">
        <is>
          <t xml:space="preserve">-</t>
        </is>
      </c>
      <c r="E206" s="0" t="inlineStr">
        <is>
          <t xml:space="preserve">-</t>
        </is>
      </c>
      <c r="F206" s="0" t="inlineStr">
        <is>
          <t xml:space="preserve">-</t>
        </is>
      </c>
      <c r="G206" s="5">
        <v>3.2355</v>
      </c>
      <c r="H206" s="0" t="inlineStr">
        <is>
          <t xml:space="preserve">supplier</t>
        </is>
      </c>
      <c r="I206" s="0" t="inlineStr">
        <is>
          <t xml:space="preserve">unbucketed</t>
        </is>
      </c>
      <c r="J206" s="0" t="inlineStr">
        <is>
          <t xml:space="preserve">residual</t>
        </is>
      </c>
      <c r="K206" s="5">
        <v>0</v>
      </c>
      <c r="L206" s="5">
        <v>0</v>
      </c>
      <c r="M206" s="5">
        <v>0.0</v>
      </c>
      <c r="N206" s="5">
        <v>0.0</v>
      </c>
      <c r="O206" s="5">
        <v>0.0</v>
      </c>
      <c r="P206" s="5">
        <v>0.0</v>
      </c>
      <c r="Q206" s="5">
        <v>0.0</v>
      </c>
      <c r="R206" s="5">
        <v>0.0</v>
      </c>
      <c r="S206" s="5">
        <v>0.0</v>
      </c>
      <c r="T206" s="5">
        <v>0.0</v>
      </c>
      <c r="U206" s="5">
        <v>0.0</v>
      </c>
    </row>
    <row r="207" outlineLevel="1">
      <c r="B207" s="0" t="inlineStr">
        <is>
          <t xml:space="preserve">RIVERHEAD BUILDING SUPPLY CORP.</t>
        </is>
      </c>
      <c r="C207" s="0" t="inlineStr">
        <is>
          <t xml:space="preserve">GFCUEMH2CGN1</t>
        </is>
      </c>
      <c r="D207" s="0" t="inlineStr">
        <is>
          <t xml:space="preserve">-</t>
        </is>
      </c>
      <c r="E207" s="0" t="inlineStr">
        <is>
          <t xml:space="preserve">-</t>
        </is>
      </c>
      <c r="F207" s="0" t="inlineStr">
        <is>
          <t xml:space="preserve">-</t>
        </is>
      </c>
      <c r="G207" s="5">
        <v>3.226769539999999</v>
      </c>
      <c r="H207" s="0" t="inlineStr">
        <is>
          <t xml:space="preserve">supplier</t>
        </is>
      </c>
      <c r="I207" s="0" t="inlineStr">
        <is>
          <t xml:space="preserve">unbucketed</t>
        </is>
      </c>
      <c r="J207" s="0" t="inlineStr">
        <is>
          <t xml:space="preserve">residual</t>
        </is>
      </c>
      <c r="K207" s="5">
        <v>0</v>
      </c>
      <c r="L207" s="5">
        <v>0</v>
      </c>
      <c r="M207" s="5">
        <v>3.226769539999999</v>
      </c>
      <c r="N207" s="5">
        <v>0.58891536</v>
      </c>
      <c r="O207" s="5">
        <v>1.9543104999999996</v>
      </c>
      <c r="P207" s="5">
        <v>0.8979187200000001</v>
      </c>
      <c r="Q207" s="5">
        <v>-0.4478208</v>
      </c>
      <c r="R207" s="5">
        <v>0.0</v>
      </c>
      <c r="S207" s="5">
        <v>0.0</v>
      </c>
      <c r="T207" s="5">
        <v>0.0</v>
      </c>
      <c r="U207" s="5">
        <v>0.0</v>
      </c>
    </row>
    <row r="208" outlineLevel="1">
      <c r="B208" s="0" t="inlineStr">
        <is>
          <t xml:space="preserve">PAROSCIENTIFIC, INC.</t>
        </is>
      </c>
      <c r="C208" s="0" t="inlineStr">
        <is>
          <t xml:space="preserve">WJ1XMJMTSYL9</t>
        </is>
      </c>
      <c r="D208" s="0" t="inlineStr">
        <is>
          <t xml:space="preserve">-</t>
        </is>
      </c>
      <c r="E208" s="0" t="inlineStr">
        <is>
          <t xml:space="preserve">-</t>
        </is>
      </c>
      <c r="F208" s="0" t="inlineStr">
        <is>
          <t xml:space="preserve">-</t>
        </is>
      </c>
      <c r="G208" s="5">
        <v>3.218607270000001</v>
      </c>
      <c r="H208" s="0" t="inlineStr">
        <is>
          <t xml:space="preserve">supplier</t>
        </is>
      </c>
      <c r="I208" s="0" t="inlineStr">
        <is>
          <t xml:space="preserve">unbucketed</t>
        </is>
      </c>
      <c r="J208" s="0" t="inlineStr">
        <is>
          <t xml:space="preserve">residual</t>
        </is>
      </c>
      <c r="K208" s="5">
        <v>0</v>
      </c>
      <c r="L208" s="5">
        <v>0</v>
      </c>
      <c r="M208" s="5">
        <v>3.218607270000001</v>
      </c>
      <c r="N208" s="5">
        <v>0.25464</v>
      </c>
      <c r="O208" s="5">
        <v>2.1661095</v>
      </c>
      <c r="P208" s="5">
        <v>0.09350299999999999</v>
      </c>
      <c r="Q208" s="5">
        <v>0.0</v>
      </c>
      <c r="R208" s="5">
        <v>0.0</v>
      </c>
      <c r="S208" s="5">
        <v>0.0</v>
      </c>
      <c r="T208" s="5">
        <v>0.21120000000000005</v>
      </c>
      <c r="U208" s="5">
        <v>-0.03168</v>
      </c>
    </row>
    <row r="209" outlineLevel="1">
      <c r="B209" s="0" t="inlineStr">
        <is>
          <t xml:space="preserve">HITACHI, LTD.</t>
        </is>
      </c>
      <c r="C209" s="0" t="inlineStr">
        <is>
          <t xml:space="preserve">VJHFDLA3NLG8</t>
        </is>
      </c>
      <c r="D209" s="0" t="inlineStr">
        <is>
          <t xml:space="preserve">-</t>
        </is>
      </c>
      <c r="E209" s="0" t="inlineStr">
        <is>
          <t xml:space="preserve">-</t>
        </is>
      </c>
      <c r="F209" s="0" t="inlineStr">
        <is>
          <t xml:space="preserve">-</t>
        </is>
      </c>
      <c r="G209" s="5">
        <v>3.2070054199999998</v>
      </c>
      <c r="H209" s="0" t="inlineStr">
        <is>
          <t xml:space="preserve">supplier</t>
        </is>
      </c>
      <c r="I209" s="0" t="inlineStr">
        <is>
          <t xml:space="preserve">unbucketed</t>
        </is>
      </c>
      <c r="J209" s="0" t="inlineStr">
        <is>
          <t xml:space="preserve">residual</t>
        </is>
      </c>
      <c r="K209" s="5">
        <v>0</v>
      </c>
      <c r="L209" s="5">
        <v>0</v>
      </c>
      <c r="M209" s="5">
        <v>3.2070054199999998</v>
      </c>
      <c r="N209" s="5">
        <v>-0.1368259</v>
      </c>
      <c r="O209" s="5">
        <v>0.44222168</v>
      </c>
      <c r="P209" s="5">
        <v>0.0</v>
      </c>
      <c r="Q209" s="5">
        <v>1.2547248500000001</v>
      </c>
      <c r="R209" s="5">
        <v>1.91283654</v>
      </c>
      <c r="S209" s="5">
        <v>-0.39221275</v>
      </c>
      <c r="T209" s="5">
        <v>0.238004</v>
      </c>
      <c r="U209" s="5">
        <v>0.0</v>
      </c>
    </row>
    <row r="210" outlineLevel="1">
      <c r="B210" s="0" t="inlineStr">
        <is>
          <t xml:space="preserve">DATACON, INC.</t>
        </is>
      </c>
      <c r="C210" s="0" t="inlineStr">
        <is>
          <t xml:space="preserve">NXGLEN3CK1N6</t>
        </is>
      </c>
      <c r="D210" s="0" t="inlineStr">
        <is>
          <t xml:space="preserve">-</t>
        </is>
      </c>
      <c r="E210" s="0" t="inlineStr">
        <is>
          <t xml:space="preserve">-</t>
        </is>
      </c>
      <c r="F210" s="0" t="inlineStr">
        <is>
          <t xml:space="preserve">-</t>
        </is>
      </c>
      <c r="G210" s="5">
        <v>3.19491702</v>
      </c>
      <c r="H210" s="0" t="inlineStr">
        <is>
          <t xml:space="preserve">mission_systems</t>
        </is>
      </c>
      <c r="I210" s="0" t="inlineStr">
        <is>
          <t xml:space="preserve">-</t>
        </is>
      </c>
      <c r="J210" s="0" t="inlineStr">
        <is>
          <t xml:space="preserve">registry</t>
        </is>
      </c>
      <c r="K210" s="5">
        <v>0</v>
      </c>
      <c r="L210" s="5">
        <v>0</v>
      </c>
      <c r="M210" s="5">
        <v>3.19491702</v>
      </c>
      <c r="N210" s="5">
        <v>2.33403725</v>
      </c>
      <c r="O210" s="5">
        <v>0.25746786</v>
      </c>
      <c r="P210" s="5">
        <v>0.0</v>
      </c>
      <c r="Q210" s="5">
        <v>0.0</v>
      </c>
      <c r="R210" s="5">
        <v>0.0</v>
      </c>
      <c r="S210" s="5">
        <v>0.03107729</v>
      </c>
      <c r="T210" s="5">
        <v>0.0</v>
      </c>
      <c r="U210" s="5">
        <v>0.0</v>
      </c>
    </row>
    <row r="211" outlineLevel="1">
      <c r="B211" s="0" t="inlineStr">
        <is>
          <t xml:space="preserve">LINCOLN ELECTRIC AUTOMATION, INC.</t>
        </is>
      </c>
      <c r="C211" s="0" t="inlineStr">
        <is>
          <t xml:space="preserve">LD7YXEQNEKZ3</t>
        </is>
      </c>
      <c r="D211" s="0" t="inlineStr">
        <is>
          <t xml:space="preserve">-</t>
        </is>
      </c>
      <c r="E211" s="0" t="inlineStr">
        <is>
          <t xml:space="preserve">-</t>
        </is>
      </c>
      <c r="F211" s="0" t="inlineStr">
        <is>
          <t xml:space="preserve">-</t>
        </is>
      </c>
      <c r="G211" s="5">
        <v>3.1852800000000006</v>
      </c>
      <c r="H211" s="0" t="inlineStr">
        <is>
          <t xml:space="preserve">supplier</t>
        </is>
      </c>
      <c r="I211" s="0" t="inlineStr">
        <is>
          <t xml:space="preserve">unbucketed</t>
        </is>
      </c>
      <c r="J211" s="0" t="inlineStr">
        <is>
          <t xml:space="preserve">residual</t>
        </is>
      </c>
      <c r="K211" s="5">
        <v>0</v>
      </c>
      <c r="L211" s="5">
        <v>0</v>
      </c>
      <c r="M211" s="5">
        <v>3.1852800000000006</v>
      </c>
      <c r="N211" s="5">
        <v>0.0</v>
      </c>
      <c r="O211" s="5">
        <v>0.457684</v>
      </c>
      <c r="P211" s="5">
        <v>0.0</v>
      </c>
      <c r="Q211" s="5">
        <v>0.0</v>
      </c>
      <c r="R211" s="5">
        <v>0.0</v>
      </c>
      <c r="S211" s="5">
        <v>2.383896</v>
      </c>
      <c r="T211" s="5">
        <v>0.3437</v>
      </c>
      <c r="U211" s="5">
        <v>0.0</v>
      </c>
    </row>
    <row r="212" outlineLevel="1">
      <c r="B212" s="0" t="inlineStr">
        <is>
          <t xml:space="preserve">STEELFAB, INC</t>
        </is>
      </c>
      <c r="C212" s="0" t="inlineStr">
        <is>
          <t xml:space="preserve">EVZMB1757DW5</t>
        </is>
      </c>
      <c r="D212" s="0" t="inlineStr">
        <is>
          <t xml:space="preserve">-</t>
        </is>
      </c>
      <c r="E212" s="0" t="inlineStr">
        <is>
          <t xml:space="preserve">-</t>
        </is>
      </c>
      <c r="F212" s="0" t="inlineStr">
        <is>
          <t xml:space="preserve">-</t>
        </is>
      </c>
      <c r="G212" s="5">
        <v>3.16843905</v>
      </c>
      <c r="H212" s="0" t="inlineStr">
        <is>
          <t xml:space="preserve">supplier</t>
        </is>
      </c>
      <c r="I212" s="0" t="inlineStr">
        <is>
          <t xml:space="preserve">unbucketed</t>
        </is>
      </c>
      <c r="J212" s="0" t="inlineStr">
        <is>
          <t xml:space="preserve">residual</t>
        </is>
      </c>
      <c r="K212" s="5">
        <v>0</v>
      </c>
      <c r="L212" s="5">
        <v>0</v>
      </c>
      <c r="M212" s="5">
        <v>3.16843905</v>
      </c>
      <c r="N212" s="5">
        <v>0.0</v>
      </c>
      <c r="O212" s="5">
        <v>0.0</v>
      </c>
      <c r="P212" s="5">
        <v>0.0</v>
      </c>
      <c r="Q212" s="5">
        <v>0.0</v>
      </c>
      <c r="R212" s="5">
        <v>0.0</v>
      </c>
      <c r="S212" s="5">
        <v>2.0106349199999998</v>
      </c>
      <c r="T212" s="5">
        <v>1.1578041300000002</v>
      </c>
      <c r="U212" s="5">
        <v>0.0</v>
      </c>
    </row>
    <row r="213" outlineLevel="1">
      <c r="B213" s="0" t="inlineStr">
        <is>
          <t xml:space="preserve">DYNAMIC PRECISION GROUP, INC.</t>
        </is>
      </c>
      <c r="C213" s="0" t="inlineStr">
        <is>
          <t xml:space="preserve">JFHLZNJLWAN5</t>
        </is>
      </c>
      <c r="D213" s="0" t="inlineStr">
        <is>
          <t xml:space="preserve">-</t>
        </is>
      </c>
      <c r="E213" s="0" t="inlineStr">
        <is>
          <t xml:space="preserve">-</t>
        </is>
      </c>
      <c r="F213" s="0" t="inlineStr">
        <is>
          <t xml:space="preserve">-</t>
        </is>
      </c>
      <c r="G213" s="5">
        <v>3.155731</v>
      </c>
      <c r="H213" s="0" t="inlineStr">
        <is>
          <t xml:space="preserve">supplier</t>
        </is>
      </c>
      <c r="I213" s="0" t="inlineStr">
        <is>
          <t xml:space="preserve">unbucketed</t>
        </is>
      </c>
      <c r="J213" s="0" t="inlineStr">
        <is>
          <t xml:space="preserve">residual</t>
        </is>
      </c>
      <c r="K213" s="5">
        <v>0</v>
      </c>
      <c r="L213" s="5">
        <v>0</v>
      </c>
      <c r="M213" s="5">
        <v>3.155731</v>
      </c>
      <c r="N213" s="5">
        <v>0.35483899999999996</v>
      </c>
      <c r="O213" s="5">
        <v>0.0</v>
      </c>
      <c r="P213" s="5">
        <v>0.0</v>
      </c>
      <c r="Q213" s="5">
        <v>0.0</v>
      </c>
      <c r="R213" s="5">
        <v>0.0</v>
      </c>
      <c r="S213" s="5">
        <v>0.0</v>
      </c>
      <c r="T213" s="5">
        <v>0.0</v>
      </c>
      <c r="U213" s="5">
        <v>0.0</v>
      </c>
    </row>
    <row r="214" outlineLevel="1">
      <c r="B214" s="0" t="inlineStr">
        <is>
          <t xml:space="preserve">MATERION CORPORATION</t>
        </is>
      </c>
      <c r="C214" s="0" t="inlineStr">
        <is>
          <t xml:space="preserve">QPB2M919LQM5</t>
        </is>
      </c>
      <c r="D214" s="0" t="inlineStr">
        <is>
          <t xml:space="preserve">-</t>
        </is>
      </c>
      <c r="E214" s="0" t="inlineStr">
        <is>
          <t xml:space="preserve">-</t>
        </is>
      </c>
      <c r="F214" s="0" t="inlineStr">
        <is>
          <t xml:space="preserve">-</t>
        </is>
      </c>
      <c r="G214" s="5">
        <v>3.125291829999999</v>
      </c>
      <c r="H214" s="0" t="inlineStr">
        <is>
          <t xml:space="preserve">supplier</t>
        </is>
      </c>
      <c r="I214" s="0" t="inlineStr">
        <is>
          <t xml:space="preserve">unbucketed</t>
        </is>
      </c>
      <c r="J214" s="0" t="inlineStr">
        <is>
          <t xml:space="preserve">residual</t>
        </is>
      </c>
      <c r="K214" s="5">
        <v>0</v>
      </c>
      <c r="L214" s="5">
        <v>0</v>
      </c>
      <c r="M214" s="5">
        <v>3.125291829999999</v>
      </c>
      <c r="N214" s="5">
        <v>0.54936282</v>
      </c>
      <c r="O214" s="5">
        <v>0.0</v>
      </c>
      <c r="P214" s="5">
        <v>0.10212557</v>
      </c>
      <c r="Q214" s="5">
        <v>1.4517114599999998</v>
      </c>
      <c r="R214" s="5">
        <v>0.0</v>
      </c>
      <c r="S214" s="5">
        <v>0.0</v>
      </c>
      <c r="T214" s="5">
        <v>0.76193798</v>
      </c>
      <c r="U214" s="5">
        <v>0.0</v>
      </c>
    </row>
    <row r="215" outlineLevel="1">
      <c r="B215" s="0" t="inlineStr">
        <is>
          <t xml:space="preserve">L3HARRIS TECHNOLOGIES, INC</t>
        </is>
      </c>
      <c r="C215" s="0" t="inlineStr">
        <is>
          <t xml:space="preserve">QV38GMJUBJQ3</t>
        </is>
      </c>
      <c r="D215" s="0" t="inlineStr">
        <is>
          <t xml:space="preserve">USA</t>
        </is>
      </c>
      <c r="E215" s="0" t="inlineStr">
        <is>
          <t xml:space="preserve">3345</t>
        </is>
      </c>
      <c r="F215" s="0" t="inlineStr">
        <is>
          <t xml:space="preserve">Search, Detection, Navigation, Guidance, Aeronautical, and Nautical System and Instrument Manufacturing</t>
        </is>
      </c>
      <c r="G215" s="5">
        <v>3.12262148</v>
      </c>
      <c r="H215" s="0" t="inlineStr">
        <is>
          <t xml:space="preserve">supplier</t>
        </is>
      </c>
      <c r="I215" s="0" t="inlineStr">
        <is>
          <t xml:space="preserve">unbucketed</t>
        </is>
      </c>
      <c r="J215" s="0" t="inlineStr">
        <is>
          <t xml:space="preserve">vendor-override</t>
        </is>
      </c>
      <c r="K215" s="5">
        <v>0</v>
      </c>
      <c r="L215" s="5">
        <v>0</v>
      </c>
      <c r="M215" s="5">
        <v>3.12262148</v>
      </c>
      <c r="N215" s="5">
        <v>0.0</v>
      </c>
      <c r="O215" s="5">
        <v>0.0</v>
      </c>
      <c r="P215" s="5">
        <v>0.0</v>
      </c>
      <c r="Q215" s="5">
        <v>3.12262148</v>
      </c>
      <c r="R215" s="5">
        <v>0.0</v>
      </c>
      <c r="S215" s="5">
        <v>0.0</v>
      </c>
      <c r="T215" s="5">
        <v>0.0</v>
      </c>
      <c r="U215" s="5">
        <v>0.0</v>
      </c>
    </row>
    <row r="216" outlineLevel="1">
      <c r="B216" s="0" t="inlineStr">
        <is>
          <t xml:space="preserve">CARLTON NATIONAL RESOURCES INC</t>
        </is>
      </c>
      <c r="C216" s="0" t="inlineStr">
        <is>
          <t xml:space="preserve">M98JCJ2U7RD8</t>
        </is>
      </c>
      <c r="D216" s="0" t="inlineStr">
        <is>
          <t xml:space="preserve">USA</t>
        </is>
      </c>
      <c r="E216" s="0" t="inlineStr">
        <is>
          <t xml:space="preserve">5413</t>
        </is>
      </c>
      <c r="F216" s="0" t="inlineStr">
        <is>
          <t xml:space="preserve">Engineering Services</t>
        </is>
      </c>
      <c r="G216" s="5">
        <v>3.021799620000001</v>
      </c>
      <c r="H216" s="0" t="inlineStr">
        <is>
          <t xml:space="preserve">service</t>
        </is>
      </c>
      <c r="I216" s="0" t="inlineStr">
        <is>
          <t xml:space="preserve">-</t>
        </is>
      </c>
      <c r="J216" s="0" t="inlineStr">
        <is>
          <t xml:space="preserve">service NAICS</t>
        </is>
      </c>
      <c r="K216" s="5">
        <v>0</v>
      </c>
      <c r="L216" s="5">
        <v>0</v>
      </c>
      <c r="M216" s="5">
        <v>3.021799620000001</v>
      </c>
      <c r="N216" s="5">
        <v>0.0</v>
      </c>
      <c r="O216" s="5">
        <v>0.0</v>
      </c>
      <c r="P216" s="5">
        <v>0.05576</v>
      </c>
      <c r="Q216" s="5">
        <v>0.0</v>
      </c>
      <c r="R216" s="5">
        <v>1.2090014400000002</v>
      </c>
      <c r="S216" s="5">
        <v>1.0443106799999997</v>
      </c>
      <c r="T216" s="5">
        <v>0.7127275000000001</v>
      </c>
      <c r="U216" s="5">
        <v>0.0</v>
      </c>
    </row>
    <row r="217" outlineLevel="1">
      <c r="B217" s="0" t="inlineStr">
        <is>
          <t xml:space="preserve">B N L INDUSTRIES INC</t>
        </is>
      </c>
      <c r="C217" s="0" t="inlineStr">
        <is>
          <t xml:space="preserve">PJRYS7EFXQD9</t>
        </is>
      </c>
      <c r="D217" s="0" t="inlineStr">
        <is>
          <t xml:space="preserve">USA</t>
        </is>
      </c>
      <c r="E217" s="0" t="inlineStr">
        <is>
          <t xml:space="preserve">3329</t>
        </is>
      </c>
      <c r="F217" s="0" t="inlineStr">
        <is>
          <t xml:space="preserve">Industrial Valve Manufacturing</t>
        </is>
      </c>
      <c r="G217" s="5">
        <v>2.968708699999999</v>
      </c>
      <c r="H217" s="0" t="inlineStr">
        <is>
          <t xml:space="preserve">supplier</t>
        </is>
      </c>
      <c r="I217" s="0" t="inlineStr">
        <is>
          <t xml:space="preserve">piping</t>
        </is>
      </c>
      <c r="J217" s="0" t="inlineStr">
        <is>
          <t xml:space="preserve">naics4</t>
        </is>
      </c>
      <c r="K217" s="5">
        <v>0</v>
      </c>
      <c r="L217" s="5">
        <v>0</v>
      </c>
      <c r="M217" s="5">
        <v>2.968708699999999</v>
      </c>
      <c r="N217" s="5">
        <v>0.0</v>
      </c>
      <c r="O217" s="5">
        <v>0.0</v>
      </c>
      <c r="P217" s="5">
        <v>0.12317699</v>
      </c>
      <c r="Q217" s="5">
        <v>0.0</v>
      </c>
      <c r="R217" s="5">
        <v>0.228712</v>
      </c>
      <c r="S217" s="5">
        <v>0.523154</v>
      </c>
      <c r="T217" s="5">
        <v>0.695457</v>
      </c>
      <c r="U217" s="5">
        <v>1.39820871</v>
      </c>
    </row>
    <row r="218" outlineLevel="1">
      <c r="B218" s="0" t="inlineStr">
        <is>
          <t xml:space="preserve">TRANSDIGM GROUP INCORPORATED</t>
        </is>
      </c>
      <c r="C218" s="0" t="inlineStr">
        <is>
          <t xml:space="preserve">ZXNYWJ1KLDL9</t>
        </is>
      </c>
      <c r="D218" s="0" t="inlineStr">
        <is>
          <t xml:space="preserve">-</t>
        </is>
      </c>
      <c r="E218" s="0" t="inlineStr">
        <is>
          <t xml:space="preserve">-</t>
        </is>
      </c>
      <c r="F218" s="0" t="inlineStr">
        <is>
          <t xml:space="preserve">-</t>
        </is>
      </c>
      <c r="G218" s="5">
        <v>2.909896</v>
      </c>
      <c r="H218" s="0" t="inlineStr">
        <is>
          <t xml:space="preserve">supplier</t>
        </is>
      </c>
      <c r="I218" s="0" t="inlineStr">
        <is>
          <t xml:space="preserve">unbucketed</t>
        </is>
      </c>
      <c r="J218" s="0" t="inlineStr">
        <is>
          <t xml:space="preserve">residual</t>
        </is>
      </c>
      <c r="K218" s="5">
        <v>0</v>
      </c>
      <c r="L218" s="5">
        <v>0</v>
      </c>
      <c r="M218" s="5">
        <v>2.909896</v>
      </c>
      <c r="N218" s="5">
        <v>0.0</v>
      </c>
      <c r="O218" s="5">
        <v>0.0</v>
      </c>
      <c r="P218" s="5">
        <v>0.0</v>
      </c>
      <c r="Q218" s="5">
        <v>0.0</v>
      </c>
      <c r="R218" s="5">
        <v>0.0</v>
      </c>
      <c r="S218" s="5">
        <v>0.0</v>
      </c>
      <c r="T218" s="5">
        <v>0.0</v>
      </c>
      <c r="U218" s="5">
        <v>0.0</v>
      </c>
    </row>
    <row r="219" outlineLevel="1">
      <c r="B219" s="0" t="inlineStr">
        <is>
          <t xml:space="preserve">BARBER-NICHOLS, LLC</t>
        </is>
      </c>
      <c r="C219" s="0" t="inlineStr">
        <is>
          <t xml:space="preserve">K4GJKMQD4961</t>
        </is>
      </c>
      <c r="D219" s="0" t="inlineStr">
        <is>
          <t xml:space="preserve">-</t>
        </is>
      </c>
      <c r="E219" s="0" t="inlineStr">
        <is>
          <t xml:space="preserve">-</t>
        </is>
      </c>
      <c r="F219" s="0" t="inlineStr">
        <is>
          <t xml:space="preserve">-</t>
        </is>
      </c>
      <c r="G219" s="5">
        <v>2.899802</v>
      </c>
      <c r="H219" s="0" t="inlineStr">
        <is>
          <t xml:space="preserve">supplier</t>
        </is>
      </c>
      <c r="I219" s="0" t="inlineStr">
        <is>
          <t xml:space="preserve">unbucketed</t>
        </is>
      </c>
      <c r="J219" s="0" t="inlineStr">
        <is>
          <t xml:space="preserve">residual</t>
        </is>
      </c>
      <c r="K219" s="5">
        <v>0</v>
      </c>
      <c r="L219" s="5">
        <v>0</v>
      </c>
      <c r="M219" s="5">
        <v>2.899802</v>
      </c>
      <c r="N219" s="5">
        <v>0.0</v>
      </c>
      <c r="O219" s="5">
        <v>0.0</v>
      </c>
      <c r="P219" s="5">
        <v>0.0</v>
      </c>
      <c r="Q219" s="5">
        <v>0.0</v>
      </c>
      <c r="R219" s="5">
        <v>0.0</v>
      </c>
      <c r="S219" s="5">
        <v>2.899802</v>
      </c>
      <c r="T219" s="5">
        <v>0.0</v>
      </c>
      <c r="U219" s="5">
        <v>0.0</v>
      </c>
    </row>
    <row r="220" outlineLevel="1">
      <c r="B220" s="0" t="inlineStr">
        <is>
          <t xml:space="preserve">ROMAC INDUSTRIES, INC.</t>
        </is>
      </c>
      <c r="C220" s="0" t="inlineStr">
        <is>
          <t xml:space="preserve">N16ET1YJ6QZ3</t>
        </is>
      </c>
      <c r="D220" s="0" t="inlineStr">
        <is>
          <t xml:space="preserve">-</t>
        </is>
      </c>
      <c r="E220" s="0" t="inlineStr">
        <is>
          <t xml:space="preserve">-</t>
        </is>
      </c>
      <c r="F220" s="0" t="inlineStr">
        <is>
          <t xml:space="preserve">-</t>
        </is>
      </c>
      <c r="G220" s="5">
        <v>2.8918076600000013</v>
      </c>
      <c r="H220" s="0" t="inlineStr">
        <is>
          <t xml:space="preserve">supplier</t>
        </is>
      </c>
      <c r="I220" s="0" t="inlineStr">
        <is>
          <t xml:space="preserve">unbucketed</t>
        </is>
      </c>
      <c r="J220" s="0" t="inlineStr">
        <is>
          <t xml:space="preserve">residual</t>
        </is>
      </c>
      <c r="K220" s="5">
        <v>0</v>
      </c>
      <c r="L220" s="5">
        <v>0</v>
      </c>
      <c r="M220" s="5">
        <v>2.8918076600000013</v>
      </c>
      <c r="N220" s="5">
        <v>0.14630373</v>
      </c>
      <c r="O220" s="5">
        <v>0.6323713</v>
      </c>
      <c r="P220" s="5">
        <v>0.63114811</v>
      </c>
      <c r="Q220" s="5">
        <v>0.0</v>
      </c>
      <c r="R220" s="5">
        <v>0.20628144</v>
      </c>
      <c r="S220" s="5">
        <v>0.59113116</v>
      </c>
      <c r="T220" s="5">
        <v>0.49019256</v>
      </c>
      <c r="U220" s="5">
        <v>0.0</v>
      </c>
    </row>
    <row r="221" outlineLevel="1">
      <c r="B221" s="0" t="inlineStr">
        <is>
          <t xml:space="preserve">HANSOME ENERGY SYSTEMS, INC.</t>
        </is>
      </c>
      <c r="C221" s="0" t="inlineStr">
        <is>
          <t xml:space="preserve">UHXFGP3DCRK7</t>
        </is>
      </c>
      <c r="D221" s="0" t="inlineStr">
        <is>
          <t xml:space="preserve">-</t>
        </is>
      </c>
      <c r="E221" s="0" t="inlineStr">
        <is>
          <t xml:space="preserve">-</t>
        </is>
      </c>
      <c r="F221" s="0" t="inlineStr">
        <is>
          <t xml:space="preserve">-</t>
        </is>
      </c>
      <c r="G221" s="5">
        <v>2.879915</v>
      </c>
      <c r="H221" s="0" t="inlineStr">
        <is>
          <t xml:space="preserve">supplier</t>
        </is>
      </c>
      <c r="I221" s="0" t="inlineStr">
        <is>
          <t xml:space="preserve">hvac</t>
        </is>
      </c>
      <c r="J221" s="0" t="inlineStr">
        <is>
          <t xml:space="preserve">registry</t>
        </is>
      </c>
      <c r="K221" s="5">
        <v>0</v>
      </c>
      <c r="L221" s="5">
        <v>0</v>
      </c>
      <c r="M221" s="5">
        <v>2.879915</v>
      </c>
      <c r="N221" s="5">
        <v>0.0</v>
      </c>
      <c r="O221" s="5">
        <v>0.0</v>
      </c>
      <c r="P221" s="5">
        <v>0.0</v>
      </c>
      <c r="Q221" s="5">
        <v>0.0</v>
      </c>
      <c r="R221" s="5">
        <v>0.078415</v>
      </c>
      <c r="S221" s="5">
        <v>0.0</v>
      </c>
      <c r="T221" s="5">
        <v>0.0</v>
      </c>
      <c r="U221" s="5">
        <v>0.0</v>
      </c>
    </row>
    <row r="222" outlineLevel="1">
      <c r="B222" s="0" t="inlineStr">
        <is>
          <t xml:space="preserve">CARLTON NATIONAL RESOURCES, INC.</t>
        </is>
      </c>
      <c r="C222" s="0" t="inlineStr">
        <is>
          <t xml:space="preserve">M98JCJ2U7RD8</t>
        </is>
      </c>
      <c r="D222" s="0" t="inlineStr">
        <is>
          <t xml:space="preserve">USA</t>
        </is>
      </c>
      <c r="E222" s="0" t="inlineStr">
        <is>
          <t xml:space="preserve">5413</t>
        </is>
      </c>
      <c r="F222" s="0" t="inlineStr">
        <is>
          <t xml:space="preserve">Engineering Services</t>
        </is>
      </c>
      <c r="G222" s="5">
        <v>2.7010518400000003</v>
      </c>
      <c r="H222" s="0" t="inlineStr">
        <is>
          <t xml:space="preserve">service</t>
        </is>
      </c>
      <c r="I222" s="0" t="inlineStr">
        <is>
          <t xml:space="preserve">-</t>
        </is>
      </c>
      <c r="J222" s="0" t="inlineStr">
        <is>
          <t xml:space="preserve">service NAICS</t>
        </is>
      </c>
      <c r="K222" s="5">
        <v>0</v>
      </c>
      <c r="L222" s="5">
        <v>0</v>
      </c>
      <c r="M222" s="5">
        <v>2.7010518400000003</v>
      </c>
      <c r="N222" s="5">
        <v>0.0</v>
      </c>
      <c r="O222" s="5">
        <v>0.0</v>
      </c>
      <c r="P222" s="5">
        <v>0.0</v>
      </c>
      <c r="Q222" s="5">
        <v>0.0</v>
      </c>
      <c r="R222" s="5">
        <v>0.6499999999999999</v>
      </c>
      <c r="S222" s="5">
        <v>0.0</v>
      </c>
      <c r="T222" s="5">
        <v>0.0</v>
      </c>
      <c r="U222" s="5">
        <v>0.0</v>
      </c>
    </row>
    <row r="223" outlineLevel="1">
      <c r="B223" s="0" t="inlineStr">
        <is>
          <t xml:space="preserve">FLOWSERVE CORPORATION</t>
        </is>
      </c>
      <c r="C223" s="0" t="inlineStr">
        <is>
          <t xml:space="preserve">KXWXRYB3FBW3</t>
        </is>
      </c>
      <c r="D223" s="0" t="inlineStr">
        <is>
          <t xml:space="preserve">-</t>
        </is>
      </c>
      <c r="E223" s="0" t="inlineStr">
        <is>
          <t xml:space="preserve">-</t>
        </is>
      </c>
      <c r="F223" s="0" t="inlineStr">
        <is>
          <t xml:space="preserve">-</t>
        </is>
      </c>
      <c r="G223" s="5">
        <v>2.6885914</v>
      </c>
      <c r="H223" s="0" t="inlineStr">
        <is>
          <t xml:space="preserve">supplier</t>
        </is>
      </c>
      <c r="I223" s="0" t="inlineStr">
        <is>
          <t xml:space="preserve">unbucketed</t>
        </is>
      </c>
      <c r="J223" s="0" t="inlineStr">
        <is>
          <t xml:space="preserve">residual</t>
        </is>
      </c>
      <c r="K223" s="5">
        <v>0</v>
      </c>
      <c r="L223" s="5">
        <v>0</v>
      </c>
      <c r="M223" s="5">
        <v>2.6885914</v>
      </c>
      <c r="N223" s="5">
        <v>0.094132</v>
      </c>
      <c r="O223" s="5">
        <v>0.47065999999999997</v>
      </c>
      <c r="P223" s="5">
        <v>2.1237994</v>
      </c>
      <c r="Q223" s="5">
        <v>0.0</v>
      </c>
      <c r="R223" s="5">
        <v>0.0</v>
      </c>
      <c r="S223" s="5">
        <v>0.0</v>
      </c>
      <c r="T223" s="5">
        <v>0.0</v>
      </c>
      <c r="U223" s="5">
        <v>0.0</v>
      </c>
    </row>
    <row r="224" outlineLevel="1">
      <c r="B224" s="0" t="inlineStr">
        <is>
          <t xml:space="preserve">FLUID HANDLING LLC</t>
        </is>
      </c>
      <c r="C224" s="0" t="inlineStr">
        <is>
          <t xml:space="preserve">XJWLF38U74P3</t>
        </is>
      </c>
      <c r="D224" s="0" t="inlineStr">
        <is>
          <t xml:space="preserve">-</t>
        </is>
      </c>
      <c r="E224" s="0" t="inlineStr">
        <is>
          <t xml:space="preserve">-</t>
        </is>
      </c>
      <c r="F224" s="0" t="inlineStr">
        <is>
          <t xml:space="preserve">-</t>
        </is>
      </c>
      <c r="G224" s="5">
        <v>2.688544</v>
      </c>
      <c r="H224" s="0" t="inlineStr">
        <is>
          <t xml:space="preserve">supplier</t>
        </is>
      </c>
      <c r="I224" s="0" t="inlineStr">
        <is>
          <t xml:space="preserve">unbucketed</t>
        </is>
      </c>
      <c r="J224" s="0" t="inlineStr">
        <is>
          <t xml:space="preserve">residual</t>
        </is>
      </c>
      <c r="K224" s="5">
        <v>0</v>
      </c>
      <c r="L224" s="5">
        <v>0</v>
      </c>
      <c r="M224" s="5">
        <v>2.688544</v>
      </c>
      <c r="N224" s="5">
        <v>0.0</v>
      </c>
      <c r="O224" s="5">
        <v>0.0</v>
      </c>
      <c r="P224" s="5">
        <v>0.0</v>
      </c>
      <c r="Q224" s="5">
        <v>0.0</v>
      </c>
      <c r="R224" s="5">
        <v>0.0</v>
      </c>
      <c r="S224" s="5">
        <v>0.0</v>
      </c>
      <c r="T224" s="5">
        <v>0.0</v>
      </c>
      <c r="U224" s="5">
        <v>2.688544</v>
      </c>
    </row>
    <row r="225" outlineLevel="1">
      <c r="B225" s="0" t="inlineStr">
        <is>
          <t xml:space="preserve">TM INDUSTRIES, LLC</t>
        </is>
      </c>
      <c r="C225" s="0" t="inlineStr">
        <is>
          <t xml:space="preserve">JFHLZNJLWAN5</t>
        </is>
      </c>
      <c r="D225" s="0" t="inlineStr">
        <is>
          <t xml:space="preserve">-</t>
        </is>
      </c>
      <c r="E225" s="0" t="inlineStr">
        <is>
          <t xml:space="preserve">-</t>
        </is>
      </c>
      <c r="F225" s="0" t="inlineStr">
        <is>
          <t xml:space="preserve">-</t>
        </is>
      </c>
      <c r="G225" s="5">
        <v>2.647169850000001</v>
      </c>
      <c r="H225" s="0" t="inlineStr">
        <is>
          <t xml:space="preserve">supplier</t>
        </is>
      </c>
      <c r="I225" s="0" t="inlineStr">
        <is>
          <t xml:space="preserve">unbucketed</t>
        </is>
      </c>
      <c r="J225" s="0" t="inlineStr">
        <is>
          <t xml:space="preserve">residual</t>
        </is>
      </c>
      <c r="K225" s="5">
        <v>0</v>
      </c>
      <c r="L225" s="5">
        <v>0</v>
      </c>
      <c r="M225" s="5">
        <v>2.647169850000001</v>
      </c>
      <c r="N225" s="5">
        <v>0.276772</v>
      </c>
      <c r="O225" s="5">
        <v>0.90173877</v>
      </c>
      <c r="P225" s="5">
        <v>0.41871200000000003</v>
      </c>
      <c r="Q225" s="5">
        <v>0.41876</v>
      </c>
      <c r="R225" s="5">
        <v>0.0</v>
      </c>
      <c r="S225" s="5">
        <v>0.40450852000000004</v>
      </c>
      <c r="T225" s="5">
        <v>0.22667856</v>
      </c>
      <c r="U225" s="5">
        <v>0.0</v>
      </c>
    </row>
    <row r="226" outlineLevel="1">
      <c r="B226" s="0" t="inlineStr">
        <is>
          <t xml:space="preserve">PENNSYLVANIA MACHINE WORKS, INC.</t>
        </is>
      </c>
      <c r="C226" s="0" t="inlineStr">
        <is>
          <t xml:space="preserve">CN4DJZSKM3Y3</t>
        </is>
      </c>
      <c r="D226" s="0" t="inlineStr">
        <is>
          <t xml:space="preserve">-</t>
        </is>
      </c>
      <c r="E226" s="0" t="inlineStr">
        <is>
          <t xml:space="preserve">-</t>
        </is>
      </c>
      <c r="F226" s="0" t="inlineStr">
        <is>
          <t xml:space="preserve">-</t>
        </is>
      </c>
      <c r="G226" s="5">
        <v>2.6305438100000003</v>
      </c>
      <c r="H226" s="0" t="inlineStr">
        <is>
          <t xml:space="preserve">supplier</t>
        </is>
      </c>
      <c r="I226" s="0" t="inlineStr">
        <is>
          <t xml:space="preserve">unbucketed</t>
        </is>
      </c>
      <c r="J226" s="0" t="inlineStr">
        <is>
          <t xml:space="preserve">residual</t>
        </is>
      </c>
      <c r="K226" s="5">
        <v>0</v>
      </c>
      <c r="L226" s="5">
        <v>0</v>
      </c>
      <c r="M226" s="5">
        <v>2.6305438100000003</v>
      </c>
      <c r="N226" s="5">
        <v>0.41225978999999996</v>
      </c>
      <c r="O226" s="5">
        <v>0.0</v>
      </c>
      <c r="P226" s="5">
        <v>0.0</v>
      </c>
      <c r="Q226" s="5">
        <v>0.0</v>
      </c>
      <c r="R226" s="5">
        <v>0.5839810000000001</v>
      </c>
      <c r="S226" s="5">
        <v>0.0</v>
      </c>
      <c r="T226" s="5">
        <v>0.0</v>
      </c>
      <c r="U226" s="5">
        <v>0.0</v>
      </c>
    </row>
    <row r="227" outlineLevel="1">
      <c r="B227" s="0" t="inlineStr">
        <is>
          <t xml:space="preserve">CAMERON TECHNOLOGIES US, INC.</t>
        </is>
      </c>
      <c r="C227" s="0" t="inlineStr">
        <is>
          <t xml:space="preserve">RLYHS582JDW8</t>
        </is>
      </c>
      <c r="D227" s="0" t="inlineStr">
        <is>
          <t xml:space="preserve">-</t>
        </is>
      </c>
      <c r="E227" s="0" t="inlineStr">
        <is>
          <t xml:space="preserve">-</t>
        </is>
      </c>
      <c r="F227" s="0" t="inlineStr">
        <is>
          <t xml:space="preserve">-</t>
        </is>
      </c>
      <c r="G227" s="5">
        <v>2.5996637899999997</v>
      </c>
      <c r="H227" s="0" t="inlineStr">
        <is>
          <t xml:space="preserve">supplier</t>
        </is>
      </c>
      <c r="I227" s="0" t="inlineStr">
        <is>
          <t xml:space="preserve">unbucketed</t>
        </is>
      </c>
      <c r="J227" s="0" t="inlineStr">
        <is>
          <t xml:space="preserve">residual</t>
        </is>
      </c>
      <c r="K227" s="5">
        <v>0</v>
      </c>
      <c r="L227" s="5">
        <v>0</v>
      </c>
      <c r="M227" s="5">
        <v>2.5996637899999997</v>
      </c>
      <c r="N227" s="5">
        <v>0.0</v>
      </c>
      <c r="O227" s="5">
        <v>0.0</v>
      </c>
      <c r="P227" s="5">
        <v>0.0</v>
      </c>
      <c r="Q227" s="5">
        <v>0.0</v>
      </c>
      <c r="R227" s="5">
        <v>0.46343479</v>
      </c>
      <c r="S227" s="5">
        <v>1.059153</v>
      </c>
      <c r="T227" s="5">
        <v>0.903121</v>
      </c>
      <c r="U227" s="5">
        <v>0.0</v>
      </c>
    </row>
    <row r="228" outlineLevel="1">
      <c r="B228" s="0" t="inlineStr">
        <is>
          <t xml:space="preserve">GUILL TOOL &amp; ENGINEERING CO, INC.</t>
        </is>
      </c>
      <c r="C228" s="0" t="inlineStr">
        <is>
          <t xml:space="preserve">NVPEBL51CSF8</t>
        </is>
      </c>
      <c r="D228" s="0" t="inlineStr">
        <is>
          <t xml:space="preserve">USA</t>
        </is>
      </c>
      <c r="E228" s="0" t="inlineStr">
        <is>
          <t xml:space="preserve">3327</t>
        </is>
      </c>
      <c r="F228" s="0" t="inlineStr">
        <is>
          <t xml:space="preserve">Machine Shops</t>
        </is>
      </c>
      <c r="G228" s="5">
        <v>2.5596863199999995</v>
      </c>
      <c r="H228" s="0" t="inlineStr">
        <is>
          <t xml:space="preserve">supplier</t>
        </is>
      </c>
      <c r="I228" s="0" t="inlineStr">
        <is>
          <t xml:space="preserve">machining</t>
        </is>
      </c>
      <c r="J228" s="0" t="inlineStr">
        <is>
          <t xml:space="preserve">naics4</t>
        </is>
      </c>
      <c r="K228" s="5">
        <v>0</v>
      </c>
      <c r="L228" s="5">
        <v>0</v>
      </c>
      <c r="M228" s="5">
        <v>2.5596863199999995</v>
      </c>
      <c r="N228" s="5">
        <v>0.18642699999999998</v>
      </c>
      <c r="O228" s="5">
        <v>0.0</v>
      </c>
      <c r="P228" s="5">
        <v>0.0</v>
      </c>
      <c r="Q228" s="5">
        <v>0.0</v>
      </c>
      <c r="R228" s="5">
        <v>0.5321600000000001</v>
      </c>
      <c r="S228" s="5">
        <v>0.0</v>
      </c>
      <c r="T228" s="5">
        <v>0.0</v>
      </c>
      <c r="U228" s="5">
        <v>0.0</v>
      </c>
    </row>
    <row r="229" outlineLevel="1">
      <c r="B229" s="0" t="inlineStr">
        <is>
          <t xml:space="preserve">EVONIK CORPORATION</t>
        </is>
      </c>
      <c r="C229" s="0" t="inlineStr">
        <is>
          <t xml:space="preserve">KZGEJ29ND6K3</t>
        </is>
      </c>
      <c r="D229" s="0" t="inlineStr">
        <is>
          <t xml:space="preserve">-</t>
        </is>
      </c>
      <c r="E229" s="0" t="inlineStr">
        <is>
          <t xml:space="preserve">-</t>
        </is>
      </c>
      <c r="F229" s="0" t="inlineStr">
        <is>
          <t xml:space="preserve">-</t>
        </is>
      </c>
      <c r="G229" s="5">
        <v>2.5503668999999998</v>
      </c>
      <c r="H229" s="0" t="inlineStr">
        <is>
          <t xml:space="preserve">supplier</t>
        </is>
      </c>
      <c r="I229" s="0" t="inlineStr">
        <is>
          <t xml:space="preserve">unbucketed</t>
        </is>
      </c>
      <c r="J229" s="0" t="inlineStr">
        <is>
          <t xml:space="preserve">residual</t>
        </is>
      </c>
      <c r="K229" s="5">
        <v>0</v>
      </c>
      <c r="L229" s="5">
        <v>0</v>
      </c>
      <c r="M229" s="5">
        <v>2.5503668999999998</v>
      </c>
      <c r="N229" s="5">
        <v>0.017004599999999998</v>
      </c>
      <c r="O229" s="5">
        <v>1.116542</v>
      </c>
      <c r="P229" s="5">
        <v>0.9931906000000001</v>
      </c>
      <c r="Q229" s="5">
        <v>0.10044</v>
      </c>
      <c r="R229" s="5">
        <v>0.0</v>
      </c>
      <c r="S229" s="5">
        <v>0.0</v>
      </c>
      <c r="T229" s="5">
        <v>0.0</v>
      </c>
      <c r="U229" s="5">
        <v>0.0</v>
      </c>
    </row>
    <row r="230" outlineLevel="1">
      <c r="B230" s="0" t="inlineStr">
        <is>
          <t xml:space="preserve">UNIFIED2 GLOBAL PACKAGING GROUP, LLC</t>
        </is>
      </c>
      <c r="C230" s="0" t="inlineStr">
        <is>
          <t xml:space="preserve">XBHNYVTCDQH8</t>
        </is>
      </c>
      <c r="D230" s="0" t="inlineStr">
        <is>
          <t xml:space="preserve">-</t>
        </is>
      </c>
      <c r="E230" s="0" t="inlineStr">
        <is>
          <t xml:space="preserve">-</t>
        </is>
      </c>
      <c r="F230" s="0" t="inlineStr">
        <is>
          <t xml:space="preserve">-</t>
        </is>
      </c>
      <c r="G230" s="5">
        <v>2.508</v>
      </c>
      <c r="H230" s="0" t="inlineStr">
        <is>
          <t xml:space="preserve">supplier</t>
        </is>
      </c>
      <c r="I230" s="0" t="inlineStr">
        <is>
          <t xml:space="preserve">unbucketed</t>
        </is>
      </c>
      <c r="J230" s="0" t="inlineStr">
        <is>
          <t xml:space="preserve">residual</t>
        </is>
      </c>
      <c r="K230" s="5">
        <v>0</v>
      </c>
      <c r="L230" s="5">
        <v>0</v>
      </c>
      <c r="M230" s="5">
        <v>2.508</v>
      </c>
      <c r="N230" s="5">
        <v>0.0</v>
      </c>
      <c r="O230" s="5">
        <v>0.0</v>
      </c>
      <c r="P230" s="5">
        <v>0.0</v>
      </c>
      <c r="Q230" s="5">
        <v>0.0</v>
      </c>
      <c r="R230" s="5">
        <v>0.5</v>
      </c>
      <c r="S230" s="5">
        <v>0.0</v>
      </c>
      <c r="T230" s="5">
        <v>0.0</v>
      </c>
      <c r="U230" s="5">
        <v>0.0</v>
      </c>
    </row>
    <row r="231" outlineLevel="1">
      <c r="B231" s="0" t="inlineStr">
        <is>
          <t xml:space="preserve">W. &amp; O. SUPPLY, INC.</t>
        </is>
      </c>
      <c r="C231" s="0" t="inlineStr">
        <is>
          <t xml:space="preserve">NG7TY7BYU9R7</t>
        </is>
      </c>
      <c r="D231" s="0" t="inlineStr">
        <is>
          <t xml:space="preserve">-</t>
        </is>
      </c>
      <c r="E231" s="0" t="inlineStr">
        <is>
          <t xml:space="preserve">-</t>
        </is>
      </c>
      <c r="F231" s="0" t="inlineStr">
        <is>
          <t xml:space="preserve">-</t>
        </is>
      </c>
      <c r="G231" s="5">
        <v>2.5031950000000003</v>
      </c>
      <c r="H231" s="0" t="inlineStr">
        <is>
          <t xml:space="preserve">supplier</t>
        </is>
      </c>
      <c r="I231" s="0" t="inlineStr">
        <is>
          <t xml:space="preserve">piping</t>
        </is>
      </c>
      <c r="J231" s="0" t="inlineStr">
        <is>
          <t xml:space="preserve">registry</t>
        </is>
      </c>
      <c r="K231" s="5">
        <v>0</v>
      </c>
      <c r="L231" s="5">
        <v>0</v>
      </c>
      <c r="M231" s="5">
        <v>2.5031950000000003</v>
      </c>
      <c r="N231" s="5">
        <v>0.090325</v>
      </c>
      <c r="O231" s="5">
        <v>0.0</v>
      </c>
      <c r="P231" s="5">
        <v>0.3906299999999999</v>
      </c>
      <c r="Q231" s="5">
        <v>0.24966000000000002</v>
      </c>
      <c r="R231" s="5">
        <v>0.071498</v>
      </c>
      <c r="S231" s="5">
        <v>0.1606</v>
      </c>
      <c r="T231" s="5">
        <v>1.2327469999999998</v>
      </c>
      <c r="U231" s="5">
        <v>0.22033500000000003</v>
      </c>
    </row>
    <row r="232" outlineLevel="1">
      <c r="B232" s="0" t="inlineStr">
        <is>
          <t xml:space="preserve">CUSTOM HYDRAULIC &amp; MACHINE, INC.</t>
        </is>
      </c>
      <c r="C232" s="0" t="inlineStr">
        <is>
          <t xml:space="preserve">HJUAXSF12JR6</t>
        </is>
      </c>
      <c r="D232" s="0" t="inlineStr">
        <is>
          <t xml:space="preserve">-</t>
        </is>
      </c>
      <c r="E232" s="0" t="inlineStr">
        <is>
          <t xml:space="preserve">-</t>
        </is>
      </c>
      <c r="F232" s="0" t="inlineStr">
        <is>
          <t xml:space="preserve">-</t>
        </is>
      </c>
      <c r="G232" s="5">
        <v>2.4911602799999994</v>
      </c>
      <c r="H232" s="0" t="inlineStr">
        <is>
          <t xml:space="preserve">supplier</t>
        </is>
      </c>
      <c r="I232" s="0" t="inlineStr">
        <is>
          <t xml:space="preserve">unbucketed</t>
        </is>
      </c>
      <c r="J232" s="0" t="inlineStr">
        <is>
          <t xml:space="preserve">residual</t>
        </is>
      </c>
      <c r="K232" s="5">
        <v>0</v>
      </c>
      <c r="L232" s="5">
        <v>0</v>
      </c>
      <c r="M232" s="5">
        <v>2.4911602799999994</v>
      </c>
      <c r="N232" s="5">
        <v>0.07997535</v>
      </c>
      <c r="O232" s="5">
        <v>0.2082128</v>
      </c>
      <c r="P232" s="5">
        <v>0.35612642</v>
      </c>
      <c r="Q232" s="5">
        <v>0.28860280000000005</v>
      </c>
      <c r="R232" s="5">
        <v>0.129851</v>
      </c>
      <c r="S232" s="5">
        <v>0.1088645</v>
      </c>
      <c r="T232" s="5">
        <v>0.44983325</v>
      </c>
      <c r="U232" s="5">
        <v>0.2914906</v>
      </c>
    </row>
    <row r="233" outlineLevel="1">
      <c r="B233" s="0" t="inlineStr">
        <is>
          <t xml:space="preserve">NORTHROP GRUMMAN CORPORATION</t>
        </is>
      </c>
      <c r="C233" s="0" t="inlineStr">
        <is>
          <t xml:space="preserve">HDM5WRBME2K7</t>
        </is>
      </c>
      <c r="D233" s="0" t="inlineStr">
        <is>
          <t xml:space="preserve">USA</t>
        </is>
      </c>
      <c r="E233" s="0" t="inlineStr">
        <is>
          <t xml:space="preserve">3364</t>
        </is>
      </c>
      <c r="F233" s="0" t="inlineStr">
        <is>
          <t xml:space="preserve">Other Aircraft Parts and Auxiliary Equipment Manufacturing</t>
        </is>
      </c>
      <c r="G233" s="5">
        <v>2.485345</v>
      </c>
      <c r="H233" s="0" t="inlineStr">
        <is>
          <t xml:space="preserve">supplier</t>
        </is>
      </c>
      <c r="I233" s="0" t="inlineStr">
        <is>
          <t xml:space="preserve">unbucketed</t>
        </is>
      </c>
      <c r="J233" s="0" t="inlineStr">
        <is>
          <t xml:space="preserve">residual</t>
        </is>
      </c>
      <c r="K233" s="5">
        <v>0</v>
      </c>
      <c r="L233" s="5">
        <v>0</v>
      </c>
      <c r="M233" s="5">
        <v>2.485345</v>
      </c>
      <c r="N233" s="5">
        <v>0.0</v>
      </c>
      <c r="O233" s="5">
        <v>0.0</v>
      </c>
      <c r="P233" s="5">
        <v>0.0</v>
      </c>
      <c r="Q233" s="5">
        <v>0.0</v>
      </c>
      <c r="R233" s="5">
        <v>0.0</v>
      </c>
      <c r="S233" s="5">
        <v>0.0</v>
      </c>
      <c r="T233" s="5">
        <v>0.0</v>
      </c>
      <c r="U233" s="5">
        <v>0.0</v>
      </c>
    </row>
    <row r="234" outlineLevel="1">
      <c r="B234" s="0" t="inlineStr">
        <is>
          <t xml:space="preserve">ANIXTER, INC</t>
        </is>
      </c>
      <c r="C234" s="0" t="inlineStr">
        <is>
          <t xml:space="preserve">D6GJGD1KMH25</t>
        </is>
      </c>
      <c r="D234" s="0" t="inlineStr">
        <is>
          <t xml:space="preserve">-</t>
        </is>
      </c>
      <c r="E234" s="0" t="inlineStr">
        <is>
          <t xml:space="preserve">-</t>
        </is>
      </c>
      <c r="F234" s="0" t="inlineStr">
        <is>
          <t xml:space="preserve">-</t>
        </is>
      </c>
      <c r="G234" s="5">
        <v>2.4610030000000003</v>
      </c>
      <c r="H234" s="0" t="inlineStr">
        <is>
          <t xml:space="preserve">supplier</t>
        </is>
      </c>
      <c r="I234" s="0" t="inlineStr">
        <is>
          <t xml:space="preserve">unbucketed</t>
        </is>
      </c>
      <c r="J234" s="0" t="inlineStr">
        <is>
          <t xml:space="preserve">residual</t>
        </is>
      </c>
      <c r="K234" s="5">
        <v>0</v>
      </c>
      <c r="L234" s="5">
        <v>0</v>
      </c>
      <c r="M234" s="5">
        <v>2.4610030000000003</v>
      </c>
      <c r="N234" s="5">
        <v>0.0</v>
      </c>
      <c r="O234" s="5">
        <v>0.0</v>
      </c>
      <c r="P234" s="5">
        <v>0.54696</v>
      </c>
      <c r="Q234" s="5">
        <v>1.6957000000000002</v>
      </c>
      <c r="R234" s="5">
        <v>0.0</v>
      </c>
      <c r="S234" s="5">
        <v>0.0</v>
      </c>
      <c r="T234" s="5">
        <v>0.08976</v>
      </c>
      <c r="U234" s="5">
        <v>0.128583</v>
      </c>
    </row>
    <row r="235" outlineLevel="1">
      <c r="B235" s="0" t="inlineStr">
        <is>
          <t xml:space="preserve">TAD PGS, INC.</t>
        </is>
      </c>
      <c r="C235" s="0" t="inlineStr">
        <is>
          <t xml:space="preserve">JL9NMM3YALQ5</t>
        </is>
      </c>
      <c r="D235" s="0" t="inlineStr">
        <is>
          <t xml:space="preserve">-</t>
        </is>
      </c>
      <c r="E235" s="0" t="inlineStr">
        <is>
          <t xml:space="preserve">-</t>
        </is>
      </c>
      <c r="F235" s="0" t="inlineStr">
        <is>
          <t xml:space="preserve">-</t>
        </is>
      </c>
      <c r="G235" s="5">
        <v>2.4365126400000006</v>
      </c>
      <c r="H235" s="0" t="inlineStr">
        <is>
          <t xml:space="preserve">supplier</t>
        </is>
      </c>
      <c r="I235" s="0" t="inlineStr">
        <is>
          <t xml:space="preserve">unbucketed</t>
        </is>
      </c>
      <c r="J235" s="0" t="inlineStr">
        <is>
          <t xml:space="preserve">residual</t>
        </is>
      </c>
      <c r="K235" s="5">
        <v>0</v>
      </c>
      <c r="L235" s="5">
        <v>0</v>
      </c>
      <c r="M235" s="5">
        <v>2.4365126400000006</v>
      </c>
      <c r="N235" s="5">
        <v>0.0</v>
      </c>
      <c r="O235" s="5">
        <v>0.0</v>
      </c>
      <c r="P235" s="5">
        <v>0.0</v>
      </c>
      <c r="Q235" s="5">
        <v>0.0</v>
      </c>
      <c r="R235" s="5">
        <v>1.673</v>
      </c>
      <c r="S235" s="5">
        <v>0.9151831399999999</v>
      </c>
      <c r="T235" s="5">
        <v>-0.1516705</v>
      </c>
      <c r="U235" s="5">
        <v>0.0</v>
      </c>
    </row>
    <row r="236" outlineLevel="1">
      <c r="B236" s="0" t="inlineStr">
        <is>
          <t xml:space="preserve">THE ENTWISTLE COMPANY LLC</t>
        </is>
      </c>
      <c r="C236" s="0" t="inlineStr">
        <is>
          <t xml:space="preserve">JRUCKDSNXKD5</t>
        </is>
      </c>
      <c r="D236" s="0" t="inlineStr">
        <is>
          <t xml:space="preserve">-</t>
        </is>
      </c>
      <c r="E236" s="0" t="inlineStr">
        <is>
          <t xml:space="preserve">-</t>
        </is>
      </c>
      <c r="F236" s="0" t="inlineStr">
        <is>
          <t xml:space="preserve">-</t>
        </is>
      </c>
      <c r="G236" s="5">
        <v>2.39346649</v>
      </c>
      <c r="H236" s="0" t="inlineStr">
        <is>
          <t xml:space="preserve">supplier</t>
        </is>
      </c>
      <c r="I236" s="0" t="inlineStr">
        <is>
          <t xml:space="preserve">piping</t>
        </is>
      </c>
      <c r="J236" s="0" t="inlineStr">
        <is>
          <t xml:space="preserve">registry</t>
        </is>
      </c>
      <c r="K236" s="5">
        <v>0</v>
      </c>
      <c r="L236" s="5">
        <v>0</v>
      </c>
      <c r="M236" s="5">
        <v>2.39346649</v>
      </c>
      <c r="N236" s="5">
        <v>0.361775</v>
      </c>
      <c r="O236" s="5">
        <v>1.7219926799999998</v>
      </c>
      <c r="P236" s="5">
        <v>0.1996</v>
      </c>
      <c r="Q236" s="5">
        <v>0.0</v>
      </c>
      <c r="R236" s="5">
        <v>0.0</v>
      </c>
      <c r="S236" s="5">
        <v>0.11009880999999999</v>
      </c>
      <c r="T236" s="5">
        <v>0.0</v>
      </c>
      <c r="U236" s="5">
        <v>0.0</v>
      </c>
    </row>
    <row r="237" outlineLevel="1">
      <c r="B237" s="0" t="inlineStr">
        <is>
          <t xml:space="preserve">CLEVELAND-CLIFFS PLATE LLC</t>
        </is>
      </c>
      <c r="C237" s="0" t="inlineStr">
        <is>
          <t xml:space="preserve">X3DBJSMT83N5</t>
        </is>
      </c>
      <c r="D237" s="0" t="inlineStr">
        <is>
          <t xml:space="preserve">-</t>
        </is>
      </c>
      <c r="E237" s="0" t="inlineStr">
        <is>
          <t xml:space="preserve">-</t>
        </is>
      </c>
      <c r="F237" s="0" t="inlineStr">
        <is>
          <t xml:space="preserve">-</t>
        </is>
      </c>
      <c r="G237" s="5">
        <v>2.336405960000001</v>
      </c>
      <c r="H237" s="0" t="inlineStr">
        <is>
          <t xml:space="preserve">supplier</t>
        </is>
      </c>
      <c r="I237" s="0" t="inlineStr">
        <is>
          <t xml:space="preserve">structural</t>
        </is>
      </c>
      <c r="J237" s="0" t="inlineStr">
        <is>
          <t xml:space="preserve">registry</t>
        </is>
      </c>
      <c r="K237" s="5">
        <v>0</v>
      </c>
      <c r="L237" s="5">
        <v>0</v>
      </c>
      <c r="M237" s="5">
        <v>2.336405960000001</v>
      </c>
      <c r="N237" s="5">
        <v>0.0284759</v>
      </c>
      <c r="O237" s="5">
        <v>0.7614536399999999</v>
      </c>
      <c r="P237" s="5">
        <v>0.0</v>
      </c>
      <c r="Q237" s="5">
        <v>0.0</v>
      </c>
      <c r="R237" s="5">
        <v>0.025006439999999998</v>
      </c>
      <c r="S237" s="5">
        <v>0.85641653</v>
      </c>
      <c r="T237" s="5">
        <v>0.6179128199999999</v>
      </c>
      <c r="U237" s="5">
        <v>0.04714063</v>
      </c>
    </row>
    <row r="238" outlineLevel="1">
      <c r="B238" s="0" t="inlineStr">
        <is>
          <t xml:space="preserve">ELMA ELECTRONIC INCORPORATED</t>
        </is>
      </c>
      <c r="C238" s="0" t="inlineStr">
        <is>
          <t xml:space="preserve">PGWNKJF89FV5</t>
        </is>
      </c>
      <c r="D238" s="0" t="inlineStr">
        <is>
          <t xml:space="preserve">-</t>
        </is>
      </c>
      <c r="E238" s="0" t="inlineStr">
        <is>
          <t xml:space="preserve">-</t>
        </is>
      </c>
      <c r="F238" s="0" t="inlineStr">
        <is>
          <t xml:space="preserve">-</t>
        </is>
      </c>
      <c r="G238" s="5">
        <v>2.3218240000000003</v>
      </c>
      <c r="H238" s="0" t="inlineStr">
        <is>
          <t xml:space="preserve">supplier</t>
        </is>
      </c>
      <c r="I238" s="0" t="inlineStr">
        <is>
          <t xml:space="preserve">unbucketed</t>
        </is>
      </c>
      <c r="J238" s="0" t="inlineStr">
        <is>
          <t xml:space="preserve">residual</t>
        </is>
      </c>
      <c r="K238" s="5">
        <v>0</v>
      </c>
      <c r="L238" s="5">
        <v>0</v>
      </c>
      <c r="M238" s="5">
        <v>2.3218240000000003</v>
      </c>
      <c r="N238" s="5">
        <v>0.346316</v>
      </c>
      <c r="O238" s="5">
        <v>0.149736</v>
      </c>
      <c r="P238" s="5">
        <v>0.081525</v>
      </c>
      <c r="Q238" s="5">
        <v>0.0</v>
      </c>
      <c r="R238" s="5">
        <v>0.6785559999999999</v>
      </c>
      <c r="S238" s="5">
        <v>1.065691</v>
      </c>
      <c r="T238" s="5">
        <v>0.0</v>
      </c>
      <c r="U238" s="5">
        <v>0.0</v>
      </c>
    </row>
    <row r="239" outlineLevel="1">
      <c r="B239" s="0" t="inlineStr">
        <is>
          <t xml:space="preserve">VETERANS GROUP LLC</t>
        </is>
      </c>
      <c r="C239" s="0" t="inlineStr">
        <is>
          <t xml:space="preserve">PUVNWFNW5BG3</t>
        </is>
      </c>
      <c r="D239" s="0" t="inlineStr">
        <is>
          <t xml:space="preserve">-</t>
        </is>
      </c>
      <c r="E239" s="0" t="inlineStr">
        <is>
          <t xml:space="preserve">-</t>
        </is>
      </c>
      <c r="F239" s="0" t="inlineStr">
        <is>
          <t xml:space="preserve">-</t>
        </is>
      </c>
      <c r="G239" s="5">
        <v>2.302613</v>
      </c>
      <c r="H239" s="0" t="inlineStr">
        <is>
          <t xml:space="preserve">supplier</t>
        </is>
      </c>
      <c r="I239" s="0" t="inlineStr">
        <is>
          <t xml:space="preserve">unbucketed</t>
        </is>
      </c>
      <c r="J239" s="0" t="inlineStr">
        <is>
          <t xml:space="preserve">residual</t>
        </is>
      </c>
      <c r="K239" s="5">
        <v>0</v>
      </c>
      <c r="L239" s="5">
        <v>0</v>
      </c>
      <c r="M239" s="5">
        <v>2.302613</v>
      </c>
      <c r="N239" s="5">
        <v>0.302977</v>
      </c>
      <c r="O239" s="5">
        <v>0.970249</v>
      </c>
      <c r="P239" s="5">
        <v>0.875487</v>
      </c>
      <c r="Q239" s="5">
        <v>0.1539</v>
      </c>
      <c r="R239" s="5">
        <v>0.0</v>
      </c>
      <c r="S239" s="5">
        <v>0.0</v>
      </c>
      <c r="T239" s="5">
        <v>0.0</v>
      </c>
      <c r="U239" s="5">
        <v>0.0</v>
      </c>
    </row>
    <row r="240" outlineLevel="1">
      <c r="B240" s="0" t="inlineStr">
        <is>
          <t xml:space="preserve">FAIRLEAD INTEGRATED, LLC</t>
        </is>
      </c>
      <c r="C240" s="0" t="inlineStr">
        <is>
          <t xml:space="preserve">QSMPQ9WU65L5</t>
        </is>
      </c>
      <c r="D240" s="0" t="inlineStr">
        <is>
          <t xml:space="preserve">USA</t>
        </is>
      </c>
      <c r="E240" s="0" t="inlineStr">
        <is>
          <t xml:space="preserve">3366</t>
        </is>
      </c>
      <c r="F240" s="0" t="inlineStr">
        <is>
          <t xml:space="preserve">Ship Building and Repairing</t>
        </is>
      </c>
      <c r="G240" s="5">
        <v>2.291546</v>
      </c>
      <c r="H240" s="0" t="inlineStr">
        <is>
          <t xml:space="preserve">supplier</t>
        </is>
      </c>
      <c r="I240" s="0" t="inlineStr">
        <is>
          <t xml:space="preserve">structural</t>
        </is>
      </c>
      <c r="J240" s="0" t="inlineStr">
        <is>
          <t xml:space="preserve">naics4</t>
        </is>
      </c>
      <c r="K240" s="5">
        <v>0</v>
      </c>
      <c r="L240" s="5">
        <v>0</v>
      </c>
      <c r="M240" s="5">
        <v>2.291546</v>
      </c>
      <c r="N240" s="5">
        <v>0.0</v>
      </c>
      <c r="O240" s="5">
        <v>0.0</v>
      </c>
      <c r="P240" s="5">
        <v>0.0</v>
      </c>
      <c r="Q240" s="5">
        <v>0.0</v>
      </c>
      <c r="R240" s="5">
        <v>0.0</v>
      </c>
      <c r="S240" s="5">
        <v>0.0</v>
      </c>
      <c r="T240" s="5">
        <v>0.0</v>
      </c>
      <c r="U240" s="5">
        <v>0.0</v>
      </c>
    </row>
    <row r="241" outlineLevel="1">
      <c r="B241" s="0" t="inlineStr">
        <is>
          <t xml:space="preserve">HAMILTON SUNDSTRAND CORPORATION</t>
        </is>
      </c>
      <c r="C241" s="0" t="inlineStr">
        <is>
          <t xml:space="preserve">JC42EBJ5NFJ1</t>
        </is>
      </c>
      <c r="D241" s="0" t="inlineStr">
        <is>
          <t xml:space="preserve">-</t>
        </is>
      </c>
      <c r="E241" s="0" t="inlineStr">
        <is>
          <t xml:space="preserve">-</t>
        </is>
      </c>
      <c r="F241" s="0" t="inlineStr">
        <is>
          <t xml:space="preserve">-</t>
        </is>
      </c>
      <c r="G241" s="5">
        <v>2.2902317599999997</v>
      </c>
      <c r="H241" s="0" t="inlineStr">
        <is>
          <t xml:space="preserve">supplier</t>
        </is>
      </c>
      <c r="I241" s="0" t="inlineStr">
        <is>
          <t xml:space="preserve">coatings</t>
        </is>
      </c>
      <c r="J241" s="0" t="inlineStr">
        <is>
          <t xml:space="preserve">registry</t>
        </is>
      </c>
      <c r="K241" s="5">
        <v>0</v>
      </c>
      <c r="L241" s="5">
        <v>0</v>
      </c>
      <c r="M241" s="5">
        <v>2.2902317599999997</v>
      </c>
      <c r="N241" s="5">
        <v>0.0</v>
      </c>
      <c r="O241" s="5">
        <v>0.0</v>
      </c>
      <c r="P241" s="5">
        <v>0.0</v>
      </c>
      <c r="Q241" s="5">
        <v>0.0</v>
      </c>
      <c r="R241" s="5">
        <v>1.2317624600000001</v>
      </c>
      <c r="S241" s="5">
        <v>0.3731665</v>
      </c>
      <c r="T241" s="5">
        <v>0.6853028</v>
      </c>
      <c r="U241" s="5">
        <v>0.0</v>
      </c>
    </row>
    <row r="242" outlineLevel="1">
      <c r="B242" s="0" t="inlineStr">
        <is>
          <t xml:space="preserve">G. S. E. DYNAMICS, INC.</t>
        </is>
      </c>
      <c r="C242" s="0" t="inlineStr">
        <is>
          <t xml:space="preserve">Z86FMF9P1KD6</t>
        </is>
      </c>
      <c r="D242" s="0" t="inlineStr">
        <is>
          <t xml:space="preserve">-</t>
        </is>
      </c>
      <c r="E242" s="0" t="inlineStr">
        <is>
          <t xml:space="preserve">-</t>
        </is>
      </c>
      <c r="F242" s="0" t="inlineStr">
        <is>
          <t xml:space="preserve">-</t>
        </is>
      </c>
      <c r="G242" s="5">
        <v>2.2793078</v>
      </c>
      <c r="H242" s="0" t="inlineStr">
        <is>
          <t xml:space="preserve">supplier</t>
        </is>
      </c>
      <c r="I242" s="0" t="inlineStr">
        <is>
          <t xml:space="preserve">unbucketed</t>
        </is>
      </c>
      <c r="J242" s="0" t="inlineStr">
        <is>
          <t xml:space="preserve">residual</t>
        </is>
      </c>
      <c r="K242" s="5">
        <v>0</v>
      </c>
      <c r="L242" s="5">
        <v>0</v>
      </c>
      <c r="M242" s="5">
        <v>2.2793078</v>
      </c>
      <c r="N242" s="5">
        <v>1.80276</v>
      </c>
      <c r="O242" s="5">
        <v>0.0</v>
      </c>
      <c r="P242" s="5">
        <v>0.07075</v>
      </c>
      <c r="Q242" s="5">
        <v>0.13547167</v>
      </c>
      <c r="R242" s="5">
        <v>0.10893749999999999</v>
      </c>
      <c r="S242" s="5">
        <v>0.0</v>
      </c>
      <c r="T242" s="5">
        <v>0.16138863</v>
      </c>
      <c r="U242" s="5">
        <v>0.0</v>
      </c>
    </row>
    <row r="243" outlineLevel="1">
      <c r="B243" s="0" t="inlineStr">
        <is>
          <t xml:space="preserve">ELMA ELECTRONIC AG</t>
        </is>
      </c>
      <c r="C243" s="0" t="inlineStr">
        <is>
          <t xml:space="preserve">PGWNKJF89FV5</t>
        </is>
      </c>
      <c r="D243" s="0" t="inlineStr">
        <is>
          <t xml:space="preserve">-</t>
        </is>
      </c>
      <c r="E243" s="0" t="inlineStr">
        <is>
          <t xml:space="preserve">-</t>
        </is>
      </c>
      <c r="F243" s="0" t="inlineStr">
        <is>
          <t xml:space="preserve">-</t>
        </is>
      </c>
      <c r="G243" s="5">
        <v>2.2781750500000006</v>
      </c>
      <c r="H243" s="0" t="inlineStr">
        <is>
          <t xml:space="preserve">supplier</t>
        </is>
      </c>
      <c r="I243" s="0" t="inlineStr">
        <is>
          <t xml:space="preserve">unbucketed</t>
        </is>
      </c>
      <c r="J243" s="0" t="inlineStr">
        <is>
          <t xml:space="preserve">residual</t>
        </is>
      </c>
      <c r="K243" s="5">
        <v>0</v>
      </c>
      <c r="L243" s="5">
        <v>0</v>
      </c>
      <c r="M243" s="5">
        <v>2.2781750500000006</v>
      </c>
      <c r="N243" s="5">
        <v>0.03128</v>
      </c>
      <c r="O243" s="5">
        <v>0.0</v>
      </c>
      <c r="P243" s="5">
        <v>0.0</v>
      </c>
      <c r="Q243" s="5">
        <v>0.0</v>
      </c>
      <c r="R243" s="5">
        <v>-1.78586825</v>
      </c>
      <c r="S243" s="5">
        <v>0.0</v>
      </c>
      <c r="T243" s="5">
        <v>0.0</v>
      </c>
      <c r="U243" s="5">
        <v>0.0</v>
      </c>
    </row>
    <row r="244" outlineLevel="1">
      <c r="B244" s="0" t="inlineStr">
        <is>
          <t xml:space="preserve">HYDRASEARCH COMPANY, LLC</t>
        </is>
      </c>
      <c r="C244" s="0" t="inlineStr">
        <is>
          <t xml:space="preserve">GYMLL74UL5Q8</t>
        </is>
      </c>
      <c r="D244" s="0" t="inlineStr">
        <is>
          <t xml:space="preserve">-</t>
        </is>
      </c>
      <c r="E244" s="0" t="inlineStr">
        <is>
          <t xml:space="preserve">-</t>
        </is>
      </c>
      <c r="F244" s="0" t="inlineStr">
        <is>
          <t xml:space="preserve">-</t>
        </is>
      </c>
      <c r="G244" s="5">
        <v>2.2707383599999993</v>
      </c>
      <c r="H244" s="0" t="inlineStr">
        <is>
          <t xml:space="preserve">supplier</t>
        </is>
      </c>
      <c r="I244" s="0" t="inlineStr">
        <is>
          <t xml:space="preserve">unbucketed</t>
        </is>
      </c>
      <c r="J244" s="0" t="inlineStr">
        <is>
          <t xml:space="preserve">residual</t>
        </is>
      </c>
      <c r="K244" s="5">
        <v>0</v>
      </c>
      <c r="L244" s="5">
        <v>0</v>
      </c>
      <c r="M244" s="5">
        <v>2.2707383599999993</v>
      </c>
      <c r="N244" s="5">
        <v>0.0</v>
      </c>
      <c r="O244" s="5">
        <v>0.13175723</v>
      </c>
      <c r="P244" s="5">
        <v>0.37951305999999996</v>
      </c>
      <c r="Q244" s="5">
        <v>0.8228491199999999</v>
      </c>
      <c r="R244" s="5">
        <v>0.0</v>
      </c>
      <c r="S244" s="5">
        <v>0.08218422</v>
      </c>
      <c r="T244" s="5">
        <v>0.45061741</v>
      </c>
      <c r="U244" s="5">
        <v>0.40381732</v>
      </c>
    </row>
    <row r="245" outlineLevel="1">
      <c r="B245" s="0" t="inlineStr">
        <is>
          <t xml:space="preserve">CMI, INC.</t>
        </is>
      </c>
      <c r="C245" s="0" t="inlineStr">
        <is>
          <t xml:space="preserve">KSZBH4K529U5</t>
        </is>
      </c>
      <c r="D245" s="0" t="inlineStr">
        <is>
          <t xml:space="preserve">-</t>
        </is>
      </c>
      <c r="E245" s="0" t="inlineStr">
        <is>
          <t xml:space="preserve">-</t>
        </is>
      </c>
      <c r="F245" s="0" t="inlineStr">
        <is>
          <t xml:space="preserve">-</t>
        </is>
      </c>
      <c r="G245" s="5">
        <v>2.26916404</v>
      </c>
      <c r="H245" s="0" t="inlineStr">
        <is>
          <t xml:space="preserve">supplier</t>
        </is>
      </c>
      <c r="I245" s="0" t="inlineStr">
        <is>
          <t xml:space="preserve">unbucketed</t>
        </is>
      </c>
      <c r="J245" s="0" t="inlineStr">
        <is>
          <t xml:space="preserve">residual</t>
        </is>
      </c>
      <c r="K245" s="5">
        <v>0</v>
      </c>
      <c r="L245" s="5">
        <v>0</v>
      </c>
      <c r="M245" s="5">
        <v>2.26916404</v>
      </c>
      <c r="N245" s="5">
        <v>0.0</v>
      </c>
      <c r="O245" s="5">
        <v>0.0699588</v>
      </c>
      <c r="P245" s="5">
        <v>0.37762470000000004</v>
      </c>
      <c r="Q245" s="5">
        <v>0.0</v>
      </c>
      <c r="R245" s="5">
        <v>0.0</v>
      </c>
      <c r="S245" s="5">
        <v>1.7761456599999998</v>
      </c>
      <c r="T245" s="5">
        <v>0.04543488</v>
      </c>
      <c r="U245" s="5">
        <v>0.0</v>
      </c>
    </row>
    <row r="246" outlineLevel="1">
      <c r="B246" s="0" t="inlineStr">
        <is>
          <t xml:space="preserve">CAMERON ENERGY SERVICES CORP.</t>
        </is>
      </c>
      <c r="C246" s="0" t="inlineStr">
        <is>
          <t xml:space="preserve">C1NAJQ34VWM5</t>
        </is>
      </c>
      <c r="D246" s="0" t="inlineStr">
        <is>
          <t xml:space="preserve">-</t>
        </is>
      </c>
      <c r="E246" s="0" t="inlineStr">
        <is>
          <t xml:space="preserve">-</t>
        </is>
      </c>
      <c r="F246" s="0" t="inlineStr">
        <is>
          <t xml:space="preserve">-</t>
        </is>
      </c>
      <c r="G246" s="5">
        <v>2.2668109</v>
      </c>
      <c r="H246" s="0" t="inlineStr">
        <is>
          <t xml:space="preserve">supplier</t>
        </is>
      </c>
      <c r="I246" s="0" t="inlineStr">
        <is>
          <t xml:space="preserve">unbucketed</t>
        </is>
      </c>
      <c r="J246" s="0" t="inlineStr">
        <is>
          <t xml:space="preserve">residual</t>
        </is>
      </c>
      <c r="K246" s="5">
        <v>0</v>
      </c>
      <c r="L246" s="5">
        <v>0</v>
      </c>
      <c r="M246" s="5">
        <v>2.2668109</v>
      </c>
      <c r="N246" s="5">
        <v>0.212897</v>
      </c>
      <c r="O246" s="5">
        <v>0.0</v>
      </c>
      <c r="P246" s="5">
        <v>0.0</v>
      </c>
      <c r="Q246" s="5">
        <v>1.223614</v>
      </c>
      <c r="R246" s="5">
        <v>0.0</v>
      </c>
      <c r="S246" s="5">
        <v>0.25896889999999995</v>
      </c>
      <c r="T246" s="5">
        <v>0.172732</v>
      </c>
      <c r="U246" s="5">
        <v>0.368324</v>
      </c>
    </row>
    <row r="247" outlineLevel="1">
      <c r="B247" s="0" t="inlineStr">
        <is>
          <t xml:space="preserve">CONREX STEEL LIMITED</t>
        </is>
      </c>
      <c r="C247" s="0" t="inlineStr">
        <is>
          <t xml:space="preserve">KVETLASZ5DL3</t>
        </is>
      </c>
      <c r="D247" s="0" t="inlineStr">
        <is>
          <t xml:space="preserve">Foreign</t>
        </is>
      </c>
      <c r="E247" s="0" t="inlineStr">
        <is>
          <t xml:space="preserve">-</t>
        </is>
      </c>
      <c r="F247" s="0" t="inlineStr">
        <is>
          <t xml:space="preserve">-</t>
        </is>
      </c>
      <c r="G247" s="5">
        <v>2.25105208</v>
      </c>
      <c r="H247" s="0" t="inlineStr">
        <is>
          <t xml:space="preserve">foreign_fms</t>
        </is>
      </c>
      <c r="I247" s="0" t="inlineStr">
        <is>
          <t xml:space="preserve">-</t>
        </is>
      </c>
      <c r="J247" s="0" t="inlineStr">
        <is>
          <t xml:space="preserve">foreign flag</t>
        </is>
      </c>
      <c r="K247" s="5">
        <v>0</v>
      </c>
      <c r="L247" s="5">
        <v>0</v>
      </c>
      <c r="M247" s="5">
        <v>2.25105208</v>
      </c>
      <c r="N247" s="5">
        <v>0.0</v>
      </c>
      <c r="O247" s="5">
        <v>0.0</v>
      </c>
      <c r="P247" s="5">
        <v>0.046316</v>
      </c>
      <c r="Q247" s="5">
        <v>0.0</v>
      </c>
      <c r="R247" s="5">
        <v>0.0</v>
      </c>
      <c r="S247" s="5">
        <v>0.0</v>
      </c>
      <c r="T247" s="5">
        <v>2.20473608</v>
      </c>
      <c r="U247" s="5">
        <v>0.0</v>
      </c>
    </row>
    <row r="248" outlineLevel="1">
      <c r="B248" s="0" t="inlineStr">
        <is>
          <t xml:space="preserve">AMETEK SCP INC</t>
        </is>
      </c>
      <c r="C248" s="0" t="inlineStr">
        <is>
          <t xml:space="preserve">PWK4GDMMEAQ8</t>
        </is>
      </c>
      <c r="D248" s="0" t="inlineStr">
        <is>
          <t xml:space="preserve">-</t>
        </is>
      </c>
      <c r="E248" s="0" t="inlineStr">
        <is>
          <t xml:space="preserve">-</t>
        </is>
      </c>
      <c r="F248" s="0" t="inlineStr">
        <is>
          <t xml:space="preserve">-</t>
        </is>
      </c>
      <c r="G248" s="5">
        <v>2.2272060000000002</v>
      </c>
      <c r="H248" s="0" t="inlineStr">
        <is>
          <t xml:space="preserve">supplier</t>
        </is>
      </c>
      <c r="I248" s="0" t="inlineStr">
        <is>
          <t xml:space="preserve">unbucketed</t>
        </is>
      </c>
      <c r="J248" s="0" t="inlineStr">
        <is>
          <t xml:space="preserve">residual</t>
        </is>
      </c>
      <c r="K248" s="5">
        <v>0</v>
      </c>
      <c r="L248" s="5">
        <v>0</v>
      </c>
      <c r="M248" s="5">
        <v>2.2272060000000002</v>
      </c>
      <c r="N248" s="5">
        <v>0.041844</v>
      </c>
      <c r="O248" s="5">
        <v>0.35128000000000004</v>
      </c>
      <c r="P248" s="5">
        <v>0.632208</v>
      </c>
      <c r="Q248" s="5">
        <v>0.0</v>
      </c>
      <c r="R248" s="5">
        <v>0.0</v>
      </c>
      <c r="S248" s="5">
        <v>1.1690420000000001</v>
      </c>
      <c r="T248" s="5">
        <v>0.032832</v>
      </c>
      <c r="U248" s="5">
        <v>0.0</v>
      </c>
    </row>
    <row r="249" outlineLevel="1">
      <c r="B249" s="0" t="inlineStr">
        <is>
          <t xml:space="preserve">LOCKWOOD BROTHERS, INC.</t>
        </is>
      </c>
      <c r="C249" s="0" t="inlineStr">
        <is>
          <t xml:space="preserve">J8PKNJEX2MS2</t>
        </is>
      </c>
      <c r="D249" s="0" t="inlineStr">
        <is>
          <t xml:space="preserve">-</t>
        </is>
      </c>
      <c r="E249" s="0" t="inlineStr">
        <is>
          <t xml:space="preserve">-</t>
        </is>
      </c>
      <c r="F249" s="0" t="inlineStr">
        <is>
          <t xml:space="preserve">-</t>
        </is>
      </c>
      <c r="G249" s="5">
        <v>2.2128699999999997</v>
      </c>
      <c r="H249" s="0" t="inlineStr">
        <is>
          <t xml:space="preserve">supplier</t>
        </is>
      </c>
      <c r="I249" s="0" t="inlineStr">
        <is>
          <t xml:space="preserve">unbucketed</t>
        </is>
      </c>
      <c r="J249" s="0" t="inlineStr">
        <is>
          <t xml:space="preserve">residual</t>
        </is>
      </c>
      <c r="K249" s="5">
        <v>0</v>
      </c>
      <c r="L249" s="5">
        <v>0</v>
      </c>
      <c r="M249" s="5">
        <v>2.2128699999999997</v>
      </c>
      <c r="N249" s="5">
        <v>0.0</v>
      </c>
      <c r="O249" s="5">
        <v>0.0</v>
      </c>
      <c r="P249" s="5">
        <v>2.1835</v>
      </c>
      <c r="Q249" s="5">
        <v>0.0</v>
      </c>
      <c r="R249" s="5">
        <v>0.0</v>
      </c>
      <c r="S249" s="5">
        <v>0.0</v>
      </c>
      <c r="T249" s="5">
        <v>0.0</v>
      </c>
      <c r="U249" s="5">
        <v>0.0</v>
      </c>
    </row>
    <row r="250" outlineLevel="1">
      <c r="B250" s="0" t="inlineStr">
        <is>
          <t xml:space="preserve">AMMCON CORP.</t>
        </is>
      </c>
      <c r="C250" s="0" t="inlineStr">
        <is>
          <t xml:space="preserve">CG86N1ZC42B8</t>
        </is>
      </c>
      <c r="D250" s="0" t="inlineStr">
        <is>
          <t xml:space="preserve">-</t>
        </is>
      </c>
      <c r="E250" s="0" t="inlineStr">
        <is>
          <t xml:space="preserve">-</t>
        </is>
      </c>
      <c r="F250" s="0" t="inlineStr">
        <is>
          <t xml:space="preserve">-</t>
        </is>
      </c>
      <c r="G250" s="5">
        <v>2.19580538</v>
      </c>
      <c r="H250" s="0" t="inlineStr">
        <is>
          <t xml:space="preserve">supplier</t>
        </is>
      </c>
      <c r="I250" s="0" t="inlineStr">
        <is>
          <t xml:space="preserve">unbucketed</t>
        </is>
      </c>
      <c r="J250" s="0" t="inlineStr">
        <is>
          <t xml:space="preserve">residual</t>
        </is>
      </c>
      <c r="K250" s="5">
        <v>0</v>
      </c>
      <c r="L250" s="5">
        <v>0</v>
      </c>
      <c r="M250" s="5">
        <v>2.19580538</v>
      </c>
      <c r="N250" s="5">
        <v>-0.00355703</v>
      </c>
      <c r="O250" s="5">
        <v>0.04632692</v>
      </c>
      <c r="P250" s="5">
        <v>0.45295599999999997</v>
      </c>
      <c r="Q250" s="5">
        <v>0.33710365</v>
      </c>
      <c r="R250" s="5">
        <v>0.0</v>
      </c>
      <c r="S250" s="5">
        <v>0.33958900000000003</v>
      </c>
      <c r="T250" s="5">
        <v>0.57015822</v>
      </c>
      <c r="U250" s="5">
        <v>0.37342862</v>
      </c>
    </row>
    <row r="251" outlineLevel="1">
      <c r="B251" s="0" t="inlineStr">
        <is>
          <t xml:space="preserve">L3HARRIS TECHNOLOGIES, INC.</t>
        </is>
      </c>
      <c r="C251" s="0" t="inlineStr">
        <is>
          <t xml:space="preserve">HA3UFSU8FN75</t>
        </is>
      </c>
      <c r="D251" s="0" t="inlineStr">
        <is>
          <t xml:space="preserve">USA</t>
        </is>
      </c>
      <c r="E251" s="0" t="inlineStr">
        <is>
          <t xml:space="preserve">3345</t>
        </is>
      </c>
      <c r="F251" s="0" t="inlineStr">
        <is>
          <t xml:space="preserve">Search, Detection, Navigation, Guidance, Aeronautical, and Nautical System and Instrument Manufacturing</t>
        </is>
      </c>
      <c r="G251" s="5">
        <v>2.19429432</v>
      </c>
      <c r="H251" s="0" t="inlineStr">
        <is>
          <t xml:space="preserve">supplier</t>
        </is>
      </c>
      <c r="I251" s="0" t="inlineStr">
        <is>
          <t xml:space="preserve">unbucketed</t>
        </is>
      </c>
      <c r="J251" s="0" t="inlineStr">
        <is>
          <t xml:space="preserve">vendor-override</t>
        </is>
      </c>
      <c r="K251" s="5">
        <v>0</v>
      </c>
      <c r="L251" s="5">
        <v>0</v>
      </c>
      <c r="M251" s="5">
        <v>2.19429432</v>
      </c>
      <c r="N251" s="5">
        <v>-0.56082791</v>
      </c>
      <c r="O251" s="5">
        <v>0.0</v>
      </c>
      <c r="P251" s="5">
        <v>0.0</v>
      </c>
      <c r="Q251" s="5">
        <v>0.0</v>
      </c>
      <c r="R251" s="5">
        <v>0.0</v>
      </c>
      <c r="S251" s="5">
        <v>0.0</v>
      </c>
      <c r="T251" s="5">
        <v>0.0</v>
      </c>
      <c r="U251" s="5">
        <v>0.0</v>
      </c>
    </row>
    <row r="252" outlineLevel="1">
      <c r="B252" s="0" t="inlineStr">
        <is>
          <t xml:space="preserve">L3HARRIS TECHNOLOGIES, INC</t>
        </is>
      </c>
      <c r="C252" s="0" t="inlineStr">
        <is>
          <t xml:space="preserve">RDG4F8MZVDU1</t>
        </is>
      </c>
      <c r="D252" s="0" t="inlineStr">
        <is>
          <t xml:space="preserve">USA</t>
        </is>
      </c>
      <c r="E252" s="0" t="inlineStr">
        <is>
          <t xml:space="preserve">3345</t>
        </is>
      </c>
      <c r="F252" s="0" t="inlineStr">
        <is>
          <t xml:space="preserve">Search, Detection, Navigation, Guidance, Aeronautical, and Nautical System and Instrument Manufacturing</t>
        </is>
      </c>
      <c r="G252" s="5">
        <v>2.1617388500000003</v>
      </c>
      <c r="H252" s="0" t="inlineStr">
        <is>
          <t xml:space="preserve">supplier</t>
        </is>
      </c>
      <c r="I252" s="0" t="inlineStr">
        <is>
          <t xml:space="preserve">unbucketed</t>
        </is>
      </c>
      <c r="J252" s="0" t="inlineStr">
        <is>
          <t xml:space="preserve">vendor-override</t>
        </is>
      </c>
      <c r="K252" s="5">
        <v>0</v>
      </c>
      <c r="L252" s="5">
        <v>0</v>
      </c>
      <c r="M252" s="5">
        <v>2.1617388500000003</v>
      </c>
      <c r="N252" s="5">
        <v>1.088703</v>
      </c>
      <c r="O252" s="5">
        <v>0.975164</v>
      </c>
      <c r="P252" s="5">
        <v>0.0</v>
      </c>
      <c r="Q252" s="5">
        <v>0.0</v>
      </c>
      <c r="R252" s="5">
        <v>0.0</v>
      </c>
      <c r="S252" s="5">
        <v>0.0</v>
      </c>
      <c r="T252" s="5">
        <v>0.09787185000000001</v>
      </c>
      <c r="U252" s="5">
        <v>0.0</v>
      </c>
    </row>
    <row r="253" outlineLevel="1">
      <c r="B253" s="0" t="inlineStr">
        <is>
          <t xml:space="preserve">ESCO GROUP INC</t>
        </is>
      </c>
      <c r="C253" s="0" t="inlineStr">
        <is>
          <t xml:space="preserve">XPJVJCWTHYV6</t>
        </is>
      </c>
      <c r="D253" s="0" t="inlineStr">
        <is>
          <t xml:space="preserve">-</t>
        </is>
      </c>
      <c r="E253" s="0" t="inlineStr">
        <is>
          <t xml:space="preserve">-</t>
        </is>
      </c>
      <c r="F253" s="0" t="inlineStr">
        <is>
          <t xml:space="preserve">-</t>
        </is>
      </c>
      <c r="G253" s="5">
        <v>2.1474580000000003</v>
      </c>
      <c r="H253" s="0" t="inlineStr">
        <is>
          <t xml:space="preserve">supplier</t>
        </is>
      </c>
      <c r="I253" s="0" t="inlineStr">
        <is>
          <t xml:space="preserve">unbucketed</t>
        </is>
      </c>
      <c r="J253" s="0" t="inlineStr">
        <is>
          <t xml:space="preserve">residual</t>
        </is>
      </c>
      <c r="K253" s="5">
        <v>0</v>
      </c>
      <c r="L253" s="5">
        <v>0</v>
      </c>
      <c r="M253" s="5">
        <v>2.1474580000000003</v>
      </c>
      <c r="N253" s="5">
        <v>0.0</v>
      </c>
      <c r="O253" s="5">
        <v>2.1474580000000003</v>
      </c>
      <c r="P253" s="5">
        <v>0.0</v>
      </c>
      <c r="Q253" s="5">
        <v>0.0</v>
      </c>
      <c r="R253" s="5">
        <v>0.0</v>
      </c>
      <c r="S253" s="5">
        <v>0.0</v>
      </c>
      <c r="T253" s="5">
        <v>0.0</v>
      </c>
      <c r="U253" s="5">
        <v>0.0</v>
      </c>
    </row>
    <row r="254" outlineLevel="1">
      <c r="B254" s="0" t="inlineStr">
        <is>
          <t xml:space="preserve">MILWAUKEE VALVE COMPANY, INC.</t>
        </is>
      </c>
      <c r="C254" s="0" t="inlineStr">
        <is>
          <t xml:space="preserve">MC77SUMRLXY5</t>
        </is>
      </c>
      <c r="D254" s="0" t="inlineStr">
        <is>
          <t xml:space="preserve">-</t>
        </is>
      </c>
      <c r="E254" s="0" t="inlineStr">
        <is>
          <t xml:space="preserve">-</t>
        </is>
      </c>
      <c r="F254" s="0" t="inlineStr">
        <is>
          <t xml:space="preserve">-</t>
        </is>
      </c>
      <c r="G254" s="5">
        <v>2.132948</v>
      </c>
      <c r="H254" s="0" t="inlineStr">
        <is>
          <t xml:space="preserve">supplier</t>
        </is>
      </c>
      <c r="I254" s="0" t="inlineStr">
        <is>
          <t xml:space="preserve">piping</t>
        </is>
      </c>
      <c r="J254" s="0" t="inlineStr">
        <is>
          <t xml:space="preserve">registry</t>
        </is>
      </c>
      <c r="K254" s="5">
        <v>0</v>
      </c>
      <c r="L254" s="5">
        <v>0</v>
      </c>
      <c r="M254" s="5">
        <v>2.132948</v>
      </c>
      <c r="N254" s="5">
        <v>0.0</v>
      </c>
      <c r="O254" s="5">
        <v>0.0</v>
      </c>
      <c r="P254" s="5">
        <v>0.0</v>
      </c>
      <c r="Q254" s="5">
        <v>0.0</v>
      </c>
      <c r="R254" s="5">
        <v>0.0</v>
      </c>
      <c r="S254" s="5">
        <v>0.0</v>
      </c>
      <c r="T254" s="5">
        <v>0.0</v>
      </c>
      <c r="U254" s="5">
        <v>0.0</v>
      </c>
    </row>
    <row r="255" outlineLevel="1">
      <c r="B255" s="0" t="inlineStr">
        <is>
          <t xml:space="preserve">PROTERIAL CABLE AMERICA INC</t>
        </is>
      </c>
      <c r="C255" s="0" t="inlineStr">
        <is>
          <t xml:space="preserve">G45GNP4ARKJ3</t>
        </is>
      </c>
      <c r="D255" s="0" t="inlineStr">
        <is>
          <t xml:space="preserve">-</t>
        </is>
      </c>
      <c r="E255" s="0" t="inlineStr">
        <is>
          <t xml:space="preserve">-</t>
        </is>
      </c>
      <c r="F255" s="0" t="inlineStr">
        <is>
          <t xml:space="preserve">-</t>
        </is>
      </c>
      <c r="G255" s="5">
        <v>2.13019188</v>
      </c>
      <c r="H255" s="0" t="inlineStr">
        <is>
          <t xml:space="preserve">supplier</t>
        </is>
      </c>
      <c r="I255" s="0" t="inlineStr">
        <is>
          <t xml:space="preserve">unbucketed</t>
        </is>
      </c>
      <c r="J255" s="0" t="inlineStr">
        <is>
          <t xml:space="preserve">residual</t>
        </is>
      </c>
      <c r="K255" s="5">
        <v>0</v>
      </c>
      <c r="L255" s="5">
        <v>0</v>
      </c>
      <c r="M255" s="5">
        <v>2.13019188</v>
      </c>
      <c r="N255" s="5">
        <v>0.048163000000000004</v>
      </c>
      <c r="O255" s="5">
        <v>0.79615527</v>
      </c>
      <c r="P255" s="5">
        <v>0.07209195000000002</v>
      </c>
      <c r="Q255" s="5">
        <v>0.09064362</v>
      </c>
      <c r="R255" s="5">
        <v>0.0765304</v>
      </c>
      <c r="S255" s="5">
        <v>0.2293943</v>
      </c>
      <c r="T255" s="5">
        <v>0.584189</v>
      </c>
      <c r="U255" s="5">
        <v>0.16377434000000002</v>
      </c>
    </row>
    <row r="256" outlineLevel="1">
      <c r="B256" s="0" t="inlineStr">
        <is>
          <t xml:space="preserve">C. &amp; C. METALS ENGINEERING, INC.</t>
        </is>
      </c>
      <c r="C256" s="0" t="inlineStr">
        <is>
          <t xml:space="preserve">WAJ6RKYZTYL3</t>
        </is>
      </c>
      <c r="D256" s="0" t="inlineStr">
        <is>
          <t xml:space="preserve">USA</t>
        </is>
      </c>
      <c r="E256" s="0" t="inlineStr">
        <is>
          <t xml:space="preserve">3327</t>
        </is>
      </c>
      <c r="F256" s="0" t="inlineStr">
        <is>
          <t xml:space="preserve">Machine Shops</t>
        </is>
      </c>
      <c r="G256" s="5">
        <v>2.109971</v>
      </c>
      <c r="H256" s="0" t="inlineStr">
        <is>
          <t xml:space="preserve">supplier</t>
        </is>
      </c>
      <c r="I256" s="0" t="inlineStr">
        <is>
          <t xml:space="preserve">machining</t>
        </is>
      </c>
      <c r="J256" s="0" t="inlineStr">
        <is>
          <t xml:space="preserve">naics4</t>
        </is>
      </c>
      <c r="K256" s="5">
        <v>0</v>
      </c>
      <c r="L256" s="5">
        <v>0</v>
      </c>
      <c r="M256" s="5">
        <v>2.109971</v>
      </c>
      <c r="N256" s="5">
        <v>0.4835600000000001</v>
      </c>
      <c r="O256" s="5">
        <v>0.0</v>
      </c>
      <c r="P256" s="5">
        <v>0.0</v>
      </c>
      <c r="Q256" s="5">
        <v>0.0</v>
      </c>
      <c r="R256" s="5">
        <v>0.172237</v>
      </c>
      <c r="S256" s="5">
        <v>0.0</v>
      </c>
      <c r="T256" s="5">
        <v>0.0</v>
      </c>
      <c r="U256" s="5">
        <v>0.0</v>
      </c>
    </row>
    <row r="257" outlineLevel="1">
      <c r="B257" s="0" t="inlineStr">
        <is>
          <t xml:space="preserve">TAYLOR DEVICES INC</t>
        </is>
      </c>
      <c r="C257" s="0" t="inlineStr">
        <is>
          <t xml:space="preserve">MXTJBDD1L4T4</t>
        </is>
      </c>
      <c r="D257" s="0" t="inlineStr">
        <is>
          <t xml:space="preserve">-</t>
        </is>
      </c>
      <c r="E257" s="0" t="inlineStr">
        <is>
          <t xml:space="preserve">-</t>
        </is>
      </c>
      <c r="F257" s="0" t="inlineStr">
        <is>
          <t xml:space="preserve">-</t>
        </is>
      </c>
      <c r="G257" s="5">
        <v>2.09238548</v>
      </c>
      <c r="H257" s="0" t="inlineStr">
        <is>
          <t xml:space="preserve">supplier</t>
        </is>
      </c>
      <c r="I257" s="0" t="inlineStr">
        <is>
          <t xml:space="preserve">piping</t>
        </is>
      </c>
      <c r="J257" s="0" t="inlineStr">
        <is>
          <t xml:space="preserve">registry</t>
        </is>
      </c>
      <c r="K257" s="5">
        <v>0</v>
      </c>
      <c r="L257" s="5">
        <v>0</v>
      </c>
      <c r="M257" s="5">
        <v>2.09238548</v>
      </c>
      <c r="N257" s="5">
        <v>0.0</v>
      </c>
      <c r="O257" s="5">
        <v>0.0</v>
      </c>
      <c r="P257" s="5">
        <v>0.0</v>
      </c>
      <c r="Q257" s="5">
        <v>1.707168</v>
      </c>
      <c r="R257" s="5">
        <v>0.15711348</v>
      </c>
      <c r="S257" s="5">
        <v>0.228104</v>
      </c>
      <c r="T257" s="5">
        <v>0.0</v>
      </c>
      <c r="U257" s="5">
        <v>0.0</v>
      </c>
    </row>
    <row r="258" outlineLevel="1">
      <c r="B258" s="0" t="inlineStr">
        <is>
          <t xml:space="preserve">CANERECTOR INC</t>
        </is>
      </c>
      <c r="C258" s="0" t="inlineStr">
        <is>
          <t xml:space="preserve">MRGNDX62YHQ3</t>
        </is>
      </c>
      <c r="D258" s="0" t="inlineStr">
        <is>
          <t xml:space="preserve">Foreign</t>
        </is>
      </c>
      <c r="E258" s="0" t="inlineStr">
        <is>
          <t xml:space="preserve">-</t>
        </is>
      </c>
      <c r="F258" s="0" t="inlineStr">
        <is>
          <t xml:space="preserve">-</t>
        </is>
      </c>
      <c r="G258" s="5">
        <v>2.0831027399999997</v>
      </c>
      <c r="H258" s="0" t="inlineStr">
        <is>
          <t xml:space="preserve">foreign_fms</t>
        </is>
      </c>
      <c r="I258" s="0" t="inlineStr">
        <is>
          <t xml:space="preserve">-</t>
        </is>
      </c>
      <c r="J258" s="0" t="inlineStr">
        <is>
          <t xml:space="preserve">foreign flag</t>
        </is>
      </c>
      <c r="K258" s="5">
        <v>0</v>
      </c>
      <c r="L258" s="5">
        <v>0</v>
      </c>
      <c r="M258" s="5">
        <v>2.0831027399999997</v>
      </c>
      <c r="N258" s="5">
        <v>1.0595569999999999</v>
      </c>
      <c r="O258" s="5">
        <v>0.0</v>
      </c>
      <c r="P258" s="5">
        <v>0.0</v>
      </c>
      <c r="Q258" s="5">
        <v>0.0</v>
      </c>
      <c r="R258" s="5">
        <v>0.0</v>
      </c>
      <c r="S258" s="5">
        <v>0.0</v>
      </c>
      <c r="T258" s="5">
        <v>0.0</v>
      </c>
      <c r="U258" s="5">
        <v>0.0</v>
      </c>
    </row>
    <row r="259" outlineLevel="1">
      <c r="B259" s="0" t="inlineStr">
        <is>
          <t xml:space="preserve">ADECCO GROUP AG</t>
        </is>
      </c>
      <c r="C259" s="0" t="inlineStr">
        <is>
          <t xml:space="preserve">JL9NMM3YALQ5</t>
        </is>
      </c>
      <c r="D259" s="0" t="inlineStr">
        <is>
          <t xml:space="preserve">-</t>
        </is>
      </c>
      <c r="E259" s="0" t="inlineStr">
        <is>
          <t xml:space="preserve">-</t>
        </is>
      </c>
      <c r="F259" s="0" t="inlineStr">
        <is>
          <t xml:space="preserve">-</t>
        </is>
      </c>
      <c r="G259" s="5">
        <v>2.078715</v>
      </c>
      <c r="H259" s="0" t="inlineStr">
        <is>
          <t xml:space="preserve">supplier</t>
        </is>
      </c>
      <c r="I259" s="0" t="inlineStr">
        <is>
          <t xml:space="preserve">unbucketed</t>
        </is>
      </c>
      <c r="J259" s="0" t="inlineStr">
        <is>
          <t xml:space="preserve">residual</t>
        </is>
      </c>
      <c r="K259" s="5">
        <v>0</v>
      </c>
      <c r="L259" s="5">
        <v>0</v>
      </c>
      <c r="M259" s="5">
        <v>2.078715</v>
      </c>
      <c r="N259" s="5">
        <v>0.0</v>
      </c>
      <c r="O259" s="5">
        <v>0.0</v>
      </c>
      <c r="P259" s="5">
        <v>0.0</v>
      </c>
      <c r="Q259" s="5">
        <v>0.0</v>
      </c>
      <c r="R259" s="5">
        <v>0.5824999999999999</v>
      </c>
      <c r="S259" s="5">
        <v>0.0</v>
      </c>
      <c r="T259" s="5">
        <v>0.0</v>
      </c>
      <c r="U259" s="5">
        <v>0.0</v>
      </c>
    </row>
    <row r="260" outlineLevel="1">
      <c r="B260" s="0" t="inlineStr">
        <is>
          <t xml:space="preserve">TIMKEN COMPANY, THE</t>
        </is>
      </c>
      <c r="C260" s="0" t="inlineStr">
        <is>
          <t xml:space="preserve">KYFUJ83L3UY9</t>
        </is>
      </c>
      <c r="D260" s="0" t="inlineStr">
        <is>
          <t xml:space="preserve">-</t>
        </is>
      </c>
      <c r="E260" s="0" t="inlineStr">
        <is>
          <t xml:space="preserve">-</t>
        </is>
      </c>
      <c r="F260" s="0" t="inlineStr">
        <is>
          <t xml:space="preserve">-</t>
        </is>
      </c>
      <c r="G260" s="5">
        <v>2.0358713600000002</v>
      </c>
      <c r="H260" s="0" t="inlineStr">
        <is>
          <t xml:space="preserve">supplier</t>
        </is>
      </c>
      <c r="I260" s="0" t="inlineStr">
        <is>
          <t xml:space="preserve">unbucketed</t>
        </is>
      </c>
      <c r="J260" s="0" t="inlineStr">
        <is>
          <t xml:space="preserve">residual</t>
        </is>
      </c>
      <c r="K260" s="5">
        <v>0</v>
      </c>
      <c r="L260" s="5">
        <v>0</v>
      </c>
      <c r="M260" s="5">
        <v>2.0358713600000002</v>
      </c>
      <c r="N260" s="5">
        <v>0.0</v>
      </c>
      <c r="O260" s="5">
        <v>0.0</v>
      </c>
      <c r="P260" s="5">
        <v>0.0</v>
      </c>
      <c r="Q260" s="5">
        <v>0.0</v>
      </c>
      <c r="R260" s="5">
        <v>0.0</v>
      </c>
      <c r="S260" s="5">
        <v>0.0</v>
      </c>
      <c r="T260" s="5">
        <v>0.0</v>
      </c>
      <c r="U260" s="5">
        <v>0.0</v>
      </c>
    </row>
    <row r="261" outlineLevel="1">
      <c r="B261" s="0" t="inlineStr">
        <is>
          <t xml:space="preserve">L3HARRIS TECHNOLOGIES, INC</t>
        </is>
      </c>
      <c r="C261" s="0" t="inlineStr">
        <is>
          <t xml:space="preserve">WPP2ABN6UCF5</t>
        </is>
      </c>
      <c r="D261" s="0" t="inlineStr">
        <is>
          <t xml:space="preserve">USA</t>
        </is>
      </c>
      <c r="E261" s="0" t="inlineStr">
        <is>
          <t xml:space="preserve">3342</t>
        </is>
      </c>
      <c r="F261" s="0" t="inlineStr">
        <is>
          <t xml:space="preserve">Other Communications Equipment Manufacturing</t>
        </is>
      </c>
      <c r="G261" s="5">
        <v>2.03344334</v>
      </c>
      <c r="H261" s="0" t="inlineStr">
        <is>
          <t xml:space="preserve">supplier</t>
        </is>
      </c>
      <c r="I261" s="0" t="inlineStr">
        <is>
          <t xml:space="preserve">unbucketed</t>
        </is>
      </c>
      <c r="J261" s="0" t="inlineStr">
        <is>
          <t xml:space="preserve">vendor-override</t>
        </is>
      </c>
      <c r="K261" s="5">
        <v>0</v>
      </c>
      <c r="L261" s="5">
        <v>0</v>
      </c>
      <c r="M261" s="5">
        <v>2.03344334</v>
      </c>
      <c r="N261" s="5">
        <v>0.349792</v>
      </c>
      <c r="O261" s="5">
        <v>0.2246752</v>
      </c>
      <c r="P261" s="5">
        <v>0.0</v>
      </c>
      <c r="Q261" s="5">
        <v>0.0</v>
      </c>
      <c r="R261" s="5">
        <v>0.0</v>
      </c>
      <c r="S261" s="5">
        <v>1.4589761399999999</v>
      </c>
      <c r="T261" s="5">
        <v>0.0</v>
      </c>
      <c r="U261" s="5">
        <v>0.0</v>
      </c>
    </row>
    <row r="262" outlineLevel="1">
      <c r="B262" s="0" t="inlineStr">
        <is>
          <t xml:space="preserve">RWH CONSULTING GROUP INC</t>
        </is>
      </c>
      <c r="C262" s="0" t="inlineStr">
        <is>
          <t xml:space="preserve">U73RYB2RKTW4</t>
        </is>
      </c>
      <c r="D262" s="0" t="inlineStr">
        <is>
          <t xml:space="preserve">-</t>
        </is>
      </c>
      <c r="E262" s="0" t="inlineStr">
        <is>
          <t xml:space="preserve">-</t>
        </is>
      </c>
      <c r="F262" s="0" t="inlineStr">
        <is>
          <t xml:space="preserve">-</t>
        </is>
      </c>
      <c r="G262" s="5">
        <v>2.024633</v>
      </c>
      <c r="H262" s="0" t="inlineStr">
        <is>
          <t xml:space="preserve">supplier</t>
        </is>
      </c>
      <c r="I262" s="0" t="inlineStr">
        <is>
          <t xml:space="preserve">unbucketed</t>
        </is>
      </c>
      <c r="J262" s="0" t="inlineStr">
        <is>
          <t xml:space="preserve">residual</t>
        </is>
      </c>
      <c r="K262" s="5">
        <v>0</v>
      </c>
      <c r="L262" s="5">
        <v>0</v>
      </c>
      <c r="M262" s="5">
        <v>2.024633</v>
      </c>
      <c r="N262" s="5">
        <v>0.0</v>
      </c>
      <c r="O262" s="5">
        <v>0.0</v>
      </c>
      <c r="P262" s="5">
        <v>0.0</v>
      </c>
      <c r="Q262" s="5">
        <v>0.0</v>
      </c>
      <c r="R262" s="5">
        <v>0.7025</v>
      </c>
      <c r="S262" s="5">
        <v>1.1949999999999998</v>
      </c>
      <c r="T262" s="5">
        <v>0.12713300000000002</v>
      </c>
      <c r="U262" s="5">
        <v>0.0</v>
      </c>
    </row>
    <row r="263" outlineLevel="1">
      <c r="B263" s="0" t="inlineStr">
        <is>
          <t xml:space="preserve">SCHLUMBERGER N.V.</t>
        </is>
      </c>
      <c r="C263" s="0" t="inlineStr">
        <is>
          <t xml:space="preserve">RLYHS582JDW8</t>
        </is>
      </c>
      <c r="D263" s="0" t="inlineStr">
        <is>
          <t xml:space="preserve">-</t>
        </is>
      </c>
      <c r="E263" s="0" t="inlineStr">
        <is>
          <t xml:space="preserve">-</t>
        </is>
      </c>
      <c r="F263" s="0" t="inlineStr">
        <is>
          <t xml:space="preserve">-</t>
        </is>
      </c>
      <c r="G263" s="5">
        <v>2.011875</v>
      </c>
      <c r="H263" s="0" t="inlineStr">
        <is>
          <t xml:space="preserve">supplier</t>
        </is>
      </c>
      <c r="I263" s="0" t="inlineStr">
        <is>
          <t xml:space="preserve">unbucketed</t>
        </is>
      </c>
      <c r="J263" s="0" t="inlineStr">
        <is>
          <t xml:space="preserve">residual</t>
        </is>
      </c>
      <c r="K263" s="5">
        <v>0</v>
      </c>
      <c r="L263" s="5">
        <v>0</v>
      </c>
      <c r="M263" s="5">
        <v>2.011875</v>
      </c>
      <c r="N263" s="5">
        <v>0.0</v>
      </c>
      <c r="O263" s="5">
        <v>0.0</v>
      </c>
      <c r="P263" s="5">
        <v>0.0</v>
      </c>
      <c r="Q263" s="5">
        <v>0.0</v>
      </c>
      <c r="R263" s="5">
        <v>0.0</v>
      </c>
      <c r="S263" s="5">
        <v>0.0</v>
      </c>
      <c r="T263" s="5">
        <v>0.0</v>
      </c>
      <c r="U263" s="5">
        <v>0.0</v>
      </c>
    </row>
    <row r="264" outlineLevel="1">
      <c r="B264" s="0" t="inlineStr">
        <is>
          <t xml:space="preserve">THE ENTWISTLE TRUST</t>
        </is>
      </c>
      <c r="C264" s="0" t="inlineStr">
        <is>
          <t xml:space="preserve">JRUCKDSNXKD5</t>
        </is>
      </c>
      <c r="D264" s="0" t="inlineStr">
        <is>
          <t xml:space="preserve">-</t>
        </is>
      </c>
      <c r="E264" s="0" t="inlineStr">
        <is>
          <t xml:space="preserve">-</t>
        </is>
      </c>
      <c r="F264" s="0" t="inlineStr">
        <is>
          <t xml:space="preserve">-</t>
        </is>
      </c>
      <c r="G264" s="5">
        <v>1.98117537</v>
      </c>
      <c r="H264" s="0" t="inlineStr">
        <is>
          <t xml:space="preserve">supplier</t>
        </is>
      </c>
      <c r="I264" s="0" t="inlineStr">
        <is>
          <t xml:space="preserve">piping</t>
        </is>
      </c>
      <c r="J264" s="0" t="inlineStr">
        <is>
          <t xml:space="preserve">registry</t>
        </is>
      </c>
      <c r="K264" s="5">
        <v>0</v>
      </c>
      <c r="L264" s="5">
        <v>0</v>
      </c>
      <c r="M264" s="5">
        <v>1.98117537</v>
      </c>
      <c r="N264" s="5">
        <v>1.31988762</v>
      </c>
      <c r="O264" s="5">
        <v>0.0</v>
      </c>
      <c r="P264" s="5">
        <v>0.0</v>
      </c>
      <c r="Q264" s="5">
        <v>0.0</v>
      </c>
      <c r="R264" s="5">
        <v>0.0</v>
      </c>
      <c r="S264" s="5">
        <v>0.0</v>
      </c>
      <c r="T264" s="5">
        <v>0.0</v>
      </c>
      <c r="U264" s="5">
        <v>0.0</v>
      </c>
    </row>
    <row r="265" outlineLevel="1">
      <c r="B265" s="0" t="inlineStr">
        <is>
          <t xml:space="preserve">BERKSHIRE HATHAWAY INC.</t>
        </is>
      </c>
      <c r="C265" s="0" t="inlineStr">
        <is>
          <t xml:space="preserve">GFBTEVXB65X7</t>
        </is>
      </c>
      <c r="D265" s="0" t="inlineStr">
        <is>
          <t xml:space="preserve">-</t>
        </is>
      </c>
      <c r="E265" s="0" t="inlineStr">
        <is>
          <t xml:space="preserve">-</t>
        </is>
      </c>
      <c r="F265" s="0" t="inlineStr">
        <is>
          <t xml:space="preserve">-</t>
        </is>
      </c>
      <c r="G265" s="5">
        <v>1.9457869799999998</v>
      </c>
      <c r="H265" s="0" t="inlineStr">
        <is>
          <t xml:space="preserve">supplier</t>
        </is>
      </c>
      <c r="I265" s="0" t="inlineStr">
        <is>
          <t xml:space="preserve">unbucketed</t>
        </is>
      </c>
      <c r="J265" s="0" t="inlineStr">
        <is>
          <t xml:space="preserve">residual</t>
        </is>
      </c>
      <c r="K265" s="5">
        <v>0</v>
      </c>
      <c r="L265" s="5">
        <v>0</v>
      </c>
      <c r="M265" s="5">
        <v>1.9457869799999998</v>
      </c>
      <c r="N265" s="5">
        <v>0.034246660000000005</v>
      </c>
      <c r="O265" s="5">
        <v>0.0</v>
      </c>
      <c r="P265" s="5">
        <v>0.15099</v>
      </c>
      <c r="Q265" s="5">
        <v>0.0</v>
      </c>
      <c r="R265" s="5">
        <v>0.29724271999999996</v>
      </c>
      <c r="S265" s="5">
        <v>0.0</v>
      </c>
      <c r="T265" s="5">
        <v>0.42958</v>
      </c>
      <c r="U265" s="5">
        <v>0.0</v>
      </c>
    </row>
    <row r="266" outlineLevel="1">
      <c r="B266" s="0" t="inlineStr">
        <is>
          <t xml:space="preserve">MAYCO MANUFACTURING, LLC</t>
        </is>
      </c>
      <c r="C266" s="0" t="inlineStr">
        <is>
          <t xml:space="preserve">UNYXWK1ZR391</t>
        </is>
      </c>
      <c r="D266" s="0" t="inlineStr">
        <is>
          <t xml:space="preserve">-</t>
        </is>
      </c>
      <c r="E266" s="0" t="inlineStr">
        <is>
          <t xml:space="preserve">-</t>
        </is>
      </c>
      <c r="F266" s="0" t="inlineStr">
        <is>
          <t xml:space="preserve">-</t>
        </is>
      </c>
      <c r="G266" s="5">
        <v>1.9205551200000002</v>
      </c>
      <c r="H266" s="0" t="inlineStr">
        <is>
          <t xml:space="preserve">supplier</t>
        </is>
      </c>
      <c r="I266" s="0" t="inlineStr">
        <is>
          <t xml:space="preserve">unbucketed</t>
        </is>
      </c>
      <c r="J266" s="0" t="inlineStr">
        <is>
          <t xml:space="preserve">residual</t>
        </is>
      </c>
      <c r="K266" s="5">
        <v>0</v>
      </c>
      <c r="L266" s="5">
        <v>0</v>
      </c>
      <c r="M266" s="5">
        <v>1.9205551200000002</v>
      </c>
      <c r="N266" s="5">
        <v>0.0</v>
      </c>
      <c r="O266" s="5">
        <v>0.0</v>
      </c>
      <c r="P266" s="5">
        <v>0.0</v>
      </c>
      <c r="Q266" s="5">
        <v>0.0</v>
      </c>
      <c r="R266" s="5">
        <v>0.0</v>
      </c>
      <c r="S266" s="5">
        <v>0.0</v>
      </c>
      <c r="T266" s="5">
        <v>0.09823</v>
      </c>
      <c r="U266" s="5">
        <v>1.8223251200000001</v>
      </c>
    </row>
    <row r="267" outlineLevel="1">
      <c r="B267" s="0" t="inlineStr">
        <is>
          <t xml:space="preserve">STANLEY BLACK &amp; DECKER, INC.</t>
        </is>
      </c>
      <c r="C267" s="0" t="inlineStr">
        <is>
          <t xml:space="preserve">DDQCLD6FEJJ6</t>
        </is>
      </c>
      <c r="D267" s="0" t="inlineStr">
        <is>
          <t xml:space="preserve">-</t>
        </is>
      </c>
      <c r="E267" s="0" t="inlineStr">
        <is>
          <t xml:space="preserve">-</t>
        </is>
      </c>
      <c r="F267" s="0" t="inlineStr">
        <is>
          <t xml:space="preserve">-</t>
        </is>
      </c>
      <c r="G267" s="5">
        <v>1.9198855</v>
      </c>
      <c r="H267" s="0" t="inlineStr">
        <is>
          <t xml:space="preserve">supplier</t>
        </is>
      </c>
      <c r="I267" s="0" t="inlineStr">
        <is>
          <t xml:space="preserve">unbucketed</t>
        </is>
      </c>
      <c r="J267" s="0" t="inlineStr">
        <is>
          <t xml:space="preserve">residual</t>
        </is>
      </c>
      <c r="K267" s="5">
        <v>0</v>
      </c>
      <c r="L267" s="5">
        <v>0</v>
      </c>
      <c r="M267" s="5">
        <v>1.9198855</v>
      </c>
      <c r="N267" s="5">
        <v>0.534258</v>
      </c>
      <c r="O267" s="5">
        <v>0.237942</v>
      </c>
      <c r="P267" s="5">
        <v>0.532175</v>
      </c>
      <c r="Q267" s="5">
        <v>0.0</v>
      </c>
      <c r="R267" s="5">
        <v>0.0</v>
      </c>
      <c r="S267" s="5">
        <v>0.252276</v>
      </c>
      <c r="T267" s="5">
        <v>0.32686099999999996</v>
      </c>
      <c r="U267" s="5">
        <v>0.0363735</v>
      </c>
    </row>
    <row r="268" outlineLevel="1">
      <c r="B268" s="0" t="inlineStr">
        <is>
          <t xml:space="preserve">LANXESS CORPORATION</t>
        </is>
      </c>
      <c r="C268" s="0" t="inlineStr">
        <is>
          <t xml:space="preserve">EU8ESM53JNE7</t>
        </is>
      </c>
      <c r="D268" s="0" t="inlineStr">
        <is>
          <t xml:space="preserve">-</t>
        </is>
      </c>
      <c r="E268" s="0" t="inlineStr">
        <is>
          <t xml:space="preserve">-</t>
        </is>
      </c>
      <c r="F268" s="0" t="inlineStr">
        <is>
          <t xml:space="preserve">-</t>
        </is>
      </c>
      <c r="G268" s="5">
        <v>1.9129978</v>
      </c>
      <c r="H268" s="0" t="inlineStr">
        <is>
          <t xml:space="preserve">supplier</t>
        </is>
      </c>
      <c r="I268" s="0" t="inlineStr">
        <is>
          <t xml:space="preserve">unbucketed</t>
        </is>
      </c>
      <c r="J268" s="0" t="inlineStr">
        <is>
          <t xml:space="preserve">residual</t>
        </is>
      </c>
      <c r="K268" s="5">
        <v>0</v>
      </c>
      <c r="L268" s="5">
        <v>0</v>
      </c>
      <c r="M268" s="5">
        <v>1.9129978</v>
      </c>
      <c r="N268" s="5">
        <v>0.4468</v>
      </c>
      <c r="O268" s="5">
        <v>0.4588</v>
      </c>
      <c r="P268" s="5">
        <v>1.0073978000000001</v>
      </c>
      <c r="Q268" s="5">
        <v>0.0</v>
      </c>
      <c r="R268" s="5">
        <v>0.0</v>
      </c>
      <c r="S268" s="5">
        <v>0.0</v>
      </c>
      <c r="T268" s="5">
        <v>0.0</v>
      </c>
      <c r="U268" s="5">
        <v>0.0</v>
      </c>
    </row>
    <row r="269" outlineLevel="1">
      <c r="B269" s="0" t="inlineStr">
        <is>
          <t xml:space="preserve">CURTISS-WRIGHT CORPORATION</t>
        </is>
      </c>
      <c r="C269" s="0" t="inlineStr">
        <is>
          <t xml:space="preserve">JU5GNH1H5FV6</t>
        </is>
      </c>
      <c r="D269" s="0" t="inlineStr">
        <is>
          <t xml:space="preserve">USA</t>
        </is>
      </c>
      <c r="E269" s="0" t="inlineStr">
        <is>
          <t xml:space="preserve">3329</t>
        </is>
      </c>
      <c r="F269" s="0" t="inlineStr">
        <is>
          <t xml:space="preserve">Industrial Valve Manufacturing</t>
        </is>
      </c>
      <c r="G269" s="5">
        <v>1.88675727</v>
      </c>
      <c r="H269" s="0" t="inlineStr">
        <is>
          <t xml:space="preserve">supplier</t>
        </is>
      </c>
      <c r="I269" s="0" t="inlineStr">
        <is>
          <t xml:space="preserve">piping</t>
        </is>
      </c>
      <c r="J269" s="0" t="inlineStr">
        <is>
          <t xml:space="preserve">naics4</t>
        </is>
      </c>
      <c r="K269" s="5">
        <v>0</v>
      </c>
      <c r="L269" s="5">
        <v>0</v>
      </c>
      <c r="M269" s="5">
        <v>1.88675727</v>
      </c>
      <c r="N269" s="5">
        <v>0.38</v>
      </c>
      <c r="O269" s="5">
        <v>0.0</v>
      </c>
      <c r="P269" s="5">
        <v>0.0</v>
      </c>
      <c r="Q269" s="5">
        <v>0.0</v>
      </c>
      <c r="R269" s="5">
        <v>0.0</v>
      </c>
      <c r="S269" s="5">
        <v>0.0</v>
      </c>
      <c r="T269" s="5">
        <v>0.0</v>
      </c>
      <c r="U269" s="5">
        <v>0.0</v>
      </c>
    </row>
    <row r="270" outlineLevel="1">
      <c r="B270" s="0" t="inlineStr">
        <is>
          <t xml:space="preserve">BECHTEL NATIONAL, INC.</t>
        </is>
      </c>
      <c r="C270" s="0" t="inlineStr">
        <is>
          <t xml:space="preserve">WA9LNGN2DPF4</t>
        </is>
      </c>
      <c r="D270" s="0" t="inlineStr">
        <is>
          <t xml:space="preserve">-</t>
        </is>
      </c>
      <c r="E270" s="0" t="inlineStr">
        <is>
          <t xml:space="preserve">-</t>
        </is>
      </c>
      <c r="F270" s="0" t="inlineStr">
        <is>
          <t xml:space="preserve">-</t>
        </is>
      </c>
      <c r="G270" s="5">
        <v>1.87826</v>
      </c>
      <c r="H270" s="0" t="inlineStr">
        <is>
          <t xml:space="preserve">supplier</t>
        </is>
      </c>
      <c r="I270" s="0" t="inlineStr">
        <is>
          <t xml:space="preserve">unbucketed</t>
        </is>
      </c>
      <c r="J270" s="0" t="inlineStr">
        <is>
          <t xml:space="preserve">residual</t>
        </is>
      </c>
      <c r="K270" s="5">
        <v>0</v>
      </c>
      <c r="L270" s="5">
        <v>0</v>
      </c>
      <c r="M270" s="5">
        <v>1.87826</v>
      </c>
      <c r="N270" s="5">
        <v>0.0</v>
      </c>
      <c r="O270" s="5">
        <v>0.0</v>
      </c>
      <c r="P270" s="5">
        <v>0.0</v>
      </c>
      <c r="Q270" s="5">
        <v>0.0</v>
      </c>
      <c r="R270" s="5">
        <v>0.0</v>
      </c>
      <c r="S270" s="5">
        <v>1.87826</v>
      </c>
      <c r="T270" s="5">
        <v>0.0</v>
      </c>
      <c r="U270" s="5">
        <v>0.0</v>
      </c>
    </row>
    <row r="271" outlineLevel="1">
      <c r="B271" s="0" t="inlineStr">
        <is>
          <t xml:space="preserve">JO-KELL INC.</t>
        </is>
      </c>
      <c r="C271" s="0" t="inlineStr">
        <is>
          <t xml:space="preserve">KNEFNMWXBK39</t>
        </is>
      </c>
      <c r="D271" s="0" t="inlineStr">
        <is>
          <t xml:space="preserve">-</t>
        </is>
      </c>
      <c r="E271" s="0" t="inlineStr">
        <is>
          <t xml:space="preserve">-</t>
        </is>
      </c>
      <c r="F271" s="0" t="inlineStr">
        <is>
          <t xml:space="preserve">-</t>
        </is>
      </c>
      <c r="G271" s="5">
        <v>1.86977519</v>
      </c>
      <c r="H271" s="0" t="inlineStr">
        <is>
          <t xml:space="preserve">supplier</t>
        </is>
      </c>
      <c r="I271" s="0" t="inlineStr">
        <is>
          <t xml:space="preserve">unbucketed</t>
        </is>
      </c>
      <c r="J271" s="0" t="inlineStr">
        <is>
          <t xml:space="preserve">residual</t>
        </is>
      </c>
      <c r="K271" s="5">
        <v>0</v>
      </c>
      <c r="L271" s="5">
        <v>0</v>
      </c>
      <c r="M271" s="5">
        <v>1.86977519</v>
      </c>
      <c r="N271" s="5">
        <v>0.24481358</v>
      </c>
      <c r="O271" s="5">
        <v>0.031455</v>
      </c>
      <c r="P271" s="5">
        <v>0.3274</v>
      </c>
      <c r="Q271" s="5">
        <v>0.12190071999999999</v>
      </c>
      <c r="R271" s="5">
        <v>0.0</v>
      </c>
      <c r="S271" s="5">
        <v>0.568727</v>
      </c>
      <c r="T271" s="5">
        <v>0.08324</v>
      </c>
      <c r="U271" s="5">
        <v>0.0751015</v>
      </c>
    </row>
    <row r="272" outlineLevel="1">
      <c r="B272" s="0" t="inlineStr">
        <is>
          <t xml:space="preserve">MMC METROLOGY LAB, INC.</t>
        </is>
      </c>
      <c r="C272" s="0" t="inlineStr">
        <is>
          <t xml:space="preserve">JU2ME5ZK8VL3</t>
        </is>
      </c>
      <c r="D272" s="0" t="inlineStr">
        <is>
          <t xml:space="preserve">-</t>
        </is>
      </c>
      <c r="E272" s="0" t="inlineStr">
        <is>
          <t xml:space="preserve">-</t>
        </is>
      </c>
      <c r="F272" s="0" t="inlineStr">
        <is>
          <t xml:space="preserve">-</t>
        </is>
      </c>
      <c r="G272" s="5">
        <v>1.8559299999999996</v>
      </c>
      <c r="H272" s="0" t="inlineStr">
        <is>
          <t xml:space="preserve">supplier</t>
        </is>
      </c>
      <c r="I272" s="0" t="inlineStr">
        <is>
          <t xml:space="preserve">unbucketed</t>
        </is>
      </c>
      <c r="J272" s="0" t="inlineStr">
        <is>
          <t xml:space="preserve">residual</t>
        </is>
      </c>
      <c r="K272" s="5">
        <v>0</v>
      </c>
      <c r="L272" s="5">
        <v>0</v>
      </c>
      <c r="M272" s="5">
        <v>1.8559299999999996</v>
      </c>
      <c r="N272" s="5">
        <v>0.0</v>
      </c>
      <c r="O272" s="5">
        <v>0.2541</v>
      </c>
      <c r="P272" s="5">
        <v>0.0352</v>
      </c>
      <c r="Q272" s="5">
        <v>0.0352</v>
      </c>
      <c r="R272" s="5">
        <v>0.2688</v>
      </c>
      <c r="S272" s="5">
        <v>0.17023000000000002</v>
      </c>
      <c r="T272" s="5">
        <v>0.4798</v>
      </c>
      <c r="U272" s="5">
        <v>0.6126</v>
      </c>
    </row>
    <row r="273" outlineLevel="1">
      <c r="B273" s="0" t="inlineStr">
        <is>
          <t xml:space="preserve">SENSARAS, LLC</t>
        </is>
      </c>
      <c r="C273" s="0" t="inlineStr">
        <is>
          <t xml:space="preserve">R2D6XY1EM6J8</t>
        </is>
      </c>
      <c r="D273" s="0" t="inlineStr">
        <is>
          <t xml:space="preserve">-</t>
        </is>
      </c>
      <c r="E273" s="0" t="inlineStr">
        <is>
          <t xml:space="preserve">-</t>
        </is>
      </c>
      <c r="F273" s="0" t="inlineStr">
        <is>
          <t xml:space="preserve">-</t>
        </is>
      </c>
      <c r="G273" s="5">
        <v>1.85310336</v>
      </c>
      <c r="H273" s="0" t="inlineStr">
        <is>
          <t xml:space="preserve">supplier</t>
        </is>
      </c>
      <c r="I273" s="0" t="inlineStr">
        <is>
          <t xml:space="preserve">unbucketed</t>
        </is>
      </c>
      <c r="J273" s="0" t="inlineStr">
        <is>
          <t xml:space="preserve">residual</t>
        </is>
      </c>
      <c r="K273" s="5">
        <v>0</v>
      </c>
      <c r="L273" s="5">
        <v>0</v>
      </c>
      <c r="M273" s="5">
        <v>1.85310336</v>
      </c>
      <c r="N273" s="5">
        <v>0.0</v>
      </c>
      <c r="O273" s="5">
        <v>1.8164788</v>
      </c>
      <c r="P273" s="5">
        <v>0.0</v>
      </c>
      <c r="Q273" s="5">
        <v>0.0</v>
      </c>
      <c r="R273" s="5">
        <v>0.0</v>
      </c>
      <c r="S273" s="5">
        <v>0.0</v>
      </c>
      <c r="T273" s="5">
        <v>0.0</v>
      </c>
      <c r="U273" s="5">
        <v>0.0</v>
      </c>
    </row>
    <row r="274" outlineLevel="1">
      <c r="B274" s="0" t="inlineStr">
        <is>
          <t xml:space="preserve">AGGREKO, LLC</t>
        </is>
      </c>
      <c r="C274" s="0" t="inlineStr">
        <is>
          <t xml:space="preserve">QVJEVJHK3G31</t>
        </is>
      </c>
      <c r="D274" s="0" t="inlineStr">
        <is>
          <t xml:space="preserve">-</t>
        </is>
      </c>
      <c r="E274" s="0" t="inlineStr">
        <is>
          <t xml:space="preserve">-</t>
        </is>
      </c>
      <c r="F274" s="0" t="inlineStr">
        <is>
          <t xml:space="preserve">-</t>
        </is>
      </c>
      <c r="G274" s="5">
        <v>1.81689372</v>
      </c>
      <c r="H274" s="0" t="inlineStr">
        <is>
          <t xml:space="preserve">supplier</t>
        </is>
      </c>
      <c r="I274" s="0" t="inlineStr">
        <is>
          <t xml:space="preserve">unbucketed</t>
        </is>
      </c>
      <c r="J274" s="0" t="inlineStr">
        <is>
          <t xml:space="preserve">residual</t>
        </is>
      </c>
      <c r="K274" s="5">
        <v>0</v>
      </c>
      <c r="L274" s="5">
        <v>0</v>
      </c>
      <c r="M274" s="5">
        <v>1.81689372</v>
      </c>
      <c r="N274" s="5">
        <v>0.0</v>
      </c>
      <c r="O274" s="5">
        <v>0.26655658</v>
      </c>
      <c r="P274" s="5">
        <v>0.7506475100000003</v>
      </c>
      <c r="Q274" s="5">
        <v>0.668944</v>
      </c>
      <c r="R274" s="5">
        <v>0.0</v>
      </c>
      <c r="S274" s="5">
        <v>0.07775248</v>
      </c>
      <c r="T274" s="5">
        <v>0.00207964</v>
      </c>
      <c r="U274" s="5">
        <v>0.0</v>
      </c>
    </row>
    <row r="275" outlineLevel="1">
      <c r="B275" s="0" t="inlineStr">
        <is>
          <t xml:space="preserve">LYNN LADDER AND SCAFFOLDING CO INC</t>
        </is>
      </c>
      <c r="C275" s="0" t="inlineStr">
        <is>
          <t xml:space="preserve">UR64LG5YKUE8</t>
        </is>
      </c>
      <c r="D275" s="0" t="inlineStr">
        <is>
          <t xml:space="preserve">-</t>
        </is>
      </c>
      <c r="E275" s="0" t="inlineStr">
        <is>
          <t xml:space="preserve">-</t>
        </is>
      </c>
      <c r="F275" s="0" t="inlineStr">
        <is>
          <t xml:space="preserve">-</t>
        </is>
      </c>
      <c r="G275" s="5">
        <v>1.7990893500000003</v>
      </c>
      <c r="H275" s="0" t="inlineStr">
        <is>
          <t xml:space="preserve">supplier</t>
        </is>
      </c>
      <c r="I275" s="0" t="inlineStr">
        <is>
          <t xml:space="preserve">unbucketed</t>
        </is>
      </c>
      <c r="J275" s="0" t="inlineStr">
        <is>
          <t xml:space="preserve">residual</t>
        </is>
      </c>
      <c r="K275" s="5">
        <v>0</v>
      </c>
      <c r="L275" s="5">
        <v>0</v>
      </c>
      <c r="M275" s="5">
        <v>1.7990893500000003</v>
      </c>
      <c r="N275" s="5">
        <v>0.0</v>
      </c>
      <c r="O275" s="5">
        <v>0.96908</v>
      </c>
      <c r="P275" s="5">
        <v>0.7300093499999999</v>
      </c>
      <c r="Q275" s="5">
        <v>0.0</v>
      </c>
      <c r="R275" s="5">
        <v>0.0</v>
      </c>
      <c r="S275" s="5">
        <v>0.1</v>
      </c>
      <c r="T275" s="5">
        <v>0.0</v>
      </c>
      <c r="U275" s="5">
        <v>0.0</v>
      </c>
    </row>
    <row r="276" outlineLevel="1">
      <c r="B276" s="0" t="inlineStr">
        <is>
          <t xml:space="preserve">DYNALEC CORPORATION</t>
        </is>
      </c>
      <c r="C276" s="0" t="inlineStr">
        <is>
          <t xml:space="preserve">SKKACASET588</t>
        </is>
      </c>
      <c r="D276" s="0" t="inlineStr">
        <is>
          <t xml:space="preserve">-</t>
        </is>
      </c>
      <c r="E276" s="0" t="inlineStr">
        <is>
          <t xml:space="preserve">-</t>
        </is>
      </c>
      <c r="F276" s="0" t="inlineStr">
        <is>
          <t xml:space="preserve">-</t>
        </is>
      </c>
      <c r="G276" s="5">
        <v>1.7932908000000003</v>
      </c>
      <c r="H276" s="0" t="inlineStr">
        <is>
          <t xml:space="preserve">supplier</t>
        </is>
      </c>
      <c r="I276" s="0" t="inlineStr">
        <is>
          <t xml:space="preserve">electrical</t>
        </is>
      </c>
      <c r="J276" s="0" t="inlineStr">
        <is>
          <t xml:space="preserve">registry</t>
        </is>
      </c>
      <c r="K276" s="5">
        <v>0</v>
      </c>
      <c r="L276" s="5">
        <v>0</v>
      </c>
      <c r="M276" s="5">
        <v>1.7932908000000003</v>
      </c>
      <c r="N276" s="5">
        <v>0.0</v>
      </c>
      <c r="O276" s="5">
        <v>0.0</v>
      </c>
      <c r="P276" s="5">
        <v>0.0</v>
      </c>
      <c r="Q276" s="5">
        <v>0.0</v>
      </c>
      <c r="R276" s="5">
        <v>0.19696580000000002</v>
      </c>
      <c r="S276" s="5">
        <v>0.0</v>
      </c>
      <c r="T276" s="5">
        <v>1.45836</v>
      </c>
      <c r="U276" s="5">
        <v>0.0</v>
      </c>
    </row>
    <row r="277" outlineLevel="1">
      <c r="B277" s="0" t="inlineStr">
        <is>
          <t xml:space="preserve">THE BUTLER WELDMENTS CORPORATION</t>
        </is>
      </c>
      <c r="C277" s="0" t="inlineStr">
        <is>
          <t xml:space="preserve">XEYGFMKSLWW5</t>
        </is>
      </c>
      <c r="D277" s="0" t="inlineStr">
        <is>
          <t xml:space="preserve">-</t>
        </is>
      </c>
      <c r="E277" s="0" t="inlineStr">
        <is>
          <t xml:space="preserve">-</t>
        </is>
      </c>
      <c r="F277" s="0" t="inlineStr">
        <is>
          <t xml:space="preserve">-</t>
        </is>
      </c>
      <c r="G277" s="5">
        <v>1.7589237899999999</v>
      </c>
      <c r="H277" s="0" t="inlineStr">
        <is>
          <t xml:space="preserve">supplier</t>
        </is>
      </c>
      <c r="I277" s="0" t="inlineStr">
        <is>
          <t xml:space="preserve">unbucketed</t>
        </is>
      </c>
      <c r="J277" s="0" t="inlineStr">
        <is>
          <t xml:space="preserve">residual</t>
        </is>
      </c>
      <c r="K277" s="5">
        <v>0</v>
      </c>
      <c r="L277" s="5">
        <v>0</v>
      </c>
      <c r="M277" s="5">
        <v>1.7589237899999999</v>
      </c>
      <c r="N277" s="5">
        <v>0.119108</v>
      </c>
      <c r="O277" s="5">
        <v>0.59973079</v>
      </c>
      <c r="P277" s="5">
        <v>0.09448200000000001</v>
      </c>
      <c r="Q277" s="5">
        <v>0.045395</v>
      </c>
      <c r="R277" s="5">
        <v>0.0</v>
      </c>
      <c r="S277" s="5">
        <v>0.13873</v>
      </c>
      <c r="T277" s="5">
        <v>0.59108</v>
      </c>
      <c r="U277" s="5">
        <v>0.0</v>
      </c>
    </row>
    <row r="278" outlineLevel="1">
      <c r="B278" s="0" t="inlineStr">
        <is>
          <t xml:space="preserve">L3HARRIS TECHNOLOGIES, INC</t>
        </is>
      </c>
      <c r="C278" s="0" t="inlineStr">
        <is>
          <t xml:space="preserve">PTMFLMD2CUB4</t>
        </is>
      </c>
      <c r="D278" s="0" t="inlineStr">
        <is>
          <t xml:space="preserve">USA</t>
        </is>
      </c>
      <c r="E278" s="0" t="inlineStr">
        <is>
          <t xml:space="preserve">3345</t>
        </is>
      </c>
      <c r="F278" s="0" t="inlineStr">
        <is>
          <t xml:space="preserve">Search, Detection, Navigation, Guidance, Aeronautical, and Nautical System and Instrument Manufacturing</t>
        </is>
      </c>
      <c r="G278" s="5">
        <v>1.7524848800000001</v>
      </c>
      <c r="H278" s="0" t="inlineStr">
        <is>
          <t xml:space="preserve">supplier</t>
        </is>
      </c>
      <c r="I278" s="0" t="inlineStr">
        <is>
          <t xml:space="preserve">unbucketed</t>
        </is>
      </c>
      <c r="J278" s="0" t="inlineStr">
        <is>
          <t xml:space="preserve">vendor-override</t>
        </is>
      </c>
      <c r="K278" s="5">
        <v>0</v>
      </c>
      <c r="L278" s="5">
        <v>0</v>
      </c>
      <c r="M278" s="5">
        <v>1.7524848800000001</v>
      </c>
      <c r="N278" s="5">
        <v>0.0</v>
      </c>
      <c r="O278" s="5">
        <v>0.038585600000000005</v>
      </c>
      <c r="P278" s="5">
        <v>0.0</v>
      </c>
      <c r="Q278" s="5">
        <v>1.54331128</v>
      </c>
      <c r="R278" s="5">
        <v>0.0</v>
      </c>
      <c r="S278" s="5">
        <v>0.156224</v>
      </c>
      <c r="T278" s="5">
        <v>0.014364</v>
      </c>
      <c r="U278" s="5">
        <v>0.0</v>
      </c>
    </row>
    <row r="279" outlineLevel="1">
      <c r="B279" s="0" t="inlineStr">
        <is>
          <t xml:space="preserve">RBC BEARINGS INCORPORATED</t>
        </is>
      </c>
      <c r="C279" s="0" t="inlineStr">
        <is>
          <t xml:space="preserve">F8M5LJA6LJL4</t>
        </is>
      </c>
      <c r="D279" s="0" t="inlineStr">
        <is>
          <t xml:space="preserve">-</t>
        </is>
      </c>
      <c r="E279" s="0" t="inlineStr">
        <is>
          <t xml:space="preserve">-</t>
        </is>
      </c>
      <c r="F279" s="0" t="inlineStr">
        <is>
          <t xml:space="preserve">-</t>
        </is>
      </c>
      <c r="G279" s="5">
        <v>1.7497448500000001</v>
      </c>
      <c r="H279" s="0" t="inlineStr">
        <is>
          <t xml:space="preserve">supplier</t>
        </is>
      </c>
      <c r="I279" s="0" t="inlineStr">
        <is>
          <t xml:space="preserve">unbucketed</t>
        </is>
      </c>
      <c r="J279" s="0" t="inlineStr">
        <is>
          <t xml:space="preserve">residual</t>
        </is>
      </c>
      <c r="K279" s="5">
        <v>0</v>
      </c>
      <c r="L279" s="5">
        <v>0</v>
      </c>
      <c r="M279" s="5">
        <v>1.7497448500000001</v>
      </c>
      <c r="N279" s="5">
        <v>0.025128</v>
      </c>
      <c r="O279" s="5">
        <v>0.0</v>
      </c>
      <c r="P279" s="5">
        <v>0.0</v>
      </c>
      <c r="Q279" s="5">
        <v>0.0</v>
      </c>
      <c r="R279" s="5">
        <v>0.0</v>
      </c>
      <c r="S279" s="5">
        <v>0.0</v>
      </c>
      <c r="T279" s="5">
        <v>0.0</v>
      </c>
      <c r="U279" s="5">
        <v>0.0</v>
      </c>
    </row>
    <row r="280" outlineLevel="1">
      <c r="B280" s="0" t="inlineStr">
        <is>
          <t xml:space="preserve">GENERAL ELECTRIC COMPANY</t>
        </is>
      </c>
      <c r="C280" s="0" t="inlineStr">
        <is>
          <t xml:space="preserve">U864F3HRME53</t>
        </is>
      </c>
      <c r="D280" s="0" t="inlineStr">
        <is>
          <t xml:space="preserve">-</t>
        </is>
      </c>
      <c r="E280" s="0" t="inlineStr">
        <is>
          <t xml:space="preserve">-</t>
        </is>
      </c>
      <c r="F280" s="0" t="inlineStr">
        <is>
          <t xml:space="preserve">-</t>
        </is>
      </c>
      <c r="G280" s="5">
        <v>1.7330911999999998</v>
      </c>
      <c r="H280" s="0" t="inlineStr">
        <is>
          <t xml:space="preserve">supplier</t>
        </is>
      </c>
      <c r="I280" s="0" t="inlineStr">
        <is>
          <t xml:space="preserve">unbucketed</t>
        </is>
      </c>
      <c r="J280" s="0" t="inlineStr">
        <is>
          <t xml:space="preserve">residual</t>
        </is>
      </c>
      <c r="K280" s="5">
        <v>0</v>
      </c>
      <c r="L280" s="5">
        <v>0</v>
      </c>
      <c r="M280" s="5">
        <v>1.7330911999999998</v>
      </c>
      <c r="N280" s="5">
        <v>0.0</v>
      </c>
      <c r="O280" s="5">
        <v>0.0</v>
      </c>
      <c r="P280" s="5">
        <v>0.0</v>
      </c>
      <c r="Q280" s="5">
        <v>0.0</v>
      </c>
      <c r="R280" s="5">
        <v>0.6555</v>
      </c>
      <c r="S280" s="5">
        <v>0.0</v>
      </c>
      <c r="T280" s="5">
        <v>0.0</v>
      </c>
      <c r="U280" s="5">
        <v>0.0</v>
      </c>
    </row>
    <row r="281" outlineLevel="1">
      <c r="B281" s="0" t="inlineStr">
        <is>
          <t xml:space="preserve">HITACHI CONSTRUCTION MACHINERY CO., LTD.</t>
        </is>
      </c>
      <c r="C281" s="0" t="inlineStr">
        <is>
          <t xml:space="preserve">JKPCAKFW8X93</t>
        </is>
      </c>
      <c r="D281" s="0" t="inlineStr">
        <is>
          <t xml:space="preserve">-</t>
        </is>
      </c>
      <c r="E281" s="0" t="inlineStr">
        <is>
          <t xml:space="preserve">-</t>
        </is>
      </c>
      <c r="F281" s="0" t="inlineStr">
        <is>
          <t xml:space="preserve">-</t>
        </is>
      </c>
      <c r="G281" s="5">
        <v>1.7215917500000002</v>
      </c>
      <c r="H281" s="0" t="inlineStr">
        <is>
          <t xml:space="preserve">supplier</t>
        </is>
      </c>
      <c r="I281" s="0" t="inlineStr">
        <is>
          <t xml:space="preserve">unbucketed</t>
        </is>
      </c>
      <c r="J281" s="0" t="inlineStr">
        <is>
          <t xml:space="preserve">residual</t>
        </is>
      </c>
      <c r="K281" s="5">
        <v>0</v>
      </c>
      <c r="L281" s="5">
        <v>0</v>
      </c>
      <c r="M281" s="5">
        <v>1.7215917500000002</v>
      </c>
      <c r="N281" s="5">
        <v>0.0</v>
      </c>
      <c r="O281" s="5">
        <v>0.0</v>
      </c>
      <c r="P281" s="5">
        <v>0.0</v>
      </c>
      <c r="Q281" s="5">
        <v>0.0</v>
      </c>
      <c r="R281" s="5">
        <v>0.0</v>
      </c>
      <c r="S281" s="5">
        <v>0.0</v>
      </c>
      <c r="T281" s="5">
        <v>0.0</v>
      </c>
      <c r="U281" s="5">
        <v>0.0</v>
      </c>
    </row>
    <row r="282" outlineLevel="1">
      <c r="B282" s="0" t="inlineStr">
        <is>
          <t xml:space="preserve">INDUSTRIAL TRANSFER AND STORAGE, INC</t>
        </is>
      </c>
      <c r="C282" s="0" t="inlineStr">
        <is>
          <t xml:space="preserve">Z19UP1U6FMT1</t>
        </is>
      </c>
      <c r="D282" s="0" t="inlineStr">
        <is>
          <t xml:space="preserve">-</t>
        </is>
      </c>
      <c r="E282" s="0" t="inlineStr">
        <is>
          <t xml:space="preserve">-</t>
        </is>
      </c>
      <c r="F282" s="0" t="inlineStr">
        <is>
          <t xml:space="preserve">-</t>
        </is>
      </c>
      <c r="G282" s="5">
        <v>1.7082064300000002</v>
      </c>
      <c r="H282" s="0" t="inlineStr">
        <is>
          <t xml:space="preserve">supplier</t>
        </is>
      </c>
      <c r="I282" s="0" t="inlineStr">
        <is>
          <t xml:space="preserve">unbucketed</t>
        </is>
      </c>
      <c r="J282" s="0" t="inlineStr">
        <is>
          <t xml:space="preserve">residual</t>
        </is>
      </c>
      <c r="K282" s="5">
        <v>0</v>
      </c>
      <c r="L282" s="5">
        <v>0</v>
      </c>
      <c r="M282" s="5">
        <v>1.7082064300000002</v>
      </c>
      <c r="N282" s="5">
        <v>0.0</v>
      </c>
      <c r="O282" s="5">
        <v>0.0</v>
      </c>
      <c r="P282" s="5">
        <v>0.0</v>
      </c>
      <c r="Q282" s="5">
        <v>0.0</v>
      </c>
      <c r="R282" s="5">
        <v>0.82549977</v>
      </c>
      <c r="S282" s="5">
        <v>0.7369366599999999</v>
      </c>
      <c r="T282" s="5">
        <v>0.08577000000000001</v>
      </c>
      <c r="U282" s="5">
        <v>0.06</v>
      </c>
    </row>
    <row r="283" outlineLevel="1">
      <c r="B283" s="0" t="inlineStr">
        <is>
          <t xml:space="preserve">VETERANS' GROUP LLC</t>
        </is>
      </c>
      <c r="C283" s="0" t="inlineStr">
        <is>
          <t xml:space="preserve">SE6NBH1ZRQN5</t>
        </is>
      </c>
      <c r="D283" s="0" t="inlineStr">
        <is>
          <t xml:space="preserve">-</t>
        </is>
      </c>
      <c r="E283" s="0" t="inlineStr">
        <is>
          <t xml:space="preserve">-</t>
        </is>
      </c>
      <c r="F283" s="0" t="inlineStr">
        <is>
          <t xml:space="preserve">-</t>
        </is>
      </c>
      <c r="G283" s="5">
        <v>1.7057040000000003</v>
      </c>
      <c r="H283" s="0" t="inlineStr">
        <is>
          <t xml:space="preserve">supplier</t>
        </is>
      </c>
      <c r="I283" s="0" t="inlineStr">
        <is>
          <t xml:space="preserve">unbucketed</t>
        </is>
      </c>
      <c r="J283" s="0" t="inlineStr">
        <is>
          <t xml:space="preserve">residual</t>
        </is>
      </c>
      <c r="K283" s="5">
        <v>0</v>
      </c>
      <c r="L283" s="5">
        <v>0</v>
      </c>
      <c r="M283" s="5">
        <v>1.7057040000000003</v>
      </c>
      <c r="N283" s="5">
        <v>0.253</v>
      </c>
      <c r="O283" s="5">
        <v>0.0</v>
      </c>
      <c r="P283" s="5">
        <v>0.0</v>
      </c>
      <c r="Q283" s="5">
        <v>0.0</v>
      </c>
      <c r="R283" s="5">
        <v>0.0</v>
      </c>
      <c r="S283" s="5">
        <v>0.0</v>
      </c>
      <c r="T283" s="5">
        <v>0.0</v>
      </c>
      <c r="U283" s="5">
        <v>0.0</v>
      </c>
    </row>
    <row r="284" outlineLevel="1">
      <c r="B284" s="0" t="inlineStr">
        <is>
          <t xml:space="preserve">TOTAL WELDING SUPPLY, INC.</t>
        </is>
      </c>
      <c r="C284" s="0" t="inlineStr">
        <is>
          <t xml:space="preserve">VNC1NE44BXJ6</t>
        </is>
      </c>
      <c r="D284" s="0" t="inlineStr">
        <is>
          <t xml:space="preserve">-</t>
        </is>
      </c>
      <c r="E284" s="0" t="inlineStr">
        <is>
          <t xml:space="preserve">-</t>
        </is>
      </c>
      <c r="F284" s="0" t="inlineStr">
        <is>
          <t xml:space="preserve">-</t>
        </is>
      </c>
      <c r="G284" s="5">
        <v>1.69179776</v>
      </c>
      <c r="H284" s="0" t="inlineStr">
        <is>
          <t xml:space="preserve">supplier</t>
        </is>
      </c>
      <c r="I284" s="0" t="inlineStr">
        <is>
          <t xml:space="preserve">unbucketed</t>
        </is>
      </c>
      <c r="J284" s="0" t="inlineStr">
        <is>
          <t xml:space="preserve">residual</t>
        </is>
      </c>
      <c r="K284" s="5">
        <v>0</v>
      </c>
      <c r="L284" s="5">
        <v>0</v>
      </c>
      <c r="M284" s="5">
        <v>1.69179776</v>
      </c>
      <c r="N284" s="5">
        <v>0.0</v>
      </c>
      <c r="O284" s="5">
        <v>0.0</v>
      </c>
      <c r="P284" s="5">
        <v>0.0</v>
      </c>
      <c r="Q284" s="5">
        <v>0.0</v>
      </c>
      <c r="R284" s="5">
        <v>1.27818633</v>
      </c>
      <c r="S284" s="5">
        <v>0.19039687</v>
      </c>
      <c r="T284" s="5">
        <v>0.22321456</v>
      </c>
      <c r="U284" s="5">
        <v>0.0</v>
      </c>
    </row>
    <row r="285" outlineLevel="1">
      <c r="B285" s="0" t="inlineStr">
        <is>
          <t xml:space="preserve">REINAUER TRANSPORTATION COMPANIES, LLC</t>
        </is>
      </c>
      <c r="C285" s="0" t="inlineStr">
        <is>
          <t xml:space="preserve">EUB6UJ91Y997</t>
        </is>
      </c>
      <c r="D285" s="0" t="inlineStr">
        <is>
          <t xml:space="preserve">-</t>
        </is>
      </c>
      <c r="E285" s="0" t="inlineStr">
        <is>
          <t xml:space="preserve">-</t>
        </is>
      </c>
      <c r="F285" s="0" t="inlineStr">
        <is>
          <t xml:space="preserve">-</t>
        </is>
      </c>
      <c r="G285" s="5">
        <v>1.67713183</v>
      </c>
      <c r="H285" s="0" t="inlineStr">
        <is>
          <t xml:space="preserve">supplier</t>
        </is>
      </c>
      <c r="I285" s="0" t="inlineStr">
        <is>
          <t xml:space="preserve">unbucketed</t>
        </is>
      </c>
      <c r="J285" s="0" t="inlineStr">
        <is>
          <t xml:space="preserve">residual</t>
        </is>
      </c>
      <c r="K285" s="5">
        <v>0</v>
      </c>
      <c r="L285" s="5">
        <v>0</v>
      </c>
      <c r="M285" s="5">
        <v>1.67713183</v>
      </c>
      <c r="N285" s="5">
        <v>0.0</v>
      </c>
      <c r="O285" s="5">
        <v>0.0</v>
      </c>
      <c r="P285" s="5">
        <v>0.0</v>
      </c>
      <c r="Q285" s="5">
        <v>0.0</v>
      </c>
      <c r="R285" s="5">
        <v>0.0</v>
      </c>
      <c r="S285" s="5">
        <v>0.0</v>
      </c>
      <c r="T285" s="5">
        <v>0.0</v>
      </c>
      <c r="U285" s="5">
        <v>0.0</v>
      </c>
    </row>
    <row r="286" outlineLevel="1">
      <c r="B286" s="0" t="inlineStr">
        <is>
          <t xml:space="preserve">CHESTERFIELD SPECIAL CYLINDERS LIMITED</t>
        </is>
      </c>
      <c r="C286" s="0" t="inlineStr">
        <is>
          <t xml:space="preserve">CEN1DBGRNU77</t>
        </is>
      </c>
      <c r="D286" s="0" t="inlineStr">
        <is>
          <t xml:space="preserve">Foreign</t>
        </is>
      </c>
      <c r="E286" s="0" t="inlineStr">
        <is>
          <t xml:space="preserve">-</t>
        </is>
      </c>
      <c r="F286" s="0" t="inlineStr">
        <is>
          <t xml:space="preserve">-</t>
        </is>
      </c>
      <c r="G286" s="5">
        <v>1.67505172</v>
      </c>
      <c r="H286" s="0" t="inlineStr">
        <is>
          <t xml:space="preserve">foreign_fms</t>
        </is>
      </c>
      <c r="I286" s="0" t="inlineStr">
        <is>
          <t xml:space="preserve">-</t>
        </is>
      </c>
      <c r="J286" s="0" t="inlineStr">
        <is>
          <t xml:space="preserve">foreign flag</t>
        </is>
      </c>
      <c r="K286" s="5">
        <v>0</v>
      </c>
      <c r="L286" s="5">
        <v>0</v>
      </c>
      <c r="M286" s="5">
        <v>1.67505172</v>
      </c>
      <c r="N286" s="5">
        <v>0.0</v>
      </c>
      <c r="O286" s="5">
        <v>0.0</v>
      </c>
      <c r="P286" s="5">
        <v>0.0</v>
      </c>
      <c r="Q286" s="5">
        <v>0.0</v>
      </c>
      <c r="R286" s="5">
        <v>0.0</v>
      </c>
      <c r="S286" s="5">
        <v>0.0</v>
      </c>
      <c r="T286" s="5">
        <v>0.0</v>
      </c>
      <c r="U286" s="5">
        <v>1.67505172</v>
      </c>
    </row>
    <row r="287" outlineLevel="1">
      <c r="B287" s="0" t="inlineStr">
        <is>
          <t xml:space="preserve">BLOOMY CONTROLS INC</t>
        </is>
      </c>
      <c r="C287" s="0" t="inlineStr">
        <is>
          <t xml:space="preserve">F2KSX22KK1E4</t>
        </is>
      </c>
      <c r="D287" s="0" t="inlineStr">
        <is>
          <t xml:space="preserve">-</t>
        </is>
      </c>
      <c r="E287" s="0" t="inlineStr">
        <is>
          <t xml:space="preserve">-</t>
        </is>
      </c>
      <c r="F287" s="0" t="inlineStr">
        <is>
          <t xml:space="preserve">-</t>
        </is>
      </c>
      <c r="G287" s="5">
        <v>1.649291</v>
      </c>
      <c r="H287" s="0" t="inlineStr">
        <is>
          <t xml:space="preserve">supplier</t>
        </is>
      </c>
      <c r="I287" s="0" t="inlineStr">
        <is>
          <t xml:space="preserve">unbucketed</t>
        </is>
      </c>
      <c r="J287" s="0" t="inlineStr">
        <is>
          <t xml:space="preserve">residual</t>
        </is>
      </c>
      <c r="K287" s="5">
        <v>0</v>
      </c>
      <c r="L287" s="5">
        <v>0</v>
      </c>
      <c r="M287" s="5">
        <v>1.649291</v>
      </c>
      <c r="N287" s="5">
        <v>0.0</v>
      </c>
      <c r="O287" s="5">
        <v>0.0</v>
      </c>
      <c r="P287" s="5">
        <v>0.0</v>
      </c>
      <c r="Q287" s="5">
        <v>0.0</v>
      </c>
      <c r="R287" s="5">
        <v>0.0</v>
      </c>
      <c r="S287" s="5">
        <v>1.649291</v>
      </c>
      <c r="T287" s="5">
        <v>0.0</v>
      </c>
      <c r="U287" s="5">
        <v>0.0</v>
      </c>
    </row>
    <row r="288" outlineLevel="1">
      <c r="B288" s="0" t="inlineStr">
        <is>
          <t xml:space="preserve">AISH TECHNOLOGIES LIMITED</t>
        </is>
      </c>
      <c r="C288" s="0" t="inlineStr">
        <is>
          <t xml:space="preserve">E9DKKLZNCQS9</t>
        </is>
      </c>
      <c r="D288" s="0" t="inlineStr">
        <is>
          <t xml:space="preserve">GBR</t>
        </is>
      </c>
      <c r="E288" s="0" t="inlineStr">
        <is>
          <t xml:space="preserve">3344</t>
        </is>
      </c>
      <c r="F288" s="0" t="inlineStr">
        <is>
          <t xml:space="preserve">Other Electronic Component Manufacturing</t>
        </is>
      </c>
      <c r="G288" s="5">
        <v>1.64663756</v>
      </c>
      <c r="H288" s="0" t="inlineStr">
        <is>
          <t xml:space="preserve">supplier</t>
        </is>
      </c>
      <c r="I288" s="0" t="inlineStr">
        <is>
          <t xml:space="preserve">electrical</t>
        </is>
      </c>
      <c r="J288" s="0" t="inlineStr">
        <is>
          <t xml:space="preserve">registry</t>
        </is>
      </c>
      <c r="K288" s="5">
        <v>0</v>
      </c>
      <c r="L288" s="5">
        <v>0</v>
      </c>
      <c r="M288" s="5">
        <v>1.64663756</v>
      </c>
      <c r="N288" s="5">
        <v>0.0</v>
      </c>
      <c r="O288" s="5">
        <v>0.0</v>
      </c>
      <c r="P288" s="5">
        <v>0.0</v>
      </c>
      <c r="Q288" s="5">
        <v>0.0</v>
      </c>
      <c r="R288" s="5">
        <v>0.0</v>
      </c>
      <c r="S288" s="5">
        <v>1.64663756</v>
      </c>
      <c r="T288" s="5">
        <v>0.0</v>
      </c>
      <c r="U288" s="5">
        <v>0.0</v>
      </c>
    </row>
    <row r="289" outlineLevel="1">
      <c r="B289" s="0" t="inlineStr">
        <is>
          <t xml:space="preserve">NAVUS AUTOMATION, INC.</t>
        </is>
      </c>
      <c r="C289" s="0" t="inlineStr">
        <is>
          <t xml:space="preserve">Y5R2L8HWAUA8</t>
        </is>
      </c>
      <c r="D289" s="0" t="inlineStr">
        <is>
          <t xml:space="preserve">-</t>
        </is>
      </c>
      <c r="E289" s="0" t="inlineStr">
        <is>
          <t xml:space="preserve">-</t>
        </is>
      </c>
      <c r="F289" s="0" t="inlineStr">
        <is>
          <t xml:space="preserve">-</t>
        </is>
      </c>
      <c r="G289" s="5">
        <v>1.63897014</v>
      </c>
      <c r="H289" s="0" t="inlineStr">
        <is>
          <t xml:space="preserve">supplier</t>
        </is>
      </c>
      <c r="I289" s="0" t="inlineStr">
        <is>
          <t xml:space="preserve">unbucketed</t>
        </is>
      </c>
      <c r="J289" s="0" t="inlineStr">
        <is>
          <t xml:space="preserve">residual</t>
        </is>
      </c>
      <c r="K289" s="5">
        <v>0</v>
      </c>
      <c r="L289" s="5">
        <v>0</v>
      </c>
      <c r="M289" s="5">
        <v>1.63897014</v>
      </c>
      <c r="N289" s="5">
        <v>0.0</v>
      </c>
      <c r="O289" s="5">
        <v>0.0</v>
      </c>
      <c r="P289" s="5">
        <v>0.0</v>
      </c>
      <c r="Q289" s="5">
        <v>0.0</v>
      </c>
      <c r="R289" s="5">
        <v>0.8380399399999999</v>
      </c>
      <c r="S289" s="5">
        <v>0.0684062</v>
      </c>
      <c r="T289" s="5">
        <v>0.141</v>
      </c>
      <c r="U289" s="5">
        <v>0.0</v>
      </c>
    </row>
    <row r="290" outlineLevel="1">
      <c r="B290" s="0" t="inlineStr">
        <is>
          <t xml:space="preserve">DELTAK MANUFACTURING INC</t>
        </is>
      </c>
      <c r="C290" s="0" t="inlineStr">
        <is>
          <t xml:space="preserve">C256E427Q518</t>
        </is>
      </c>
      <c r="D290" s="0" t="inlineStr">
        <is>
          <t xml:space="preserve">USA</t>
        </is>
      </c>
      <c r="E290" s="0" t="inlineStr">
        <is>
          <t xml:space="preserve">3323</t>
        </is>
      </c>
      <c r="F290" s="0" t="inlineStr">
        <is>
          <t xml:space="preserve">Ornamental and Architectural Metal Work Manufacturing</t>
        </is>
      </c>
      <c r="G290" s="5">
        <v>1.632059</v>
      </c>
      <c r="H290" s="0" t="inlineStr">
        <is>
          <t xml:space="preserve">supplier</t>
        </is>
      </c>
      <c r="I290" s="0" t="inlineStr">
        <is>
          <t xml:space="preserve">structural</t>
        </is>
      </c>
      <c r="J290" s="0" t="inlineStr">
        <is>
          <t xml:space="preserve">naics4</t>
        </is>
      </c>
      <c r="K290" s="5">
        <v>0</v>
      </c>
      <c r="L290" s="5">
        <v>0</v>
      </c>
      <c r="M290" s="5">
        <v>1.632059</v>
      </c>
      <c r="N290" s="5">
        <v>1.632059</v>
      </c>
      <c r="O290" s="5">
        <v>0.0</v>
      </c>
      <c r="P290" s="5">
        <v>0.0</v>
      </c>
      <c r="Q290" s="5">
        <v>0.0</v>
      </c>
      <c r="R290" s="5">
        <v>0.0</v>
      </c>
      <c r="S290" s="5">
        <v>0.0</v>
      </c>
      <c r="T290" s="5">
        <v>0.0</v>
      </c>
      <c r="U290" s="5">
        <v>0.0</v>
      </c>
    </row>
    <row r="291" outlineLevel="1">
      <c r="B291" s="0" t="inlineStr">
        <is>
          <t xml:space="preserve">BOWMAR LLC</t>
        </is>
      </c>
      <c r="C291" s="0" t="inlineStr">
        <is>
          <t xml:space="preserve">C3B4GMUXK277</t>
        </is>
      </c>
      <c r="D291" s="0" t="inlineStr">
        <is>
          <t xml:space="preserve">-</t>
        </is>
      </c>
      <c r="E291" s="0" t="inlineStr">
        <is>
          <t xml:space="preserve">-</t>
        </is>
      </c>
      <c r="F291" s="0" t="inlineStr">
        <is>
          <t xml:space="preserve">-</t>
        </is>
      </c>
      <c r="G291" s="5">
        <v>1.6282846599999998</v>
      </c>
      <c r="H291" s="0" t="inlineStr">
        <is>
          <t xml:space="preserve">supplier</t>
        </is>
      </c>
      <c r="I291" s="0" t="inlineStr">
        <is>
          <t xml:space="preserve">unbucketed</t>
        </is>
      </c>
      <c r="J291" s="0" t="inlineStr">
        <is>
          <t xml:space="preserve">residual</t>
        </is>
      </c>
      <c r="K291" s="5">
        <v>0</v>
      </c>
      <c r="L291" s="5">
        <v>0</v>
      </c>
      <c r="M291" s="5">
        <v>1.6282846599999998</v>
      </c>
      <c r="N291" s="5">
        <v>0.0</v>
      </c>
      <c r="O291" s="5">
        <v>0.04245</v>
      </c>
      <c r="P291" s="5">
        <v>0.0</v>
      </c>
      <c r="Q291" s="5">
        <v>1.41983466</v>
      </c>
      <c r="R291" s="5">
        <v>0.166</v>
      </c>
      <c r="S291" s="5">
        <v>0.0</v>
      </c>
      <c r="T291" s="5">
        <v>0.0</v>
      </c>
      <c r="U291" s="5">
        <v>0.0</v>
      </c>
    </row>
    <row r="292" outlineLevel="1">
      <c r="B292" s="0" t="inlineStr">
        <is>
          <t xml:space="preserve">CP INDUSTRIES HOLDINGS, INC.</t>
        </is>
      </c>
      <c r="C292" s="0" t="inlineStr">
        <is>
          <t xml:space="preserve">MSYWUDGYPKF5</t>
        </is>
      </c>
      <c r="D292" s="0" t="inlineStr">
        <is>
          <t xml:space="preserve">-</t>
        </is>
      </c>
      <c r="E292" s="0" t="inlineStr">
        <is>
          <t xml:space="preserve">-</t>
        </is>
      </c>
      <c r="F292" s="0" t="inlineStr">
        <is>
          <t xml:space="preserve">-</t>
        </is>
      </c>
      <c r="G292" s="5">
        <v>1.616498</v>
      </c>
      <c r="H292" s="0" t="inlineStr">
        <is>
          <t xml:space="preserve">supplier</t>
        </is>
      </c>
      <c r="I292" s="0" t="inlineStr">
        <is>
          <t xml:space="preserve">structural</t>
        </is>
      </c>
      <c r="J292" s="0" t="inlineStr">
        <is>
          <t xml:space="preserve">registry</t>
        </is>
      </c>
      <c r="K292" s="5">
        <v>0</v>
      </c>
      <c r="L292" s="5">
        <v>0</v>
      </c>
      <c r="M292" s="5">
        <v>1.616498</v>
      </c>
      <c r="N292" s="5">
        <v>0.0</v>
      </c>
      <c r="O292" s="5">
        <v>0.0</v>
      </c>
      <c r="P292" s="5">
        <v>0.0</v>
      </c>
      <c r="Q292" s="5">
        <v>0.0</v>
      </c>
      <c r="R292" s="5">
        <v>1.616498</v>
      </c>
      <c r="S292" s="5">
        <v>0.0</v>
      </c>
      <c r="T292" s="5">
        <v>0.0</v>
      </c>
      <c r="U292" s="5">
        <v>0.0</v>
      </c>
    </row>
    <row r="293" outlineLevel="1">
      <c r="B293" s="0" t="inlineStr">
        <is>
          <t xml:space="preserve">SAFARI MICRO, INC.</t>
        </is>
      </c>
      <c r="C293" s="0" t="inlineStr">
        <is>
          <t xml:space="preserve">V212U2BEGU37</t>
        </is>
      </c>
      <c r="D293" s="0" t="inlineStr">
        <is>
          <t xml:space="preserve">-</t>
        </is>
      </c>
      <c r="E293" s="0" t="inlineStr">
        <is>
          <t xml:space="preserve">-</t>
        </is>
      </c>
      <c r="F293" s="0" t="inlineStr">
        <is>
          <t xml:space="preserve">-</t>
        </is>
      </c>
      <c r="G293" s="5">
        <v>1.5759809999999999</v>
      </c>
      <c r="H293" s="0" t="inlineStr">
        <is>
          <t xml:space="preserve">supplier</t>
        </is>
      </c>
      <c r="I293" s="0" t="inlineStr">
        <is>
          <t xml:space="preserve">unbucketed</t>
        </is>
      </c>
      <c r="J293" s="0" t="inlineStr">
        <is>
          <t xml:space="preserve">residual</t>
        </is>
      </c>
      <c r="K293" s="5">
        <v>0</v>
      </c>
      <c r="L293" s="5">
        <v>0</v>
      </c>
      <c r="M293" s="5">
        <v>1.5759809999999999</v>
      </c>
      <c r="N293" s="5">
        <v>0.0</v>
      </c>
      <c r="O293" s="5">
        <v>0.085721</v>
      </c>
      <c r="P293" s="5">
        <v>1.11463</v>
      </c>
      <c r="Q293" s="5">
        <v>0.2263</v>
      </c>
      <c r="R293" s="5">
        <v>0.06425</v>
      </c>
      <c r="S293" s="5">
        <v>0.03525</v>
      </c>
      <c r="T293" s="5">
        <v>0.04983</v>
      </c>
      <c r="U293" s="5">
        <v>0.0</v>
      </c>
    </row>
    <row r="294" outlineLevel="1">
      <c r="B294" s="0" t="inlineStr">
        <is>
          <t xml:space="preserve">ASA ENVIRONMENTAL PRODUCTS INC</t>
        </is>
      </c>
      <c r="C294" s="0" t="inlineStr">
        <is>
          <t xml:space="preserve">NGMSB6M2QKA4</t>
        </is>
      </c>
      <c r="D294" s="0" t="inlineStr">
        <is>
          <t xml:space="preserve">-</t>
        </is>
      </c>
      <c r="E294" s="0" t="inlineStr">
        <is>
          <t xml:space="preserve">-</t>
        </is>
      </c>
      <c r="F294" s="0" t="inlineStr">
        <is>
          <t xml:space="preserve">-</t>
        </is>
      </c>
      <c r="G294" s="5">
        <v>1.5737652300000002</v>
      </c>
      <c r="H294" s="0" t="inlineStr">
        <is>
          <t xml:space="preserve">supplier</t>
        </is>
      </c>
      <c r="I294" s="0" t="inlineStr">
        <is>
          <t xml:space="preserve">unbucketed</t>
        </is>
      </c>
      <c r="J294" s="0" t="inlineStr">
        <is>
          <t xml:space="preserve">residual</t>
        </is>
      </c>
      <c r="K294" s="5">
        <v>0</v>
      </c>
      <c r="L294" s="5">
        <v>0</v>
      </c>
      <c r="M294" s="5">
        <v>1.5737652300000002</v>
      </c>
      <c r="N294" s="5">
        <v>0.08838212</v>
      </c>
      <c r="O294" s="5">
        <v>0.70247001</v>
      </c>
      <c r="P294" s="5">
        <v>0.1377384</v>
      </c>
      <c r="Q294" s="5">
        <v>0.1239814</v>
      </c>
      <c r="R294" s="5">
        <v>0.0</v>
      </c>
      <c r="S294" s="5">
        <v>0.17646065</v>
      </c>
      <c r="T294" s="5">
        <v>0.11188209</v>
      </c>
      <c r="U294" s="5">
        <v>0.23285055999999998</v>
      </c>
    </row>
    <row r="295" outlineLevel="1">
      <c r="B295" s="0" t="inlineStr">
        <is>
          <t xml:space="preserve">PEERLESS INSTRUMENT CO., INC.</t>
        </is>
      </c>
      <c r="C295" s="0" t="inlineStr">
        <is>
          <t xml:space="preserve">MSFLXVQVJMG4</t>
        </is>
      </c>
      <c r="D295" s="0" t="inlineStr">
        <is>
          <t xml:space="preserve">-</t>
        </is>
      </c>
      <c r="E295" s="0" t="inlineStr">
        <is>
          <t xml:space="preserve">-</t>
        </is>
      </c>
      <c r="F295" s="0" t="inlineStr">
        <is>
          <t xml:space="preserve">-</t>
        </is>
      </c>
      <c r="G295" s="5">
        <v>1.571009</v>
      </c>
      <c r="H295" s="0" t="inlineStr">
        <is>
          <t xml:space="preserve">supplier</t>
        </is>
      </c>
      <c r="I295" s="0" t="inlineStr">
        <is>
          <t xml:space="preserve">unbucketed</t>
        </is>
      </c>
      <c r="J295" s="0" t="inlineStr">
        <is>
          <t xml:space="preserve">residual</t>
        </is>
      </c>
      <c r="K295" s="5">
        <v>0</v>
      </c>
      <c r="L295" s="5">
        <v>0</v>
      </c>
      <c r="M295" s="5">
        <v>1.571009</v>
      </c>
      <c r="N295" s="5">
        <v>0.0</v>
      </c>
      <c r="O295" s="5">
        <v>0.0</v>
      </c>
      <c r="P295" s="5">
        <v>0.0</v>
      </c>
      <c r="Q295" s="5">
        <v>0.0</v>
      </c>
      <c r="R295" s="5">
        <v>0.16534</v>
      </c>
      <c r="S295" s="5">
        <v>0.9522390000000001</v>
      </c>
      <c r="T295" s="5">
        <v>0.05951</v>
      </c>
      <c r="U295" s="5">
        <v>0.39392000000000005</v>
      </c>
    </row>
    <row r="296" outlineLevel="1">
      <c r="B296" s="0" t="inlineStr">
        <is>
          <t xml:space="preserve">SAFARI MICRO GOVERNMENT SOLUTIONS, LLC</t>
        </is>
      </c>
      <c r="C296" s="0" t="inlineStr">
        <is>
          <t xml:space="preserve">TJGHTGTTVEA1</t>
        </is>
      </c>
      <c r="D296" s="0" t="inlineStr">
        <is>
          <t xml:space="preserve">-</t>
        </is>
      </c>
      <c r="E296" s="0" t="inlineStr">
        <is>
          <t xml:space="preserve">-</t>
        </is>
      </c>
      <c r="F296" s="0" t="inlineStr">
        <is>
          <t xml:space="preserve">-</t>
        </is>
      </c>
      <c r="G296" s="5">
        <v>1.5704820000000002</v>
      </c>
      <c r="H296" s="0" t="inlineStr">
        <is>
          <t xml:space="preserve">supplier</t>
        </is>
      </c>
      <c r="I296" s="0" t="inlineStr">
        <is>
          <t xml:space="preserve">unbucketed</t>
        </is>
      </c>
      <c r="J296" s="0" t="inlineStr">
        <is>
          <t xml:space="preserve">residual</t>
        </is>
      </c>
      <c r="K296" s="5">
        <v>0</v>
      </c>
      <c r="L296" s="5">
        <v>0</v>
      </c>
      <c r="M296" s="5">
        <v>1.5704820000000002</v>
      </c>
      <c r="N296" s="5">
        <v>0.035472</v>
      </c>
      <c r="O296" s="5">
        <v>0.0</v>
      </c>
      <c r="P296" s="5">
        <v>0.03196</v>
      </c>
      <c r="Q296" s="5">
        <v>0.0</v>
      </c>
      <c r="R296" s="5">
        <v>0.230595</v>
      </c>
      <c r="S296" s="5">
        <v>0.035835</v>
      </c>
      <c r="T296" s="5">
        <v>0.18612</v>
      </c>
      <c r="U296" s="5">
        <v>0.0</v>
      </c>
    </row>
    <row r="297" outlineLevel="1">
      <c r="B297" s="0" t="inlineStr">
        <is>
          <t xml:space="preserve">AMMCON CORP.</t>
        </is>
      </c>
      <c r="C297" s="0" t="inlineStr">
        <is>
          <t xml:space="preserve">CG86N1ZC42B8</t>
        </is>
      </c>
      <c r="D297" s="0" t="inlineStr">
        <is>
          <t xml:space="preserve">USA</t>
        </is>
      </c>
      <c r="E297" s="0" t="inlineStr">
        <is>
          <t xml:space="preserve">3329</t>
        </is>
      </c>
      <c r="F297" s="0" t="inlineStr">
        <is>
          <t xml:space="preserve">Other Metal Valve and Pipe Fitting Manufacturing</t>
        </is>
      </c>
      <c r="G297" s="5">
        <v>1.53908558</v>
      </c>
      <c r="H297" s="0" t="inlineStr">
        <is>
          <t xml:space="preserve">supplier</t>
        </is>
      </c>
      <c r="I297" s="0" t="inlineStr">
        <is>
          <t xml:space="preserve">piping</t>
        </is>
      </c>
      <c r="J297" s="0" t="inlineStr">
        <is>
          <t xml:space="preserve">naics4</t>
        </is>
      </c>
      <c r="K297" s="5">
        <v>0</v>
      </c>
      <c r="L297" s="5">
        <v>0</v>
      </c>
      <c r="M297" s="5">
        <v>1.53908558</v>
      </c>
      <c r="N297" s="5">
        <v>0.0</v>
      </c>
      <c r="O297" s="5">
        <v>0.06341</v>
      </c>
      <c r="P297" s="5">
        <v>0.8447919999999998</v>
      </c>
      <c r="Q297" s="5">
        <v>0.30611750000000004</v>
      </c>
      <c r="R297" s="5">
        <v>0.0</v>
      </c>
      <c r="S297" s="5">
        <v>0.053724</v>
      </c>
      <c r="T297" s="5">
        <v>0.258522</v>
      </c>
      <c r="U297" s="5">
        <v>0.0</v>
      </c>
    </row>
    <row r="298" outlineLevel="1">
      <c r="B298" s="0" t="inlineStr">
        <is>
          <t xml:space="preserve">JA MOODY LLC</t>
        </is>
      </c>
      <c r="C298" s="0" t="inlineStr">
        <is>
          <t xml:space="preserve">LR2HQKYJLDZ7</t>
        </is>
      </c>
      <c r="D298" s="0" t="inlineStr">
        <is>
          <t xml:space="preserve">-</t>
        </is>
      </c>
      <c r="E298" s="0" t="inlineStr">
        <is>
          <t xml:space="preserve">-</t>
        </is>
      </c>
      <c r="F298" s="0" t="inlineStr">
        <is>
          <t xml:space="preserve">-</t>
        </is>
      </c>
      <c r="G298" s="5">
        <v>1.5146215600000004</v>
      </c>
      <c r="H298" s="0" t="inlineStr">
        <is>
          <t xml:space="preserve">supplier</t>
        </is>
      </c>
      <c r="I298" s="0" t="inlineStr">
        <is>
          <t xml:space="preserve">unbucketed</t>
        </is>
      </c>
      <c r="J298" s="0" t="inlineStr">
        <is>
          <t xml:space="preserve">registry</t>
        </is>
      </c>
      <c r="K298" s="5">
        <v>0</v>
      </c>
      <c r="L298" s="5">
        <v>0</v>
      </c>
      <c r="M298" s="5">
        <v>1.5146215600000004</v>
      </c>
      <c r="N298" s="5">
        <v>0.0</v>
      </c>
      <c r="O298" s="5">
        <v>0.21346</v>
      </c>
      <c r="P298" s="5">
        <v>0.08678656000000001</v>
      </c>
      <c r="Q298" s="5">
        <v>0.0</v>
      </c>
      <c r="R298" s="5">
        <v>0.0</v>
      </c>
      <c r="S298" s="5">
        <v>0.9598829999999999</v>
      </c>
      <c r="T298" s="5">
        <v>0.254492</v>
      </c>
      <c r="U298" s="5">
        <v>0.0</v>
      </c>
    </row>
    <row r="299" outlineLevel="1">
      <c r="B299" s="0" t="inlineStr">
        <is>
          <t xml:space="preserve">ROTRON INCORPORATED</t>
        </is>
      </c>
      <c r="C299" s="0" t="inlineStr">
        <is>
          <t xml:space="preserve">Y9KMLM1AFU63</t>
        </is>
      </c>
      <c r="D299" s="0" t="inlineStr">
        <is>
          <t xml:space="preserve">-</t>
        </is>
      </c>
      <c r="E299" s="0" t="inlineStr">
        <is>
          <t xml:space="preserve">-</t>
        </is>
      </c>
      <c r="F299" s="0" t="inlineStr">
        <is>
          <t xml:space="preserve">-</t>
        </is>
      </c>
      <c r="G299" s="5">
        <v>1.49858</v>
      </c>
      <c r="H299" s="0" t="inlineStr">
        <is>
          <t xml:space="preserve">supplier</t>
        </is>
      </c>
      <c r="I299" s="0" t="inlineStr">
        <is>
          <t xml:space="preserve">unbucketed</t>
        </is>
      </c>
      <c r="J299" s="0" t="inlineStr">
        <is>
          <t xml:space="preserve">residual</t>
        </is>
      </c>
      <c r="K299" s="5">
        <v>0</v>
      </c>
      <c r="L299" s="5">
        <v>0</v>
      </c>
      <c r="M299" s="5">
        <v>1.49858</v>
      </c>
      <c r="N299" s="5">
        <v>0.0</v>
      </c>
      <c r="O299" s="5">
        <v>0.88578</v>
      </c>
      <c r="P299" s="5">
        <v>0.0</v>
      </c>
      <c r="Q299" s="5">
        <v>0.6128</v>
      </c>
      <c r="R299" s="5">
        <v>0.0</v>
      </c>
      <c r="S299" s="5">
        <v>0.0</v>
      </c>
      <c r="T299" s="5">
        <v>0.0</v>
      </c>
      <c r="U299" s="5">
        <v>0.0</v>
      </c>
    </row>
    <row r="300" outlineLevel="1">
      <c r="B300" s="0" t="inlineStr">
        <is>
          <t xml:space="preserve">RAG-STIFTUNG</t>
        </is>
      </c>
      <c r="C300" s="0" t="inlineStr">
        <is>
          <t xml:space="preserve">KZGEJ29ND6K3</t>
        </is>
      </c>
      <c r="D300" s="0" t="inlineStr">
        <is>
          <t xml:space="preserve">-</t>
        </is>
      </c>
      <c r="E300" s="0" t="inlineStr">
        <is>
          <t xml:space="preserve">-</t>
        </is>
      </c>
      <c r="F300" s="0" t="inlineStr">
        <is>
          <t xml:space="preserve">-</t>
        </is>
      </c>
      <c r="G300" s="5">
        <v>1.4891059</v>
      </c>
      <c r="H300" s="0" t="inlineStr">
        <is>
          <t xml:space="preserve">supplier</t>
        </is>
      </c>
      <c r="I300" s="0" t="inlineStr">
        <is>
          <t xml:space="preserve">unbucketed</t>
        </is>
      </c>
      <c r="J300" s="0" t="inlineStr">
        <is>
          <t xml:space="preserve">residual</t>
        </is>
      </c>
      <c r="K300" s="5">
        <v>0</v>
      </c>
      <c r="L300" s="5">
        <v>0</v>
      </c>
      <c r="M300" s="5">
        <v>1.4891059</v>
      </c>
      <c r="N300" s="5">
        <v>0.00104</v>
      </c>
      <c r="O300" s="5">
        <v>0.0</v>
      </c>
      <c r="P300" s="5">
        <v>0.0</v>
      </c>
      <c r="Q300" s="5">
        <v>0.0</v>
      </c>
      <c r="R300" s="5">
        <v>0.0</v>
      </c>
      <c r="S300" s="5">
        <v>0.0</v>
      </c>
      <c r="T300" s="5">
        <v>0.0</v>
      </c>
      <c r="U300" s="5">
        <v>0.0</v>
      </c>
    </row>
    <row r="301" outlineLevel="1">
      <c r="B301" s="0" t="inlineStr">
        <is>
          <t xml:space="preserve">SYMETRICS INDUSTRIES, LLC</t>
        </is>
      </c>
      <c r="C301" s="0" t="inlineStr">
        <is>
          <t xml:space="preserve">ZXNYWJ1KLDL9</t>
        </is>
      </c>
      <c r="D301" s="0" t="inlineStr">
        <is>
          <t xml:space="preserve">-</t>
        </is>
      </c>
      <c r="E301" s="0" t="inlineStr">
        <is>
          <t xml:space="preserve">-</t>
        </is>
      </c>
      <c r="F301" s="0" t="inlineStr">
        <is>
          <t xml:space="preserve">-</t>
        </is>
      </c>
      <c r="G301" s="5">
        <v>1.4848</v>
      </c>
      <c r="H301" s="0" t="inlineStr">
        <is>
          <t xml:space="preserve">supplier</t>
        </is>
      </c>
      <c r="I301" s="0" t="inlineStr">
        <is>
          <t xml:space="preserve">unbucketed</t>
        </is>
      </c>
      <c r="J301" s="0" t="inlineStr">
        <is>
          <t xml:space="preserve">residual</t>
        </is>
      </c>
      <c r="K301" s="5">
        <v>0</v>
      </c>
      <c r="L301" s="5">
        <v>0</v>
      </c>
      <c r="M301" s="5">
        <v>1.4848</v>
      </c>
      <c r="N301" s="5">
        <v>0.0</v>
      </c>
      <c r="O301" s="5">
        <v>0.0</v>
      </c>
      <c r="P301" s="5">
        <v>1.4848</v>
      </c>
      <c r="Q301" s="5">
        <v>0.0</v>
      </c>
      <c r="R301" s="5">
        <v>0.0</v>
      </c>
      <c r="S301" s="5">
        <v>0.0</v>
      </c>
      <c r="T301" s="5">
        <v>0.0</v>
      </c>
      <c r="U301" s="5">
        <v>0.0</v>
      </c>
    </row>
    <row r="302" outlineLevel="1">
      <c r="B302" s="0" t="inlineStr">
        <is>
          <t xml:space="preserve">L.B.I., INC.</t>
        </is>
      </c>
      <c r="C302" s="0" t="inlineStr">
        <is>
          <t xml:space="preserve">CR99X5Q2KQS1</t>
        </is>
      </c>
      <c r="D302" s="0" t="inlineStr">
        <is>
          <t xml:space="preserve">-</t>
        </is>
      </c>
      <c r="E302" s="0" t="inlineStr">
        <is>
          <t xml:space="preserve">-</t>
        </is>
      </c>
      <c r="F302" s="0" t="inlineStr">
        <is>
          <t xml:space="preserve">-</t>
        </is>
      </c>
      <c r="G302" s="5">
        <v>1.4560598200000001</v>
      </c>
      <c r="H302" s="0" t="inlineStr">
        <is>
          <t xml:space="preserve">supplier</t>
        </is>
      </c>
      <c r="I302" s="0" t="inlineStr">
        <is>
          <t xml:space="preserve">unbucketed</t>
        </is>
      </c>
      <c r="J302" s="0" t="inlineStr">
        <is>
          <t xml:space="preserve">residual</t>
        </is>
      </c>
      <c r="K302" s="5">
        <v>0</v>
      </c>
      <c r="L302" s="5">
        <v>0</v>
      </c>
      <c r="M302" s="5">
        <v>1.4560598200000001</v>
      </c>
      <c r="N302" s="5">
        <v>0.36288982000000003</v>
      </c>
      <c r="O302" s="5">
        <v>0.99872</v>
      </c>
      <c r="P302" s="5">
        <v>0.0</v>
      </c>
      <c r="Q302" s="5">
        <v>0.0</v>
      </c>
      <c r="R302" s="5">
        <v>0.0</v>
      </c>
      <c r="S302" s="5">
        <v>0.0</v>
      </c>
      <c r="T302" s="5">
        <v>0.09445</v>
      </c>
      <c r="U302" s="5">
        <v>0.0</v>
      </c>
    </row>
    <row r="303" outlineLevel="1">
      <c r="B303" s="0" t="inlineStr">
        <is>
          <t xml:space="preserve">GE ENERGY POWER CONVERSION USA INC.</t>
        </is>
      </c>
      <c r="C303" s="0" t="inlineStr">
        <is>
          <t xml:space="preserve">U864F3HRME53</t>
        </is>
      </c>
      <c r="D303" s="0" t="inlineStr">
        <is>
          <t xml:space="preserve">-</t>
        </is>
      </c>
      <c r="E303" s="0" t="inlineStr">
        <is>
          <t xml:space="preserve">-</t>
        </is>
      </c>
      <c r="F303" s="0" t="inlineStr">
        <is>
          <t xml:space="preserve">-</t>
        </is>
      </c>
      <c r="G303" s="5">
        <v>1.4545783199999998</v>
      </c>
      <c r="H303" s="0" t="inlineStr">
        <is>
          <t xml:space="preserve">supplier</t>
        </is>
      </c>
      <c r="I303" s="0" t="inlineStr">
        <is>
          <t xml:space="preserve">unbucketed</t>
        </is>
      </c>
      <c r="J303" s="0" t="inlineStr">
        <is>
          <t xml:space="preserve">residual</t>
        </is>
      </c>
      <c r="K303" s="5">
        <v>0</v>
      </c>
      <c r="L303" s="5">
        <v>0</v>
      </c>
      <c r="M303" s="5">
        <v>1.4545783199999998</v>
      </c>
      <c r="N303" s="5">
        <v>0.0</v>
      </c>
      <c r="O303" s="5">
        <v>0.0</v>
      </c>
      <c r="P303" s="5">
        <v>0.0</v>
      </c>
      <c r="Q303" s="5">
        <v>0.0</v>
      </c>
      <c r="R303" s="5">
        <v>0.47802</v>
      </c>
      <c r="S303" s="5">
        <v>0.9765583199999999</v>
      </c>
      <c r="T303" s="5">
        <v>0.0</v>
      </c>
      <c r="U303" s="5">
        <v>0.0</v>
      </c>
    </row>
    <row r="304" outlineLevel="1">
      <c r="B304" s="0" t="inlineStr">
        <is>
          <t xml:space="preserve">ITT CANNON LLC</t>
        </is>
      </c>
      <c r="C304" s="0" t="inlineStr">
        <is>
          <t xml:space="preserve">LYDRWR6ML2U7</t>
        </is>
      </c>
      <c r="D304" s="0" t="inlineStr">
        <is>
          <t xml:space="preserve">-</t>
        </is>
      </c>
      <c r="E304" s="0" t="inlineStr">
        <is>
          <t xml:space="preserve">-</t>
        </is>
      </c>
      <c r="F304" s="0" t="inlineStr">
        <is>
          <t xml:space="preserve">-</t>
        </is>
      </c>
      <c r="G304" s="5">
        <v>1.4212441</v>
      </c>
      <c r="H304" s="0" t="inlineStr">
        <is>
          <t xml:space="preserve">supplier</t>
        </is>
      </c>
      <c r="I304" s="0" t="inlineStr">
        <is>
          <t xml:space="preserve">unbucketed</t>
        </is>
      </c>
      <c r="J304" s="0" t="inlineStr">
        <is>
          <t xml:space="preserve">residual</t>
        </is>
      </c>
      <c r="K304" s="5">
        <v>0</v>
      </c>
      <c r="L304" s="5">
        <v>0</v>
      </c>
      <c r="M304" s="5">
        <v>1.4212441</v>
      </c>
      <c r="N304" s="5">
        <v>0.0</v>
      </c>
      <c r="O304" s="5">
        <v>0.0</v>
      </c>
      <c r="P304" s="5">
        <v>0.0</v>
      </c>
      <c r="Q304" s="5">
        <v>0.0</v>
      </c>
      <c r="R304" s="5">
        <v>0.1732441</v>
      </c>
      <c r="S304" s="5">
        <v>1.248</v>
      </c>
      <c r="T304" s="5">
        <v>0.0</v>
      </c>
      <c r="U304" s="5">
        <v>0.0</v>
      </c>
    </row>
    <row r="305" outlineLevel="1">
      <c r="B305" s="0" t="inlineStr">
        <is>
          <t xml:space="preserve">DURAMAX MARINE, LLC</t>
        </is>
      </c>
      <c r="C305" s="0" t="inlineStr">
        <is>
          <t xml:space="preserve">VD1NLZGAJ2L4</t>
        </is>
      </c>
      <c r="D305" s="0" t="inlineStr">
        <is>
          <t xml:space="preserve">-</t>
        </is>
      </c>
      <c r="E305" s="0" t="inlineStr">
        <is>
          <t xml:space="preserve">-</t>
        </is>
      </c>
      <c r="F305" s="0" t="inlineStr">
        <is>
          <t xml:space="preserve">-</t>
        </is>
      </c>
      <c r="G305" s="5">
        <v>1.410655</v>
      </c>
      <c r="H305" s="0" t="inlineStr">
        <is>
          <t xml:space="preserve">supplier</t>
        </is>
      </c>
      <c r="I305" s="0" t="inlineStr">
        <is>
          <t xml:space="preserve">unbucketed</t>
        </is>
      </c>
      <c r="J305" s="0" t="inlineStr">
        <is>
          <t xml:space="preserve">residual</t>
        </is>
      </c>
      <c r="K305" s="5">
        <v>0</v>
      </c>
      <c r="L305" s="5">
        <v>0</v>
      </c>
      <c r="M305" s="5">
        <v>1.410655</v>
      </c>
      <c r="N305" s="5">
        <v>0.0</v>
      </c>
      <c r="O305" s="5">
        <v>0.0</v>
      </c>
      <c r="P305" s="5">
        <v>0.0</v>
      </c>
      <c r="Q305" s="5">
        <v>0.0</v>
      </c>
      <c r="R305" s="5">
        <v>0.47532</v>
      </c>
      <c r="S305" s="5">
        <v>0.669225</v>
      </c>
      <c r="T305" s="5">
        <v>0.0</v>
      </c>
      <c r="U305" s="5">
        <v>0.0</v>
      </c>
    </row>
    <row r="306" outlineLevel="1">
      <c r="B306" s="0" t="inlineStr">
        <is>
          <t xml:space="preserve">B.N.L. INDUSTRIES, INC.</t>
        </is>
      </c>
      <c r="C306" s="0" t="inlineStr">
        <is>
          <t xml:space="preserve">PJRYS7EFXQD9</t>
        </is>
      </c>
      <c r="D306" s="0" t="inlineStr">
        <is>
          <t xml:space="preserve">USA</t>
        </is>
      </c>
      <c r="E306" s="0" t="inlineStr">
        <is>
          <t xml:space="preserve">3329</t>
        </is>
      </c>
      <c r="F306" s="0" t="inlineStr">
        <is>
          <t xml:space="preserve">Industrial Valve Manufacturing</t>
        </is>
      </c>
      <c r="G306" s="5">
        <v>1.4085629999999996</v>
      </c>
      <c r="H306" s="0" t="inlineStr">
        <is>
          <t xml:space="preserve">supplier</t>
        </is>
      </c>
      <c r="I306" s="0" t="inlineStr">
        <is>
          <t xml:space="preserve">piping</t>
        </is>
      </c>
      <c r="J306" s="0" t="inlineStr">
        <is>
          <t xml:space="preserve">naics4</t>
        </is>
      </c>
      <c r="K306" s="5">
        <v>0</v>
      </c>
      <c r="L306" s="5">
        <v>0</v>
      </c>
      <c r="M306" s="5">
        <v>1.4085629999999996</v>
      </c>
      <c r="N306" s="5">
        <v>0.0</v>
      </c>
      <c r="O306" s="5">
        <v>0.0</v>
      </c>
      <c r="P306" s="5">
        <v>0.0</v>
      </c>
      <c r="Q306" s="5">
        <v>0.0</v>
      </c>
      <c r="R306" s="5">
        <v>1.4000769999999998</v>
      </c>
      <c r="S306" s="5">
        <v>0.0</v>
      </c>
      <c r="T306" s="5">
        <v>0.0</v>
      </c>
      <c r="U306" s="5">
        <v>0.0</v>
      </c>
    </row>
    <row r="307" outlineLevel="1">
      <c r="B307" s="0" t="inlineStr">
        <is>
          <t xml:space="preserve">5TH AXIS, LLC</t>
        </is>
      </c>
      <c r="C307" s="0" t="inlineStr">
        <is>
          <t xml:space="preserve">UNG7G6S4JRA6</t>
        </is>
      </c>
      <c r="D307" s="0" t="inlineStr">
        <is>
          <t xml:space="preserve">-</t>
        </is>
      </c>
      <c r="E307" s="0" t="inlineStr">
        <is>
          <t xml:space="preserve">-</t>
        </is>
      </c>
      <c r="F307" s="0" t="inlineStr">
        <is>
          <t xml:space="preserve">-</t>
        </is>
      </c>
      <c r="G307" s="5">
        <v>1.3614732999999999</v>
      </c>
      <c r="H307" s="0" t="inlineStr">
        <is>
          <t xml:space="preserve">supplier</t>
        </is>
      </c>
      <c r="I307" s="0" t="inlineStr">
        <is>
          <t xml:space="preserve">unbucketed</t>
        </is>
      </c>
      <c r="J307" s="0" t="inlineStr">
        <is>
          <t xml:space="preserve">residual</t>
        </is>
      </c>
      <c r="K307" s="5">
        <v>0</v>
      </c>
      <c r="L307" s="5">
        <v>0</v>
      </c>
      <c r="M307" s="5">
        <v>1.3614732999999999</v>
      </c>
      <c r="N307" s="5">
        <v>0.0</v>
      </c>
      <c r="O307" s="5">
        <v>0.0</v>
      </c>
      <c r="P307" s="5">
        <v>0.0</v>
      </c>
      <c r="Q307" s="5">
        <v>0.0</v>
      </c>
      <c r="R307" s="5">
        <v>0.0392249</v>
      </c>
      <c r="S307" s="5">
        <v>0.0</v>
      </c>
      <c r="T307" s="5">
        <v>0.0</v>
      </c>
      <c r="U307" s="5">
        <v>0.0</v>
      </c>
    </row>
    <row r="308" outlineLevel="1">
      <c r="B308" s="0" t="inlineStr">
        <is>
          <t xml:space="preserve">COMARK LLC</t>
        </is>
      </c>
      <c r="C308" s="0" t="inlineStr">
        <is>
          <t xml:space="preserve">WNDYZX3ALFB1</t>
        </is>
      </c>
      <c r="D308" s="0" t="inlineStr">
        <is>
          <t xml:space="preserve">-</t>
        </is>
      </c>
      <c r="E308" s="0" t="inlineStr">
        <is>
          <t xml:space="preserve">-</t>
        </is>
      </c>
      <c r="F308" s="0" t="inlineStr">
        <is>
          <t xml:space="preserve">-</t>
        </is>
      </c>
      <c r="G308" s="5">
        <v>1.3313880399999998</v>
      </c>
      <c r="H308" s="0" t="inlineStr">
        <is>
          <t xml:space="preserve">supplier</t>
        </is>
      </c>
      <c r="I308" s="0" t="inlineStr">
        <is>
          <t xml:space="preserve">unbucketed</t>
        </is>
      </c>
      <c r="J308" s="0" t="inlineStr">
        <is>
          <t xml:space="preserve">residual</t>
        </is>
      </c>
      <c r="K308" s="5">
        <v>0</v>
      </c>
      <c r="L308" s="5">
        <v>0</v>
      </c>
      <c r="M308" s="5">
        <v>1.3313880399999998</v>
      </c>
      <c r="N308" s="5">
        <v>0.0</v>
      </c>
      <c r="O308" s="5">
        <v>0.0</v>
      </c>
      <c r="P308" s="5">
        <v>0.70021804</v>
      </c>
      <c r="Q308" s="5">
        <v>0.0</v>
      </c>
      <c r="R308" s="5">
        <v>0.14112</v>
      </c>
      <c r="S308" s="5">
        <v>0.49005</v>
      </c>
      <c r="T308" s="5">
        <v>0.0</v>
      </c>
      <c r="U308" s="5">
        <v>0.0</v>
      </c>
    </row>
    <row r="309" outlineLevel="1">
      <c r="B309" s="0" t="inlineStr">
        <is>
          <t xml:space="preserve">GENERAL NUCLEAR CORP.</t>
        </is>
      </c>
      <c r="C309" s="0" t="inlineStr">
        <is>
          <t xml:space="preserve">W43NW8NZ7AJ8</t>
        </is>
      </c>
      <c r="D309" s="0" t="inlineStr">
        <is>
          <t xml:space="preserve">-</t>
        </is>
      </c>
      <c r="E309" s="0" t="inlineStr">
        <is>
          <t xml:space="preserve">-</t>
        </is>
      </c>
      <c r="F309" s="0" t="inlineStr">
        <is>
          <t xml:space="preserve">-</t>
        </is>
      </c>
      <c r="G309" s="5">
        <v>1.3134850000000002</v>
      </c>
      <c r="H309" s="0" t="inlineStr">
        <is>
          <t xml:space="preserve">supplier</t>
        </is>
      </c>
      <c r="I309" s="0" t="inlineStr">
        <is>
          <t xml:space="preserve">unbucketed</t>
        </is>
      </c>
      <c r="J309" s="0" t="inlineStr">
        <is>
          <t xml:space="preserve">residual</t>
        </is>
      </c>
      <c r="K309" s="5">
        <v>0</v>
      </c>
      <c r="L309" s="5">
        <v>0</v>
      </c>
      <c r="M309" s="5">
        <v>0.0</v>
      </c>
      <c r="N309" s="5">
        <v>0.0</v>
      </c>
      <c r="O309" s="5">
        <v>0.0</v>
      </c>
      <c r="P309" s="5">
        <v>0.0</v>
      </c>
      <c r="Q309" s="5">
        <v>0.0</v>
      </c>
      <c r="R309" s="5">
        <v>0.0</v>
      </c>
      <c r="S309" s="5">
        <v>0.0</v>
      </c>
      <c r="T309" s="5">
        <v>0.0</v>
      </c>
      <c r="U309" s="5">
        <v>0.0</v>
      </c>
    </row>
    <row r="310" outlineLevel="1">
      <c r="B310" s="0" t="inlineStr">
        <is>
          <t xml:space="preserve">ROMEY PAUL VENTURES LLC</t>
        </is>
      </c>
      <c r="C310" s="0" t="inlineStr">
        <is>
          <t xml:space="preserve">GLU5BML5XQK2</t>
        </is>
      </c>
      <c r="D310" s="0" t="inlineStr">
        <is>
          <t xml:space="preserve">-</t>
        </is>
      </c>
      <c r="E310" s="0" t="inlineStr">
        <is>
          <t xml:space="preserve">-</t>
        </is>
      </c>
      <c r="F310" s="0" t="inlineStr">
        <is>
          <t xml:space="preserve">-</t>
        </is>
      </c>
      <c r="G310" s="5">
        <v>1.306443</v>
      </c>
      <c r="H310" s="0" t="inlineStr">
        <is>
          <t xml:space="preserve">supplier</t>
        </is>
      </c>
      <c r="I310" s="0" t="inlineStr">
        <is>
          <t xml:space="preserve">unbucketed</t>
        </is>
      </c>
      <c r="J310" s="0" t="inlineStr">
        <is>
          <t xml:space="preserve">residual</t>
        </is>
      </c>
      <c r="K310" s="5">
        <v>0</v>
      </c>
      <c r="L310" s="5">
        <v>0</v>
      </c>
      <c r="M310" s="5">
        <v>1.306443</v>
      </c>
      <c r="N310" s="5">
        <v>0.0</v>
      </c>
      <c r="O310" s="5">
        <v>0.0</v>
      </c>
      <c r="P310" s="5">
        <v>0.0</v>
      </c>
      <c r="Q310" s="5">
        <v>0.0</v>
      </c>
      <c r="R310" s="5">
        <v>0.0</v>
      </c>
      <c r="S310" s="5">
        <v>0.0</v>
      </c>
      <c r="T310" s="5">
        <v>0.0</v>
      </c>
      <c r="U310" s="5">
        <v>0.0</v>
      </c>
    </row>
    <row r="311" outlineLevel="1">
      <c r="B311" s="0" t="inlineStr">
        <is>
          <t xml:space="preserve">ARNOLD MAGNETICS CORPORATION</t>
        </is>
      </c>
      <c r="C311" s="0" t="inlineStr">
        <is>
          <t xml:space="preserve">RK6GKSXPC8W7</t>
        </is>
      </c>
      <c r="D311" s="0" t="inlineStr">
        <is>
          <t xml:space="preserve">-</t>
        </is>
      </c>
      <c r="E311" s="0" t="inlineStr">
        <is>
          <t xml:space="preserve">-</t>
        </is>
      </c>
      <c r="F311" s="0" t="inlineStr">
        <is>
          <t xml:space="preserve">-</t>
        </is>
      </c>
      <c r="G311" s="5">
        <v>1.30114785</v>
      </c>
      <c r="H311" s="0" t="inlineStr">
        <is>
          <t xml:space="preserve">supplier</t>
        </is>
      </c>
      <c r="I311" s="0" t="inlineStr">
        <is>
          <t xml:space="preserve">unbucketed</t>
        </is>
      </c>
      <c r="J311" s="0" t="inlineStr">
        <is>
          <t xml:space="preserve">residual</t>
        </is>
      </c>
      <c r="K311" s="5">
        <v>0</v>
      </c>
      <c r="L311" s="5">
        <v>0</v>
      </c>
      <c r="M311" s="5">
        <v>1.30114785</v>
      </c>
      <c r="N311" s="5">
        <v>0.182115</v>
      </c>
      <c r="O311" s="5">
        <v>0.190023</v>
      </c>
      <c r="P311" s="5">
        <v>0.10665</v>
      </c>
      <c r="Q311" s="5">
        <v>0.40653</v>
      </c>
      <c r="R311" s="5">
        <v>0.0</v>
      </c>
      <c r="S311" s="5">
        <v>0.0</v>
      </c>
      <c r="T311" s="5">
        <v>0.0</v>
      </c>
      <c r="U311" s="5">
        <v>0.0</v>
      </c>
    </row>
    <row r="312" outlineLevel="1">
      <c r="B312" s="0" t="inlineStr">
        <is>
          <t xml:space="preserve">L3 TECHNOLOGIES, INC.</t>
        </is>
      </c>
      <c r="C312" s="0" t="inlineStr">
        <is>
          <t xml:space="preserve">HA3UFSU8FN75</t>
        </is>
      </c>
      <c r="D312" s="0" t="inlineStr">
        <is>
          <t xml:space="preserve">-</t>
        </is>
      </c>
      <c r="E312" s="0" t="inlineStr">
        <is>
          <t xml:space="preserve">-</t>
        </is>
      </c>
      <c r="F312" s="0" t="inlineStr">
        <is>
          <t xml:space="preserve">-</t>
        </is>
      </c>
      <c r="G312" s="5">
        <v>1.3000049299999998</v>
      </c>
      <c r="H312" s="0" t="inlineStr">
        <is>
          <t xml:space="preserve">supplier</t>
        </is>
      </c>
      <c r="I312" s="0" t="inlineStr">
        <is>
          <t xml:space="preserve">unbucketed</t>
        </is>
      </c>
      <c r="J312" s="0" t="inlineStr">
        <is>
          <t xml:space="preserve">residual</t>
        </is>
      </c>
      <c r="K312" s="5">
        <v>0</v>
      </c>
      <c r="L312" s="5">
        <v>0</v>
      </c>
      <c r="M312" s="5">
        <v>1.3000049299999998</v>
      </c>
      <c r="N312" s="5">
        <v>0.0</v>
      </c>
      <c r="O312" s="5">
        <v>0.0</v>
      </c>
      <c r="P312" s="5">
        <v>0.0</v>
      </c>
      <c r="Q312" s="5">
        <v>0.0</v>
      </c>
      <c r="R312" s="5">
        <v>0.0</v>
      </c>
      <c r="S312" s="5">
        <v>1.3000049299999998</v>
      </c>
      <c r="T312" s="5">
        <v>0.0</v>
      </c>
      <c r="U312" s="5">
        <v>0.0</v>
      </c>
    </row>
    <row r="313" outlineLevel="1">
      <c r="B313" s="0" t="inlineStr">
        <is>
          <t xml:space="preserve">PRECISION DEFENSE SERVICES, INC.</t>
        </is>
      </c>
      <c r="C313" s="0" t="inlineStr">
        <is>
          <t xml:space="preserve">L85DJJ1BJSQ6</t>
        </is>
      </c>
      <c r="D313" s="0" t="inlineStr">
        <is>
          <t xml:space="preserve">-</t>
        </is>
      </c>
      <c r="E313" s="0" t="inlineStr">
        <is>
          <t xml:space="preserve">-</t>
        </is>
      </c>
      <c r="F313" s="0" t="inlineStr">
        <is>
          <t xml:space="preserve">-</t>
        </is>
      </c>
      <c r="G313" s="5">
        <v>1.299052</v>
      </c>
      <c r="H313" s="0" t="inlineStr">
        <is>
          <t xml:space="preserve">supplier</t>
        </is>
      </c>
      <c r="I313" s="0" t="inlineStr">
        <is>
          <t xml:space="preserve">unbucketed</t>
        </is>
      </c>
      <c r="J313" s="0" t="inlineStr">
        <is>
          <t xml:space="preserve">residual</t>
        </is>
      </c>
      <c r="K313" s="5">
        <v>0</v>
      </c>
      <c r="L313" s="5">
        <v>0</v>
      </c>
      <c r="M313" s="5">
        <v>0.0</v>
      </c>
      <c r="N313" s="5">
        <v>0.0</v>
      </c>
      <c r="O313" s="5">
        <v>0.0</v>
      </c>
      <c r="P313" s="5">
        <v>0.0</v>
      </c>
      <c r="Q313" s="5">
        <v>0.0</v>
      </c>
      <c r="R313" s="5">
        <v>0.0</v>
      </c>
      <c r="S313" s="5">
        <v>0.0</v>
      </c>
      <c r="T313" s="5">
        <v>0.0</v>
      </c>
      <c r="U313" s="5">
        <v>0.0</v>
      </c>
    </row>
    <row r="314" outlineLevel="1">
      <c r="B314" s="0" t="inlineStr">
        <is>
          <t xml:space="preserve">MATTHEW WARREN INC</t>
        </is>
      </c>
      <c r="C314" s="0" t="inlineStr">
        <is>
          <t xml:space="preserve">PUFMZLZJ2BY2</t>
        </is>
      </c>
      <c r="D314" s="0" t="inlineStr">
        <is>
          <t xml:space="preserve">-</t>
        </is>
      </c>
      <c r="E314" s="0" t="inlineStr">
        <is>
          <t xml:space="preserve">-</t>
        </is>
      </c>
      <c r="F314" s="0" t="inlineStr">
        <is>
          <t xml:space="preserve">-</t>
        </is>
      </c>
      <c r="G314" s="5">
        <v>1.28607248</v>
      </c>
      <c r="H314" s="0" t="inlineStr">
        <is>
          <t xml:space="preserve">supplier</t>
        </is>
      </c>
      <c r="I314" s="0" t="inlineStr">
        <is>
          <t xml:space="preserve">unbucketed</t>
        </is>
      </c>
      <c r="J314" s="0" t="inlineStr">
        <is>
          <t xml:space="preserve">residual</t>
        </is>
      </c>
      <c r="K314" s="5">
        <v>0</v>
      </c>
      <c r="L314" s="5">
        <v>0</v>
      </c>
      <c r="M314" s="5">
        <v>1.28607248</v>
      </c>
      <c r="N314" s="5">
        <v>0.00701302</v>
      </c>
      <c r="O314" s="5">
        <v>0.39051926</v>
      </c>
      <c r="P314" s="5">
        <v>0.15064976</v>
      </c>
      <c r="Q314" s="5">
        <v>0.0</v>
      </c>
      <c r="R314" s="5">
        <v>0.0</v>
      </c>
      <c r="S314" s="5">
        <v>0.0</v>
      </c>
      <c r="T314" s="5">
        <v>0.12476208</v>
      </c>
      <c r="U314" s="5">
        <v>0.61312836</v>
      </c>
    </row>
    <row r="315" outlineLevel="1">
      <c r="B315" s="0" t="inlineStr">
        <is>
          <t xml:space="preserve">ITT INC.</t>
        </is>
      </c>
      <c r="C315" s="0" t="inlineStr">
        <is>
          <t xml:space="preserve">YA5MLUTX7W19</t>
        </is>
      </c>
      <c r="D315" s="0" t="inlineStr">
        <is>
          <t xml:space="preserve">-</t>
        </is>
      </c>
      <c r="E315" s="0" t="inlineStr">
        <is>
          <t xml:space="preserve">-</t>
        </is>
      </c>
      <c r="F315" s="0" t="inlineStr">
        <is>
          <t xml:space="preserve">-</t>
        </is>
      </c>
      <c r="G315" s="5">
        <v>1.2860273599999998</v>
      </c>
      <c r="H315" s="0" t="inlineStr">
        <is>
          <t xml:space="preserve">supplier</t>
        </is>
      </c>
      <c r="I315" s="0" t="inlineStr">
        <is>
          <t xml:space="preserve">unbucketed</t>
        </is>
      </c>
      <c r="J315" s="0" t="inlineStr">
        <is>
          <t xml:space="preserve">residual</t>
        </is>
      </c>
      <c r="K315" s="5">
        <v>0</v>
      </c>
      <c r="L315" s="5">
        <v>0</v>
      </c>
      <c r="M315" s="5">
        <v>1.2860273599999998</v>
      </c>
      <c r="N315" s="5">
        <v>0.8584212</v>
      </c>
      <c r="O315" s="5">
        <v>0.0</v>
      </c>
      <c r="P315" s="5">
        <v>0.0</v>
      </c>
      <c r="Q315" s="5">
        <v>0.0</v>
      </c>
      <c r="R315" s="5">
        <v>0.0</v>
      </c>
      <c r="S315" s="5">
        <v>0.0</v>
      </c>
      <c r="T315" s="5">
        <v>0.0</v>
      </c>
      <c r="U315" s="5">
        <v>0.0</v>
      </c>
    </row>
    <row r="316" outlineLevel="1">
      <c r="B316" s="0" t="inlineStr">
        <is>
          <t xml:space="preserve">PUROLATOR FACET INC.</t>
        </is>
      </c>
      <c r="C316" s="0" t="inlineStr">
        <is>
          <t xml:space="preserve">QF82VVEDYFC3</t>
        </is>
      </c>
      <c r="D316" s="0" t="inlineStr">
        <is>
          <t xml:space="preserve">-</t>
        </is>
      </c>
      <c r="E316" s="0" t="inlineStr">
        <is>
          <t xml:space="preserve">-</t>
        </is>
      </c>
      <c r="F316" s="0" t="inlineStr">
        <is>
          <t xml:space="preserve">-</t>
        </is>
      </c>
      <c r="G316" s="5">
        <v>1.28465625</v>
      </c>
      <c r="H316" s="0" t="inlineStr">
        <is>
          <t xml:space="preserve">supplier</t>
        </is>
      </c>
      <c r="I316" s="0" t="inlineStr">
        <is>
          <t xml:space="preserve">unbucketed</t>
        </is>
      </c>
      <c r="J316" s="0" t="inlineStr">
        <is>
          <t xml:space="preserve">residual</t>
        </is>
      </c>
      <c r="K316" s="5">
        <v>0</v>
      </c>
      <c r="L316" s="5">
        <v>0</v>
      </c>
      <c r="M316" s="5">
        <v>1.28465625</v>
      </c>
      <c r="N316" s="5">
        <v>0.0</v>
      </c>
      <c r="O316" s="5">
        <v>0.0</v>
      </c>
      <c r="P316" s="5">
        <v>0.0</v>
      </c>
      <c r="Q316" s="5">
        <v>0.0</v>
      </c>
      <c r="R316" s="5">
        <v>0.0</v>
      </c>
      <c r="S316" s="5">
        <v>0.0</v>
      </c>
      <c r="T316" s="5">
        <v>1.2190095</v>
      </c>
      <c r="U316" s="5">
        <v>0.06564675</v>
      </c>
    </row>
    <row r="317" outlineLevel="1">
      <c r="B317" s="0" t="inlineStr">
        <is>
          <t xml:space="preserve">ESCO TECHNOLOGIES INC.</t>
        </is>
      </c>
      <c r="C317" s="0" t="inlineStr">
        <is>
          <t xml:space="preserve">HMBSX7Z72UK4</t>
        </is>
      </c>
      <c r="D317" s="0" t="inlineStr">
        <is>
          <t xml:space="preserve">USA</t>
        </is>
      </c>
      <c r="E317" s="0" t="inlineStr">
        <is>
          <t xml:space="preserve">5511</t>
        </is>
      </c>
      <c r="F317" s="0" t="inlineStr">
        <is>
          <t xml:space="preserve">Corporate, Subsidiary, and Regional Managing Offices</t>
        </is>
      </c>
      <c r="G317" s="5">
        <v>1.26913634</v>
      </c>
      <c r="H317" s="0" t="inlineStr">
        <is>
          <t xml:space="preserve">holding</t>
        </is>
      </c>
      <c r="I317" s="0" t="inlineStr">
        <is>
          <t xml:space="preserve">-</t>
        </is>
      </c>
      <c r="J317" s="0" t="inlineStr">
        <is>
          <t xml:space="preserve">holding-co (5511)</t>
        </is>
      </c>
      <c r="K317" s="5">
        <v>0</v>
      </c>
      <c r="L317" s="5">
        <v>0</v>
      </c>
      <c r="M317" s="5">
        <v>1.26913634</v>
      </c>
      <c r="N317" s="5">
        <v>0.073495</v>
      </c>
      <c r="O317" s="5">
        <v>0.7533918000000002</v>
      </c>
      <c r="P317" s="5">
        <v>0.0</v>
      </c>
      <c r="Q317" s="5">
        <v>0.0</v>
      </c>
      <c r="R317" s="5">
        <v>0.14703051</v>
      </c>
      <c r="S317" s="5">
        <v>0.041539089999999994</v>
      </c>
      <c r="T317" s="5">
        <v>0.0</v>
      </c>
      <c r="U317" s="5">
        <v>0.0</v>
      </c>
    </row>
    <row r="318" outlineLevel="1">
      <c r="B318" s="0" t="inlineStr">
        <is>
          <t xml:space="preserve">PPG INDUSTRIES, INC</t>
        </is>
      </c>
      <c r="C318" s="0" t="inlineStr">
        <is>
          <t xml:space="preserve">YWX1QLBKSQD7</t>
        </is>
      </c>
      <c r="D318" s="0" t="inlineStr">
        <is>
          <t xml:space="preserve">-</t>
        </is>
      </c>
      <c r="E318" s="0" t="inlineStr">
        <is>
          <t xml:space="preserve">-</t>
        </is>
      </c>
      <c r="F318" s="0" t="inlineStr">
        <is>
          <t xml:space="preserve">-</t>
        </is>
      </c>
      <c r="G318" s="5">
        <v>1.2654299300000005</v>
      </c>
      <c r="H318" s="0" t="inlineStr">
        <is>
          <t xml:space="preserve">supplier</t>
        </is>
      </c>
      <c r="I318" s="0" t="inlineStr">
        <is>
          <t xml:space="preserve">unbucketed</t>
        </is>
      </c>
      <c r="J318" s="0" t="inlineStr">
        <is>
          <t xml:space="preserve">residual</t>
        </is>
      </c>
      <c r="K318" s="5">
        <v>0</v>
      </c>
      <c r="L318" s="5">
        <v>0</v>
      </c>
      <c r="M318" s="5">
        <v>1.2654299300000005</v>
      </c>
      <c r="N318" s="5">
        <v>0.033451919999999996</v>
      </c>
      <c r="O318" s="5">
        <v>0.5221162</v>
      </c>
      <c r="P318" s="5">
        <v>0.43633701</v>
      </c>
      <c r="Q318" s="5">
        <v>0.23101960000000002</v>
      </c>
      <c r="R318" s="5">
        <v>0.0</v>
      </c>
      <c r="S318" s="5">
        <v>0.0425052</v>
      </c>
      <c r="T318" s="5">
        <v>0.0</v>
      </c>
      <c r="U318" s="5">
        <v>0.0</v>
      </c>
    </row>
    <row r="319" outlineLevel="1">
      <c r="B319" s="0" t="inlineStr">
        <is>
          <t xml:space="preserve">ENERPAC TOOL GROUP CORP.</t>
        </is>
      </c>
      <c r="C319" s="0" t="inlineStr">
        <is>
          <t xml:space="preserve">JG73AVR7NUN4</t>
        </is>
      </c>
      <c r="D319" s="0" t="inlineStr">
        <is>
          <t xml:space="preserve">-</t>
        </is>
      </c>
      <c r="E319" s="0" t="inlineStr">
        <is>
          <t xml:space="preserve">-</t>
        </is>
      </c>
      <c r="F319" s="0" t="inlineStr">
        <is>
          <t xml:space="preserve">-</t>
        </is>
      </c>
      <c r="G319" s="5">
        <v>1.2619816</v>
      </c>
      <c r="H319" s="0" t="inlineStr">
        <is>
          <t xml:space="preserve">supplier</t>
        </is>
      </c>
      <c r="I319" s="0" t="inlineStr">
        <is>
          <t xml:space="preserve">unbucketed</t>
        </is>
      </c>
      <c r="J319" s="0" t="inlineStr">
        <is>
          <t xml:space="preserve">residual</t>
        </is>
      </c>
      <c r="K319" s="5">
        <v>0</v>
      </c>
      <c r="L319" s="5">
        <v>0</v>
      </c>
      <c r="M319" s="5">
        <v>1.2619816</v>
      </c>
      <c r="N319" s="5">
        <v>0.0</v>
      </c>
      <c r="O319" s="5">
        <v>0.0</v>
      </c>
      <c r="P319" s="5">
        <v>0.0</v>
      </c>
      <c r="Q319" s="5">
        <v>0.0</v>
      </c>
      <c r="R319" s="5">
        <v>0.0</v>
      </c>
      <c r="S319" s="5">
        <v>0.0</v>
      </c>
      <c r="T319" s="5">
        <v>0.0</v>
      </c>
      <c r="U319" s="5">
        <v>0.0</v>
      </c>
    </row>
    <row r="320" outlineLevel="1">
      <c r="B320" s="0" t="inlineStr">
        <is>
          <t xml:space="preserve">MADISON COMPANY</t>
        </is>
      </c>
      <c r="C320" s="0" t="inlineStr">
        <is>
          <t xml:space="preserve">J7RQVJ723JM3</t>
        </is>
      </c>
      <c r="D320" s="0" t="inlineStr">
        <is>
          <t xml:space="preserve">-</t>
        </is>
      </c>
      <c r="E320" s="0" t="inlineStr">
        <is>
          <t xml:space="preserve">-</t>
        </is>
      </c>
      <c r="F320" s="0" t="inlineStr">
        <is>
          <t xml:space="preserve">-</t>
        </is>
      </c>
      <c r="G320" s="5">
        <v>1.26169509</v>
      </c>
      <c r="H320" s="0" t="inlineStr">
        <is>
          <t xml:space="preserve">supplier</t>
        </is>
      </c>
      <c r="I320" s="0" t="inlineStr">
        <is>
          <t xml:space="preserve">unbucketed</t>
        </is>
      </c>
      <c r="J320" s="0" t="inlineStr">
        <is>
          <t xml:space="preserve">residual</t>
        </is>
      </c>
      <c r="K320" s="5">
        <v>0</v>
      </c>
      <c r="L320" s="5">
        <v>0</v>
      </c>
      <c r="M320" s="5">
        <v>1.26169509</v>
      </c>
      <c r="N320" s="5">
        <v>0.0</v>
      </c>
      <c r="O320" s="5">
        <v>0.3729168</v>
      </c>
      <c r="P320" s="5">
        <v>0.0</v>
      </c>
      <c r="Q320" s="5">
        <v>0.0</v>
      </c>
      <c r="R320" s="5">
        <v>-0.0001705</v>
      </c>
      <c r="S320" s="5">
        <v>0.0</v>
      </c>
      <c r="T320" s="5">
        <v>0.262164</v>
      </c>
      <c r="U320" s="5">
        <v>0.667756</v>
      </c>
    </row>
    <row r="321" outlineLevel="1">
      <c r="B321" s="0" t="inlineStr">
        <is>
          <t xml:space="preserve">UNITED TECHNOLOGIES CORPORATION</t>
        </is>
      </c>
      <c r="C321" s="0" t="inlineStr">
        <is>
          <t xml:space="preserve">CBMZJ3Z5SC89</t>
        </is>
      </c>
      <c r="D321" s="0" t="inlineStr">
        <is>
          <t xml:space="preserve">-</t>
        </is>
      </c>
      <c r="E321" s="0" t="inlineStr">
        <is>
          <t xml:space="preserve">-</t>
        </is>
      </c>
      <c r="F321" s="0" t="inlineStr">
        <is>
          <t xml:space="preserve">-</t>
        </is>
      </c>
      <c r="G321" s="5">
        <v>1.252512</v>
      </c>
      <c r="H321" s="0" t="inlineStr">
        <is>
          <t xml:space="preserve">supplier</t>
        </is>
      </c>
      <c r="I321" s="0" t="inlineStr">
        <is>
          <t xml:space="preserve">coatings</t>
        </is>
      </c>
      <c r="J321" s="0" t="inlineStr">
        <is>
          <t xml:space="preserve">registry</t>
        </is>
      </c>
      <c r="K321" s="5">
        <v>0</v>
      </c>
      <c r="L321" s="5">
        <v>0</v>
      </c>
      <c r="M321" s="5">
        <v>1.252512</v>
      </c>
      <c r="N321" s="5">
        <v>0.0</v>
      </c>
      <c r="O321" s="5">
        <v>0.0</v>
      </c>
      <c r="P321" s="5">
        <v>0.0</v>
      </c>
      <c r="Q321" s="5">
        <v>0.0</v>
      </c>
      <c r="R321" s="5">
        <v>0.0</v>
      </c>
      <c r="S321" s="5">
        <v>0.0</v>
      </c>
      <c r="T321" s="5">
        <v>0.0</v>
      </c>
      <c r="U321" s="5">
        <v>0.0</v>
      </c>
    </row>
    <row r="322" outlineLevel="1">
      <c r="B322" s="0" t="inlineStr">
        <is>
          <t xml:space="preserve">TRIDENT TECHNICAL COLLEGE</t>
        </is>
      </c>
      <c r="C322" s="0" t="inlineStr">
        <is>
          <t xml:space="preserve">JTNDE6EBHL41</t>
        </is>
      </c>
      <c r="D322" s="0" t="inlineStr">
        <is>
          <t xml:space="preserve">-</t>
        </is>
      </c>
      <c r="E322" s="0" t="inlineStr">
        <is>
          <t xml:space="preserve">-</t>
        </is>
      </c>
      <c r="F322" s="0" t="inlineStr">
        <is>
          <t xml:space="preserve">-</t>
        </is>
      </c>
      <c r="G322" s="5">
        <v>1.2467402699999999</v>
      </c>
      <c r="H322" s="0" t="inlineStr">
        <is>
          <t xml:space="preserve">supplier</t>
        </is>
      </c>
      <c r="I322" s="0" t="inlineStr">
        <is>
          <t xml:space="preserve">unbucketed</t>
        </is>
      </c>
      <c r="J322" s="0" t="inlineStr">
        <is>
          <t xml:space="preserve">residual</t>
        </is>
      </c>
      <c r="K322" s="5">
        <v>0</v>
      </c>
      <c r="L322" s="5">
        <v>0</v>
      </c>
      <c r="M322" s="5">
        <v>1.2467402699999999</v>
      </c>
      <c r="N322" s="5">
        <v>0.0</v>
      </c>
      <c r="O322" s="5">
        <v>0.0</v>
      </c>
      <c r="P322" s="5">
        <v>0.0</v>
      </c>
      <c r="Q322" s="5">
        <v>0.0</v>
      </c>
      <c r="R322" s="5">
        <v>1.18869824</v>
      </c>
      <c r="S322" s="5">
        <v>0.05804203</v>
      </c>
      <c r="T322" s="5">
        <v>0.0</v>
      </c>
      <c r="U322" s="5">
        <v>0.0</v>
      </c>
    </row>
    <row r="323" outlineLevel="1">
      <c r="B323" s="0" t="inlineStr">
        <is>
          <t xml:space="preserve">DONALDSON COMPANY, INC.</t>
        </is>
      </c>
      <c r="C323" s="0" t="inlineStr">
        <is>
          <t xml:space="preserve">JX92LMWRTRJ9</t>
        </is>
      </c>
      <c r="D323" s="0" t="inlineStr">
        <is>
          <t xml:space="preserve">-</t>
        </is>
      </c>
      <c r="E323" s="0" t="inlineStr">
        <is>
          <t xml:space="preserve">-</t>
        </is>
      </c>
      <c r="F323" s="0" t="inlineStr">
        <is>
          <t xml:space="preserve">-</t>
        </is>
      </c>
      <c r="G323" s="5">
        <v>1.24644932</v>
      </c>
      <c r="H323" s="0" t="inlineStr">
        <is>
          <t xml:space="preserve">supplier</t>
        </is>
      </c>
      <c r="I323" s="0" t="inlineStr">
        <is>
          <t xml:space="preserve">unbucketed</t>
        </is>
      </c>
      <c r="J323" s="0" t="inlineStr">
        <is>
          <t xml:space="preserve">residual</t>
        </is>
      </c>
      <c r="K323" s="5">
        <v>0</v>
      </c>
      <c r="L323" s="5">
        <v>0</v>
      </c>
      <c r="M323" s="5">
        <v>1.24644932</v>
      </c>
      <c r="N323" s="5">
        <v>0.0</v>
      </c>
      <c r="O323" s="5">
        <v>0.21876586</v>
      </c>
      <c r="P323" s="5">
        <v>0.0</v>
      </c>
      <c r="Q323" s="5">
        <v>0.0</v>
      </c>
      <c r="R323" s="5">
        <v>0.0</v>
      </c>
      <c r="S323" s="5">
        <v>1.02768346</v>
      </c>
      <c r="T323" s="5">
        <v>0.0</v>
      </c>
      <c r="U323" s="5">
        <v>0.0</v>
      </c>
    </row>
    <row r="324" outlineLevel="1">
      <c r="B324" s="0" t="inlineStr">
        <is>
          <t xml:space="preserve">COASTAL DESIGN LLC</t>
        </is>
      </c>
      <c r="C324" s="0" t="inlineStr">
        <is>
          <t xml:space="preserve">LFNVWPJYQKH4</t>
        </is>
      </c>
      <c r="D324" s="0" t="inlineStr">
        <is>
          <t xml:space="preserve">-</t>
        </is>
      </c>
      <c r="E324" s="0" t="inlineStr">
        <is>
          <t xml:space="preserve">-</t>
        </is>
      </c>
      <c r="F324" s="0" t="inlineStr">
        <is>
          <t xml:space="preserve">-</t>
        </is>
      </c>
      <c r="G324" s="5">
        <v>1.2384118499999999</v>
      </c>
      <c r="H324" s="0" t="inlineStr">
        <is>
          <t xml:space="preserve">supplier</t>
        </is>
      </c>
      <c r="I324" s="0" t="inlineStr">
        <is>
          <t xml:space="preserve">unbucketed</t>
        </is>
      </c>
      <c r="J324" s="0" t="inlineStr">
        <is>
          <t xml:space="preserve">residual</t>
        </is>
      </c>
      <c r="K324" s="5">
        <v>0</v>
      </c>
      <c r="L324" s="5">
        <v>0</v>
      </c>
      <c r="M324" s="5">
        <v>1.2384118499999999</v>
      </c>
      <c r="N324" s="5">
        <v>0.10296</v>
      </c>
      <c r="O324" s="5">
        <v>0.0</v>
      </c>
      <c r="P324" s="5">
        <v>0.0</v>
      </c>
      <c r="Q324" s="5">
        <v>0.0</v>
      </c>
      <c r="R324" s="5">
        <v>0.65725475</v>
      </c>
      <c r="S324" s="5">
        <v>0.0</v>
      </c>
      <c r="T324" s="5">
        <v>0.031249850000000003</v>
      </c>
      <c r="U324" s="5">
        <v>0.0</v>
      </c>
    </row>
    <row r="325" outlineLevel="1">
      <c r="B325" s="0" t="inlineStr">
        <is>
          <t xml:space="preserve">HEICO CORPORATION</t>
        </is>
      </c>
      <c r="C325" s="0" t="inlineStr">
        <is>
          <t xml:space="preserve">CA3SCBN6PYP5</t>
        </is>
      </c>
      <c r="D325" s="0" t="inlineStr">
        <is>
          <t xml:space="preserve">-</t>
        </is>
      </c>
      <c r="E325" s="0" t="inlineStr">
        <is>
          <t xml:space="preserve">-</t>
        </is>
      </c>
      <c r="F325" s="0" t="inlineStr">
        <is>
          <t xml:space="preserve">-</t>
        </is>
      </c>
      <c r="G325" s="5">
        <v>1.235462</v>
      </c>
      <c r="H325" s="0" t="inlineStr">
        <is>
          <t xml:space="preserve">supplier</t>
        </is>
      </c>
      <c r="I325" s="0" t="inlineStr">
        <is>
          <t xml:space="preserve">unbucketed</t>
        </is>
      </c>
      <c r="J325" s="0" t="inlineStr">
        <is>
          <t xml:space="preserve">residual</t>
        </is>
      </c>
      <c r="K325" s="5">
        <v>0</v>
      </c>
      <c r="L325" s="5">
        <v>0</v>
      </c>
      <c r="M325" s="5">
        <v>0.0</v>
      </c>
      <c r="N325" s="5">
        <v>0.0</v>
      </c>
      <c r="O325" s="5">
        <v>0.0</v>
      </c>
      <c r="P325" s="5">
        <v>0.0</v>
      </c>
      <c r="Q325" s="5">
        <v>0.0</v>
      </c>
      <c r="R325" s="5">
        <v>0.0</v>
      </c>
      <c r="S325" s="5">
        <v>0.0</v>
      </c>
      <c r="T325" s="5">
        <v>0.0</v>
      </c>
      <c r="U325" s="5">
        <v>0.0</v>
      </c>
    </row>
    <row r="326" outlineLevel="1">
      <c r="B326" s="0" t="inlineStr">
        <is>
          <t xml:space="preserve">BLACK ROCK TECHNOLOGY GROUP, LLC</t>
        </is>
      </c>
      <c r="C326" s="0" t="inlineStr">
        <is>
          <t xml:space="preserve">JHPXZQA4R1X1</t>
        </is>
      </c>
      <c r="D326" s="0" t="inlineStr">
        <is>
          <t xml:space="preserve">-</t>
        </is>
      </c>
      <c r="E326" s="0" t="inlineStr">
        <is>
          <t xml:space="preserve">-</t>
        </is>
      </c>
      <c r="F326" s="0" t="inlineStr">
        <is>
          <t xml:space="preserve">-</t>
        </is>
      </c>
      <c r="G326" s="5">
        <v>1.22680909</v>
      </c>
      <c r="H326" s="0" t="inlineStr">
        <is>
          <t xml:space="preserve">supplier</t>
        </is>
      </c>
      <c r="I326" s="0" t="inlineStr">
        <is>
          <t xml:space="preserve">unbucketed</t>
        </is>
      </c>
      <c r="J326" s="0" t="inlineStr">
        <is>
          <t xml:space="preserve">residual</t>
        </is>
      </c>
      <c r="K326" s="5">
        <v>0</v>
      </c>
      <c r="L326" s="5">
        <v>0</v>
      </c>
      <c r="M326" s="5">
        <v>1.22680909</v>
      </c>
      <c r="N326" s="5">
        <v>0.18044797</v>
      </c>
      <c r="O326" s="5">
        <v>0.06987348</v>
      </c>
      <c r="P326" s="5">
        <v>0.15519816</v>
      </c>
      <c r="Q326" s="5">
        <v>0.0</v>
      </c>
      <c r="R326" s="5">
        <v>0.09978247999999999</v>
      </c>
      <c r="S326" s="5">
        <v>0.059171839999999996</v>
      </c>
      <c r="T326" s="5">
        <v>0.37390812999999995</v>
      </c>
      <c r="U326" s="5">
        <v>0.0</v>
      </c>
    </row>
    <row r="327" outlineLevel="1">
      <c r="B327" s="0" t="inlineStr">
        <is>
          <t xml:space="preserve">L-3 COMMUNICATIONS WESTWOOD CORPORATION</t>
        </is>
      </c>
      <c r="C327" s="0" t="inlineStr">
        <is>
          <t xml:space="preserve">ZW3UMG9YVNA9</t>
        </is>
      </c>
      <c r="D327" s="0" t="inlineStr">
        <is>
          <t xml:space="preserve">-</t>
        </is>
      </c>
      <c r="E327" s="0" t="inlineStr">
        <is>
          <t xml:space="preserve">-</t>
        </is>
      </c>
      <c r="F327" s="0" t="inlineStr">
        <is>
          <t xml:space="preserve">-</t>
        </is>
      </c>
      <c r="G327" s="5">
        <v>1.223473</v>
      </c>
      <c r="H327" s="0" t="inlineStr">
        <is>
          <t xml:space="preserve">supplier</t>
        </is>
      </c>
      <c r="I327" s="0" t="inlineStr">
        <is>
          <t xml:space="preserve">electrical</t>
        </is>
      </c>
      <c r="J327" s="0" t="inlineStr">
        <is>
          <t xml:space="preserve">registry</t>
        </is>
      </c>
      <c r="K327" s="5">
        <v>0</v>
      </c>
      <c r="L327" s="5">
        <v>0</v>
      </c>
      <c r="M327" s="5">
        <v>1.223473</v>
      </c>
      <c r="N327" s="5">
        <v>0.0</v>
      </c>
      <c r="O327" s="5">
        <v>0.9073129999999999</v>
      </c>
      <c r="P327" s="5">
        <v>0.0</v>
      </c>
      <c r="Q327" s="5">
        <v>0.0</v>
      </c>
      <c r="R327" s="5">
        <v>0.0</v>
      </c>
      <c r="S327" s="5">
        <v>0.14860399999999999</v>
      </c>
      <c r="T327" s="5">
        <v>0.167556</v>
      </c>
      <c r="U327" s="5">
        <v>0.0</v>
      </c>
    </row>
    <row r="328" outlineLevel="1">
      <c r="B328" s="0" t="inlineStr">
        <is>
          <t xml:space="preserve">DEXTER MAGNETIC TECHNOLOGIES, INC.</t>
        </is>
      </c>
      <c r="C328" s="0" t="inlineStr">
        <is>
          <t xml:space="preserve">V87VJJNMMFH9</t>
        </is>
      </c>
      <c r="D328" s="0" t="inlineStr">
        <is>
          <t xml:space="preserve">-</t>
        </is>
      </c>
      <c r="E328" s="0" t="inlineStr">
        <is>
          <t xml:space="preserve">-</t>
        </is>
      </c>
      <c r="F328" s="0" t="inlineStr">
        <is>
          <t xml:space="preserve">-</t>
        </is>
      </c>
      <c r="G328" s="5">
        <v>1.2215699999999998</v>
      </c>
      <c r="H328" s="0" t="inlineStr">
        <is>
          <t xml:space="preserve">supplier</t>
        </is>
      </c>
      <c r="I328" s="0" t="inlineStr">
        <is>
          <t xml:space="preserve">unbucketed</t>
        </is>
      </c>
      <c r="J328" s="0" t="inlineStr">
        <is>
          <t xml:space="preserve">residual</t>
        </is>
      </c>
      <c r="K328" s="5">
        <v>0</v>
      </c>
      <c r="L328" s="5">
        <v>0</v>
      </c>
      <c r="M328" s="5">
        <v>1.2215699999999998</v>
      </c>
      <c r="N328" s="5">
        <v>0.0</v>
      </c>
      <c r="O328" s="5">
        <v>0.0</v>
      </c>
      <c r="P328" s="5">
        <v>0.0</v>
      </c>
      <c r="Q328" s="5">
        <v>0.0</v>
      </c>
      <c r="R328" s="5">
        <v>0.0</v>
      </c>
      <c r="S328" s="5">
        <v>0.0</v>
      </c>
      <c r="T328" s="5">
        <v>0.17451</v>
      </c>
      <c r="U328" s="5">
        <v>1.0470599999999999</v>
      </c>
    </row>
    <row r="329" outlineLevel="1">
      <c r="B329" s="0" t="inlineStr">
        <is>
          <t xml:space="preserve">GLOBAL EXECUTIVE SOLUTIONS, LLC</t>
        </is>
      </c>
      <c r="C329" s="0" t="inlineStr">
        <is>
          <t xml:space="preserve">HYNSUU4GPWA9</t>
        </is>
      </c>
      <c r="D329" s="0" t="inlineStr">
        <is>
          <t xml:space="preserve">USA</t>
        </is>
      </c>
      <c r="E329" s="0" t="inlineStr">
        <is>
          <t xml:space="preserve">5416</t>
        </is>
      </c>
      <c r="F329" s="0" t="inlineStr">
        <is>
          <t xml:space="preserve">Administrative Management and General Management Consulting Services</t>
        </is>
      </c>
      <c r="G329" s="5">
        <v>1.21139156</v>
      </c>
      <c r="H329" s="0" t="inlineStr">
        <is>
          <t xml:space="preserve">service</t>
        </is>
      </c>
      <c r="I329" s="0" t="inlineStr">
        <is>
          <t xml:space="preserve">-</t>
        </is>
      </c>
      <c r="J329" s="0" t="inlineStr">
        <is>
          <t xml:space="preserve">service NAICS</t>
        </is>
      </c>
      <c r="K329" s="5">
        <v>0</v>
      </c>
      <c r="L329" s="5">
        <v>0</v>
      </c>
      <c r="M329" s="5">
        <v>1.21139156</v>
      </c>
      <c r="N329" s="5">
        <v>0.00799156</v>
      </c>
      <c r="O329" s="5">
        <v>0.0</v>
      </c>
      <c r="P329" s="5">
        <v>0.0</v>
      </c>
      <c r="Q329" s="5">
        <v>0.0</v>
      </c>
      <c r="R329" s="5">
        <v>0.0</v>
      </c>
      <c r="S329" s="5">
        <v>0.0</v>
      </c>
      <c r="T329" s="5">
        <v>0.0</v>
      </c>
      <c r="U329" s="5">
        <v>0.0</v>
      </c>
    </row>
    <row r="330" outlineLevel="1">
      <c r="B330" s="0" t="inlineStr">
        <is>
          <t xml:space="preserve">MSA SAFETY SALES, LLC</t>
        </is>
      </c>
      <c r="C330" s="0" t="inlineStr">
        <is>
          <t xml:space="preserve">EDJPMQN1HSJ1</t>
        </is>
      </c>
      <c r="D330" s="0" t="inlineStr">
        <is>
          <t xml:space="preserve">-</t>
        </is>
      </c>
      <c r="E330" s="0" t="inlineStr">
        <is>
          <t xml:space="preserve">-</t>
        </is>
      </c>
      <c r="F330" s="0" t="inlineStr">
        <is>
          <t xml:space="preserve">-</t>
        </is>
      </c>
      <c r="G330" s="5">
        <v>1.1916552399999998</v>
      </c>
      <c r="H330" s="0" t="inlineStr">
        <is>
          <t xml:space="preserve">supplier</t>
        </is>
      </c>
      <c r="I330" s="0" t="inlineStr">
        <is>
          <t xml:space="preserve">unbucketed</t>
        </is>
      </c>
      <c r="J330" s="0" t="inlineStr">
        <is>
          <t xml:space="preserve">residual</t>
        </is>
      </c>
      <c r="K330" s="5">
        <v>0</v>
      </c>
      <c r="L330" s="5">
        <v>0</v>
      </c>
      <c r="M330" s="5">
        <v>1.1916552399999998</v>
      </c>
      <c r="N330" s="5">
        <v>0.0</v>
      </c>
      <c r="O330" s="5">
        <v>0.27273069</v>
      </c>
      <c r="P330" s="5">
        <v>0.8596037499999999</v>
      </c>
      <c r="Q330" s="5">
        <v>0.0</v>
      </c>
      <c r="R330" s="5">
        <v>0.0</v>
      </c>
      <c r="S330" s="5">
        <v>0.0</v>
      </c>
      <c r="T330" s="5">
        <v>0.0593208</v>
      </c>
      <c r="U330" s="5">
        <v>0.0</v>
      </c>
    </row>
    <row r="331" outlineLevel="1">
      <c r="B331" s="0" t="inlineStr">
        <is>
          <t xml:space="preserve">PUROLATOR FACET, INC.</t>
        </is>
      </c>
      <c r="C331" s="0" t="inlineStr">
        <is>
          <t xml:space="preserve">QF82VVEDYFC3</t>
        </is>
      </c>
      <c r="D331" s="0" t="inlineStr">
        <is>
          <t xml:space="preserve">-</t>
        </is>
      </c>
      <c r="E331" s="0" t="inlineStr">
        <is>
          <t xml:space="preserve">-</t>
        </is>
      </c>
      <c r="F331" s="0" t="inlineStr">
        <is>
          <t xml:space="preserve">-</t>
        </is>
      </c>
      <c r="G331" s="5">
        <v>1.1718861999999999</v>
      </c>
      <c r="H331" s="0" t="inlineStr">
        <is>
          <t xml:space="preserve">supplier</t>
        </is>
      </c>
      <c r="I331" s="0" t="inlineStr">
        <is>
          <t xml:space="preserve">unbucketed</t>
        </is>
      </c>
      <c r="J331" s="0" t="inlineStr">
        <is>
          <t xml:space="preserve">residual</t>
        </is>
      </c>
      <c r="K331" s="5">
        <v>0</v>
      </c>
      <c r="L331" s="5">
        <v>0</v>
      </c>
      <c r="M331" s="5">
        <v>1.1718861999999999</v>
      </c>
      <c r="N331" s="5">
        <v>0.0</v>
      </c>
      <c r="O331" s="5">
        <v>0.0</v>
      </c>
      <c r="P331" s="5">
        <v>0.0</v>
      </c>
      <c r="Q331" s="5">
        <v>0.0</v>
      </c>
      <c r="R331" s="5">
        <v>0.9974272</v>
      </c>
      <c r="S331" s="5">
        <v>0.0</v>
      </c>
      <c r="T331" s="5">
        <v>0.0</v>
      </c>
      <c r="U331" s="5">
        <v>0.0</v>
      </c>
    </row>
    <row r="332" outlineLevel="1">
      <c r="B332" s="0" t="inlineStr">
        <is>
          <t xml:space="preserve">EMERSON ELECTRIC CO.</t>
        </is>
      </c>
      <c r="C332" s="0" t="inlineStr">
        <is>
          <t xml:space="preserve">HSV2N9ACRTJ6</t>
        </is>
      </c>
      <c r="D332" s="0" t="inlineStr">
        <is>
          <t xml:space="preserve">USA</t>
        </is>
      </c>
      <c r="E332" s="0" t="inlineStr">
        <is>
          <t xml:space="preserve">3329</t>
        </is>
      </c>
      <c r="F332" s="0" t="inlineStr">
        <is>
          <t xml:space="preserve">Industrial Valve Manufacturing</t>
        </is>
      </c>
      <c r="G332" s="5">
        <v>1.1633830000000007</v>
      </c>
      <c r="H332" s="0" t="inlineStr">
        <is>
          <t xml:space="preserve">supplier</t>
        </is>
      </c>
      <c r="I332" s="0" t="inlineStr">
        <is>
          <t xml:space="preserve">piping</t>
        </is>
      </c>
      <c r="J332" s="0" t="inlineStr">
        <is>
          <t xml:space="preserve">naics4</t>
        </is>
      </c>
      <c r="K332" s="5">
        <v>0</v>
      </c>
      <c r="L332" s="5">
        <v>0</v>
      </c>
      <c r="M332" s="5">
        <v>1.1633830000000007</v>
      </c>
      <c r="N332" s="5">
        <v>0.10225200000000004</v>
      </c>
      <c r="O332" s="5">
        <v>0.0</v>
      </c>
      <c r="P332" s="5">
        <v>0.0</v>
      </c>
      <c r="Q332" s="5">
        <v>0.0</v>
      </c>
      <c r="R332" s="5">
        <v>0.902699</v>
      </c>
      <c r="S332" s="5">
        <v>0.0</v>
      </c>
      <c r="T332" s="5">
        <v>0.0</v>
      </c>
      <c r="U332" s="5">
        <v>0.0</v>
      </c>
    </row>
    <row r="333" outlineLevel="1">
      <c r="B333" s="0" t="inlineStr">
        <is>
          <t xml:space="preserve">TAYLOR DEVICES, INC.</t>
        </is>
      </c>
      <c r="C333" s="0" t="inlineStr">
        <is>
          <t xml:space="preserve">MXTJBDD1L4T4</t>
        </is>
      </c>
      <c r="D333" s="0" t="inlineStr">
        <is>
          <t xml:space="preserve">-</t>
        </is>
      </c>
      <c r="E333" s="0" t="inlineStr">
        <is>
          <t xml:space="preserve">-</t>
        </is>
      </c>
      <c r="F333" s="0" t="inlineStr">
        <is>
          <t xml:space="preserve">-</t>
        </is>
      </c>
      <c r="G333" s="5">
        <v>1.1592</v>
      </c>
      <c r="H333" s="0" t="inlineStr">
        <is>
          <t xml:space="preserve">supplier</t>
        </is>
      </c>
      <c r="I333" s="0" t="inlineStr">
        <is>
          <t xml:space="preserve">piping</t>
        </is>
      </c>
      <c r="J333" s="0" t="inlineStr">
        <is>
          <t xml:space="preserve">registry</t>
        </is>
      </c>
      <c r="K333" s="5">
        <v>0</v>
      </c>
      <c r="L333" s="5">
        <v>0</v>
      </c>
      <c r="M333" s="5">
        <v>1.1592</v>
      </c>
      <c r="N333" s="5">
        <v>0.0</v>
      </c>
      <c r="O333" s="5">
        <v>0.0</v>
      </c>
      <c r="P333" s="5">
        <v>0.0</v>
      </c>
      <c r="Q333" s="5">
        <v>0.0</v>
      </c>
      <c r="R333" s="5">
        <v>0.0</v>
      </c>
      <c r="S333" s="5">
        <v>0.0</v>
      </c>
      <c r="T333" s="5">
        <v>0.0</v>
      </c>
      <c r="U333" s="5">
        <v>0.0</v>
      </c>
    </row>
    <row r="334" outlineLevel="1">
      <c r="B334" s="0" t="inlineStr">
        <is>
          <t xml:space="preserve">MAJOR TOOL &amp; MACHINE INC</t>
        </is>
      </c>
      <c r="C334" s="0" t="inlineStr">
        <is>
          <t xml:space="preserve">YHJESY2TDP23</t>
        </is>
      </c>
      <c r="D334" s="0" t="inlineStr">
        <is>
          <t xml:space="preserve">-</t>
        </is>
      </c>
      <c r="E334" s="0" t="inlineStr">
        <is>
          <t xml:space="preserve">-</t>
        </is>
      </c>
      <c r="F334" s="0" t="inlineStr">
        <is>
          <t xml:space="preserve">-</t>
        </is>
      </c>
      <c r="G334" s="5">
        <v>1.15506</v>
      </c>
      <c r="H334" s="0" t="inlineStr">
        <is>
          <t xml:space="preserve">supplier</t>
        </is>
      </c>
      <c r="I334" s="0" t="inlineStr">
        <is>
          <t xml:space="preserve">machining</t>
        </is>
      </c>
      <c r="J334" s="0" t="inlineStr">
        <is>
          <t xml:space="preserve">registry</t>
        </is>
      </c>
      <c r="K334" s="5">
        <v>0</v>
      </c>
      <c r="L334" s="5">
        <v>0</v>
      </c>
      <c r="M334" s="5">
        <v>1.15506</v>
      </c>
      <c r="N334" s="5">
        <v>0.0</v>
      </c>
      <c r="O334" s="5">
        <v>0.0</v>
      </c>
      <c r="P334" s="5">
        <v>0.0</v>
      </c>
      <c r="Q334" s="5">
        <v>0.0</v>
      </c>
      <c r="R334" s="5">
        <v>0.0</v>
      </c>
      <c r="S334" s="5">
        <v>0.0</v>
      </c>
      <c r="T334" s="5">
        <v>1.15506</v>
      </c>
      <c r="U334" s="5">
        <v>0.0</v>
      </c>
    </row>
    <row r="335" outlineLevel="1">
      <c r="B335" s="0" t="inlineStr">
        <is>
          <t xml:space="preserve">SSI MANUFACTURING TECHNOLOGIES CORP.</t>
        </is>
      </c>
      <c r="C335" s="0" t="inlineStr">
        <is>
          <t xml:space="preserve">TH91MD9B9RL7</t>
        </is>
      </c>
      <c r="D335" s="0" t="inlineStr">
        <is>
          <t xml:space="preserve">-</t>
        </is>
      </c>
      <c r="E335" s="0" t="inlineStr">
        <is>
          <t xml:space="preserve">-</t>
        </is>
      </c>
      <c r="F335" s="0" t="inlineStr">
        <is>
          <t xml:space="preserve">-</t>
        </is>
      </c>
      <c r="G335" s="5">
        <v>1.1515591999999994</v>
      </c>
      <c r="H335" s="0" t="inlineStr">
        <is>
          <t xml:space="preserve">supplier</t>
        </is>
      </c>
      <c r="I335" s="0" t="inlineStr">
        <is>
          <t xml:space="preserve">unbucketed</t>
        </is>
      </c>
      <c r="J335" s="0" t="inlineStr">
        <is>
          <t xml:space="preserve">residual</t>
        </is>
      </c>
      <c r="K335" s="5">
        <v>0</v>
      </c>
      <c r="L335" s="5">
        <v>0</v>
      </c>
      <c r="M335" s="5">
        <v>1.1515591999999994</v>
      </c>
      <c r="N335" s="5">
        <v>0.23806819999999995</v>
      </c>
      <c r="O335" s="5">
        <v>0.0</v>
      </c>
      <c r="P335" s="5">
        <v>0.378872</v>
      </c>
      <c r="Q335" s="5">
        <v>0.0</v>
      </c>
      <c r="R335" s="5">
        <v>0.0</v>
      </c>
      <c r="S335" s="5">
        <v>0.0</v>
      </c>
      <c r="T335" s="5">
        <v>0.07896</v>
      </c>
      <c r="U335" s="5">
        <v>0.0</v>
      </c>
    </row>
    <row r="336" outlineLevel="1">
      <c r="B336" s="0" t="inlineStr">
        <is>
          <t xml:space="preserve">ESI ACQUISITION CORP.</t>
        </is>
      </c>
      <c r="C336" s="0" t="inlineStr">
        <is>
          <t xml:space="preserve">LR2HQKYJLDZ7</t>
        </is>
      </c>
      <c r="D336" s="0" t="inlineStr">
        <is>
          <t xml:space="preserve">-</t>
        </is>
      </c>
      <c r="E336" s="0" t="inlineStr">
        <is>
          <t xml:space="preserve">-</t>
        </is>
      </c>
      <c r="F336" s="0" t="inlineStr">
        <is>
          <t xml:space="preserve">-</t>
        </is>
      </c>
      <c r="G336" s="5">
        <v>1.14239434</v>
      </c>
      <c r="H336" s="0" t="inlineStr">
        <is>
          <t xml:space="preserve">supplier</t>
        </is>
      </c>
      <c r="I336" s="0" t="inlineStr">
        <is>
          <t xml:space="preserve">unbucketed</t>
        </is>
      </c>
      <c r="J336" s="0" t="inlineStr">
        <is>
          <t xml:space="preserve">registry</t>
        </is>
      </c>
      <c r="K336" s="5">
        <v>0</v>
      </c>
      <c r="L336" s="5">
        <v>0</v>
      </c>
      <c r="M336" s="5">
        <v>1.14239434</v>
      </c>
      <c r="N336" s="5">
        <v>0.0</v>
      </c>
      <c r="O336" s="5">
        <v>0.0</v>
      </c>
      <c r="P336" s="5">
        <v>0.0</v>
      </c>
      <c r="Q336" s="5">
        <v>0.0</v>
      </c>
      <c r="R336" s="5">
        <v>0.15645734</v>
      </c>
      <c r="S336" s="5">
        <v>0.0</v>
      </c>
      <c r="T336" s="5">
        <v>0.0</v>
      </c>
      <c r="U336" s="5">
        <v>0.0</v>
      </c>
    </row>
    <row r="337" outlineLevel="1">
      <c r="B337" s="0" t="inlineStr">
        <is>
          <t xml:space="preserve">INSIGHT GLOBAL, LLC</t>
        </is>
      </c>
      <c r="C337" s="0" t="inlineStr">
        <is>
          <t xml:space="preserve">LW88Z8MMJHT3</t>
        </is>
      </c>
      <c r="D337" s="0" t="inlineStr">
        <is>
          <t xml:space="preserve">-</t>
        </is>
      </c>
      <c r="E337" s="0" t="inlineStr">
        <is>
          <t xml:space="preserve">-</t>
        </is>
      </c>
      <c r="F337" s="0" t="inlineStr">
        <is>
          <t xml:space="preserve">-</t>
        </is>
      </c>
      <c r="G337" s="5">
        <v>1.1303045</v>
      </c>
      <c r="H337" s="0" t="inlineStr">
        <is>
          <t xml:space="preserve">supplier</t>
        </is>
      </c>
      <c r="I337" s="0" t="inlineStr">
        <is>
          <t xml:space="preserve">unbucketed</t>
        </is>
      </c>
      <c r="J337" s="0" t="inlineStr">
        <is>
          <t xml:space="preserve">residual</t>
        </is>
      </c>
      <c r="K337" s="5">
        <v>0</v>
      </c>
      <c r="L337" s="5">
        <v>0</v>
      </c>
      <c r="M337" s="5">
        <v>1.1303045</v>
      </c>
      <c r="N337" s="5">
        <v>0.0</v>
      </c>
      <c r="O337" s="5">
        <v>0.0</v>
      </c>
      <c r="P337" s="5">
        <v>0.0</v>
      </c>
      <c r="Q337" s="5">
        <v>0.0</v>
      </c>
      <c r="R337" s="5">
        <v>0.9349999999999999</v>
      </c>
      <c r="S337" s="5">
        <v>0.07176700000000003</v>
      </c>
      <c r="T337" s="5">
        <v>0.3</v>
      </c>
      <c r="U337" s="5">
        <v>-0.05711</v>
      </c>
    </row>
    <row r="338" outlineLevel="1">
      <c r="B338" s="0" t="inlineStr">
        <is>
          <t xml:space="preserve">H. R. HILLERY COMPANY, THE</t>
        </is>
      </c>
      <c r="C338" s="0" t="inlineStr">
        <is>
          <t xml:space="preserve">ZFQBUPK552C3</t>
        </is>
      </c>
      <c r="D338" s="0" t="inlineStr">
        <is>
          <t xml:space="preserve">USA</t>
        </is>
      </c>
      <c r="E338" s="0" t="inlineStr">
        <is>
          <t xml:space="preserve">3323</t>
        </is>
      </c>
      <c r="F338" s="0" t="inlineStr">
        <is>
          <t xml:space="preserve">Fabricated Structural Metal Manufacturing</t>
        </is>
      </c>
      <c r="G338" s="5">
        <v>1.1015423500000001</v>
      </c>
      <c r="H338" s="0" t="inlineStr">
        <is>
          <t xml:space="preserve">supplier</t>
        </is>
      </c>
      <c r="I338" s="0" t="inlineStr">
        <is>
          <t xml:space="preserve">structural</t>
        </is>
      </c>
      <c r="J338" s="0" t="inlineStr">
        <is>
          <t xml:space="preserve">naics4</t>
        </is>
      </c>
      <c r="K338" s="5">
        <v>0</v>
      </c>
      <c r="L338" s="5">
        <v>0</v>
      </c>
      <c r="M338" s="5">
        <v>1.1015423500000001</v>
      </c>
      <c r="N338" s="5">
        <v>0.6959773400000001</v>
      </c>
      <c r="O338" s="5">
        <v>0.0</v>
      </c>
      <c r="P338" s="5">
        <v>0.0</v>
      </c>
      <c r="Q338" s="5">
        <v>0.0</v>
      </c>
      <c r="R338" s="5">
        <v>0.0</v>
      </c>
      <c r="S338" s="5">
        <v>0.0</v>
      </c>
      <c r="T338" s="5">
        <v>0.0</v>
      </c>
      <c r="U338" s="5">
        <v>0.0</v>
      </c>
    </row>
    <row r="339" outlineLevel="1">
      <c r="B339" s="0" t="inlineStr">
        <is>
          <t xml:space="preserve">TRANSDIGM INC</t>
        </is>
      </c>
      <c r="C339" s="0" t="inlineStr">
        <is>
          <t xml:space="preserve">NKNLZEBJBM67</t>
        </is>
      </c>
      <c r="D339" s="0" t="inlineStr">
        <is>
          <t xml:space="preserve">-</t>
        </is>
      </c>
      <c r="E339" s="0" t="inlineStr">
        <is>
          <t xml:space="preserve">-</t>
        </is>
      </c>
      <c r="F339" s="0" t="inlineStr">
        <is>
          <t xml:space="preserve">-</t>
        </is>
      </c>
      <c r="G339" s="5">
        <v>1.0899851999999999</v>
      </c>
      <c r="H339" s="0" t="inlineStr">
        <is>
          <t xml:space="preserve">supplier</t>
        </is>
      </c>
      <c r="I339" s="0" t="inlineStr">
        <is>
          <t xml:space="preserve">unbucketed</t>
        </is>
      </c>
      <c r="J339" s="0" t="inlineStr">
        <is>
          <t xml:space="preserve">residual</t>
        </is>
      </c>
      <c r="K339" s="5">
        <v>0</v>
      </c>
      <c r="L339" s="5">
        <v>0</v>
      </c>
      <c r="M339" s="5">
        <v>1.0899851999999999</v>
      </c>
      <c r="N339" s="5">
        <v>0.027180000000000003</v>
      </c>
      <c r="O339" s="5">
        <v>0.3672612</v>
      </c>
      <c r="P339" s="5">
        <v>0.504752</v>
      </c>
      <c r="Q339" s="5">
        <v>0.0</v>
      </c>
      <c r="R339" s="5">
        <v>0.08624</v>
      </c>
      <c r="S339" s="5">
        <v>0.0</v>
      </c>
      <c r="T339" s="5">
        <v>0.104552</v>
      </c>
      <c r="U339" s="5">
        <v>0.0</v>
      </c>
    </row>
    <row r="340" outlineLevel="1">
      <c r="B340" s="0" t="inlineStr">
        <is>
          <t xml:space="preserve">GK MECHANICAL SYSTEMS LLC</t>
        </is>
      </c>
      <c r="C340" s="0" t="inlineStr">
        <is>
          <t xml:space="preserve">G58FFJ6F2CA7</t>
        </is>
      </c>
      <c r="D340" s="0" t="inlineStr">
        <is>
          <t xml:space="preserve">-</t>
        </is>
      </c>
      <c r="E340" s="0" t="inlineStr">
        <is>
          <t xml:space="preserve">-</t>
        </is>
      </c>
      <c r="F340" s="0" t="inlineStr">
        <is>
          <t xml:space="preserve">-</t>
        </is>
      </c>
      <c r="G340" s="5">
        <v>1.085059</v>
      </c>
      <c r="H340" s="0" t="inlineStr">
        <is>
          <t xml:space="preserve">supplier</t>
        </is>
      </c>
      <c r="I340" s="0" t="inlineStr">
        <is>
          <t xml:space="preserve">unbucketed</t>
        </is>
      </c>
      <c r="J340" s="0" t="inlineStr">
        <is>
          <t xml:space="preserve">residual</t>
        </is>
      </c>
      <c r="K340" s="5">
        <v>0</v>
      </c>
      <c r="L340" s="5">
        <v>0</v>
      </c>
      <c r="M340" s="5">
        <v>1.085059</v>
      </c>
      <c r="N340" s="5">
        <v>0.0</v>
      </c>
      <c r="O340" s="5">
        <v>0.0</v>
      </c>
      <c r="P340" s="5">
        <v>0.0</v>
      </c>
      <c r="Q340" s="5">
        <v>0.112422</v>
      </c>
      <c r="R340" s="5">
        <v>0.0</v>
      </c>
      <c r="S340" s="5">
        <v>0.972637</v>
      </c>
      <c r="T340" s="5">
        <v>0.0</v>
      </c>
      <c r="U340" s="5">
        <v>0.0</v>
      </c>
    </row>
    <row r="341" outlineLevel="1">
      <c r="B341" s="0" t="inlineStr">
        <is>
          <t xml:space="preserve">PARADIGM PRECISION HOLDINGS, LLC</t>
        </is>
      </c>
      <c r="C341" s="0" t="inlineStr">
        <is>
          <t xml:space="preserve">JFHLZNJLWAN5</t>
        </is>
      </c>
      <c r="D341" s="0" t="inlineStr">
        <is>
          <t xml:space="preserve">-</t>
        </is>
      </c>
      <c r="E341" s="0" t="inlineStr">
        <is>
          <t xml:space="preserve">-</t>
        </is>
      </c>
      <c r="F341" s="0" t="inlineStr">
        <is>
          <t xml:space="preserve">-</t>
        </is>
      </c>
      <c r="G341" s="5">
        <v>1.0776659899999999</v>
      </c>
      <c r="H341" s="0" t="inlineStr">
        <is>
          <t xml:space="preserve">supplier</t>
        </is>
      </c>
      <c r="I341" s="0" t="inlineStr">
        <is>
          <t xml:space="preserve">unbucketed</t>
        </is>
      </c>
      <c r="J341" s="0" t="inlineStr">
        <is>
          <t xml:space="preserve">residual</t>
        </is>
      </c>
      <c r="K341" s="5">
        <v>0</v>
      </c>
      <c r="L341" s="5">
        <v>0</v>
      </c>
      <c r="M341" s="5">
        <v>1.0776659899999999</v>
      </c>
      <c r="N341" s="5">
        <v>0.20049446999999998</v>
      </c>
      <c r="O341" s="5">
        <v>0.46556568000000004</v>
      </c>
      <c r="P341" s="5">
        <v>0.36787576999999994</v>
      </c>
      <c r="Q341" s="5">
        <v>0.0</v>
      </c>
      <c r="R341" s="5">
        <v>0.0</v>
      </c>
      <c r="S341" s="5">
        <v>0.04373007</v>
      </c>
      <c r="T341" s="5">
        <v>0.0</v>
      </c>
      <c r="U341" s="5">
        <v>0.0</v>
      </c>
    </row>
    <row r="342" outlineLevel="1">
      <c r="B342" s="0" t="inlineStr">
        <is>
          <t xml:space="preserve">HOTTINGER BRUEL &amp; KJAER INC.</t>
        </is>
      </c>
      <c r="C342" s="0" t="inlineStr">
        <is>
          <t xml:space="preserve">C1H7UWEXRVN7</t>
        </is>
      </c>
      <c r="D342" s="0" t="inlineStr">
        <is>
          <t xml:space="preserve">-</t>
        </is>
      </c>
      <c r="E342" s="0" t="inlineStr">
        <is>
          <t xml:space="preserve">-</t>
        </is>
      </c>
      <c r="F342" s="0" t="inlineStr">
        <is>
          <t xml:space="preserve">-</t>
        </is>
      </c>
      <c r="G342" s="5">
        <v>1.07449662</v>
      </c>
      <c r="H342" s="0" t="inlineStr">
        <is>
          <t xml:space="preserve">supplier</t>
        </is>
      </c>
      <c r="I342" s="0" t="inlineStr">
        <is>
          <t xml:space="preserve">unbucketed</t>
        </is>
      </c>
      <c r="J342" s="0" t="inlineStr">
        <is>
          <t xml:space="preserve">residual</t>
        </is>
      </c>
      <c r="K342" s="5">
        <v>0</v>
      </c>
      <c r="L342" s="5">
        <v>0</v>
      </c>
      <c r="M342" s="5">
        <v>1.07449662</v>
      </c>
      <c r="N342" s="5">
        <v>0.0</v>
      </c>
      <c r="O342" s="5">
        <v>0.0</v>
      </c>
      <c r="P342" s="5">
        <v>0.0</v>
      </c>
      <c r="Q342" s="5">
        <v>0.0</v>
      </c>
      <c r="R342" s="5">
        <v>0.0</v>
      </c>
      <c r="S342" s="5">
        <v>0.061386</v>
      </c>
      <c r="T342" s="5">
        <v>0.0</v>
      </c>
      <c r="U342" s="5">
        <v>1.01311062</v>
      </c>
    </row>
    <row r="343" outlineLevel="1">
      <c r="B343" s="0" t="inlineStr">
        <is>
          <t xml:space="preserve">WURTH REVCAR FASTENERS, INC.</t>
        </is>
      </c>
      <c r="C343" s="0" t="inlineStr">
        <is>
          <t xml:space="preserve">GHVMX1DLDAK6</t>
        </is>
      </c>
      <c r="D343" s="0" t="inlineStr">
        <is>
          <t xml:space="preserve">-</t>
        </is>
      </c>
      <c r="E343" s="0" t="inlineStr">
        <is>
          <t xml:space="preserve">-</t>
        </is>
      </c>
      <c r="F343" s="0" t="inlineStr">
        <is>
          <t xml:space="preserve">-</t>
        </is>
      </c>
      <c r="G343" s="5">
        <v>1.0744388999999999</v>
      </c>
      <c r="H343" s="0" t="inlineStr">
        <is>
          <t xml:space="preserve">supplier</t>
        </is>
      </c>
      <c r="I343" s="0" t="inlineStr">
        <is>
          <t xml:space="preserve">unbucketed</t>
        </is>
      </c>
      <c r="J343" s="0" t="inlineStr">
        <is>
          <t xml:space="preserve">residual</t>
        </is>
      </c>
      <c r="K343" s="5">
        <v>0</v>
      </c>
      <c r="L343" s="5">
        <v>0</v>
      </c>
      <c r="M343" s="5">
        <v>1.0744388999999999</v>
      </c>
      <c r="N343" s="5">
        <v>0.0</v>
      </c>
      <c r="O343" s="5">
        <v>0.0</v>
      </c>
      <c r="P343" s="5">
        <v>0.0</v>
      </c>
      <c r="Q343" s="5">
        <v>0.22599</v>
      </c>
      <c r="R343" s="5">
        <v>0.0</v>
      </c>
      <c r="S343" s="5">
        <v>0.04752</v>
      </c>
      <c r="T343" s="5">
        <v>0.8009288999999999</v>
      </c>
      <c r="U343" s="5">
        <v>0.0</v>
      </c>
    </row>
    <row r="344" outlineLevel="1">
      <c r="B344" s="0" t="inlineStr">
        <is>
          <t xml:space="preserve">OAKWOOD INDUSTRIES INC</t>
        </is>
      </c>
      <c r="C344" s="0" t="inlineStr">
        <is>
          <t xml:space="preserve">JCXDK86FK3L5</t>
        </is>
      </c>
      <c r="D344" s="0" t="inlineStr">
        <is>
          <t xml:space="preserve">-</t>
        </is>
      </c>
      <c r="E344" s="0" t="inlineStr">
        <is>
          <t xml:space="preserve">-</t>
        </is>
      </c>
      <c r="F344" s="0" t="inlineStr">
        <is>
          <t xml:space="preserve">-</t>
        </is>
      </c>
      <c r="G344" s="5">
        <v>1.0728</v>
      </c>
      <c r="H344" s="0" t="inlineStr">
        <is>
          <t xml:space="preserve">supplier</t>
        </is>
      </c>
      <c r="I344" s="0" t="inlineStr">
        <is>
          <t xml:space="preserve">unbucketed</t>
        </is>
      </c>
      <c r="J344" s="0" t="inlineStr">
        <is>
          <t xml:space="preserve">residual</t>
        </is>
      </c>
      <c r="K344" s="5">
        <v>0</v>
      </c>
      <c r="L344" s="5">
        <v>0</v>
      </c>
      <c r="M344" s="5">
        <v>0.0</v>
      </c>
      <c r="N344" s="5">
        <v>0.0</v>
      </c>
      <c r="O344" s="5">
        <v>0.0</v>
      </c>
      <c r="P344" s="5">
        <v>0.0</v>
      </c>
      <c r="Q344" s="5">
        <v>0.0</v>
      </c>
      <c r="R344" s="5">
        <v>0.0</v>
      </c>
      <c r="S344" s="5">
        <v>0.0</v>
      </c>
      <c r="T344" s="5">
        <v>0.0</v>
      </c>
      <c r="U344" s="5">
        <v>0.0</v>
      </c>
    </row>
    <row r="345" outlineLevel="1">
      <c r="B345" s="0" t="inlineStr">
        <is>
          <t xml:space="preserve">L3 TECHNOLOGIES, INC.</t>
        </is>
      </c>
      <c r="C345" s="0" t="inlineStr">
        <is>
          <t xml:space="preserve">PTMFLMD2CUB4</t>
        </is>
      </c>
      <c r="D345" s="0" t="inlineStr">
        <is>
          <t xml:space="preserve">-</t>
        </is>
      </c>
      <c r="E345" s="0" t="inlineStr">
        <is>
          <t xml:space="preserve">-</t>
        </is>
      </c>
      <c r="F345" s="0" t="inlineStr">
        <is>
          <t xml:space="preserve">-</t>
        </is>
      </c>
      <c r="G345" s="5">
        <v>1.07182</v>
      </c>
      <c r="H345" s="0" t="inlineStr">
        <is>
          <t xml:space="preserve">supplier</t>
        </is>
      </c>
      <c r="I345" s="0" t="inlineStr">
        <is>
          <t xml:space="preserve">unbucketed</t>
        </is>
      </c>
      <c r="J345" s="0" t="inlineStr">
        <is>
          <t xml:space="preserve">residual</t>
        </is>
      </c>
      <c r="K345" s="5">
        <v>0</v>
      </c>
      <c r="L345" s="5">
        <v>0</v>
      </c>
      <c r="M345" s="5">
        <v>1.07182</v>
      </c>
      <c r="N345" s="5">
        <v>0.0</v>
      </c>
      <c r="O345" s="5">
        <v>0.0</v>
      </c>
      <c r="P345" s="5">
        <v>0.0</v>
      </c>
      <c r="Q345" s="5">
        <v>0.0</v>
      </c>
      <c r="R345" s="5">
        <v>0.0</v>
      </c>
      <c r="S345" s="5">
        <v>1.07182</v>
      </c>
      <c r="T345" s="5">
        <v>0.0</v>
      </c>
      <c r="U345" s="5">
        <v>0.0</v>
      </c>
    </row>
    <row r="346" outlineLevel="1">
      <c r="B346" s="0" t="inlineStr">
        <is>
          <t xml:space="preserve">TRANSDIGM GROUP INCORPORATED</t>
        </is>
      </c>
      <c r="C346" s="0" t="inlineStr">
        <is>
          <t xml:space="preserve">NKNLZEBJBM67</t>
        </is>
      </c>
      <c r="D346" s="0" t="inlineStr">
        <is>
          <t xml:space="preserve">-</t>
        </is>
      </c>
      <c r="E346" s="0" t="inlineStr">
        <is>
          <t xml:space="preserve">-</t>
        </is>
      </c>
      <c r="F346" s="0" t="inlineStr">
        <is>
          <t xml:space="preserve">-</t>
        </is>
      </c>
      <c r="G346" s="5">
        <v>1.0700410000000002</v>
      </c>
      <c r="H346" s="0" t="inlineStr">
        <is>
          <t xml:space="preserve">supplier</t>
        </is>
      </c>
      <c r="I346" s="0" t="inlineStr">
        <is>
          <t xml:space="preserve">unbucketed</t>
        </is>
      </c>
      <c r="J346" s="0" t="inlineStr">
        <is>
          <t xml:space="preserve">residual</t>
        </is>
      </c>
      <c r="K346" s="5">
        <v>0</v>
      </c>
      <c r="L346" s="5">
        <v>0</v>
      </c>
      <c r="M346" s="5">
        <v>1.0700410000000002</v>
      </c>
      <c r="N346" s="5">
        <v>0.07073</v>
      </c>
      <c r="O346" s="5">
        <v>0.0</v>
      </c>
      <c r="P346" s="5">
        <v>0.0</v>
      </c>
      <c r="Q346" s="5">
        <v>0.0</v>
      </c>
      <c r="R346" s="5">
        <v>0.127834</v>
      </c>
      <c r="S346" s="5">
        <v>0.0</v>
      </c>
      <c r="T346" s="5">
        <v>0.0</v>
      </c>
      <c r="U346" s="5">
        <v>0.0</v>
      </c>
    </row>
    <row r="347" outlineLevel="1">
      <c r="B347" s="0" t="inlineStr">
        <is>
          <t xml:space="preserve">NIBCO INC.</t>
        </is>
      </c>
      <c r="C347" s="0" t="inlineStr">
        <is>
          <t xml:space="preserve">MC77SUMRLXY5</t>
        </is>
      </c>
      <c r="D347" s="0" t="inlineStr">
        <is>
          <t xml:space="preserve">-</t>
        </is>
      </c>
      <c r="E347" s="0" t="inlineStr">
        <is>
          <t xml:space="preserve">-</t>
        </is>
      </c>
      <c r="F347" s="0" t="inlineStr">
        <is>
          <t xml:space="preserve">-</t>
        </is>
      </c>
      <c r="G347" s="5">
        <v>1.0623896200000003</v>
      </c>
      <c r="H347" s="0" t="inlineStr">
        <is>
          <t xml:space="preserve">supplier</t>
        </is>
      </c>
      <c r="I347" s="0" t="inlineStr">
        <is>
          <t xml:space="preserve">piping</t>
        </is>
      </c>
      <c r="J347" s="0" t="inlineStr">
        <is>
          <t xml:space="preserve">registry</t>
        </is>
      </c>
      <c r="K347" s="5">
        <v>0</v>
      </c>
      <c r="L347" s="5">
        <v>0</v>
      </c>
      <c r="M347" s="5">
        <v>1.0623896200000003</v>
      </c>
      <c r="N347" s="5">
        <v>0.0</v>
      </c>
      <c r="O347" s="5">
        <v>0.0</v>
      </c>
      <c r="P347" s="5">
        <v>0.0</v>
      </c>
      <c r="Q347" s="5">
        <v>0.0</v>
      </c>
      <c r="R347" s="5">
        <v>0.19431501</v>
      </c>
      <c r="S347" s="5">
        <v>0.0</v>
      </c>
      <c r="T347" s="5">
        <v>0.0</v>
      </c>
      <c r="U347" s="5">
        <v>0.0</v>
      </c>
    </row>
    <row r="348" outlineLevel="1">
      <c r="B348" s="0" t="inlineStr">
        <is>
          <t xml:space="preserve">THE TIMKEN COMPANY</t>
        </is>
      </c>
      <c r="C348" s="0" t="inlineStr">
        <is>
          <t xml:space="preserve">KYFUJ83L3UY9</t>
        </is>
      </c>
      <c r="D348" s="0" t="inlineStr">
        <is>
          <t xml:space="preserve">-</t>
        </is>
      </c>
      <c r="E348" s="0" t="inlineStr">
        <is>
          <t xml:space="preserve">-</t>
        </is>
      </c>
      <c r="F348" s="0" t="inlineStr">
        <is>
          <t xml:space="preserve">-</t>
        </is>
      </c>
      <c r="G348" s="5">
        <v>1.05964192</v>
      </c>
      <c r="H348" s="0" t="inlineStr">
        <is>
          <t xml:space="preserve">supplier</t>
        </is>
      </c>
      <c r="I348" s="0" t="inlineStr">
        <is>
          <t xml:space="preserve">unbucketed</t>
        </is>
      </c>
      <c r="J348" s="0" t="inlineStr">
        <is>
          <t xml:space="preserve">residual</t>
        </is>
      </c>
      <c r="K348" s="5">
        <v>0</v>
      </c>
      <c r="L348" s="5">
        <v>0</v>
      </c>
      <c r="M348" s="5">
        <v>1.05964192</v>
      </c>
      <c r="N348" s="5">
        <v>0.0</v>
      </c>
      <c r="O348" s="5">
        <v>0.14772792</v>
      </c>
      <c r="P348" s="5">
        <v>0.38974200000000003</v>
      </c>
      <c r="Q348" s="5">
        <v>0.0</v>
      </c>
      <c r="R348" s="5">
        <v>0.0</v>
      </c>
      <c r="S348" s="5">
        <v>0.0</v>
      </c>
      <c r="T348" s="5">
        <v>0.522172</v>
      </c>
      <c r="U348" s="5">
        <v>0.0</v>
      </c>
    </row>
    <row r="349" outlineLevel="1">
      <c r="B349" s="0" t="inlineStr">
        <is>
          <t xml:space="preserve">INDUSTRIAL TRANSFER AND STORAGE INC.</t>
        </is>
      </c>
      <c r="C349" s="0" t="inlineStr">
        <is>
          <t xml:space="preserve">Z19UP1U6FMT1</t>
        </is>
      </c>
      <c r="D349" s="0" t="inlineStr">
        <is>
          <t xml:space="preserve">-</t>
        </is>
      </c>
      <c r="E349" s="0" t="inlineStr">
        <is>
          <t xml:space="preserve">-</t>
        </is>
      </c>
      <c r="F349" s="0" t="inlineStr">
        <is>
          <t xml:space="preserve">-</t>
        </is>
      </c>
      <c r="G349" s="5">
        <v>1.05881302</v>
      </c>
      <c r="H349" s="0" t="inlineStr">
        <is>
          <t xml:space="preserve">supplier</t>
        </is>
      </c>
      <c r="I349" s="0" t="inlineStr">
        <is>
          <t xml:space="preserve">unbucketed</t>
        </is>
      </c>
      <c r="J349" s="0" t="inlineStr">
        <is>
          <t xml:space="preserve">residual</t>
        </is>
      </c>
      <c r="K349" s="5">
        <v>0</v>
      </c>
      <c r="L349" s="5">
        <v>0</v>
      </c>
      <c r="M349" s="5">
        <v>1.05881302</v>
      </c>
      <c r="N349" s="5">
        <v>0.0</v>
      </c>
      <c r="O349" s="5">
        <v>0.0</v>
      </c>
      <c r="P349" s="5">
        <v>0.15</v>
      </c>
      <c r="Q349" s="5">
        <v>0.0</v>
      </c>
      <c r="R349" s="5">
        <v>-0.008451229999999999</v>
      </c>
      <c r="S349" s="5">
        <v>0.5753618100000001</v>
      </c>
      <c r="T349" s="5">
        <v>0.0</v>
      </c>
      <c r="U349" s="5">
        <v>0.0</v>
      </c>
    </row>
    <row r="350" outlineLevel="1">
      <c r="B350" s="0" t="inlineStr">
        <is>
          <t xml:space="preserve">RAPID PREP, LLC</t>
        </is>
      </c>
      <c r="C350" s="0" t="inlineStr">
        <is>
          <t xml:space="preserve">QLTXH525A671</t>
        </is>
      </c>
      <c r="D350" s="0" t="inlineStr">
        <is>
          <t xml:space="preserve">-</t>
        </is>
      </c>
      <c r="E350" s="0" t="inlineStr">
        <is>
          <t xml:space="preserve">-</t>
        </is>
      </c>
      <c r="F350" s="0" t="inlineStr">
        <is>
          <t xml:space="preserve">-</t>
        </is>
      </c>
      <c r="G350" s="5">
        <v>1.0564530000000003</v>
      </c>
      <c r="H350" s="0" t="inlineStr">
        <is>
          <t xml:space="preserve">supplier</t>
        </is>
      </c>
      <c r="I350" s="0" t="inlineStr">
        <is>
          <t xml:space="preserve">unbucketed</t>
        </is>
      </c>
      <c r="J350" s="0" t="inlineStr">
        <is>
          <t xml:space="preserve">residual</t>
        </is>
      </c>
      <c r="K350" s="5">
        <v>0</v>
      </c>
      <c r="L350" s="5">
        <v>0</v>
      </c>
      <c r="M350" s="5">
        <v>1.0564530000000003</v>
      </c>
      <c r="N350" s="5">
        <v>0.030634</v>
      </c>
      <c r="O350" s="5">
        <v>0.087546</v>
      </c>
      <c r="P350" s="5">
        <v>0.45516599999999996</v>
      </c>
      <c r="Q350" s="5">
        <v>0.0</v>
      </c>
      <c r="R350" s="5">
        <v>0.0</v>
      </c>
      <c r="S350" s="5">
        <v>0.260873</v>
      </c>
      <c r="T350" s="5">
        <v>0.0388</v>
      </c>
      <c r="U350" s="5">
        <v>0.0</v>
      </c>
    </row>
    <row r="351" outlineLevel="1">
      <c r="B351" s="0" t="inlineStr">
        <is>
          <t xml:space="preserve">D. W. CLARK, INC.</t>
        </is>
      </c>
      <c r="C351" s="0" t="inlineStr">
        <is>
          <t xml:space="preserve">MKDGDE6K34N5</t>
        </is>
      </c>
      <c r="D351" s="0" t="inlineStr">
        <is>
          <t xml:space="preserve">USA</t>
        </is>
      </c>
      <c r="E351" s="0" t="inlineStr">
        <is>
          <t xml:space="preserve">3315</t>
        </is>
      </c>
      <c r="F351" s="0" t="inlineStr">
        <is>
          <t xml:space="preserve">Steel Foundries (except Investment)</t>
        </is>
      </c>
      <c r="G351" s="5">
        <v>1.0546982799999998</v>
      </c>
      <c r="H351" s="0" t="inlineStr">
        <is>
          <t xml:space="preserve">supplier</t>
        </is>
      </c>
      <c r="I351" s="0" t="inlineStr">
        <is>
          <t xml:space="preserve">castings</t>
        </is>
      </c>
      <c r="J351" s="0" t="inlineStr">
        <is>
          <t xml:space="preserve">naics4</t>
        </is>
      </c>
      <c r="K351" s="5">
        <v>0</v>
      </c>
      <c r="L351" s="5">
        <v>0</v>
      </c>
      <c r="M351" s="5">
        <v>1.0546982799999998</v>
      </c>
      <c r="N351" s="5">
        <v>0.288</v>
      </c>
      <c r="O351" s="5">
        <v>0.018864</v>
      </c>
      <c r="P351" s="5">
        <v>0.148953</v>
      </c>
      <c r="Q351" s="5">
        <v>0.0</v>
      </c>
      <c r="R351" s="5">
        <v>0.12059799999999998</v>
      </c>
      <c r="S351" s="5">
        <v>0.19922728</v>
      </c>
      <c r="T351" s="5">
        <v>0.06682</v>
      </c>
      <c r="U351" s="5">
        <v>0.0</v>
      </c>
    </row>
    <row r="352" outlineLevel="1">
      <c r="B352" s="0" t="inlineStr">
        <is>
          <t xml:space="preserve">MARSHALL-BARWICK HOLDINGS INC</t>
        </is>
      </c>
      <c r="C352" s="0" t="inlineStr">
        <is>
          <t xml:space="preserve">MRGNDX62YHQ3</t>
        </is>
      </c>
      <c r="D352" s="0" t="inlineStr">
        <is>
          <t xml:space="preserve">Foreign</t>
        </is>
      </c>
      <c r="E352" s="0" t="inlineStr">
        <is>
          <t xml:space="preserve">-</t>
        </is>
      </c>
      <c r="F352" s="0" t="inlineStr">
        <is>
          <t xml:space="preserve">-</t>
        </is>
      </c>
      <c r="G352" s="5">
        <v>1.049222</v>
      </c>
      <c r="H352" s="0" t="inlineStr">
        <is>
          <t xml:space="preserve">foreign_fms</t>
        </is>
      </c>
      <c r="I352" s="0" t="inlineStr">
        <is>
          <t xml:space="preserve">-</t>
        </is>
      </c>
      <c r="J352" s="0" t="inlineStr">
        <is>
          <t xml:space="preserve">foreign flag</t>
        </is>
      </c>
      <c r="K352" s="5">
        <v>0</v>
      </c>
      <c r="L352" s="5">
        <v>0</v>
      </c>
      <c r="M352" s="5">
        <v>1.049222</v>
      </c>
      <c r="N352" s="5">
        <v>0.0</v>
      </c>
      <c r="O352" s="5">
        <v>0.0</v>
      </c>
      <c r="P352" s="5">
        <v>0.0</v>
      </c>
      <c r="Q352" s="5">
        <v>0.0</v>
      </c>
      <c r="R352" s="5">
        <v>0.0</v>
      </c>
      <c r="S352" s="5">
        <v>0.0</v>
      </c>
      <c r="T352" s="5">
        <v>0.0</v>
      </c>
      <c r="U352" s="5">
        <v>0.0</v>
      </c>
    </row>
    <row r="353" outlineLevel="1">
      <c r="B353" s="0" t="inlineStr">
        <is>
          <t xml:space="preserve">LINEAR MOTION LLC</t>
        </is>
      </c>
      <c r="C353" s="0" t="inlineStr">
        <is>
          <t xml:space="preserve">GTDWX1272LQ4</t>
        </is>
      </c>
      <c r="D353" s="0" t="inlineStr">
        <is>
          <t xml:space="preserve">-</t>
        </is>
      </c>
      <c r="E353" s="0" t="inlineStr">
        <is>
          <t xml:space="preserve">-</t>
        </is>
      </c>
      <c r="F353" s="0" t="inlineStr">
        <is>
          <t xml:space="preserve">-</t>
        </is>
      </c>
      <c r="G353" s="5">
        <v>1.047194</v>
      </c>
      <c r="H353" s="0" t="inlineStr">
        <is>
          <t xml:space="preserve">supplier</t>
        </is>
      </c>
      <c r="I353" s="0" t="inlineStr">
        <is>
          <t xml:space="preserve">unbucketed</t>
        </is>
      </c>
      <c r="J353" s="0" t="inlineStr">
        <is>
          <t xml:space="preserve">residual</t>
        </is>
      </c>
      <c r="K353" s="5">
        <v>0</v>
      </c>
      <c r="L353" s="5">
        <v>0</v>
      </c>
      <c r="M353" s="5">
        <v>1.047194</v>
      </c>
      <c r="N353" s="5">
        <v>0.811118</v>
      </c>
      <c r="O353" s="5">
        <v>0.072012</v>
      </c>
      <c r="P353" s="5">
        <v>0.061375</v>
      </c>
      <c r="Q353" s="5">
        <v>0.0</v>
      </c>
      <c r="R353" s="5">
        <v>0.0</v>
      </c>
      <c r="S353" s="5">
        <v>0.102689</v>
      </c>
      <c r="T353" s="5">
        <v>0.0</v>
      </c>
      <c r="U353" s="5">
        <v>0.0</v>
      </c>
    </row>
    <row r="354" outlineLevel="1">
      <c r="B354" s="0" t="inlineStr">
        <is>
          <t xml:space="preserve">S &amp; S FOREST PRODUCTS, LLC</t>
        </is>
      </c>
      <c r="C354" s="0" t="inlineStr">
        <is>
          <t xml:space="preserve">XP9YLL3TNCB9</t>
        </is>
      </c>
      <c r="D354" s="0" t="inlineStr">
        <is>
          <t xml:space="preserve">-</t>
        </is>
      </c>
      <c r="E354" s="0" t="inlineStr">
        <is>
          <t xml:space="preserve">-</t>
        </is>
      </c>
      <c r="F354" s="0" t="inlineStr">
        <is>
          <t xml:space="preserve">-</t>
        </is>
      </c>
      <c r="G354" s="5">
        <v>1.0438719399999998</v>
      </c>
      <c r="H354" s="0" t="inlineStr">
        <is>
          <t xml:space="preserve">supplier</t>
        </is>
      </c>
      <c r="I354" s="0" t="inlineStr">
        <is>
          <t xml:space="preserve">unbucketed</t>
        </is>
      </c>
      <c r="J354" s="0" t="inlineStr">
        <is>
          <t xml:space="preserve">residual</t>
        </is>
      </c>
      <c r="K354" s="5">
        <v>0</v>
      </c>
      <c r="L354" s="5">
        <v>0</v>
      </c>
      <c r="M354" s="5">
        <v>1.0438719399999998</v>
      </c>
      <c r="N354" s="5">
        <v>0.25372632</v>
      </c>
      <c r="O354" s="5">
        <v>0.17973775</v>
      </c>
      <c r="P354" s="5">
        <v>0.0314526</v>
      </c>
      <c r="Q354" s="5">
        <v>0.11566677</v>
      </c>
      <c r="R354" s="5">
        <v>0.0</v>
      </c>
      <c r="S354" s="5">
        <v>0.0</v>
      </c>
      <c r="T354" s="5">
        <v>0.070475</v>
      </c>
      <c r="U354" s="5">
        <v>0.036196</v>
      </c>
    </row>
    <row r="355" outlineLevel="1">
      <c r="B355" s="0" t="inlineStr">
        <is>
          <t xml:space="preserve">ANIXTER INTERNATIONAL INC.</t>
        </is>
      </c>
      <c r="C355" s="0" t="inlineStr">
        <is>
          <t xml:space="preserve">TAB4FBLR5UM1</t>
        </is>
      </c>
      <c r="D355" s="0" t="inlineStr">
        <is>
          <t xml:space="preserve">-</t>
        </is>
      </c>
      <c r="E355" s="0" t="inlineStr">
        <is>
          <t xml:space="preserve">-</t>
        </is>
      </c>
      <c r="F355" s="0" t="inlineStr">
        <is>
          <t xml:space="preserve">-</t>
        </is>
      </c>
      <c r="G355" s="5">
        <v>1.03392</v>
      </c>
      <c r="H355" s="0" t="inlineStr">
        <is>
          <t xml:space="preserve">supplier</t>
        </is>
      </c>
      <c r="I355" s="0" t="inlineStr">
        <is>
          <t xml:space="preserve">unbucketed</t>
        </is>
      </c>
      <c r="J355" s="0" t="inlineStr">
        <is>
          <t xml:space="preserve">residual</t>
        </is>
      </c>
      <c r="K355" s="5">
        <v>0</v>
      </c>
      <c r="L355" s="5">
        <v>0</v>
      </c>
      <c r="M355" s="5">
        <v>1.03392</v>
      </c>
      <c r="N355" s="5">
        <v>0.0</v>
      </c>
      <c r="O355" s="5">
        <v>0.0</v>
      </c>
      <c r="P355" s="5">
        <v>0.0</v>
      </c>
      <c r="Q355" s="5">
        <v>0.0</v>
      </c>
      <c r="R355" s="5">
        <v>0.0</v>
      </c>
      <c r="S355" s="5">
        <v>0.0</v>
      </c>
      <c r="T355" s="5">
        <v>0.0</v>
      </c>
      <c r="U355" s="5">
        <v>0.0</v>
      </c>
    </row>
    <row r="356" outlineLevel="1">
      <c r="B356" s="0" t="inlineStr">
        <is>
          <t xml:space="preserve">ELECTRO MECHANICAL SPECIALISTS, LLC</t>
        </is>
      </c>
      <c r="C356" s="0" t="inlineStr">
        <is>
          <t xml:space="preserve">QVMBB4UCMEH4</t>
        </is>
      </c>
      <c r="D356" s="0" t="inlineStr">
        <is>
          <t xml:space="preserve">-</t>
        </is>
      </c>
      <c r="E356" s="0" t="inlineStr">
        <is>
          <t xml:space="preserve">-</t>
        </is>
      </c>
      <c r="F356" s="0" t="inlineStr">
        <is>
          <t xml:space="preserve">-</t>
        </is>
      </c>
      <c r="G356" s="5">
        <v>1.02437325</v>
      </c>
      <c r="H356" s="0" t="inlineStr">
        <is>
          <t xml:space="preserve">supplier</t>
        </is>
      </c>
      <c r="I356" s="0" t="inlineStr">
        <is>
          <t xml:space="preserve">unbucketed</t>
        </is>
      </c>
      <c r="J356" s="0" t="inlineStr">
        <is>
          <t xml:space="preserve">residual</t>
        </is>
      </c>
      <c r="K356" s="5">
        <v>0</v>
      </c>
      <c r="L356" s="5">
        <v>0</v>
      </c>
      <c r="M356" s="5">
        <v>1.02437325</v>
      </c>
      <c r="N356" s="5">
        <v>0.0832832</v>
      </c>
      <c r="O356" s="5">
        <v>0.0</v>
      </c>
      <c r="P356" s="5">
        <v>0.4968384899999999</v>
      </c>
      <c r="Q356" s="5">
        <v>0.0</v>
      </c>
      <c r="R356" s="5">
        <v>0.0</v>
      </c>
      <c r="S356" s="5">
        <v>0.0</v>
      </c>
      <c r="T356" s="5">
        <v>0.0</v>
      </c>
      <c r="U356" s="5">
        <v>0.0</v>
      </c>
    </row>
    <row r="357" outlineLevel="1">
      <c r="B357" s="0" t="inlineStr">
        <is>
          <t xml:space="preserve">MIRION TECHNOLOGIES, INC.</t>
        </is>
      </c>
      <c r="C357" s="0" t="inlineStr">
        <is>
          <t xml:space="preserve">KW9XSYBX2D65</t>
        </is>
      </c>
      <c r="D357" s="0" t="inlineStr">
        <is>
          <t xml:space="preserve">-</t>
        </is>
      </c>
      <c r="E357" s="0" t="inlineStr">
        <is>
          <t xml:space="preserve">-</t>
        </is>
      </c>
      <c r="F357" s="0" t="inlineStr">
        <is>
          <t xml:space="preserve">-</t>
        </is>
      </c>
      <c r="G357" s="5">
        <v>1.020592</v>
      </c>
      <c r="H357" s="0" t="inlineStr">
        <is>
          <t xml:space="preserve">supplier</t>
        </is>
      </c>
      <c r="I357" s="0" t="inlineStr">
        <is>
          <t xml:space="preserve">unbucketed</t>
        </is>
      </c>
      <c r="J357" s="0" t="inlineStr">
        <is>
          <t xml:space="preserve">residual</t>
        </is>
      </c>
      <c r="K357" s="5">
        <v>0</v>
      </c>
      <c r="L357" s="5">
        <v>0</v>
      </c>
      <c r="M357" s="5">
        <v>0.0</v>
      </c>
      <c r="N357" s="5">
        <v>0.0</v>
      </c>
      <c r="O357" s="5">
        <v>0.0</v>
      </c>
      <c r="P357" s="5">
        <v>0.0</v>
      </c>
      <c r="Q357" s="5">
        <v>0.0</v>
      </c>
      <c r="R357" s="5">
        <v>0.0</v>
      </c>
      <c r="S357" s="5">
        <v>0.0</v>
      </c>
      <c r="T357" s="5">
        <v>0.0</v>
      </c>
      <c r="U357" s="5">
        <v>0.0</v>
      </c>
    </row>
    <row r="358" outlineLevel="1">
      <c r="B358" s="0" t="inlineStr">
        <is>
          <t xml:space="preserve">CLARK-RELIANCE LLC</t>
        </is>
      </c>
      <c r="C358" s="0" t="inlineStr">
        <is>
          <t xml:space="preserve">DNY9WHR3SKK6</t>
        </is>
      </c>
      <c r="D358" s="0" t="inlineStr">
        <is>
          <t xml:space="preserve">-</t>
        </is>
      </c>
      <c r="E358" s="0" t="inlineStr">
        <is>
          <t xml:space="preserve">-</t>
        </is>
      </c>
      <c r="F358" s="0" t="inlineStr">
        <is>
          <t xml:space="preserve">-</t>
        </is>
      </c>
      <c r="G358" s="5">
        <v>1.013754</v>
      </c>
      <c r="H358" s="0" t="inlineStr">
        <is>
          <t xml:space="preserve">supplier</t>
        </is>
      </c>
      <c r="I358" s="0" t="inlineStr">
        <is>
          <t xml:space="preserve">unbucketed</t>
        </is>
      </c>
      <c r="J358" s="0" t="inlineStr">
        <is>
          <t xml:space="preserve">residual</t>
        </is>
      </c>
      <c r="K358" s="5">
        <v>0</v>
      </c>
      <c r="L358" s="5">
        <v>0</v>
      </c>
      <c r="M358" s="5">
        <v>1.013754</v>
      </c>
      <c r="N358" s="5">
        <v>0.0</v>
      </c>
      <c r="O358" s="5">
        <v>0.17000200000000001</v>
      </c>
      <c r="P358" s="5">
        <v>0.0</v>
      </c>
      <c r="Q358" s="5">
        <v>0.09219</v>
      </c>
      <c r="R358" s="5">
        <v>0.0</v>
      </c>
      <c r="S358" s="5">
        <v>0.506354</v>
      </c>
      <c r="T358" s="5">
        <v>0.114728</v>
      </c>
      <c r="U358" s="5">
        <v>0.13048</v>
      </c>
    </row>
    <row r="359" outlineLevel="1">
      <c r="B359" s="0" t="inlineStr">
        <is>
          <t xml:space="preserve">GLENAIR, INC.</t>
        </is>
      </c>
      <c r="C359" s="0" t="inlineStr">
        <is>
          <t xml:space="preserve">YVBHN7GKLQ44</t>
        </is>
      </c>
      <c r="D359" s="0" t="inlineStr">
        <is>
          <t xml:space="preserve">-</t>
        </is>
      </c>
      <c r="E359" s="0" t="inlineStr">
        <is>
          <t xml:space="preserve">-</t>
        </is>
      </c>
      <c r="F359" s="0" t="inlineStr">
        <is>
          <t xml:space="preserve">-</t>
        </is>
      </c>
      <c r="G359" s="5">
        <v>1.0093977400000003</v>
      </c>
      <c r="H359" s="0" t="inlineStr">
        <is>
          <t xml:space="preserve">supplier</t>
        </is>
      </c>
      <c r="I359" s="0" t="inlineStr">
        <is>
          <t xml:space="preserve">unbucketed</t>
        </is>
      </c>
      <c r="J359" s="0" t="inlineStr">
        <is>
          <t xml:space="preserve">residual</t>
        </is>
      </c>
      <c r="K359" s="5">
        <v>0</v>
      </c>
      <c r="L359" s="5">
        <v>0</v>
      </c>
      <c r="M359" s="5">
        <v>1.0093977400000003</v>
      </c>
      <c r="N359" s="5">
        <v>0.05925072</v>
      </c>
      <c r="O359" s="5">
        <v>0.04511685</v>
      </c>
      <c r="P359" s="5">
        <v>0.0</v>
      </c>
      <c r="Q359" s="5">
        <v>0.03351316</v>
      </c>
      <c r="R359" s="5">
        <v>0.0</v>
      </c>
      <c r="S359" s="5">
        <v>0.0</v>
      </c>
      <c r="T359" s="5">
        <v>0.0</v>
      </c>
      <c r="U359" s="5">
        <v>0.0</v>
      </c>
    </row>
    <row r="360" outlineLevel="1">
      <c r="B360" s="0" t="inlineStr">
        <is>
          <t xml:space="preserve">L3HARRIS TECHNOLOGIES, INC.</t>
        </is>
      </c>
      <c r="C360" s="0" t="inlineStr">
        <is>
          <t xml:space="preserve">WPP2ABN6UCF5</t>
        </is>
      </c>
      <c r="D360" s="0" t="inlineStr">
        <is>
          <t xml:space="preserve">USA</t>
        </is>
      </c>
      <c r="E360" s="0" t="inlineStr">
        <is>
          <t xml:space="preserve">3342</t>
        </is>
      </c>
      <c r="F360" s="0" t="inlineStr">
        <is>
          <t xml:space="preserve">Other Communications Equipment Manufacturing</t>
        </is>
      </c>
      <c r="G360" s="5">
        <v>1.0086164899999996</v>
      </c>
      <c r="H360" s="0" t="inlineStr">
        <is>
          <t xml:space="preserve">supplier</t>
        </is>
      </c>
      <c r="I360" s="0" t="inlineStr">
        <is>
          <t xml:space="preserve">unbucketed</t>
        </is>
      </c>
      <c r="J360" s="0" t="inlineStr">
        <is>
          <t xml:space="preserve">vendor-override</t>
        </is>
      </c>
      <c r="K360" s="5">
        <v>0</v>
      </c>
      <c r="L360" s="5">
        <v>0</v>
      </c>
      <c r="M360" s="5">
        <v>1.0086164899999996</v>
      </c>
      <c r="N360" s="5">
        <v>9.14612162</v>
      </c>
      <c r="O360" s="5">
        <v>0.0</v>
      </c>
      <c r="P360" s="5">
        <v>0.0</v>
      </c>
      <c r="Q360" s="5">
        <v>0.0</v>
      </c>
      <c r="R360" s="5">
        <v>0.0</v>
      </c>
      <c r="S360" s="5">
        <v>0.0</v>
      </c>
      <c r="T360" s="5">
        <v>0.0</v>
      </c>
      <c r="U360" s="5">
        <v>0.0</v>
      </c>
    </row>
    <row r="361" outlineLevel="1">
      <c r="B361" s="0" t="inlineStr">
        <is>
          <t xml:space="preserve">DELL FEDERAL SYSTEMS L.P</t>
        </is>
      </c>
      <c r="C361" s="0" t="inlineStr">
        <is>
          <t xml:space="preserve">N1C5QLNPJLS4</t>
        </is>
      </c>
      <c r="D361" s="0" t="inlineStr">
        <is>
          <t xml:space="preserve">-</t>
        </is>
      </c>
      <c r="E361" s="0" t="inlineStr">
        <is>
          <t xml:space="preserve">-</t>
        </is>
      </c>
      <c r="F361" s="0" t="inlineStr">
        <is>
          <t xml:space="preserve">-</t>
        </is>
      </c>
      <c r="G361" s="5">
        <v>1.0030689</v>
      </c>
      <c r="H361" s="0" t="inlineStr">
        <is>
          <t xml:space="preserve">supplier</t>
        </is>
      </c>
      <c r="I361" s="0" t="inlineStr">
        <is>
          <t xml:space="preserve">unbucketed</t>
        </is>
      </c>
      <c r="J361" s="0" t="inlineStr">
        <is>
          <t xml:space="preserve">residual</t>
        </is>
      </c>
      <c r="K361" s="5">
        <v>0</v>
      </c>
      <c r="L361" s="5">
        <v>0</v>
      </c>
      <c r="M361" s="5">
        <v>1.0030689</v>
      </c>
      <c r="N361" s="5">
        <v>0.0</v>
      </c>
      <c r="O361" s="5">
        <v>0.5385426799999999</v>
      </c>
      <c r="P361" s="5">
        <v>0.0</v>
      </c>
      <c r="Q361" s="5">
        <v>0.0</v>
      </c>
      <c r="R361" s="5">
        <v>0.0</v>
      </c>
      <c r="S361" s="5">
        <v>0.07444756</v>
      </c>
      <c r="T361" s="5">
        <v>0.39007866</v>
      </c>
      <c r="U361" s="5">
        <v>0.0</v>
      </c>
    </row>
    <row r="362" outlineLevel="1">
      <c r="B362" s="0" t="inlineStr">
        <is>
          <t xml:space="preserve">HEILIND MIL-AERO LLC</t>
        </is>
      </c>
      <c r="C362" s="0" t="inlineStr">
        <is>
          <t xml:space="preserve">ZVKEBJ4HQHB8</t>
        </is>
      </c>
      <c r="D362" s="0" t="inlineStr">
        <is>
          <t xml:space="preserve">-</t>
        </is>
      </c>
      <c r="E362" s="0" t="inlineStr">
        <is>
          <t xml:space="preserve">-</t>
        </is>
      </c>
      <c r="F362" s="0" t="inlineStr">
        <is>
          <t xml:space="preserve">-</t>
        </is>
      </c>
      <c r="G362" s="5">
        <v>0.9993921299999999</v>
      </c>
      <c r="H362" s="0" t="inlineStr">
        <is>
          <t xml:space="preserve">supplier</t>
        </is>
      </c>
      <c r="I362" s="0" t="inlineStr">
        <is>
          <t xml:space="preserve">unbucketed</t>
        </is>
      </c>
      <c r="J362" s="0" t="inlineStr">
        <is>
          <t xml:space="preserve">residual</t>
        </is>
      </c>
      <c r="K362" s="5">
        <v>0</v>
      </c>
      <c r="L362" s="5">
        <v>0</v>
      </c>
      <c r="M362" s="5">
        <v>0.9993921299999999</v>
      </c>
      <c r="N362" s="5">
        <v>0.0</v>
      </c>
      <c r="O362" s="5">
        <v>0.20090716000000003</v>
      </c>
      <c r="P362" s="5">
        <v>0.72787027</v>
      </c>
      <c r="Q362" s="5">
        <v>0.0706147</v>
      </c>
      <c r="R362" s="5">
        <v>0.0</v>
      </c>
      <c r="S362" s="5">
        <v>0.0</v>
      </c>
      <c r="T362" s="5">
        <v>0.0</v>
      </c>
      <c r="U362" s="5">
        <v>0.0</v>
      </c>
    </row>
    <row r="363" outlineLevel="1">
      <c r="B363" s="0" t="inlineStr">
        <is>
          <t xml:space="preserve">HOWELL LABORATORIES, INC.</t>
        </is>
      </c>
      <c r="C363" s="0" t="inlineStr">
        <is>
          <t xml:space="preserve">HNAKLNNSE339</t>
        </is>
      </c>
      <c r="D363" s="0" t="inlineStr">
        <is>
          <t xml:space="preserve">-</t>
        </is>
      </c>
      <c r="E363" s="0" t="inlineStr">
        <is>
          <t xml:space="preserve">-</t>
        </is>
      </c>
      <c r="F363" s="0" t="inlineStr">
        <is>
          <t xml:space="preserve">-</t>
        </is>
      </c>
      <c r="G363" s="5">
        <v>0.993322</v>
      </c>
      <c r="H363" s="0" t="inlineStr">
        <is>
          <t xml:space="preserve">supplier</t>
        </is>
      </c>
      <c r="I363" s="0" t="inlineStr">
        <is>
          <t xml:space="preserve">unbucketed</t>
        </is>
      </c>
      <c r="J363" s="0" t="inlineStr">
        <is>
          <t xml:space="preserve">residual</t>
        </is>
      </c>
      <c r="K363" s="5">
        <v>0</v>
      </c>
      <c r="L363" s="5">
        <v>0</v>
      </c>
      <c r="M363" s="5">
        <v>0.993322</v>
      </c>
      <c r="N363" s="5">
        <v>0.0</v>
      </c>
      <c r="O363" s="5">
        <v>0.099477</v>
      </c>
      <c r="P363" s="5">
        <v>0.0</v>
      </c>
      <c r="Q363" s="5">
        <v>0.0</v>
      </c>
      <c r="R363" s="5">
        <v>0.042276</v>
      </c>
      <c r="S363" s="5">
        <v>0.0</v>
      </c>
      <c r="T363" s="5">
        <v>0.3497389999999999</v>
      </c>
      <c r="U363" s="5">
        <v>0.50183</v>
      </c>
    </row>
    <row r="364" outlineLevel="1">
      <c r="B364" s="0" t="inlineStr">
        <is>
          <t xml:space="preserve">THE CIANBRO COMPANIES</t>
        </is>
      </c>
      <c r="C364" s="0" t="inlineStr">
        <is>
          <t xml:space="preserve">QCFDU4MA1444</t>
        </is>
      </c>
      <c r="D364" s="0" t="inlineStr">
        <is>
          <t xml:space="preserve">USA</t>
        </is>
      </c>
      <c r="E364" s="0" t="inlineStr">
        <is>
          <t xml:space="preserve">2362</t>
        </is>
      </c>
      <c r="F364" s="0" t="inlineStr">
        <is>
          <t xml:space="preserve">Industrial Building Construction</t>
        </is>
      </c>
      <c r="G364" s="5">
        <v>0.9738317599999999</v>
      </c>
      <c r="H364" s="0" t="inlineStr">
        <is>
          <t xml:space="preserve">service</t>
        </is>
      </c>
      <c r="I364" s="0" t="inlineStr">
        <is>
          <t xml:space="preserve">-</t>
        </is>
      </c>
      <c r="J364" s="0" t="inlineStr">
        <is>
          <t xml:space="preserve">service NAICS</t>
        </is>
      </c>
      <c r="K364" s="5">
        <v>0</v>
      </c>
      <c r="L364" s="5">
        <v>0</v>
      </c>
      <c r="M364" s="5">
        <v>0.9738317599999999</v>
      </c>
      <c r="N364" s="5">
        <v>0.0</v>
      </c>
      <c r="O364" s="5">
        <v>0.0</v>
      </c>
      <c r="P364" s="5">
        <v>0.0</v>
      </c>
      <c r="Q364" s="5">
        <v>0.0</v>
      </c>
      <c r="R364" s="5">
        <v>0.0</v>
      </c>
      <c r="S364" s="5">
        <v>0.0</v>
      </c>
      <c r="T364" s="5">
        <v>0.0</v>
      </c>
      <c r="U364" s="5">
        <v>0.0</v>
      </c>
    </row>
    <row r="365" outlineLevel="1">
      <c r="B365" s="0" t="inlineStr">
        <is>
          <t xml:space="preserve">KK MOLD DESIGN &amp; MACHINING LLC</t>
        </is>
      </c>
      <c r="C365" s="0" t="inlineStr">
        <is>
          <t xml:space="preserve">JA3LXNZMCTA9</t>
        </is>
      </c>
      <c r="D365" s="0" t="inlineStr">
        <is>
          <t xml:space="preserve">-</t>
        </is>
      </c>
      <c r="E365" s="0" t="inlineStr">
        <is>
          <t xml:space="preserve">-</t>
        </is>
      </c>
      <c r="F365" s="0" t="inlineStr">
        <is>
          <t xml:space="preserve">-</t>
        </is>
      </c>
      <c r="G365" s="5">
        <v>0.9725965</v>
      </c>
      <c r="H365" s="0" t="inlineStr">
        <is>
          <t xml:space="preserve">supplier</t>
        </is>
      </c>
      <c r="I365" s="0" t="inlineStr">
        <is>
          <t xml:space="preserve">unbucketed</t>
        </is>
      </c>
      <c r="J365" s="0" t="inlineStr">
        <is>
          <t xml:space="preserve">residual</t>
        </is>
      </c>
      <c r="K365" s="5">
        <v>0</v>
      </c>
      <c r="L365" s="5">
        <v>0</v>
      </c>
      <c r="M365" s="5">
        <v>0.9725965</v>
      </c>
      <c r="N365" s="5">
        <v>0.0</v>
      </c>
      <c r="O365" s="5">
        <v>0.0</v>
      </c>
      <c r="P365" s="5">
        <v>0.0</v>
      </c>
      <c r="Q365" s="5">
        <v>0.0</v>
      </c>
      <c r="R365" s="5">
        <v>0.0</v>
      </c>
      <c r="S365" s="5">
        <v>0.0</v>
      </c>
      <c r="T365" s="5">
        <v>0.0</v>
      </c>
      <c r="U365" s="5">
        <v>0.9725965</v>
      </c>
    </row>
    <row r="366" outlineLevel="1">
      <c r="B366" s="0" t="inlineStr">
        <is>
          <t xml:space="preserve">THE HILLER COMPANIES LLC</t>
        </is>
      </c>
      <c r="C366" s="0" t="inlineStr">
        <is>
          <t xml:space="preserve">FQJTKZNF6GY5</t>
        </is>
      </c>
      <c r="D366" s="0" t="inlineStr">
        <is>
          <t xml:space="preserve">-</t>
        </is>
      </c>
      <c r="E366" s="0" t="inlineStr">
        <is>
          <t xml:space="preserve">-</t>
        </is>
      </c>
      <c r="F366" s="0" t="inlineStr">
        <is>
          <t xml:space="preserve">-</t>
        </is>
      </c>
      <c r="G366" s="5">
        <v>0.9689700000000001</v>
      </c>
      <c r="H366" s="0" t="inlineStr">
        <is>
          <t xml:space="preserve">supplier</t>
        </is>
      </c>
      <c r="I366" s="0" t="inlineStr">
        <is>
          <t xml:space="preserve">piping</t>
        </is>
      </c>
      <c r="J366" s="0" t="inlineStr">
        <is>
          <t xml:space="preserve">registry</t>
        </is>
      </c>
      <c r="K366" s="5">
        <v>0</v>
      </c>
      <c r="L366" s="5">
        <v>0</v>
      </c>
      <c r="M366" s="5">
        <v>0.9689700000000001</v>
      </c>
      <c r="N366" s="5">
        <v>0.0</v>
      </c>
      <c r="O366" s="5">
        <v>0.239682</v>
      </c>
      <c r="P366" s="5">
        <v>0.0</v>
      </c>
      <c r="Q366" s="5">
        <v>0.729288</v>
      </c>
      <c r="R366" s="5">
        <v>0.0</v>
      </c>
      <c r="S366" s="5">
        <v>0.0</v>
      </c>
      <c r="T366" s="5">
        <v>0.0</v>
      </c>
      <c r="U366" s="5">
        <v>0.0</v>
      </c>
    </row>
    <row r="367" outlineLevel="1">
      <c r="B367" s="0" t="inlineStr">
        <is>
          <t xml:space="preserve">ARCLINE INVESTMENT MANAGEMENT LP</t>
        </is>
      </c>
      <c r="C367" s="0" t="inlineStr">
        <is>
          <t xml:space="preserve">MKXMUFJJYLY5</t>
        </is>
      </c>
      <c r="D367" s="0" t="inlineStr">
        <is>
          <t xml:space="preserve">USA</t>
        </is>
      </c>
      <c r="E367" s="0" t="inlineStr">
        <is>
          <t xml:space="preserve">3353</t>
        </is>
      </c>
      <c r="F367" s="0" t="inlineStr">
        <is>
          <t xml:space="preserve">Motor and Generator Manufacturing</t>
        </is>
      </c>
      <c r="G367" s="5">
        <v>0.960014</v>
      </c>
      <c r="H367" s="0" t="inlineStr">
        <is>
          <t xml:space="preserve">supplier</t>
        </is>
      </c>
      <c r="I367" s="0" t="inlineStr">
        <is>
          <t xml:space="preserve">electrical</t>
        </is>
      </c>
      <c r="J367" s="0" t="inlineStr">
        <is>
          <t xml:space="preserve">registry</t>
        </is>
      </c>
      <c r="K367" s="5">
        <v>0</v>
      </c>
      <c r="L367" s="5">
        <v>0</v>
      </c>
      <c r="M367" s="5">
        <v>0.960014</v>
      </c>
      <c r="N367" s="5">
        <v>0.037014</v>
      </c>
      <c r="O367" s="5">
        <v>0.0</v>
      </c>
      <c r="P367" s="5">
        <v>0.0</v>
      </c>
      <c r="Q367" s="5">
        <v>0.0</v>
      </c>
      <c r="R367" s="5">
        <v>0.0</v>
      </c>
      <c r="S367" s="5">
        <v>0.0</v>
      </c>
      <c r="T367" s="5">
        <v>0.0</v>
      </c>
      <c r="U367" s="5">
        <v>0.0</v>
      </c>
    </row>
    <row r="368" outlineLevel="1">
      <c r="B368" s="0" t="inlineStr">
        <is>
          <t xml:space="preserve">AMETEK INC</t>
        </is>
      </c>
      <c r="C368" s="0" t="inlineStr">
        <is>
          <t xml:space="preserve">Y9KMLM1AFU63</t>
        </is>
      </c>
      <c r="D368" s="0" t="inlineStr">
        <is>
          <t xml:space="preserve">-</t>
        </is>
      </c>
      <c r="E368" s="0" t="inlineStr">
        <is>
          <t xml:space="preserve">-</t>
        </is>
      </c>
      <c r="F368" s="0" t="inlineStr">
        <is>
          <t xml:space="preserve">-</t>
        </is>
      </c>
      <c r="G368" s="5">
        <v>0.95252</v>
      </c>
      <c r="H368" s="0" t="inlineStr">
        <is>
          <t xml:space="preserve">supplier</t>
        </is>
      </c>
      <c r="I368" s="0" t="inlineStr">
        <is>
          <t xml:space="preserve">unbucketed</t>
        </is>
      </c>
      <c r="J368" s="0" t="inlineStr">
        <is>
          <t xml:space="preserve">residual</t>
        </is>
      </c>
      <c r="K368" s="5">
        <v>0</v>
      </c>
      <c r="L368" s="5">
        <v>0</v>
      </c>
      <c r="M368" s="5">
        <v>0.95252</v>
      </c>
      <c r="N368" s="5">
        <v>0.0</v>
      </c>
      <c r="O368" s="5">
        <v>0.88578</v>
      </c>
      <c r="P368" s="5">
        <v>0.0</v>
      </c>
      <c r="Q368" s="5">
        <v>0.0</v>
      </c>
      <c r="R368" s="5">
        <v>0.06674</v>
      </c>
      <c r="S368" s="5">
        <v>0.0</v>
      </c>
      <c r="T368" s="5">
        <v>0.0</v>
      </c>
      <c r="U368" s="5">
        <v>0.0</v>
      </c>
    </row>
    <row r="369" outlineLevel="1">
      <c r="B369" s="0" t="inlineStr">
        <is>
          <t xml:space="preserve">COASTAL DESIGN, LLC</t>
        </is>
      </c>
      <c r="C369" s="0" t="inlineStr">
        <is>
          <t xml:space="preserve">LFNVWPJYQKH4</t>
        </is>
      </c>
      <c r="D369" s="0" t="inlineStr">
        <is>
          <t xml:space="preserve">-</t>
        </is>
      </c>
      <c r="E369" s="0" t="inlineStr">
        <is>
          <t xml:space="preserve">-</t>
        </is>
      </c>
      <c r="F369" s="0" t="inlineStr">
        <is>
          <t xml:space="preserve">-</t>
        </is>
      </c>
      <c r="G369" s="5">
        <v>0.9488940099999998</v>
      </c>
      <c r="H369" s="0" t="inlineStr">
        <is>
          <t xml:space="preserve">supplier</t>
        </is>
      </c>
      <c r="I369" s="0" t="inlineStr">
        <is>
          <t xml:space="preserve">unbucketed</t>
        </is>
      </c>
      <c r="J369" s="0" t="inlineStr">
        <is>
          <t xml:space="preserve">residual</t>
        </is>
      </c>
      <c r="K369" s="5">
        <v>0</v>
      </c>
      <c r="L369" s="5">
        <v>0</v>
      </c>
      <c r="M369" s="5">
        <v>0.9488940099999998</v>
      </c>
      <c r="N369" s="5">
        <v>0.0</v>
      </c>
      <c r="O369" s="5">
        <v>0.03288</v>
      </c>
      <c r="P369" s="5">
        <v>0.0</v>
      </c>
      <c r="Q369" s="5">
        <v>0.0</v>
      </c>
      <c r="R369" s="5">
        <v>0.73720925</v>
      </c>
      <c r="S369" s="5">
        <v>0.31828215</v>
      </c>
      <c r="T369" s="5">
        <v>-0.13947739000000003</v>
      </c>
      <c r="U369" s="5">
        <v>0.0</v>
      </c>
    </row>
    <row r="370" outlineLevel="1">
      <c r="B370" s="0" t="inlineStr">
        <is>
          <t xml:space="preserve">5TH AXIS LLC</t>
        </is>
      </c>
      <c r="C370" s="0" t="inlineStr">
        <is>
          <t xml:space="preserve">UNG7G6S4JRA6</t>
        </is>
      </c>
      <c r="D370" s="0" t="inlineStr">
        <is>
          <t xml:space="preserve">-</t>
        </is>
      </c>
      <c r="E370" s="0" t="inlineStr">
        <is>
          <t xml:space="preserve">-</t>
        </is>
      </c>
      <c r="F370" s="0" t="inlineStr">
        <is>
          <t xml:space="preserve">-</t>
        </is>
      </c>
      <c r="G370" s="5">
        <v>0.9422622399999996</v>
      </c>
      <c r="H370" s="0" t="inlineStr">
        <is>
          <t xml:space="preserve">supplier</t>
        </is>
      </c>
      <c r="I370" s="0" t="inlineStr">
        <is>
          <t xml:space="preserve">unbucketed</t>
        </is>
      </c>
      <c r="J370" s="0" t="inlineStr">
        <is>
          <t xml:space="preserve">residual</t>
        </is>
      </c>
      <c r="K370" s="5">
        <v>0</v>
      </c>
      <c r="L370" s="5">
        <v>0</v>
      </c>
      <c r="M370" s="5">
        <v>0.9422622399999996</v>
      </c>
      <c r="N370" s="5">
        <v>0.0</v>
      </c>
      <c r="O370" s="5">
        <v>0.45430000000000004</v>
      </c>
      <c r="P370" s="5">
        <v>0.158</v>
      </c>
      <c r="Q370" s="5">
        <v>0.0</v>
      </c>
      <c r="R370" s="5">
        <v>0.0001121</v>
      </c>
      <c r="S370" s="5">
        <v>0.19468554000000002</v>
      </c>
      <c r="T370" s="5">
        <v>0.041999999999999996</v>
      </c>
      <c r="U370" s="5">
        <v>0.0931646</v>
      </c>
    </row>
    <row r="371" outlineLevel="1">
      <c r="B371" s="0" t="inlineStr">
        <is>
          <t xml:space="preserve">PARKER-HANNIFIN CORPORATION</t>
        </is>
      </c>
      <c r="C371" s="0" t="inlineStr">
        <is>
          <t xml:space="preserve">DEGHQRGPKTQ8</t>
        </is>
      </c>
      <c r="D371" s="0" t="inlineStr">
        <is>
          <t xml:space="preserve">USA</t>
        </is>
      </c>
      <c r="E371" s="0" t="inlineStr">
        <is>
          <t xml:space="preserve">5511</t>
        </is>
      </c>
      <c r="F371" s="0" t="inlineStr">
        <is>
          <t xml:space="preserve">Corporate, Subsidiary, and Regional Managing Offices</t>
        </is>
      </c>
      <c r="G371" s="5">
        <v>0.93523856</v>
      </c>
      <c r="H371" s="0" t="inlineStr">
        <is>
          <t xml:space="preserve">holding</t>
        </is>
      </c>
      <c r="I371" s="0" t="inlineStr">
        <is>
          <t xml:space="preserve">-</t>
        </is>
      </c>
      <c r="J371" s="0" t="inlineStr">
        <is>
          <t xml:space="preserve">holding-co (5511)</t>
        </is>
      </c>
      <c r="K371" s="5">
        <v>0</v>
      </c>
      <c r="L371" s="5">
        <v>0</v>
      </c>
      <c r="M371" s="5">
        <v>0.93523856</v>
      </c>
      <c r="N371" s="5">
        <v>0.0</v>
      </c>
      <c r="O371" s="5">
        <v>0.0</v>
      </c>
      <c r="P371" s="5">
        <v>0.0</v>
      </c>
      <c r="Q371" s="5">
        <v>0.0</v>
      </c>
      <c r="R371" s="5">
        <v>0.0</v>
      </c>
      <c r="S371" s="5">
        <v>0.0</v>
      </c>
      <c r="T371" s="5">
        <v>0.9046535600000001</v>
      </c>
      <c r="U371" s="5">
        <v>0.0</v>
      </c>
    </row>
    <row r="372" outlineLevel="1">
      <c r="B372" s="0" t="inlineStr">
        <is>
          <t xml:space="preserve">MILCOTS LLC</t>
        </is>
      </c>
      <c r="C372" s="0" t="inlineStr">
        <is>
          <t xml:space="preserve">V627Y8NS1JM1</t>
        </is>
      </c>
      <c r="D372" s="0" t="inlineStr">
        <is>
          <t xml:space="preserve">-</t>
        </is>
      </c>
      <c r="E372" s="0" t="inlineStr">
        <is>
          <t xml:space="preserve">-</t>
        </is>
      </c>
      <c r="F372" s="0" t="inlineStr">
        <is>
          <t xml:space="preserve">-</t>
        </is>
      </c>
      <c r="G372" s="5">
        <v>0.926543</v>
      </c>
      <c r="H372" s="0" t="inlineStr">
        <is>
          <t xml:space="preserve">supplier</t>
        </is>
      </c>
      <c r="I372" s="0" t="inlineStr">
        <is>
          <t xml:space="preserve">unbucketed</t>
        </is>
      </c>
      <c r="J372" s="0" t="inlineStr">
        <is>
          <t xml:space="preserve">residual</t>
        </is>
      </c>
      <c r="K372" s="5">
        <v>0</v>
      </c>
      <c r="L372" s="5">
        <v>0</v>
      </c>
      <c r="M372" s="5">
        <v>0.926543</v>
      </c>
      <c r="N372" s="5">
        <v>0.0</v>
      </c>
      <c r="O372" s="5">
        <v>0.0</v>
      </c>
      <c r="P372" s="5">
        <v>0.6652</v>
      </c>
      <c r="Q372" s="5">
        <v>0.0</v>
      </c>
      <c r="R372" s="5">
        <v>0.13629</v>
      </c>
      <c r="S372" s="5">
        <v>0.030508</v>
      </c>
      <c r="T372" s="5">
        <v>0.0</v>
      </c>
      <c r="U372" s="5">
        <v>0.037145</v>
      </c>
    </row>
    <row r="373" outlineLevel="1">
      <c r="B373" s="0" t="inlineStr">
        <is>
          <t xml:space="preserve">ELECTRIC HEATER CO</t>
        </is>
      </c>
      <c r="C373" s="0" t="inlineStr">
        <is>
          <t xml:space="preserve">RJGEKQDTZKT8</t>
        </is>
      </c>
      <c r="D373" s="0" t="inlineStr">
        <is>
          <t xml:space="preserve">-</t>
        </is>
      </c>
      <c r="E373" s="0" t="inlineStr">
        <is>
          <t xml:space="preserve">-</t>
        </is>
      </c>
      <c r="F373" s="0" t="inlineStr">
        <is>
          <t xml:space="preserve">-</t>
        </is>
      </c>
      <c r="G373" s="5">
        <v>0.9227277500000001</v>
      </c>
      <c r="H373" s="0" t="inlineStr">
        <is>
          <t xml:space="preserve">supplier</t>
        </is>
      </c>
      <c r="I373" s="0" t="inlineStr">
        <is>
          <t xml:space="preserve">unbucketed</t>
        </is>
      </c>
      <c r="J373" s="0" t="inlineStr">
        <is>
          <t xml:space="preserve">residual</t>
        </is>
      </c>
      <c r="K373" s="5">
        <v>0</v>
      </c>
      <c r="L373" s="5">
        <v>0</v>
      </c>
      <c r="M373" s="5">
        <v>0.9227277500000001</v>
      </c>
      <c r="N373" s="5">
        <v>0.0</v>
      </c>
      <c r="O373" s="5">
        <v>0.09939880000000001</v>
      </c>
      <c r="P373" s="5">
        <v>0.0</v>
      </c>
      <c r="Q373" s="5">
        <v>0.0</v>
      </c>
      <c r="R373" s="5">
        <v>0.4581136</v>
      </c>
      <c r="S373" s="5">
        <v>0.31995325</v>
      </c>
      <c r="T373" s="5">
        <v>0.0452621</v>
      </c>
      <c r="U373" s="5">
        <v>0.0</v>
      </c>
    </row>
    <row r="374" outlineLevel="1">
      <c r="B374" s="0" t="inlineStr">
        <is>
          <t xml:space="preserve">DY4 INC</t>
        </is>
      </c>
      <c r="C374" s="0" t="inlineStr">
        <is>
          <t xml:space="preserve">JU5GNH1H5FV6</t>
        </is>
      </c>
      <c r="D374" s="0" t="inlineStr">
        <is>
          <t xml:space="preserve">-</t>
        </is>
      </c>
      <c r="E374" s="0" t="inlineStr">
        <is>
          <t xml:space="preserve">-</t>
        </is>
      </c>
      <c r="F374" s="0" t="inlineStr">
        <is>
          <t xml:space="preserve">-</t>
        </is>
      </c>
      <c r="G374" s="5">
        <v>0.919551</v>
      </c>
      <c r="H374" s="0" t="inlineStr">
        <is>
          <t xml:space="preserve">supplier</t>
        </is>
      </c>
      <c r="I374" s="0" t="inlineStr">
        <is>
          <t xml:space="preserve">unbucketed</t>
        </is>
      </c>
      <c r="J374" s="0" t="inlineStr">
        <is>
          <t xml:space="preserve">residual</t>
        </is>
      </c>
      <c r="K374" s="5">
        <v>0</v>
      </c>
      <c r="L374" s="5">
        <v>0</v>
      </c>
      <c r="M374" s="5">
        <v>0.919551</v>
      </c>
      <c r="N374" s="5">
        <v>0.0918</v>
      </c>
      <c r="O374" s="5">
        <v>0.038</v>
      </c>
      <c r="P374" s="5">
        <v>0.23078</v>
      </c>
      <c r="Q374" s="5">
        <v>0.0</v>
      </c>
      <c r="R374" s="5">
        <v>0.0</v>
      </c>
      <c r="S374" s="5">
        <v>0.0</v>
      </c>
      <c r="T374" s="5">
        <v>0.558971</v>
      </c>
      <c r="U374" s="5">
        <v>0.0</v>
      </c>
    </row>
    <row r="375" outlineLevel="1">
      <c r="B375" s="0" t="inlineStr">
        <is>
          <t xml:space="preserve">IMIA, LLC</t>
        </is>
      </c>
      <c r="C375" s="0" t="inlineStr">
        <is>
          <t xml:space="preserve">EDNNTCM7SUS8</t>
        </is>
      </c>
      <c r="D375" s="0" t="inlineStr">
        <is>
          <t xml:space="preserve">-</t>
        </is>
      </c>
      <c r="E375" s="0" t="inlineStr">
        <is>
          <t xml:space="preserve">-</t>
        </is>
      </c>
      <c r="F375" s="0" t="inlineStr">
        <is>
          <t xml:space="preserve">-</t>
        </is>
      </c>
      <c r="G375" s="5">
        <v>0.906096</v>
      </c>
      <c r="H375" s="0" t="inlineStr">
        <is>
          <t xml:space="preserve">supplier</t>
        </is>
      </c>
      <c r="I375" s="0" t="inlineStr">
        <is>
          <t xml:space="preserve">unbucketed</t>
        </is>
      </c>
      <c r="J375" s="0" t="inlineStr">
        <is>
          <t xml:space="preserve">residual</t>
        </is>
      </c>
      <c r="K375" s="5">
        <v>0</v>
      </c>
      <c r="L375" s="5">
        <v>0</v>
      </c>
      <c r="M375" s="5">
        <v>0.906096</v>
      </c>
      <c r="N375" s="5">
        <v>0.0</v>
      </c>
      <c r="O375" s="5">
        <v>0.0</v>
      </c>
      <c r="P375" s="5">
        <v>0.056096</v>
      </c>
      <c r="Q375" s="5">
        <v>0.0</v>
      </c>
      <c r="R375" s="5">
        <v>0.0</v>
      </c>
      <c r="S375" s="5">
        <v>0.0</v>
      </c>
      <c r="T375" s="5">
        <v>0.85</v>
      </c>
      <c r="U375" s="5">
        <v>0.0</v>
      </c>
    </row>
    <row r="376" outlineLevel="1">
      <c r="B376" s="0" t="inlineStr">
        <is>
          <t xml:space="preserve">AMETEK INC.</t>
        </is>
      </c>
      <c r="C376" s="0" t="inlineStr">
        <is>
          <t xml:space="preserve">Y9KMLM1AFU63</t>
        </is>
      </c>
      <c r="D376" s="0" t="inlineStr">
        <is>
          <t xml:space="preserve">-</t>
        </is>
      </c>
      <c r="E376" s="0" t="inlineStr">
        <is>
          <t xml:space="preserve">-</t>
        </is>
      </c>
      <c r="F376" s="0" t="inlineStr">
        <is>
          <t xml:space="preserve">-</t>
        </is>
      </c>
      <c r="G376" s="5">
        <v>0.889248</v>
      </c>
      <c r="H376" s="0" t="inlineStr">
        <is>
          <t xml:space="preserve">supplier</t>
        </is>
      </c>
      <c r="I376" s="0" t="inlineStr">
        <is>
          <t xml:space="preserve">unbucketed</t>
        </is>
      </c>
      <c r="J376" s="0" t="inlineStr">
        <is>
          <t xml:space="preserve">residual</t>
        </is>
      </c>
      <c r="K376" s="5">
        <v>0</v>
      </c>
      <c r="L376" s="5">
        <v>0</v>
      </c>
      <c r="M376" s="5">
        <v>0.889248</v>
      </c>
      <c r="N376" s="5">
        <v>0.0</v>
      </c>
      <c r="O376" s="5">
        <v>0.0</v>
      </c>
      <c r="P376" s="5">
        <v>0.0</v>
      </c>
      <c r="Q376" s="5">
        <v>0.0</v>
      </c>
      <c r="R376" s="5">
        <v>0.0</v>
      </c>
      <c r="S376" s="5">
        <v>0.0</v>
      </c>
      <c r="T376" s="5">
        <v>0.0</v>
      </c>
      <c r="U376" s="5">
        <v>0.0</v>
      </c>
    </row>
    <row r="377" outlineLevel="1">
      <c r="B377" s="0" t="inlineStr">
        <is>
          <t xml:space="preserve">DVCC, LLC</t>
        </is>
      </c>
      <c r="C377" s="0" t="inlineStr">
        <is>
          <t xml:space="preserve">GYMLL74UL5Q8</t>
        </is>
      </c>
      <c r="D377" s="0" t="inlineStr">
        <is>
          <t xml:space="preserve">-</t>
        </is>
      </c>
      <c r="E377" s="0" t="inlineStr">
        <is>
          <t xml:space="preserve">-</t>
        </is>
      </c>
      <c r="F377" s="0" t="inlineStr">
        <is>
          <t xml:space="preserve">-</t>
        </is>
      </c>
      <c r="G377" s="5">
        <v>0.88837323</v>
      </c>
      <c r="H377" s="0" t="inlineStr">
        <is>
          <t xml:space="preserve">supplier</t>
        </is>
      </c>
      <c r="I377" s="0" t="inlineStr">
        <is>
          <t xml:space="preserve">unbucketed</t>
        </is>
      </c>
      <c r="J377" s="0" t="inlineStr">
        <is>
          <t xml:space="preserve">residual</t>
        </is>
      </c>
      <c r="K377" s="5">
        <v>0</v>
      </c>
      <c r="L377" s="5">
        <v>0</v>
      </c>
      <c r="M377" s="5">
        <v>0.88837323</v>
      </c>
      <c r="N377" s="5">
        <v>0.038972849999999996</v>
      </c>
      <c r="O377" s="5">
        <v>0.0</v>
      </c>
      <c r="P377" s="5">
        <v>0.0</v>
      </c>
      <c r="Q377" s="5">
        <v>0.0</v>
      </c>
      <c r="R377" s="5">
        <v>0.28367361</v>
      </c>
      <c r="S377" s="5">
        <v>0.0</v>
      </c>
      <c r="T377" s="5">
        <v>0.0</v>
      </c>
      <c r="U377" s="5">
        <v>0.0</v>
      </c>
    </row>
    <row r="378" outlineLevel="1">
      <c r="B378" s="0" t="inlineStr">
        <is>
          <t xml:space="preserve">FEDERAL RESOURCES SUPPLY COMPANY, LLC</t>
        </is>
      </c>
      <c r="C378" s="0" t="inlineStr">
        <is>
          <t xml:space="preserve">UR5TFK3LAVL5</t>
        </is>
      </c>
      <c r="D378" s="0" t="inlineStr">
        <is>
          <t xml:space="preserve">-</t>
        </is>
      </c>
      <c r="E378" s="0" t="inlineStr">
        <is>
          <t xml:space="preserve">-</t>
        </is>
      </c>
      <c r="F378" s="0" t="inlineStr">
        <is>
          <t xml:space="preserve">-</t>
        </is>
      </c>
      <c r="G378" s="5">
        <v>0.8858529799999999</v>
      </c>
      <c r="H378" s="0" t="inlineStr">
        <is>
          <t xml:space="preserve">supplier</t>
        </is>
      </c>
      <c r="I378" s="0" t="inlineStr">
        <is>
          <t xml:space="preserve">unbucketed</t>
        </is>
      </c>
      <c r="J378" s="0" t="inlineStr">
        <is>
          <t xml:space="preserve">residual</t>
        </is>
      </c>
      <c r="K378" s="5">
        <v>0</v>
      </c>
      <c r="L378" s="5">
        <v>0</v>
      </c>
      <c r="M378" s="5">
        <v>0.8858529799999999</v>
      </c>
      <c r="N378" s="5">
        <v>0.110836</v>
      </c>
      <c r="O378" s="5">
        <v>0.0</v>
      </c>
      <c r="P378" s="5">
        <v>0.10218698</v>
      </c>
      <c r="Q378" s="5">
        <v>0.0</v>
      </c>
      <c r="R378" s="5">
        <v>0.0</v>
      </c>
      <c r="S378" s="5">
        <v>0.671352</v>
      </c>
      <c r="T378" s="5">
        <v>0.001478</v>
      </c>
      <c r="U378" s="5">
        <v>0.0</v>
      </c>
    </row>
    <row r="379" outlineLevel="1">
      <c r="B379" s="0" t="inlineStr">
        <is>
          <t xml:space="preserve">THE CARONDELET FOUNDRY CORPORATION</t>
        </is>
      </c>
      <c r="C379" s="0" t="inlineStr">
        <is>
          <t xml:space="preserve">S9FENR91JGV9</t>
        </is>
      </c>
      <c r="D379" s="0" t="inlineStr">
        <is>
          <t xml:space="preserve">-</t>
        </is>
      </c>
      <c r="E379" s="0" t="inlineStr">
        <is>
          <t xml:space="preserve">-</t>
        </is>
      </c>
      <c r="F379" s="0" t="inlineStr">
        <is>
          <t xml:space="preserve">-</t>
        </is>
      </c>
      <c r="G379" s="5">
        <v>0.8683519999999999</v>
      </c>
      <c r="H379" s="0" t="inlineStr">
        <is>
          <t xml:space="preserve">supplier</t>
        </is>
      </c>
      <c r="I379" s="0" t="inlineStr">
        <is>
          <t xml:space="preserve">unbucketed</t>
        </is>
      </c>
      <c r="J379" s="0" t="inlineStr">
        <is>
          <t xml:space="preserve">residual</t>
        </is>
      </c>
      <c r="K379" s="5">
        <v>0</v>
      </c>
      <c r="L379" s="5">
        <v>0</v>
      </c>
      <c r="M379" s="5">
        <v>0.8683519999999999</v>
      </c>
      <c r="N379" s="5">
        <v>0.0</v>
      </c>
      <c r="O379" s="5">
        <v>0.0</v>
      </c>
      <c r="P379" s="5">
        <v>0.0</v>
      </c>
      <c r="Q379" s="5">
        <v>0.0</v>
      </c>
      <c r="R379" s="5">
        <v>0.0</v>
      </c>
      <c r="S379" s="5">
        <v>0.596393</v>
      </c>
      <c r="T379" s="5">
        <v>0.0</v>
      </c>
      <c r="U379" s="5">
        <v>0.271959</v>
      </c>
    </row>
    <row r="380" outlineLevel="1">
      <c r="B380" s="0" t="inlineStr">
        <is>
          <t xml:space="preserve">DELL TECHNOLOGIES INC.</t>
        </is>
      </c>
      <c r="C380" s="0" t="inlineStr">
        <is>
          <t xml:space="preserve">N1C5QLNPJLS4</t>
        </is>
      </c>
      <c r="D380" s="0" t="inlineStr">
        <is>
          <t xml:space="preserve">-</t>
        </is>
      </c>
      <c r="E380" s="0" t="inlineStr">
        <is>
          <t xml:space="preserve">-</t>
        </is>
      </c>
      <c r="F380" s="0" t="inlineStr">
        <is>
          <t xml:space="preserve">-</t>
        </is>
      </c>
      <c r="G380" s="5">
        <v>0.8681482699999999</v>
      </c>
      <c r="H380" s="0" t="inlineStr">
        <is>
          <t xml:space="preserve">supplier</t>
        </is>
      </c>
      <c r="I380" s="0" t="inlineStr">
        <is>
          <t xml:space="preserve">unbucketed</t>
        </is>
      </c>
      <c r="J380" s="0" t="inlineStr">
        <is>
          <t xml:space="preserve">residual</t>
        </is>
      </c>
      <c r="K380" s="5">
        <v>0</v>
      </c>
      <c r="L380" s="5">
        <v>0</v>
      </c>
      <c r="M380" s="5">
        <v>0.8681482699999999</v>
      </c>
      <c r="N380" s="5">
        <v>0.74541496</v>
      </c>
      <c r="O380" s="5">
        <v>0.0</v>
      </c>
      <c r="P380" s="5">
        <v>0.0</v>
      </c>
      <c r="Q380" s="5">
        <v>0.0</v>
      </c>
      <c r="R380" s="5">
        <v>0.059192589999999996</v>
      </c>
      <c r="S380" s="5">
        <v>0.0</v>
      </c>
      <c r="T380" s="5">
        <v>0.0</v>
      </c>
      <c r="U380" s="5">
        <v>0.0</v>
      </c>
    </row>
    <row r="381" outlineLevel="1">
      <c r="B381" s="0" t="inlineStr">
        <is>
          <t xml:space="preserve">UNITED TECHNOLOGIES CORPORATION</t>
        </is>
      </c>
      <c r="C381" s="0" t="inlineStr">
        <is>
          <t xml:space="preserve">JC42EBJ5NFJ1</t>
        </is>
      </c>
      <c r="D381" s="0" t="inlineStr">
        <is>
          <t xml:space="preserve">-</t>
        </is>
      </c>
      <c r="E381" s="0" t="inlineStr">
        <is>
          <t xml:space="preserve">-</t>
        </is>
      </c>
      <c r="F381" s="0" t="inlineStr">
        <is>
          <t xml:space="preserve">-</t>
        </is>
      </c>
      <c r="G381" s="5">
        <v>0.8662850000000001</v>
      </c>
      <c r="H381" s="0" t="inlineStr">
        <is>
          <t xml:space="preserve">supplier</t>
        </is>
      </c>
      <c r="I381" s="0" t="inlineStr">
        <is>
          <t xml:space="preserve">unbucketed</t>
        </is>
      </c>
      <c r="J381" s="0" t="inlineStr">
        <is>
          <t xml:space="preserve">residual</t>
        </is>
      </c>
      <c r="K381" s="5">
        <v>0</v>
      </c>
      <c r="L381" s="5">
        <v>0</v>
      </c>
      <c r="M381" s="5">
        <v>0.8662850000000001</v>
      </c>
      <c r="N381" s="5">
        <v>0.0</v>
      </c>
      <c r="O381" s="5">
        <v>0.0</v>
      </c>
      <c r="P381" s="5">
        <v>0.0</v>
      </c>
      <c r="Q381" s="5">
        <v>0.0</v>
      </c>
      <c r="R381" s="5">
        <v>0.0</v>
      </c>
      <c r="S381" s="5">
        <v>0.0</v>
      </c>
      <c r="T381" s="5">
        <v>0.0</v>
      </c>
      <c r="U381" s="5">
        <v>0.0</v>
      </c>
    </row>
    <row r="382" outlineLevel="1">
      <c r="B382" s="0" t="inlineStr">
        <is>
          <t xml:space="preserve">VACCO INDUSTRIES</t>
        </is>
      </c>
      <c r="C382" s="0" t="inlineStr">
        <is>
          <t xml:space="preserve">SX6BF52K2WB1</t>
        </is>
      </c>
      <c r="D382" s="0" t="inlineStr">
        <is>
          <t xml:space="preserve">-</t>
        </is>
      </c>
      <c r="E382" s="0" t="inlineStr">
        <is>
          <t xml:space="preserve">-</t>
        </is>
      </c>
      <c r="F382" s="0" t="inlineStr">
        <is>
          <t xml:space="preserve">-</t>
        </is>
      </c>
      <c r="G382" s="5">
        <v>0.856635</v>
      </c>
      <c r="H382" s="0" t="inlineStr">
        <is>
          <t xml:space="preserve">supplier</t>
        </is>
      </c>
      <c r="I382" s="0" t="inlineStr">
        <is>
          <t xml:space="preserve">piping</t>
        </is>
      </c>
      <c r="J382" s="0" t="inlineStr">
        <is>
          <t xml:space="preserve">registry</t>
        </is>
      </c>
      <c r="K382" s="5">
        <v>0</v>
      </c>
      <c r="L382" s="5">
        <v>0</v>
      </c>
      <c r="M382" s="5">
        <v>0.856635</v>
      </c>
      <c r="N382" s="5">
        <v>0.0</v>
      </c>
      <c r="O382" s="5">
        <v>0.0</v>
      </c>
      <c r="P382" s="5">
        <v>0.0</v>
      </c>
      <c r="Q382" s="5">
        <v>0.0</v>
      </c>
      <c r="R382" s="5">
        <v>0.856635</v>
      </c>
      <c r="S382" s="5">
        <v>0.0</v>
      </c>
      <c r="T382" s="5">
        <v>0.0</v>
      </c>
      <c r="U382" s="5">
        <v>0.0</v>
      </c>
    </row>
    <row r="383" outlineLevel="1">
      <c r="B383" s="0" t="inlineStr">
        <is>
          <t xml:space="preserve">FRS HOLDINGS, INC.</t>
        </is>
      </c>
      <c r="C383" s="0" t="inlineStr">
        <is>
          <t xml:space="preserve">UR5TFK3LAVL5</t>
        </is>
      </c>
      <c r="D383" s="0" t="inlineStr">
        <is>
          <t xml:space="preserve">-</t>
        </is>
      </c>
      <c r="E383" s="0" t="inlineStr">
        <is>
          <t xml:space="preserve">-</t>
        </is>
      </c>
      <c r="F383" s="0" t="inlineStr">
        <is>
          <t xml:space="preserve">-</t>
        </is>
      </c>
      <c r="G383" s="5">
        <v>0.8422189399999999</v>
      </c>
      <c r="H383" s="0" t="inlineStr">
        <is>
          <t xml:space="preserve">supplier</t>
        </is>
      </c>
      <c r="I383" s="0" t="inlineStr">
        <is>
          <t xml:space="preserve">unbucketed</t>
        </is>
      </c>
      <c r="J383" s="0" t="inlineStr">
        <is>
          <t xml:space="preserve">residual</t>
        </is>
      </c>
      <c r="K383" s="5">
        <v>0</v>
      </c>
      <c r="L383" s="5">
        <v>0</v>
      </c>
      <c r="M383" s="5">
        <v>0.8422189399999999</v>
      </c>
      <c r="N383" s="5">
        <v>0.0</v>
      </c>
      <c r="O383" s="5">
        <v>0.0</v>
      </c>
      <c r="P383" s="5">
        <v>0.0</v>
      </c>
      <c r="Q383" s="5">
        <v>0.0</v>
      </c>
      <c r="R383" s="5">
        <v>0.0</v>
      </c>
      <c r="S383" s="5">
        <v>0.0</v>
      </c>
      <c r="T383" s="5">
        <v>0.0</v>
      </c>
      <c r="U383" s="5">
        <v>0.0</v>
      </c>
    </row>
    <row r="384" outlineLevel="1">
      <c r="B384" s="0" t="inlineStr">
        <is>
          <t xml:space="preserve">CIRCOR INTERNATIONAL, INC.</t>
        </is>
      </c>
      <c r="C384" s="0" t="inlineStr">
        <is>
          <t xml:space="preserve">YGGCA283C3P4</t>
        </is>
      </c>
      <c r="D384" s="0" t="inlineStr">
        <is>
          <t xml:space="preserve">Foreign</t>
        </is>
      </c>
      <c r="E384" s="0" t="inlineStr">
        <is>
          <t xml:space="preserve">-</t>
        </is>
      </c>
      <c r="F384" s="0" t="inlineStr">
        <is>
          <t xml:space="preserve">-</t>
        </is>
      </c>
      <c r="G384" s="5">
        <v>0.8375004</v>
      </c>
      <c r="H384" s="0" t="inlineStr">
        <is>
          <t xml:space="preserve">supplier</t>
        </is>
      </c>
      <c r="I384" s="0" t="inlineStr">
        <is>
          <t xml:space="preserve">piping</t>
        </is>
      </c>
      <c r="J384" s="0" t="inlineStr">
        <is>
          <t xml:space="preserve">vendor-override</t>
        </is>
      </c>
      <c r="K384" s="5">
        <v>0</v>
      </c>
      <c r="L384" s="5">
        <v>0</v>
      </c>
      <c r="M384" s="5">
        <v>0.8375004</v>
      </c>
      <c r="N384" s="5">
        <v>0.8375004</v>
      </c>
      <c r="O384" s="5">
        <v>0.0</v>
      </c>
      <c r="P384" s="5">
        <v>0.0</v>
      </c>
      <c r="Q384" s="5">
        <v>0.0</v>
      </c>
      <c r="R384" s="5">
        <v>0.0</v>
      </c>
      <c r="S384" s="5">
        <v>0.0</v>
      </c>
      <c r="T384" s="5">
        <v>0.0</v>
      </c>
      <c r="U384" s="5">
        <v>0.0</v>
      </c>
    </row>
    <row r="385" outlineLevel="1">
      <c r="B385" s="0" t="inlineStr">
        <is>
          <t xml:space="preserve">HEXAGON MANUFACTURING INTELLIGENCE, INC.</t>
        </is>
      </c>
      <c r="C385" s="0" t="inlineStr">
        <is>
          <t xml:space="preserve">EK4EVQQNEFC6</t>
        </is>
      </c>
      <c r="D385" s="0" t="inlineStr">
        <is>
          <t xml:space="preserve">-</t>
        </is>
      </c>
      <c r="E385" s="0" t="inlineStr">
        <is>
          <t xml:space="preserve">-</t>
        </is>
      </c>
      <c r="F385" s="0" t="inlineStr">
        <is>
          <t xml:space="preserve">-</t>
        </is>
      </c>
      <c r="G385" s="5">
        <v>0.8288</v>
      </c>
      <c r="H385" s="0" t="inlineStr">
        <is>
          <t xml:space="preserve">supplier</t>
        </is>
      </c>
      <c r="I385" s="0" t="inlineStr">
        <is>
          <t xml:space="preserve">unbucketed</t>
        </is>
      </c>
      <c r="J385" s="0" t="inlineStr">
        <is>
          <t xml:space="preserve">residual</t>
        </is>
      </c>
      <c r="K385" s="5">
        <v>0</v>
      </c>
      <c r="L385" s="5">
        <v>0</v>
      </c>
      <c r="M385" s="5">
        <v>0.8288</v>
      </c>
      <c r="N385" s="5">
        <v>0.0</v>
      </c>
      <c r="O385" s="5">
        <v>0.0</v>
      </c>
      <c r="P385" s="5">
        <v>0.0</v>
      </c>
      <c r="Q385" s="5">
        <v>0.0</v>
      </c>
      <c r="R385" s="5">
        <v>0.0</v>
      </c>
      <c r="S385" s="5">
        <v>0.0</v>
      </c>
      <c r="T385" s="5">
        <v>0.8288</v>
      </c>
      <c r="U385" s="5">
        <v>0.0</v>
      </c>
    </row>
    <row r="386" outlineLevel="1">
      <c r="B386" s="0" t="inlineStr">
        <is>
          <t xml:space="preserve">ALASKAN COPPER COMPANIES, INC.</t>
        </is>
      </c>
      <c r="C386" s="0" t="inlineStr">
        <is>
          <t xml:space="preserve">M35SG6PKLJB3</t>
        </is>
      </c>
      <c r="D386" s="0" t="inlineStr">
        <is>
          <t xml:space="preserve">-</t>
        </is>
      </c>
      <c r="E386" s="0" t="inlineStr">
        <is>
          <t xml:space="preserve">-</t>
        </is>
      </c>
      <c r="F386" s="0" t="inlineStr">
        <is>
          <t xml:space="preserve">-</t>
        </is>
      </c>
      <c r="G386" s="5">
        <v>0.8234317</v>
      </c>
      <c r="H386" s="0" t="inlineStr">
        <is>
          <t xml:space="preserve">supplier</t>
        </is>
      </c>
      <c r="I386" s="0" t="inlineStr">
        <is>
          <t xml:space="preserve">unbucketed</t>
        </is>
      </c>
      <c r="J386" s="0" t="inlineStr">
        <is>
          <t xml:space="preserve">residual</t>
        </is>
      </c>
      <c r="K386" s="5">
        <v>0</v>
      </c>
      <c r="L386" s="5">
        <v>0</v>
      </c>
      <c r="M386" s="5">
        <v>0.8234317</v>
      </c>
      <c r="N386" s="5">
        <v>0.0</v>
      </c>
      <c r="O386" s="5">
        <v>0.0743697</v>
      </c>
      <c r="P386" s="5">
        <v>0.0</v>
      </c>
      <c r="Q386" s="5">
        <v>0.0</v>
      </c>
      <c r="R386" s="5">
        <v>0.0</v>
      </c>
      <c r="S386" s="5">
        <v>0.21012799999999998</v>
      </c>
      <c r="T386" s="5">
        <v>0.538934</v>
      </c>
      <c r="U386" s="5">
        <v>0.0</v>
      </c>
    </row>
    <row r="387" outlineLevel="1">
      <c r="B387" s="0" t="inlineStr">
        <is>
          <t xml:space="preserve">CHAPCO INC</t>
        </is>
      </c>
      <c r="C387" s="0" t="inlineStr">
        <is>
          <t xml:space="preserve">VUA5GYK66K98</t>
        </is>
      </c>
      <c r="D387" s="0" t="inlineStr">
        <is>
          <t xml:space="preserve">-</t>
        </is>
      </c>
      <c r="E387" s="0" t="inlineStr">
        <is>
          <t xml:space="preserve">-</t>
        </is>
      </c>
      <c r="F387" s="0" t="inlineStr">
        <is>
          <t xml:space="preserve">-</t>
        </is>
      </c>
      <c r="G387" s="5">
        <v>0.8111330200000001</v>
      </c>
      <c r="H387" s="0" t="inlineStr">
        <is>
          <t xml:space="preserve">supplier</t>
        </is>
      </c>
      <c r="I387" s="0" t="inlineStr">
        <is>
          <t xml:space="preserve">unbucketed</t>
        </is>
      </c>
      <c r="J387" s="0" t="inlineStr">
        <is>
          <t xml:space="preserve">vendor-override</t>
        </is>
      </c>
      <c r="K387" s="5">
        <v>0</v>
      </c>
      <c r="L387" s="5">
        <v>0</v>
      </c>
      <c r="M387" s="5">
        <v>0.8111330200000001</v>
      </c>
      <c r="N387" s="5">
        <v>0.0</v>
      </c>
      <c r="O387" s="5">
        <v>0.31908001999999996</v>
      </c>
      <c r="P387" s="5">
        <v>0.492053</v>
      </c>
      <c r="Q387" s="5">
        <v>0.0</v>
      </c>
      <c r="R387" s="5">
        <v>0.0</v>
      </c>
      <c r="S387" s="5">
        <v>0.0</v>
      </c>
      <c r="T387" s="5">
        <v>0.0</v>
      </c>
      <c r="U387" s="5">
        <v>0.0</v>
      </c>
    </row>
    <row r="388" outlineLevel="1">
      <c r="B388" s="0" t="inlineStr">
        <is>
          <t xml:space="preserve">LOVEJOY, LLC</t>
        </is>
      </c>
      <c r="C388" s="0" t="inlineStr">
        <is>
          <t xml:space="preserve">SN8JQ8XJ55N9</t>
        </is>
      </c>
      <c r="D388" s="0" t="inlineStr">
        <is>
          <t xml:space="preserve">-</t>
        </is>
      </c>
      <c r="E388" s="0" t="inlineStr">
        <is>
          <t xml:space="preserve">-</t>
        </is>
      </c>
      <c r="F388" s="0" t="inlineStr">
        <is>
          <t xml:space="preserve">-</t>
        </is>
      </c>
      <c r="G388" s="5">
        <v>0.8014025100000001</v>
      </c>
      <c r="H388" s="0" t="inlineStr">
        <is>
          <t xml:space="preserve">supplier</t>
        </is>
      </c>
      <c r="I388" s="0" t="inlineStr">
        <is>
          <t xml:space="preserve">unbucketed</t>
        </is>
      </c>
      <c r="J388" s="0" t="inlineStr">
        <is>
          <t xml:space="preserve">residual</t>
        </is>
      </c>
      <c r="K388" s="5">
        <v>0</v>
      </c>
      <c r="L388" s="5">
        <v>0</v>
      </c>
      <c r="M388" s="5">
        <v>0.8014025100000001</v>
      </c>
      <c r="N388" s="5">
        <v>0.0</v>
      </c>
      <c r="O388" s="5">
        <v>0.06568863999999999</v>
      </c>
      <c r="P388" s="5">
        <v>0.20937076999999998</v>
      </c>
      <c r="Q388" s="5">
        <v>0.40115775</v>
      </c>
      <c r="R388" s="5">
        <v>0.0</v>
      </c>
      <c r="S388" s="5">
        <v>0.12518535</v>
      </c>
      <c r="T388" s="5">
        <v>0.0</v>
      </c>
      <c r="U388" s="5">
        <v>0.0</v>
      </c>
    </row>
    <row r="389" outlineLevel="1">
      <c r="B389" s="0" t="inlineStr">
        <is>
          <t xml:space="preserve">MILCOTS, LLC</t>
        </is>
      </c>
      <c r="C389" s="0" t="inlineStr">
        <is>
          <t xml:space="preserve">V627Y8NS1JM1</t>
        </is>
      </c>
      <c r="D389" s="0" t="inlineStr">
        <is>
          <t xml:space="preserve">-</t>
        </is>
      </c>
      <c r="E389" s="0" t="inlineStr">
        <is>
          <t xml:space="preserve">-</t>
        </is>
      </c>
      <c r="F389" s="0" t="inlineStr">
        <is>
          <t xml:space="preserve">-</t>
        </is>
      </c>
      <c r="G389" s="5">
        <v>0.7956000000000001</v>
      </c>
      <c r="H389" s="0" t="inlineStr">
        <is>
          <t xml:space="preserve">supplier</t>
        </is>
      </c>
      <c r="I389" s="0" t="inlineStr">
        <is>
          <t xml:space="preserve">unbucketed</t>
        </is>
      </c>
      <c r="J389" s="0" t="inlineStr">
        <is>
          <t xml:space="preserve">residual</t>
        </is>
      </c>
      <c r="K389" s="5">
        <v>0</v>
      </c>
      <c r="L389" s="5">
        <v>0</v>
      </c>
      <c r="M389" s="5">
        <v>0.7956000000000001</v>
      </c>
      <c r="N389" s="5">
        <v>0.0</v>
      </c>
      <c r="O389" s="5">
        <v>0.0</v>
      </c>
      <c r="P389" s="5">
        <v>0.0</v>
      </c>
      <c r="Q389" s="5">
        <v>0.0</v>
      </c>
      <c r="R389" s="5">
        <v>0.0</v>
      </c>
      <c r="S389" s="5">
        <v>0.0</v>
      </c>
      <c r="T389" s="5">
        <v>0.0</v>
      </c>
      <c r="U389" s="5">
        <v>0.0</v>
      </c>
    </row>
    <row r="390" outlineLevel="1">
      <c r="B390" s="0" t="inlineStr">
        <is>
          <t xml:space="preserve">MASS CRANE &amp; HOIST SERVICES, INC</t>
        </is>
      </c>
      <c r="C390" s="0" t="inlineStr">
        <is>
          <t xml:space="preserve">MEQJENNPRLG9</t>
        </is>
      </c>
      <c r="D390" s="0" t="inlineStr">
        <is>
          <t xml:space="preserve">-</t>
        </is>
      </c>
      <c r="E390" s="0" t="inlineStr">
        <is>
          <t xml:space="preserve">-</t>
        </is>
      </c>
      <c r="F390" s="0" t="inlineStr">
        <is>
          <t xml:space="preserve">-</t>
        </is>
      </c>
      <c r="G390" s="5">
        <v>0.7887200000000001</v>
      </c>
      <c r="H390" s="0" t="inlineStr">
        <is>
          <t xml:space="preserve">supplier</t>
        </is>
      </c>
      <c r="I390" s="0" t="inlineStr">
        <is>
          <t xml:space="preserve">unbucketed</t>
        </is>
      </c>
      <c r="J390" s="0" t="inlineStr">
        <is>
          <t xml:space="preserve">residual</t>
        </is>
      </c>
      <c r="K390" s="5">
        <v>0</v>
      </c>
      <c r="L390" s="5">
        <v>0</v>
      </c>
      <c r="M390" s="5">
        <v>0.7887200000000001</v>
      </c>
      <c r="N390" s="5">
        <v>0.0</v>
      </c>
      <c r="O390" s="5">
        <v>0.0</v>
      </c>
      <c r="P390" s="5">
        <v>0.0</v>
      </c>
      <c r="Q390" s="5">
        <v>0.0</v>
      </c>
      <c r="R390" s="5">
        <v>0.0</v>
      </c>
      <c r="S390" s="5">
        <v>0.73872</v>
      </c>
      <c r="T390" s="5">
        <v>0.0</v>
      </c>
      <c r="U390" s="5">
        <v>0.05</v>
      </c>
    </row>
    <row r="391" outlineLevel="1">
      <c r="B391" s="0" t="inlineStr">
        <is>
          <t xml:space="preserve">COMARK, LLC</t>
        </is>
      </c>
      <c r="C391" s="0" t="inlineStr">
        <is>
          <t xml:space="preserve">WNDYZX3ALFB1</t>
        </is>
      </c>
      <c r="D391" s="0" t="inlineStr">
        <is>
          <t xml:space="preserve">-</t>
        </is>
      </c>
      <c r="E391" s="0" t="inlineStr">
        <is>
          <t xml:space="preserve">-</t>
        </is>
      </c>
      <c r="F391" s="0" t="inlineStr">
        <is>
          <t xml:space="preserve">-</t>
        </is>
      </c>
      <c r="G391" s="5">
        <v>0.785859</v>
      </c>
      <c r="H391" s="0" t="inlineStr">
        <is>
          <t xml:space="preserve">supplier</t>
        </is>
      </c>
      <c r="I391" s="0" t="inlineStr">
        <is>
          <t xml:space="preserve">unbucketed</t>
        </is>
      </c>
      <c r="J391" s="0" t="inlineStr">
        <is>
          <t xml:space="preserve">residual</t>
        </is>
      </c>
      <c r="K391" s="5">
        <v>0</v>
      </c>
      <c r="L391" s="5">
        <v>0</v>
      </c>
      <c r="M391" s="5">
        <v>0.785859</v>
      </c>
      <c r="N391" s="5">
        <v>0.0</v>
      </c>
      <c r="O391" s="5">
        <v>0.0</v>
      </c>
      <c r="P391" s="5">
        <v>0.0</v>
      </c>
      <c r="Q391" s="5">
        <v>0.0</v>
      </c>
      <c r="R391" s="5">
        <v>0.0</v>
      </c>
      <c r="S391" s="5">
        <v>0.0</v>
      </c>
      <c r="T391" s="5">
        <v>0.0</v>
      </c>
      <c r="U391" s="5">
        <v>0.0</v>
      </c>
    </row>
    <row r="392" outlineLevel="1">
      <c r="B392" s="0" t="inlineStr">
        <is>
          <t xml:space="preserve">VIABLE POWER CONVERSION TECHNOLOGIES INC</t>
        </is>
      </c>
      <c r="C392" s="0" t="inlineStr">
        <is>
          <t xml:space="preserve">Y3LKL3D6FNK9</t>
        </is>
      </c>
      <c r="D392" s="0" t="inlineStr">
        <is>
          <t xml:space="preserve">Foreign</t>
        </is>
      </c>
      <c r="E392" s="0" t="inlineStr">
        <is>
          <t xml:space="preserve">-</t>
        </is>
      </c>
      <c r="F392" s="0" t="inlineStr">
        <is>
          <t xml:space="preserve">-</t>
        </is>
      </c>
      <c r="G392" s="5">
        <v>0.7812286399999999</v>
      </c>
      <c r="H392" s="0" t="inlineStr">
        <is>
          <t xml:space="preserve">foreign_fms</t>
        </is>
      </c>
      <c r="I392" s="0" t="inlineStr">
        <is>
          <t xml:space="preserve">-</t>
        </is>
      </c>
      <c r="J392" s="0" t="inlineStr">
        <is>
          <t xml:space="preserve">foreign flag</t>
        </is>
      </c>
      <c r="K392" s="5">
        <v>0</v>
      </c>
      <c r="L392" s="5">
        <v>0</v>
      </c>
      <c r="M392" s="5">
        <v>0.7812286399999999</v>
      </c>
      <c r="N392" s="5">
        <v>0.0</v>
      </c>
      <c r="O392" s="5">
        <v>0.0</v>
      </c>
      <c r="P392" s="5">
        <v>0.0</v>
      </c>
      <c r="Q392" s="5">
        <v>0.59661864</v>
      </c>
      <c r="R392" s="5">
        <v>0.0</v>
      </c>
      <c r="S392" s="5">
        <v>0.18461</v>
      </c>
      <c r="T392" s="5">
        <v>0.0</v>
      </c>
      <c r="U392" s="5">
        <v>0.0</v>
      </c>
    </row>
    <row r="393" outlineLevel="1">
      <c r="B393" s="0" t="inlineStr">
        <is>
          <t xml:space="preserve">ABRASIVE FINISHING INDUSTRIES LLC</t>
        </is>
      </c>
      <c r="C393" s="0" t="inlineStr">
        <is>
          <t xml:space="preserve">VERVZNQLJQM6</t>
        </is>
      </c>
      <c r="D393" s="0" t="inlineStr">
        <is>
          <t xml:space="preserve">-</t>
        </is>
      </c>
      <c r="E393" s="0" t="inlineStr">
        <is>
          <t xml:space="preserve">-</t>
        </is>
      </c>
      <c r="F393" s="0" t="inlineStr">
        <is>
          <t xml:space="preserve">-</t>
        </is>
      </c>
      <c r="G393" s="5">
        <v>0.78003</v>
      </c>
      <c r="H393" s="0" t="inlineStr">
        <is>
          <t xml:space="preserve">supplier</t>
        </is>
      </c>
      <c r="I393" s="0" t="inlineStr">
        <is>
          <t xml:space="preserve">unbucketed</t>
        </is>
      </c>
      <c r="J393" s="0" t="inlineStr">
        <is>
          <t xml:space="preserve">residual</t>
        </is>
      </c>
      <c r="K393" s="5">
        <v>0</v>
      </c>
      <c r="L393" s="5">
        <v>0</v>
      </c>
      <c r="M393" s="5">
        <v>0.78003</v>
      </c>
      <c r="N393" s="5">
        <v>0.0</v>
      </c>
      <c r="O393" s="5">
        <v>0.28356000000000003</v>
      </c>
      <c r="P393" s="5">
        <v>0.40887</v>
      </c>
      <c r="Q393" s="5">
        <v>0.0876</v>
      </c>
      <c r="R393" s="5">
        <v>0.0</v>
      </c>
      <c r="S393" s="5">
        <v>0.0</v>
      </c>
      <c r="T393" s="5">
        <v>0.0</v>
      </c>
      <c r="U393" s="5">
        <v>0.0</v>
      </c>
    </row>
    <row r="394" outlineLevel="1">
      <c r="B394" s="0" t="inlineStr">
        <is>
          <t xml:space="preserve">US JOINER HOLDING COMPANY</t>
        </is>
      </c>
      <c r="C394" s="0" t="inlineStr">
        <is>
          <t xml:space="preserve">MUD4KL77FK98</t>
        </is>
      </c>
      <c r="D394" s="0" t="inlineStr">
        <is>
          <t xml:space="preserve">-</t>
        </is>
      </c>
      <c r="E394" s="0" t="inlineStr">
        <is>
          <t xml:space="preserve">-</t>
        </is>
      </c>
      <c r="F394" s="0" t="inlineStr">
        <is>
          <t xml:space="preserve">-</t>
        </is>
      </c>
      <c r="G394" s="5">
        <v>0.7785930000000001</v>
      </c>
      <c r="H394" s="0" t="inlineStr">
        <is>
          <t xml:space="preserve">supplier</t>
        </is>
      </c>
      <c r="I394" s="0" t="inlineStr">
        <is>
          <t xml:space="preserve">unbucketed</t>
        </is>
      </c>
      <c r="J394" s="0" t="inlineStr">
        <is>
          <t xml:space="preserve">residual</t>
        </is>
      </c>
      <c r="K394" s="5">
        <v>0</v>
      </c>
      <c r="L394" s="5">
        <v>0</v>
      </c>
      <c r="M394" s="5">
        <v>0.7785930000000001</v>
      </c>
      <c r="N394" s="5">
        <v>0.0</v>
      </c>
      <c r="O394" s="5">
        <v>0.0</v>
      </c>
      <c r="P394" s="5">
        <v>0.0</v>
      </c>
      <c r="Q394" s="5">
        <v>0.0</v>
      </c>
      <c r="R394" s="5">
        <v>0.0</v>
      </c>
      <c r="S394" s="5">
        <v>0.0</v>
      </c>
      <c r="T394" s="5">
        <v>0.0</v>
      </c>
      <c r="U394" s="5">
        <v>0.0</v>
      </c>
    </row>
    <row r="395" outlineLevel="1">
      <c r="B395" s="0" t="inlineStr">
        <is>
          <t xml:space="preserve">NORTH AMERICAN CONTROLS INC</t>
        </is>
      </c>
      <c r="C395" s="0" t="inlineStr">
        <is>
          <t xml:space="preserve">G8VYMKM2VG59</t>
        </is>
      </c>
      <c r="D395" s="0" t="inlineStr">
        <is>
          <t xml:space="preserve">-</t>
        </is>
      </c>
      <c r="E395" s="0" t="inlineStr">
        <is>
          <t xml:space="preserve">-</t>
        </is>
      </c>
      <c r="F395" s="0" t="inlineStr">
        <is>
          <t xml:space="preserve">-</t>
        </is>
      </c>
      <c r="G395" s="5">
        <v>0.77426</v>
      </c>
      <c r="H395" s="0" t="inlineStr">
        <is>
          <t xml:space="preserve">supplier</t>
        </is>
      </c>
      <c r="I395" s="0" t="inlineStr">
        <is>
          <t xml:space="preserve">unbucketed</t>
        </is>
      </c>
      <c r="J395" s="0" t="inlineStr">
        <is>
          <t xml:space="preserve">residual</t>
        </is>
      </c>
      <c r="K395" s="5">
        <v>0</v>
      </c>
      <c r="L395" s="5">
        <v>0</v>
      </c>
      <c r="M395" s="5">
        <v>0.77426</v>
      </c>
      <c r="N395" s="5">
        <v>0.0</v>
      </c>
      <c r="O395" s="5">
        <v>0.0</v>
      </c>
      <c r="P395" s="5">
        <v>0.0</v>
      </c>
      <c r="Q395" s="5">
        <v>0.0</v>
      </c>
      <c r="R395" s="5">
        <v>0.0</v>
      </c>
      <c r="S395" s="5">
        <v>0.77426</v>
      </c>
      <c r="T395" s="5">
        <v>0.0</v>
      </c>
      <c r="U395" s="5">
        <v>0.0</v>
      </c>
    </row>
    <row r="396" outlineLevel="1">
      <c r="B396" s="0" t="inlineStr">
        <is>
          <t xml:space="preserve">PIMA VALVE, LLC</t>
        </is>
      </c>
      <c r="C396" s="0" t="inlineStr">
        <is>
          <t xml:space="preserve">H12BMH6V6495</t>
        </is>
      </c>
      <c r="D396" s="0" t="inlineStr">
        <is>
          <t xml:space="preserve">-</t>
        </is>
      </c>
      <c r="E396" s="0" t="inlineStr">
        <is>
          <t xml:space="preserve">-</t>
        </is>
      </c>
      <c r="F396" s="0" t="inlineStr">
        <is>
          <t xml:space="preserve">-</t>
        </is>
      </c>
      <c r="G396" s="5">
        <v>0.76816608</v>
      </c>
      <c r="H396" s="0" t="inlineStr">
        <is>
          <t xml:space="preserve">supplier</t>
        </is>
      </c>
      <c r="I396" s="0" t="inlineStr">
        <is>
          <t xml:space="preserve">unbucketed</t>
        </is>
      </c>
      <c r="J396" s="0" t="inlineStr">
        <is>
          <t xml:space="preserve">residual</t>
        </is>
      </c>
      <c r="K396" s="5">
        <v>0</v>
      </c>
      <c r="L396" s="5">
        <v>0</v>
      </c>
      <c r="M396" s="5">
        <v>0.76816608</v>
      </c>
      <c r="N396" s="5">
        <v>0.0</v>
      </c>
      <c r="O396" s="5">
        <v>0.0</v>
      </c>
      <c r="P396" s="5">
        <v>0.0</v>
      </c>
      <c r="Q396" s="5">
        <v>0.0</v>
      </c>
      <c r="R396" s="5">
        <v>0.0</v>
      </c>
      <c r="S396" s="5">
        <v>0.0</v>
      </c>
      <c r="T396" s="5">
        <v>0.0</v>
      </c>
      <c r="U396" s="5">
        <v>0.0</v>
      </c>
    </row>
    <row r="397" outlineLevel="1">
      <c r="B397" s="0" t="inlineStr">
        <is>
          <t xml:space="preserve">ADMIRAL VALVE LLC</t>
        </is>
      </c>
      <c r="C397" s="0" t="inlineStr">
        <is>
          <t xml:space="preserve">P33VWHC39MN5</t>
        </is>
      </c>
      <c r="D397" s="0" t="inlineStr">
        <is>
          <t xml:space="preserve">-</t>
        </is>
      </c>
      <c r="E397" s="0" t="inlineStr">
        <is>
          <t xml:space="preserve">-</t>
        </is>
      </c>
      <c r="F397" s="0" t="inlineStr">
        <is>
          <t xml:space="preserve">-</t>
        </is>
      </c>
      <c r="G397" s="5">
        <v>0.7549485499999999</v>
      </c>
      <c r="H397" s="0" t="inlineStr">
        <is>
          <t xml:space="preserve">supplier</t>
        </is>
      </c>
      <c r="I397" s="0" t="inlineStr">
        <is>
          <t xml:space="preserve">unbucketed</t>
        </is>
      </c>
      <c r="J397" s="0" t="inlineStr">
        <is>
          <t xml:space="preserve">residual</t>
        </is>
      </c>
      <c r="K397" s="5">
        <v>0</v>
      </c>
      <c r="L397" s="5">
        <v>0</v>
      </c>
      <c r="M397" s="5">
        <v>0.7549485499999999</v>
      </c>
      <c r="N397" s="5">
        <v>0.0</v>
      </c>
      <c r="O397" s="5">
        <v>0.0</v>
      </c>
      <c r="P397" s="5">
        <v>0.0</v>
      </c>
      <c r="Q397" s="5">
        <v>0.0</v>
      </c>
      <c r="R397" s="5">
        <v>0.0</v>
      </c>
      <c r="S397" s="5">
        <v>0.06794861</v>
      </c>
      <c r="T397" s="5">
        <v>0.68699994</v>
      </c>
      <c r="U397" s="5">
        <v>0.0</v>
      </c>
    </row>
    <row r="398" outlineLevel="1">
      <c r="B398" s="0" t="inlineStr">
        <is>
          <t xml:space="preserve">MOHAWK NORTHEAST INC</t>
        </is>
      </c>
      <c r="C398" s="0" t="inlineStr">
        <is>
          <t xml:space="preserve">CE4UBZFNCKU9</t>
        </is>
      </c>
      <c r="D398" s="0" t="inlineStr">
        <is>
          <t xml:space="preserve">-</t>
        </is>
      </c>
      <c r="E398" s="0" t="inlineStr">
        <is>
          <t xml:space="preserve">-</t>
        </is>
      </c>
      <c r="F398" s="0" t="inlineStr">
        <is>
          <t xml:space="preserve">-</t>
        </is>
      </c>
      <c r="G398" s="5">
        <v>0.753389</v>
      </c>
      <c r="H398" s="0" t="inlineStr">
        <is>
          <t xml:space="preserve">supplier</t>
        </is>
      </c>
      <c r="I398" s="0" t="inlineStr">
        <is>
          <t xml:space="preserve">unbucketed</t>
        </is>
      </c>
      <c r="J398" s="0" t="inlineStr">
        <is>
          <t xml:space="preserve">residual</t>
        </is>
      </c>
      <c r="K398" s="5">
        <v>0</v>
      </c>
      <c r="L398" s="5">
        <v>0</v>
      </c>
      <c r="M398" s="5">
        <v>0.753389</v>
      </c>
      <c r="N398" s="5">
        <v>0.0</v>
      </c>
      <c r="O398" s="5">
        <v>0.717224</v>
      </c>
      <c r="P398" s="5">
        <v>0.036165</v>
      </c>
      <c r="Q398" s="5">
        <v>0.0</v>
      </c>
      <c r="R398" s="5">
        <v>0.0</v>
      </c>
      <c r="S398" s="5">
        <v>0.0</v>
      </c>
      <c r="T398" s="5">
        <v>0.0</v>
      </c>
      <c r="U398" s="5">
        <v>0.0</v>
      </c>
    </row>
    <row r="399" outlineLevel="1">
      <c r="B399" s="0" t="inlineStr">
        <is>
          <t xml:space="preserve">WILLIAMS INDUSTRIAL SERVICES GROUP INC.</t>
        </is>
      </c>
      <c r="C399" s="0" t="inlineStr">
        <is>
          <t xml:space="preserve">DDQCLD6FEJJ6</t>
        </is>
      </c>
      <c r="D399" s="0" t="inlineStr">
        <is>
          <t xml:space="preserve">-</t>
        </is>
      </c>
      <c r="E399" s="0" t="inlineStr">
        <is>
          <t xml:space="preserve">-</t>
        </is>
      </c>
      <c r="F399" s="0" t="inlineStr">
        <is>
          <t xml:space="preserve">-</t>
        </is>
      </c>
      <c r="G399" s="5">
        <v>0.7337920400000002</v>
      </c>
      <c r="H399" s="0" t="inlineStr">
        <is>
          <t xml:space="preserve">supplier</t>
        </is>
      </c>
      <c r="I399" s="0" t="inlineStr">
        <is>
          <t xml:space="preserve">unbucketed</t>
        </is>
      </c>
      <c r="J399" s="0" t="inlineStr">
        <is>
          <t xml:space="preserve">residual</t>
        </is>
      </c>
      <c r="K399" s="5">
        <v>0</v>
      </c>
      <c r="L399" s="5">
        <v>0</v>
      </c>
      <c r="M399" s="5">
        <v>0.7337920400000002</v>
      </c>
      <c r="N399" s="5">
        <v>0.07033400000000001</v>
      </c>
      <c r="O399" s="5">
        <v>0.0</v>
      </c>
      <c r="P399" s="5">
        <v>0.0</v>
      </c>
      <c r="Q399" s="5">
        <v>0.0</v>
      </c>
      <c r="R399" s="5">
        <v>0.0</v>
      </c>
      <c r="S399" s="5">
        <v>0.0</v>
      </c>
      <c r="T399" s="5">
        <v>0.0</v>
      </c>
      <c r="U399" s="5">
        <v>0.0</v>
      </c>
    </row>
    <row r="400" outlineLevel="1">
      <c r="B400" s="0" t="inlineStr">
        <is>
          <t xml:space="preserve">B.W. ELLIOTT MANUFACTURING CO., LLC</t>
        </is>
      </c>
      <c r="C400" s="0" t="inlineStr">
        <is>
          <t xml:space="preserve">L5YANW2XSND4</t>
        </is>
      </c>
      <c r="D400" s="0" t="inlineStr">
        <is>
          <t xml:space="preserve">-</t>
        </is>
      </c>
      <c r="E400" s="0" t="inlineStr">
        <is>
          <t xml:space="preserve">-</t>
        </is>
      </c>
      <c r="F400" s="0" t="inlineStr">
        <is>
          <t xml:space="preserve">-</t>
        </is>
      </c>
      <c r="G400" s="5">
        <v>0.7234996400000001</v>
      </c>
      <c r="H400" s="0" t="inlineStr">
        <is>
          <t xml:space="preserve">supplier</t>
        </is>
      </c>
      <c r="I400" s="0" t="inlineStr">
        <is>
          <t xml:space="preserve">unbucketed</t>
        </is>
      </c>
      <c r="J400" s="0" t="inlineStr">
        <is>
          <t xml:space="preserve">residual</t>
        </is>
      </c>
      <c r="K400" s="5">
        <v>0</v>
      </c>
      <c r="L400" s="5">
        <v>0</v>
      </c>
      <c r="M400" s="5">
        <v>0.7234996400000001</v>
      </c>
      <c r="N400" s="5">
        <v>0.10509</v>
      </c>
      <c r="O400" s="5">
        <v>0.033816</v>
      </c>
      <c r="P400" s="5">
        <v>0.148962</v>
      </c>
      <c r="Q400" s="5">
        <v>0.28745164</v>
      </c>
      <c r="R400" s="5">
        <v>0.09235</v>
      </c>
      <c r="S400" s="5">
        <v>0.0</v>
      </c>
      <c r="T400" s="5">
        <v>0.05583</v>
      </c>
      <c r="U400" s="5">
        <v>0.0</v>
      </c>
    </row>
    <row r="401" outlineLevel="1">
      <c r="B401" s="0" t="inlineStr">
        <is>
          <t xml:space="preserve">MELLINGER ENGINEERING GROUP LLC</t>
        </is>
      </c>
      <c r="C401" s="0" t="inlineStr">
        <is>
          <t xml:space="preserve">XH9ADBLZRMF1</t>
        </is>
      </c>
      <c r="D401" s="0" t="inlineStr">
        <is>
          <t xml:space="preserve">-</t>
        </is>
      </c>
      <c r="E401" s="0" t="inlineStr">
        <is>
          <t xml:space="preserve">-</t>
        </is>
      </c>
      <c r="F401" s="0" t="inlineStr">
        <is>
          <t xml:space="preserve">-</t>
        </is>
      </c>
      <c r="G401" s="5">
        <v>0.72054</v>
      </c>
      <c r="H401" s="0" t="inlineStr">
        <is>
          <t xml:space="preserve">supplier</t>
        </is>
      </c>
      <c r="I401" s="0" t="inlineStr">
        <is>
          <t xml:space="preserve">unbucketed</t>
        </is>
      </c>
      <c r="J401" s="0" t="inlineStr">
        <is>
          <t xml:space="preserve">residual</t>
        </is>
      </c>
      <c r="K401" s="5">
        <v>0</v>
      </c>
      <c r="L401" s="5">
        <v>0</v>
      </c>
      <c r="M401" s="5">
        <v>0.72054</v>
      </c>
      <c r="N401" s="5">
        <v>0.0</v>
      </c>
      <c r="O401" s="5">
        <v>0.0</v>
      </c>
      <c r="P401" s="5">
        <v>0.0</v>
      </c>
      <c r="Q401" s="5">
        <v>0.0</v>
      </c>
      <c r="R401" s="5">
        <v>0.0</v>
      </c>
      <c r="S401" s="5">
        <v>0.0</v>
      </c>
      <c r="T401" s="5">
        <v>0.0</v>
      </c>
      <c r="U401" s="5">
        <v>0.0</v>
      </c>
    </row>
    <row r="402" outlineLevel="1">
      <c r="B402" s="0" t="inlineStr">
        <is>
          <t xml:space="preserve">RBC BEARINGS INCORPORATED</t>
        </is>
      </c>
      <c r="C402" s="0" t="inlineStr">
        <is>
          <t xml:space="preserve">JH2CJYVWBME6</t>
        </is>
      </c>
      <c r="D402" s="0" t="inlineStr">
        <is>
          <t xml:space="preserve">-</t>
        </is>
      </c>
      <c r="E402" s="0" t="inlineStr">
        <is>
          <t xml:space="preserve">-</t>
        </is>
      </c>
      <c r="F402" s="0" t="inlineStr">
        <is>
          <t xml:space="preserve">-</t>
        </is>
      </c>
      <c r="G402" s="5">
        <v>0.7203280000000001</v>
      </c>
      <c r="H402" s="0" t="inlineStr">
        <is>
          <t xml:space="preserve">supplier</t>
        </is>
      </c>
      <c r="I402" s="0" t="inlineStr">
        <is>
          <t xml:space="preserve">unbucketed</t>
        </is>
      </c>
      <c r="J402" s="0" t="inlineStr">
        <is>
          <t xml:space="preserve">residual</t>
        </is>
      </c>
      <c r="K402" s="5">
        <v>0</v>
      </c>
      <c r="L402" s="5">
        <v>0</v>
      </c>
      <c r="M402" s="5">
        <v>0.7203280000000001</v>
      </c>
      <c r="N402" s="5">
        <v>0.0</v>
      </c>
      <c r="O402" s="5">
        <v>0.0</v>
      </c>
      <c r="P402" s="5">
        <v>0.0</v>
      </c>
      <c r="Q402" s="5">
        <v>0.0</v>
      </c>
      <c r="R402" s="5">
        <v>0.0</v>
      </c>
      <c r="S402" s="5">
        <v>0.0</v>
      </c>
      <c r="T402" s="5">
        <v>0.0</v>
      </c>
      <c r="U402" s="5">
        <v>0.0</v>
      </c>
    </row>
    <row r="403" outlineLevel="1">
      <c r="B403" s="0" t="inlineStr">
        <is>
          <t xml:space="preserve">ON ASSIGNMENT, INC.</t>
        </is>
      </c>
      <c r="C403" s="0" t="inlineStr">
        <is>
          <t xml:space="preserve">JEDSVNSMLTN4</t>
        </is>
      </c>
      <c r="D403" s="0" t="inlineStr">
        <is>
          <t xml:space="preserve">-</t>
        </is>
      </c>
      <c r="E403" s="0" t="inlineStr">
        <is>
          <t xml:space="preserve">-</t>
        </is>
      </c>
      <c r="F403" s="0" t="inlineStr">
        <is>
          <t xml:space="preserve">-</t>
        </is>
      </c>
      <c r="G403" s="5">
        <v>0.7176</v>
      </c>
      <c r="H403" s="0" t="inlineStr">
        <is>
          <t xml:space="preserve">supplier</t>
        </is>
      </c>
      <c r="I403" s="0" t="inlineStr">
        <is>
          <t xml:space="preserve">unbucketed</t>
        </is>
      </c>
      <c r="J403" s="0" t="inlineStr">
        <is>
          <t xml:space="preserve">residual</t>
        </is>
      </c>
      <c r="K403" s="5">
        <v>0</v>
      </c>
      <c r="L403" s="5">
        <v>0</v>
      </c>
      <c r="M403" s="5">
        <v>0.7176</v>
      </c>
      <c r="N403" s="5">
        <v>0.0</v>
      </c>
      <c r="O403" s="5">
        <v>0.0</v>
      </c>
      <c r="P403" s="5">
        <v>0.0</v>
      </c>
      <c r="Q403" s="5">
        <v>0.0</v>
      </c>
      <c r="R403" s="5">
        <v>0.0</v>
      </c>
      <c r="S403" s="5">
        <v>0.0</v>
      </c>
      <c r="T403" s="5">
        <v>0.0</v>
      </c>
      <c r="U403" s="5">
        <v>0.0</v>
      </c>
    </row>
    <row r="404" outlineLevel="1">
      <c r="B404" s="0" t="inlineStr">
        <is>
          <t xml:space="preserve">SCHNEIDER ELECTRIC HOLDING ASIE PACIFIQUE</t>
        </is>
      </c>
      <c r="C404" s="0" t="inlineStr">
        <is>
          <t xml:space="preserve">MDH6KH9D4SG7</t>
        </is>
      </c>
      <c r="D404" s="0" t="inlineStr">
        <is>
          <t xml:space="preserve">-</t>
        </is>
      </c>
      <c r="E404" s="0" t="inlineStr">
        <is>
          <t xml:space="preserve">-</t>
        </is>
      </c>
      <c r="F404" s="0" t="inlineStr">
        <is>
          <t xml:space="preserve">-</t>
        </is>
      </c>
      <c r="G404" s="5">
        <v>0.714964</v>
      </c>
      <c r="H404" s="0" t="inlineStr">
        <is>
          <t xml:space="preserve">supplier</t>
        </is>
      </c>
      <c r="I404" s="0" t="inlineStr">
        <is>
          <t xml:space="preserve">unbucketed</t>
        </is>
      </c>
      <c r="J404" s="0" t="inlineStr">
        <is>
          <t xml:space="preserve">residual</t>
        </is>
      </c>
      <c r="K404" s="5">
        <v>0</v>
      </c>
      <c r="L404" s="5">
        <v>0</v>
      </c>
      <c r="M404" s="5">
        <v>0.714964</v>
      </c>
      <c r="N404" s="5">
        <v>0.0</v>
      </c>
      <c r="O404" s="5">
        <v>0.0</v>
      </c>
      <c r="P404" s="5">
        <v>0.0</v>
      </c>
      <c r="Q404" s="5">
        <v>0.714964</v>
      </c>
      <c r="R404" s="5">
        <v>0.0</v>
      </c>
      <c r="S404" s="5">
        <v>0.0</v>
      </c>
      <c r="T404" s="5">
        <v>0.0</v>
      </c>
      <c r="U404" s="5">
        <v>0.0</v>
      </c>
    </row>
    <row r="405" outlineLevel="1">
      <c r="B405" s="0" t="inlineStr">
        <is>
          <t xml:space="preserve">WARD LEONARD HOLDINGS LLC</t>
        </is>
      </c>
      <c r="C405" s="0" t="inlineStr">
        <is>
          <t xml:space="preserve">MKXMUFJJYLY5</t>
        </is>
      </c>
      <c r="D405" s="0" t="inlineStr">
        <is>
          <t xml:space="preserve">USA</t>
        </is>
      </c>
      <c r="E405" s="0" t="inlineStr">
        <is>
          <t xml:space="preserve">3353</t>
        </is>
      </c>
      <c r="F405" s="0" t="inlineStr">
        <is>
          <t xml:space="preserve">Motor and Generator Manufacturing</t>
        </is>
      </c>
      <c r="G405" s="5">
        <v>0.714906</v>
      </c>
      <c r="H405" s="0" t="inlineStr">
        <is>
          <t xml:space="preserve">supplier</t>
        </is>
      </c>
      <c r="I405" s="0" t="inlineStr">
        <is>
          <t xml:space="preserve">electrical</t>
        </is>
      </c>
      <c r="J405" s="0" t="inlineStr">
        <is>
          <t xml:space="preserve">registry</t>
        </is>
      </c>
      <c r="K405" s="5">
        <v>0</v>
      </c>
      <c r="L405" s="5">
        <v>0</v>
      </c>
      <c r="M405" s="5">
        <v>0.714906</v>
      </c>
      <c r="N405" s="5">
        <v>0.0</v>
      </c>
      <c r="O405" s="5">
        <v>0.0</v>
      </c>
      <c r="P405" s="5">
        <v>0.0</v>
      </c>
      <c r="Q405" s="5">
        <v>0.0</v>
      </c>
      <c r="R405" s="5">
        <v>0.0</v>
      </c>
      <c r="S405" s="5">
        <v>0.0</v>
      </c>
      <c r="T405" s="5">
        <v>0.0</v>
      </c>
      <c r="U405" s="5">
        <v>0.0</v>
      </c>
    </row>
    <row r="406" outlineLevel="1">
      <c r="B406" s="0" t="inlineStr">
        <is>
          <t xml:space="preserve">MERRILL TECHNOLOGIES GROUP, INC.</t>
        </is>
      </c>
      <c r="C406" s="0" t="inlineStr">
        <is>
          <t xml:space="preserve">ZA7HPV7XXUE3</t>
        </is>
      </c>
      <c r="D406" s="0" t="inlineStr">
        <is>
          <t xml:space="preserve">-</t>
        </is>
      </c>
      <c r="E406" s="0" t="inlineStr">
        <is>
          <t xml:space="preserve">-</t>
        </is>
      </c>
      <c r="F406" s="0" t="inlineStr">
        <is>
          <t xml:space="preserve">-</t>
        </is>
      </c>
      <c r="G406" s="5">
        <v>0.7108621500000001</v>
      </c>
      <c r="H406" s="0" t="inlineStr">
        <is>
          <t xml:space="preserve">supplier</t>
        </is>
      </c>
      <c r="I406" s="0" t="inlineStr">
        <is>
          <t xml:space="preserve">unbucketed</t>
        </is>
      </c>
      <c r="J406" s="0" t="inlineStr">
        <is>
          <t xml:space="preserve">residual</t>
        </is>
      </c>
      <c r="K406" s="5">
        <v>0</v>
      </c>
      <c r="L406" s="5">
        <v>0</v>
      </c>
      <c r="M406" s="5">
        <v>0.7108621500000001</v>
      </c>
      <c r="N406" s="5">
        <v>0.0</v>
      </c>
      <c r="O406" s="5">
        <v>0.0</v>
      </c>
      <c r="P406" s="5">
        <v>0.0</v>
      </c>
      <c r="Q406" s="5">
        <v>0.0</v>
      </c>
      <c r="R406" s="5">
        <v>0.332954</v>
      </c>
      <c r="S406" s="5">
        <v>0.0</v>
      </c>
      <c r="T406" s="5">
        <v>0.0</v>
      </c>
      <c r="U406" s="5">
        <v>0.0</v>
      </c>
    </row>
    <row r="407" outlineLevel="1">
      <c r="B407" s="0" t="inlineStr">
        <is>
          <t xml:space="preserve">LEONARDO SPA</t>
        </is>
      </c>
      <c r="C407" s="0" t="inlineStr">
        <is>
          <t xml:space="preserve">T2VFE1NGR3G5</t>
        </is>
      </c>
      <c r="D407" s="0" t="inlineStr">
        <is>
          <t xml:space="preserve">ITA</t>
        </is>
      </c>
      <c r="E407" s="0" t="inlineStr">
        <is>
          <t xml:space="preserve">3364</t>
        </is>
      </c>
      <c r="F407" s="0" t="inlineStr">
        <is>
          <t xml:space="preserve">Aircraft Manufacturing</t>
        </is>
      </c>
      <c r="G407" s="5">
        <v>0.7056158099999998</v>
      </c>
      <c r="H407" s="0" t="inlineStr">
        <is>
          <t xml:space="preserve">mission_systems</t>
        </is>
      </c>
      <c r="I407" s="0" t="inlineStr">
        <is>
          <t xml:space="preserve">-</t>
        </is>
      </c>
      <c r="J407" s="0" t="inlineStr">
        <is>
          <t xml:space="preserve">registry</t>
        </is>
      </c>
      <c r="K407" s="5">
        <v>0</v>
      </c>
      <c r="L407" s="5">
        <v>1</v>
      </c>
      <c r="M407" s="5">
        <v>0.7056158099999998</v>
      </c>
      <c r="N407" s="5">
        <v>0.0</v>
      </c>
      <c r="O407" s="5">
        <v>0.0</v>
      </c>
      <c r="P407" s="5">
        <v>0.0</v>
      </c>
      <c r="Q407" s="5">
        <v>0.0</v>
      </c>
      <c r="R407" s="5">
        <v>0.0</v>
      </c>
      <c r="S407" s="5">
        <v>0.4176354</v>
      </c>
      <c r="T407" s="5">
        <v>0.5901964000000001</v>
      </c>
      <c r="U407" s="5">
        <v>0.0</v>
      </c>
    </row>
    <row r="408" outlineLevel="1">
      <c r="B408" s="0" t="inlineStr">
        <is>
          <t xml:space="preserve">TTM TECHNOLOGIES, INC.</t>
        </is>
      </c>
      <c r="C408" s="0" t="inlineStr">
        <is>
          <t xml:space="preserve">J632BG3ZB8L9</t>
        </is>
      </c>
      <c r="D408" s="0" t="inlineStr">
        <is>
          <t xml:space="preserve">-</t>
        </is>
      </c>
      <c r="E408" s="0" t="inlineStr">
        <is>
          <t xml:space="preserve">-</t>
        </is>
      </c>
      <c r="F408" s="0" t="inlineStr">
        <is>
          <t xml:space="preserve">-</t>
        </is>
      </c>
      <c r="G408" s="5">
        <v>0.70406704</v>
      </c>
      <c r="H408" s="0" t="inlineStr">
        <is>
          <t xml:space="preserve">supplier</t>
        </is>
      </c>
      <c r="I408" s="0" t="inlineStr">
        <is>
          <t xml:space="preserve">unbucketed</t>
        </is>
      </c>
      <c r="J408" s="0" t="inlineStr">
        <is>
          <t xml:space="preserve">residual</t>
        </is>
      </c>
      <c r="K408" s="5">
        <v>0</v>
      </c>
      <c r="L408" s="5">
        <v>0</v>
      </c>
      <c r="M408" s="5">
        <v>0.70406704</v>
      </c>
      <c r="N408" s="5">
        <v>0.0</v>
      </c>
      <c r="O408" s="5">
        <v>0.376512</v>
      </c>
      <c r="P408" s="5">
        <v>0.24552</v>
      </c>
      <c r="Q408" s="5">
        <v>0.0</v>
      </c>
      <c r="R408" s="5">
        <v>0.0</v>
      </c>
      <c r="S408" s="5">
        <v>0.08203503999999999</v>
      </c>
      <c r="T408" s="5">
        <v>0.0</v>
      </c>
      <c r="U408" s="5">
        <v>0.0</v>
      </c>
    </row>
    <row r="409" outlineLevel="1">
      <c r="B409" s="0" t="inlineStr">
        <is>
          <t xml:space="preserve">UNITED RENTALS (NORTH AMERICA), INC.</t>
        </is>
      </c>
      <c r="C409" s="0" t="inlineStr">
        <is>
          <t xml:space="preserve">EKY1E33VMH27</t>
        </is>
      </c>
      <c r="D409" s="0" t="inlineStr">
        <is>
          <t xml:space="preserve">-</t>
        </is>
      </c>
      <c r="E409" s="0" t="inlineStr">
        <is>
          <t xml:space="preserve">-</t>
        </is>
      </c>
      <c r="F409" s="0" t="inlineStr">
        <is>
          <t xml:space="preserve">-</t>
        </is>
      </c>
      <c r="G409" s="5">
        <v>0.70232412</v>
      </c>
      <c r="H409" s="0" t="inlineStr">
        <is>
          <t xml:space="preserve">supplier</t>
        </is>
      </c>
      <c r="I409" s="0" t="inlineStr">
        <is>
          <t xml:space="preserve">unbucketed</t>
        </is>
      </c>
      <c r="J409" s="0" t="inlineStr">
        <is>
          <t xml:space="preserve">residual</t>
        </is>
      </c>
      <c r="K409" s="5">
        <v>0</v>
      </c>
      <c r="L409" s="5">
        <v>0</v>
      </c>
      <c r="M409" s="5">
        <v>0.70232412</v>
      </c>
      <c r="N409" s="5">
        <v>0.0</v>
      </c>
      <c r="O409" s="5">
        <v>0.0912679</v>
      </c>
      <c r="P409" s="5">
        <v>0.0</v>
      </c>
      <c r="Q409" s="5">
        <v>0.24226022</v>
      </c>
      <c r="R409" s="5">
        <v>0.0</v>
      </c>
      <c r="S409" s="5">
        <v>0.368796</v>
      </c>
      <c r="T409" s="5">
        <v>0.0</v>
      </c>
      <c r="U409" s="5">
        <v>0.0</v>
      </c>
    </row>
    <row r="410" outlineLevel="1">
      <c r="B410" s="0" t="inlineStr">
        <is>
          <t xml:space="preserve">AMETEK INC.</t>
        </is>
      </c>
      <c r="C410" s="0" t="inlineStr">
        <is>
          <t xml:space="preserve">PWK4GDMMEAQ8</t>
        </is>
      </c>
      <c r="D410" s="0" t="inlineStr">
        <is>
          <t xml:space="preserve">-</t>
        </is>
      </c>
      <c r="E410" s="0" t="inlineStr">
        <is>
          <t xml:space="preserve">-</t>
        </is>
      </c>
      <c r="F410" s="0" t="inlineStr">
        <is>
          <t xml:space="preserve">-</t>
        </is>
      </c>
      <c r="G410" s="5">
        <v>0.6983412999999999</v>
      </c>
      <c r="H410" s="0" t="inlineStr">
        <is>
          <t xml:space="preserve">supplier</t>
        </is>
      </c>
      <c r="I410" s="0" t="inlineStr">
        <is>
          <t xml:space="preserve">unbucketed</t>
        </is>
      </c>
      <c r="J410" s="0" t="inlineStr">
        <is>
          <t xml:space="preserve">residual</t>
        </is>
      </c>
      <c r="K410" s="5">
        <v>0</v>
      </c>
      <c r="L410" s="5">
        <v>0</v>
      </c>
      <c r="M410" s="5">
        <v>0.6983412999999999</v>
      </c>
      <c r="N410" s="5">
        <v>0.2090993</v>
      </c>
      <c r="O410" s="5">
        <v>0.0</v>
      </c>
      <c r="P410" s="5">
        <v>0.0</v>
      </c>
      <c r="Q410" s="5">
        <v>0.0</v>
      </c>
      <c r="R410" s="5">
        <v>0.330952</v>
      </c>
      <c r="S410" s="5">
        <v>0.0</v>
      </c>
      <c r="T410" s="5">
        <v>0.0</v>
      </c>
      <c r="U410" s="5">
        <v>0.0</v>
      </c>
    </row>
    <row r="411" outlineLevel="1">
      <c r="B411" s="0" t="inlineStr">
        <is>
          <t xml:space="preserve">FLUIDYNE CORP</t>
        </is>
      </c>
      <c r="C411" s="0" t="inlineStr">
        <is>
          <t xml:space="preserve">RG3VUTDYFNF8</t>
        </is>
      </c>
      <c r="D411" s="0" t="inlineStr">
        <is>
          <t xml:space="preserve">-</t>
        </is>
      </c>
      <c r="E411" s="0" t="inlineStr">
        <is>
          <t xml:space="preserve">-</t>
        </is>
      </c>
      <c r="F411" s="0" t="inlineStr">
        <is>
          <t xml:space="preserve">-</t>
        </is>
      </c>
      <c r="G411" s="5">
        <v>0.6966780000000001</v>
      </c>
      <c r="H411" s="0" t="inlineStr">
        <is>
          <t xml:space="preserve">supplier</t>
        </is>
      </c>
      <c r="I411" s="0" t="inlineStr">
        <is>
          <t xml:space="preserve">unbucketed</t>
        </is>
      </c>
      <c r="J411" s="0" t="inlineStr">
        <is>
          <t xml:space="preserve">residual</t>
        </is>
      </c>
      <c r="K411" s="5">
        <v>0</v>
      </c>
      <c r="L411" s="5">
        <v>0</v>
      </c>
      <c r="M411" s="5">
        <v>0.6966780000000001</v>
      </c>
      <c r="N411" s="5">
        <v>0.0</v>
      </c>
      <c r="O411" s="5">
        <v>0.0</v>
      </c>
      <c r="P411" s="5">
        <v>0.0</v>
      </c>
      <c r="Q411" s="5">
        <v>0.0</v>
      </c>
      <c r="R411" s="5">
        <v>0.0</v>
      </c>
      <c r="S411" s="5">
        <v>0.0</v>
      </c>
      <c r="T411" s="5">
        <v>0.0</v>
      </c>
      <c r="U411" s="5">
        <v>0.0</v>
      </c>
    </row>
    <row r="412" outlineLevel="1">
      <c r="B412" s="0" t="inlineStr">
        <is>
          <t xml:space="preserve">L.C.DOANE COMPANY,THE</t>
        </is>
      </c>
      <c r="C412" s="0" t="inlineStr">
        <is>
          <t xml:space="preserve">XFM4VGW1NBE4</t>
        </is>
      </c>
      <c r="D412" s="0" t="inlineStr">
        <is>
          <t xml:space="preserve">-</t>
        </is>
      </c>
      <c r="E412" s="0" t="inlineStr">
        <is>
          <t xml:space="preserve">-</t>
        </is>
      </c>
      <c r="F412" s="0" t="inlineStr">
        <is>
          <t xml:space="preserve">-</t>
        </is>
      </c>
      <c r="G412" s="5">
        <v>0.69632321</v>
      </c>
      <c r="H412" s="0" t="inlineStr">
        <is>
          <t xml:space="preserve">supplier</t>
        </is>
      </c>
      <c r="I412" s="0" t="inlineStr">
        <is>
          <t xml:space="preserve">unbucketed</t>
        </is>
      </c>
      <c r="J412" s="0" t="inlineStr">
        <is>
          <t xml:space="preserve">residual</t>
        </is>
      </c>
      <c r="K412" s="5">
        <v>0</v>
      </c>
      <c r="L412" s="5">
        <v>0</v>
      </c>
      <c r="M412" s="5">
        <v>0.69632321</v>
      </c>
      <c r="N412" s="5">
        <v>0.051948</v>
      </c>
      <c r="O412" s="5">
        <v>0.0</v>
      </c>
      <c r="P412" s="5">
        <v>0.0</v>
      </c>
      <c r="Q412" s="5">
        <v>0.0</v>
      </c>
      <c r="R412" s="5">
        <v>0.09584847</v>
      </c>
      <c r="S412" s="5">
        <v>0.2084264</v>
      </c>
      <c r="T412" s="5">
        <v>0.26749091999999997</v>
      </c>
      <c r="U412" s="5">
        <v>0.0</v>
      </c>
    </row>
    <row r="413" outlineLevel="1">
      <c r="B413" s="0" t="inlineStr">
        <is>
          <t xml:space="preserve">COLONNA'S SHIP YARD INCORPORATED</t>
        </is>
      </c>
      <c r="C413" s="0" t="inlineStr">
        <is>
          <t xml:space="preserve">JSAXGRLNEJ63</t>
        </is>
      </c>
      <c r="D413" s="0" t="inlineStr">
        <is>
          <t xml:space="preserve">USA</t>
        </is>
      </c>
      <c r="E413" s="0" t="inlineStr">
        <is>
          <t xml:space="preserve">3366</t>
        </is>
      </c>
      <c r="F413" s="0" t="inlineStr">
        <is>
          <t xml:space="preserve">Ship Building and Repairing</t>
        </is>
      </c>
      <c r="G413" s="5">
        <v>0.692866</v>
      </c>
      <c r="H413" s="0" t="inlineStr">
        <is>
          <t xml:space="preserve">supplier</t>
        </is>
      </c>
      <c r="I413" s="0" t="inlineStr">
        <is>
          <t xml:space="preserve">structural</t>
        </is>
      </c>
      <c r="J413" s="0" t="inlineStr">
        <is>
          <t xml:space="preserve">naics4</t>
        </is>
      </c>
      <c r="K413" s="5">
        <v>0</v>
      </c>
      <c r="L413" s="5">
        <v>0</v>
      </c>
      <c r="M413" s="5">
        <v>0.692866</v>
      </c>
      <c r="N413" s="5">
        <v>0.0</v>
      </c>
      <c r="O413" s="5">
        <v>0.692866</v>
      </c>
      <c r="P413" s="5">
        <v>0.0</v>
      </c>
      <c r="Q413" s="5">
        <v>0.0</v>
      </c>
      <c r="R413" s="5">
        <v>0.0</v>
      </c>
      <c r="S413" s="5">
        <v>0.0</v>
      </c>
      <c r="T413" s="5">
        <v>0.0</v>
      </c>
      <c r="U413" s="5">
        <v>0.0</v>
      </c>
    </row>
    <row r="414" outlineLevel="1">
      <c r="B414" s="0" t="inlineStr">
        <is>
          <t xml:space="preserve">ALCO INVESTMENT COMPANY</t>
        </is>
      </c>
      <c r="C414" s="0" t="inlineStr">
        <is>
          <t xml:space="preserve">M35SG6PKLJB3</t>
        </is>
      </c>
      <c r="D414" s="0" t="inlineStr">
        <is>
          <t xml:space="preserve">-</t>
        </is>
      </c>
      <c r="E414" s="0" t="inlineStr">
        <is>
          <t xml:space="preserve">-</t>
        </is>
      </c>
      <c r="F414" s="0" t="inlineStr">
        <is>
          <t xml:space="preserve">-</t>
        </is>
      </c>
      <c r="G414" s="5">
        <v>0.6865340000000001</v>
      </c>
      <c r="H414" s="0" t="inlineStr">
        <is>
          <t xml:space="preserve">supplier</t>
        </is>
      </c>
      <c r="I414" s="0" t="inlineStr">
        <is>
          <t xml:space="preserve">unbucketed</t>
        </is>
      </c>
      <c r="J414" s="0" t="inlineStr">
        <is>
          <t xml:space="preserve">residual</t>
        </is>
      </c>
      <c r="K414" s="5">
        <v>0</v>
      </c>
      <c r="L414" s="5">
        <v>0</v>
      </c>
      <c r="M414" s="5">
        <v>0.6865340000000001</v>
      </c>
      <c r="N414" s="5">
        <v>0.0</v>
      </c>
      <c r="O414" s="5">
        <v>0.0</v>
      </c>
      <c r="P414" s="5">
        <v>0.0</v>
      </c>
      <c r="Q414" s="5">
        <v>0.0</v>
      </c>
      <c r="R414" s="5">
        <v>0.0</v>
      </c>
      <c r="S414" s="5">
        <v>0.0</v>
      </c>
      <c r="T414" s="5">
        <v>0.0</v>
      </c>
      <c r="U414" s="5">
        <v>0.0</v>
      </c>
    </row>
    <row r="415" outlineLevel="1">
      <c r="B415" s="0" t="inlineStr">
        <is>
          <t xml:space="preserve">L3HARRIS MARITIME SERVICES INC</t>
        </is>
      </c>
      <c r="C415" s="0" t="inlineStr">
        <is>
          <t xml:space="preserve">QV38GMJUBJQ3</t>
        </is>
      </c>
      <c r="D415" s="0" t="inlineStr">
        <is>
          <t xml:space="preserve">-</t>
        </is>
      </c>
      <c r="E415" s="0" t="inlineStr">
        <is>
          <t xml:space="preserve">-</t>
        </is>
      </c>
      <c r="F415" s="0" t="inlineStr">
        <is>
          <t xml:space="preserve">-</t>
        </is>
      </c>
      <c r="G415" s="5">
        <v>0.6785017600000001</v>
      </c>
      <c r="H415" s="0" t="inlineStr">
        <is>
          <t xml:space="preserve">supplier</t>
        </is>
      </c>
      <c r="I415" s="0" t="inlineStr">
        <is>
          <t xml:space="preserve">unbucketed</t>
        </is>
      </c>
      <c r="J415" s="0" t="inlineStr">
        <is>
          <t xml:space="preserve">vendor-override</t>
        </is>
      </c>
      <c r="K415" s="5">
        <v>0</v>
      </c>
      <c r="L415" s="5">
        <v>0</v>
      </c>
      <c r="M415" s="5">
        <v>0.6785017600000001</v>
      </c>
      <c r="N415" s="5">
        <v>0.0</v>
      </c>
      <c r="O415" s="5">
        <v>0.58157376</v>
      </c>
      <c r="P415" s="5">
        <v>0.096928</v>
      </c>
      <c r="Q415" s="5">
        <v>0.0</v>
      </c>
      <c r="R415" s="5">
        <v>0.0</v>
      </c>
      <c r="S415" s="5">
        <v>0.0</v>
      </c>
      <c r="T415" s="5">
        <v>0.0</v>
      </c>
      <c r="U415" s="5">
        <v>0.0</v>
      </c>
    </row>
    <row r="416" outlineLevel="1">
      <c r="B416" s="0" t="inlineStr">
        <is>
          <t xml:space="preserve">HEXAGON AB</t>
        </is>
      </c>
      <c r="C416" s="0" t="inlineStr">
        <is>
          <t xml:space="preserve">EK4EVQQNEFC6</t>
        </is>
      </c>
      <c r="D416" s="0" t="inlineStr">
        <is>
          <t xml:space="preserve">-</t>
        </is>
      </c>
      <c r="E416" s="0" t="inlineStr">
        <is>
          <t xml:space="preserve">-</t>
        </is>
      </c>
      <c r="F416" s="0" t="inlineStr">
        <is>
          <t xml:space="preserve">-</t>
        </is>
      </c>
      <c r="G416" s="5">
        <v>0.6723</v>
      </c>
      <c r="H416" s="0" t="inlineStr">
        <is>
          <t xml:space="preserve">supplier</t>
        </is>
      </c>
      <c r="I416" s="0" t="inlineStr">
        <is>
          <t xml:space="preserve">unbucketed</t>
        </is>
      </c>
      <c r="J416" s="0" t="inlineStr">
        <is>
          <t xml:space="preserve">residual</t>
        </is>
      </c>
      <c r="K416" s="5">
        <v>0</v>
      </c>
      <c r="L416" s="5">
        <v>0</v>
      </c>
      <c r="M416" s="5">
        <v>0.6723</v>
      </c>
      <c r="N416" s="5">
        <v>0.0</v>
      </c>
      <c r="O416" s="5">
        <v>0.0</v>
      </c>
      <c r="P416" s="5">
        <v>0.0</v>
      </c>
      <c r="Q416" s="5">
        <v>0.0</v>
      </c>
      <c r="R416" s="5">
        <v>0.0</v>
      </c>
      <c r="S416" s="5">
        <v>0.0</v>
      </c>
      <c r="T416" s="5">
        <v>0.0</v>
      </c>
      <c r="U416" s="5">
        <v>0.0</v>
      </c>
    </row>
    <row r="417" outlineLevel="1">
      <c r="B417" s="0" t="inlineStr">
        <is>
          <t xml:space="preserve">CRANE PUMPS &amp; SYSTEMS PFT CORP</t>
        </is>
      </c>
      <c r="C417" s="0" t="inlineStr">
        <is>
          <t xml:space="preserve">ZJYJB7MBFE56</t>
        </is>
      </c>
      <c r="D417" s="0" t="inlineStr">
        <is>
          <t xml:space="preserve">-</t>
        </is>
      </c>
      <c r="E417" s="0" t="inlineStr">
        <is>
          <t xml:space="preserve">-</t>
        </is>
      </c>
      <c r="F417" s="0" t="inlineStr">
        <is>
          <t xml:space="preserve">-</t>
        </is>
      </c>
      <c r="G417" s="5">
        <v>0.66672</v>
      </c>
      <c r="H417" s="0" t="inlineStr">
        <is>
          <t xml:space="preserve">supplier</t>
        </is>
      </c>
      <c r="I417" s="0" t="inlineStr">
        <is>
          <t xml:space="preserve">unbucketed</t>
        </is>
      </c>
      <c r="J417" s="0" t="inlineStr">
        <is>
          <t xml:space="preserve">residual</t>
        </is>
      </c>
      <c r="K417" s="5">
        <v>0</v>
      </c>
      <c r="L417" s="5">
        <v>0</v>
      </c>
      <c r="M417" s="5">
        <v>0.66672</v>
      </c>
      <c r="N417" s="5">
        <v>0.0</v>
      </c>
      <c r="O417" s="5">
        <v>0.467</v>
      </c>
      <c r="P417" s="5">
        <v>0.19972</v>
      </c>
      <c r="Q417" s="5">
        <v>0.0</v>
      </c>
      <c r="R417" s="5">
        <v>0.0</v>
      </c>
      <c r="S417" s="5">
        <v>0.0</v>
      </c>
      <c r="T417" s="5">
        <v>0.0</v>
      </c>
      <c r="U417" s="5">
        <v>0.0</v>
      </c>
    </row>
    <row r="418" outlineLevel="1">
      <c r="B418" s="0" t="inlineStr">
        <is>
          <t xml:space="preserve">RACER MACHINERY INTERNATIONAL INC.</t>
        </is>
      </c>
      <c r="C418" s="0" t="inlineStr">
        <is>
          <t xml:space="preserve">DSBBDM96K6H6</t>
        </is>
      </c>
      <c r="D418" s="0" t="inlineStr">
        <is>
          <t xml:space="preserve">Foreign</t>
        </is>
      </c>
      <c r="E418" s="0" t="inlineStr">
        <is>
          <t xml:space="preserve">-</t>
        </is>
      </c>
      <c r="F418" s="0" t="inlineStr">
        <is>
          <t xml:space="preserve">-</t>
        </is>
      </c>
      <c r="G418" s="5">
        <v>0.6561898599999999</v>
      </c>
      <c r="H418" s="0" t="inlineStr">
        <is>
          <t xml:space="preserve">foreign_fms</t>
        </is>
      </c>
      <c r="I418" s="0" t="inlineStr">
        <is>
          <t xml:space="preserve">-</t>
        </is>
      </c>
      <c r="J418" s="0" t="inlineStr">
        <is>
          <t xml:space="preserve">foreign flag</t>
        </is>
      </c>
      <c r="K418" s="5">
        <v>0</v>
      </c>
      <c r="L418" s="5">
        <v>0</v>
      </c>
      <c r="M418" s="5">
        <v>0.6561898599999999</v>
      </c>
      <c r="N418" s="5">
        <v>0.429552</v>
      </c>
      <c r="O418" s="5">
        <v>9.966e-05</v>
      </c>
      <c r="P418" s="5">
        <v>0.22653820000000002</v>
      </c>
      <c r="Q418" s="5">
        <v>0.0</v>
      </c>
      <c r="R418" s="5">
        <v>0.0</v>
      </c>
      <c r="S418" s="5">
        <v>0.0</v>
      </c>
      <c r="T418" s="5">
        <v>0.0</v>
      </c>
      <c r="U418" s="5">
        <v>0.0</v>
      </c>
    </row>
    <row r="419" outlineLevel="1">
      <c r="B419" s="0" t="inlineStr">
        <is>
          <t xml:space="preserve">W.R. DAVIS ENGINEERING LIMITED</t>
        </is>
      </c>
      <c r="C419" s="0" t="inlineStr">
        <is>
          <t xml:space="preserve">S1LJCH88WHT5</t>
        </is>
      </c>
      <c r="D419" s="0" t="inlineStr">
        <is>
          <t xml:space="preserve">Foreign</t>
        </is>
      </c>
      <c r="E419" s="0" t="inlineStr">
        <is>
          <t xml:space="preserve">-</t>
        </is>
      </c>
      <c r="F419" s="0" t="inlineStr">
        <is>
          <t xml:space="preserve">-</t>
        </is>
      </c>
      <c r="G419" s="5">
        <v>0.654</v>
      </c>
      <c r="H419" s="0" t="inlineStr">
        <is>
          <t xml:space="preserve">foreign_fms</t>
        </is>
      </c>
      <c r="I419" s="0" t="inlineStr">
        <is>
          <t xml:space="preserve">-</t>
        </is>
      </c>
      <c r="J419" s="0" t="inlineStr">
        <is>
          <t xml:space="preserve">foreign flag</t>
        </is>
      </c>
      <c r="K419" s="5">
        <v>0</v>
      </c>
      <c r="L419" s="5">
        <v>0</v>
      </c>
      <c r="M419" s="5">
        <v>0.654</v>
      </c>
      <c r="N419" s="5">
        <v>0.218</v>
      </c>
      <c r="O419" s="5">
        <v>0.0</v>
      </c>
      <c r="P419" s="5">
        <v>0.0</v>
      </c>
      <c r="Q419" s="5">
        <v>0.436</v>
      </c>
      <c r="R419" s="5">
        <v>0.0</v>
      </c>
      <c r="S419" s="5">
        <v>0.0</v>
      </c>
      <c r="T419" s="5">
        <v>0.0</v>
      </c>
      <c r="U419" s="5">
        <v>0.0</v>
      </c>
    </row>
    <row r="420" outlineLevel="1">
      <c r="B420" s="0" t="inlineStr">
        <is>
          <t xml:space="preserve">PLASTIC DISTRIBUTORS &amp; FABRICATORS, INC.</t>
        </is>
      </c>
      <c r="C420" s="0" t="inlineStr">
        <is>
          <t xml:space="preserve">SK3YCN3CHJD7</t>
        </is>
      </c>
      <c r="D420" s="0" t="inlineStr">
        <is>
          <t xml:space="preserve">-</t>
        </is>
      </c>
      <c r="E420" s="0" t="inlineStr">
        <is>
          <t xml:space="preserve">-</t>
        </is>
      </c>
      <c r="F420" s="0" t="inlineStr">
        <is>
          <t xml:space="preserve">-</t>
        </is>
      </c>
      <c r="G420" s="5">
        <v>0.6517365199999998</v>
      </c>
      <c r="H420" s="0" t="inlineStr">
        <is>
          <t xml:space="preserve">supplier</t>
        </is>
      </c>
      <c r="I420" s="0" t="inlineStr">
        <is>
          <t xml:space="preserve">unbucketed</t>
        </is>
      </c>
      <c r="J420" s="0" t="inlineStr">
        <is>
          <t xml:space="preserve">residual</t>
        </is>
      </c>
      <c r="K420" s="5">
        <v>0</v>
      </c>
      <c r="L420" s="5">
        <v>0</v>
      </c>
      <c r="M420" s="5">
        <v>0.6517365199999998</v>
      </c>
      <c r="N420" s="5">
        <v>0.15754</v>
      </c>
      <c r="O420" s="5">
        <v>0.0</v>
      </c>
      <c r="P420" s="5">
        <v>0.0</v>
      </c>
      <c r="Q420" s="5">
        <v>0.0</v>
      </c>
      <c r="R420" s="5">
        <v>0.0</v>
      </c>
      <c r="S420" s="5">
        <v>0.0</v>
      </c>
      <c r="T420" s="5">
        <v>0.0</v>
      </c>
      <c r="U420" s="5">
        <v>0.0</v>
      </c>
    </row>
    <row r="421" outlineLevel="1">
      <c r="B421" s="0" t="inlineStr">
        <is>
          <t xml:space="preserve">ELECTRONIC COMPONENTS INC.</t>
        </is>
      </c>
      <c r="C421" s="0" t="inlineStr">
        <is>
          <t xml:space="preserve">JFSETNYJ81Y4</t>
        </is>
      </c>
      <c r="D421" s="0" t="inlineStr">
        <is>
          <t xml:space="preserve">-</t>
        </is>
      </c>
      <c r="E421" s="0" t="inlineStr">
        <is>
          <t xml:space="preserve">-</t>
        </is>
      </c>
      <c r="F421" s="0" t="inlineStr">
        <is>
          <t xml:space="preserve">-</t>
        </is>
      </c>
      <c r="G421" s="5">
        <v>0.64461208</v>
      </c>
      <c r="H421" s="0" t="inlineStr">
        <is>
          <t xml:space="preserve">supplier</t>
        </is>
      </c>
      <c r="I421" s="0" t="inlineStr">
        <is>
          <t xml:space="preserve">unbucketed</t>
        </is>
      </c>
      <c r="J421" s="0" t="inlineStr">
        <is>
          <t xml:space="preserve">residual</t>
        </is>
      </c>
      <c r="K421" s="5">
        <v>0</v>
      </c>
      <c r="L421" s="5">
        <v>0</v>
      </c>
      <c r="M421" s="5">
        <v>0.64461208</v>
      </c>
      <c r="N421" s="5">
        <v>0.0</v>
      </c>
      <c r="O421" s="5">
        <v>0.256</v>
      </c>
      <c r="P421" s="5">
        <v>0.19264</v>
      </c>
      <c r="Q421" s="5">
        <v>0.0</v>
      </c>
      <c r="R421" s="5">
        <v>0.0</v>
      </c>
      <c r="S421" s="5">
        <v>0.0</v>
      </c>
      <c r="T421" s="5">
        <v>0.0</v>
      </c>
      <c r="U421" s="5">
        <v>0.0</v>
      </c>
    </row>
    <row r="422" outlineLevel="1">
      <c r="B422" s="0" t="inlineStr">
        <is>
          <t xml:space="preserve">U.S. PIONEER, L.L.C.</t>
        </is>
      </c>
      <c r="C422" s="0" t="inlineStr">
        <is>
          <t xml:space="preserve">QEP4TKLKQDV3</t>
        </is>
      </c>
      <c r="D422" s="0" t="inlineStr">
        <is>
          <t xml:space="preserve">-</t>
        </is>
      </c>
      <c r="E422" s="0" t="inlineStr">
        <is>
          <t xml:space="preserve">-</t>
        </is>
      </c>
      <c r="F422" s="0" t="inlineStr">
        <is>
          <t xml:space="preserve">-</t>
        </is>
      </c>
      <c r="G422" s="5">
        <v>0.634362</v>
      </c>
      <c r="H422" s="0" t="inlineStr">
        <is>
          <t xml:space="preserve">supplier</t>
        </is>
      </c>
      <c r="I422" s="0" t="inlineStr">
        <is>
          <t xml:space="preserve">unbucketed</t>
        </is>
      </c>
      <c r="J422" s="0" t="inlineStr">
        <is>
          <t xml:space="preserve">residual</t>
        </is>
      </c>
      <c r="K422" s="5">
        <v>0</v>
      </c>
      <c r="L422" s="5">
        <v>0</v>
      </c>
      <c r="M422" s="5">
        <v>0.634362</v>
      </c>
      <c r="N422" s="5">
        <v>0.0</v>
      </c>
      <c r="O422" s="5">
        <v>0.441456</v>
      </c>
      <c r="P422" s="5">
        <v>0.0</v>
      </c>
      <c r="Q422" s="5">
        <v>0.0</v>
      </c>
      <c r="R422" s="5">
        <v>0.071598</v>
      </c>
      <c r="S422" s="5">
        <v>0.08105400000000001</v>
      </c>
      <c r="T422" s="5">
        <v>0.0</v>
      </c>
      <c r="U422" s="5">
        <v>0.0</v>
      </c>
    </row>
    <row r="423" outlineLevel="1">
      <c r="B423" s="0" t="inlineStr">
        <is>
          <t xml:space="preserve">CRYSTAL INSTRUMENTS CORPORATION</t>
        </is>
      </c>
      <c r="C423" s="0" t="inlineStr">
        <is>
          <t xml:space="preserve">H4K1A9NVAB68</t>
        </is>
      </c>
      <c r="D423" s="0" t="inlineStr">
        <is>
          <t xml:space="preserve">-</t>
        </is>
      </c>
      <c r="E423" s="0" t="inlineStr">
        <is>
          <t xml:space="preserve">-</t>
        </is>
      </c>
      <c r="F423" s="0" t="inlineStr">
        <is>
          <t xml:space="preserve">-</t>
        </is>
      </c>
      <c r="G423" s="5">
        <v>0.63292492</v>
      </c>
      <c r="H423" s="0" t="inlineStr">
        <is>
          <t xml:space="preserve">supplier</t>
        </is>
      </c>
      <c r="I423" s="0" t="inlineStr">
        <is>
          <t xml:space="preserve">unbucketed</t>
        </is>
      </c>
      <c r="J423" s="0" t="inlineStr">
        <is>
          <t xml:space="preserve">residual</t>
        </is>
      </c>
      <c r="K423" s="5">
        <v>0</v>
      </c>
      <c r="L423" s="5">
        <v>0</v>
      </c>
      <c r="M423" s="5">
        <v>0.63292492</v>
      </c>
      <c r="N423" s="5">
        <v>0.0</v>
      </c>
      <c r="O423" s="5">
        <v>0.266872</v>
      </c>
      <c r="P423" s="5">
        <v>0.0</v>
      </c>
      <c r="Q423" s="5">
        <v>0.0</v>
      </c>
      <c r="R423" s="5">
        <v>0.0</v>
      </c>
      <c r="S423" s="5">
        <v>0.0</v>
      </c>
      <c r="T423" s="5">
        <v>0.0</v>
      </c>
      <c r="U423" s="5">
        <v>0.0</v>
      </c>
    </row>
    <row r="424" outlineLevel="1">
      <c r="B424" s="0" t="inlineStr">
        <is>
          <t xml:space="preserve">HYDAC TECHNOLOGY CORP</t>
        </is>
      </c>
      <c r="C424" s="0" t="inlineStr">
        <is>
          <t xml:space="preserve">R7JLC1Y2PLJ1</t>
        </is>
      </c>
      <c r="D424" s="0" t="inlineStr">
        <is>
          <t xml:space="preserve">-</t>
        </is>
      </c>
      <c r="E424" s="0" t="inlineStr">
        <is>
          <t xml:space="preserve">-</t>
        </is>
      </c>
      <c r="F424" s="0" t="inlineStr">
        <is>
          <t xml:space="preserve">-</t>
        </is>
      </c>
      <c r="G424" s="5">
        <v>0.62742692</v>
      </c>
      <c r="H424" s="0" t="inlineStr">
        <is>
          <t xml:space="preserve">supplier</t>
        </is>
      </c>
      <c r="I424" s="0" t="inlineStr">
        <is>
          <t xml:space="preserve">unbucketed</t>
        </is>
      </c>
      <c r="J424" s="0" t="inlineStr">
        <is>
          <t xml:space="preserve">residual</t>
        </is>
      </c>
      <c r="K424" s="5">
        <v>0</v>
      </c>
      <c r="L424" s="5">
        <v>0</v>
      </c>
      <c r="M424" s="5">
        <v>0.62742692</v>
      </c>
      <c r="N424" s="5">
        <v>0.0</v>
      </c>
      <c r="O424" s="5">
        <v>0.0</v>
      </c>
      <c r="P424" s="5">
        <v>0.0</v>
      </c>
      <c r="Q424" s="5">
        <v>0.0</v>
      </c>
      <c r="R424" s="5">
        <v>0.62742692</v>
      </c>
      <c r="S424" s="5">
        <v>0.0</v>
      </c>
      <c r="T424" s="5">
        <v>0.0</v>
      </c>
      <c r="U424" s="5">
        <v>0.0</v>
      </c>
    </row>
    <row r="425" outlineLevel="1">
      <c r="B425" s="0" t="inlineStr">
        <is>
          <t xml:space="preserve">LENAPE FORGED PRODUCTS CORP.</t>
        </is>
      </c>
      <c r="C425" s="0" t="inlineStr">
        <is>
          <t xml:space="preserve">GR2CKSBB4MB5</t>
        </is>
      </c>
      <c r="D425" s="0" t="inlineStr">
        <is>
          <t xml:space="preserve">USA</t>
        </is>
      </c>
      <c r="E425" s="0" t="inlineStr">
        <is>
          <t xml:space="preserve">3321</t>
        </is>
      </c>
      <c r="F425" s="0" t="inlineStr">
        <is>
          <t xml:space="preserve">Nonferrous Forging</t>
        </is>
      </c>
      <c r="G425" s="5">
        <v>0.6263799999999999</v>
      </c>
      <c r="H425" s="0" t="inlineStr">
        <is>
          <t xml:space="preserve">supplier</t>
        </is>
      </c>
      <c r="I425" s="0" t="inlineStr">
        <is>
          <t xml:space="preserve">castings</t>
        </is>
      </c>
      <c r="J425" s="0" t="inlineStr">
        <is>
          <t xml:space="preserve">naics4</t>
        </is>
      </c>
      <c r="K425" s="5">
        <v>0</v>
      </c>
      <c r="L425" s="5">
        <v>0</v>
      </c>
      <c r="M425" s="5">
        <v>0.6263799999999999</v>
      </c>
      <c r="N425" s="5">
        <v>0.0</v>
      </c>
      <c r="O425" s="5">
        <v>0.0</v>
      </c>
      <c r="P425" s="5">
        <v>0.0</v>
      </c>
      <c r="Q425" s="5">
        <v>0.0</v>
      </c>
      <c r="R425" s="5">
        <v>0.351132</v>
      </c>
      <c r="S425" s="5">
        <v>0.0</v>
      </c>
      <c r="T425" s="5">
        <v>0.0</v>
      </c>
      <c r="U425" s="5">
        <v>0.0</v>
      </c>
    </row>
    <row r="426" outlineLevel="1">
      <c r="B426" s="0" t="inlineStr">
        <is>
          <t xml:space="preserve">KKR &amp; CO INC</t>
        </is>
      </c>
      <c r="C426" s="0" t="inlineStr">
        <is>
          <t xml:space="preserve">KYURG7LRSC89</t>
        </is>
      </c>
      <c r="D426" s="0" t="inlineStr">
        <is>
          <t xml:space="preserve">-</t>
        </is>
      </c>
      <c r="E426" s="0" t="inlineStr">
        <is>
          <t xml:space="preserve">-</t>
        </is>
      </c>
      <c r="F426" s="0" t="inlineStr">
        <is>
          <t xml:space="preserve">-</t>
        </is>
      </c>
      <c r="G426" s="5">
        <v>0.62160648</v>
      </c>
      <c r="H426" s="0" t="inlineStr">
        <is>
          <t xml:space="preserve">supplier</t>
        </is>
      </c>
      <c r="I426" s="0" t="inlineStr">
        <is>
          <t xml:space="preserve">piping</t>
        </is>
      </c>
      <c r="J426" s="0" t="inlineStr">
        <is>
          <t xml:space="preserve">registry</t>
        </is>
      </c>
      <c r="K426" s="5">
        <v>0</v>
      </c>
      <c r="L426" s="5">
        <v>0</v>
      </c>
      <c r="M426" s="5">
        <v>0.62160648</v>
      </c>
      <c r="N426" s="5">
        <v>0.0</v>
      </c>
      <c r="O426" s="5">
        <v>0.0</v>
      </c>
      <c r="P426" s="5">
        <v>0.0</v>
      </c>
      <c r="Q426" s="5">
        <v>0.62160648</v>
      </c>
      <c r="R426" s="5">
        <v>0.0</v>
      </c>
      <c r="S426" s="5">
        <v>0.0</v>
      </c>
      <c r="T426" s="5">
        <v>0.0</v>
      </c>
      <c r="U426" s="5">
        <v>0.0</v>
      </c>
    </row>
    <row r="427" outlineLevel="1">
      <c r="B427" s="0" t="inlineStr">
        <is>
          <t xml:space="preserve">SENESCO MARINE, LLC</t>
        </is>
      </c>
      <c r="C427" s="0" t="inlineStr">
        <is>
          <t xml:space="preserve">EUB6UJ91Y997</t>
        </is>
      </c>
      <c r="D427" s="0" t="inlineStr">
        <is>
          <t xml:space="preserve">-</t>
        </is>
      </c>
      <c r="E427" s="0" t="inlineStr">
        <is>
          <t xml:space="preserve">-</t>
        </is>
      </c>
      <c r="F427" s="0" t="inlineStr">
        <is>
          <t xml:space="preserve">-</t>
        </is>
      </c>
      <c r="G427" s="5">
        <v>0.61206929</v>
      </c>
      <c r="H427" s="0" t="inlineStr">
        <is>
          <t xml:space="preserve">supplier</t>
        </is>
      </c>
      <c r="I427" s="0" t="inlineStr">
        <is>
          <t xml:space="preserve">unbucketed</t>
        </is>
      </c>
      <c r="J427" s="0" t="inlineStr">
        <is>
          <t xml:space="preserve">residual</t>
        </is>
      </c>
      <c r="K427" s="5">
        <v>0</v>
      </c>
      <c r="L427" s="5">
        <v>0</v>
      </c>
      <c r="M427" s="5">
        <v>0.61206929</v>
      </c>
      <c r="N427" s="5">
        <v>0.0</v>
      </c>
      <c r="O427" s="5">
        <v>0.61206929</v>
      </c>
      <c r="P427" s="5">
        <v>0.0</v>
      </c>
      <c r="Q427" s="5">
        <v>0.0</v>
      </c>
      <c r="R427" s="5">
        <v>0.0</v>
      </c>
      <c r="S427" s="5">
        <v>0.0</v>
      </c>
      <c r="T427" s="5">
        <v>0.0</v>
      </c>
      <c r="U427" s="5">
        <v>0.0</v>
      </c>
    </row>
    <row r="428" outlineLevel="1">
      <c r="B428" s="0" t="inlineStr">
        <is>
          <t xml:space="preserve">C. V. TOOL COMPANY, INC.</t>
        </is>
      </c>
      <c r="C428" s="0" t="inlineStr">
        <is>
          <t xml:space="preserve">TXHLDCPC95J3</t>
        </is>
      </c>
      <c r="D428" s="0" t="inlineStr">
        <is>
          <t xml:space="preserve">-</t>
        </is>
      </c>
      <c r="E428" s="0" t="inlineStr">
        <is>
          <t xml:space="preserve">-</t>
        </is>
      </c>
      <c r="F428" s="0" t="inlineStr">
        <is>
          <t xml:space="preserve">-</t>
        </is>
      </c>
      <c r="G428" s="5">
        <v>0.6047870000000001</v>
      </c>
      <c r="H428" s="0" t="inlineStr">
        <is>
          <t xml:space="preserve">supplier</t>
        </is>
      </c>
      <c r="I428" s="0" t="inlineStr">
        <is>
          <t xml:space="preserve">unbucketed</t>
        </is>
      </c>
      <c r="J428" s="0" t="inlineStr">
        <is>
          <t xml:space="preserve">residual</t>
        </is>
      </c>
      <c r="K428" s="5">
        <v>0</v>
      </c>
      <c r="L428" s="5">
        <v>0</v>
      </c>
      <c r="M428" s="5">
        <v>0.6047870000000001</v>
      </c>
      <c r="N428" s="5">
        <v>0.051831999999999996</v>
      </c>
      <c r="O428" s="5">
        <v>0.0</v>
      </c>
      <c r="P428" s="5">
        <v>0.0</v>
      </c>
      <c r="Q428" s="5">
        <v>0.0</v>
      </c>
      <c r="R428" s="5">
        <v>0.0</v>
      </c>
      <c r="S428" s="5">
        <v>0.0</v>
      </c>
      <c r="T428" s="5">
        <v>0.0</v>
      </c>
      <c r="U428" s="5">
        <v>0.0</v>
      </c>
    </row>
    <row r="429" outlineLevel="1">
      <c r="B429" s="0" t="inlineStr">
        <is>
          <t xml:space="preserve">DUREX INTERNATIONAL CORP.</t>
        </is>
      </c>
      <c r="C429" s="0" t="inlineStr">
        <is>
          <t xml:space="preserve">NFCDTTZM5JL3</t>
        </is>
      </c>
      <c r="D429" s="0" t="inlineStr">
        <is>
          <t xml:space="preserve">-</t>
        </is>
      </c>
      <c r="E429" s="0" t="inlineStr">
        <is>
          <t xml:space="preserve">-</t>
        </is>
      </c>
      <c r="F429" s="0" t="inlineStr">
        <is>
          <t xml:space="preserve">-</t>
        </is>
      </c>
      <c r="G429" s="5">
        <v>0.60470064</v>
      </c>
      <c r="H429" s="0" t="inlineStr">
        <is>
          <t xml:space="preserve">supplier</t>
        </is>
      </c>
      <c r="I429" s="0" t="inlineStr">
        <is>
          <t xml:space="preserve">unbucketed</t>
        </is>
      </c>
      <c r="J429" s="0" t="inlineStr">
        <is>
          <t xml:space="preserve">residual</t>
        </is>
      </c>
      <c r="K429" s="5">
        <v>0</v>
      </c>
      <c r="L429" s="5">
        <v>0</v>
      </c>
      <c r="M429" s="5">
        <v>0.60470064</v>
      </c>
      <c r="N429" s="5">
        <v>0.0</v>
      </c>
      <c r="O429" s="5">
        <v>0.0</v>
      </c>
      <c r="P429" s="5">
        <v>0.0</v>
      </c>
      <c r="Q429" s="5">
        <v>0.0</v>
      </c>
      <c r="R429" s="5">
        <v>0.0</v>
      </c>
      <c r="S429" s="5">
        <v>0.0</v>
      </c>
      <c r="T429" s="5">
        <v>0.0</v>
      </c>
      <c r="U429" s="5">
        <v>0.0</v>
      </c>
    </row>
    <row r="430" outlineLevel="1">
      <c r="B430" s="0" t="inlineStr">
        <is>
          <t xml:space="preserve">THE DYSON CORPORATION</t>
        </is>
      </c>
      <c r="C430" s="0" t="inlineStr">
        <is>
          <t xml:space="preserve">HB74FFGNFK17</t>
        </is>
      </c>
      <c r="D430" s="0" t="inlineStr">
        <is>
          <t xml:space="preserve">-</t>
        </is>
      </c>
      <c r="E430" s="0" t="inlineStr">
        <is>
          <t xml:space="preserve">-</t>
        </is>
      </c>
      <c r="F430" s="0" t="inlineStr">
        <is>
          <t xml:space="preserve">-</t>
        </is>
      </c>
      <c r="G430" s="5">
        <v>0.6011318</v>
      </c>
      <c r="H430" s="0" t="inlineStr">
        <is>
          <t xml:space="preserve">supplier</t>
        </is>
      </c>
      <c r="I430" s="0" t="inlineStr">
        <is>
          <t xml:space="preserve">unbucketed</t>
        </is>
      </c>
      <c r="J430" s="0" t="inlineStr">
        <is>
          <t xml:space="preserve">residual</t>
        </is>
      </c>
      <c r="K430" s="5">
        <v>0</v>
      </c>
      <c r="L430" s="5">
        <v>0</v>
      </c>
      <c r="M430" s="5">
        <v>0.6011318</v>
      </c>
      <c r="N430" s="5">
        <v>0.0</v>
      </c>
      <c r="O430" s="5">
        <v>0.0</v>
      </c>
      <c r="P430" s="5">
        <v>0.0</v>
      </c>
      <c r="Q430" s="5">
        <v>0.1629284</v>
      </c>
      <c r="R430" s="5">
        <v>0.0</v>
      </c>
      <c r="S430" s="5">
        <v>0.0402777</v>
      </c>
      <c r="T430" s="5">
        <v>0.19506990000000002</v>
      </c>
      <c r="U430" s="5">
        <v>0.11808</v>
      </c>
    </row>
    <row r="431" outlineLevel="1">
      <c r="B431" s="0" t="inlineStr">
        <is>
          <t xml:space="preserve">CRAIG TECHNOLOGIES AEROSPACE SOLUTIONS, LLC</t>
        </is>
      </c>
      <c r="C431" s="0" t="inlineStr">
        <is>
          <t xml:space="preserve">UAWKMCFNMNT1</t>
        </is>
      </c>
      <c r="D431" s="0" t="inlineStr">
        <is>
          <t xml:space="preserve">-</t>
        </is>
      </c>
      <c r="E431" s="0" t="inlineStr">
        <is>
          <t xml:space="preserve">-</t>
        </is>
      </c>
      <c r="F431" s="0" t="inlineStr">
        <is>
          <t xml:space="preserve">-</t>
        </is>
      </c>
      <c r="G431" s="5">
        <v>0.59558269</v>
      </c>
      <c r="H431" s="0" t="inlineStr">
        <is>
          <t xml:space="preserve">supplier</t>
        </is>
      </c>
      <c r="I431" s="0" t="inlineStr">
        <is>
          <t xml:space="preserve">unbucketed</t>
        </is>
      </c>
      <c r="J431" s="0" t="inlineStr">
        <is>
          <t xml:space="preserve">residual</t>
        </is>
      </c>
      <c r="K431" s="5">
        <v>0</v>
      </c>
      <c r="L431" s="5">
        <v>0</v>
      </c>
      <c r="M431" s="5">
        <v>0.59558269</v>
      </c>
      <c r="N431" s="5">
        <v>0.0</v>
      </c>
      <c r="O431" s="5">
        <v>0.0</v>
      </c>
      <c r="P431" s="5">
        <v>0.0</v>
      </c>
      <c r="Q431" s="5">
        <v>0.0</v>
      </c>
      <c r="R431" s="5">
        <v>0.0</v>
      </c>
      <c r="S431" s="5">
        <v>0.0</v>
      </c>
      <c r="T431" s="5">
        <v>0.0</v>
      </c>
      <c r="U431" s="5">
        <v>0.0</v>
      </c>
    </row>
    <row r="432" outlineLevel="1">
      <c r="B432" s="0" t="inlineStr">
        <is>
          <t xml:space="preserve">GRAYCLIFF PARTNERS, LP</t>
        </is>
      </c>
      <c r="C432" s="0" t="inlineStr">
        <is>
          <t xml:space="preserve">G319AMB56SW5</t>
        </is>
      </c>
      <c r="D432" s="0" t="inlineStr">
        <is>
          <t xml:space="preserve">USA</t>
        </is>
      </c>
      <c r="E432" s="0" t="inlineStr">
        <is>
          <t xml:space="preserve">3329</t>
        </is>
      </c>
      <c r="F432" s="0" t="inlineStr">
        <is>
          <t xml:space="preserve">All Other Miscellaneous Fabricated Metal Product Manufacturing</t>
        </is>
      </c>
      <c r="G432" s="5">
        <v>0.5927178</v>
      </c>
      <c r="H432" s="0" t="inlineStr">
        <is>
          <t xml:space="preserve">supplier</t>
        </is>
      </c>
      <c r="I432" s="0" t="inlineStr">
        <is>
          <t xml:space="preserve">piping</t>
        </is>
      </c>
      <c r="J432" s="0" t="inlineStr">
        <is>
          <t xml:space="preserve">naics4</t>
        </is>
      </c>
      <c r="K432" s="5">
        <v>0</v>
      </c>
      <c r="L432" s="5">
        <v>0</v>
      </c>
      <c r="M432" s="5">
        <v>0.5927178</v>
      </c>
      <c r="N432" s="5">
        <v>0.0</v>
      </c>
      <c r="O432" s="5">
        <v>0.0</v>
      </c>
      <c r="P432" s="5">
        <v>0.0</v>
      </c>
      <c r="Q432" s="5">
        <v>0.0</v>
      </c>
      <c r="R432" s="5">
        <v>0.0</v>
      </c>
      <c r="S432" s="5">
        <v>0.0</v>
      </c>
      <c r="T432" s="5">
        <v>0.0</v>
      </c>
      <c r="U432" s="5">
        <v>0.0</v>
      </c>
    </row>
    <row r="433" outlineLevel="1">
      <c r="B433" s="0" t="inlineStr">
        <is>
          <t xml:space="preserve">GREENE RUBBER CO INC</t>
        </is>
      </c>
      <c r="C433" s="0" t="inlineStr">
        <is>
          <t xml:space="preserve">VJFKVNQBYVL5</t>
        </is>
      </c>
      <c r="D433" s="0" t="inlineStr">
        <is>
          <t xml:space="preserve">-</t>
        </is>
      </c>
      <c r="E433" s="0" t="inlineStr">
        <is>
          <t xml:space="preserve">-</t>
        </is>
      </c>
      <c r="F433" s="0" t="inlineStr">
        <is>
          <t xml:space="preserve">-</t>
        </is>
      </c>
      <c r="G433" s="5">
        <v>0.5907128799999999</v>
      </c>
      <c r="H433" s="0" t="inlineStr">
        <is>
          <t xml:space="preserve">supplier</t>
        </is>
      </c>
      <c r="I433" s="0" t="inlineStr">
        <is>
          <t xml:space="preserve">unbucketed</t>
        </is>
      </c>
      <c r="J433" s="0" t="inlineStr">
        <is>
          <t xml:space="preserve">residual</t>
        </is>
      </c>
      <c r="K433" s="5">
        <v>0</v>
      </c>
      <c r="L433" s="5">
        <v>0</v>
      </c>
      <c r="M433" s="5">
        <v>0.5907128799999999</v>
      </c>
      <c r="N433" s="5">
        <v>0.0</v>
      </c>
      <c r="O433" s="5">
        <v>0.053591559999999996</v>
      </c>
      <c r="P433" s="5">
        <v>0.0</v>
      </c>
      <c r="Q433" s="5">
        <v>0.05734014</v>
      </c>
      <c r="R433" s="5">
        <v>0.0415625</v>
      </c>
      <c r="S433" s="5">
        <v>0.24412450000000002</v>
      </c>
      <c r="T433" s="5">
        <v>0.04684832</v>
      </c>
      <c r="U433" s="5">
        <v>0.11636478</v>
      </c>
    </row>
    <row r="434" outlineLevel="1">
      <c r="B434" s="0" t="inlineStr">
        <is>
          <t xml:space="preserve">DK MACHINE INC</t>
        </is>
      </c>
      <c r="C434" s="0" t="inlineStr">
        <is>
          <t xml:space="preserve">FR7WWCCNBQZ6</t>
        </is>
      </c>
      <c r="D434" s="0" t="inlineStr">
        <is>
          <t xml:space="preserve">USA</t>
        </is>
      </c>
      <c r="E434" s="0" t="inlineStr">
        <is>
          <t xml:space="preserve">3329</t>
        </is>
      </c>
      <c r="F434" s="0" t="inlineStr">
        <is>
          <t xml:space="preserve">All Other Miscellaneous Fabricated Metal Product Manufacturing</t>
        </is>
      </c>
      <c r="G434" s="5">
        <v>0.5825999999999999</v>
      </c>
      <c r="H434" s="0" t="inlineStr">
        <is>
          <t xml:space="preserve">supplier</t>
        </is>
      </c>
      <c r="I434" s="0" t="inlineStr">
        <is>
          <t xml:space="preserve">piping</t>
        </is>
      </c>
      <c r="J434" s="0" t="inlineStr">
        <is>
          <t xml:space="preserve">naics4</t>
        </is>
      </c>
      <c r="K434" s="5">
        <v>0</v>
      </c>
      <c r="L434" s="5">
        <v>0</v>
      </c>
      <c r="M434" s="5">
        <v>0.5825999999999999</v>
      </c>
      <c r="N434" s="5">
        <v>0.0</v>
      </c>
      <c r="O434" s="5">
        <v>0.0</v>
      </c>
      <c r="P434" s="5">
        <v>0.0</v>
      </c>
      <c r="Q434" s="5">
        <v>0.0</v>
      </c>
      <c r="R434" s="5">
        <v>0.2501</v>
      </c>
      <c r="S434" s="5">
        <v>0.0729</v>
      </c>
      <c r="T434" s="5">
        <v>0.2596</v>
      </c>
      <c r="U434" s="5">
        <v>0.0</v>
      </c>
    </row>
    <row r="435" outlineLevel="1">
      <c r="B435" s="0" t="inlineStr">
        <is>
          <t xml:space="preserve">MASON ELECTRIC CO.</t>
        </is>
      </c>
      <c r="C435" s="0" t="inlineStr">
        <is>
          <t xml:space="preserve">XRN4L5GSHNJ5</t>
        </is>
      </c>
      <c r="D435" s="0" t="inlineStr">
        <is>
          <t xml:space="preserve">-</t>
        </is>
      </c>
      <c r="E435" s="0" t="inlineStr">
        <is>
          <t xml:space="preserve">-</t>
        </is>
      </c>
      <c r="F435" s="0" t="inlineStr">
        <is>
          <t xml:space="preserve">-</t>
        </is>
      </c>
      <c r="G435" s="5">
        <v>0.576888</v>
      </c>
      <c r="H435" s="0" t="inlineStr">
        <is>
          <t xml:space="preserve">supplier</t>
        </is>
      </c>
      <c r="I435" s="0" t="inlineStr">
        <is>
          <t xml:space="preserve">unbucketed</t>
        </is>
      </c>
      <c r="J435" s="0" t="inlineStr">
        <is>
          <t xml:space="preserve">residual</t>
        </is>
      </c>
      <c r="K435" s="5">
        <v>0</v>
      </c>
      <c r="L435" s="5">
        <v>0</v>
      </c>
      <c r="M435" s="5">
        <v>0.576888</v>
      </c>
      <c r="N435" s="5">
        <v>0.0</v>
      </c>
      <c r="O435" s="5">
        <v>0.319048</v>
      </c>
      <c r="P435" s="5">
        <v>0.25784</v>
      </c>
      <c r="Q435" s="5">
        <v>0.0</v>
      </c>
      <c r="R435" s="5">
        <v>0.0</v>
      </c>
      <c r="S435" s="5">
        <v>0.0</v>
      </c>
      <c r="T435" s="5">
        <v>0.0</v>
      </c>
      <c r="U435" s="5">
        <v>0.0</v>
      </c>
    </row>
    <row r="436" outlineLevel="1">
      <c r="B436" s="0" t="inlineStr">
        <is>
          <t xml:space="preserve">ASCO POWER TECHNOLOGIES, L..P.</t>
        </is>
      </c>
      <c r="C436" s="0" t="inlineStr">
        <is>
          <t xml:space="preserve">MDH6KH9D4SG7</t>
        </is>
      </c>
      <c r="D436" s="0" t="inlineStr">
        <is>
          <t xml:space="preserve">-</t>
        </is>
      </c>
      <c r="E436" s="0" t="inlineStr">
        <is>
          <t xml:space="preserve">-</t>
        </is>
      </c>
      <c r="F436" s="0" t="inlineStr">
        <is>
          <t xml:space="preserve">-</t>
        </is>
      </c>
      <c r="G436" s="5">
        <v>0.571521</v>
      </c>
      <c r="H436" s="0" t="inlineStr">
        <is>
          <t xml:space="preserve">supplier</t>
        </is>
      </c>
      <c r="I436" s="0" t="inlineStr">
        <is>
          <t xml:space="preserve">unbucketed</t>
        </is>
      </c>
      <c r="J436" s="0" t="inlineStr">
        <is>
          <t xml:space="preserve">residual</t>
        </is>
      </c>
      <c r="K436" s="5">
        <v>0</v>
      </c>
      <c r="L436" s="5">
        <v>0</v>
      </c>
      <c r="M436" s="5">
        <v>0.571521</v>
      </c>
      <c r="N436" s="5">
        <v>0.0</v>
      </c>
      <c r="O436" s="5">
        <v>0.243135</v>
      </c>
      <c r="P436" s="5">
        <v>0.0</v>
      </c>
      <c r="Q436" s="5">
        <v>0.0</v>
      </c>
      <c r="R436" s="5">
        <v>0.0</v>
      </c>
      <c r="S436" s="5">
        <v>0.220842</v>
      </c>
      <c r="T436" s="5">
        <v>0.107544</v>
      </c>
      <c r="U436" s="5">
        <v>0.0</v>
      </c>
    </row>
    <row r="437" outlineLevel="1">
      <c r="B437" s="0" t="inlineStr">
        <is>
          <t xml:space="preserve">ATRENNE COMPUTING SOLUTIONS, LLC</t>
        </is>
      </c>
      <c r="C437" s="0" t="inlineStr">
        <is>
          <t xml:space="preserve">E6KQEMMCJ9B6</t>
        </is>
      </c>
      <c r="D437" s="0" t="inlineStr">
        <is>
          <t xml:space="preserve">-</t>
        </is>
      </c>
      <c r="E437" s="0" t="inlineStr">
        <is>
          <t xml:space="preserve">-</t>
        </is>
      </c>
      <c r="F437" s="0" t="inlineStr">
        <is>
          <t xml:space="preserve">-</t>
        </is>
      </c>
      <c r="G437" s="5">
        <v>0.561585</v>
      </c>
      <c r="H437" s="0" t="inlineStr">
        <is>
          <t xml:space="preserve">supplier</t>
        </is>
      </c>
      <c r="I437" s="0" t="inlineStr">
        <is>
          <t xml:space="preserve">unbucketed</t>
        </is>
      </c>
      <c r="J437" s="0" t="inlineStr">
        <is>
          <t xml:space="preserve">residual</t>
        </is>
      </c>
      <c r="K437" s="5">
        <v>0</v>
      </c>
      <c r="L437" s="5">
        <v>0</v>
      </c>
      <c r="M437" s="5">
        <v>0.561585</v>
      </c>
      <c r="N437" s="5">
        <v>0.0</v>
      </c>
      <c r="O437" s="5">
        <v>0.0</v>
      </c>
      <c r="P437" s="5">
        <v>0.0</v>
      </c>
      <c r="Q437" s="5">
        <v>0.0</v>
      </c>
      <c r="R437" s="5">
        <v>0.0</v>
      </c>
      <c r="S437" s="5">
        <v>0.561585</v>
      </c>
      <c r="T437" s="5">
        <v>0.0</v>
      </c>
      <c r="U437" s="5">
        <v>0.0</v>
      </c>
    </row>
    <row r="438" outlineLevel="1">
      <c r="B438" s="0" t="inlineStr">
        <is>
          <t xml:space="preserve">SOUTHWIRE COMPANY, LLC</t>
        </is>
      </c>
      <c r="C438" s="0" t="inlineStr">
        <is>
          <t xml:space="preserve">FJAVFFKN2LE3</t>
        </is>
      </c>
      <c r="D438" s="0" t="inlineStr">
        <is>
          <t xml:space="preserve">-</t>
        </is>
      </c>
      <c r="E438" s="0" t="inlineStr">
        <is>
          <t xml:space="preserve">-</t>
        </is>
      </c>
      <c r="F438" s="0" t="inlineStr">
        <is>
          <t xml:space="preserve">-</t>
        </is>
      </c>
      <c r="G438" s="5">
        <v>0.55560293</v>
      </c>
      <c r="H438" s="0" t="inlineStr">
        <is>
          <t xml:space="preserve">supplier</t>
        </is>
      </c>
      <c r="I438" s="0" t="inlineStr">
        <is>
          <t xml:space="preserve">unbucketed</t>
        </is>
      </c>
      <c r="J438" s="0" t="inlineStr">
        <is>
          <t xml:space="preserve">residual</t>
        </is>
      </c>
      <c r="K438" s="5">
        <v>0</v>
      </c>
      <c r="L438" s="5">
        <v>0</v>
      </c>
      <c r="M438" s="5">
        <v>0.55560293</v>
      </c>
      <c r="N438" s="5">
        <v>0.55560293</v>
      </c>
      <c r="O438" s="5">
        <v>0.0</v>
      </c>
      <c r="P438" s="5">
        <v>0.0</v>
      </c>
      <c r="Q438" s="5">
        <v>0.0</v>
      </c>
      <c r="R438" s="5">
        <v>0.0</v>
      </c>
      <c r="S438" s="5">
        <v>0.0</v>
      </c>
      <c r="T438" s="5">
        <v>0.0</v>
      </c>
      <c r="U438" s="5">
        <v>0.0</v>
      </c>
    </row>
    <row r="439" outlineLevel="1">
      <c r="B439" s="0" t="inlineStr">
        <is>
          <t xml:space="preserve">CARVER PUMP COMPANY</t>
        </is>
      </c>
      <c r="C439" s="0" t="inlineStr">
        <is>
          <t xml:space="preserve">W547TUQXJ8Y4</t>
        </is>
      </c>
      <c r="D439" s="0" t="inlineStr">
        <is>
          <t xml:space="preserve">-</t>
        </is>
      </c>
      <c r="E439" s="0" t="inlineStr">
        <is>
          <t xml:space="preserve">-</t>
        </is>
      </c>
      <c r="F439" s="0" t="inlineStr">
        <is>
          <t xml:space="preserve">-</t>
        </is>
      </c>
      <c r="G439" s="5">
        <v>0.551921</v>
      </c>
      <c r="H439" s="0" t="inlineStr">
        <is>
          <t xml:space="preserve">supplier</t>
        </is>
      </c>
      <c r="I439" s="0" t="inlineStr">
        <is>
          <t xml:space="preserve">unbucketed</t>
        </is>
      </c>
      <c r="J439" s="0" t="inlineStr">
        <is>
          <t xml:space="preserve">residual</t>
        </is>
      </c>
      <c r="K439" s="5">
        <v>0</v>
      </c>
      <c r="L439" s="5">
        <v>0</v>
      </c>
      <c r="M439" s="5">
        <v>0.551921</v>
      </c>
      <c r="N439" s="5">
        <v>0.0</v>
      </c>
      <c r="O439" s="5">
        <v>0.0</v>
      </c>
      <c r="P439" s="5">
        <v>0.0</v>
      </c>
      <c r="Q439" s="5">
        <v>0.0</v>
      </c>
      <c r="R439" s="5">
        <v>0.0</v>
      </c>
      <c r="S439" s="5">
        <v>0.0</v>
      </c>
      <c r="T439" s="5">
        <v>0.551921</v>
      </c>
      <c r="U439" s="5">
        <v>0.0</v>
      </c>
    </row>
    <row r="440" outlineLevel="1">
      <c r="B440" s="0" t="inlineStr">
        <is>
          <t xml:space="preserve">WELLS PROFESSIONAL CONSULTING SERVICES LLC</t>
        </is>
      </c>
      <c r="C440" s="0" t="inlineStr">
        <is>
          <t xml:space="preserve">EJT5ERY72NJ3</t>
        </is>
      </c>
      <c r="D440" s="0" t="inlineStr">
        <is>
          <t xml:space="preserve">-</t>
        </is>
      </c>
      <c r="E440" s="0" t="inlineStr">
        <is>
          <t xml:space="preserve">-</t>
        </is>
      </c>
      <c r="F440" s="0" t="inlineStr">
        <is>
          <t xml:space="preserve">-</t>
        </is>
      </c>
      <c r="G440" s="5">
        <v>0.5488</v>
      </c>
      <c r="H440" s="0" t="inlineStr">
        <is>
          <t xml:space="preserve">supplier</t>
        </is>
      </c>
      <c r="I440" s="0" t="inlineStr">
        <is>
          <t xml:space="preserve">unbucketed</t>
        </is>
      </c>
      <c r="J440" s="0" t="inlineStr">
        <is>
          <t xml:space="preserve">residual</t>
        </is>
      </c>
      <c r="K440" s="5">
        <v>0</v>
      </c>
      <c r="L440" s="5">
        <v>0</v>
      </c>
      <c r="M440" s="5">
        <v>0.5488</v>
      </c>
      <c r="N440" s="5">
        <v>0.0</v>
      </c>
      <c r="O440" s="5">
        <v>0.0</v>
      </c>
      <c r="P440" s="5">
        <v>0.0</v>
      </c>
      <c r="Q440" s="5">
        <v>0.0</v>
      </c>
      <c r="R440" s="5">
        <v>0.0</v>
      </c>
      <c r="S440" s="5">
        <v>0.0</v>
      </c>
      <c r="T440" s="5">
        <v>0.295</v>
      </c>
      <c r="U440" s="5">
        <v>0.2538</v>
      </c>
    </row>
    <row r="441" outlineLevel="1">
      <c r="B441" s="0" t="inlineStr">
        <is>
          <t xml:space="preserve">AIR SYSTEMS COMPONENTS INC</t>
        </is>
      </c>
      <c r="C441" s="0" t="inlineStr">
        <is>
          <t xml:space="preserve">E83TNKA9JCY6</t>
        </is>
      </c>
      <c r="D441" s="0" t="inlineStr">
        <is>
          <t xml:space="preserve">-</t>
        </is>
      </c>
      <c r="E441" s="0" t="inlineStr">
        <is>
          <t xml:space="preserve">-</t>
        </is>
      </c>
      <c r="F441" s="0" t="inlineStr">
        <is>
          <t xml:space="preserve">-</t>
        </is>
      </c>
      <c r="G441" s="5">
        <v>0.541608</v>
      </c>
      <c r="H441" s="0" t="inlineStr">
        <is>
          <t xml:space="preserve">supplier</t>
        </is>
      </c>
      <c r="I441" s="0" t="inlineStr">
        <is>
          <t xml:space="preserve">unbucketed</t>
        </is>
      </c>
      <c r="J441" s="0" t="inlineStr">
        <is>
          <t xml:space="preserve">residual</t>
        </is>
      </c>
      <c r="K441" s="5">
        <v>0</v>
      </c>
      <c r="L441" s="5">
        <v>0</v>
      </c>
      <c r="M441" s="5">
        <v>0.541608</v>
      </c>
      <c r="N441" s="5">
        <v>0.0</v>
      </c>
      <c r="O441" s="5">
        <v>0.0</v>
      </c>
      <c r="P441" s="5">
        <v>0.0</v>
      </c>
      <c r="Q441" s="5">
        <v>0.0</v>
      </c>
      <c r="R441" s="5">
        <v>0.0</v>
      </c>
      <c r="S441" s="5">
        <v>0.164728</v>
      </c>
      <c r="T441" s="5">
        <v>0.37688</v>
      </c>
      <c r="U441" s="5">
        <v>0.0</v>
      </c>
    </row>
    <row r="442" outlineLevel="1">
      <c r="B442" s="0" t="inlineStr">
        <is>
          <t xml:space="preserve">RURAL ROUTE 2, LLC</t>
        </is>
      </c>
      <c r="C442" s="0" t="inlineStr">
        <is>
          <t xml:space="preserve">V6FJCB53JDK7</t>
        </is>
      </c>
      <c r="D442" s="0" t="inlineStr">
        <is>
          <t xml:space="preserve">-</t>
        </is>
      </c>
      <c r="E442" s="0" t="inlineStr">
        <is>
          <t xml:space="preserve">-</t>
        </is>
      </c>
      <c r="F442" s="0" t="inlineStr">
        <is>
          <t xml:space="preserve">-</t>
        </is>
      </c>
      <c r="G442" s="5">
        <v>0.53942641</v>
      </c>
      <c r="H442" s="0" t="inlineStr">
        <is>
          <t xml:space="preserve">supplier</t>
        </is>
      </c>
      <c r="I442" s="0" t="inlineStr">
        <is>
          <t xml:space="preserve">unbucketed</t>
        </is>
      </c>
      <c r="J442" s="0" t="inlineStr">
        <is>
          <t xml:space="preserve">residual</t>
        </is>
      </c>
      <c r="K442" s="5">
        <v>0</v>
      </c>
      <c r="L442" s="5">
        <v>0</v>
      </c>
      <c r="M442" s="5">
        <v>0.53942641</v>
      </c>
      <c r="N442" s="5">
        <v>0.173686</v>
      </c>
      <c r="O442" s="5">
        <v>0.12875841</v>
      </c>
      <c r="P442" s="5">
        <v>0.048</v>
      </c>
      <c r="Q442" s="5">
        <v>0.088214</v>
      </c>
      <c r="R442" s="5">
        <v>0.0</v>
      </c>
      <c r="S442" s="5">
        <v>0.0</v>
      </c>
      <c r="T442" s="5">
        <v>0.100768</v>
      </c>
      <c r="U442" s="5">
        <v>0.0</v>
      </c>
    </row>
    <row r="443" outlineLevel="1">
      <c r="B443" s="0" t="inlineStr">
        <is>
          <t xml:space="preserve">LEIDOS HOLDINGS, INC.</t>
        </is>
      </c>
      <c r="C443" s="0" t="inlineStr">
        <is>
          <t xml:space="preserve">R82KDN15JP13</t>
        </is>
      </c>
      <c r="D443" s="0" t="inlineStr">
        <is>
          <t xml:space="preserve">USA</t>
        </is>
      </c>
      <c r="E443" s="0" t="inlineStr">
        <is>
          <t xml:space="preserve">5417</t>
        </is>
      </c>
      <c r="F443" s="0" t="inlineStr">
        <is>
          <t xml:space="preserve">Research and Development in the Physical, Engineering, and Life Sciences (except Nanotechnology and Biotechnology)</t>
        </is>
      </c>
      <c r="G443" s="5">
        <v>0.537692</v>
      </c>
      <c r="H443" s="0" t="inlineStr">
        <is>
          <t xml:space="preserve">service</t>
        </is>
      </c>
      <c r="I443" s="0" t="inlineStr">
        <is>
          <t xml:space="preserve">-</t>
        </is>
      </c>
      <c r="J443" s="0" t="inlineStr">
        <is>
          <t xml:space="preserve">service NAICS</t>
        </is>
      </c>
      <c r="K443" s="5">
        <v>0</v>
      </c>
      <c r="L443" s="5">
        <v>0</v>
      </c>
      <c r="M443" s="5">
        <v>0.537692</v>
      </c>
      <c r="N443" s="5">
        <v>0.0</v>
      </c>
      <c r="O443" s="5">
        <v>0.0</v>
      </c>
      <c r="P443" s="5">
        <v>0.0</v>
      </c>
      <c r="Q443" s="5">
        <v>0.0</v>
      </c>
      <c r="R443" s="5">
        <v>0.0</v>
      </c>
      <c r="S443" s="5">
        <v>0.0</v>
      </c>
      <c r="T443" s="5">
        <v>0.0</v>
      </c>
      <c r="U443" s="5">
        <v>0.0</v>
      </c>
    </row>
    <row r="444" outlineLevel="1">
      <c r="B444" s="0" t="inlineStr">
        <is>
          <t xml:space="preserve">NORTH AMERICAN CONTROLS, INC.</t>
        </is>
      </c>
      <c r="C444" s="0" t="inlineStr">
        <is>
          <t xml:space="preserve">G8VYMKM2VG59</t>
        </is>
      </c>
      <c r="D444" s="0" t="inlineStr">
        <is>
          <t xml:space="preserve">-</t>
        </is>
      </c>
      <c r="E444" s="0" t="inlineStr">
        <is>
          <t xml:space="preserve">-</t>
        </is>
      </c>
      <c r="F444" s="0" t="inlineStr">
        <is>
          <t xml:space="preserve">-</t>
        </is>
      </c>
      <c r="G444" s="5">
        <v>0.531646</v>
      </c>
      <c r="H444" s="0" t="inlineStr">
        <is>
          <t xml:space="preserve">supplier</t>
        </is>
      </c>
      <c r="I444" s="0" t="inlineStr">
        <is>
          <t xml:space="preserve">unbucketed</t>
        </is>
      </c>
      <c r="J444" s="0" t="inlineStr">
        <is>
          <t xml:space="preserve">residual</t>
        </is>
      </c>
      <c r="K444" s="5">
        <v>0</v>
      </c>
      <c r="L444" s="5">
        <v>0</v>
      </c>
      <c r="M444" s="5">
        <v>0.531646</v>
      </c>
      <c r="N444" s="5">
        <v>0.0</v>
      </c>
      <c r="O444" s="5">
        <v>0.0</v>
      </c>
      <c r="P444" s="5">
        <v>0.0</v>
      </c>
      <c r="Q444" s="5">
        <v>0.0</v>
      </c>
      <c r="R444" s="5">
        <v>0.0</v>
      </c>
      <c r="S444" s="5">
        <v>0.0</v>
      </c>
      <c r="T444" s="5">
        <v>0.0</v>
      </c>
      <c r="U444" s="5">
        <v>0.0</v>
      </c>
    </row>
    <row r="445" outlineLevel="1">
      <c r="B445" s="0" t="inlineStr">
        <is>
          <t xml:space="preserve">METREX VALVE CORP.</t>
        </is>
      </c>
      <c r="C445" s="0" t="inlineStr">
        <is>
          <t xml:space="preserve">QRS8UUK41BA4</t>
        </is>
      </c>
      <c r="D445" s="0" t="inlineStr">
        <is>
          <t xml:space="preserve">-</t>
        </is>
      </c>
      <c r="E445" s="0" t="inlineStr">
        <is>
          <t xml:space="preserve">-</t>
        </is>
      </c>
      <c r="F445" s="0" t="inlineStr">
        <is>
          <t xml:space="preserve">-</t>
        </is>
      </c>
      <c r="G445" s="5">
        <v>0.52937588</v>
      </c>
      <c r="H445" s="0" t="inlineStr">
        <is>
          <t xml:space="preserve">supplier</t>
        </is>
      </c>
      <c r="I445" s="0" t="inlineStr">
        <is>
          <t xml:space="preserve">unbucketed</t>
        </is>
      </c>
      <c r="J445" s="0" t="inlineStr">
        <is>
          <t xml:space="preserve">residual</t>
        </is>
      </c>
      <c r="K445" s="5">
        <v>0</v>
      </c>
      <c r="L445" s="5">
        <v>0</v>
      </c>
      <c r="M445" s="5">
        <v>0.52937588</v>
      </c>
      <c r="N445" s="5">
        <v>0.0</v>
      </c>
      <c r="O445" s="5">
        <v>0.0</v>
      </c>
      <c r="P445" s="5">
        <v>0.0</v>
      </c>
      <c r="Q445" s="5">
        <v>0.0</v>
      </c>
      <c r="R445" s="5">
        <v>0.0</v>
      </c>
      <c r="S445" s="5">
        <v>0.0</v>
      </c>
      <c r="T445" s="5">
        <v>0.0</v>
      </c>
      <c r="U445" s="5">
        <v>0.0</v>
      </c>
    </row>
    <row r="446" outlineLevel="1">
      <c r="B446" s="0" t="inlineStr">
        <is>
          <t xml:space="preserve">L3HARRIS TECHNOLOGIES, INC</t>
        </is>
      </c>
      <c r="C446" s="0" t="inlineStr">
        <is>
          <t xml:space="preserve">NB21QESAKUM9</t>
        </is>
      </c>
      <c r="D446" s="0" t="inlineStr">
        <is>
          <t xml:space="preserve">USA</t>
        </is>
      </c>
      <c r="E446" s="0" t="inlineStr">
        <is>
          <t xml:space="preserve">3345</t>
        </is>
      </c>
      <c r="F446" s="0" t="inlineStr">
        <is>
          <t xml:space="preserve">Search, Detection, Navigation, Guidance, Aeronautical, and Nautical System and Instrument Manufacturing</t>
        </is>
      </c>
      <c r="G446" s="5">
        <v>0.52893</v>
      </c>
      <c r="H446" s="0" t="inlineStr">
        <is>
          <t xml:space="preserve">supplier</t>
        </is>
      </c>
      <c r="I446" s="0" t="inlineStr">
        <is>
          <t xml:space="preserve">unbucketed</t>
        </is>
      </c>
      <c r="J446" s="0" t="inlineStr">
        <is>
          <t xml:space="preserve">vendor-override</t>
        </is>
      </c>
      <c r="K446" s="5">
        <v>0</v>
      </c>
      <c r="L446" s="5">
        <v>0</v>
      </c>
      <c r="M446" s="5">
        <v>0.52893</v>
      </c>
      <c r="N446" s="5">
        <v>0.0</v>
      </c>
      <c r="O446" s="5">
        <v>0.52893</v>
      </c>
      <c r="P446" s="5">
        <v>0.0</v>
      </c>
      <c r="Q446" s="5">
        <v>0.0</v>
      </c>
      <c r="R446" s="5">
        <v>0.0</v>
      </c>
      <c r="S446" s="5">
        <v>0.0</v>
      </c>
      <c r="T446" s="5">
        <v>0.0</v>
      </c>
      <c r="U446" s="5">
        <v>0.0</v>
      </c>
    </row>
    <row r="447" outlineLevel="1">
      <c r="B447" s="0" t="inlineStr">
        <is>
          <t xml:space="preserve">FAMILY VOJINOVIC INC</t>
        </is>
      </c>
      <c r="C447" s="0" t="inlineStr">
        <is>
          <t xml:space="preserve">DSBBDM96K6H6</t>
        </is>
      </c>
      <c r="D447" s="0" t="inlineStr">
        <is>
          <t xml:space="preserve">Foreign</t>
        </is>
      </c>
      <c r="E447" s="0" t="inlineStr">
        <is>
          <t xml:space="preserve">-</t>
        </is>
      </c>
      <c r="F447" s="0" t="inlineStr">
        <is>
          <t xml:space="preserve">-</t>
        </is>
      </c>
      <c r="G447" s="5">
        <v>0.52532226</v>
      </c>
      <c r="H447" s="0" t="inlineStr">
        <is>
          <t xml:space="preserve">foreign_fms</t>
        </is>
      </c>
      <c r="I447" s="0" t="inlineStr">
        <is>
          <t xml:space="preserve">-</t>
        </is>
      </c>
      <c r="J447" s="0" t="inlineStr">
        <is>
          <t xml:space="preserve">foreign flag</t>
        </is>
      </c>
      <c r="K447" s="5">
        <v>0</v>
      </c>
      <c r="L447" s="5">
        <v>0</v>
      </c>
      <c r="M447" s="5">
        <v>0.52532226</v>
      </c>
      <c r="N447" s="5">
        <v>0.0</v>
      </c>
      <c r="O447" s="5">
        <v>0.0</v>
      </c>
      <c r="P447" s="5">
        <v>0.0</v>
      </c>
      <c r="Q447" s="5">
        <v>0.0</v>
      </c>
      <c r="R447" s="5">
        <v>0.0</v>
      </c>
      <c r="S447" s="5">
        <v>0.0</v>
      </c>
      <c r="T447" s="5">
        <v>0.0</v>
      </c>
      <c r="U447" s="5">
        <v>0.0</v>
      </c>
    </row>
    <row r="448" outlineLevel="1">
      <c r="B448" s="0" t="inlineStr">
        <is>
          <t xml:space="preserve">ELECTRO STANDARDS LABORATORY, INC.</t>
        </is>
      </c>
      <c r="C448" s="0" t="inlineStr">
        <is>
          <t xml:space="preserve">RDRYVJJX3NA5</t>
        </is>
      </c>
      <c r="D448" s="0" t="inlineStr">
        <is>
          <t xml:space="preserve">-</t>
        </is>
      </c>
      <c r="E448" s="0" t="inlineStr">
        <is>
          <t xml:space="preserve">-</t>
        </is>
      </c>
      <c r="F448" s="0" t="inlineStr">
        <is>
          <t xml:space="preserve">-</t>
        </is>
      </c>
      <c r="G448" s="5">
        <v>0.5241180299999999</v>
      </c>
      <c r="H448" s="0" t="inlineStr">
        <is>
          <t xml:space="preserve">supplier</t>
        </is>
      </c>
      <c r="I448" s="0" t="inlineStr">
        <is>
          <t xml:space="preserve">unbucketed</t>
        </is>
      </c>
      <c r="J448" s="0" t="inlineStr">
        <is>
          <t xml:space="preserve">residual</t>
        </is>
      </c>
      <c r="K448" s="5">
        <v>0</v>
      </c>
      <c r="L448" s="5">
        <v>0</v>
      </c>
      <c r="M448" s="5">
        <v>0.5241180299999999</v>
      </c>
      <c r="N448" s="5">
        <v>0.0</v>
      </c>
      <c r="O448" s="5">
        <v>0.0</v>
      </c>
      <c r="P448" s="5">
        <v>0.0</v>
      </c>
      <c r="Q448" s="5">
        <v>0.0</v>
      </c>
      <c r="R448" s="5">
        <v>0.01261803</v>
      </c>
      <c r="S448" s="5">
        <v>0.0</v>
      </c>
      <c r="T448" s="5">
        <v>0.0</v>
      </c>
      <c r="U448" s="5">
        <v>0.0</v>
      </c>
    </row>
    <row r="449" outlineLevel="1">
      <c r="B449" s="0" t="inlineStr">
        <is>
          <t xml:space="preserve">RAYTHEON BBN TECHNOLOGIES CORP.</t>
        </is>
      </c>
      <c r="C449" s="0" t="inlineStr">
        <is>
          <t xml:space="preserve">JAXJSTJJSP74</t>
        </is>
      </c>
      <c r="D449" s="0" t="inlineStr">
        <is>
          <t xml:space="preserve">-</t>
        </is>
      </c>
      <c r="E449" s="0" t="inlineStr">
        <is>
          <t xml:space="preserve">-</t>
        </is>
      </c>
      <c r="F449" s="0" t="inlineStr">
        <is>
          <t xml:space="preserve">-</t>
        </is>
      </c>
      <c r="G449" s="5">
        <v>0.523058</v>
      </c>
      <c r="H449" s="0" t="inlineStr">
        <is>
          <t xml:space="preserve">supplier</t>
        </is>
      </c>
      <c r="I449" s="0" t="inlineStr">
        <is>
          <t xml:space="preserve">coatings</t>
        </is>
      </c>
      <c r="J449" s="0" t="inlineStr">
        <is>
          <t xml:space="preserve">registry</t>
        </is>
      </c>
      <c r="K449" s="5">
        <v>0</v>
      </c>
      <c r="L449" s="5">
        <v>0</v>
      </c>
      <c r="M449" s="5">
        <v>0.523058</v>
      </c>
      <c r="N449" s="5">
        <v>0.0</v>
      </c>
      <c r="O449" s="5">
        <v>0.0</v>
      </c>
      <c r="P449" s="5">
        <v>0.0</v>
      </c>
      <c r="Q449" s="5">
        <v>0.0</v>
      </c>
      <c r="R449" s="5">
        <v>0.0</v>
      </c>
      <c r="S449" s="5">
        <v>0.523058</v>
      </c>
      <c r="T449" s="5">
        <v>0.0</v>
      </c>
      <c r="U449" s="5">
        <v>0.0</v>
      </c>
    </row>
    <row r="450" outlineLevel="1">
      <c r="B450" s="0" t="inlineStr">
        <is>
          <t xml:space="preserve">HAYES PUMP, INC.</t>
        </is>
      </c>
      <c r="C450" s="0" t="inlineStr">
        <is>
          <t xml:space="preserve">H5YBZ3M7LKG3</t>
        </is>
      </c>
      <c r="D450" s="0" t="inlineStr">
        <is>
          <t xml:space="preserve">-</t>
        </is>
      </c>
      <c r="E450" s="0" t="inlineStr">
        <is>
          <t xml:space="preserve">-</t>
        </is>
      </c>
      <c r="F450" s="0" t="inlineStr">
        <is>
          <t xml:space="preserve">-</t>
        </is>
      </c>
      <c r="G450" s="5">
        <v>0.5137384</v>
      </c>
      <c r="H450" s="0" t="inlineStr">
        <is>
          <t xml:space="preserve">supplier</t>
        </is>
      </c>
      <c r="I450" s="0" t="inlineStr">
        <is>
          <t xml:space="preserve">unbucketed</t>
        </is>
      </c>
      <c r="J450" s="0" t="inlineStr">
        <is>
          <t xml:space="preserve">residual</t>
        </is>
      </c>
      <c r="K450" s="5">
        <v>0</v>
      </c>
      <c r="L450" s="5">
        <v>0</v>
      </c>
      <c r="M450" s="5">
        <v>0.5137384</v>
      </c>
      <c r="N450" s="5">
        <v>0.0</v>
      </c>
      <c r="O450" s="5">
        <v>0.0</v>
      </c>
      <c r="P450" s="5">
        <v>0.0</v>
      </c>
      <c r="Q450" s="5">
        <v>0.0</v>
      </c>
      <c r="R450" s="5">
        <v>0.0</v>
      </c>
      <c r="S450" s="5">
        <v>0.0</v>
      </c>
      <c r="T450" s="5">
        <v>0.0</v>
      </c>
      <c r="U450" s="5">
        <v>0.0</v>
      </c>
    </row>
    <row r="451" outlineLevel="1">
      <c r="B451" s="0" t="inlineStr">
        <is>
          <t xml:space="preserve">TRIFAX LLC</t>
        </is>
      </c>
      <c r="C451" s="0" t="inlineStr">
        <is>
          <t xml:space="preserve">LNU9THQFHLR5</t>
        </is>
      </c>
      <c r="D451" s="0" t="inlineStr">
        <is>
          <t xml:space="preserve">-</t>
        </is>
      </c>
      <c r="E451" s="0" t="inlineStr">
        <is>
          <t xml:space="preserve">-</t>
        </is>
      </c>
      <c r="F451" s="0" t="inlineStr">
        <is>
          <t xml:space="preserve">-</t>
        </is>
      </c>
      <c r="G451" s="5">
        <v>0.5131044</v>
      </c>
      <c r="H451" s="0" t="inlineStr">
        <is>
          <t xml:space="preserve">supplier</t>
        </is>
      </c>
      <c r="I451" s="0" t="inlineStr">
        <is>
          <t xml:space="preserve">unbucketed</t>
        </is>
      </c>
      <c r="J451" s="0" t="inlineStr">
        <is>
          <t xml:space="preserve">residual</t>
        </is>
      </c>
      <c r="K451" s="5">
        <v>0</v>
      </c>
      <c r="L451" s="5">
        <v>0</v>
      </c>
      <c r="M451" s="5">
        <v>0.5131044</v>
      </c>
      <c r="N451" s="5">
        <v>0.0</v>
      </c>
      <c r="O451" s="5">
        <v>0.0</v>
      </c>
      <c r="P451" s="5">
        <v>0.0</v>
      </c>
      <c r="Q451" s="5">
        <v>0.0</v>
      </c>
      <c r="R451" s="5">
        <v>0.0</v>
      </c>
      <c r="S451" s="5">
        <v>0.0</v>
      </c>
      <c r="T451" s="5">
        <v>0.0</v>
      </c>
      <c r="U451" s="5">
        <v>0.0</v>
      </c>
    </row>
    <row r="452" outlineLevel="1">
      <c r="B452" s="0" t="inlineStr">
        <is>
          <t xml:space="preserve">APPLIED PRODUCTS INC</t>
        </is>
      </c>
      <c r="C452" s="0" t="inlineStr">
        <is>
          <t xml:space="preserve">E5XTWRMQAZN1</t>
        </is>
      </c>
      <c r="D452" s="0" t="inlineStr">
        <is>
          <t xml:space="preserve">-</t>
        </is>
      </c>
      <c r="E452" s="0" t="inlineStr">
        <is>
          <t xml:space="preserve">-</t>
        </is>
      </c>
      <c r="F452" s="0" t="inlineStr">
        <is>
          <t xml:space="preserve">-</t>
        </is>
      </c>
      <c r="G452" s="5">
        <v>0.51132726</v>
      </c>
      <c r="H452" s="0" t="inlineStr">
        <is>
          <t xml:space="preserve">supplier</t>
        </is>
      </c>
      <c r="I452" s="0" t="inlineStr">
        <is>
          <t xml:space="preserve">unbucketed</t>
        </is>
      </c>
      <c r="J452" s="0" t="inlineStr">
        <is>
          <t xml:space="preserve">residual</t>
        </is>
      </c>
      <c r="K452" s="5">
        <v>0</v>
      </c>
      <c r="L452" s="5">
        <v>0</v>
      </c>
      <c r="M452" s="5">
        <v>0.51132726</v>
      </c>
      <c r="N452" s="5">
        <v>0.0</v>
      </c>
      <c r="O452" s="5">
        <v>0.51132726</v>
      </c>
      <c r="P452" s="5">
        <v>0.0</v>
      </c>
      <c r="Q452" s="5">
        <v>0.0</v>
      </c>
      <c r="R452" s="5">
        <v>0.0</v>
      </c>
      <c r="S452" s="5">
        <v>0.0</v>
      </c>
      <c r="T452" s="5">
        <v>0.0</v>
      </c>
      <c r="U452" s="5">
        <v>0.0</v>
      </c>
    </row>
    <row r="453" outlineLevel="1">
      <c r="B453" s="0" t="inlineStr">
        <is>
          <t xml:space="preserve">WATTEREDGE, LLC</t>
        </is>
      </c>
      <c r="C453" s="0" t="inlineStr">
        <is>
          <t xml:space="preserve">FJAVFFKN2LE3</t>
        </is>
      </c>
      <c r="D453" s="0" t="inlineStr">
        <is>
          <t xml:space="preserve">-</t>
        </is>
      </c>
      <c r="E453" s="0" t="inlineStr">
        <is>
          <t xml:space="preserve">-</t>
        </is>
      </c>
      <c r="F453" s="0" t="inlineStr">
        <is>
          <t xml:space="preserve">-</t>
        </is>
      </c>
      <c r="G453" s="5">
        <v>0.50435187</v>
      </c>
      <c r="H453" s="0" t="inlineStr">
        <is>
          <t xml:space="preserve">supplier</t>
        </is>
      </c>
      <c r="I453" s="0" t="inlineStr">
        <is>
          <t xml:space="preserve">unbucketed</t>
        </is>
      </c>
      <c r="J453" s="0" t="inlineStr">
        <is>
          <t xml:space="preserve">residual</t>
        </is>
      </c>
      <c r="K453" s="5">
        <v>0</v>
      </c>
      <c r="L453" s="5">
        <v>0</v>
      </c>
      <c r="M453" s="5">
        <v>0.50435187</v>
      </c>
      <c r="N453" s="5">
        <v>0.0</v>
      </c>
      <c r="O453" s="5">
        <v>0.11352312</v>
      </c>
      <c r="P453" s="5">
        <v>0.16626973</v>
      </c>
      <c r="Q453" s="5">
        <v>0.22455902</v>
      </c>
      <c r="R453" s="5">
        <v>0.0</v>
      </c>
      <c r="S453" s="5">
        <v>0.0</v>
      </c>
      <c r="T453" s="5">
        <v>0.0</v>
      </c>
      <c r="U453" s="5">
        <v>0.0</v>
      </c>
    </row>
    <row r="454" outlineLevel="1">
      <c r="B454" s="0" t="inlineStr">
        <is>
          <t xml:space="preserve">ULTRA ELECTRONICS HOLDINGS PLC</t>
        </is>
      </c>
      <c r="C454" s="0" t="inlineStr">
        <is>
          <t xml:space="preserve">CXQ7A9JSV3K5</t>
        </is>
      </c>
      <c r="D454" s="0" t="inlineStr">
        <is>
          <t xml:space="preserve">-</t>
        </is>
      </c>
      <c r="E454" s="0" t="inlineStr">
        <is>
          <t xml:space="preserve">-</t>
        </is>
      </c>
      <c r="F454" s="0" t="inlineStr">
        <is>
          <t xml:space="preserve">-</t>
        </is>
      </c>
      <c r="G454" s="5">
        <v>0.5031303399999999</v>
      </c>
      <c r="H454" s="0" t="inlineStr">
        <is>
          <t xml:space="preserve">gfe_sib</t>
        </is>
      </c>
      <c r="I454" s="0" t="inlineStr">
        <is>
          <t xml:space="preserve">-</t>
        </is>
      </c>
      <c r="J454" s="0" t="inlineStr">
        <is>
          <t xml:space="preserve">GFE/SIB name</t>
        </is>
      </c>
      <c r="K454" s="5">
        <v>0</v>
      </c>
      <c r="L454" s="5">
        <v>0</v>
      </c>
      <c r="M454" s="5">
        <v>0.5031303399999999</v>
      </c>
      <c r="N454" s="5">
        <v>0.0</v>
      </c>
      <c r="O454" s="5">
        <v>0.0</v>
      </c>
      <c r="P454" s="5">
        <v>0.0</v>
      </c>
      <c r="Q454" s="5">
        <v>0.0</v>
      </c>
      <c r="R454" s="5">
        <v>0.096825</v>
      </c>
      <c r="S454" s="5">
        <v>0.0</v>
      </c>
      <c r="T454" s="5">
        <v>0.0</v>
      </c>
      <c r="U454" s="5">
        <v>0.0</v>
      </c>
    </row>
    <row r="455" outlineLevel="1">
      <c r="B455" s="0" t="inlineStr">
        <is>
          <t xml:space="preserve">CURTISS-WRIGHT CORPORATION</t>
        </is>
      </c>
      <c r="C455" s="0" t="inlineStr">
        <is>
          <t xml:space="preserve">MSFLXVQVJMG4</t>
        </is>
      </c>
      <c r="D455" s="0" t="inlineStr">
        <is>
          <t xml:space="preserve">-</t>
        </is>
      </c>
      <c r="E455" s="0" t="inlineStr">
        <is>
          <t xml:space="preserve">-</t>
        </is>
      </c>
      <c r="F455" s="0" t="inlineStr">
        <is>
          <t xml:space="preserve">-</t>
        </is>
      </c>
      <c r="G455" s="5">
        <v>0.4958974</v>
      </c>
      <c r="H455" s="0" t="inlineStr">
        <is>
          <t xml:space="preserve">supplier</t>
        </is>
      </c>
      <c r="I455" s="0" t="inlineStr">
        <is>
          <t xml:space="preserve">unbucketed</t>
        </is>
      </c>
      <c r="J455" s="0" t="inlineStr">
        <is>
          <t xml:space="preserve">residual</t>
        </is>
      </c>
      <c r="K455" s="5">
        <v>0</v>
      </c>
      <c r="L455" s="5">
        <v>0</v>
      </c>
      <c r="M455" s="5">
        <v>0.4958974</v>
      </c>
      <c r="N455" s="5">
        <v>0.0</v>
      </c>
      <c r="O455" s="5">
        <v>0.0</v>
      </c>
      <c r="P455" s="5">
        <v>0.0</v>
      </c>
      <c r="Q455" s="5">
        <v>0.0</v>
      </c>
      <c r="R455" s="5">
        <v>0.4859464</v>
      </c>
      <c r="S455" s="5">
        <v>0.0</v>
      </c>
      <c r="T455" s="5">
        <v>0.0</v>
      </c>
      <c r="U455" s="5">
        <v>0.0</v>
      </c>
    </row>
    <row r="456" outlineLevel="1">
      <c r="B456" s="0" t="inlineStr">
        <is>
          <t xml:space="preserve">FIBA TECHNOLOGIES INC</t>
        </is>
      </c>
      <c r="C456" s="0" t="inlineStr">
        <is>
          <t xml:space="preserve">EFVKMVKJ7WA4</t>
        </is>
      </c>
      <c r="D456" s="0" t="inlineStr">
        <is>
          <t xml:space="preserve">-</t>
        </is>
      </c>
      <c r="E456" s="0" t="inlineStr">
        <is>
          <t xml:space="preserve">-</t>
        </is>
      </c>
      <c r="F456" s="0" t="inlineStr">
        <is>
          <t xml:space="preserve">-</t>
        </is>
      </c>
      <c r="G456" s="5">
        <v>0.491718</v>
      </c>
      <c r="H456" s="0" t="inlineStr">
        <is>
          <t xml:space="preserve">supplier</t>
        </is>
      </c>
      <c r="I456" s="0" t="inlineStr">
        <is>
          <t xml:space="preserve">unbucketed</t>
        </is>
      </c>
      <c r="J456" s="0" t="inlineStr">
        <is>
          <t xml:space="preserve">residual</t>
        </is>
      </c>
      <c r="K456" s="5">
        <v>0</v>
      </c>
      <c r="L456" s="5">
        <v>0</v>
      </c>
      <c r="M456" s="5">
        <v>0.491718</v>
      </c>
      <c r="N456" s="5">
        <v>0.0</v>
      </c>
      <c r="O456" s="5">
        <v>0.0</v>
      </c>
      <c r="P456" s="5">
        <v>0.0</v>
      </c>
      <c r="Q456" s="5">
        <v>0.0</v>
      </c>
      <c r="R456" s="5">
        <v>0.0</v>
      </c>
      <c r="S456" s="5">
        <v>0.0</v>
      </c>
      <c r="T456" s="5">
        <v>0.0</v>
      </c>
      <c r="U456" s="5">
        <v>0.491718</v>
      </c>
    </row>
    <row r="457" outlineLevel="1">
      <c r="B457" s="0" t="inlineStr">
        <is>
          <t xml:space="preserve">RAYTHEON TECHNOLOGIES CORPORATION</t>
        </is>
      </c>
      <c r="C457" s="0" t="inlineStr">
        <is>
          <t xml:space="preserve">JC42EBJ5NFJ1</t>
        </is>
      </c>
      <c r="D457" s="0" t="inlineStr">
        <is>
          <t xml:space="preserve">-</t>
        </is>
      </c>
      <c r="E457" s="0" t="inlineStr">
        <is>
          <t xml:space="preserve">-</t>
        </is>
      </c>
      <c r="F457" s="0" t="inlineStr">
        <is>
          <t xml:space="preserve">-</t>
        </is>
      </c>
      <c r="G457" s="5">
        <v>0.49078898000000026</v>
      </c>
      <c r="H457" s="0" t="inlineStr">
        <is>
          <t xml:space="preserve">gfe_sib</t>
        </is>
      </c>
      <c r="I457" s="0" t="inlineStr">
        <is>
          <t xml:space="preserve">-</t>
        </is>
      </c>
      <c r="J457" s="0" t="inlineStr">
        <is>
          <t xml:space="preserve">GFE/SIB name</t>
        </is>
      </c>
      <c r="K457" s="5">
        <v>0</v>
      </c>
      <c r="L457" s="5">
        <v>0</v>
      </c>
      <c r="M457" s="5">
        <v>0.49078898000000026</v>
      </c>
      <c r="N457" s="5">
        <v>0.0</v>
      </c>
      <c r="O457" s="5">
        <v>0.0</v>
      </c>
      <c r="P457" s="5">
        <v>0.0</v>
      </c>
      <c r="Q457" s="5">
        <v>0.0</v>
      </c>
      <c r="R457" s="5">
        <v>0.5732670000000001</v>
      </c>
      <c r="S457" s="5">
        <v>0.0</v>
      </c>
      <c r="T457" s="5">
        <v>0.0</v>
      </c>
      <c r="U457" s="5">
        <v>0.0</v>
      </c>
    </row>
    <row r="458" outlineLevel="1">
      <c r="B458" s="0" t="inlineStr">
        <is>
          <t xml:space="preserve">CHALMERS &amp; KUBECK, INC.</t>
        </is>
      </c>
      <c r="C458" s="0" t="inlineStr">
        <is>
          <t xml:space="preserve">U517SU1EZGK9</t>
        </is>
      </c>
      <c r="D458" s="0" t="inlineStr">
        <is>
          <t xml:space="preserve">-</t>
        </is>
      </c>
      <c r="E458" s="0" t="inlineStr">
        <is>
          <t xml:space="preserve">-</t>
        </is>
      </c>
      <c r="F458" s="0" t="inlineStr">
        <is>
          <t xml:space="preserve">-</t>
        </is>
      </c>
      <c r="G458" s="5">
        <v>0.49021300000000007</v>
      </c>
      <c r="H458" s="0" t="inlineStr">
        <is>
          <t xml:space="preserve">supplier</t>
        </is>
      </c>
      <c r="I458" s="0" t="inlineStr">
        <is>
          <t xml:space="preserve">unbucketed</t>
        </is>
      </c>
      <c r="J458" s="0" t="inlineStr">
        <is>
          <t xml:space="preserve">residual</t>
        </is>
      </c>
      <c r="K458" s="5">
        <v>0</v>
      </c>
      <c r="L458" s="5">
        <v>0</v>
      </c>
      <c r="M458" s="5">
        <v>0.49021300000000007</v>
      </c>
      <c r="N458" s="5">
        <v>0.165849</v>
      </c>
      <c r="O458" s="5">
        <v>0.21100400000000002</v>
      </c>
      <c r="P458" s="5">
        <v>0.0</v>
      </c>
      <c r="Q458" s="5">
        <v>0.0</v>
      </c>
      <c r="R458" s="5">
        <v>0.0</v>
      </c>
      <c r="S458" s="5">
        <v>0.0</v>
      </c>
      <c r="T458" s="5">
        <v>0.0</v>
      </c>
      <c r="U458" s="5">
        <v>0.0</v>
      </c>
    </row>
    <row r="459" outlineLevel="1">
      <c r="B459" s="0" t="inlineStr">
        <is>
          <t xml:space="preserve">CURTISS-WRIGHT DS, INC.</t>
        </is>
      </c>
      <c r="C459" s="0" t="inlineStr">
        <is>
          <t xml:space="preserve">JU5GNH1H5FV6</t>
        </is>
      </c>
      <c r="D459" s="0" t="inlineStr">
        <is>
          <t xml:space="preserve">-</t>
        </is>
      </c>
      <c r="E459" s="0" t="inlineStr">
        <is>
          <t xml:space="preserve">-</t>
        </is>
      </c>
      <c r="F459" s="0" t="inlineStr">
        <is>
          <t xml:space="preserve">-</t>
        </is>
      </c>
      <c r="G459" s="5">
        <v>0.48884</v>
      </c>
      <c r="H459" s="0" t="inlineStr">
        <is>
          <t xml:space="preserve">supplier</t>
        </is>
      </c>
      <c r="I459" s="0" t="inlineStr">
        <is>
          <t xml:space="preserve">unbucketed</t>
        </is>
      </c>
      <c r="J459" s="0" t="inlineStr">
        <is>
          <t xml:space="preserve">residual</t>
        </is>
      </c>
      <c r="K459" s="5">
        <v>0</v>
      </c>
      <c r="L459" s="5">
        <v>0</v>
      </c>
      <c r="M459" s="5">
        <v>0.48884</v>
      </c>
      <c r="N459" s="5">
        <v>0.0</v>
      </c>
      <c r="O459" s="5">
        <v>0.0</v>
      </c>
      <c r="P459" s="5">
        <v>0.0</v>
      </c>
      <c r="Q459" s="5">
        <v>0.48884</v>
      </c>
      <c r="R459" s="5">
        <v>0.0</v>
      </c>
      <c r="S459" s="5">
        <v>0.0</v>
      </c>
      <c r="T459" s="5">
        <v>0.0</v>
      </c>
      <c r="U459" s="5">
        <v>0.0</v>
      </c>
    </row>
    <row r="460" outlineLevel="1">
      <c r="B460" s="0" t="inlineStr">
        <is>
          <t xml:space="preserve">TTM TECHNOLOGIES, INC.</t>
        </is>
      </c>
      <c r="C460" s="0" t="inlineStr">
        <is>
          <t xml:space="preserve">N6BAAYHLH8G7</t>
        </is>
      </c>
      <c r="D460" s="0" t="inlineStr">
        <is>
          <t xml:space="preserve">-</t>
        </is>
      </c>
      <c r="E460" s="0" t="inlineStr">
        <is>
          <t xml:space="preserve">-</t>
        </is>
      </c>
      <c r="F460" s="0" t="inlineStr">
        <is>
          <t xml:space="preserve">-</t>
        </is>
      </c>
      <c r="G460" s="5">
        <v>0.482347</v>
      </c>
      <c r="H460" s="0" t="inlineStr">
        <is>
          <t xml:space="preserve">mission_systems</t>
        </is>
      </c>
      <c r="I460" s="0" t="inlineStr">
        <is>
          <t xml:space="preserve">-</t>
        </is>
      </c>
      <c r="J460" s="0" t="inlineStr">
        <is>
          <t xml:space="preserve">registry</t>
        </is>
      </c>
      <c r="K460" s="5">
        <v>0</v>
      </c>
      <c r="L460" s="5">
        <v>0</v>
      </c>
      <c r="M460" s="5">
        <v>0.482347</v>
      </c>
      <c r="N460" s="5">
        <v>0.0</v>
      </c>
      <c r="O460" s="5">
        <v>0.0</v>
      </c>
      <c r="P460" s="5">
        <v>0.0</v>
      </c>
      <c r="Q460" s="5">
        <v>0.0</v>
      </c>
      <c r="R460" s="5">
        <v>0.0</v>
      </c>
      <c r="S460" s="5">
        <v>0.0</v>
      </c>
      <c r="T460" s="5">
        <v>0.0</v>
      </c>
      <c r="U460" s="5">
        <v>0.0</v>
      </c>
    </row>
    <row r="461" outlineLevel="1">
      <c r="B461" s="0" t="inlineStr">
        <is>
          <t xml:space="preserve">G.W. LISK COMPANY, INC.</t>
        </is>
      </c>
      <c r="C461" s="0" t="inlineStr">
        <is>
          <t xml:space="preserve">UKXMHUWSFLW7</t>
        </is>
      </c>
      <c r="D461" s="0" t="inlineStr">
        <is>
          <t xml:space="preserve">-</t>
        </is>
      </c>
      <c r="E461" s="0" t="inlineStr">
        <is>
          <t xml:space="preserve">-</t>
        </is>
      </c>
      <c r="F461" s="0" t="inlineStr">
        <is>
          <t xml:space="preserve">-</t>
        </is>
      </c>
      <c r="G461" s="5">
        <v>0.4747748</v>
      </c>
      <c r="H461" s="0" t="inlineStr">
        <is>
          <t xml:space="preserve">supplier</t>
        </is>
      </c>
      <c r="I461" s="0" t="inlineStr">
        <is>
          <t xml:space="preserve">unbucketed</t>
        </is>
      </c>
      <c r="J461" s="0" t="inlineStr">
        <is>
          <t xml:space="preserve">residual</t>
        </is>
      </c>
      <c r="K461" s="5">
        <v>0</v>
      </c>
      <c r="L461" s="5">
        <v>0</v>
      </c>
      <c r="M461" s="5">
        <v>0.4747748</v>
      </c>
      <c r="N461" s="5">
        <v>0.0</v>
      </c>
      <c r="O461" s="5">
        <v>0.0</v>
      </c>
      <c r="P461" s="5">
        <v>0.0</v>
      </c>
      <c r="Q461" s="5">
        <v>0.0</v>
      </c>
      <c r="R461" s="5">
        <v>0.0</v>
      </c>
      <c r="S461" s="5">
        <v>0.0</v>
      </c>
      <c r="T461" s="5">
        <v>0.0</v>
      </c>
      <c r="U461" s="5">
        <v>0.0</v>
      </c>
    </row>
    <row r="462" outlineLevel="1">
      <c r="B462" s="0" t="inlineStr">
        <is>
          <t xml:space="preserve">ACROMAG, INCORPORATED</t>
        </is>
      </c>
      <c r="C462" s="0" t="inlineStr">
        <is>
          <t xml:space="preserve">MME9X24LUXP1</t>
        </is>
      </c>
      <c r="D462" s="0" t="inlineStr">
        <is>
          <t xml:space="preserve">-</t>
        </is>
      </c>
      <c r="E462" s="0" t="inlineStr">
        <is>
          <t xml:space="preserve">-</t>
        </is>
      </c>
      <c r="F462" s="0" t="inlineStr">
        <is>
          <t xml:space="preserve">-</t>
        </is>
      </c>
      <c r="G462" s="5">
        <v>0.4731106500000001</v>
      </c>
      <c r="H462" s="0" t="inlineStr">
        <is>
          <t xml:space="preserve">supplier</t>
        </is>
      </c>
      <c r="I462" s="0" t="inlineStr">
        <is>
          <t xml:space="preserve">unbucketed</t>
        </is>
      </c>
      <c r="J462" s="0" t="inlineStr">
        <is>
          <t xml:space="preserve">residual</t>
        </is>
      </c>
      <c r="K462" s="5">
        <v>0</v>
      </c>
      <c r="L462" s="5">
        <v>0</v>
      </c>
      <c r="M462" s="5">
        <v>0.4731106500000001</v>
      </c>
      <c r="N462" s="5">
        <v>0.0</v>
      </c>
      <c r="O462" s="5">
        <v>0.21818</v>
      </c>
      <c r="P462" s="5">
        <v>-0.06648</v>
      </c>
      <c r="Q462" s="5">
        <v>0.0</v>
      </c>
      <c r="R462" s="5">
        <v>0.0</v>
      </c>
      <c r="S462" s="5">
        <v>0.0</v>
      </c>
      <c r="T462" s="5">
        <v>0.040146</v>
      </c>
      <c r="U462" s="5">
        <v>0.0</v>
      </c>
    </row>
    <row r="463" outlineLevel="1">
      <c r="B463" s="0" t="inlineStr">
        <is>
          <t xml:space="preserve">PATRIOT ELECTRONICS, INC.</t>
        </is>
      </c>
      <c r="C463" s="0" t="inlineStr">
        <is>
          <t xml:space="preserve">LN8JD2HB57K5</t>
        </is>
      </c>
      <c r="D463" s="0" t="inlineStr">
        <is>
          <t xml:space="preserve">-</t>
        </is>
      </c>
      <c r="E463" s="0" t="inlineStr">
        <is>
          <t xml:space="preserve">-</t>
        </is>
      </c>
      <c r="F463" s="0" t="inlineStr">
        <is>
          <t xml:space="preserve">-</t>
        </is>
      </c>
      <c r="G463" s="5">
        <v>0.47046763</v>
      </c>
      <c r="H463" s="0" t="inlineStr">
        <is>
          <t xml:space="preserve">supplier</t>
        </is>
      </c>
      <c r="I463" s="0" t="inlineStr">
        <is>
          <t xml:space="preserve">unbucketed</t>
        </is>
      </c>
      <c r="J463" s="0" t="inlineStr">
        <is>
          <t xml:space="preserve">residual</t>
        </is>
      </c>
      <c r="K463" s="5">
        <v>0</v>
      </c>
      <c r="L463" s="5">
        <v>0</v>
      </c>
      <c r="M463" s="5">
        <v>0.47046763</v>
      </c>
      <c r="N463" s="5">
        <v>0.0</v>
      </c>
      <c r="O463" s="5">
        <v>0.12081818999999999</v>
      </c>
      <c r="P463" s="5">
        <v>0.0369796</v>
      </c>
      <c r="Q463" s="5">
        <v>0.03025032</v>
      </c>
      <c r="R463" s="5">
        <v>0.0339432</v>
      </c>
      <c r="S463" s="5">
        <v>0.0</v>
      </c>
      <c r="T463" s="5">
        <v>0.09959760000000001</v>
      </c>
      <c r="U463" s="5">
        <v>0.0</v>
      </c>
    </row>
    <row r="464" outlineLevel="1">
      <c r="B464" s="0" t="inlineStr">
        <is>
          <t xml:space="preserve">DROITCOUR CO</t>
        </is>
      </c>
      <c r="C464" s="0" t="inlineStr">
        <is>
          <t xml:space="preserve">M618ETNNYA77</t>
        </is>
      </c>
      <c r="D464" s="0" t="inlineStr">
        <is>
          <t xml:space="preserve">-</t>
        </is>
      </c>
      <c r="E464" s="0" t="inlineStr">
        <is>
          <t xml:space="preserve">-</t>
        </is>
      </c>
      <c r="F464" s="0" t="inlineStr">
        <is>
          <t xml:space="preserve">-</t>
        </is>
      </c>
      <c r="G464" s="5">
        <v>0.46693023999999994</v>
      </c>
      <c r="H464" s="0" t="inlineStr">
        <is>
          <t xml:space="preserve">supplier</t>
        </is>
      </c>
      <c r="I464" s="0" t="inlineStr">
        <is>
          <t xml:space="preserve">unbucketed</t>
        </is>
      </c>
      <c r="J464" s="0" t="inlineStr">
        <is>
          <t xml:space="preserve">residual</t>
        </is>
      </c>
      <c r="K464" s="5">
        <v>0</v>
      </c>
      <c r="L464" s="5">
        <v>0</v>
      </c>
      <c r="M464" s="5">
        <v>0.46693023999999994</v>
      </c>
      <c r="N464" s="5">
        <v>0.0</v>
      </c>
      <c r="O464" s="5">
        <v>0.0</v>
      </c>
      <c r="P464" s="5">
        <v>0.0</v>
      </c>
      <c r="Q464" s="5">
        <v>0.0</v>
      </c>
      <c r="R464" s="5">
        <v>0.0</v>
      </c>
      <c r="S464" s="5">
        <v>0.19287388</v>
      </c>
      <c r="T464" s="5">
        <v>0.09763284</v>
      </c>
      <c r="U464" s="5">
        <v>0.17642352</v>
      </c>
    </row>
    <row r="465" outlineLevel="1">
      <c r="B465" s="0" t="inlineStr">
        <is>
          <t xml:space="preserve">PPG INDUSTRIES, INC.</t>
        </is>
      </c>
      <c r="C465" s="0" t="inlineStr">
        <is>
          <t xml:space="preserve">YWX1QLBKSQD7</t>
        </is>
      </c>
      <c r="D465" s="0" t="inlineStr">
        <is>
          <t xml:space="preserve">-</t>
        </is>
      </c>
      <c r="E465" s="0" t="inlineStr">
        <is>
          <t xml:space="preserve">-</t>
        </is>
      </c>
      <c r="F465" s="0" t="inlineStr">
        <is>
          <t xml:space="preserve">-</t>
        </is>
      </c>
      <c r="G465" s="5">
        <v>0.46267535</v>
      </c>
      <c r="H465" s="0" t="inlineStr">
        <is>
          <t xml:space="preserve">supplier</t>
        </is>
      </c>
      <c r="I465" s="0" t="inlineStr">
        <is>
          <t xml:space="preserve">unbucketed</t>
        </is>
      </c>
      <c r="J465" s="0" t="inlineStr">
        <is>
          <t xml:space="preserve">residual</t>
        </is>
      </c>
      <c r="K465" s="5">
        <v>0</v>
      </c>
      <c r="L465" s="5">
        <v>0</v>
      </c>
      <c r="M465" s="5">
        <v>0.46267535</v>
      </c>
      <c r="N465" s="5">
        <v>0.236075</v>
      </c>
      <c r="O465" s="5">
        <v>0.0</v>
      </c>
      <c r="P465" s="5">
        <v>0.0</v>
      </c>
      <c r="Q465" s="5">
        <v>0.0</v>
      </c>
      <c r="R465" s="5">
        <v>0.0</v>
      </c>
      <c r="S465" s="5">
        <v>0.0</v>
      </c>
      <c r="T465" s="5">
        <v>0.0</v>
      </c>
      <c r="U465" s="5">
        <v>0.0</v>
      </c>
    </row>
    <row r="466" outlineLevel="1">
      <c r="B466" s="0" t="inlineStr">
        <is>
          <t xml:space="preserve">CONAM INSPECTION AND ENGINEERING SERVICES, INC.</t>
        </is>
      </c>
      <c r="C466" s="0" t="inlineStr">
        <is>
          <t xml:space="preserve">CERUMMHMPXZ9</t>
        </is>
      </c>
      <c r="D466" s="0" t="inlineStr">
        <is>
          <t xml:space="preserve">-</t>
        </is>
      </c>
      <c r="E466" s="0" t="inlineStr">
        <is>
          <t xml:space="preserve">-</t>
        </is>
      </c>
      <c r="F466" s="0" t="inlineStr">
        <is>
          <t xml:space="preserve">-</t>
        </is>
      </c>
      <c r="G466" s="5">
        <v>0.46199999999999997</v>
      </c>
      <c r="H466" s="0" t="inlineStr">
        <is>
          <t xml:space="preserve">supplier</t>
        </is>
      </c>
      <c r="I466" s="0" t="inlineStr">
        <is>
          <t xml:space="preserve">unbucketed</t>
        </is>
      </c>
      <c r="J466" s="0" t="inlineStr">
        <is>
          <t xml:space="preserve">residual</t>
        </is>
      </c>
      <c r="K466" s="5">
        <v>0</v>
      </c>
      <c r="L466" s="5">
        <v>0</v>
      </c>
      <c r="M466" s="5">
        <v>0.46199999999999997</v>
      </c>
      <c r="N466" s="5">
        <v>0.0</v>
      </c>
      <c r="O466" s="5">
        <v>0.0</v>
      </c>
      <c r="P466" s="5">
        <v>0.0</v>
      </c>
      <c r="Q466" s="5">
        <v>0.0</v>
      </c>
      <c r="R466" s="5">
        <v>0.0</v>
      </c>
      <c r="S466" s="5">
        <v>0.312</v>
      </c>
      <c r="T466" s="5">
        <v>0.0</v>
      </c>
      <c r="U466" s="5">
        <v>0.0</v>
      </c>
    </row>
    <row r="467" outlineLevel="1">
      <c r="B467" s="0" t="inlineStr">
        <is>
          <t xml:space="preserve">KAUFMAN COMPANY, INC.</t>
        </is>
      </c>
      <c r="C467" s="0" t="inlineStr">
        <is>
          <t xml:space="preserve">T3DYDNW4KVC7</t>
        </is>
      </c>
      <c r="D467" s="0" t="inlineStr">
        <is>
          <t xml:space="preserve">-</t>
        </is>
      </c>
      <c r="E467" s="0" t="inlineStr">
        <is>
          <t xml:space="preserve">-</t>
        </is>
      </c>
      <c r="F467" s="0" t="inlineStr">
        <is>
          <t xml:space="preserve">-</t>
        </is>
      </c>
      <c r="G467" s="5">
        <v>0.46192658999999997</v>
      </c>
      <c r="H467" s="0" t="inlineStr">
        <is>
          <t xml:space="preserve">supplier</t>
        </is>
      </c>
      <c r="I467" s="0" t="inlineStr">
        <is>
          <t xml:space="preserve">unbucketed</t>
        </is>
      </c>
      <c r="J467" s="0" t="inlineStr">
        <is>
          <t xml:space="preserve">residual</t>
        </is>
      </c>
      <c r="K467" s="5">
        <v>0</v>
      </c>
      <c r="L467" s="5">
        <v>0</v>
      </c>
      <c r="M467" s="5">
        <v>0.46192658999999997</v>
      </c>
      <c r="N467" s="5">
        <v>0.0</v>
      </c>
      <c r="O467" s="5">
        <v>0.0</v>
      </c>
      <c r="P467" s="5">
        <v>0.0</v>
      </c>
      <c r="Q467" s="5">
        <v>0.0</v>
      </c>
      <c r="R467" s="5">
        <v>0.0</v>
      </c>
      <c r="S467" s="5">
        <v>0.46192658999999997</v>
      </c>
      <c r="T467" s="5">
        <v>0.0</v>
      </c>
      <c r="U467" s="5">
        <v>0.0</v>
      </c>
    </row>
    <row r="468" outlineLevel="1">
      <c r="B468" s="0" t="inlineStr">
        <is>
          <t xml:space="preserve">WANNER ENGINEERING, INC.</t>
        </is>
      </c>
      <c r="C468" s="0" t="inlineStr">
        <is>
          <t xml:space="preserve">XLLQN8Q4P7M1</t>
        </is>
      </c>
      <c r="D468" s="0" t="inlineStr">
        <is>
          <t xml:space="preserve">-</t>
        </is>
      </c>
      <c r="E468" s="0" t="inlineStr">
        <is>
          <t xml:space="preserve">-</t>
        </is>
      </c>
      <c r="F468" s="0" t="inlineStr">
        <is>
          <t xml:space="preserve">-</t>
        </is>
      </c>
      <c r="G468" s="5">
        <v>0.4525</v>
      </c>
      <c r="H468" s="0" t="inlineStr">
        <is>
          <t xml:space="preserve">supplier</t>
        </is>
      </c>
      <c r="I468" s="0" t="inlineStr">
        <is>
          <t xml:space="preserve">unbucketed</t>
        </is>
      </c>
      <c r="J468" s="0" t="inlineStr">
        <is>
          <t xml:space="preserve">residual</t>
        </is>
      </c>
      <c r="K468" s="5">
        <v>0</v>
      </c>
      <c r="L468" s="5">
        <v>0</v>
      </c>
      <c r="M468" s="5">
        <v>0.4525</v>
      </c>
      <c r="N468" s="5">
        <v>0.0</v>
      </c>
      <c r="O468" s="5">
        <v>0.0</v>
      </c>
      <c r="P468" s="5">
        <v>0.0</v>
      </c>
      <c r="Q468" s="5">
        <v>0.0</v>
      </c>
      <c r="R468" s="5">
        <v>0.0</v>
      </c>
      <c r="S468" s="5">
        <v>0.0</v>
      </c>
      <c r="T468" s="5">
        <v>0.0</v>
      </c>
      <c r="U468" s="5">
        <v>0.0</v>
      </c>
    </row>
    <row r="469" outlineLevel="1">
      <c r="B469" s="0" t="inlineStr">
        <is>
          <t xml:space="preserve">MMC METROLOGY LAB, INC</t>
        </is>
      </c>
      <c r="C469" s="0" t="inlineStr">
        <is>
          <t xml:space="preserve">JU2ME5ZK8VL3</t>
        </is>
      </c>
      <c r="D469" s="0" t="inlineStr">
        <is>
          <t xml:space="preserve">-</t>
        </is>
      </c>
      <c r="E469" s="0" t="inlineStr">
        <is>
          <t xml:space="preserve">-</t>
        </is>
      </c>
      <c r="F469" s="0" t="inlineStr">
        <is>
          <t xml:space="preserve">-</t>
        </is>
      </c>
      <c r="G469" s="5">
        <v>0.44959999999999994</v>
      </c>
      <c r="H469" s="0" t="inlineStr">
        <is>
          <t xml:space="preserve">supplier</t>
        </is>
      </c>
      <c r="I469" s="0" t="inlineStr">
        <is>
          <t xml:space="preserve">unbucketed</t>
        </is>
      </c>
      <c r="J469" s="0" t="inlineStr">
        <is>
          <t xml:space="preserve">residual</t>
        </is>
      </c>
      <c r="K469" s="5">
        <v>0</v>
      </c>
      <c r="L469" s="5">
        <v>0</v>
      </c>
      <c r="M469" s="5">
        <v>0.44959999999999994</v>
      </c>
      <c r="N469" s="5">
        <v>0.0</v>
      </c>
      <c r="O469" s="5">
        <v>0.0</v>
      </c>
      <c r="P469" s="5">
        <v>0.0</v>
      </c>
      <c r="Q469" s="5">
        <v>0.0</v>
      </c>
      <c r="R469" s="5">
        <v>0.0</v>
      </c>
      <c r="S469" s="5">
        <v>0.0</v>
      </c>
      <c r="T469" s="5">
        <v>0.0</v>
      </c>
      <c r="U469" s="5">
        <v>0.0</v>
      </c>
    </row>
    <row r="470" outlineLevel="1">
      <c r="B470" s="0" t="inlineStr">
        <is>
          <t xml:space="preserve">I S C O CORPORATION</t>
        </is>
      </c>
      <c r="C470" s="0" t="inlineStr">
        <is>
          <t xml:space="preserve">LWF3CB1HFZF3</t>
        </is>
      </c>
      <c r="D470" s="0" t="inlineStr">
        <is>
          <t xml:space="preserve">-</t>
        </is>
      </c>
      <c r="E470" s="0" t="inlineStr">
        <is>
          <t xml:space="preserve">-</t>
        </is>
      </c>
      <c r="F470" s="0" t="inlineStr">
        <is>
          <t xml:space="preserve">-</t>
        </is>
      </c>
      <c r="G470" s="5">
        <v>0.44539478</v>
      </c>
      <c r="H470" s="0" t="inlineStr">
        <is>
          <t xml:space="preserve">supplier</t>
        </is>
      </c>
      <c r="I470" s="0" t="inlineStr">
        <is>
          <t xml:space="preserve">unbucketed</t>
        </is>
      </c>
      <c r="J470" s="0" t="inlineStr">
        <is>
          <t xml:space="preserve">residual</t>
        </is>
      </c>
      <c r="K470" s="5">
        <v>0</v>
      </c>
      <c r="L470" s="5">
        <v>0</v>
      </c>
      <c r="M470" s="5">
        <v>0.44539478</v>
      </c>
      <c r="N470" s="5">
        <v>0.14674924</v>
      </c>
      <c r="O470" s="5">
        <v>0.0</v>
      </c>
      <c r="P470" s="5">
        <v>0.12337456999999999</v>
      </c>
      <c r="Q470" s="5">
        <v>0.0</v>
      </c>
      <c r="R470" s="5">
        <v>0.0</v>
      </c>
      <c r="S470" s="5">
        <v>0.095086</v>
      </c>
      <c r="T470" s="5">
        <v>0.0</v>
      </c>
      <c r="U470" s="5">
        <v>0.08018497</v>
      </c>
    </row>
    <row r="471" outlineLevel="1">
      <c r="B471" s="0" t="inlineStr">
        <is>
          <t xml:space="preserve">TE CONNECTIVITY LTD.</t>
        </is>
      </c>
      <c r="C471" s="0" t="inlineStr">
        <is>
          <t xml:space="preserve">DJMMEPKGGNB3</t>
        </is>
      </c>
      <c r="D471" s="0" t="inlineStr">
        <is>
          <t xml:space="preserve">-</t>
        </is>
      </c>
      <c r="E471" s="0" t="inlineStr">
        <is>
          <t xml:space="preserve">-</t>
        </is>
      </c>
      <c r="F471" s="0" t="inlineStr">
        <is>
          <t xml:space="preserve">-</t>
        </is>
      </c>
      <c r="G471" s="5">
        <v>0.441241</v>
      </c>
      <c r="H471" s="0" t="inlineStr">
        <is>
          <t xml:space="preserve">supplier</t>
        </is>
      </c>
      <c r="I471" s="0" t="inlineStr">
        <is>
          <t xml:space="preserve">unbucketed</t>
        </is>
      </c>
      <c r="J471" s="0" t="inlineStr">
        <is>
          <t xml:space="preserve">residual</t>
        </is>
      </c>
      <c r="K471" s="5">
        <v>0</v>
      </c>
      <c r="L471" s="5">
        <v>0</v>
      </c>
      <c r="M471" s="5">
        <v>0.441241</v>
      </c>
      <c r="N471" s="5">
        <v>0.0</v>
      </c>
      <c r="O471" s="5">
        <v>0.0</v>
      </c>
      <c r="P471" s="5">
        <v>0.0</v>
      </c>
      <c r="Q471" s="5">
        <v>0.0</v>
      </c>
      <c r="R471" s="5">
        <v>0.0</v>
      </c>
      <c r="S471" s="5">
        <v>0.0</v>
      </c>
      <c r="T471" s="5">
        <v>0.0</v>
      </c>
      <c r="U471" s="5">
        <v>0.0</v>
      </c>
    </row>
    <row r="472" outlineLevel="1">
      <c r="B472" s="0" t="inlineStr">
        <is>
          <t xml:space="preserve">TITANIUM FABRICATION CORP</t>
        </is>
      </c>
      <c r="C472" s="0" t="inlineStr">
        <is>
          <t xml:space="preserve">VKBFB8MAZ357</t>
        </is>
      </c>
      <c r="D472" s="0" t="inlineStr">
        <is>
          <t xml:space="preserve">-</t>
        </is>
      </c>
      <c r="E472" s="0" t="inlineStr">
        <is>
          <t xml:space="preserve">-</t>
        </is>
      </c>
      <c r="F472" s="0" t="inlineStr">
        <is>
          <t xml:space="preserve">-</t>
        </is>
      </c>
      <c r="G472" s="5">
        <v>0.4373119999999999</v>
      </c>
      <c r="H472" s="0" t="inlineStr">
        <is>
          <t xml:space="preserve">supplier</t>
        </is>
      </c>
      <c r="I472" s="0" t="inlineStr">
        <is>
          <t xml:space="preserve">unbucketed</t>
        </is>
      </c>
      <c r="J472" s="0" t="inlineStr">
        <is>
          <t xml:space="preserve">residual</t>
        </is>
      </c>
      <c r="K472" s="5">
        <v>0</v>
      </c>
      <c r="L472" s="5">
        <v>0</v>
      </c>
      <c r="M472" s="5">
        <v>0.4373119999999999</v>
      </c>
      <c r="N472" s="5">
        <v>0.0</v>
      </c>
      <c r="O472" s="5">
        <v>0.0</v>
      </c>
      <c r="P472" s="5">
        <v>0.0</v>
      </c>
      <c r="Q472" s="5">
        <v>0.11196</v>
      </c>
      <c r="R472" s="5">
        <v>0.0</v>
      </c>
      <c r="S472" s="5">
        <v>0.14571</v>
      </c>
      <c r="T472" s="5">
        <v>0.133362</v>
      </c>
      <c r="U472" s="5">
        <v>0.04628</v>
      </c>
    </row>
    <row r="473" outlineLevel="1">
      <c r="B473" s="0" t="inlineStr">
        <is>
          <t xml:space="preserve">TDS AUTOMATION, INC.</t>
        </is>
      </c>
      <c r="C473" s="0" t="inlineStr">
        <is>
          <t xml:space="preserve">CSB6FUPJ5TC1</t>
        </is>
      </c>
      <c r="D473" s="0" t="inlineStr">
        <is>
          <t xml:space="preserve">-</t>
        </is>
      </c>
      <c r="E473" s="0" t="inlineStr">
        <is>
          <t xml:space="preserve">-</t>
        </is>
      </c>
      <c r="F473" s="0" t="inlineStr">
        <is>
          <t xml:space="preserve">-</t>
        </is>
      </c>
      <c r="G473" s="5">
        <v>0.429823</v>
      </c>
      <c r="H473" s="0" t="inlineStr">
        <is>
          <t xml:space="preserve">supplier</t>
        </is>
      </c>
      <c r="I473" s="0" t="inlineStr">
        <is>
          <t xml:space="preserve">unbucketed</t>
        </is>
      </c>
      <c r="J473" s="0" t="inlineStr">
        <is>
          <t xml:space="preserve">residual</t>
        </is>
      </c>
      <c r="K473" s="5">
        <v>0</v>
      </c>
      <c r="L473" s="5">
        <v>0</v>
      </c>
      <c r="M473" s="5">
        <v>0.429823</v>
      </c>
      <c r="N473" s="5">
        <v>0.0</v>
      </c>
      <c r="O473" s="5">
        <v>0.0</v>
      </c>
      <c r="P473" s="5">
        <v>0.0</v>
      </c>
      <c r="Q473" s="5">
        <v>0.0</v>
      </c>
      <c r="R473" s="5">
        <v>0.0</v>
      </c>
      <c r="S473" s="5">
        <v>0.0</v>
      </c>
      <c r="T473" s="5">
        <v>0.0</v>
      </c>
      <c r="U473" s="5">
        <v>0.429823</v>
      </c>
    </row>
    <row r="474" outlineLevel="1">
      <c r="B474" s="0" t="inlineStr">
        <is>
          <t xml:space="preserve">SCHNEIDER ELECTRIC SE</t>
        </is>
      </c>
      <c r="C474" s="0" t="inlineStr">
        <is>
          <t xml:space="preserve">MYNQR7KVKSA6</t>
        </is>
      </c>
      <c r="D474" s="0" t="inlineStr">
        <is>
          <t xml:space="preserve">-</t>
        </is>
      </c>
      <c r="E474" s="0" t="inlineStr">
        <is>
          <t xml:space="preserve">-</t>
        </is>
      </c>
      <c r="F474" s="0" t="inlineStr">
        <is>
          <t xml:space="preserve">-</t>
        </is>
      </c>
      <c r="G474" s="5">
        <v>0.42544913</v>
      </c>
      <c r="H474" s="0" t="inlineStr">
        <is>
          <t xml:space="preserve">supplier</t>
        </is>
      </c>
      <c r="I474" s="0" t="inlineStr">
        <is>
          <t xml:space="preserve">unbucketed</t>
        </is>
      </c>
      <c r="J474" s="0" t="inlineStr">
        <is>
          <t xml:space="preserve">residual</t>
        </is>
      </c>
      <c r="K474" s="5">
        <v>0</v>
      </c>
      <c r="L474" s="5">
        <v>0</v>
      </c>
      <c r="M474" s="5">
        <v>0.42544913</v>
      </c>
      <c r="N474" s="5">
        <v>0.0</v>
      </c>
      <c r="O474" s="5">
        <v>0.0</v>
      </c>
      <c r="P474" s="5">
        <v>0.0</v>
      </c>
      <c r="Q474" s="5">
        <v>0.0</v>
      </c>
      <c r="R474" s="5">
        <v>0.0</v>
      </c>
      <c r="S474" s="5">
        <v>0.42544913</v>
      </c>
      <c r="T474" s="5">
        <v>0.0</v>
      </c>
      <c r="U474" s="5">
        <v>0.0</v>
      </c>
    </row>
    <row r="475" outlineLevel="1">
      <c r="B475" s="0" t="inlineStr">
        <is>
          <t xml:space="preserve">WYNNCHURCH CAPITAL, L.P</t>
        </is>
      </c>
      <c r="C475" s="0" t="inlineStr">
        <is>
          <t xml:space="preserve">CN4DJZSKM3Y3</t>
        </is>
      </c>
      <c r="D475" s="0" t="inlineStr">
        <is>
          <t xml:space="preserve">-</t>
        </is>
      </c>
      <c r="E475" s="0" t="inlineStr">
        <is>
          <t xml:space="preserve">-</t>
        </is>
      </c>
      <c r="F475" s="0" t="inlineStr">
        <is>
          <t xml:space="preserve">-</t>
        </is>
      </c>
      <c r="G475" s="5">
        <v>0.42394963999999996</v>
      </c>
      <c r="H475" s="0" t="inlineStr">
        <is>
          <t xml:space="preserve">supplier</t>
        </is>
      </c>
      <c r="I475" s="0" t="inlineStr">
        <is>
          <t xml:space="preserve">unbucketed</t>
        </is>
      </c>
      <c r="J475" s="0" t="inlineStr">
        <is>
          <t xml:space="preserve">residual</t>
        </is>
      </c>
      <c r="K475" s="5">
        <v>0</v>
      </c>
      <c r="L475" s="5">
        <v>0</v>
      </c>
      <c r="M475" s="5">
        <v>0.42394963999999996</v>
      </c>
      <c r="N475" s="5">
        <v>0.0</v>
      </c>
      <c r="O475" s="5">
        <v>0.0</v>
      </c>
      <c r="P475" s="5">
        <v>0.0</v>
      </c>
      <c r="Q475" s="5">
        <v>0.42394963999999996</v>
      </c>
      <c r="R475" s="5">
        <v>0.0</v>
      </c>
      <c r="S475" s="5">
        <v>0.0</v>
      </c>
      <c r="T475" s="5">
        <v>0.0</v>
      </c>
      <c r="U475" s="5">
        <v>0.0</v>
      </c>
    </row>
    <row r="476" outlineLevel="1">
      <c r="B476" s="0" t="inlineStr">
        <is>
          <t xml:space="preserve">ZAPATA GROUP, INC.</t>
        </is>
      </c>
      <c r="C476" s="0" t="inlineStr">
        <is>
          <t xml:space="preserve">NRFJMVNYQ6C3</t>
        </is>
      </c>
      <c r="D476" s="0" t="inlineStr">
        <is>
          <t xml:space="preserve">-</t>
        </is>
      </c>
      <c r="E476" s="0" t="inlineStr">
        <is>
          <t xml:space="preserve">-</t>
        </is>
      </c>
      <c r="F476" s="0" t="inlineStr">
        <is>
          <t xml:space="preserve">-</t>
        </is>
      </c>
      <c r="G476" s="5">
        <v>0.42347</v>
      </c>
      <c r="H476" s="0" t="inlineStr">
        <is>
          <t xml:space="preserve">supplier</t>
        </is>
      </c>
      <c r="I476" s="0" t="inlineStr">
        <is>
          <t xml:space="preserve">unbucketed</t>
        </is>
      </c>
      <c r="J476" s="0" t="inlineStr">
        <is>
          <t xml:space="preserve">residual</t>
        </is>
      </c>
      <c r="K476" s="5">
        <v>0</v>
      </c>
      <c r="L476" s="5">
        <v>0</v>
      </c>
      <c r="M476" s="5">
        <v>0.42347</v>
      </c>
      <c r="N476" s="5">
        <v>0.0</v>
      </c>
      <c r="O476" s="5">
        <v>0.0</v>
      </c>
      <c r="P476" s="5">
        <v>0.0</v>
      </c>
      <c r="Q476" s="5">
        <v>0.0</v>
      </c>
      <c r="R476" s="5">
        <v>0.0</v>
      </c>
      <c r="S476" s="5">
        <v>0.0</v>
      </c>
      <c r="T476" s="5">
        <v>0.0</v>
      </c>
      <c r="U476" s="5">
        <v>0.0</v>
      </c>
    </row>
    <row r="477" outlineLevel="1">
      <c r="B477" s="0" t="inlineStr">
        <is>
          <t xml:space="preserve">LOVEJOY CURTIS LLC</t>
        </is>
      </c>
      <c r="C477" s="0" t="inlineStr">
        <is>
          <t xml:space="preserve">HK1VJ4NJ6QN7</t>
        </is>
      </c>
      <c r="D477" s="0" t="inlineStr">
        <is>
          <t xml:space="preserve">-</t>
        </is>
      </c>
      <c r="E477" s="0" t="inlineStr">
        <is>
          <t xml:space="preserve">-</t>
        </is>
      </c>
      <c r="F477" s="0" t="inlineStr">
        <is>
          <t xml:space="preserve">-</t>
        </is>
      </c>
      <c r="G477" s="5">
        <v>0.42114392000000006</v>
      </c>
      <c r="H477" s="0" t="inlineStr">
        <is>
          <t xml:space="preserve">supplier</t>
        </is>
      </c>
      <c r="I477" s="0" t="inlineStr">
        <is>
          <t xml:space="preserve">unbucketed</t>
        </is>
      </c>
      <c r="J477" s="0" t="inlineStr">
        <is>
          <t xml:space="preserve">residual</t>
        </is>
      </c>
      <c r="K477" s="5">
        <v>0</v>
      </c>
      <c r="L477" s="5">
        <v>0</v>
      </c>
      <c r="M477" s="5">
        <v>0.42114392000000006</v>
      </c>
      <c r="N477" s="5">
        <v>0.07622141</v>
      </c>
      <c r="O477" s="5">
        <v>0.0</v>
      </c>
      <c r="P477" s="5">
        <v>0.0</v>
      </c>
      <c r="Q477" s="5">
        <v>0.0</v>
      </c>
      <c r="R477" s="5">
        <v>0.22945910000000003</v>
      </c>
      <c r="S477" s="5">
        <v>0.0</v>
      </c>
      <c r="T477" s="5">
        <v>0.0</v>
      </c>
      <c r="U477" s="5">
        <v>0.0</v>
      </c>
    </row>
    <row r="478" outlineLevel="1">
      <c r="B478" s="0" t="inlineStr">
        <is>
          <t xml:space="preserve">ALTA EQUIPMENT GROUP INC.</t>
        </is>
      </c>
      <c r="C478" s="0" t="inlineStr">
        <is>
          <t xml:space="preserve">NSEVFLRKSUV1</t>
        </is>
      </c>
      <c r="D478" s="0" t="inlineStr">
        <is>
          <t xml:space="preserve">-</t>
        </is>
      </c>
      <c r="E478" s="0" t="inlineStr">
        <is>
          <t xml:space="preserve">-</t>
        </is>
      </c>
      <c r="F478" s="0" t="inlineStr">
        <is>
          <t xml:space="preserve">-</t>
        </is>
      </c>
      <c r="G478" s="5">
        <v>0.41577</v>
      </c>
      <c r="H478" s="0" t="inlineStr">
        <is>
          <t xml:space="preserve">supplier</t>
        </is>
      </c>
      <c r="I478" s="0" t="inlineStr">
        <is>
          <t xml:space="preserve">unbucketed</t>
        </is>
      </c>
      <c r="J478" s="0" t="inlineStr">
        <is>
          <t xml:space="preserve">residual</t>
        </is>
      </c>
      <c r="K478" s="5">
        <v>0</v>
      </c>
      <c r="L478" s="5">
        <v>0</v>
      </c>
      <c r="M478" s="5">
        <v>0.41577</v>
      </c>
      <c r="N478" s="5">
        <v>0.0</v>
      </c>
      <c r="O478" s="5">
        <v>0.0</v>
      </c>
      <c r="P478" s="5">
        <v>0.0</v>
      </c>
      <c r="Q478" s="5">
        <v>0.0</v>
      </c>
      <c r="R478" s="5">
        <v>0.333905</v>
      </c>
      <c r="S478" s="5">
        <v>0.0</v>
      </c>
      <c r="T478" s="5">
        <v>0.0</v>
      </c>
      <c r="U478" s="5">
        <v>0.0</v>
      </c>
    </row>
    <row r="479" outlineLevel="1">
      <c r="B479" s="0" t="inlineStr">
        <is>
          <t xml:space="preserve">MSA SAFETY SALES LLC</t>
        </is>
      </c>
      <c r="C479" s="0" t="inlineStr">
        <is>
          <t xml:space="preserve">EDJPMQN1HSJ1</t>
        </is>
      </c>
      <c r="D479" s="0" t="inlineStr">
        <is>
          <t xml:space="preserve">-</t>
        </is>
      </c>
      <c r="E479" s="0" t="inlineStr">
        <is>
          <t xml:space="preserve">-</t>
        </is>
      </c>
      <c r="F479" s="0" t="inlineStr">
        <is>
          <t xml:space="preserve">-</t>
        </is>
      </c>
      <c r="G479" s="5">
        <v>0.41377782</v>
      </c>
      <c r="H479" s="0" t="inlineStr">
        <is>
          <t xml:space="preserve">supplier</t>
        </is>
      </c>
      <c r="I479" s="0" t="inlineStr">
        <is>
          <t xml:space="preserve">unbucketed</t>
        </is>
      </c>
      <c r="J479" s="0" t="inlineStr">
        <is>
          <t xml:space="preserve">residual</t>
        </is>
      </c>
      <c r="K479" s="5">
        <v>0</v>
      </c>
      <c r="L479" s="5">
        <v>0</v>
      </c>
      <c r="M479" s="5">
        <v>0.41377782</v>
      </c>
      <c r="N479" s="5">
        <v>0.0</v>
      </c>
      <c r="O479" s="5">
        <v>0.0</v>
      </c>
      <c r="P479" s="5">
        <v>0.0</v>
      </c>
      <c r="Q479" s="5">
        <v>0.0</v>
      </c>
      <c r="R479" s="5">
        <v>0.41377782</v>
      </c>
      <c r="S479" s="5">
        <v>0.0</v>
      </c>
      <c r="T479" s="5">
        <v>0.0</v>
      </c>
      <c r="U479" s="5">
        <v>0.0</v>
      </c>
    </row>
    <row r="480" outlineLevel="1">
      <c r="B480" s="0" t="inlineStr">
        <is>
          <t xml:space="preserve">JOHNSON CONTROLS INTERNATIONAL PUBLIC LIMITED COMPANY</t>
        </is>
      </c>
      <c r="C480" s="0" t="inlineStr">
        <is>
          <t xml:space="preserve">SLD5KEGGLLZ3</t>
        </is>
      </c>
      <c r="D480" s="0" t="inlineStr">
        <is>
          <t xml:space="preserve">USA</t>
        </is>
      </c>
      <c r="E480" s="0" t="inlineStr">
        <is>
          <t xml:space="preserve">3334</t>
        </is>
      </c>
      <c r="F480" s="0" t="inlineStr">
        <is>
          <t xml:space="preserve">Air-Conditioning and Warm Air Heating Equipment and Commercial and Industrial Refrigeration Equipment Manufacturing</t>
        </is>
      </c>
      <c r="G480" s="5">
        <v>0.40592375999999997</v>
      </c>
      <c r="H480" s="0" t="inlineStr">
        <is>
          <t xml:space="preserve">supplier</t>
        </is>
      </c>
      <c r="I480" s="0" t="inlineStr">
        <is>
          <t xml:space="preserve">hvac</t>
        </is>
      </c>
      <c r="J480" s="0" t="inlineStr">
        <is>
          <t xml:space="preserve">registry</t>
        </is>
      </c>
      <c r="K480" s="5">
        <v>0</v>
      </c>
      <c r="L480" s="5">
        <v>0</v>
      </c>
      <c r="M480" s="5">
        <v>0.40592375999999997</v>
      </c>
      <c r="N480" s="5">
        <v>0.0</v>
      </c>
      <c r="O480" s="5">
        <v>0.0</v>
      </c>
      <c r="P480" s="5">
        <v>0.0</v>
      </c>
      <c r="Q480" s="5">
        <v>0.0</v>
      </c>
      <c r="R480" s="5">
        <v>0.0</v>
      </c>
      <c r="S480" s="5">
        <v>0.0</v>
      </c>
      <c r="T480" s="5">
        <v>0.0</v>
      </c>
      <c r="U480" s="5">
        <v>0.0</v>
      </c>
    </row>
    <row r="481" outlineLevel="1">
      <c r="B481" s="0" t="inlineStr">
        <is>
          <t xml:space="preserve">WÄRTSILÄ OYJ ABP</t>
        </is>
      </c>
      <c r="C481" s="0" t="inlineStr">
        <is>
          <t xml:space="preserve">FFKCVFLHNTE7</t>
        </is>
      </c>
      <c r="D481" s="0" t="inlineStr">
        <is>
          <t xml:space="preserve">-</t>
        </is>
      </c>
      <c r="E481" s="0" t="inlineStr">
        <is>
          <t xml:space="preserve">-</t>
        </is>
      </c>
      <c r="F481" s="0" t="inlineStr">
        <is>
          <t xml:space="preserve">-</t>
        </is>
      </c>
      <c r="G481" s="5">
        <v>0.40569449999999996</v>
      </c>
      <c r="H481" s="0" t="inlineStr">
        <is>
          <t xml:space="preserve">supplier</t>
        </is>
      </c>
      <c r="I481" s="0" t="inlineStr">
        <is>
          <t xml:space="preserve">unbucketed</t>
        </is>
      </c>
      <c r="J481" s="0" t="inlineStr">
        <is>
          <t xml:space="preserve">residual</t>
        </is>
      </c>
      <c r="K481" s="5">
        <v>0</v>
      </c>
      <c r="L481" s="5">
        <v>0</v>
      </c>
      <c r="M481" s="5">
        <v>0.40569449999999996</v>
      </c>
      <c r="N481" s="5">
        <v>0.0</v>
      </c>
      <c r="O481" s="5">
        <v>0.0</v>
      </c>
      <c r="P481" s="5">
        <v>0.0</v>
      </c>
      <c r="Q481" s="5">
        <v>0.0</v>
      </c>
      <c r="R481" s="5">
        <v>0.0</v>
      </c>
      <c r="S481" s="5">
        <v>0.0</v>
      </c>
      <c r="T481" s="5">
        <v>0.0</v>
      </c>
      <c r="U481" s="5">
        <v>0.0</v>
      </c>
    </row>
    <row r="482" outlineLevel="1">
      <c r="B482" s="0" t="inlineStr">
        <is>
          <t xml:space="preserve">CHRISTIAN PETER THOMSEN HOLDING APS</t>
        </is>
      </c>
      <c r="C482" s="0" t="inlineStr">
        <is>
          <t xml:space="preserve">XSVGNUK78U74</t>
        </is>
      </c>
      <c r="D482" s="0" t="inlineStr">
        <is>
          <t xml:space="preserve">Foreign</t>
        </is>
      </c>
      <c r="E482" s="0" t="inlineStr">
        <is>
          <t xml:space="preserve">-</t>
        </is>
      </c>
      <c r="F482" s="0" t="inlineStr">
        <is>
          <t xml:space="preserve">-</t>
        </is>
      </c>
      <c r="G482" s="5">
        <v>0.40264714</v>
      </c>
      <c r="H482" s="0" t="inlineStr">
        <is>
          <t xml:space="preserve">foreign_fms</t>
        </is>
      </c>
      <c r="I482" s="0" t="inlineStr">
        <is>
          <t xml:space="preserve">-</t>
        </is>
      </c>
      <c r="J482" s="0" t="inlineStr">
        <is>
          <t xml:space="preserve">foreign flag</t>
        </is>
      </c>
      <c r="K482" s="5">
        <v>0</v>
      </c>
      <c r="L482" s="5">
        <v>0</v>
      </c>
      <c r="M482" s="5">
        <v>0.40264714</v>
      </c>
      <c r="N482" s="5">
        <v>0.0</v>
      </c>
      <c r="O482" s="5">
        <v>0.0</v>
      </c>
      <c r="P482" s="5">
        <v>0.0</v>
      </c>
      <c r="Q482" s="5">
        <v>0.0</v>
      </c>
      <c r="R482" s="5">
        <v>0.0</v>
      </c>
      <c r="S482" s="5">
        <v>0.0</v>
      </c>
      <c r="T482" s="5">
        <v>0.0</v>
      </c>
      <c r="U482" s="5">
        <v>0.0</v>
      </c>
    </row>
    <row r="483" outlineLevel="1">
      <c r="B483" s="0" t="inlineStr">
        <is>
          <t xml:space="preserve">WARTSILA OYJ ABP</t>
        </is>
      </c>
      <c r="C483" s="0" t="inlineStr">
        <is>
          <t xml:space="preserve">FFKCVFLHNTE7</t>
        </is>
      </c>
      <c r="D483" s="0" t="inlineStr">
        <is>
          <t xml:space="preserve">-</t>
        </is>
      </c>
      <c r="E483" s="0" t="inlineStr">
        <is>
          <t xml:space="preserve">-</t>
        </is>
      </c>
      <c r="F483" s="0" t="inlineStr">
        <is>
          <t xml:space="preserve">-</t>
        </is>
      </c>
      <c r="G483" s="5">
        <v>0.402641</v>
      </c>
      <c r="H483" s="0" t="inlineStr">
        <is>
          <t xml:space="preserve">supplier</t>
        </is>
      </c>
      <c r="I483" s="0" t="inlineStr">
        <is>
          <t xml:space="preserve">unbucketed</t>
        </is>
      </c>
      <c r="J483" s="0" t="inlineStr">
        <is>
          <t xml:space="preserve">residual</t>
        </is>
      </c>
      <c r="K483" s="5">
        <v>0</v>
      </c>
      <c r="L483" s="5">
        <v>0</v>
      </c>
      <c r="M483" s="5">
        <v>0.402641</v>
      </c>
      <c r="N483" s="5">
        <v>0.276616</v>
      </c>
      <c r="O483" s="5">
        <v>0.0</v>
      </c>
      <c r="P483" s="5">
        <v>0.0</v>
      </c>
      <c r="Q483" s="5">
        <v>0.0</v>
      </c>
      <c r="R483" s="5">
        <v>0.0</v>
      </c>
      <c r="S483" s="5">
        <v>0.0</v>
      </c>
      <c r="T483" s="5">
        <v>0.0</v>
      </c>
      <c r="U483" s="5">
        <v>0.0</v>
      </c>
    </row>
    <row r="484" outlineLevel="1">
      <c r="B484" s="0" t="inlineStr">
        <is>
          <t xml:space="preserve">DYNAMIC PRECISION GROUP, INC.</t>
        </is>
      </c>
      <c r="C484" s="0" t="inlineStr">
        <is>
          <t xml:space="preserve">JLZUKW73FAM9</t>
        </is>
      </c>
      <c r="D484" s="0" t="inlineStr">
        <is>
          <t xml:space="preserve">-</t>
        </is>
      </c>
      <c r="E484" s="0" t="inlineStr">
        <is>
          <t xml:space="preserve">-</t>
        </is>
      </c>
      <c r="F484" s="0" t="inlineStr">
        <is>
          <t xml:space="preserve">-</t>
        </is>
      </c>
      <c r="G484" s="5">
        <v>0.399462</v>
      </c>
      <c r="H484" s="0" t="inlineStr">
        <is>
          <t xml:space="preserve">supplier</t>
        </is>
      </c>
      <c r="I484" s="0" t="inlineStr">
        <is>
          <t xml:space="preserve">unbucketed</t>
        </is>
      </c>
      <c r="J484" s="0" t="inlineStr">
        <is>
          <t xml:space="preserve">residual</t>
        </is>
      </c>
      <c r="K484" s="5">
        <v>0</v>
      </c>
      <c r="L484" s="5">
        <v>0</v>
      </c>
      <c r="M484" s="5">
        <v>0.399462</v>
      </c>
      <c r="N484" s="5">
        <v>0.0</v>
      </c>
      <c r="O484" s="5">
        <v>0.0</v>
      </c>
      <c r="P484" s="5">
        <v>0.0</v>
      </c>
      <c r="Q484" s="5">
        <v>0.0</v>
      </c>
      <c r="R484" s="5">
        <v>0.0</v>
      </c>
      <c r="S484" s="5">
        <v>0.0</v>
      </c>
      <c r="T484" s="5">
        <v>0.0</v>
      </c>
      <c r="U484" s="5">
        <v>0.0</v>
      </c>
    </row>
    <row r="485" outlineLevel="1">
      <c r="B485" s="0" t="inlineStr">
        <is>
          <t xml:space="preserve">SPIRAX SARCO INC</t>
        </is>
      </c>
      <c r="C485" s="0" t="inlineStr">
        <is>
          <t xml:space="preserve">CMTLME2MH6F4</t>
        </is>
      </c>
      <c r="D485" s="0" t="inlineStr">
        <is>
          <t xml:space="preserve">-</t>
        </is>
      </c>
      <c r="E485" s="0" t="inlineStr">
        <is>
          <t xml:space="preserve">-</t>
        </is>
      </c>
      <c r="F485" s="0" t="inlineStr">
        <is>
          <t xml:space="preserve">-</t>
        </is>
      </c>
      <c r="G485" s="5">
        <v>0.393426</v>
      </c>
      <c r="H485" s="0" t="inlineStr">
        <is>
          <t xml:space="preserve">supplier</t>
        </is>
      </c>
      <c r="I485" s="0" t="inlineStr">
        <is>
          <t xml:space="preserve">unbucketed</t>
        </is>
      </c>
      <c r="J485" s="0" t="inlineStr">
        <is>
          <t xml:space="preserve">residual</t>
        </is>
      </c>
      <c r="K485" s="5">
        <v>0</v>
      </c>
      <c r="L485" s="5">
        <v>0</v>
      </c>
      <c r="M485" s="5">
        <v>0.393426</v>
      </c>
      <c r="N485" s="5">
        <v>0.3381</v>
      </c>
      <c r="O485" s="5">
        <v>0.0</v>
      </c>
      <c r="P485" s="5">
        <v>0.0</v>
      </c>
      <c r="Q485" s="5">
        <v>0.0</v>
      </c>
      <c r="R485" s="5">
        <v>0.0</v>
      </c>
      <c r="S485" s="5">
        <v>0.0</v>
      </c>
      <c r="T485" s="5">
        <v>0.055326</v>
      </c>
      <c r="U485" s="5">
        <v>0.0</v>
      </c>
    </row>
    <row r="486" outlineLevel="1">
      <c r="B486" s="0" t="inlineStr">
        <is>
          <t xml:space="preserve">RWH CONSULTING GROUP, INC.</t>
        </is>
      </c>
      <c r="C486" s="0" t="inlineStr">
        <is>
          <t xml:space="preserve">U73RYB2RKTW4</t>
        </is>
      </c>
      <c r="D486" s="0" t="inlineStr">
        <is>
          <t xml:space="preserve">-</t>
        </is>
      </c>
      <c r="E486" s="0" t="inlineStr">
        <is>
          <t xml:space="preserve">-</t>
        </is>
      </c>
      <c r="F486" s="0" t="inlineStr">
        <is>
          <t xml:space="preserve">-</t>
        </is>
      </c>
      <c r="G486" s="5">
        <v>0.3927</v>
      </c>
      <c r="H486" s="0" t="inlineStr">
        <is>
          <t xml:space="preserve">supplier</t>
        </is>
      </c>
      <c r="I486" s="0" t="inlineStr">
        <is>
          <t xml:space="preserve">unbucketed</t>
        </is>
      </c>
      <c r="J486" s="0" t="inlineStr">
        <is>
          <t xml:space="preserve">residual</t>
        </is>
      </c>
      <c r="K486" s="5">
        <v>0</v>
      </c>
      <c r="L486" s="5">
        <v>0</v>
      </c>
      <c r="M486" s="5">
        <v>0.3927</v>
      </c>
      <c r="N486" s="5">
        <v>0.0</v>
      </c>
      <c r="O486" s="5">
        <v>0.0</v>
      </c>
      <c r="P486" s="5">
        <v>0.0</v>
      </c>
      <c r="Q486" s="5">
        <v>0.0</v>
      </c>
      <c r="R486" s="5">
        <v>0.0</v>
      </c>
      <c r="S486" s="5">
        <v>0.0</v>
      </c>
      <c r="T486" s="5">
        <v>0.0</v>
      </c>
      <c r="U486" s="5">
        <v>0.0</v>
      </c>
    </row>
    <row r="487" outlineLevel="1">
      <c r="B487" s="0" t="inlineStr">
        <is>
          <t xml:space="preserve">STS OPERATING, INC.</t>
        </is>
      </c>
      <c r="C487" s="0" t="inlineStr">
        <is>
          <t xml:space="preserve">GEZPNX8Q2RM3</t>
        </is>
      </c>
      <c r="D487" s="0" t="inlineStr">
        <is>
          <t xml:space="preserve">-</t>
        </is>
      </c>
      <c r="E487" s="0" t="inlineStr">
        <is>
          <t xml:space="preserve">-</t>
        </is>
      </c>
      <c r="F487" s="0" t="inlineStr">
        <is>
          <t xml:space="preserve">-</t>
        </is>
      </c>
      <c r="G487" s="5">
        <v>0.39072</v>
      </c>
      <c r="H487" s="0" t="inlineStr">
        <is>
          <t xml:space="preserve">supplier</t>
        </is>
      </c>
      <c r="I487" s="0" t="inlineStr">
        <is>
          <t xml:space="preserve">unbucketed</t>
        </is>
      </c>
      <c r="J487" s="0" t="inlineStr">
        <is>
          <t xml:space="preserve">residual</t>
        </is>
      </c>
      <c r="K487" s="5">
        <v>0</v>
      </c>
      <c r="L487" s="5">
        <v>0</v>
      </c>
      <c r="M487" s="5">
        <v>0.39072</v>
      </c>
      <c r="N487" s="5">
        <v>0.0</v>
      </c>
      <c r="O487" s="5">
        <v>0.0</v>
      </c>
      <c r="P487" s="5">
        <v>0.0</v>
      </c>
      <c r="Q487" s="5">
        <v>0.0</v>
      </c>
      <c r="R487" s="5">
        <v>0.0</v>
      </c>
      <c r="S487" s="5">
        <v>0.0</v>
      </c>
      <c r="T487" s="5">
        <v>0.0</v>
      </c>
      <c r="U487" s="5">
        <v>0.0</v>
      </c>
    </row>
    <row r="488" outlineLevel="1">
      <c r="B488" s="0" t="inlineStr">
        <is>
          <t xml:space="preserve">MTS SYSTEMS CORPORATION</t>
        </is>
      </c>
      <c r="C488" s="0" t="inlineStr">
        <is>
          <t xml:space="preserve">WREEAHYMRQ45</t>
        </is>
      </c>
      <c r="D488" s="0" t="inlineStr">
        <is>
          <t xml:space="preserve">-</t>
        </is>
      </c>
      <c r="E488" s="0" t="inlineStr">
        <is>
          <t xml:space="preserve">-</t>
        </is>
      </c>
      <c r="F488" s="0" t="inlineStr">
        <is>
          <t xml:space="preserve">-</t>
        </is>
      </c>
      <c r="G488" s="5">
        <v>0.387395</v>
      </c>
      <c r="H488" s="0" t="inlineStr">
        <is>
          <t xml:space="preserve">supplier</t>
        </is>
      </c>
      <c r="I488" s="0" t="inlineStr">
        <is>
          <t xml:space="preserve">electrical</t>
        </is>
      </c>
      <c r="J488" s="0" t="inlineStr">
        <is>
          <t xml:space="preserve">registry</t>
        </is>
      </c>
      <c r="K488" s="5">
        <v>0</v>
      </c>
      <c r="L488" s="5">
        <v>0</v>
      </c>
      <c r="M488" s="5">
        <v>0.387395</v>
      </c>
      <c r="N488" s="5">
        <v>0.0</v>
      </c>
      <c r="O488" s="5">
        <v>0.0</v>
      </c>
      <c r="P488" s="5">
        <v>0.0</v>
      </c>
      <c r="Q488" s="5">
        <v>0.0</v>
      </c>
      <c r="R488" s="5">
        <v>0.0</v>
      </c>
      <c r="S488" s="5">
        <v>0.0</v>
      </c>
      <c r="T488" s="5">
        <v>0.0</v>
      </c>
      <c r="U488" s="5">
        <v>0.0</v>
      </c>
    </row>
    <row r="489" outlineLevel="1">
      <c r="B489" s="0" t="inlineStr">
        <is>
          <t xml:space="preserve">L3HARRIS TECHNOLOGIES, INC.</t>
        </is>
      </c>
      <c r="C489" s="0" t="inlineStr">
        <is>
          <t xml:space="preserve">ZW3UMG9YVNA9</t>
        </is>
      </c>
      <c r="D489" s="0" t="inlineStr">
        <is>
          <t xml:space="preserve">USA</t>
        </is>
      </c>
      <c r="E489" s="0" t="inlineStr">
        <is>
          <t xml:space="preserve">3345</t>
        </is>
      </c>
      <c r="F489" s="0" t="inlineStr">
        <is>
          <t xml:space="preserve">Search, Detection, Navigation, Guidance, Aeronautical, and Nautical System and Instrument Manufacturing</t>
        </is>
      </c>
      <c r="G489" s="5">
        <v>0.38497499999999996</v>
      </c>
      <c r="H489" s="0" t="inlineStr">
        <is>
          <t xml:space="preserve">supplier</t>
        </is>
      </c>
      <c r="I489" s="0" t="inlineStr">
        <is>
          <t xml:space="preserve">electrical</t>
        </is>
      </c>
      <c r="J489" s="0" t="inlineStr">
        <is>
          <t xml:space="preserve">registry</t>
        </is>
      </c>
      <c r="K489" s="5">
        <v>0</v>
      </c>
      <c r="L489" s="5">
        <v>0</v>
      </c>
      <c r="M489" s="5">
        <v>0.38497499999999996</v>
      </c>
      <c r="N489" s="5">
        <v>0.0</v>
      </c>
      <c r="O489" s="5">
        <v>0.0</v>
      </c>
      <c r="P489" s="5">
        <v>0.0</v>
      </c>
      <c r="Q489" s="5">
        <v>0.0</v>
      </c>
      <c r="R489" s="5">
        <v>0.0</v>
      </c>
      <c r="S489" s="5">
        <v>0.0</v>
      </c>
      <c r="T489" s="5">
        <v>0.0</v>
      </c>
      <c r="U489" s="5">
        <v>0.0</v>
      </c>
    </row>
    <row r="490" outlineLevel="1">
      <c r="B490" s="0" t="inlineStr">
        <is>
          <t xml:space="preserve">MICROFLEX, INC.</t>
        </is>
      </c>
      <c r="C490" s="0" t="inlineStr">
        <is>
          <t xml:space="preserve">GMVJD1H9JQX8</t>
        </is>
      </c>
      <c r="D490" s="0" t="inlineStr">
        <is>
          <t xml:space="preserve">-</t>
        </is>
      </c>
      <c r="E490" s="0" t="inlineStr">
        <is>
          <t xml:space="preserve">-</t>
        </is>
      </c>
      <c r="F490" s="0" t="inlineStr">
        <is>
          <t xml:space="preserve">-</t>
        </is>
      </c>
      <c r="G490" s="5">
        <v>0.382492</v>
      </c>
      <c r="H490" s="0" t="inlineStr">
        <is>
          <t xml:space="preserve">supplier</t>
        </is>
      </c>
      <c r="I490" s="0" t="inlineStr">
        <is>
          <t xml:space="preserve">unbucketed</t>
        </is>
      </c>
      <c r="J490" s="0" t="inlineStr">
        <is>
          <t xml:space="preserve">residual</t>
        </is>
      </c>
      <c r="K490" s="5">
        <v>0</v>
      </c>
      <c r="L490" s="5">
        <v>0</v>
      </c>
      <c r="M490" s="5">
        <v>0.382492</v>
      </c>
      <c r="N490" s="5">
        <v>0.0</v>
      </c>
      <c r="O490" s="5">
        <v>0.212672</v>
      </c>
      <c r="P490" s="5">
        <v>0.0</v>
      </c>
      <c r="Q490" s="5">
        <v>0.0</v>
      </c>
      <c r="R490" s="5">
        <v>0.0</v>
      </c>
      <c r="S490" s="5">
        <v>0.16982</v>
      </c>
      <c r="T490" s="5">
        <v>0.0</v>
      </c>
      <c r="U490" s="5">
        <v>0.0</v>
      </c>
    </row>
    <row r="491" outlineLevel="1">
      <c r="B491" s="0" t="inlineStr">
        <is>
          <t xml:space="preserve">TE CONNECTIVITY LTD.</t>
        </is>
      </c>
      <c r="C491" s="0" t="inlineStr">
        <is>
          <t xml:space="preserve">N1MARKMJYJU3</t>
        </is>
      </c>
      <c r="D491" s="0" t="inlineStr">
        <is>
          <t xml:space="preserve">-</t>
        </is>
      </c>
      <c r="E491" s="0" t="inlineStr">
        <is>
          <t xml:space="preserve">-</t>
        </is>
      </c>
      <c r="F491" s="0" t="inlineStr">
        <is>
          <t xml:space="preserve">-</t>
        </is>
      </c>
      <c r="G491" s="5">
        <v>0.377408</v>
      </c>
      <c r="H491" s="0" t="inlineStr">
        <is>
          <t xml:space="preserve">supplier</t>
        </is>
      </c>
      <c r="I491" s="0" t="inlineStr">
        <is>
          <t xml:space="preserve">unbucketed</t>
        </is>
      </c>
      <c r="J491" s="0" t="inlineStr">
        <is>
          <t xml:space="preserve">residual</t>
        </is>
      </c>
      <c r="K491" s="5">
        <v>0</v>
      </c>
      <c r="L491" s="5">
        <v>0</v>
      </c>
      <c r="M491" s="5">
        <v>0.377408</v>
      </c>
      <c r="N491" s="5">
        <v>0.0</v>
      </c>
      <c r="O491" s="5">
        <v>0.0</v>
      </c>
      <c r="P491" s="5">
        <v>0.0</v>
      </c>
      <c r="Q491" s="5">
        <v>0.0</v>
      </c>
      <c r="R491" s="5">
        <v>0.0</v>
      </c>
      <c r="S491" s="5">
        <v>0.0</v>
      </c>
      <c r="T491" s="5">
        <v>0.0</v>
      </c>
      <c r="U491" s="5">
        <v>0.0</v>
      </c>
    </row>
    <row r="492" outlineLevel="1">
      <c r="B492" s="0" t="inlineStr">
        <is>
          <t xml:space="preserve">COMSACO, LLC</t>
        </is>
      </c>
      <c r="C492" s="0" t="inlineStr">
        <is>
          <t xml:space="preserve">C1B6X8AADFB1</t>
        </is>
      </c>
      <c r="D492" s="0" t="inlineStr">
        <is>
          <t xml:space="preserve">-</t>
        </is>
      </c>
      <c r="E492" s="0" t="inlineStr">
        <is>
          <t xml:space="preserve">-</t>
        </is>
      </c>
      <c r="F492" s="0" t="inlineStr">
        <is>
          <t xml:space="preserve">-</t>
        </is>
      </c>
      <c r="G492" s="5">
        <v>0.376316</v>
      </c>
      <c r="H492" s="0" t="inlineStr">
        <is>
          <t xml:space="preserve">supplier</t>
        </is>
      </c>
      <c r="I492" s="0" t="inlineStr">
        <is>
          <t xml:space="preserve">unbucketed</t>
        </is>
      </c>
      <c r="J492" s="0" t="inlineStr">
        <is>
          <t xml:space="preserve">residual</t>
        </is>
      </c>
      <c r="K492" s="5">
        <v>0</v>
      </c>
      <c r="L492" s="5">
        <v>0</v>
      </c>
      <c r="M492" s="5">
        <v>0.376316</v>
      </c>
      <c r="N492" s="5">
        <v>0.0</v>
      </c>
      <c r="O492" s="5">
        <v>0.039498</v>
      </c>
      <c r="P492" s="5">
        <v>0.0</v>
      </c>
      <c r="Q492" s="5">
        <v>0.22103499999999998</v>
      </c>
      <c r="R492" s="5">
        <v>0.035884</v>
      </c>
      <c r="S492" s="5">
        <v>0.0</v>
      </c>
      <c r="T492" s="5">
        <v>0.03116</v>
      </c>
      <c r="U492" s="5">
        <v>0.048739</v>
      </c>
    </row>
    <row r="493" outlineLevel="1">
      <c r="B493" s="0" t="inlineStr">
        <is>
          <t xml:space="preserve">WEST PHILA. BRONZE CO., INC</t>
        </is>
      </c>
      <c r="C493" s="0" t="inlineStr">
        <is>
          <t xml:space="preserve">GNH1FJWKY3G3</t>
        </is>
      </c>
      <c r="D493" s="0" t="inlineStr">
        <is>
          <t xml:space="preserve">-</t>
        </is>
      </c>
      <c r="E493" s="0" t="inlineStr">
        <is>
          <t xml:space="preserve">-</t>
        </is>
      </c>
      <c r="F493" s="0" t="inlineStr">
        <is>
          <t xml:space="preserve">-</t>
        </is>
      </c>
      <c r="G493" s="5">
        <v>0.37153049999999993</v>
      </c>
      <c r="H493" s="0" t="inlineStr">
        <is>
          <t xml:space="preserve">supplier</t>
        </is>
      </c>
      <c r="I493" s="0" t="inlineStr">
        <is>
          <t xml:space="preserve">unbucketed</t>
        </is>
      </c>
      <c r="J493" s="0" t="inlineStr">
        <is>
          <t xml:space="preserve">residual</t>
        </is>
      </c>
      <c r="K493" s="5">
        <v>0</v>
      </c>
      <c r="L493" s="5">
        <v>0</v>
      </c>
      <c r="M493" s="5">
        <v>0.37153049999999993</v>
      </c>
      <c r="N493" s="5">
        <v>0.0315</v>
      </c>
      <c r="O493" s="5">
        <v>0.05431125</v>
      </c>
      <c r="P493" s="5">
        <v>0.0</v>
      </c>
      <c r="Q493" s="5">
        <v>0.0</v>
      </c>
      <c r="R493" s="5">
        <v>0.00625</v>
      </c>
      <c r="S493" s="5">
        <v>0.15610075</v>
      </c>
      <c r="T493" s="5">
        <v>0.0823685</v>
      </c>
      <c r="U493" s="5">
        <v>0.041</v>
      </c>
    </row>
    <row r="494" outlineLevel="1">
      <c r="B494" s="0" t="inlineStr">
        <is>
          <t xml:space="preserve">SCHWEITZER ENGINEERING LABORATORIES INC</t>
        </is>
      </c>
      <c r="C494" s="0" t="inlineStr">
        <is>
          <t xml:space="preserve">EB3GK67LJFR1</t>
        </is>
      </c>
      <c r="D494" s="0" t="inlineStr">
        <is>
          <t xml:space="preserve">-</t>
        </is>
      </c>
      <c r="E494" s="0" t="inlineStr">
        <is>
          <t xml:space="preserve">-</t>
        </is>
      </c>
      <c r="F494" s="0" t="inlineStr">
        <is>
          <t xml:space="preserve">-</t>
        </is>
      </c>
      <c r="G494" s="5">
        <v>0.370815</v>
      </c>
      <c r="H494" s="0" t="inlineStr">
        <is>
          <t xml:space="preserve">supplier</t>
        </is>
      </c>
      <c r="I494" s="0" t="inlineStr">
        <is>
          <t xml:space="preserve">unbucketed</t>
        </is>
      </c>
      <c r="J494" s="0" t="inlineStr">
        <is>
          <t xml:space="preserve">residual</t>
        </is>
      </c>
      <c r="K494" s="5">
        <v>0</v>
      </c>
      <c r="L494" s="5">
        <v>0</v>
      </c>
      <c r="M494" s="5">
        <v>0.370815</v>
      </c>
      <c r="N494" s="5">
        <v>0.0</v>
      </c>
      <c r="O494" s="5">
        <v>0.0</v>
      </c>
      <c r="P494" s="5">
        <v>0.0</v>
      </c>
      <c r="Q494" s="5">
        <v>0.0</v>
      </c>
      <c r="R494" s="5">
        <v>0.0</v>
      </c>
      <c r="S494" s="5">
        <v>0.370815</v>
      </c>
      <c r="T494" s="5">
        <v>0.0</v>
      </c>
      <c r="U494" s="5">
        <v>0.0</v>
      </c>
    </row>
    <row r="495" outlineLevel="1">
      <c r="B495" s="0" t="inlineStr">
        <is>
          <t xml:space="preserve">VECTOR STIFTUNG</t>
        </is>
      </c>
      <c r="C495" s="0" t="inlineStr">
        <is>
          <t xml:space="preserve">V1XJX2JT3JK1</t>
        </is>
      </c>
      <c r="D495" s="0" t="inlineStr">
        <is>
          <t xml:space="preserve">-</t>
        </is>
      </c>
      <c r="E495" s="0" t="inlineStr">
        <is>
          <t xml:space="preserve">-</t>
        </is>
      </c>
      <c r="F495" s="0" t="inlineStr">
        <is>
          <t xml:space="preserve">-</t>
        </is>
      </c>
      <c r="G495" s="5">
        <v>0.367013</v>
      </c>
      <c r="H495" s="0" t="inlineStr">
        <is>
          <t xml:space="preserve">supplier</t>
        </is>
      </c>
      <c r="I495" s="0" t="inlineStr">
        <is>
          <t xml:space="preserve">unbucketed</t>
        </is>
      </c>
      <c r="J495" s="0" t="inlineStr">
        <is>
          <t xml:space="preserve">residual</t>
        </is>
      </c>
      <c r="K495" s="5">
        <v>0</v>
      </c>
      <c r="L495" s="5">
        <v>0</v>
      </c>
      <c r="M495" s="5">
        <v>0.367013</v>
      </c>
      <c r="N495" s="5">
        <v>0.0</v>
      </c>
      <c r="O495" s="5">
        <v>0.0</v>
      </c>
      <c r="P495" s="5">
        <v>0.0</v>
      </c>
      <c r="Q495" s="5">
        <v>0.0</v>
      </c>
      <c r="R495" s="5">
        <v>0.05455</v>
      </c>
      <c r="S495" s="5">
        <v>0.0</v>
      </c>
      <c r="T495" s="5">
        <v>0.0</v>
      </c>
      <c r="U495" s="5">
        <v>0.0</v>
      </c>
    </row>
    <row r="496" outlineLevel="1">
      <c r="B496" s="0" t="inlineStr">
        <is>
          <t xml:space="preserve">TATE ANDALE, LLC</t>
        </is>
      </c>
      <c r="C496" s="0" t="inlineStr">
        <is>
          <t xml:space="preserve">DQLZFV6PFCB9</t>
        </is>
      </c>
      <c r="D496" s="0" t="inlineStr">
        <is>
          <t xml:space="preserve">-</t>
        </is>
      </c>
      <c r="E496" s="0" t="inlineStr">
        <is>
          <t xml:space="preserve">-</t>
        </is>
      </c>
      <c r="F496" s="0" t="inlineStr">
        <is>
          <t xml:space="preserve">-</t>
        </is>
      </c>
      <c r="G496" s="5">
        <v>0.36302199999999996</v>
      </c>
      <c r="H496" s="0" t="inlineStr">
        <is>
          <t xml:space="preserve">supplier</t>
        </is>
      </c>
      <c r="I496" s="0" t="inlineStr">
        <is>
          <t xml:space="preserve">unbucketed</t>
        </is>
      </c>
      <c r="J496" s="0" t="inlineStr">
        <is>
          <t xml:space="preserve">residual</t>
        </is>
      </c>
      <c r="K496" s="5">
        <v>0</v>
      </c>
      <c r="L496" s="5">
        <v>0</v>
      </c>
      <c r="M496" s="5">
        <v>0.36302199999999996</v>
      </c>
      <c r="N496" s="5">
        <v>0.0</v>
      </c>
      <c r="O496" s="5">
        <v>0.0</v>
      </c>
      <c r="P496" s="5">
        <v>0.0</v>
      </c>
      <c r="Q496" s="5">
        <v>0.0</v>
      </c>
      <c r="R496" s="5">
        <v>0.0</v>
      </c>
      <c r="S496" s="5">
        <v>0.0</v>
      </c>
      <c r="T496" s="5">
        <v>0.074987</v>
      </c>
      <c r="U496" s="5">
        <v>0.0</v>
      </c>
    </row>
    <row r="497" outlineLevel="1">
      <c r="B497" s="0" t="inlineStr">
        <is>
          <t xml:space="preserve">TRIAS CONSTRUCTION LLC</t>
        </is>
      </c>
      <c r="C497" s="0" t="inlineStr">
        <is>
          <t xml:space="preserve">XNFVD42NAB73</t>
        </is>
      </c>
      <c r="D497" s="0" t="inlineStr">
        <is>
          <t xml:space="preserve">-</t>
        </is>
      </c>
      <c r="E497" s="0" t="inlineStr">
        <is>
          <t xml:space="preserve">-</t>
        </is>
      </c>
      <c r="F497" s="0" t="inlineStr">
        <is>
          <t xml:space="preserve">-</t>
        </is>
      </c>
      <c r="G497" s="5">
        <v>0.357811</v>
      </c>
      <c r="H497" s="0" t="inlineStr">
        <is>
          <t xml:space="preserve">supplier</t>
        </is>
      </c>
      <c r="I497" s="0" t="inlineStr">
        <is>
          <t xml:space="preserve">unbucketed</t>
        </is>
      </c>
      <c r="J497" s="0" t="inlineStr">
        <is>
          <t xml:space="preserve">residual</t>
        </is>
      </c>
      <c r="K497" s="5">
        <v>0</v>
      </c>
      <c r="L497" s="5">
        <v>0</v>
      </c>
      <c r="M497" s="5">
        <v>0.357811</v>
      </c>
      <c r="N497" s="5">
        <v>0.0</v>
      </c>
      <c r="O497" s="5">
        <v>0.0</v>
      </c>
      <c r="P497" s="5">
        <v>0.0</v>
      </c>
      <c r="Q497" s="5">
        <v>0.0</v>
      </c>
      <c r="R497" s="5">
        <v>0.0</v>
      </c>
      <c r="S497" s="5">
        <v>0.357811</v>
      </c>
      <c r="T497" s="5">
        <v>0.0</v>
      </c>
      <c r="U497" s="5">
        <v>0.0</v>
      </c>
    </row>
    <row r="498" outlineLevel="1">
      <c r="B498" s="0" t="inlineStr">
        <is>
          <t xml:space="preserve">MANPOWER INC.</t>
        </is>
      </c>
      <c r="C498" s="0" t="inlineStr">
        <is>
          <t xml:space="preserve">K572F32CSLG5</t>
        </is>
      </c>
      <c r="D498" s="0" t="inlineStr">
        <is>
          <t xml:space="preserve">-</t>
        </is>
      </c>
      <c r="E498" s="0" t="inlineStr">
        <is>
          <t xml:space="preserve">-</t>
        </is>
      </c>
      <c r="F498" s="0" t="inlineStr">
        <is>
          <t xml:space="preserve">-</t>
        </is>
      </c>
      <c r="G498" s="5">
        <v>0.35545</v>
      </c>
      <c r="H498" s="0" t="inlineStr">
        <is>
          <t xml:space="preserve">supplier</t>
        </is>
      </c>
      <c r="I498" s="0" t="inlineStr">
        <is>
          <t xml:space="preserve">unbucketed</t>
        </is>
      </c>
      <c r="J498" s="0" t="inlineStr">
        <is>
          <t xml:space="preserve">residual</t>
        </is>
      </c>
      <c r="K498" s="5">
        <v>0</v>
      </c>
      <c r="L498" s="5">
        <v>0</v>
      </c>
      <c r="M498" s="5">
        <v>0.35545</v>
      </c>
      <c r="N498" s="5">
        <v>0.0</v>
      </c>
      <c r="O498" s="5">
        <v>0.0</v>
      </c>
      <c r="P498" s="5">
        <v>0.0</v>
      </c>
      <c r="Q498" s="5">
        <v>0.0</v>
      </c>
      <c r="R498" s="5">
        <v>0.0</v>
      </c>
      <c r="S498" s="5">
        <v>0.35540362</v>
      </c>
      <c r="T498" s="5">
        <v>4.638e-05</v>
      </c>
      <c r="U498" s="5">
        <v>0.0</v>
      </c>
    </row>
    <row r="499" outlineLevel="1">
      <c r="B499" s="0" t="inlineStr">
        <is>
          <t xml:space="preserve">INSULATED WIRE INC.</t>
        </is>
      </c>
      <c r="C499" s="0" t="inlineStr">
        <is>
          <t xml:space="preserve">SFD8QNU62LD3</t>
        </is>
      </c>
      <c r="D499" s="0" t="inlineStr">
        <is>
          <t xml:space="preserve">-</t>
        </is>
      </c>
      <c r="E499" s="0" t="inlineStr">
        <is>
          <t xml:space="preserve">-</t>
        </is>
      </c>
      <c r="F499" s="0" t="inlineStr">
        <is>
          <t xml:space="preserve">-</t>
        </is>
      </c>
      <c r="G499" s="5">
        <v>0.35417606</v>
      </c>
      <c r="H499" s="0" t="inlineStr">
        <is>
          <t xml:space="preserve">supplier</t>
        </is>
      </c>
      <c r="I499" s="0" t="inlineStr">
        <is>
          <t xml:space="preserve">unbucketed</t>
        </is>
      </c>
      <c r="J499" s="0" t="inlineStr">
        <is>
          <t xml:space="preserve">residual</t>
        </is>
      </c>
      <c r="K499" s="5">
        <v>0</v>
      </c>
      <c r="L499" s="5">
        <v>0</v>
      </c>
      <c r="M499" s="5">
        <v>0.35417606</v>
      </c>
      <c r="N499" s="5">
        <v>0.08617824</v>
      </c>
      <c r="O499" s="5">
        <v>0.0602555</v>
      </c>
      <c r="P499" s="5">
        <v>0.0307248</v>
      </c>
      <c r="Q499" s="5">
        <v>0.0</v>
      </c>
      <c r="R499" s="5">
        <v>0.0</v>
      </c>
      <c r="S499" s="5">
        <v>0.0</v>
      </c>
      <c r="T499" s="5">
        <v>0.0</v>
      </c>
      <c r="U499" s="5">
        <v>0.0</v>
      </c>
    </row>
    <row r="500" outlineLevel="1">
      <c r="B500" s="0" t="inlineStr">
        <is>
          <t xml:space="preserve">BLOOMY CONTROLS, INC.</t>
        </is>
      </c>
      <c r="C500" s="0" t="inlineStr">
        <is>
          <t xml:space="preserve">F2KSX22KK1E4</t>
        </is>
      </c>
      <c r="D500" s="0" t="inlineStr">
        <is>
          <t xml:space="preserve">-</t>
        </is>
      </c>
      <c r="E500" s="0" t="inlineStr">
        <is>
          <t xml:space="preserve">-</t>
        </is>
      </c>
      <c r="F500" s="0" t="inlineStr">
        <is>
          <t xml:space="preserve">-</t>
        </is>
      </c>
      <c r="G500" s="5">
        <v>0.352702</v>
      </c>
      <c r="H500" s="0" t="inlineStr">
        <is>
          <t xml:space="preserve">supplier</t>
        </is>
      </c>
      <c r="I500" s="0" t="inlineStr">
        <is>
          <t xml:space="preserve">unbucketed</t>
        </is>
      </c>
      <c r="J500" s="0" t="inlineStr">
        <is>
          <t xml:space="preserve">residual</t>
        </is>
      </c>
      <c r="K500" s="5">
        <v>0</v>
      </c>
      <c r="L500" s="5">
        <v>0</v>
      </c>
      <c r="M500" s="5">
        <v>0.352702</v>
      </c>
      <c r="N500" s="5">
        <v>0.0</v>
      </c>
      <c r="O500" s="5">
        <v>0.0</v>
      </c>
      <c r="P500" s="5">
        <v>0.0</v>
      </c>
      <c r="Q500" s="5">
        <v>0.0</v>
      </c>
      <c r="R500" s="5">
        <v>0.0</v>
      </c>
      <c r="S500" s="5">
        <v>0.0</v>
      </c>
      <c r="T500" s="5">
        <v>0.0</v>
      </c>
      <c r="U500" s="5">
        <v>0.0</v>
      </c>
    </row>
    <row r="501" outlineLevel="1">
      <c r="B501" s="0" t="inlineStr">
        <is>
          <t xml:space="preserve">AMERICAN HYDRO LLC</t>
        </is>
      </c>
      <c r="C501" s="0" t="inlineStr">
        <is>
          <t xml:space="preserve">FFKCVFLHNTE7</t>
        </is>
      </c>
      <c r="D501" s="0" t="inlineStr">
        <is>
          <t xml:space="preserve">-</t>
        </is>
      </c>
      <c r="E501" s="0" t="inlineStr">
        <is>
          <t xml:space="preserve">-</t>
        </is>
      </c>
      <c r="F501" s="0" t="inlineStr">
        <is>
          <t xml:space="preserve">-</t>
        </is>
      </c>
      <c r="G501" s="5">
        <v>0.3513</v>
      </c>
      <c r="H501" s="0" t="inlineStr">
        <is>
          <t xml:space="preserve">supplier</t>
        </is>
      </c>
      <c r="I501" s="0" t="inlineStr">
        <is>
          <t xml:space="preserve">unbucketed</t>
        </is>
      </c>
      <c r="J501" s="0" t="inlineStr">
        <is>
          <t xml:space="preserve">residual</t>
        </is>
      </c>
      <c r="K501" s="5">
        <v>0</v>
      </c>
      <c r="L501" s="5">
        <v>0</v>
      </c>
      <c r="M501" s="5">
        <v>0.3513</v>
      </c>
      <c r="N501" s="5">
        <v>0.0</v>
      </c>
      <c r="O501" s="5">
        <v>0.3513</v>
      </c>
      <c r="P501" s="5">
        <v>0.0</v>
      </c>
      <c r="Q501" s="5">
        <v>0.0</v>
      </c>
      <c r="R501" s="5">
        <v>0.0</v>
      </c>
      <c r="S501" s="5">
        <v>0.0</v>
      </c>
      <c r="T501" s="5">
        <v>0.0</v>
      </c>
      <c r="U501" s="5">
        <v>0.0</v>
      </c>
    </row>
    <row r="502" outlineLevel="1">
      <c r="B502" s="0" t="inlineStr">
        <is>
          <t xml:space="preserve">NC PRECISION LLC</t>
        </is>
      </c>
      <c r="C502" s="0" t="inlineStr">
        <is>
          <t xml:space="preserve">CP1HCZ82DJL7</t>
        </is>
      </c>
      <c r="D502" s="0" t="inlineStr">
        <is>
          <t xml:space="preserve">-</t>
        </is>
      </c>
      <c r="E502" s="0" t="inlineStr">
        <is>
          <t xml:space="preserve">-</t>
        </is>
      </c>
      <c r="F502" s="0" t="inlineStr">
        <is>
          <t xml:space="preserve">-</t>
        </is>
      </c>
      <c r="G502" s="5">
        <v>0.34953426000000004</v>
      </c>
      <c r="H502" s="0" t="inlineStr">
        <is>
          <t xml:space="preserve">supplier</t>
        </is>
      </c>
      <c r="I502" s="0" t="inlineStr">
        <is>
          <t xml:space="preserve">unbucketed</t>
        </is>
      </c>
      <c r="J502" s="0" t="inlineStr">
        <is>
          <t xml:space="preserve">residual</t>
        </is>
      </c>
      <c r="K502" s="5">
        <v>0</v>
      </c>
      <c r="L502" s="5">
        <v>0</v>
      </c>
      <c r="M502" s="5">
        <v>0.34953426000000004</v>
      </c>
      <c r="N502" s="5">
        <v>0.0</v>
      </c>
      <c r="O502" s="5">
        <v>0.0</v>
      </c>
      <c r="P502" s="5">
        <v>0.13654173</v>
      </c>
      <c r="Q502" s="5">
        <v>0.18038453</v>
      </c>
      <c r="R502" s="5">
        <v>0.0</v>
      </c>
      <c r="S502" s="5">
        <v>0.032608</v>
      </c>
      <c r="T502" s="5">
        <v>0.0</v>
      </c>
      <c r="U502" s="5">
        <v>0.0</v>
      </c>
    </row>
    <row r="503" outlineLevel="1">
      <c r="B503" s="0" t="inlineStr">
        <is>
          <t xml:space="preserve">SCHNEIDER ELECTRIC SE</t>
        </is>
      </c>
      <c r="C503" s="0" t="inlineStr">
        <is>
          <t xml:space="preserve">GFSJF2WNK1E1</t>
        </is>
      </c>
      <c r="D503" s="0" t="inlineStr">
        <is>
          <t xml:space="preserve">-</t>
        </is>
      </c>
      <c r="E503" s="0" t="inlineStr">
        <is>
          <t xml:space="preserve">-</t>
        </is>
      </c>
      <c r="F503" s="0" t="inlineStr">
        <is>
          <t xml:space="preserve">-</t>
        </is>
      </c>
      <c r="G503" s="5">
        <v>0.34917502999999994</v>
      </c>
      <c r="H503" s="0" t="inlineStr">
        <is>
          <t xml:space="preserve">supplier</t>
        </is>
      </c>
      <c r="I503" s="0" t="inlineStr">
        <is>
          <t xml:space="preserve">unbucketed</t>
        </is>
      </c>
      <c r="J503" s="0" t="inlineStr">
        <is>
          <t xml:space="preserve">residual</t>
        </is>
      </c>
      <c r="K503" s="5">
        <v>0</v>
      </c>
      <c r="L503" s="5">
        <v>0</v>
      </c>
      <c r="M503" s="5">
        <v>0.34917502999999994</v>
      </c>
      <c r="N503" s="5">
        <v>0.34916147999999997</v>
      </c>
      <c r="O503" s="5">
        <v>0.0</v>
      </c>
      <c r="P503" s="5">
        <v>0.0</v>
      </c>
      <c r="Q503" s="5">
        <v>0.0</v>
      </c>
      <c r="R503" s="5">
        <v>0.0</v>
      </c>
      <c r="S503" s="5">
        <v>0.0</v>
      </c>
      <c r="T503" s="5">
        <v>0.0</v>
      </c>
      <c r="U503" s="5">
        <v>0.0</v>
      </c>
    </row>
    <row r="504" outlineLevel="1">
      <c r="B504" s="0" t="inlineStr">
        <is>
          <t xml:space="preserve">ONE ROCK CAPITAL PARTNERS, LLC</t>
        </is>
      </c>
      <c r="C504" s="0" t="inlineStr">
        <is>
          <t xml:space="preserve">L5YANW2XSND4</t>
        </is>
      </c>
      <c r="D504" s="0" t="inlineStr">
        <is>
          <t xml:space="preserve">-</t>
        </is>
      </c>
      <c r="E504" s="0" t="inlineStr">
        <is>
          <t xml:space="preserve">-</t>
        </is>
      </c>
      <c r="F504" s="0" t="inlineStr">
        <is>
          <t xml:space="preserve">-</t>
        </is>
      </c>
      <c r="G504" s="5">
        <v>0.34388463999999996</v>
      </c>
      <c r="H504" s="0" t="inlineStr">
        <is>
          <t xml:space="preserve">supplier</t>
        </is>
      </c>
      <c r="I504" s="0" t="inlineStr">
        <is>
          <t xml:space="preserve">unbucketed</t>
        </is>
      </c>
      <c r="J504" s="0" t="inlineStr">
        <is>
          <t xml:space="preserve">residual</t>
        </is>
      </c>
      <c r="K504" s="5">
        <v>0</v>
      </c>
      <c r="L504" s="5">
        <v>0</v>
      </c>
      <c r="M504" s="5">
        <v>0.34388463999999996</v>
      </c>
      <c r="N504" s="5">
        <v>0.06504232</v>
      </c>
      <c r="O504" s="5">
        <v>0.0</v>
      </c>
      <c r="P504" s="5">
        <v>0.0</v>
      </c>
      <c r="Q504" s="5">
        <v>0.0</v>
      </c>
      <c r="R504" s="5">
        <v>0.09402</v>
      </c>
      <c r="S504" s="5">
        <v>0.0</v>
      </c>
      <c r="T504" s="5">
        <v>0.0</v>
      </c>
      <c r="U504" s="5">
        <v>0.0</v>
      </c>
    </row>
    <row r="505" outlineLevel="1">
      <c r="B505" s="0" t="inlineStr">
        <is>
          <t xml:space="preserve">DOERFER ACQUISITION COMPANY</t>
        </is>
      </c>
      <c r="C505" s="0" t="inlineStr">
        <is>
          <t xml:space="preserve">CSB6FUPJ5TC1</t>
        </is>
      </c>
      <c r="D505" s="0" t="inlineStr">
        <is>
          <t xml:space="preserve">-</t>
        </is>
      </c>
      <c r="E505" s="0" t="inlineStr">
        <is>
          <t xml:space="preserve">-</t>
        </is>
      </c>
      <c r="F505" s="0" t="inlineStr">
        <is>
          <t xml:space="preserve">-</t>
        </is>
      </c>
      <c r="G505" s="5">
        <v>0.3394081</v>
      </c>
      <c r="H505" s="0" t="inlineStr">
        <is>
          <t xml:space="preserve">supplier</t>
        </is>
      </c>
      <c r="I505" s="0" t="inlineStr">
        <is>
          <t xml:space="preserve">unbucketed</t>
        </is>
      </c>
      <c r="J505" s="0" t="inlineStr">
        <is>
          <t xml:space="preserve">residual</t>
        </is>
      </c>
      <c r="K505" s="5">
        <v>0</v>
      </c>
      <c r="L505" s="5">
        <v>0</v>
      </c>
      <c r="M505" s="5">
        <v>0.3394081</v>
      </c>
      <c r="N505" s="5">
        <v>0.0</v>
      </c>
      <c r="O505" s="5">
        <v>0.0</v>
      </c>
      <c r="P505" s="5">
        <v>0.0</v>
      </c>
      <c r="Q505" s="5">
        <v>0.0</v>
      </c>
      <c r="R505" s="5">
        <v>0.0</v>
      </c>
      <c r="S505" s="5">
        <v>0.0</v>
      </c>
      <c r="T505" s="5">
        <v>0.0</v>
      </c>
      <c r="U505" s="5">
        <v>0.0</v>
      </c>
    </row>
    <row r="506" outlineLevel="1">
      <c r="B506" s="0" t="inlineStr">
        <is>
          <t xml:space="preserve">DENNEY PLASTICS MACHINING LLC</t>
        </is>
      </c>
      <c r="C506" s="0" t="inlineStr">
        <is>
          <t xml:space="preserve">NNNPMB5KA1V6</t>
        </is>
      </c>
      <c r="D506" s="0" t="inlineStr">
        <is>
          <t xml:space="preserve">-</t>
        </is>
      </c>
      <c r="E506" s="0" t="inlineStr">
        <is>
          <t xml:space="preserve">-</t>
        </is>
      </c>
      <c r="F506" s="0" t="inlineStr">
        <is>
          <t xml:space="preserve">-</t>
        </is>
      </c>
      <c r="G506" s="5">
        <v>0.33795195</v>
      </c>
      <c r="H506" s="0" t="inlineStr">
        <is>
          <t xml:space="preserve">supplier</t>
        </is>
      </c>
      <c r="I506" s="0" t="inlineStr">
        <is>
          <t xml:space="preserve">unbucketed</t>
        </is>
      </c>
      <c r="J506" s="0" t="inlineStr">
        <is>
          <t xml:space="preserve">residual</t>
        </is>
      </c>
      <c r="K506" s="5">
        <v>0</v>
      </c>
      <c r="L506" s="5">
        <v>0</v>
      </c>
      <c r="M506" s="5">
        <v>0.33795195</v>
      </c>
      <c r="N506" s="5">
        <v>0.0</v>
      </c>
      <c r="O506" s="5">
        <v>0.09304</v>
      </c>
      <c r="P506" s="5">
        <v>0.07674199</v>
      </c>
      <c r="Q506" s="5">
        <v>0.0</v>
      </c>
      <c r="R506" s="5">
        <v>0.0</v>
      </c>
      <c r="S506" s="5">
        <v>0.057945</v>
      </c>
      <c r="T506" s="5">
        <v>0.049696</v>
      </c>
      <c r="U506" s="5">
        <v>0.0</v>
      </c>
    </row>
    <row r="507" outlineLevel="1">
      <c r="B507" s="0" t="inlineStr">
        <is>
          <t xml:space="preserve">PARKER-HANNIFIN CORPORATION</t>
        </is>
      </c>
      <c r="C507" s="0" t="inlineStr">
        <is>
          <t xml:space="preserve">QF82VVEDYFC3</t>
        </is>
      </c>
      <c r="D507" s="0" t="inlineStr">
        <is>
          <t xml:space="preserve">USA</t>
        </is>
      </c>
      <c r="E507" s="0" t="inlineStr">
        <is>
          <t xml:space="preserve">5511</t>
        </is>
      </c>
      <c r="F507" s="0" t="inlineStr">
        <is>
          <t xml:space="preserve">Corporate, Subsidiary, and Regional Managing Offices</t>
        </is>
      </c>
      <c r="G507" s="5">
        <v>0.336991</v>
      </c>
      <c r="H507" s="0" t="inlineStr">
        <is>
          <t xml:space="preserve">holding</t>
        </is>
      </c>
      <c r="I507" s="0" t="inlineStr">
        <is>
          <t xml:space="preserve">-</t>
        </is>
      </c>
      <c r="J507" s="0" t="inlineStr">
        <is>
          <t xml:space="preserve">holding-co (5511)</t>
        </is>
      </c>
      <c r="K507" s="5">
        <v>0</v>
      </c>
      <c r="L507" s="5">
        <v>0</v>
      </c>
      <c r="M507" s="5">
        <v>0.336991</v>
      </c>
      <c r="N507" s="5">
        <v>0.0</v>
      </c>
      <c r="O507" s="5">
        <v>0.0</v>
      </c>
      <c r="P507" s="5">
        <v>0.0</v>
      </c>
      <c r="Q507" s="5">
        <v>0.0</v>
      </c>
      <c r="R507" s="5">
        <v>0.048732</v>
      </c>
      <c r="S507" s="5">
        <v>0.0</v>
      </c>
      <c r="T507" s="5">
        <v>0.0</v>
      </c>
      <c r="U507" s="5">
        <v>0.0</v>
      </c>
    </row>
    <row r="508" outlineLevel="1">
      <c r="B508" s="0" t="inlineStr">
        <is>
          <t xml:space="preserve">CATERPILLAR INC.</t>
        </is>
      </c>
      <c r="C508" s="0" t="inlineStr">
        <is>
          <t xml:space="preserve">C9C6HPQLL4A8</t>
        </is>
      </c>
      <c r="D508" s="0" t="inlineStr">
        <is>
          <t xml:space="preserve">-</t>
        </is>
      </c>
      <c r="E508" s="0" t="inlineStr">
        <is>
          <t xml:space="preserve">-</t>
        </is>
      </c>
      <c r="F508" s="0" t="inlineStr">
        <is>
          <t xml:space="preserve">-</t>
        </is>
      </c>
      <c r="G508" s="5">
        <v>0.33560488</v>
      </c>
      <c r="H508" s="0" t="inlineStr">
        <is>
          <t xml:space="preserve">supplier</t>
        </is>
      </c>
      <c r="I508" s="0" t="inlineStr">
        <is>
          <t xml:space="preserve">electrical</t>
        </is>
      </c>
      <c r="J508" s="0" t="inlineStr">
        <is>
          <t xml:space="preserve">registry</t>
        </is>
      </c>
      <c r="K508" s="5">
        <v>0</v>
      </c>
      <c r="L508" s="5">
        <v>0</v>
      </c>
      <c r="M508" s="5">
        <v>0.33560488</v>
      </c>
      <c r="N508" s="5">
        <v>0.0</v>
      </c>
      <c r="O508" s="5">
        <v>0.0</v>
      </c>
      <c r="P508" s="5">
        <v>0.0</v>
      </c>
      <c r="Q508" s="5">
        <v>0.0</v>
      </c>
      <c r="R508" s="5">
        <v>0.08007821000000001</v>
      </c>
      <c r="S508" s="5">
        <v>0.0</v>
      </c>
      <c r="T508" s="5">
        <v>0.0</v>
      </c>
      <c r="U508" s="5">
        <v>0.0</v>
      </c>
    </row>
    <row r="509" outlineLevel="1">
      <c r="B509" s="0" t="inlineStr">
        <is>
          <t xml:space="preserve">EATON CORPORATION PUBLIC LIMITED COMPANY</t>
        </is>
      </c>
      <c r="C509" s="0" t="inlineStr">
        <is>
          <t xml:space="preserve">UPAPN5VL4KR9</t>
        </is>
      </c>
      <c r="D509" s="0" t="inlineStr">
        <is>
          <t xml:space="preserve">-</t>
        </is>
      </c>
      <c r="E509" s="0" t="inlineStr">
        <is>
          <t xml:space="preserve">-</t>
        </is>
      </c>
      <c r="F509" s="0" t="inlineStr">
        <is>
          <t xml:space="preserve">-</t>
        </is>
      </c>
      <c r="G509" s="5">
        <v>0.334508</v>
      </c>
      <c r="H509" s="0" t="inlineStr">
        <is>
          <t xml:space="preserve">supplier</t>
        </is>
      </c>
      <c r="I509" s="0" t="inlineStr">
        <is>
          <t xml:space="preserve">unbucketed</t>
        </is>
      </c>
      <c r="J509" s="0" t="inlineStr">
        <is>
          <t xml:space="preserve">residual</t>
        </is>
      </c>
      <c r="K509" s="5">
        <v>0</v>
      </c>
      <c r="L509" s="5">
        <v>0</v>
      </c>
      <c r="M509" s="5">
        <v>0.334508</v>
      </c>
      <c r="N509" s="5">
        <v>0.0</v>
      </c>
      <c r="O509" s="5">
        <v>0.0</v>
      </c>
      <c r="P509" s="5">
        <v>0.0</v>
      </c>
      <c r="Q509" s="5">
        <v>0.0</v>
      </c>
      <c r="R509" s="5">
        <v>0.0</v>
      </c>
      <c r="S509" s="5">
        <v>0.0</v>
      </c>
      <c r="T509" s="5">
        <v>0.0</v>
      </c>
      <c r="U509" s="5">
        <v>0.0</v>
      </c>
    </row>
    <row r="510" outlineLevel="1">
      <c r="B510" s="0" t="inlineStr">
        <is>
          <t xml:space="preserve">OCEANEERING INTERNATIONAL, INC</t>
        </is>
      </c>
      <c r="C510" s="0" t="inlineStr">
        <is>
          <t xml:space="preserve">X6N2CNV552X7</t>
        </is>
      </c>
      <c r="D510" s="0" t="inlineStr">
        <is>
          <t xml:space="preserve">-</t>
        </is>
      </c>
      <c r="E510" s="0" t="inlineStr">
        <is>
          <t xml:space="preserve">-</t>
        </is>
      </c>
      <c r="F510" s="0" t="inlineStr">
        <is>
          <t xml:space="preserve">-</t>
        </is>
      </c>
      <c r="G510" s="5">
        <v>0.332611</v>
      </c>
      <c r="H510" s="0" t="inlineStr">
        <is>
          <t xml:space="preserve">supplier</t>
        </is>
      </c>
      <c r="I510" s="0" t="inlineStr">
        <is>
          <t xml:space="preserve">structural</t>
        </is>
      </c>
      <c r="J510" s="0" t="inlineStr">
        <is>
          <t xml:space="preserve">registry</t>
        </is>
      </c>
      <c r="K510" s="5">
        <v>0</v>
      </c>
      <c r="L510" s="5">
        <v>0</v>
      </c>
      <c r="M510" s="5">
        <v>0.332611</v>
      </c>
      <c r="N510" s="5">
        <v>0.0</v>
      </c>
      <c r="O510" s="5">
        <v>0.0</v>
      </c>
      <c r="P510" s="5">
        <v>0.0</v>
      </c>
      <c r="Q510" s="5">
        <v>0.332611</v>
      </c>
      <c r="R510" s="5">
        <v>0.0</v>
      </c>
      <c r="S510" s="5">
        <v>0.0</v>
      </c>
      <c r="T510" s="5">
        <v>0.0</v>
      </c>
      <c r="U510" s="5">
        <v>0.0</v>
      </c>
    </row>
    <row r="511" outlineLevel="1">
      <c r="B511" s="0" t="inlineStr">
        <is>
          <t xml:space="preserve">MARINE POLYMERS INC</t>
        </is>
      </c>
      <c r="C511" s="0" t="inlineStr">
        <is>
          <t xml:space="preserve">LZP6L339NKZ9</t>
        </is>
      </c>
      <c r="D511" s="0" t="inlineStr">
        <is>
          <t xml:space="preserve">-</t>
        </is>
      </c>
      <c r="E511" s="0" t="inlineStr">
        <is>
          <t xml:space="preserve">-</t>
        </is>
      </c>
      <c r="F511" s="0" t="inlineStr">
        <is>
          <t xml:space="preserve">-</t>
        </is>
      </c>
      <c r="G511" s="5">
        <v>0.33</v>
      </c>
      <c r="H511" s="0" t="inlineStr">
        <is>
          <t xml:space="preserve">supplier</t>
        </is>
      </c>
      <c r="I511" s="0" t="inlineStr">
        <is>
          <t xml:space="preserve">unbucketed</t>
        </is>
      </c>
      <c r="J511" s="0" t="inlineStr">
        <is>
          <t xml:space="preserve">residual</t>
        </is>
      </c>
      <c r="K511" s="5">
        <v>0</v>
      </c>
      <c r="L511" s="5">
        <v>0</v>
      </c>
      <c r="M511" s="5">
        <v>0.33</v>
      </c>
      <c r="N511" s="5">
        <v>0.0</v>
      </c>
      <c r="O511" s="5">
        <v>0.0</v>
      </c>
      <c r="P511" s="5">
        <v>0.0</v>
      </c>
      <c r="Q511" s="5">
        <v>0.0</v>
      </c>
      <c r="R511" s="5">
        <v>0.0</v>
      </c>
      <c r="S511" s="5">
        <v>0.0</v>
      </c>
      <c r="T511" s="5">
        <v>0.0</v>
      </c>
      <c r="U511" s="5">
        <v>0.0</v>
      </c>
    </row>
    <row r="512" outlineLevel="1">
      <c r="B512" s="0" t="inlineStr">
        <is>
          <t xml:space="preserve">NATIONAL INSTRUMENTS CORPORATION</t>
        </is>
      </c>
      <c r="C512" s="0" t="inlineStr">
        <is>
          <t xml:space="preserve">LKXHMX1K3AC5</t>
        </is>
      </c>
      <c r="D512" s="0" t="inlineStr">
        <is>
          <t xml:space="preserve">-</t>
        </is>
      </c>
      <c r="E512" s="0" t="inlineStr">
        <is>
          <t xml:space="preserve">-</t>
        </is>
      </c>
      <c r="F512" s="0" t="inlineStr">
        <is>
          <t xml:space="preserve">-</t>
        </is>
      </c>
      <c r="G512" s="5">
        <v>0.32959004</v>
      </c>
      <c r="H512" s="0" t="inlineStr">
        <is>
          <t xml:space="preserve">supplier</t>
        </is>
      </c>
      <c r="I512" s="0" t="inlineStr">
        <is>
          <t xml:space="preserve">unbucketed</t>
        </is>
      </c>
      <c r="J512" s="0" t="inlineStr">
        <is>
          <t xml:space="preserve">residual</t>
        </is>
      </c>
      <c r="K512" s="5">
        <v>0</v>
      </c>
      <c r="L512" s="5">
        <v>0</v>
      </c>
      <c r="M512" s="5">
        <v>0.32959004</v>
      </c>
      <c r="N512" s="5">
        <v>0.3</v>
      </c>
      <c r="O512" s="5">
        <v>0.0</v>
      </c>
      <c r="P512" s="5">
        <v>0.0</v>
      </c>
      <c r="Q512" s="5">
        <v>0.0</v>
      </c>
      <c r="R512" s="5">
        <v>0.0</v>
      </c>
      <c r="S512" s="5">
        <v>0.0</v>
      </c>
      <c r="T512" s="5">
        <v>0.0</v>
      </c>
      <c r="U512" s="5">
        <v>0.0</v>
      </c>
    </row>
    <row r="513" outlineLevel="1">
      <c r="B513" s="0" t="inlineStr">
        <is>
          <t xml:space="preserve">AIRLINE HYDRAULICS CORPORATION</t>
        </is>
      </c>
      <c r="C513" s="0" t="inlineStr">
        <is>
          <t xml:space="preserve">EAZVTUEVK9J9</t>
        </is>
      </c>
      <c r="D513" s="0" t="inlineStr">
        <is>
          <t xml:space="preserve">-</t>
        </is>
      </c>
      <c r="E513" s="0" t="inlineStr">
        <is>
          <t xml:space="preserve">-</t>
        </is>
      </c>
      <c r="F513" s="0" t="inlineStr">
        <is>
          <t xml:space="preserve">-</t>
        </is>
      </c>
      <c r="G513" s="5">
        <v>0.327917</v>
      </c>
      <c r="H513" s="0" t="inlineStr">
        <is>
          <t xml:space="preserve">supplier</t>
        </is>
      </c>
      <c r="I513" s="0" t="inlineStr">
        <is>
          <t xml:space="preserve">unbucketed</t>
        </is>
      </c>
      <c r="J513" s="0" t="inlineStr">
        <is>
          <t xml:space="preserve">residual</t>
        </is>
      </c>
      <c r="K513" s="5">
        <v>0</v>
      </c>
      <c r="L513" s="5">
        <v>0</v>
      </c>
      <c r="M513" s="5">
        <v>0.327917</v>
      </c>
      <c r="N513" s="5">
        <v>0.0</v>
      </c>
      <c r="O513" s="5">
        <v>0.0</v>
      </c>
      <c r="P513" s="5">
        <v>0.0</v>
      </c>
      <c r="Q513" s="5">
        <v>0.0</v>
      </c>
      <c r="R513" s="5">
        <v>0.0</v>
      </c>
      <c r="S513" s="5">
        <v>0.0</v>
      </c>
      <c r="T513" s="5">
        <v>0.0</v>
      </c>
      <c r="U513" s="5">
        <v>0.0</v>
      </c>
    </row>
    <row r="514" outlineLevel="1">
      <c r="B514" s="0" t="inlineStr">
        <is>
          <t xml:space="preserve">SOPHEON PLC</t>
        </is>
      </c>
      <c r="C514" s="0" t="inlineStr">
        <is>
          <t xml:space="preserve">SJDXENRDPKE8</t>
        </is>
      </c>
      <c r="D514" s="0" t="inlineStr">
        <is>
          <t xml:space="preserve">-</t>
        </is>
      </c>
      <c r="E514" s="0" t="inlineStr">
        <is>
          <t xml:space="preserve">-</t>
        </is>
      </c>
      <c r="F514" s="0" t="inlineStr">
        <is>
          <t xml:space="preserve">-</t>
        </is>
      </c>
      <c r="G514" s="5">
        <v>0.32774400000000004</v>
      </c>
      <c r="H514" s="0" t="inlineStr">
        <is>
          <t xml:space="preserve">supplier</t>
        </is>
      </c>
      <c r="I514" s="0" t="inlineStr">
        <is>
          <t xml:space="preserve">unbucketed</t>
        </is>
      </c>
      <c r="J514" s="0" t="inlineStr">
        <is>
          <t xml:space="preserve">residual</t>
        </is>
      </c>
      <c r="K514" s="5">
        <v>0</v>
      </c>
      <c r="L514" s="5">
        <v>0</v>
      </c>
      <c r="M514" s="5">
        <v>0.32774400000000004</v>
      </c>
      <c r="N514" s="5">
        <v>0.0</v>
      </c>
      <c r="O514" s="5">
        <v>0.0</v>
      </c>
      <c r="P514" s="5">
        <v>0.0</v>
      </c>
      <c r="Q514" s="5">
        <v>0.0</v>
      </c>
      <c r="R514" s="5">
        <v>0.0</v>
      </c>
      <c r="S514" s="5">
        <v>0.0</v>
      </c>
      <c r="T514" s="5">
        <v>0.0</v>
      </c>
      <c r="U514" s="5">
        <v>0.0</v>
      </c>
    </row>
    <row r="515" outlineLevel="1">
      <c r="B515" s="0" t="inlineStr">
        <is>
          <t xml:space="preserve">SHELBY SUPPLY COMPANY LLC</t>
        </is>
      </c>
      <c r="C515" s="0" t="inlineStr">
        <is>
          <t xml:space="preserve">QB7EKDNK2E83</t>
        </is>
      </c>
      <c r="D515" s="0" t="inlineStr">
        <is>
          <t xml:space="preserve">USA</t>
        </is>
      </c>
      <c r="E515" s="0" t="inlineStr">
        <is>
          <t xml:space="preserve">3327</t>
        </is>
      </c>
      <c r="F515" s="0" t="inlineStr">
        <is>
          <t xml:space="preserve">Machine Shops</t>
        </is>
      </c>
      <c r="G515" s="5">
        <v>0.32631557000000005</v>
      </c>
      <c r="H515" s="0" t="inlineStr">
        <is>
          <t xml:space="preserve">supplier</t>
        </is>
      </c>
      <c r="I515" s="0" t="inlineStr">
        <is>
          <t xml:space="preserve">machining</t>
        </is>
      </c>
      <c r="J515" s="0" t="inlineStr">
        <is>
          <t xml:space="preserve">naics4</t>
        </is>
      </c>
      <c r="K515" s="5">
        <v>0</v>
      </c>
      <c r="L515" s="5">
        <v>0</v>
      </c>
      <c r="M515" s="5">
        <v>0.32631557000000005</v>
      </c>
      <c r="N515" s="5">
        <v>0.0</v>
      </c>
      <c r="O515" s="5">
        <v>0.052275</v>
      </c>
      <c r="P515" s="5">
        <v>0.265</v>
      </c>
      <c r="Q515" s="5">
        <v>0.0</v>
      </c>
      <c r="R515" s="5">
        <v>0.0</v>
      </c>
      <c r="S515" s="5">
        <v>0.00904057</v>
      </c>
      <c r="T515" s="5">
        <v>0.0</v>
      </c>
      <c r="U515" s="5">
        <v>0.0</v>
      </c>
    </row>
    <row r="516" outlineLevel="1">
      <c r="B516" s="0" t="inlineStr">
        <is>
          <t xml:space="preserve">ICON M G T SYSTEMS LLC</t>
        </is>
      </c>
      <c r="C516" s="0" t="inlineStr">
        <is>
          <t xml:space="preserve">DNY9WHR3SKK6</t>
        </is>
      </c>
      <c r="D516" s="0" t="inlineStr">
        <is>
          <t xml:space="preserve">-</t>
        </is>
      </c>
      <c r="E516" s="0" t="inlineStr">
        <is>
          <t xml:space="preserve">-</t>
        </is>
      </c>
      <c r="F516" s="0" t="inlineStr">
        <is>
          <t xml:space="preserve">-</t>
        </is>
      </c>
      <c r="G516" s="5">
        <v>0.323808</v>
      </c>
      <c r="H516" s="0" t="inlineStr">
        <is>
          <t xml:space="preserve">supplier</t>
        </is>
      </c>
      <c r="I516" s="0" t="inlineStr">
        <is>
          <t xml:space="preserve">unbucketed</t>
        </is>
      </c>
      <c r="J516" s="0" t="inlineStr">
        <is>
          <t xml:space="preserve">residual</t>
        </is>
      </c>
      <c r="K516" s="5">
        <v>0</v>
      </c>
      <c r="L516" s="5">
        <v>0</v>
      </c>
      <c r="M516" s="5">
        <v>0.323808</v>
      </c>
      <c r="N516" s="5">
        <v>0.123286</v>
      </c>
      <c r="O516" s="5">
        <v>0.037832</v>
      </c>
      <c r="P516" s="5">
        <v>0.0</v>
      </c>
      <c r="Q516" s="5">
        <v>0.0</v>
      </c>
      <c r="R516" s="5">
        <v>0.09329</v>
      </c>
      <c r="S516" s="5">
        <v>0.0</v>
      </c>
      <c r="T516" s="5">
        <v>0.0</v>
      </c>
      <c r="U516" s="5">
        <v>0.0</v>
      </c>
    </row>
    <row r="517" outlineLevel="1">
      <c r="B517" s="0" t="inlineStr">
        <is>
          <t xml:space="preserve">SPIRAX-SARCO ENGINEERING PLC</t>
        </is>
      </c>
      <c r="C517" s="0" t="inlineStr">
        <is>
          <t xml:space="preserve">CMTLME2MH6F4</t>
        </is>
      </c>
      <c r="D517" s="0" t="inlineStr">
        <is>
          <t xml:space="preserve">-</t>
        </is>
      </c>
      <c r="E517" s="0" t="inlineStr">
        <is>
          <t xml:space="preserve">-</t>
        </is>
      </c>
      <c r="F517" s="0" t="inlineStr">
        <is>
          <t xml:space="preserve">-</t>
        </is>
      </c>
      <c r="G517" s="5">
        <v>0.32360999999999995</v>
      </c>
      <c r="H517" s="0" t="inlineStr">
        <is>
          <t xml:space="preserve">supplier</t>
        </is>
      </c>
      <c r="I517" s="0" t="inlineStr">
        <is>
          <t xml:space="preserve">unbucketed</t>
        </is>
      </c>
      <c r="J517" s="0" t="inlineStr">
        <is>
          <t xml:space="preserve">residual</t>
        </is>
      </c>
      <c r="K517" s="5">
        <v>0</v>
      </c>
      <c r="L517" s="5">
        <v>0</v>
      </c>
      <c r="M517" s="5">
        <v>0.32360999999999995</v>
      </c>
      <c r="N517" s="5">
        <v>0.086922</v>
      </c>
      <c r="O517" s="5">
        <v>0.0</v>
      </c>
      <c r="P517" s="5">
        <v>0.0</v>
      </c>
      <c r="Q517" s="5">
        <v>0.0</v>
      </c>
      <c r="R517" s="5">
        <v>0.0</v>
      </c>
      <c r="S517" s="5">
        <v>0.0</v>
      </c>
      <c r="T517" s="5">
        <v>0.0</v>
      </c>
      <c r="U517" s="5">
        <v>0.0</v>
      </c>
    </row>
    <row r="518" outlineLevel="1">
      <c r="B518" s="0" t="inlineStr">
        <is>
          <t xml:space="preserve">EZEFLOW USA INC</t>
        </is>
      </c>
      <c r="C518" s="0" t="inlineStr">
        <is>
          <t xml:space="preserve">ZPZMCRH2JSA3</t>
        </is>
      </c>
      <c r="D518" s="0" t="inlineStr">
        <is>
          <t xml:space="preserve">-</t>
        </is>
      </c>
      <c r="E518" s="0" t="inlineStr">
        <is>
          <t xml:space="preserve">-</t>
        </is>
      </c>
      <c r="F518" s="0" t="inlineStr">
        <is>
          <t xml:space="preserve">-</t>
        </is>
      </c>
      <c r="G518" s="5">
        <v>0.322206</v>
      </c>
      <c r="H518" s="0" t="inlineStr">
        <is>
          <t xml:space="preserve">supplier</t>
        </is>
      </c>
      <c r="I518" s="0" t="inlineStr">
        <is>
          <t xml:space="preserve">unbucketed</t>
        </is>
      </c>
      <c r="J518" s="0" t="inlineStr">
        <is>
          <t xml:space="preserve">residual</t>
        </is>
      </c>
      <c r="K518" s="5">
        <v>0</v>
      </c>
      <c r="L518" s="5">
        <v>0</v>
      </c>
      <c r="M518" s="5">
        <v>0.322206</v>
      </c>
      <c r="N518" s="5">
        <v>-0.051944</v>
      </c>
      <c r="O518" s="5">
        <v>0.16275</v>
      </c>
      <c r="P518" s="5">
        <v>0.0</v>
      </c>
      <c r="Q518" s="5">
        <v>0.11735</v>
      </c>
      <c r="R518" s="5">
        <v>0.0</v>
      </c>
      <c r="S518" s="5">
        <v>0.0</v>
      </c>
      <c r="T518" s="5">
        <v>0.03135</v>
      </c>
      <c r="U518" s="5">
        <v>0.0627</v>
      </c>
    </row>
    <row r="519" outlineLevel="1">
      <c r="B519" s="0" t="inlineStr">
        <is>
          <t xml:space="preserve">MARINE ELECTRIC SYSTEMS, INC.</t>
        </is>
      </c>
      <c r="C519" s="0" t="inlineStr">
        <is>
          <t xml:space="preserve">U43WP4FHDJY3</t>
        </is>
      </c>
      <c r="D519" s="0" t="inlineStr">
        <is>
          <t xml:space="preserve">-</t>
        </is>
      </c>
      <c r="E519" s="0" t="inlineStr">
        <is>
          <t xml:space="preserve">-</t>
        </is>
      </c>
      <c r="F519" s="0" t="inlineStr">
        <is>
          <t xml:space="preserve">-</t>
        </is>
      </c>
      <c r="G519" s="5">
        <v>0.32148951000000003</v>
      </c>
      <c r="H519" s="0" t="inlineStr">
        <is>
          <t xml:space="preserve">supplier</t>
        </is>
      </c>
      <c r="I519" s="0" t="inlineStr">
        <is>
          <t xml:space="preserve">unbucketed</t>
        </is>
      </c>
      <c r="J519" s="0" t="inlineStr">
        <is>
          <t xml:space="preserve">residual</t>
        </is>
      </c>
      <c r="K519" s="5">
        <v>0</v>
      </c>
      <c r="L519" s="5">
        <v>0</v>
      </c>
      <c r="M519" s="5">
        <v>0.32148951000000003</v>
      </c>
      <c r="N519" s="5">
        <v>0.24085351000000002</v>
      </c>
      <c r="O519" s="5">
        <v>0.0</v>
      </c>
      <c r="P519" s="5">
        <v>0.0</v>
      </c>
      <c r="Q519" s="5">
        <v>0.0</v>
      </c>
      <c r="R519" s="5">
        <v>0.040912</v>
      </c>
      <c r="S519" s="5">
        <v>0.0</v>
      </c>
      <c r="T519" s="5">
        <v>0.0</v>
      </c>
      <c r="U519" s="5">
        <v>0.0</v>
      </c>
    </row>
    <row r="520" outlineLevel="1">
      <c r="B520" s="0" t="inlineStr">
        <is>
          <t xml:space="preserve">ROSCID TECHNOLOGIES</t>
        </is>
      </c>
      <c r="C520" s="0" t="inlineStr">
        <is>
          <t xml:space="preserve">NKUARJG8E2E8</t>
        </is>
      </c>
      <c r="D520" s="0" t="inlineStr">
        <is>
          <t xml:space="preserve">-</t>
        </is>
      </c>
      <c r="E520" s="0" t="inlineStr">
        <is>
          <t xml:space="preserve">-</t>
        </is>
      </c>
      <c r="F520" s="0" t="inlineStr">
        <is>
          <t xml:space="preserve">-</t>
        </is>
      </c>
      <c r="G520" s="5">
        <v>0.316275</v>
      </c>
      <c r="H520" s="0" t="inlineStr">
        <is>
          <t xml:space="preserve">supplier</t>
        </is>
      </c>
      <c r="I520" s="0" t="inlineStr">
        <is>
          <t xml:space="preserve">unbucketed</t>
        </is>
      </c>
      <c r="J520" s="0" t="inlineStr">
        <is>
          <t xml:space="preserve">residual</t>
        </is>
      </c>
      <c r="K520" s="5">
        <v>0</v>
      </c>
      <c r="L520" s="5">
        <v>0</v>
      </c>
      <c r="M520" s="5">
        <v>0.316275</v>
      </c>
      <c r="N520" s="5">
        <v>0.0</v>
      </c>
      <c r="O520" s="5">
        <v>0.0</v>
      </c>
      <c r="P520" s="5">
        <v>0.0</v>
      </c>
      <c r="Q520" s="5">
        <v>0.0</v>
      </c>
      <c r="R520" s="5">
        <v>0.0</v>
      </c>
      <c r="S520" s="5">
        <v>0.0</v>
      </c>
      <c r="T520" s="5">
        <v>0.0</v>
      </c>
      <c r="U520" s="5">
        <v>0.0</v>
      </c>
    </row>
    <row r="521" outlineLevel="1">
      <c r="B521" s="0" t="inlineStr">
        <is>
          <t xml:space="preserve">DONALDSON COMPANY, INC.</t>
        </is>
      </c>
      <c r="C521" s="0" t="inlineStr">
        <is>
          <t xml:space="preserve">UES5F4AAZJK5</t>
        </is>
      </c>
      <c r="D521" s="0" t="inlineStr">
        <is>
          <t xml:space="preserve">-</t>
        </is>
      </c>
      <c r="E521" s="0" t="inlineStr">
        <is>
          <t xml:space="preserve">-</t>
        </is>
      </c>
      <c r="F521" s="0" t="inlineStr">
        <is>
          <t xml:space="preserve">-</t>
        </is>
      </c>
      <c r="G521" s="5">
        <v>0.31620675</v>
      </c>
      <c r="H521" s="0" t="inlineStr">
        <is>
          <t xml:space="preserve">supplier</t>
        </is>
      </c>
      <c r="I521" s="0" t="inlineStr">
        <is>
          <t xml:space="preserve">unbucketed</t>
        </is>
      </c>
      <c r="J521" s="0" t="inlineStr">
        <is>
          <t xml:space="preserve">residual</t>
        </is>
      </c>
      <c r="K521" s="5">
        <v>0</v>
      </c>
      <c r="L521" s="5">
        <v>0</v>
      </c>
      <c r="M521" s="5">
        <v>0.31620675</v>
      </c>
      <c r="N521" s="5">
        <v>0.0</v>
      </c>
      <c r="O521" s="5">
        <v>0.0</v>
      </c>
      <c r="P521" s="5">
        <v>0.0</v>
      </c>
      <c r="Q521" s="5">
        <v>0.0</v>
      </c>
      <c r="R521" s="5">
        <v>0.0</v>
      </c>
      <c r="S521" s="5">
        <v>0.0</v>
      </c>
      <c r="T521" s="5">
        <v>0.0</v>
      </c>
      <c r="U521" s="5">
        <v>0.0</v>
      </c>
    </row>
    <row r="522" outlineLevel="1">
      <c r="B522" s="0" t="inlineStr">
        <is>
          <t xml:space="preserve">PULSAFEEDER INC</t>
        </is>
      </c>
      <c r="C522" s="0" t="inlineStr">
        <is>
          <t xml:space="preserve">CHSCLZAAPTQ3</t>
        </is>
      </c>
      <c r="D522" s="0" t="inlineStr">
        <is>
          <t xml:space="preserve">-</t>
        </is>
      </c>
      <c r="E522" s="0" t="inlineStr">
        <is>
          <t xml:space="preserve">-</t>
        </is>
      </c>
      <c r="F522" s="0" t="inlineStr">
        <is>
          <t xml:space="preserve">-</t>
        </is>
      </c>
      <c r="G522" s="5">
        <v>0.315452</v>
      </c>
      <c r="H522" s="0" t="inlineStr">
        <is>
          <t xml:space="preserve">supplier</t>
        </is>
      </c>
      <c r="I522" s="0" t="inlineStr">
        <is>
          <t xml:space="preserve">unbucketed</t>
        </is>
      </c>
      <c r="J522" s="0" t="inlineStr">
        <is>
          <t xml:space="preserve">residual</t>
        </is>
      </c>
      <c r="K522" s="5">
        <v>0</v>
      </c>
      <c r="L522" s="5">
        <v>0</v>
      </c>
      <c r="M522" s="5">
        <v>0.315452</v>
      </c>
      <c r="N522" s="5">
        <v>0.079368</v>
      </c>
      <c r="O522" s="5">
        <v>0.0</v>
      </c>
      <c r="P522" s="5">
        <v>0.1964</v>
      </c>
      <c r="Q522" s="5">
        <v>0.0</v>
      </c>
      <c r="R522" s="5">
        <v>0.0</v>
      </c>
      <c r="S522" s="5">
        <v>0.039684</v>
      </c>
      <c r="T522" s="5">
        <v>0.0</v>
      </c>
      <c r="U522" s="5">
        <v>0.0</v>
      </c>
    </row>
    <row r="523" outlineLevel="1">
      <c r="B523" s="0" t="inlineStr">
        <is>
          <t xml:space="preserve">MISTRAS GROUP, INC.</t>
        </is>
      </c>
      <c r="C523" s="0" t="inlineStr">
        <is>
          <t xml:space="preserve">CERUMMHMPXZ9</t>
        </is>
      </c>
      <c r="D523" s="0" t="inlineStr">
        <is>
          <t xml:space="preserve">-</t>
        </is>
      </c>
      <c r="E523" s="0" t="inlineStr">
        <is>
          <t xml:space="preserve">-</t>
        </is>
      </c>
      <c r="F523" s="0" t="inlineStr">
        <is>
          <t xml:space="preserve">-</t>
        </is>
      </c>
      <c r="G523" s="5">
        <v>0.312</v>
      </c>
      <c r="H523" s="0" t="inlineStr">
        <is>
          <t xml:space="preserve">supplier</t>
        </is>
      </c>
      <c r="I523" s="0" t="inlineStr">
        <is>
          <t xml:space="preserve">unbucketed</t>
        </is>
      </c>
      <c r="J523" s="0" t="inlineStr">
        <is>
          <t xml:space="preserve">residual</t>
        </is>
      </c>
      <c r="K523" s="5">
        <v>0</v>
      </c>
      <c r="L523" s="5">
        <v>0</v>
      </c>
      <c r="M523" s="5">
        <v>0.312</v>
      </c>
      <c r="N523" s="5">
        <v>0.0</v>
      </c>
      <c r="O523" s="5">
        <v>0.0</v>
      </c>
      <c r="P523" s="5">
        <v>0.0</v>
      </c>
      <c r="Q523" s="5">
        <v>0.0</v>
      </c>
      <c r="R523" s="5">
        <v>0.0</v>
      </c>
      <c r="S523" s="5">
        <v>0.312</v>
      </c>
      <c r="T523" s="5">
        <v>0.0</v>
      </c>
      <c r="U523" s="5">
        <v>0.0</v>
      </c>
    </row>
    <row r="524" outlineLevel="1">
      <c r="B524" s="0" t="inlineStr">
        <is>
          <t xml:space="preserve">ADVEX CORPORATION</t>
        </is>
      </c>
      <c r="C524" s="0" t="inlineStr">
        <is>
          <t xml:space="preserve">JM2GNDJLDWL5</t>
        </is>
      </c>
      <c r="D524" s="0" t="inlineStr">
        <is>
          <t xml:space="preserve">-</t>
        </is>
      </c>
      <c r="E524" s="0" t="inlineStr">
        <is>
          <t xml:space="preserve">-</t>
        </is>
      </c>
      <c r="F524" s="0" t="inlineStr">
        <is>
          <t xml:space="preserve">-</t>
        </is>
      </c>
      <c r="G524" s="5">
        <v>0.31010899999999997</v>
      </c>
      <c r="H524" s="0" t="inlineStr">
        <is>
          <t xml:space="preserve">supplier</t>
        </is>
      </c>
      <c r="I524" s="0" t="inlineStr">
        <is>
          <t xml:space="preserve">unbucketed</t>
        </is>
      </c>
      <c r="J524" s="0" t="inlineStr">
        <is>
          <t xml:space="preserve">residual</t>
        </is>
      </c>
      <c r="K524" s="5">
        <v>0</v>
      </c>
      <c r="L524" s="5">
        <v>0</v>
      </c>
      <c r="M524" s="5">
        <v>0.31010899999999997</v>
      </c>
      <c r="N524" s="5">
        <v>0.0</v>
      </c>
      <c r="O524" s="5">
        <v>0.0</v>
      </c>
      <c r="P524" s="5">
        <v>0.0</v>
      </c>
      <c r="Q524" s="5">
        <v>0.0</v>
      </c>
      <c r="R524" s="5">
        <v>0.0</v>
      </c>
      <c r="S524" s="5">
        <v>0.0</v>
      </c>
      <c r="T524" s="5">
        <v>0.31010899999999997</v>
      </c>
      <c r="U524" s="5">
        <v>0.0</v>
      </c>
    </row>
    <row r="525" outlineLevel="1">
      <c r="B525" s="0" t="inlineStr">
        <is>
          <t xml:space="preserve">OMEGA ENGINEERING INC</t>
        </is>
      </c>
      <c r="C525" s="0" t="inlineStr">
        <is>
          <t xml:space="preserve">PRNKGJL4NQH1</t>
        </is>
      </c>
      <c r="D525" s="0" t="inlineStr">
        <is>
          <t xml:space="preserve">-</t>
        </is>
      </c>
      <c r="E525" s="0" t="inlineStr">
        <is>
          <t xml:space="preserve">-</t>
        </is>
      </c>
      <c r="F525" s="0" t="inlineStr">
        <is>
          <t xml:space="preserve">-</t>
        </is>
      </c>
      <c r="G525" s="5">
        <v>0.30924927999999996</v>
      </c>
      <c r="H525" s="0" t="inlineStr">
        <is>
          <t xml:space="preserve">supplier</t>
        </is>
      </c>
      <c r="I525" s="0" t="inlineStr">
        <is>
          <t xml:space="preserve">unbucketed</t>
        </is>
      </c>
      <c r="J525" s="0" t="inlineStr">
        <is>
          <t xml:space="preserve">residual</t>
        </is>
      </c>
      <c r="K525" s="5">
        <v>0</v>
      </c>
      <c r="L525" s="5">
        <v>0</v>
      </c>
      <c r="M525" s="5">
        <v>0.30924927999999996</v>
      </c>
      <c r="N525" s="5">
        <v>0.0445</v>
      </c>
      <c r="O525" s="5">
        <v>0.0</v>
      </c>
      <c r="P525" s="5">
        <v>0.0</v>
      </c>
      <c r="Q525" s="5">
        <v>0.1344</v>
      </c>
      <c r="R525" s="5">
        <v>0.0</v>
      </c>
      <c r="S525" s="5">
        <v>0.06434928</v>
      </c>
      <c r="T525" s="5">
        <v>0.066</v>
      </c>
      <c r="U525" s="5">
        <v>0.0</v>
      </c>
    </row>
    <row r="526" outlineLevel="1">
      <c r="B526" s="0" t="inlineStr">
        <is>
          <t xml:space="preserve">BARNHART NORTHEAST, INC.</t>
        </is>
      </c>
      <c r="C526" s="0" t="inlineStr">
        <is>
          <t xml:space="preserve">HFL7UADKYZ52</t>
        </is>
      </c>
      <c r="D526" s="0" t="inlineStr">
        <is>
          <t xml:space="preserve">-</t>
        </is>
      </c>
      <c r="E526" s="0" t="inlineStr">
        <is>
          <t xml:space="preserve">-</t>
        </is>
      </c>
      <c r="F526" s="0" t="inlineStr">
        <is>
          <t xml:space="preserve">-</t>
        </is>
      </c>
      <c r="G526" s="5">
        <v>0.307645</v>
      </c>
      <c r="H526" s="0" t="inlineStr">
        <is>
          <t xml:space="preserve">supplier</t>
        </is>
      </c>
      <c r="I526" s="0" t="inlineStr">
        <is>
          <t xml:space="preserve">unbucketed</t>
        </is>
      </c>
      <c r="J526" s="0" t="inlineStr">
        <is>
          <t xml:space="preserve">residual</t>
        </is>
      </c>
      <c r="K526" s="5">
        <v>0</v>
      </c>
      <c r="L526" s="5">
        <v>0</v>
      </c>
      <c r="M526" s="5">
        <v>0.307645</v>
      </c>
      <c r="N526" s="5">
        <v>0.0775</v>
      </c>
      <c r="O526" s="5">
        <v>0.079825</v>
      </c>
      <c r="P526" s="5">
        <v>0.15032</v>
      </c>
      <c r="Q526" s="5">
        <v>0.0</v>
      </c>
      <c r="R526" s="5">
        <v>0.0</v>
      </c>
      <c r="S526" s="5">
        <v>0.0</v>
      </c>
      <c r="T526" s="5">
        <v>0.0</v>
      </c>
      <c r="U526" s="5">
        <v>0.0</v>
      </c>
    </row>
    <row r="527" outlineLevel="1">
      <c r="B527" s="0" t="inlineStr">
        <is>
          <t xml:space="preserve">HILLERY H R CO</t>
        </is>
      </c>
      <c r="C527" s="0" t="inlineStr">
        <is>
          <t xml:space="preserve">ZFQBUPK552C3</t>
        </is>
      </c>
      <c r="D527" s="0" t="inlineStr">
        <is>
          <t xml:space="preserve">USA</t>
        </is>
      </c>
      <c r="E527" s="0" t="inlineStr">
        <is>
          <t xml:space="preserve">3323</t>
        </is>
      </c>
      <c r="F527" s="0" t="inlineStr">
        <is>
          <t xml:space="preserve">Fabricated Structural Metal Manufacturing</t>
        </is>
      </c>
      <c r="G527" s="5">
        <v>0.30201872</v>
      </c>
      <c r="H527" s="0" t="inlineStr">
        <is>
          <t xml:space="preserve">supplier</t>
        </is>
      </c>
      <c r="I527" s="0" t="inlineStr">
        <is>
          <t xml:space="preserve">structural</t>
        </is>
      </c>
      <c r="J527" s="0" t="inlineStr">
        <is>
          <t xml:space="preserve">naics4</t>
        </is>
      </c>
      <c r="K527" s="5">
        <v>0</v>
      </c>
      <c r="L527" s="5">
        <v>0</v>
      </c>
      <c r="M527" s="5">
        <v>0.30201872</v>
      </c>
      <c r="N527" s="5">
        <v>0.0</v>
      </c>
      <c r="O527" s="5">
        <v>0.05998672</v>
      </c>
      <c r="P527" s="5">
        <v>0.242032</v>
      </c>
      <c r="Q527" s="5">
        <v>0.0</v>
      </c>
      <c r="R527" s="5">
        <v>0.0</v>
      </c>
      <c r="S527" s="5">
        <v>0.0</v>
      </c>
      <c r="T527" s="5">
        <v>0.0</v>
      </c>
      <c r="U527" s="5">
        <v>0.0</v>
      </c>
    </row>
    <row r="528" outlineLevel="1">
      <c r="B528" s="0" t="inlineStr">
        <is>
          <t xml:space="preserve">NAVAL AND MARITIME CONSORTIUM, INC.</t>
        </is>
      </c>
      <c r="C528" s="0" t="inlineStr">
        <is>
          <t xml:space="preserve">DQ8FL1MAR4K5</t>
        </is>
      </c>
      <c r="D528" s="0" t="inlineStr">
        <is>
          <t xml:space="preserve">-</t>
        </is>
      </c>
      <c r="E528" s="0" t="inlineStr">
        <is>
          <t xml:space="preserve">-</t>
        </is>
      </c>
      <c r="F528" s="0" t="inlineStr">
        <is>
          <t xml:space="preserve">-</t>
        </is>
      </c>
      <c r="G528" s="5">
        <v>0.3</v>
      </c>
      <c r="H528" s="0" t="inlineStr">
        <is>
          <t xml:space="preserve">supplier</t>
        </is>
      </c>
      <c r="I528" s="0" t="inlineStr">
        <is>
          <t xml:space="preserve">unbucketed</t>
        </is>
      </c>
      <c r="J528" s="0" t="inlineStr">
        <is>
          <t xml:space="preserve">residual</t>
        </is>
      </c>
      <c r="K528" s="5">
        <v>0</v>
      </c>
      <c r="L528" s="5">
        <v>0</v>
      </c>
      <c r="M528" s="5">
        <v>0.3</v>
      </c>
      <c r="N528" s="5">
        <v>0.0</v>
      </c>
      <c r="O528" s="5">
        <v>0.0</v>
      </c>
      <c r="P528" s="5">
        <v>0.0</v>
      </c>
      <c r="Q528" s="5">
        <v>0.0</v>
      </c>
      <c r="R528" s="5">
        <v>0.0</v>
      </c>
      <c r="S528" s="5">
        <v>0.0</v>
      </c>
      <c r="T528" s="5">
        <v>0.0</v>
      </c>
      <c r="U528" s="5">
        <v>0.0</v>
      </c>
    </row>
    <row r="529" outlineLevel="1">
      <c r="B529" s="0" t="inlineStr">
        <is>
          <t xml:space="preserve">SCHWEITZER ENGINEERING LABORATORIES, INC.</t>
        </is>
      </c>
      <c r="C529" s="0" t="inlineStr">
        <is>
          <t xml:space="preserve">EB3GK67LJFR1</t>
        </is>
      </c>
      <c r="D529" s="0" t="inlineStr">
        <is>
          <t xml:space="preserve">-</t>
        </is>
      </c>
      <c r="E529" s="0" t="inlineStr">
        <is>
          <t xml:space="preserve">-</t>
        </is>
      </c>
      <c r="F529" s="0" t="inlineStr">
        <is>
          <t xml:space="preserve">-</t>
        </is>
      </c>
      <c r="G529" s="5">
        <v>0.299637</v>
      </c>
      <c r="H529" s="0" t="inlineStr">
        <is>
          <t xml:space="preserve">supplier</t>
        </is>
      </c>
      <c r="I529" s="0" t="inlineStr">
        <is>
          <t xml:space="preserve">unbucketed</t>
        </is>
      </c>
      <c r="J529" s="0" t="inlineStr">
        <is>
          <t xml:space="preserve">residual</t>
        </is>
      </c>
      <c r="K529" s="5">
        <v>0</v>
      </c>
      <c r="L529" s="5">
        <v>0</v>
      </c>
      <c r="M529" s="5">
        <v>0.299637</v>
      </c>
      <c r="N529" s="5">
        <v>0.0</v>
      </c>
      <c r="O529" s="5">
        <v>0.0</v>
      </c>
      <c r="P529" s="5">
        <v>0.0</v>
      </c>
      <c r="Q529" s="5">
        <v>0.0</v>
      </c>
      <c r="R529" s="5">
        <v>0.0</v>
      </c>
      <c r="S529" s="5">
        <v>0.0</v>
      </c>
      <c r="T529" s="5">
        <v>0.0</v>
      </c>
      <c r="U529" s="5">
        <v>0.0</v>
      </c>
    </row>
    <row r="530" outlineLevel="1">
      <c r="B530" s="0" t="inlineStr">
        <is>
          <t xml:space="preserve">NORTH ATLANTIC INDUSTRIES, INC.</t>
        </is>
      </c>
      <c r="C530" s="0" t="inlineStr">
        <is>
          <t xml:space="preserve">KQJTYTVTATY8</t>
        </is>
      </c>
      <c r="D530" s="0" t="inlineStr">
        <is>
          <t xml:space="preserve">-</t>
        </is>
      </c>
      <c r="E530" s="0" t="inlineStr">
        <is>
          <t xml:space="preserve">-</t>
        </is>
      </c>
      <c r="F530" s="0" t="inlineStr">
        <is>
          <t xml:space="preserve">-</t>
        </is>
      </c>
      <c r="G530" s="5">
        <v>0.29747199999999996</v>
      </c>
      <c r="H530" s="0" t="inlineStr">
        <is>
          <t xml:space="preserve">supplier</t>
        </is>
      </c>
      <c r="I530" s="0" t="inlineStr">
        <is>
          <t xml:space="preserve">unbucketed</t>
        </is>
      </c>
      <c r="J530" s="0" t="inlineStr">
        <is>
          <t xml:space="preserve">residual</t>
        </is>
      </c>
      <c r="K530" s="5">
        <v>0</v>
      </c>
      <c r="L530" s="5">
        <v>0</v>
      </c>
      <c r="M530" s="5">
        <v>0.29747199999999996</v>
      </c>
      <c r="N530" s="5">
        <v>0.0</v>
      </c>
      <c r="O530" s="5">
        <v>0.0</v>
      </c>
      <c r="P530" s="5">
        <v>0.0</v>
      </c>
      <c r="Q530" s="5">
        <v>0.0</v>
      </c>
      <c r="R530" s="5">
        <v>0.0</v>
      </c>
      <c r="S530" s="5">
        <v>0.0</v>
      </c>
      <c r="T530" s="5">
        <v>0.0</v>
      </c>
      <c r="U530" s="5">
        <v>0.0</v>
      </c>
    </row>
    <row r="531" outlineLevel="1">
      <c r="B531" s="0" t="inlineStr">
        <is>
          <t xml:space="preserve">PRECISION RESOURCES, INC.</t>
        </is>
      </c>
      <c r="C531" s="0" t="inlineStr">
        <is>
          <t xml:space="preserve">FACXKY7FULJ4</t>
        </is>
      </c>
      <c r="D531" s="0" t="inlineStr">
        <is>
          <t xml:space="preserve">-</t>
        </is>
      </c>
      <c r="E531" s="0" t="inlineStr">
        <is>
          <t xml:space="preserve">-</t>
        </is>
      </c>
      <c r="F531" s="0" t="inlineStr">
        <is>
          <t xml:space="preserve">-</t>
        </is>
      </c>
      <c r="G531" s="5">
        <v>0.29610326000000003</v>
      </c>
      <c r="H531" s="0" t="inlineStr">
        <is>
          <t xml:space="preserve">supplier</t>
        </is>
      </c>
      <c r="I531" s="0" t="inlineStr">
        <is>
          <t xml:space="preserve">unbucketed</t>
        </is>
      </c>
      <c r="J531" s="0" t="inlineStr">
        <is>
          <t xml:space="preserve">residual</t>
        </is>
      </c>
      <c r="K531" s="5">
        <v>0</v>
      </c>
      <c r="L531" s="5">
        <v>0</v>
      </c>
      <c r="M531" s="5">
        <v>0.29610326000000003</v>
      </c>
      <c r="N531" s="5">
        <v>0.0</v>
      </c>
      <c r="O531" s="5">
        <v>0.0</v>
      </c>
      <c r="P531" s="5">
        <v>0.0</v>
      </c>
      <c r="Q531" s="5">
        <v>0.0</v>
      </c>
      <c r="R531" s="5">
        <v>0.0</v>
      </c>
      <c r="S531" s="5">
        <v>0.0</v>
      </c>
      <c r="T531" s="5">
        <v>0.0</v>
      </c>
      <c r="U531" s="5">
        <v>0.0</v>
      </c>
    </row>
    <row r="532" outlineLevel="1">
      <c r="B532" s="0" t="inlineStr">
        <is>
          <t xml:space="preserve">MSA SAFETY INCORPORATED</t>
        </is>
      </c>
      <c r="C532" s="0" t="inlineStr">
        <is>
          <t xml:space="preserve">EDJPMQN1HSJ1</t>
        </is>
      </c>
      <c r="D532" s="0" t="inlineStr">
        <is>
          <t xml:space="preserve">-</t>
        </is>
      </c>
      <c r="E532" s="0" t="inlineStr">
        <is>
          <t xml:space="preserve">-</t>
        </is>
      </c>
      <c r="F532" s="0" t="inlineStr">
        <is>
          <t xml:space="preserve">-</t>
        </is>
      </c>
      <c r="G532" s="5">
        <v>0.2935166</v>
      </c>
      <c r="H532" s="0" t="inlineStr">
        <is>
          <t xml:space="preserve">supplier</t>
        </is>
      </c>
      <c r="I532" s="0" t="inlineStr">
        <is>
          <t xml:space="preserve">unbucketed</t>
        </is>
      </c>
      <c r="J532" s="0" t="inlineStr">
        <is>
          <t xml:space="preserve">residual</t>
        </is>
      </c>
      <c r="K532" s="5">
        <v>0</v>
      </c>
      <c r="L532" s="5">
        <v>0</v>
      </c>
      <c r="M532" s="5">
        <v>0.2935166</v>
      </c>
      <c r="N532" s="5">
        <v>0.0</v>
      </c>
      <c r="O532" s="5">
        <v>0.0</v>
      </c>
      <c r="P532" s="5">
        <v>0.0</v>
      </c>
      <c r="Q532" s="5">
        <v>0.0</v>
      </c>
      <c r="R532" s="5">
        <v>0.0</v>
      </c>
      <c r="S532" s="5">
        <v>0.0</v>
      </c>
      <c r="T532" s="5">
        <v>0.0</v>
      </c>
      <c r="U532" s="5">
        <v>0.0</v>
      </c>
    </row>
    <row r="533" outlineLevel="1">
      <c r="B533" s="0" t="inlineStr">
        <is>
          <t xml:space="preserve">NOVARIA HOLDINGS, LLC</t>
        </is>
      </c>
      <c r="C533" s="0" t="inlineStr">
        <is>
          <t xml:space="preserve">G58FFJ6F2CA7</t>
        </is>
      </c>
      <c r="D533" s="0" t="inlineStr">
        <is>
          <t xml:space="preserve">-</t>
        </is>
      </c>
      <c r="E533" s="0" t="inlineStr">
        <is>
          <t xml:space="preserve">-</t>
        </is>
      </c>
      <c r="F533" s="0" t="inlineStr">
        <is>
          <t xml:space="preserve">-</t>
        </is>
      </c>
      <c r="G533" s="5">
        <v>0.29311</v>
      </c>
      <c r="H533" s="0" t="inlineStr">
        <is>
          <t xml:space="preserve">supplier</t>
        </is>
      </c>
      <c r="I533" s="0" t="inlineStr">
        <is>
          <t xml:space="preserve">unbucketed</t>
        </is>
      </c>
      <c r="J533" s="0" t="inlineStr">
        <is>
          <t xml:space="preserve">residual</t>
        </is>
      </c>
      <c r="K533" s="5">
        <v>0</v>
      </c>
      <c r="L533" s="5">
        <v>0</v>
      </c>
      <c r="M533" s="5">
        <v>0.29311</v>
      </c>
      <c r="N533" s="5">
        <v>0.073224</v>
      </c>
      <c r="O533" s="5">
        <v>0.0</v>
      </c>
      <c r="P533" s="5">
        <v>0.0</v>
      </c>
      <c r="Q533" s="5">
        <v>0.0</v>
      </c>
      <c r="R533" s="5">
        <v>0.219886</v>
      </c>
      <c r="S533" s="5">
        <v>0.0</v>
      </c>
      <c r="T533" s="5">
        <v>0.0</v>
      </c>
      <c r="U533" s="5">
        <v>0.0</v>
      </c>
    </row>
    <row r="534" outlineLevel="1">
      <c r="B534" s="0" t="inlineStr">
        <is>
          <t xml:space="preserve">ASPEQ HEATING GROUP LLC</t>
        </is>
      </c>
      <c r="C534" s="0" t="inlineStr">
        <is>
          <t xml:space="preserve">FLMQAKFEMG64</t>
        </is>
      </c>
      <c r="D534" s="0" t="inlineStr">
        <is>
          <t xml:space="preserve">-</t>
        </is>
      </c>
      <c r="E534" s="0" t="inlineStr">
        <is>
          <t xml:space="preserve">-</t>
        </is>
      </c>
      <c r="F534" s="0" t="inlineStr">
        <is>
          <t xml:space="preserve">-</t>
        </is>
      </c>
      <c r="G534" s="5">
        <v>0.291556</v>
      </c>
      <c r="H534" s="0" t="inlineStr">
        <is>
          <t xml:space="preserve">supplier</t>
        </is>
      </c>
      <c r="I534" s="0" t="inlineStr">
        <is>
          <t xml:space="preserve">unbucketed</t>
        </is>
      </c>
      <c r="J534" s="0" t="inlineStr">
        <is>
          <t xml:space="preserve">residual</t>
        </is>
      </c>
      <c r="K534" s="5">
        <v>0</v>
      </c>
      <c r="L534" s="5">
        <v>0</v>
      </c>
      <c r="M534" s="5">
        <v>0.291556</v>
      </c>
      <c r="N534" s="5">
        <v>0.0</v>
      </c>
      <c r="O534" s="5">
        <v>0.0</v>
      </c>
      <c r="P534" s="5">
        <v>0.0</v>
      </c>
      <c r="Q534" s="5">
        <v>0.0</v>
      </c>
      <c r="R534" s="5">
        <v>0.0</v>
      </c>
      <c r="S534" s="5">
        <v>0.0</v>
      </c>
      <c r="T534" s="5">
        <v>0.0</v>
      </c>
      <c r="U534" s="5">
        <v>0.0</v>
      </c>
    </row>
    <row r="535" outlineLevel="1">
      <c r="B535" s="0" t="inlineStr">
        <is>
          <t xml:space="preserve">RZ DESIGN ASSOCIATES, INC</t>
        </is>
      </c>
      <c r="C535" s="0" t="inlineStr">
        <is>
          <t xml:space="preserve">YFAKM74HKAT9</t>
        </is>
      </c>
      <c r="D535" s="0" t="inlineStr">
        <is>
          <t xml:space="preserve">-</t>
        </is>
      </c>
      <c r="E535" s="0" t="inlineStr">
        <is>
          <t xml:space="preserve">-</t>
        </is>
      </c>
      <c r="F535" s="0" t="inlineStr">
        <is>
          <t xml:space="preserve">-</t>
        </is>
      </c>
      <c r="G535" s="5">
        <v>0.2895</v>
      </c>
      <c r="H535" s="0" t="inlineStr">
        <is>
          <t xml:space="preserve">supplier</t>
        </is>
      </c>
      <c r="I535" s="0" t="inlineStr">
        <is>
          <t xml:space="preserve">unbucketed</t>
        </is>
      </c>
      <c r="J535" s="0" t="inlineStr">
        <is>
          <t xml:space="preserve">residual</t>
        </is>
      </c>
      <c r="K535" s="5">
        <v>0</v>
      </c>
      <c r="L535" s="5">
        <v>0</v>
      </c>
      <c r="M535" s="5">
        <v>0.2895</v>
      </c>
      <c r="N535" s="5">
        <v>0.0</v>
      </c>
      <c r="O535" s="5">
        <v>0.0</v>
      </c>
      <c r="P535" s="5">
        <v>0.0</v>
      </c>
      <c r="Q535" s="5">
        <v>0.0</v>
      </c>
      <c r="R535" s="5">
        <v>0.0</v>
      </c>
      <c r="S535" s="5">
        <v>0.1635</v>
      </c>
      <c r="T535" s="5">
        <v>0.126</v>
      </c>
      <c r="U535" s="5">
        <v>0.0</v>
      </c>
    </row>
    <row r="536" outlineLevel="1">
      <c r="B536" s="0" t="inlineStr">
        <is>
          <t xml:space="preserve">A W GIFFORD INC</t>
        </is>
      </c>
      <c r="C536" s="0" t="inlineStr">
        <is>
          <t xml:space="preserve">GMBZL1B9YMW9</t>
        </is>
      </c>
      <c r="D536" s="0" t="inlineStr">
        <is>
          <t xml:space="preserve">-</t>
        </is>
      </c>
      <c r="E536" s="0" t="inlineStr">
        <is>
          <t xml:space="preserve">-</t>
        </is>
      </c>
      <c r="F536" s="0" t="inlineStr">
        <is>
          <t xml:space="preserve">-</t>
        </is>
      </c>
      <c r="G536" s="5">
        <v>0.28589110000000006</v>
      </c>
      <c r="H536" s="0" t="inlineStr">
        <is>
          <t xml:space="preserve">supplier</t>
        </is>
      </c>
      <c r="I536" s="0" t="inlineStr">
        <is>
          <t xml:space="preserve">unbucketed</t>
        </is>
      </c>
      <c r="J536" s="0" t="inlineStr">
        <is>
          <t xml:space="preserve">residual</t>
        </is>
      </c>
      <c r="K536" s="5">
        <v>0</v>
      </c>
      <c r="L536" s="5">
        <v>0</v>
      </c>
      <c r="M536" s="5">
        <v>0.28589110000000006</v>
      </c>
      <c r="N536" s="5">
        <v>0.08171582000000001</v>
      </c>
      <c r="O536" s="5">
        <v>0.0</v>
      </c>
      <c r="P536" s="5">
        <v>0.0</v>
      </c>
      <c r="Q536" s="5">
        <v>0.0</v>
      </c>
      <c r="R536" s="5">
        <v>0.0</v>
      </c>
      <c r="S536" s="5">
        <v>0.0</v>
      </c>
      <c r="T536" s="5">
        <v>0.0</v>
      </c>
      <c r="U536" s="5">
        <v>0.0</v>
      </c>
    </row>
    <row r="537" outlineLevel="1">
      <c r="B537" s="0" t="inlineStr">
        <is>
          <t xml:space="preserve">IVES EQUIPMENT CORPORATION</t>
        </is>
      </c>
      <c r="C537" s="0" t="inlineStr">
        <is>
          <t xml:space="preserve">TMDVSPNEFR69</t>
        </is>
      </c>
      <c r="D537" s="0" t="inlineStr">
        <is>
          <t xml:space="preserve">-</t>
        </is>
      </c>
      <c r="E537" s="0" t="inlineStr">
        <is>
          <t xml:space="preserve">-</t>
        </is>
      </c>
      <c r="F537" s="0" t="inlineStr">
        <is>
          <t xml:space="preserve">-</t>
        </is>
      </c>
      <c r="G537" s="5">
        <v>0.2854295</v>
      </c>
      <c r="H537" s="0" t="inlineStr">
        <is>
          <t xml:space="preserve">supplier</t>
        </is>
      </c>
      <c r="I537" s="0" t="inlineStr">
        <is>
          <t xml:space="preserve">unbucketed</t>
        </is>
      </c>
      <c r="J537" s="0" t="inlineStr">
        <is>
          <t xml:space="preserve">residual</t>
        </is>
      </c>
      <c r="K537" s="5">
        <v>0</v>
      </c>
      <c r="L537" s="5">
        <v>0</v>
      </c>
      <c r="M537" s="5">
        <v>0.2854295</v>
      </c>
      <c r="N537" s="5">
        <v>0.0</v>
      </c>
      <c r="O537" s="5">
        <v>0.0</v>
      </c>
      <c r="P537" s="5">
        <v>0.06516034</v>
      </c>
      <c r="Q537" s="5">
        <v>0.0</v>
      </c>
      <c r="R537" s="5">
        <v>0.0768</v>
      </c>
      <c r="S537" s="5">
        <v>0.0</v>
      </c>
      <c r="T537" s="5">
        <v>0.059623199999999994</v>
      </c>
      <c r="U537" s="5">
        <v>0.0</v>
      </c>
    </row>
    <row r="538" outlineLevel="1">
      <c r="B538" s="0" t="inlineStr">
        <is>
          <t xml:space="preserve">TRIPLE CROWN CONSULTING LLC</t>
        </is>
      </c>
      <c r="C538" s="0" t="inlineStr">
        <is>
          <t xml:space="preserve">Z7K8HUMNCZ22</t>
        </is>
      </c>
      <c r="D538" s="0" t="inlineStr">
        <is>
          <t xml:space="preserve">-</t>
        </is>
      </c>
      <c r="E538" s="0" t="inlineStr">
        <is>
          <t xml:space="preserve">-</t>
        </is>
      </c>
      <c r="F538" s="0" t="inlineStr">
        <is>
          <t xml:space="preserve">-</t>
        </is>
      </c>
      <c r="G538" s="5">
        <v>0.285</v>
      </c>
      <c r="H538" s="0" t="inlineStr">
        <is>
          <t xml:space="preserve">supplier</t>
        </is>
      </c>
      <c r="I538" s="0" t="inlineStr">
        <is>
          <t xml:space="preserve">unbucketed</t>
        </is>
      </c>
      <c r="J538" s="0" t="inlineStr">
        <is>
          <t xml:space="preserve">residual</t>
        </is>
      </c>
      <c r="K538" s="5">
        <v>0</v>
      </c>
      <c r="L538" s="5">
        <v>0</v>
      </c>
      <c r="M538" s="5">
        <v>0.285</v>
      </c>
      <c r="N538" s="5">
        <v>0.0</v>
      </c>
      <c r="O538" s="5">
        <v>0.0</v>
      </c>
      <c r="P538" s="5">
        <v>0.0</v>
      </c>
      <c r="Q538" s="5">
        <v>0.0</v>
      </c>
      <c r="R538" s="5">
        <v>0.0</v>
      </c>
      <c r="S538" s="5">
        <v>0.285</v>
      </c>
      <c r="T538" s="5">
        <v>0.0</v>
      </c>
      <c r="U538" s="5">
        <v>0.0</v>
      </c>
    </row>
    <row r="539" outlineLevel="1">
      <c r="B539" s="0" t="inlineStr">
        <is>
          <t xml:space="preserve">3M COMPANY</t>
        </is>
      </c>
      <c r="C539" s="0" t="inlineStr">
        <is>
          <t xml:space="preserve">YLQMY5SGNE55</t>
        </is>
      </c>
      <c r="D539" s="0" t="inlineStr">
        <is>
          <t xml:space="preserve">-</t>
        </is>
      </c>
      <c r="E539" s="0" t="inlineStr">
        <is>
          <t xml:space="preserve">-</t>
        </is>
      </c>
      <c r="F539" s="0" t="inlineStr">
        <is>
          <t xml:space="preserve">-</t>
        </is>
      </c>
      <c r="G539" s="5">
        <v>0.28444163</v>
      </c>
      <c r="H539" s="0" t="inlineStr">
        <is>
          <t xml:space="preserve">supplier</t>
        </is>
      </c>
      <c r="I539" s="0" t="inlineStr">
        <is>
          <t xml:space="preserve">unbucketed</t>
        </is>
      </c>
      <c r="J539" s="0" t="inlineStr">
        <is>
          <t xml:space="preserve">residual</t>
        </is>
      </c>
      <c r="K539" s="5">
        <v>0</v>
      </c>
      <c r="L539" s="5">
        <v>0</v>
      </c>
      <c r="M539" s="5">
        <v>0.0</v>
      </c>
      <c r="N539" s="5">
        <v>0.0</v>
      </c>
      <c r="O539" s="5">
        <v>0.0</v>
      </c>
      <c r="P539" s="5">
        <v>0.0</v>
      </c>
      <c r="Q539" s="5">
        <v>0.0</v>
      </c>
      <c r="R539" s="5">
        <v>0.0</v>
      </c>
      <c r="S539" s="5">
        <v>0.0</v>
      </c>
      <c r="T539" s="5">
        <v>0.0</v>
      </c>
      <c r="U539" s="5">
        <v>0.0</v>
      </c>
    </row>
    <row r="540" outlineLevel="1">
      <c r="B540" s="0" t="inlineStr">
        <is>
          <t xml:space="preserve">KITCO FIBER OPTICS, INC.</t>
        </is>
      </c>
      <c r="C540" s="0" t="inlineStr">
        <is>
          <t xml:space="preserve">C18KXNHETC95</t>
        </is>
      </c>
      <c r="D540" s="0" t="inlineStr">
        <is>
          <t xml:space="preserve">-</t>
        </is>
      </c>
      <c r="E540" s="0" t="inlineStr">
        <is>
          <t xml:space="preserve">-</t>
        </is>
      </c>
      <c r="F540" s="0" t="inlineStr">
        <is>
          <t xml:space="preserve">-</t>
        </is>
      </c>
      <c r="G540" s="5">
        <v>0.28439382999999996</v>
      </c>
      <c r="H540" s="0" t="inlineStr">
        <is>
          <t xml:space="preserve">supplier</t>
        </is>
      </c>
      <c r="I540" s="0" t="inlineStr">
        <is>
          <t xml:space="preserve">unbucketed</t>
        </is>
      </c>
      <c r="J540" s="0" t="inlineStr">
        <is>
          <t xml:space="preserve">residual</t>
        </is>
      </c>
      <c r="K540" s="5">
        <v>0</v>
      </c>
      <c r="L540" s="5">
        <v>0</v>
      </c>
      <c r="M540" s="5">
        <v>0.28439382999999996</v>
      </c>
      <c r="N540" s="5">
        <v>0.0</v>
      </c>
      <c r="O540" s="5">
        <v>0.0</v>
      </c>
      <c r="P540" s="5">
        <v>0.0</v>
      </c>
      <c r="Q540" s="5">
        <v>0.0</v>
      </c>
      <c r="R540" s="5">
        <v>0.0</v>
      </c>
      <c r="S540" s="5">
        <v>0.0</v>
      </c>
      <c r="T540" s="5">
        <v>0.0</v>
      </c>
      <c r="U540" s="5">
        <v>0.0</v>
      </c>
    </row>
    <row r="541" outlineLevel="1">
      <c r="B541" s="0" t="inlineStr">
        <is>
          <t xml:space="preserve">PULSCO, INC.</t>
        </is>
      </c>
      <c r="C541" s="0" t="inlineStr">
        <is>
          <t xml:space="preserve">PQXWA9BB6UJ6</t>
        </is>
      </c>
      <c r="D541" s="0" t="inlineStr">
        <is>
          <t xml:space="preserve">-</t>
        </is>
      </c>
      <c r="E541" s="0" t="inlineStr">
        <is>
          <t xml:space="preserve">-</t>
        </is>
      </c>
      <c r="F541" s="0" t="inlineStr">
        <is>
          <t xml:space="preserve">-</t>
        </is>
      </c>
      <c r="G541" s="5">
        <v>0.28374</v>
      </c>
      <c r="H541" s="0" t="inlineStr">
        <is>
          <t xml:space="preserve">supplier</t>
        </is>
      </c>
      <c r="I541" s="0" t="inlineStr">
        <is>
          <t xml:space="preserve">unbucketed</t>
        </is>
      </c>
      <c r="J541" s="0" t="inlineStr">
        <is>
          <t xml:space="preserve">residual</t>
        </is>
      </c>
      <c r="K541" s="5">
        <v>0</v>
      </c>
      <c r="L541" s="5">
        <v>0</v>
      </c>
      <c r="M541" s="5">
        <v>0.28374</v>
      </c>
      <c r="N541" s="5">
        <v>0.0</v>
      </c>
      <c r="O541" s="5">
        <v>0.0</v>
      </c>
      <c r="P541" s="5">
        <v>0.28374</v>
      </c>
      <c r="Q541" s="5">
        <v>0.0</v>
      </c>
      <c r="R541" s="5">
        <v>0.0</v>
      </c>
      <c r="S541" s="5">
        <v>0.0</v>
      </c>
      <c r="T541" s="5">
        <v>0.0</v>
      </c>
      <c r="U541" s="5">
        <v>0.0</v>
      </c>
    </row>
    <row r="542" outlineLevel="1">
      <c r="B542" s="0" t="inlineStr">
        <is>
          <t xml:space="preserve">OUTLAND TECHNOLOGY INC.</t>
        </is>
      </c>
      <c r="C542" s="0" t="inlineStr">
        <is>
          <t xml:space="preserve">DN8HGRSV3LA6</t>
        </is>
      </c>
      <c r="D542" s="0" t="inlineStr">
        <is>
          <t xml:space="preserve">-</t>
        </is>
      </c>
      <c r="E542" s="0" t="inlineStr">
        <is>
          <t xml:space="preserve">-</t>
        </is>
      </c>
      <c r="F542" s="0" t="inlineStr">
        <is>
          <t xml:space="preserve">-</t>
        </is>
      </c>
      <c r="G542" s="5">
        <v>0.28</v>
      </c>
      <c r="H542" s="0" t="inlineStr">
        <is>
          <t xml:space="preserve">supplier</t>
        </is>
      </c>
      <c r="I542" s="0" t="inlineStr">
        <is>
          <t xml:space="preserve">unbucketed</t>
        </is>
      </c>
      <c r="J542" s="0" t="inlineStr">
        <is>
          <t xml:space="preserve">residual</t>
        </is>
      </c>
      <c r="K542" s="5">
        <v>0</v>
      </c>
      <c r="L542" s="5">
        <v>0</v>
      </c>
      <c r="M542" s="5">
        <v>0.28</v>
      </c>
      <c r="N542" s="5">
        <v>0.0</v>
      </c>
      <c r="O542" s="5">
        <v>0.0</v>
      </c>
      <c r="P542" s="5">
        <v>0.28</v>
      </c>
      <c r="Q542" s="5">
        <v>0.0</v>
      </c>
      <c r="R542" s="5">
        <v>0.0</v>
      </c>
      <c r="S542" s="5">
        <v>0.0</v>
      </c>
      <c r="T542" s="5">
        <v>0.0</v>
      </c>
      <c r="U542" s="5">
        <v>0.0</v>
      </c>
    </row>
    <row r="543" outlineLevel="1">
      <c r="B543" s="0" t="inlineStr">
        <is>
          <t xml:space="preserve">GREENE RUBBER COMPANY, INC.</t>
        </is>
      </c>
      <c r="C543" s="0" t="inlineStr">
        <is>
          <t xml:space="preserve">VJFKVNQBYVL5</t>
        </is>
      </c>
      <c r="D543" s="0" t="inlineStr">
        <is>
          <t xml:space="preserve">-</t>
        </is>
      </c>
      <c r="E543" s="0" t="inlineStr">
        <is>
          <t xml:space="preserve">-</t>
        </is>
      </c>
      <c r="F543" s="0" t="inlineStr">
        <is>
          <t xml:space="preserve">-</t>
        </is>
      </c>
      <c r="G543" s="5">
        <v>0.27969464</v>
      </c>
      <c r="H543" s="0" t="inlineStr">
        <is>
          <t xml:space="preserve">supplier</t>
        </is>
      </c>
      <c r="I543" s="0" t="inlineStr">
        <is>
          <t xml:space="preserve">unbucketed</t>
        </is>
      </c>
      <c r="J543" s="0" t="inlineStr">
        <is>
          <t xml:space="preserve">residual</t>
        </is>
      </c>
      <c r="K543" s="5">
        <v>0</v>
      </c>
      <c r="L543" s="5">
        <v>0</v>
      </c>
      <c r="M543" s="5">
        <v>0.27969464</v>
      </c>
      <c r="N543" s="5">
        <v>0.0</v>
      </c>
      <c r="O543" s="5">
        <v>0.0</v>
      </c>
      <c r="P543" s="5">
        <v>0.0</v>
      </c>
      <c r="Q543" s="5">
        <v>0.13597464</v>
      </c>
      <c r="R543" s="5">
        <v>0.0266</v>
      </c>
      <c r="S543" s="5">
        <v>0.0</v>
      </c>
      <c r="T543" s="5">
        <v>0.0</v>
      </c>
      <c r="U543" s="5">
        <v>0.0</v>
      </c>
    </row>
    <row r="544" outlineLevel="1">
      <c r="B544" s="0" t="inlineStr">
        <is>
          <t xml:space="preserve">KAMAN CORP</t>
        </is>
      </c>
      <c r="C544" s="0" t="inlineStr">
        <is>
          <t xml:space="preserve">GXK6HT9PN3P9</t>
        </is>
      </c>
      <c r="D544" s="0" t="inlineStr">
        <is>
          <t xml:space="preserve">-</t>
        </is>
      </c>
      <c r="E544" s="0" t="inlineStr">
        <is>
          <t xml:space="preserve">-</t>
        </is>
      </c>
      <c r="F544" s="0" t="inlineStr">
        <is>
          <t xml:space="preserve">-</t>
        </is>
      </c>
      <c r="G544" s="5">
        <v>0.279404</v>
      </c>
      <c r="H544" s="0" t="inlineStr">
        <is>
          <t xml:space="preserve">supplier</t>
        </is>
      </c>
      <c r="I544" s="0" t="inlineStr">
        <is>
          <t xml:space="preserve">unbucketed</t>
        </is>
      </c>
      <c r="J544" s="0" t="inlineStr">
        <is>
          <t xml:space="preserve">residual</t>
        </is>
      </c>
      <c r="K544" s="5">
        <v>0</v>
      </c>
      <c r="L544" s="5">
        <v>0</v>
      </c>
      <c r="M544" s="5">
        <v>0.279404</v>
      </c>
      <c r="N544" s="5">
        <v>0.0</v>
      </c>
      <c r="O544" s="5">
        <v>0.060842</v>
      </c>
      <c r="P544" s="5">
        <v>0.104568</v>
      </c>
      <c r="Q544" s="5">
        <v>0.0364</v>
      </c>
      <c r="R544" s="5">
        <v>0.0</v>
      </c>
      <c r="S544" s="5">
        <v>0.077594</v>
      </c>
      <c r="T544" s="5">
        <v>0.0</v>
      </c>
      <c r="U544" s="5">
        <v>0.0</v>
      </c>
    </row>
    <row r="545" outlineLevel="1">
      <c r="B545" s="0" t="inlineStr">
        <is>
          <t xml:space="preserve">HUNTINGTON INGALLS INDUSTRIES, INC</t>
        </is>
      </c>
      <c r="C545" s="0" t="inlineStr">
        <is>
          <t xml:space="preserve">CR39JL3216G7</t>
        </is>
      </c>
      <c r="D545" s="0" t="inlineStr">
        <is>
          <t xml:space="preserve">USA</t>
        </is>
      </c>
      <c r="E545" s="0" t="inlineStr">
        <is>
          <t xml:space="preserve">3366</t>
        </is>
      </c>
      <c r="F545" s="0" t="inlineStr">
        <is>
          <t xml:space="preserve">Ship Building and Repairing</t>
        </is>
      </c>
      <c r="G545" s="5">
        <v>0.27792491999999985</v>
      </c>
      <c r="H545" s="0" t="inlineStr">
        <is>
          <t xml:space="preserve">co_prime</t>
        </is>
      </c>
      <c r="I545" s="0" t="inlineStr">
        <is>
          <t xml:space="preserve">-</t>
        </is>
      </c>
      <c r="J545" s="0" t="inlineStr">
        <is>
          <t xml:space="preserve">prime/co-prime name</t>
        </is>
      </c>
      <c r="K545" s="5">
        <v>0</v>
      </c>
      <c r="L545" s="5">
        <v>0</v>
      </c>
      <c r="M545" s="5">
        <v>0.27792491999999985</v>
      </c>
      <c r="N545" s="5">
        <v>0.0</v>
      </c>
      <c r="O545" s="5">
        <v>0.12324871999999999</v>
      </c>
      <c r="P545" s="5">
        <v>0.17918848</v>
      </c>
      <c r="Q545" s="5">
        <v>-0.02451228</v>
      </c>
      <c r="R545" s="5">
        <v>0.0</v>
      </c>
      <c r="S545" s="5">
        <v>0.0</v>
      </c>
      <c r="T545" s="5">
        <v>0.0</v>
      </c>
      <c r="U545" s="5">
        <v>0.0</v>
      </c>
    </row>
    <row r="546" outlineLevel="1">
      <c r="B546" s="0" t="inlineStr">
        <is>
          <t xml:space="preserve">FLUIDYNE CORPORATION</t>
        </is>
      </c>
      <c r="C546" s="0" t="inlineStr">
        <is>
          <t xml:space="preserve">RG3VUTDYFNF8</t>
        </is>
      </c>
      <c r="D546" s="0" t="inlineStr">
        <is>
          <t xml:space="preserve">-</t>
        </is>
      </c>
      <c r="E546" s="0" t="inlineStr">
        <is>
          <t xml:space="preserve">-</t>
        </is>
      </c>
      <c r="F546" s="0" t="inlineStr">
        <is>
          <t xml:space="preserve">-</t>
        </is>
      </c>
      <c r="G546" s="5">
        <v>0.275902</v>
      </c>
      <c r="H546" s="0" t="inlineStr">
        <is>
          <t xml:space="preserve">supplier</t>
        </is>
      </c>
      <c r="I546" s="0" t="inlineStr">
        <is>
          <t xml:space="preserve">unbucketed</t>
        </is>
      </c>
      <c r="J546" s="0" t="inlineStr">
        <is>
          <t xml:space="preserve">residual</t>
        </is>
      </c>
      <c r="K546" s="5">
        <v>0</v>
      </c>
      <c r="L546" s="5">
        <v>0</v>
      </c>
      <c r="M546" s="5">
        <v>0.275902</v>
      </c>
      <c r="N546" s="5">
        <v>0.0</v>
      </c>
      <c r="O546" s="5">
        <v>0.093376</v>
      </c>
      <c r="P546" s="5">
        <v>0.085852</v>
      </c>
      <c r="Q546" s="5">
        <v>0.051996</v>
      </c>
      <c r="R546" s="5">
        <v>0.044678</v>
      </c>
      <c r="S546" s="5">
        <v>0.0</v>
      </c>
      <c r="T546" s="5">
        <v>0.0</v>
      </c>
      <c r="U546" s="5">
        <v>0.0</v>
      </c>
    </row>
    <row r="547" outlineLevel="1">
      <c r="B547" s="0" t="inlineStr">
        <is>
          <t xml:space="preserve">PRC DESOTO INTERNATIONAL, INC.</t>
        </is>
      </c>
      <c r="C547" s="0" t="inlineStr">
        <is>
          <t xml:space="preserve">YWX1QLBKSQD7</t>
        </is>
      </c>
      <c r="D547" s="0" t="inlineStr">
        <is>
          <t xml:space="preserve">-</t>
        </is>
      </c>
      <c r="E547" s="0" t="inlineStr">
        <is>
          <t xml:space="preserve">-</t>
        </is>
      </c>
      <c r="F547" s="0" t="inlineStr">
        <is>
          <t xml:space="preserve">-</t>
        </is>
      </c>
      <c r="G547" s="5">
        <v>0.27433</v>
      </c>
      <c r="H547" s="0" t="inlineStr">
        <is>
          <t xml:space="preserve">supplier</t>
        </is>
      </c>
      <c r="I547" s="0" t="inlineStr">
        <is>
          <t xml:space="preserve">unbucketed</t>
        </is>
      </c>
      <c r="J547" s="0" t="inlineStr">
        <is>
          <t xml:space="preserve">residual</t>
        </is>
      </c>
      <c r="K547" s="5">
        <v>0</v>
      </c>
      <c r="L547" s="5">
        <v>0</v>
      </c>
      <c r="M547" s="5">
        <v>0.27433</v>
      </c>
      <c r="N547" s="5">
        <v>0.0</v>
      </c>
      <c r="O547" s="5">
        <v>0.0</v>
      </c>
      <c r="P547" s="5">
        <v>0.27433</v>
      </c>
      <c r="Q547" s="5">
        <v>0.0</v>
      </c>
      <c r="R547" s="5">
        <v>0.0</v>
      </c>
      <c r="S547" s="5">
        <v>0.0</v>
      </c>
      <c r="T547" s="5">
        <v>0.0</v>
      </c>
      <c r="U547" s="5">
        <v>0.0</v>
      </c>
    </row>
    <row r="548" outlineLevel="1">
      <c r="B548" s="0" t="inlineStr">
        <is>
          <t xml:space="preserve">L&amp;C PROTEC, INC.</t>
        </is>
      </c>
      <c r="C548" s="0" t="inlineStr">
        <is>
          <t xml:space="preserve">DKLBZLX4D674</t>
        </is>
      </c>
      <c r="D548" s="0" t="inlineStr">
        <is>
          <t xml:space="preserve">-</t>
        </is>
      </c>
      <c r="E548" s="0" t="inlineStr">
        <is>
          <t xml:space="preserve">-</t>
        </is>
      </c>
      <c r="F548" s="0" t="inlineStr">
        <is>
          <t xml:space="preserve">-</t>
        </is>
      </c>
      <c r="G548" s="5">
        <v>0.273</v>
      </c>
      <c r="H548" s="0" t="inlineStr">
        <is>
          <t xml:space="preserve">supplier</t>
        </is>
      </c>
      <c r="I548" s="0" t="inlineStr">
        <is>
          <t xml:space="preserve">unbucketed</t>
        </is>
      </c>
      <c r="J548" s="0" t="inlineStr">
        <is>
          <t xml:space="preserve">residual</t>
        </is>
      </c>
      <c r="K548" s="5">
        <v>0</v>
      </c>
      <c r="L548" s="5">
        <v>0</v>
      </c>
      <c r="M548" s="5">
        <v>0.273</v>
      </c>
      <c r="N548" s="5">
        <v>0.0</v>
      </c>
      <c r="O548" s="5">
        <v>0.273</v>
      </c>
      <c r="P548" s="5">
        <v>0.0</v>
      </c>
      <c r="Q548" s="5">
        <v>0.0</v>
      </c>
      <c r="R548" s="5">
        <v>0.0</v>
      </c>
      <c r="S548" s="5">
        <v>0.0</v>
      </c>
      <c r="T548" s="5">
        <v>0.0</v>
      </c>
      <c r="U548" s="5">
        <v>0.0</v>
      </c>
    </row>
    <row r="549" outlineLevel="1">
      <c r="B549" s="0" t="inlineStr">
        <is>
          <t xml:space="preserve">WOLLASTON ALLOYS, INC.</t>
        </is>
      </c>
      <c r="C549" s="0" t="inlineStr">
        <is>
          <t xml:space="preserve">HY9JJE3F4R25</t>
        </is>
      </c>
      <c r="D549" s="0" t="inlineStr">
        <is>
          <t xml:space="preserve">-</t>
        </is>
      </c>
      <c r="E549" s="0" t="inlineStr">
        <is>
          <t xml:space="preserve">-</t>
        </is>
      </c>
      <c r="F549" s="0" t="inlineStr">
        <is>
          <t xml:space="preserve">-</t>
        </is>
      </c>
      <c r="G549" s="5">
        <v>0.27056</v>
      </c>
      <c r="H549" s="0" t="inlineStr">
        <is>
          <t xml:space="preserve">supplier</t>
        </is>
      </c>
      <c r="I549" s="0" t="inlineStr">
        <is>
          <t xml:space="preserve">unbucketed</t>
        </is>
      </c>
      <c r="J549" s="0" t="inlineStr">
        <is>
          <t xml:space="preserve">residual</t>
        </is>
      </c>
      <c r="K549" s="5">
        <v>0</v>
      </c>
      <c r="L549" s="5">
        <v>0</v>
      </c>
      <c r="M549" s="5">
        <v>0.27056</v>
      </c>
      <c r="N549" s="5">
        <v>0.0</v>
      </c>
      <c r="O549" s="5">
        <v>0.0</v>
      </c>
      <c r="P549" s="5">
        <v>0.0</v>
      </c>
      <c r="Q549" s="5">
        <v>0.0</v>
      </c>
      <c r="R549" s="5">
        <v>0.0</v>
      </c>
      <c r="S549" s="5">
        <v>0.066</v>
      </c>
      <c r="T549" s="5">
        <v>0.0</v>
      </c>
      <c r="U549" s="5">
        <v>0.20456</v>
      </c>
    </row>
    <row r="550" outlineLevel="1">
      <c r="B550" s="0" t="inlineStr">
        <is>
          <t xml:space="preserve">PAVION CORP.</t>
        </is>
      </c>
      <c r="C550" s="0" t="inlineStr">
        <is>
          <t xml:space="preserve">EWDVBA6GPR39</t>
        </is>
      </c>
      <c r="D550" s="0" t="inlineStr">
        <is>
          <t xml:space="preserve">-</t>
        </is>
      </c>
      <c r="E550" s="0" t="inlineStr">
        <is>
          <t xml:space="preserve">-</t>
        </is>
      </c>
      <c r="F550" s="0" t="inlineStr">
        <is>
          <t xml:space="preserve">-</t>
        </is>
      </c>
      <c r="G550" s="5">
        <v>0.27</v>
      </c>
      <c r="H550" s="0" t="inlineStr">
        <is>
          <t xml:space="preserve">supplier</t>
        </is>
      </c>
      <c r="I550" s="0" t="inlineStr">
        <is>
          <t xml:space="preserve">unbucketed</t>
        </is>
      </c>
      <c r="J550" s="0" t="inlineStr">
        <is>
          <t xml:space="preserve">residual</t>
        </is>
      </c>
      <c r="K550" s="5">
        <v>0</v>
      </c>
      <c r="L550" s="5">
        <v>0</v>
      </c>
      <c r="M550" s="5">
        <v>0.27</v>
      </c>
      <c r="N550" s="5">
        <v>0.0</v>
      </c>
      <c r="O550" s="5">
        <v>0.0</v>
      </c>
      <c r="P550" s="5">
        <v>0.0</v>
      </c>
      <c r="Q550" s="5">
        <v>0.0</v>
      </c>
      <c r="R550" s="5">
        <v>0.0</v>
      </c>
      <c r="S550" s="5">
        <v>0.0</v>
      </c>
      <c r="T550" s="5">
        <v>0.0</v>
      </c>
      <c r="U550" s="5">
        <v>0.27</v>
      </c>
    </row>
    <row r="551" outlineLevel="1">
      <c r="B551" s="0" t="inlineStr">
        <is>
          <t xml:space="preserve">ELMA ELECTRONIC INC.</t>
        </is>
      </c>
      <c r="C551" s="0" t="inlineStr">
        <is>
          <t xml:space="preserve">PGWNKJF89FV5</t>
        </is>
      </c>
      <c r="D551" s="0" t="inlineStr">
        <is>
          <t xml:space="preserve">-</t>
        </is>
      </c>
      <c r="E551" s="0" t="inlineStr">
        <is>
          <t xml:space="preserve">-</t>
        </is>
      </c>
      <c r="F551" s="0" t="inlineStr">
        <is>
          <t xml:space="preserve">-</t>
        </is>
      </c>
      <c r="G551" s="5">
        <v>0.2685</v>
      </c>
      <c r="H551" s="0" t="inlineStr">
        <is>
          <t xml:space="preserve">supplier</t>
        </is>
      </c>
      <c r="I551" s="0" t="inlineStr">
        <is>
          <t xml:space="preserve">unbucketed</t>
        </is>
      </c>
      <c r="J551" s="0" t="inlineStr">
        <is>
          <t xml:space="preserve">residual</t>
        </is>
      </c>
      <c r="K551" s="5">
        <v>0</v>
      </c>
      <c r="L551" s="5">
        <v>0</v>
      </c>
      <c r="M551" s="5">
        <v>0.2685</v>
      </c>
      <c r="N551" s="5">
        <v>0.1796</v>
      </c>
      <c r="O551" s="5">
        <v>0.03545</v>
      </c>
      <c r="P551" s="5">
        <v>0.0</v>
      </c>
      <c r="Q551" s="5">
        <v>0.0</v>
      </c>
      <c r="R551" s="5">
        <v>0.0</v>
      </c>
      <c r="S551" s="5">
        <v>0.05345</v>
      </c>
      <c r="T551" s="5">
        <v>0.0</v>
      </c>
      <c r="U551" s="5">
        <v>0.0</v>
      </c>
    </row>
    <row r="552" outlineLevel="1">
      <c r="B552" s="0" t="inlineStr">
        <is>
          <t xml:space="preserve">GREENLAND ENTERPRISES, INC.</t>
        </is>
      </c>
      <c r="C552" s="0" t="inlineStr">
        <is>
          <t xml:space="preserve">GTP8S87MBPF3</t>
        </is>
      </c>
      <c r="D552" s="0" t="inlineStr">
        <is>
          <t xml:space="preserve">-</t>
        </is>
      </c>
      <c r="E552" s="0" t="inlineStr">
        <is>
          <t xml:space="preserve">-</t>
        </is>
      </c>
      <c r="F552" s="0" t="inlineStr">
        <is>
          <t xml:space="preserve">-</t>
        </is>
      </c>
      <c r="G552" s="5">
        <v>0.26847994999999997</v>
      </c>
      <c r="H552" s="0" t="inlineStr">
        <is>
          <t xml:space="preserve">supplier</t>
        </is>
      </c>
      <c r="I552" s="0" t="inlineStr">
        <is>
          <t xml:space="preserve">unbucketed</t>
        </is>
      </c>
      <c r="J552" s="0" t="inlineStr">
        <is>
          <t xml:space="preserve">residual</t>
        </is>
      </c>
      <c r="K552" s="5">
        <v>0</v>
      </c>
      <c r="L552" s="5">
        <v>0</v>
      </c>
      <c r="M552" s="5">
        <v>0.26847994999999997</v>
      </c>
      <c r="N552" s="5">
        <v>0.0</v>
      </c>
      <c r="O552" s="5">
        <v>0.0</v>
      </c>
      <c r="P552" s="5">
        <v>0.0</v>
      </c>
      <c r="Q552" s="5">
        <v>0.0</v>
      </c>
      <c r="R552" s="5">
        <v>0.0</v>
      </c>
      <c r="S552" s="5">
        <v>0.0</v>
      </c>
      <c r="T552" s="5">
        <v>0.0</v>
      </c>
      <c r="U552" s="5">
        <v>0.0</v>
      </c>
    </row>
    <row r="553" outlineLevel="1">
      <c r="B553" s="0" t="inlineStr">
        <is>
          <t xml:space="preserve">KAMAN CORPORATION</t>
        </is>
      </c>
      <c r="C553" s="0" t="inlineStr">
        <is>
          <t xml:space="preserve">GXK6HT9PN3P9</t>
        </is>
      </c>
      <c r="D553" s="0" t="inlineStr">
        <is>
          <t xml:space="preserve">-</t>
        </is>
      </c>
      <c r="E553" s="0" t="inlineStr">
        <is>
          <t xml:space="preserve">-</t>
        </is>
      </c>
      <c r="F553" s="0" t="inlineStr">
        <is>
          <t xml:space="preserve">-</t>
        </is>
      </c>
      <c r="G553" s="5">
        <v>0.26671399999999995</v>
      </c>
      <c r="H553" s="0" t="inlineStr">
        <is>
          <t xml:space="preserve">supplier</t>
        </is>
      </c>
      <c r="I553" s="0" t="inlineStr">
        <is>
          <t xml:space="preserve">unbucketed</t>
        </is>
      </c>
      <c r="J553" s="0" t="inlineStr">
        <is>
          <t xml:space="preserve">residual</t>
        </is>
      </c>
      <c r="K553" s="5">
        <v>0</v>
      </c>
      <c r="L553" s="5">
        <v>0</v>
      </c>
      <c r="M553" s="5">
        <v>0.26671399999999995</v>
      </c>
      <c r="N553" s="5">
        <v>0.0</v>
      </c>
      <c r="O553" s="5">
        <v>0.0</v>
      </c>
      <c r="P553" s="5">
        <v>0.0</v>
      </c>
      <c r="Q553" s="5">
        <v>0.0</v>
      </c>
      <c r="R553" s="5">
        <v>0.0</v>
      </c>
      <c r="S553" s="5">
        <v>0.0</v>
      </c>
      <c r="T553" s="5">
        <v>0.0</v>
      </c>
      <c r="U553" s="5">
        <v>0.0</v>
      </c>
    </row>
    <row r="554" outlineLevel="1">
      <c r="B554" s="0" t="inlineStr">
        <is>
          <t xml:space="preserve">THE LEE CO</t>
        </is>
      </c>
      <c r="C554" s="0" t="inlineStr">
        <is>
          <t xml:space="preserve">WYN3NM142HF3</t>
        </is>
      </c>
      <c r="D554" s="0" t="inlineStr">
        <is>
          <t xml:space="preserve">-</t>
        </is>
      </c>
      <c r="E554" s="0" t="inlineStr">
        <is>
          <t xml:space="preserve">-</t>
        </is>
      </c>
      <c r="F554" s="0" t="inlineStr">
        <is>
          <t xml:space="preserve">-</t>
        </is>
      </c>
      <c r="G554" s="5">
        <v>0.26398414000000003</v>
      </c>
      <c r="H554" s="0" t="inlineStr">
        <is>
          <t xml:space="preserve">supplier</t>
        </is>
      </c>
      <c r="I554" s="0" t="inlineStr">
        <is>
          <t xml:space="preserve">unbucketed</t>
        </is>
      </c>
      <c r="J554" s="0" t="inlineStr">
        <is>
          <t xml:space="preserve">residual</t>
        </is>
      </c>
      <c r="K554" s="5">
        <v>0</v>
      </c>
      <c r="L554" s="5">
        <v>0</v>
      </c>
      <c r="M554" s="5">
        <v>0.26398414000000003</v>
      </c>
      <c r="N554" s="5">
        <v>0.0</v>
      </c>
      <c r="O554" s="5">
        <v>0.0</v>
      </c>
      <c r="P554" s="5">
        <v>0.14727500000000002</v>
      </c>
      <c r="Q554" s="5">
        <v>0.0</v>
      </c>
      <c r="R554" s="5">
        <v>0.0</v>
      </c>
      <c r="S554" s="5">
        <v>0.0</v>
      </c>
      <c r="T554" s="5">
        <v>0.11670914</v>
      </c>
      <c r="U554" s="5">
        <v>0.0</v>
      </c>
    </row>
    <row r="555" outlineLevel="1">
      <c r="B555" s="0" t="inlineStr">
        <is>
          <t xml:space="preserve">CGI INC</t>
        </is>
      </c>
      <c r="C555" s="0" t="inlineStr">
        <is>
          <t xml:space="preserve">WCDSL3DNJLY1</t>
        </is>
      </c>
      <c r="D555" s="0" t="inlineStr">
        <is>
          <t xml:space="preserve">-</t>
        </is>
      </c>
      <c r="E555" s="0" t="inlineStr">
        <is>
          <t xml:space="preserve">-</t>
        </is>
      </c>
      <c r="F555" s="0" t="inlineStr">
        <is>
          <t xml:space="preserve">-</t>
        </is>
      </c>
      <c r="G555" s="5">
        <v>0.263778</v>
      </c>
      <c r="H555" s="0" t="inlineStr">
        <is>
          <t xml:space="preserve">supplier</t>
        </is>
      </c>
      <c r="I555" s="0" t="inlineStr">
        <is>
          <t xml:space="preserve">unbucketed</t>
        </is>
      </c>
      <c r="J555" s="0" t="inlineStr">
        <is>
          <t xml:space="preserve">residual</t>
        </is>
      </c>
      <c r="K555" s="5">
        <v>0</v>
      </c>
      <c r="L555" s="5">
        <v>0</v>
      </c>
      <c r="M555" s="5">
        <v>0.0</v>
      </c>
      <c r="N555" s="5">
        <v>0.0</v>
      </c>
      <c r="O555" s="5">
        <v>0.0</v>
      </c>
      <c r="P555" s="5">
        <v>0.0</v>
      </c>
      <c r="Q555" s="5">
        <v>0.0</v>
      </c>
      <c r="R555" s="5">
        <v>0.0</v>
      </c>
      <c r="S555" s="5">
        <v>0.0</v>
      </c>
      <c r="T555" s="5">
        <v>0.0</v>
      </c>
      <c r="U555" s="5">
        <v>0.0</v>
      </c>
    </row>
    <row r="556" outlineLevel="1">
      <c r="B556" s="0" t="inlineStr">
        <is>
          <t xml:space="preserve">TRAC REGULATORS INC</t>
        </is>
      </c>
      <c r="C556" s="0" t="inlineStr">
        <is>
          <t xml:space="preserve">MAKYNVTMNZX1</t>
        </is>
      </c>
      <c r="D556" s="0" t="inlineStr">
        <is>
          <t xml:space="preserve">-</t>
        </is>
      </c>
      <c r="E556" s="0" t="inlineStr">
        <is>
          <t xml:space="preserve">-</t>
        </is>
      </c>
      <c r="F556" s="0" t="inlineStr">
        <is>
          <t xml:space="preserve">-</t>
        </is>
      </c>
      <c r="G556" s="5">
        <v>0.256756</v>
      </c>
      <c r="H556" s="0" t="inlineStr">
        <is>
          <t xml:space="preserve">supplier</t>
        </is>
      </c>
      <c r="I556" s="0" t="inlineStr">
        <is>
          <t xml:space="preserve">unbucketed</t>
        </is>
      </c>
      <c r="J556" s="0" t="inlineStr">
        <is>
          <t xml:space="preserve">residual</t>
        </is>
      </c>
      <c r="K556" s="5">
        <v>0</v>
      </c>
      <c r="L556" s="5">
        <v>0</v>
      </c>
      <c r="M556" s="5">
        <v>0.256756</v>
      </c>
      <c r="N556" s="5">
        <v>0.0</v>
      </c>
      <c r="O556" s="5">
        <v>0.0</v>
      </c>
      <c r="P556" s="5">
        <v>0.0</v>
      </c>
      <c r="Q556" s="5">
        <v>0.0</v>
      </c>
      <c r="R556" s="5">
        <v>0.0</v>
      </c>
      <c r="S556" s="5">
        <v>0.0</v>
      </c>
      <c r="T556" s="5">
        <v>0.0</v>
      </c>
      <c r="U556" s="5">
        <v>0.0</v>
      </c>
    </row>
    <row r="557" outlineLevel="1">
      <c r="B557" s="0" t="inlineStr">
        <is>
          <t xml:space="preserve">PRIME TECHNOLOGY LLC</t>
        </is>
      </c>
      <c r="C557" s="0" t="inlineStr">
        <is>
          <t xml:space="preserve">U5DDDFM4LJS3</t>
        </is>
      </c>
      <c r="D557" s="0" t="inlineStr">
        <is>
          <t xml:space="preserve">-</t>
        </is>
      </c>
      <c r="E557" s="0" t="inlineStr">
        <is>
          <t xml:space="preserve">-</t>
        </is>
      </c>
      <c r="F557" s="0" t="inlineStr">
        <is>
          <t xml:space="preserve">-</t>
        </is>
      </c>
      <c r="G557" s="5">
        <v>0.25547235</v>
      </c>
      <c r="H557" s="0" t="inlineStr">
        <is>
          <t xml:space="preserve">supplier</t>
        </is>
      </c>
      <c r="I557" s="0" t="inlineStr">
        <is>
          <t xml:space="preserve">unbucketed</t>
        </is>
      </c>
      <c r="J557" s="0" t="inlineStr">
        <is>
          <t xml:space="preserve">residual</t>
        </is>
      </c>
      <c r="K557" s="5">
        <v>0</v>
      </c>
      <c r="L557" s="5">
        <v>0</v>
      </c>
      <c r="M557" s="5">
        <v>0.25547235</v>
      </c>
      <c r="N557" s="5">
        <v>0.0</v>
      </c>
      <c r="O557" s="5">
        <v>0.13314399999999998</v>
      </c>
      <c r="P557" s="5">
        <v>0.0</v>
      </c>
      <c r="Q557" s="5">
        <v>0.12232835</v>
      </c>
      <c r="R557" s="5">
        <v>0.0</v>
      </c>
      <c r="S557" s="5">
        <v>0.0</v>
      </c>
      <c r="T557" s="5">
        <v>0.0</v>
      </c>
      <c r="U557" s="5">
        <v>0.0</v>
      </c>
    </row>
    <row r="558" outlineLevel="1">
      <c r="B558" s="0" t="inlineStr">
        <is>
          <t xml:space="preserve">MEASUREMENT SPECIALTIES INC</t>
        </is>
      </c>
      <c r="C558" s="0" t="inlineStr">
        <is>
          <t xml:space="preserve">DJMMEPKGGNB3</t>
        </is>
      </c>
      <c r="D558" s="0" t="inlineStr">
        <is>
          <t xml:space="preserve">-</t>
        </is>
      </c>
      <c r="E558" s="0" t="inlineStr">
        <is>
          <t xml:space="preserve">-</t>
        </is>
      </c>
      <c r="F558" s="0" t="inlineStr">
        <is>
          <t xml:space="preserve">-</t>
        </is>
      </c>
      <c r="G558" s="5">
        <v>0.255</v>
      </c>
      <c r="H558" s="0" t="inlineStr">
        <is>
          <t xml:space="preserve">supplier</t>
        </is>
      </c>
      <c r="I558" s="0" t="inlineStr">
        <is>
          <t xml:space="preserve">electrical</t>
        </is>
      </c>
      <c r="J558" s="0" t="inlineStr">
        <is>
          <t xml:space="preserve">registry</t>
        </is>
      </c>
      <c r="K558" s="5">
        <v>0</v>
      </c>
      <c r="L558" s="5">
        <v>0</v>
      </c>
      <c r="M558" s="5">
        <v>0.255</v>
      </c>
      <c r="N558" s="5">
        <v>0.0</v>
      </c>
      <c r="O558" s="5">
        <v>0.0</v>
      </c>
      <c r="P558" s="5">
        <v>0.0</v>
      </c>
      <c r="Q558" s="5">
        <v>0.0</v>
      </c>
      <c r="R558" s="5">
        <v>0.0</v>
      </c>
      <c r="S558" s="5">
        <v>0.0</v>
      </c>
      <c r="T558" s="5">
        <v>0.255</v>
      </c>
      <c r="U558" s="5">
        <v>0.0</v>
      </c>
    </row>
    <row r="559" outlineLevel="1">
      <c r="B559" s="0" t="inlineStr">
        <is>
          <t xml:space="preserve">KOCH INDUSTRIES, INC.</t>
        </is>
      </c>
      <c r="C559" s="0" t="inlineStr">
        <is>
          <t xml:space="preserve">CEZLBLUFVYT9</t>
        </is>
      </c>
      <c r="D559" s="0" t="inlineStr">
        <is>
          <t xml:space="preserve">-</t>
        </is>
      </c>
      <c r="E559" s="0" t="inlineStr">
        <is>
          <t xml:space="preserve">-</t>
        </is>
      </c>
      <c r="F559" s="0" t="inlineStr">
        <is>
          <t xml:space="preserve">-</t>
        </is>
      </c>
      <c r="G559" s="5">
        <v>0.254352</v>
      </c>
      <c r="H559" s="0" t="inlineStr">
        <is>
          <t xml:space="preserve">supplier</t>
        </is>
      </c>
      <c r="I559" s="0" t="inlineStr">
        <is>
          <t xml:space="preserve">unbucketed</t>
        </is>
      </c>
      <c r="J559" s="0" t="inlineStr">
        <is>
          <t xml:space="preserve">residual</t>
        </is>
      </c>
      <c r="K559" s="5">
        <v>0</v>
      </c>
      <c r="L559" s="5">
        <v>0</v>
      </c>
      <c r="M559" s="5">
        <v>0.254352</v>
      </c>
      <c r="N559" s="5">
        <v>0.0</v>
      </c>
      <c r="O559" s="5">
        <v>0.0</v>
      </c>
      <c r="P559" s="5">
        <v>0.0</v>
      </c>
      <c r="Q559" s="5">
        <v>0.0</v>
      </c>
      <c r="R559" s="5">
        <v>0.0</v>
      </c>
      <c r="S559" s="5">
        <v>0.0</v>
      </c>
      <c r="T559" s="5">
        <v>0.0</v>
      </c>
      <c r="U559" s="5">
        <v>0.0</v>
      </c>
    </row>
    <row r="560" outlineLevel="1">
      <c r="B560" s="0" t="inlineStr">
        <is>
          <t xml:space="preserve">B&amp;G MANUFACTURING CO., INC.</t>
        </is>
      </c>
      <c r="C560" s="0" t="inlineStr">
        <is>
          <t xml:space="preserve">MXDKLLXB3EK7</t>
        </is>
      </c>
      <c r="D560" s="0" t="inlineStr">
        <is>
          <t xml:space="preserve">-</t>
        </is>
      </c>
      <c r="E560" s="0" t="inlineStr">
        <is>
          <t xml:space="preserve">-</t>
        </is>
      </c>
      <c r="F560" s="0" t="inlineStr">
        <is>
          <t xml:space="preserve">-</t>
        </is>
      </c>
      <c r="G560" s="5">
        <v>0.251739</v>
      </c>
      <c r="H560" s="0" t="inlineStr">
        <is>
          <t xml:space="preserve">supplier</t>
        </is>
      </c>
      <c r="I560" s="0" t="inlineStr">
        <is>
          <t xml:space="preserve">unbucketed</t>
        </is>
      </c>
      <c r="J560" s="0" t="inlineStr">
        <is>
          <t xml:space="preserve">residual</t>
        </is>
      </c>
      <c r="K560" s="5">
        <v>0</v>
      </c>
      <c r="L560" s="5">
        <v>0</v>
      </c>
      <c r="M560" s="5">
        <v>0.251739</v>
      </c>
      <c r="N560" s="5">
        <v>0.0</v>
      </c>
      <c r="O560" s="5">
        <v>0.228339</v>
      </c>
      <c r="P560" s="5">
        <v>0.0</v>
      </c>
      <c r="Q560" s="5">
        <v>0.0</v>
      </c>
      <c r="R560" s="5">
        <v>0.0</v>
      </c>
      <c r="S560" s="5">
        <v>0.0234</v>
      </c>
      <c r="T560" s="5">
        <v>0.0</v>
      </c>
      <c r="U560" s="5">
        <v>0.0</v>
      </c>
    </row>
    <row r="561" outlineLevel="1">
      <c r="B561" s="0" t="inlineStr">
        <is>
          <t xml:space="preserve">COMPONENTS CORPORATION OF AMERICA</t>
        </is>
      </c>
      <c r="C561" s="0" t="inlineStr">
        <is>
          <t xml:space="preserve">EPHBJMLFMGL7</t>
        </is>
      </c>
      <c r="D561" s="0" t="inlineStr">
        <is>
          <t xml:space="preserve">-</t>
        </is>
      </c>
      <c r="E561" s="0" t="inlineStr">
        <is>
          <t xml:space="preserve">-</t>
        </is>
      </c>
      <c r="F561" s="0" t="inlineStr">
        <is>
          <t xml:space="preserve">-</t>
        </is>
      </c>
      <c r="G561" s="5">
        <v>0.25167768</v>
      </c>
      <c r="H561" s="0" t="inlineStr">
        <is>
          <t xml:space="preserve">supplier</t>
        </is>
      </c>
      <c r="I561" s="0" t="inlineStr">
        <is>
          <t xml:space="preserve">unbucketed</t>
        </is>
      </c>
      <c r="J561" s="0" t="inlineStr">
        <is>
          <t xml:space="preserve">residual</t>
        </is>
      </c>
      <c r="K561" s="5">
        <v>0</v>
      </c>
      <c r="L561" s="5">
        <v>0</v>
      </c>
      <c r="M561" s="5">
        <v>0.25167768</v>
      </c>
      <c r="N561" s="5">
        <v>0.03294276</v>
      </c>
      <c r="O561" s="5">
        <v>0.0</v>
      </c>
      <c r="P561" s="5">
        <v>0.0</v>
      </c>
      <c r="Q561" s="5">
        <v>0.21873492</v>
      </c>
      <c r="R561" s="5">
        <v>0.0</v>
      </c>
      <c r="S561" s="5">
        <v>0.0</v>
      </c>
      <c r="T561" s="5">
        <v>0.0</v>
      </c>
      <c r="U561" s="5">
        <v>0.0</v>
      </c>
    </row>
    <row r="562" outlineLevel="1">
      <c r="B562" s="0" t="inlineStr">
        <is>
          <t xml:space="preserve">LABORATORY TESTING INC</t>
        </is>
      </c>
      <c r="C562" s="0" t="inlineStr">
        <is>
          <t xml:space="preserve">WVERJSJEZ4U8</t>
        </is>
      </c>
      <c r="D562" s="0" t="inlineStr">
        <is>
          <t xml:space="preserve">-</t>
        </is>
      </c>
      <c r="E562" s="0" t="inlineStr">
        <is>
          <t xml:space="preserve">-</t>
        </is>
      </c>
      <c r="F562" s="0" t="inlineStr">
        <is>
          <t xml:space="preserve">-</t>
        </is>
      </c>
      <c r="G562" s="5">
        <v>0.251398</v>
      </c>
      <c r="H562" s="0" t="inlineStr">
        <is>
          <t xml:space="preserve">supplier</t>
        </is>
      </c>
      <c r="I562" s="0" t="inlineStr">
        <is>
          <t xml:space="preserve">unbucketed</t>
        </is>
      </c>
      <c r="J562" s="0" t="inlineStr">
        <is>
          <t xml:space="preserve">residual</t>
        </is>
      </c>
      <c r="K562" s="5">
        <v>0</v>
      </c>
      <c r="L562" s="5">
        <v>0</v>
      </c>
      <c r="M562" s="5">
        <v>0.251398</v>
      </c>
      <c r="N562" s="5">
        <v>0.0</v>
      </c>
      <c r="O562" s="5">
        <v>0.0</v>
      </c>
      <c r="P562" s="5">
        <v>0.0</v>
      </c>
      <c r="Q562" s="5">
        <v>0.0</v>
      </c>
      <c r="R562" s="5">
        <v>0.0</v>
      </c>
      <c r="S562" s="5">
        <v>0.251398</v>
      </c>
      <c r="T562" s="5">
        <v>0.0</v>
      </c>
      <c r="U562" s="5">
        <v>0.0</v>
      </c>
    </row>
    <row r="563" outlineLevel="1">
      <c r="B563" s="0" t="inlineStr">
        <is>
          <t xml:space="preserve">ALLEGIS GROUP, INC.</t>
        </is>
      </c>
      <c r="C563" s="0" t="inlineStr">
        <is>
          <t xml:space="preserve">QPFMBXNMQM85</t>
        </is>
      </c>
      <c r="D563" s="0" t="inlineStr">
        <is>
          <t xml:space="preserve">-</t>
        </is>
      </c>
      <c r="E563" s="0" t="inlineStr">
        <is>
          <t xml:space="preserve">-</t>
        </is>
      </c>
      <c r="F563" s="0" t="inlineStr">
        <is>
          <t xml:space="preserve">-</t>
        </is>
      </c>
      <c r="G563" s="5">
        <v>0.25</v>
      </c>
      <c r="H563" s="0" t="inlineStr">
        <is>
          <t xml:space="preserve">supplier</t>
        </is>
      </c>
      <c r="I563" s="0" t="inlineStr">
        <is>
          <t xml:space="preserve">unbucketed</t>
        </is>
      </c>
      <c r="J563" s="0" t="inlineStr">
        <is>
          <t xml:space="preserve">residual</t>
        </is>
      </c>
      <c r="K563" s="5">
        <v>0</v>
      </c>
      <c r="L563" s="5">
        <v>0</v>
      </c>
      <c r="M563" s="5">
        <v>0.25</v>
      </c>
      <c r="N563" s="5">
        <v>0.0</v>
      </c>
      <c r="O563" s="5">
        <v>0.0</v>
      </c>
      <c r="P563" s="5">
        <v>0.0</v>
      </c>
      <c r="Q563" s="5">
        <v>0.0</v>
      </c>
      <c r="R563" s="5">
        <v>0.0</v>
      </c>
      <c r="S563" s="5">
        <v>0.0</v>
      </c>
      <c r="T563" s="5">
        <v>0.0</v>
      </c>
      <c r="U563" s="5">
        <v>0.0</v>
      </c>
    </row>
    <row r="564" outlineLevel="1">
      <c r="B564" s="0" t="inlineStr">
        <is>
          <t xml:space="preserve">STEELMASTER BUILDINGS, INC.</t>
        </is>
      </c>
      <c r="C564" s="0" t="inlineStr">
        <is>
          <t xml:space="preserve">DKVRL7NKED25</t>
        </is>
      </c>
      <c r="D564" s="0" t="inlineStr">
        <is>
          <t xml:space="preserve">-</t>
        </is>
      </c>
      <c r="E564" s="0" t="inlineStr">
        <is>
          <t xml:space="preserve">-</t>
        </is>
      </c>
      <c r="F564" s="0" t="inlineStr">
        <is>
          <t xml:space="preserve">-</t>
        </is>
      </c>
      <c r="G564" s="5">
        <v>0.2494204</v>
      </c>
      <c r="H564" s="0" t="inlineStr">
        <is>
          <t xml:space="preserve">supplier</t>
        </is>
      </c>
      <c r="I564" s="0" t="inlineStr">
        <is>
          <t xml:space="preserve">unbucketed</t>
        </is>
      </c>
      <c r="J564" s="0" t="inlineStr">
        <is>
          <t xml:space="preserve">residual</t>
        </is>
      </c>
      <c r="K564" s="5">
        <v>0</v>
      </c>
      <c r="L564" s="5">
        <v>0</v>
      </c>
      <c r="M564" s="5">
        <v>0.2494204</v>
      </c>
      <c r="N564" s="5">
        <v>0.0</v>
      </c>
      <c r="O564" s="5">
        <v>0.0</v>
      </c>
      <c r="P564" s="5">
        <v>0.0</v>
      </c>
      <c r="Q564" s="5">
        <v>0.0</v>
      </c>
      <c r="R564" s="5">
        <v>0.0</v>
      </c>
      <c r="S564" s="5">
        <v>0.0</v>
      </c>
      <c r="T564" s="5">
        <v>0.2494204</v>
      </c>
      <c r="U564" s="5">
        <v>0.0</v>
      </c>
    </row>
    <row r="565" outlineLevel="1">
      <c r="B565" s="0" t="inlineStr">
        <is>
          <t xml:space="preserve">CLEAN HARBORS ENVIRONMENTAL SERVICES INC</t>
        </is>
      </c>
      <c r="C565" s="0" t="inlineStr">
        <is>
          <t xml:space="preserve">MBMCF42D4CF7</t>
        </is>
      </c>
      <c r="D565" s="0" t="inlineStr">
        <is>
          <t xml:space="preserve">-</t>
        </is>
      </c>
      <c r="E565" s="0" t="inlineStr">
        <is>
          <t xml:space="preserve">-</t>
        </is>
      </c>
      <c r="F565" s="0" t="inlineStr">
        <is>
          <t xml:space="preserve">-</t>
        </is>
      </c>
      <c r="G565" s="5">
        <v>0.24936856</v>
      </c>
      <c r="H565" s="0" t="inlineStr">
        <is>
          <t xml:space="preserve">supplier</t>
        </is>
      </c>
      <c r="I565" s="0" t="inlineStr">
        <is>
          <t xml:space="preserve">unbucketed</t>
        </is>
      </c>
      <c r="J565" s="0" t="inlineStr">
        <is>
          <t xml:space="preserve">residual</t>
        </is>
      </c>
      <c r="K565" s="5">
        <v>0</v>
      </c>
      <c r="L565" s="5">
        <v>0</v>
      </c>
      <c r="M565" s="5">
        <v>0.24936856</v>
      </c>
      <c r="N565" s="5">
        <v>0.0</v>
      </c>
      <c r="O565" s="5">
        <v>0.0</v>
      </c>
      <c r="P565" s="5">
        <v>0.0</v>
      </c>
      <c r="Q565" s="5">
        <v>0.0</v>
      </c>
      <c r="R565" s="5">
        <v>0.0</v>
      </c>
      <c r="S565" s="5">
        <v>0.0</v>
      </c>
      <c r="T565" s="5">
        <v>0.0</v>
      </c>
      <c r="U565" s="5">
        <v>0.24936856</v>
      </c>
    </row>
    <row r="566" outlineLevel="1">
      <c r="B566" s="0" t="inlineStr">
        <is>
          <t xml:space="preserve">MARINE POLYMERS, INC</t>
        </is>
      </c>
      <c r="C566" s="0" t="inlineStr">
        <is>
          <t xml:space="preserve">LZP6L339NKZ9</t>
        </is>
      </c>
      <c r="D566" s="0" t="inlineStr">
        <is>
          <t xml:space="preserve">-</t>
        </is>
      </c>
      <c r="E566" s="0" t="inlineStr">
        <is>
          <t xml:space="preserve">-</t>
        </is>
      </c>
      <c r="F566" s="0" t="inlineStr">
        <is>
          <t xml:space="preserve">-</t>
        </is>
      </c>
      <c r="G566" s="5">
        <v>0.24625</v>
      </c>
      <c r="H566" s="0" t="inlineStr">
        <is>
          <t xml:space="preserve">supplier</t>
        </is>
      </c>
      <c r="I566" s="0" t="inlineStr">
        <is>
          <t xml:space="preserve">unbucketed</t>
        </is>
      </c>
      <c r="J566" s="0" t="inlineStr">
        <is>
          <t xml:space="preserve">residual</t>
        </is>
      </c>
      <c r="K566" s="5">
        <v>0</v>
      </c>
      <c r="L566" s="5">
        <v>0</v>
      </c>
      <c r="M566" s="5">
        <v>0.24625</v>
      </c>
      <c r="N566" s="5">
        <v>0.0</v>
      </c>
      <c r="O566" s="5">
        <v>0.24625</v>
      </c>
      <c r="P566" s="5">
        <v>0.0</v>
      </c>
      <c r="Q566" s="5">
        <v>0.0</v>
      </c>
      <c r="R566" s="5">
        <v>0.0</v>
      </c>
      <c r="S566" s="5">
        <v>0.0</v>
      </c>
      <c r="T566" s="5">
        <v>0.0</v>
      </c>
      <c r="U566" s="5">
        <v>0.0</v>
      </c>
    </row>
    <row r="567" outlineLevel="1">
      <c r="B567" s="0" t="inlineStr">
        <is>
          <t xml:space="preserve">MARINE ELECTRIC SYSTEMS INC</t>
        </is>
      </c>
      <c r="C567" s="0" t="inlineStr">
        <is>
          <t xml:space="preserve">U43WP4FHDJY3</t>
        </is>
      </c>
      <c r="D567" s="0" t="inlineStr">
        <is>
          <t xml:space="preserve">-</t>
        </is>
      </c>
      <c r="E567" s="0" t="inlineStr">
        <is>
          <t xml:space="preserve">-</t>
        </is>
      </c>
      <c r="F567" s="0" t="inlineStr">
        <is>
          <t xml:space="preserve">-</t>
        </is>
      </c>
      <c r="G567" s="5">
        <v>0.245636</v>
      </c>
      <c r="H567" s="0" t="inlineStr">
        <is>
          <t xml:space="preserve">supplier</t>
        </is>
      </c>
      <c r="I567" s="0" t="inlineStr">
        <is>
          <t xml:space="preserve">unbucketed</t>
        </is>
      </c>
      <c r="J567" s="0" t="inlineStr">
        <is>
          <t xml:space="preserve">residual</t>
        </is>
      </c>
      <c r="K567" s="5">
        <v>0</v>
      </c>
      <c r="L567" s="5">
        <v>0</v>
      </c>
      <c r="M567" s="5">
        <v>0.245636</v>
      </c>
      <c r="N567" s="5">
        <v>0.0392</v>
      </c>
      <c r="O567" s="5">
        <v>0.068519</v>
      </c>
      <c r="P567" s="5">
        <v>0.0</v>
      </c>
      <c r="Q567" s="5">
        <v>0.0</v>
      </c>
      <c r="R567" s="5">
        <v>0.010228</v>
      </c>
      <c r="S567" s="5">
        <v>0.035142</v>
      </c>
      <c r="T567" s="5">
        <v>0.092547</v>
      </c>
      <c r="U567" s="5">
        <v>0.0</v>
      </c>
    </row>
    <row r="568" outlineLevel="1">
      <c r="B568" s="0" t="inlineStr">
        <is>
          <t xml:space="preserve">EAGLE INDUSTRIES, INC.</t>
        </is>
      </c>
      <c r="C568" s="0" t="inlineStr">
        <is>
          <t xml:space="preserve">XA3VAXMUA9A8</t>
        </is>
      </c>
      <c r="D568" s="0" t="inlineStr">
        <is>
          <t xml:space="preserve">-</t>
        </is>
      </c>
      <c r="E568" s="0" t="inlineStr">
        <is>
          <t xml:space="preserve">-</t>
        </is>
      </c>
      <c r="F568" s="0" t="inlineStr">
        <is>
          <t xml:space="preserve">-</t>
        </is>
      </c>
      <c r="G568" s="5">
        <v>0.24486755999999998</v>
      </c>
      <c r="H568" s="0" t="inlineStr">
        <is>
          <t xml:space="preserve">supplier</t>
        </is>
      </c>
      <c r="I568" s="0" t="inlineStr">
        <is>
          <t xml:space="preserve">unbucketed</t>
        </is>
      </c>
      <c r="J568" s="0" t="inlineStr">
        <is>
          <t xml:space="preserve">residual</t>
        </is>
      </c>
      <c r="K568" s="5">
        <v>0</v>
      </c>
      <c r="L568" s="5">
        <v>0</v>
      </c>
      <c r="M568" s="5">
        <v>0.24486755999999998</v>
      </c>
      <c r="N568" s="5">
        <v>0.0</v>
      </c>
      <c r="O568" s="5">
        <v>0.0</v>
      </c>
      <c r="P568" s="5">
        <v>0.24486755999999998</v>
      </c>
      <c r="Q568" s="5">
        <v>0.0</v>
      </c>
      <c r="R568" s="5">
        <v>0.0</v>
      </c>
      <c r="S568" s="5">
        <v>0.0</v>
      </c>
      <c r="T568" s="5">
        <v>0.0</v>
      </c>
      <c r="U568" s="5">
        <v>0.0</v>
      </c>
    </row>
    <row r="569" outlineLevel="1">
      <c r="B569" s="0" t="inlineStr">
        <is>
          <t xml:space="preserve">LINCOLN ELECTRIC HOLDINGS INC.</t>
        </is>
      </c>
      <c r="C569" s="0" t="inlineStr">
        <is>
          <t xml:space="preserve">D3QJN3GXFR53</t>
        </is>
      </c>
      <c r="D569" s="0" t="inlineStr">
        <is>
          <t xml:space="preserve">-</t>
        </is>
      </c>
      <c r="E569" s="0" t="inlineStr">
        <is>
          <t xml:space="preserve">-</t>
        </is>
      </c>
      <c r="F569" s="0" t="inlineStr">
        <is>
          <t xml:space="preserve">-</t>
        </is>
      </c>
      <c r="G569" s="5">
        <v>0.244335</v>
      </c>
      <c r="H569" s="0" t="inlineStr">
        <is>
          <t xml:space="preserve">supplier</t>
        </is>
      </c>
      <c r="I569" s="0" t="inlineStr">
        <is>
          <t xml:space="preserve">unbucketed</t>
        </is>
      </c>
      <c r="J569" s="0" t="inlineStr">
        <is>
          <t xml:space="preserve">residual</t>
        </is>
      </c>
      <c r="K569" s="5">
        <v>0</v>
      </c>
      <c r="L569" s="5">
        <v>0</v>
      </c>
      <c r="M569" s="5">
        <v>0.244335</v>
      </c>
      <c r="N569" s="5">
        <v>0.0</v>
      </c>
      <c r="O569" s="5">
        <v>0.0</v>
      </c>
      <c r="P569" s="5">
        <v>0.0</v>
      </c>
      <c r="Q569" s="5">
        <v>0.0</v>
      </c>
      <c r="R569" s="5">
        <v>0.244335</v>
      </c>
      <c r="S569" s="5">
        <v>0.0</v>
      </c>
      <c r="T569" s="5">
        <v>0.0</v>
      </c>
      <c r="U569" s="5">
        <v>0.0</v>
      </c>
    </row>
    <row r="570" outlineLevel="1">
      <c r="B570" s="0" t="inlineStr">
        <is>
          <t xml:space="preserve">SECURESTRUX, LLC</t>
        </is>
      </c>
      <c r="C570" s="0" t="inlineStr">
        <is>
          <t xml:space="preserve">W7FFRAVN1DA9</t>
        </is>
      </c>
      <c r="D570" s="0" t="inlineStr">
        <is>
          <t xml:space="preserve">-</t>
        </is>
      </c>
      <c r="E570" s="0" t="inlineStr">
        <is>
          <t xml:space="preserve">-</t>
        </is>
      </c>
      <c r="F570" s="0" t="inlineStr">
        <is>
          <t xml:space="preserve">-</t>
        </is>
      </c>
      <c r="G570" s="5">
        <v>0.24272</v>
      </c>
      <c r="H570" s="0" t="inlineStr">
        <is>
          <t xml:space="preserve">supplier</t>
        </is>
      </c>
      <c r="I570" s="0" t="inlineStr">
        <is>
          <t xml:space="preserve">unbucketed</t>
        </is>
      </c>
      <c r="J570" s="0" t="inlineStr">
        <is>
          <t xml:space="preserve">residual</t>
        </is>
      </c>
      <c r="K570" s="5">
        <v>0</v>
      </c>
      <c r="L570" s="5">
        <v>0</v>
      </c>
      <c r="M570" s="5">
        <v>0.24272</v>
      </c>
      <c r="N570" s="5">
        <v>0.0</v>
      </c>
      <c r="O570" s="5">
        <v>0.0</v>
      </c>
      <c r="P570" s="5">
        <v>0.0</v>
      </c>
      <c r="Q570" s="5">
        <v>0.0</v>
      </c>
      <c r="R570" s="5">
        <v>0.0</v>
      </c>
      <c r="S570" s="5">
        <v>0.0</v>
      </c>
      <c r="T570" s="5">
        <v>0.0</v>
      </c>
      <c r="U570" s="5">
        <v>0.0</v>
      </c>
    </row>
    <row r="571" outlineLevel="1">
      <c r="B571" s="0" t="inlineStr">
        <is>
          <t xml:space="preserve">HEILIND ELECTRONICS, INC</t>
        </is>
      </c>
      <c r="C571" s="0" t="inlineStr">
        <is>
          <t xml:space="preserve">ZVKEBJ4HQHB8</t>
        </is>
      </c>
      <c r="D571" s="0" t="inlineStr">
        <is>
          <t xml:space="preserve">-</t>
        </is>
      </c>
      <c r="E571" s="0" t="inlineStr">
        <is>
          <t xml:space="preserve">-</t>
        </is>
      </c>
      <c r="F571" s="0" t="inlineStr">
        <is>
          <t xml:space="preserve">-</t>
        </is>
      </c>
      <c r="G571" s="5">
        <v>0.23748771999999999</v>
      </c>
      <c r="H571" s="0" t="inlineStr">
        <is>
          <t xml:space="preserve">supplier</t>
        </is>
      </c>
      <c r="I571" s="0" t="inlineStr">
        <is>
          <t xml:space="preserve">unbucketed</t>
        </is>
      </c>
      <c r="J571" s="0" t="inlineStr">
        <is>
          <t xml:space="preserve">residual</t>
        </is>
      </c>
      <c r="K571" s="5">
        <v>0</v>
      </c>
      <c r="L571" s="5">
        <v>0</v>
      </c>
      <c r="M571" s="5">
        <v>0.23748771999999999</v>
      </c>
      <c r="N571" s="5">
        <v>0.12267156</v>
      </c>
      <c r="O571" s="5">
        <v>0.0</v>
      </c>
      <c r="P571" s="5">
        <v>0.0</v>
      </c>
      <c r="Q571" s="5">
        <v>0.0</v>
      </c>
      <c r="R571" s="5">
        <v>0.0</v>
      </c>
      <c r="S571" s="5">
        <v>0.0</v>
      </c>
      <c r="T571" s="5">
        <v>0.0</v>
      </c>
      <c r="U571" s="5">
        <v>0.0</v>
      </c>
    </row>
    <row r="572" outlineLevel="1">
      <c r="B572" s="0" t="inlineStr">
        <is>
          <t xml:space="preserve">HELIX ACQUISITION HOLDINGS, INC.</t>
        </is>
      </c>
      <c r="C572" s="0" t="inlineStr">
        <is>
          <t xml:space="preserve">PUFMZLZJ2BY2</t>
        </is>
      </c>
      <c r="D572" s="0" t="inlineStr">
        <is>
          <t xml:space="preserve">-</t>
        </is>
      </c>
      <c r="E572" s="0" t="inlineStr">
        <is>
          <t xml:space="preserve">-</t>
        </is>
      </c>
      <c r="F572" s="0" t="inlineStr">
        <is>
          <t xml:space="preserve">-</t>
        </is>
      </c>
      <c r="G572" s="5">
        <v>0.2327172</v>
      </c>
      <c r="H572" s="0" t="inlineStr">
        <is>
          <t xml:space="preserve">supplier</t>
        </is>
      </c>
      <c r="I572" s="0" t="inlineStr">
        <is>
          <t xml:space="preserve">unbucketed</t>
        </is>
      </c>
      <c r="J572" s="0" t="inlineStr">
        <is>
          <t xml:space="preserve">residual</t>
        </is>
      </c>
      <c r="K572" s="5">
        <v>0</v>
      </c>
      <c r="L572" s="5">
        <v>0</v>
      </c>
      <c r="M572" s="5">
        <v>0.2327172</v>
      </c>
      <c r="N572" s="5">
        <v>0.2327172</v>
      </c>
      <c r="O572" s="5">
        <v>0.0</v>
      </c>
      <c r="P572" s="5">
        <v>0.0</v>
      </c>
      <c r="Q572" s="5">
        <v>0.0</v>
      </c>
      <c r="R572" s="5">
        <v>0.0</v>
      </c>
      <c r="S572" s="5">
        <v>0.0</v>
      </c>
      <c r="T572" s="5">
        <v>0.0</v>
      </c>
      <c r="U572" s="5">
        <v>0.0</v>
      </c>
    </row>
    <row r="573" outlineLevel="1">
      <c r="B573" s="0" t="inlineStr">
        <is>
          <t xml:space="preserve">EIMC, LLC</t>
        </is>
      </c>
      <c r="C573" s="0" t="inlineStr">
        <is>
          <t xml:space="preserve">RNWJCAQL4ZD7</t>
        </is>
      </c>
      <c r="D573" s="0" t="inlineStr">
        <is>
          <t xml:space="preserve">-</t>
        </is>
      </c>
      <c r="E573" s="0" t="inlineStr">
        <is>
          <t xml:space="preserve">-</t>
        </is>
      </c>
      <c r="F573" s="0" t="inlineStr">
        <is>
          <t xml:space="preserve">-</t>
        </is>
      </c>
      <c r="G573" s="5">
        <v>0.23</v>
      </c>
      <c r="H573" s="0" t="inlineStr">
        <is>
          <t xml:space="preserve">supplier</t>
        </is>
      </c>
      <c r="I573" s="0" t="inlineStr">
        <is>
          <t xml:space="preserve">unbucketed</t>
        </is>
      </c>
      <c r="J573" s="0" t="inlineStr">
        <is>
          <t xml:space="preserve">residual</t>
        </is>
      </c>
      <c r="K573" s="5">
        <v>0</v>
      </c>
      <c r="L573" s="5">
        <v>0</v>
      </c>
      <c r="M573" s="5">
        <v>0.23</v>
      </c>
      <c r="N573" s="5">
        <v>0.0</v>
      </c>
      <c r="O573" s="5">
        <v>0.0</v>
      </c>
      <c r="P573" s="5">
        <v>0.0</v>
      </c>
      <c r="Q573" s="5">
        <v>0.0</v>
      </c>
      <c r="R573" s="5">
        <v>0.0</v>
      </c>
      <c r="S573" s="5">
        <v>0.0</v>
      </c>
      <c r="T573" s="5">
        <v>0.0</v>
      </c>
      <c r="U573" s="5">
        <v>0.0</v>
      </c>
    </row>
    <row r="574" outlineLevel="1">
      <c r="B574" s="0" t="inlineStr">
        <is>
          <t xml:space="preserve">SID TOOL CO INC</t>
        </is>
      </c>
      <c r="C574" s="0" t="inlineStr">
        <is>
          <t xml:space="preserve">RANZTST3FQU3</t>
        </is>
      </c>
      <c r="D574" s="0" t="inlineStr">
        <is>
          <t xml:space="preserve">-</t>
        </is>
      </c>
      <c r="E574" s="0" t="inlineStr">
        <is>
          <t xml:space="preserve">-</t>
        </is>
      </c>
      <c r="F574" s="0" t="inlineStr">
        <is>
          <t xml:space="preserve">-</t>
        </is>
      </c>
      <c r="G574" s="5">
        <v>0.22944209000000002</v>
      </c>
      <c r="H574" s="0" t="inlineStr">
        <is>
          <t xml:space="preserve">supplier</t>
        </is>
      </c>
      <c r="I574" s="0" t="inlineStr">
        <is>
          <t xml:space="preserve">unbucketed</t>
        </is>
      </c>
      <c r="J574" s="0" t="inlineStr">
        <is>
          <t xml:space="preserve">residual</t>
        </is>
      </c>
      <c r="K574" s="5">
        <v>0</v>
      </c>
      <c r="L574" s="5">
        <v>0</v>
      </c>
      <c r="M574" s="5">
        <v>0.22944209000000002</v>
      </c>
      <c r="N574" s="5">
        <v>0.0</v>
      </c>
      <c r="O574" s="5">
        <v>0.031141529999999997</v>
      </c>
      <c r="P574" s="5">
        <v>0.0</v>
      </c>
      <c r="Q574" s="5">
        <v>0.0</v>
      </c>
      <c r="R574" s="5">
        <v>0.0</v>
      </c>
      <c r="S574" s="5">
        <v>0.19830056000000001</v>
      </c>
      <c r="T574" s="5">
        <v>0.0</v>
      </c>
      <c r="U574" s="5">
        <v>0.0</v>
      </c>
    </row>
    <row r="575" outlineLevel="1">
      <c r="B575" s="0" t="inlineStr">
        <is>
          <t xml:space="preserve">ROSCID TECHNOLOGIES INC</t>
        </is>
      </c>
      <c r="C575" s="0" t="inlineStr">
        <is>
          <t xml:space="preserve">NKUARJG8E2E8</t>
        </is>
      </c>
      <c r="D575" s="0" t="inlineStr">
        <is>
          <t xml:space="preserve">-</t>
        </is>
      </c>
      <c r="E575" s="0" t="inlineStr">
        <is>
          <t xml:space="preserve">-</t>
        </is>
      </c>
      <c r="F575" s="0" t="inlineStr">
        <is>
          <t xml:space="preserve">-</t>
        </is>
      </c>
      <c r="G575" s="5">
        <v>0.22923</v>
      </c>
      <c r="H575" s="0" t="inlineStr">
        <is>
          <t xml:space="preserve">supplier</t>
        </is>
      </c>
      <c r="I575" s="0" t="inlineStr">
        <is>
          <t xml:space="preserve">unbucketed</t>
        </is>
      </c>
      <c r="J575" s="0" t="inlineStr">
        <is>
          <t xml:space="preserve">residual</t>
        </is>
      </c>
      <c r="K575" s="5">
        <v>0</v>
      </c>
      <c r="L575" s="5">
        <v>0</v>
      </c>
      <c r="M575" s="5">
        <v>0.22923</v>
      </c>
      <c r="N575" s="5">
        <v>0.0</v>
      </c>
      <c r="O575" s="5">
        <v>0.0</v>
      </c>
      <c r="P575" s="5">
        <v>0.0</v>
      </c>
      <c r="Q575" s="5">
        <v>0.0</v>
      </c>
      <c r="R575" s="5">
        <v>0.0</v>
      </c>
      <c r="S575" s="5">
        <v>0.0</v>
      </c>
      <c r="T575" s="5">
        <v>0.22923</v>
      </c>
      <c r="U575" s="5">
        <v>0.0</v>
      </c>
    </row>
    <row r="576" outlineLevel="1">
      <c r="B576" s="0" t="inlineStr">
        <is>
          <t xml:space="preserve">MIDSTATE INDUSTRIAL SUPPLY INC</t>
        </is>
      </c>
      <c r="C576" s="0" t="inlineStr">
        <is>
          <t xml:space="preserve">KHN9PQ6VZ756</t>
        </is>
      </c>
      <c r="D576" s="0" t="inlineStr">
        <is>
          <t xml:space="preserve">-</t>
        </is>
      </c>
      <c r="E576" s="0" t="inlineStr">
        <is>
          <t xml:space="preserve">-</t>
        </is>
      </c>
      <c r="F576" s="0" t="inlineStr">
        <is>
          <t xml:space="preserve">-</t>
        </is>
      </c>
      <c r="G576" s="5">
        <v>0.22920000000000001</v>
      </c>
      <c r="H576" s="0" t="inlineStr">
        <is>
          <t xml:space="preserve">supplier</t>
        </is>
      </c>
      <c r="I576" s="0" t="inlineStr">
        <is>
          <t xml:space="preserve">unbucketed</t>
        </is>
      </c>
      <c r="J576" s="0" t="inlineStr">
        <is>
          <t xml:space="preserve">residual</t>
        </is>
      </c>
      <c r="K576" s="5">
        <v>0</v>
      </c>
      <c r="L576" s="5">
        <v>0</v>
      </c>
      <c r="M576" s="5">
        <v>0.0</v>
      </c>
      <c r="N576" s="5">
        <v>0.0</v>
      </c>
      <c r="O576" s="5">
        <v>0.0</v>
      </c>
      <c r="P576" s="5">
        <v>0.0</v>
      </c>
      <c r="Q576" s="5">
        <v>0.0</v>
      </c>
      <c r="R576" s="5">
        <v>0.0</v>
      </c>
      <c r="S576" s="5">
        <v>0.0</v>
      </c>
      <c r="T576" s="5">
        <v>0.0</v>
      </c>
      <c r="U576" s="5">
        <v>0.0</v>
      </c>
    </row>
    <row r="577" outlineLevel="1">
      <c r="B577" s="0" t="inlineStr">
        <is>
          <t xml:space="preserve">MATERION CORPORATION</t>
        </is>
      </c>
      <c r="C577" s="0" t="inlineStr">
        <is>
          <t xml:space="preserve">GWKMNJ89SCC5</t>
        </is>
      </c>
      <c r="D577" s="0" t="inlineStr">
        <is>
          <t xml:space="preserve">-</t>
        </is>
      </c>
      <c r="E577" s="0" t="inlineStr">
        <is>
          <t xml:space="preserve">-</t>
        </is>
      </c>
      <c r="F577" s="0" t="inlineStr">
        <is>
          <t xml:space="preserve">-</t>
        </is>
      </c>
      <c r="G577" s="5">
        <v>0.22903888</v>
      </c>
      <c r="H577" s="0" t="inlineStr">
        <is>
          <t xml:space="preserve">supplier</t>
        </is>
      </c>
      <c r="I577" s="0" t="inlineStr">
        <is>
          <t xml:space="preserve">unbucketed</t>
        </is>
      </c>
      <c r="J577" s="0" t="inlineStr">
        <is>
          <t xml:space="preserve">residual</t>
        </is>
      </c>
      <c r="K577" s="5">
        <v>0</v>
      </c>
      <c r="L577" s="5">
        <v>0</v>
      </c>
      <c r="M577" s="5">
        <v>0.22903888</v>
      </c>
      <c r="N577" s="5">
        <v>0.0</v>
      </c>
      <c r="O577" s="5">
        <v>0.0</v>
      </c>
      <c r="P577" s="5">
        <v>0.0</v>
      </c>
      <c r="Q577" s="5">
        <v>0.0</v>
      </c>
      <c r="R577" s="5">
        <v>0.0</v>
      </c>
      <c r="S577" s="5">
        <v>0.0</v>
      </c>
      <c r="T577" s="5">
        <v>0.0</v>
      </c>
      <c r="U577" s="5">
        <v>0.0</v>
      </c>
    </row>
    <row r="578" outlineLevel="1">
      <c r="B578" s="0" t="inlineStr">
        <is>
          <t xml:space="preserve">AIRGAS USA, LLC</t>
        </is>
      </c>
      <c r="C578" s="0" t="inlineStr">
        <is>
          <t xml:space="preserve">H1J9UJSSTB98</t>
        </is>
      </c>
      <c r="D578" s="0" t="inlineStr">
        <is>
          <t xml:space="preserve">-</t>
        </is>
      </c>
      <c r="E578" s="0" t="inlineStr">
        <is>
          <t xml:space="preserve">-</t>
        </is>
      </c>
      <c r="F578" s="0" t="inlineStr">
        <is>
          <t xml:space="preserve">-</t>
        </is>
      </c>
      <c r="G578" s="5">
        <v>0.22535921999999997</v>
      </c>
      <c r="H578" s="0" t="inlineStr">
        <is>
          <t xml:space="preserve">supplier</t>
        </is>
      </c>
      <c r="I578" s="0" t="inlineStr">
        <is>
          <t xml:space="preserve">unbucketed</t>
        </is>
      </c>
      <c r="J578" s="0" t="inlineStr">
        <is>
          <t xml:space="preserve">residual</t>
        </is>
      </c>
      <c r="K578" s="5">
        <v>0</v>
      </c>
      <c r="L578" s="5">
        <v>0</v>
      </c>
      <c r="M578" s="5">
        <v>0.22535921999999997</v>
      </c>
      <c r="N578" s="5">
        <v>0.0</v>
      </c>
      <c r="O578" s="5">
        <v>0.0</v>
      </c>
      <c r="P578" s="5">
        <v>0.0</v>
      </c>
      <c r="Q578" s="5">
        <v>0.0</v>
      </c>
      <c r="R578" s="5">
        <v>0.00383739</v>
      </c>
      <c r="S578" s="5">
        <v>0.18860402999999998</v>
      </c>
      <c r="T578" s="5">
        <v>0.032917800000000004</v>
      </c>
      <c r="U578" s="5">
        <v>0.0</v>
      </c>
    </row>
    <row r="579" outlineLevel="1">
      <c r="B579" s="0" t="inlineStr">
        <is>
          <t xml:space="preserve">LEE COMPANY, THE</t>
        </is>
      </c>
      <c r="C579" s="0" t="inlineStr">
        <is>
          <t xml:space="preserve">WYN3NM142HF3</t>
        </is>
      </c>
      <c r="D579" s="0" t="inlineStr">
        <is>
          <t xml:space="preserve">-</t>
        </is>
      </c>
      <c r="E579" s="0" t="inlineStr">
        <is>
          <t xml:space="preserve">-</t>
        </is>
      </c>
      <c r="F579" s="0" t="inlineStr">
        <is>
          <t xml:space="preserve">-</t>
        </is>
      </c>
      <c r="G579" s="5">
        <v>0.22495096</v>
      </c>
      <c r="H579" s="0" t="inlineStr">
        <is>
          <t xml:space="preserve">supplier</t>
        </is>
      </c>
      <c r="I579" s="0" t="inlineStr">
        <is>
          <t xml:space="preserve">unbucketed</t>
        </is>
      </c>
      <c r="J579" s="0" t="inlineStr">
        <is>
          <t xml:space="preserve">residual</t>
        </is>
      </c>
      <c r="K579" s="5">
        <v>0</v>
      </c>
      <c r="L579" s="5">
        <v>0</v>
      </c>
      <c r="M579" s="5">
        <v>0.22495096</v>
      </c>
      <c r="N579" s="5">
        <v>0.0</v>
      </c>
      <c r="O579" s="5">
        <v>0.0</v>
      </c>
      <c r="P579" s="5">
        <v>0.0</v>
      </c>
      <c r="Q579" s="5">
        <v>0.0</v>
      </c>
      <c r="R579" s="5">
        <v>0.0</v>
      </c>
      <c r="S579" s="5">
        <v>0.0</v>
      </c>
      <c r="T579" s="5">
        <v>0.0</v>
      </c>
      <c r="U579" s="5">
        <v>0.0</v>
      </c>
    </row>
    <row r="580" outlineLevel="1">
      <c r="B580" s="0" t="inlineStr">
        <is>
          <t xml:space="preserve">DOVER PUMPS &amp; PROCESS SOLUTIONS SEGMENT INC</t>
        </is>
      </c>
      <c r="C580" s="0" t="inlineStr">
        <is>
          <t xml:space="preserve">FCK2D4PSV1L2</t>
        </is>
      </c>
      <c r="D580" s="0" t="inlineStr">
        <is>
          <t xml:space="preserve">-</t>
        </is>
      </c>
      <c r="E580" s="0" t="inlineStr">
        <is>
          <t xml:space="preserve">-</t>
        </is>
      </c>
      <c r="F580" s="0" t="inlineStr">
        <is>
          <t xml:space="preserve">-</t>
        </is>
      </c>
      <c r="G580" s="5">
        <v>0.2237184</v>
      </c>
      <c r="H580" s="0" t="inlineStr">
        <is>
          <t xml:space="preserve">supplier</t>
        </is>
      </c>
      <c r="I580" s="0" t="inlineStr">
        <is>
          <t xml:space="preserve">piping</t>
        </is>
      </c>
      <c r="J580" s="0" t="inlineStr">
        <is>
          <t xml:space="preserve">registry</t>
        </is>
      </c>
      <c r="K580" s="5">
        <v>0</v>
      </c>
      <c r="L580" s="5">
        <v>0</v>
      </c>
      <c r="M580" s="5">
        <v>0.2237184</v>
      </c>
      <c r="N580" s="5">
        <v>0.0</v>
      </c>
      <c r="O580" s="5">
        <v>0.0445674</v>
      </c>
      <c r="P580" s="5">
        <v>0.179151</v>
      </c>
      <c r="Q580" s="5">
        <v>0.0</v>
      </c>
      <c r="R580" s="5">
        <v>0.0</v>
      </c>
      <c r="S580" s="5">
        <v>0.0</v>
      </c>
      <c r="T580" s="5">
        <v>0.0</v>
      </c>
      <c r="U580" s="5">
        <v>0.0</v>
      </c>
    </row>
    <row r="581" outlineLevel="1">
      <c r="B581" s="0" t="inlineStr">
        <is>
          <t xml:space="preserve">ILLINOIS TOOL WORKS INC.</t>
        </is>
      </c>
      <c r="C581" s="0" t="inlineStr">
        <is>
          <t xml:space="preserve">WMCUE58SZBD3</t>
        </is>
      </c>
      <c r="D581" s="0" t="inlineStr">
        <is>
          <t xml:space="preserve">-</t>
        </is>
      </c>
      <c r="E581" s="0" t="inlineStr">
        <is>
          <t xml:space="preserve">-</t>
        </is>
      </c>
      <c r="F581" s="0" t="inlineStr">
        <is>
          <t xml:space="preserve">-</t>
        </is>
      </c>
      <c r="G581" s="5">
        <v>0.223436</v>
      </c>
      <c r="H581" s="0" t="inlineStr">
        <is>
          <t xml:space="preserve">supplier</t>
        </is>
      </c>
      <c r="I581" s="0" t="inlineStr">
        <is>
          <t xml:space="preserve">unbucketed</t>
        </is>
      </c>
      <c r="J581" s="0" t="inlineStr">
        <is>
          <t xml:space="preserve">residual</t>
        </is>
      </c>
      <c r="K581" s="5">
        <v>0</v>
      </c>
      <c r="L581" s="5">
        <v>0</v>
      </c>
      <c r="M581" s="5">
        <v>0.223436</v>
      </c>
      <c r="N581" s="5">
        <v>0.0</v>
      </c>
      <c r="O581" s="5">
        <v>0.0</v>
      </c>
      <c r="P581" s="5">
        <v>0.0</v>
      </c>
      <c r="Q581" s="5">
        <v>0.0</v>
      </c>
      <c r="R581" s="5">
        <v>0.0</v>
      </c>
      <c r="S581" s="5">
        <v>0.0</v>
      </c>
      <c r="T581" s="5">
        <v>0.0</v>
      </c>
      <c r="U581" s="5">
        <v>0.223436</v>
      </c>
    </row>
    <row r="582" outlineLevel="1">
      <c r="B582" s="0" t="inlineStr">
        <is>
          <t xml:space="preserve">NEST PARENT, INC.</t>
        </is>
      </c>
      <c r="C582" s="0" t="inlineStr">
        <is>
          <t xml:space="preserve">VBFXNRMUYSK6</t>
        </is>
      </c>
      <c r="D582" s="0" t="inlineStr">
        <is>
          <t xml:space="preserve">-</t>
        </is>
      </c>
      <c r="E582" s="0" t="inlineStr">
        <is>
          <t xml:space="preserve">-</t>
        </is>
      </c>
      <c r="F582" s="0" t="inlineStr">
        <is>
          <t xml:space="preserve">-</t>
        </is>
      </c>
      <c r="G582" s="5">
        <v>0.222177</v>
      </c>
      <c r="H582" s="0" t="inlineStr">
        <is>
          <t xml:space="preserve">supplier</t>
        </is>
      </c>
      <c r="I582" s="0" t="inlineStr">
        <is>
          <t xml:space="preserve">unbucketed</t>
        </is>
      </c>
      <c r="J582" s="0" t="inlineStr">
        <is>
          <t xml:space="preserve">residual</t>
        </is>
      </c>
      <c r="K582" s="5">
        <v>0</v>
      </c>
      <c r="L582" s="5">
        <v>0</v>
      </c>
      <c r="M582" s="5">
        <v>0.222177</v>
      </c>
      <c r="N582" s="5">
        <v>0.0</v>
      </c>
      <c r="O582" s="5">
        <v>0.0</v>
      </c>
      <c r="P582" s="5">
        <v>0.0</v>
      </c>
      <c r="Q582" s="5">
        <v>0.0</v>
      </c>
      <c r="R582" s="5">
        <v>0.222177</v>
      </c>
      <c r="S582" s="5">
        <v>0.0</v>
      </c>
      <c r="T582" s="5">
        <v>0.0</v>
      </c>
      <c r="U582" s="5">
        <v>0.0</v>
      </c>
    </row>
    <row r="583" outlineLevel="1">
      <c r="B583" s="0" t="inlineStr">
        <is>
          <t xml:space="preserve">EMERSON ELECTRIC CO</t>
        </is>
      </c>
      <c r="C583" s="0" t="inlineStr">
        <is>
          <t xml:space="preserve">LKXHMX1K3AC5</t>
        </is>
      </c>
      <c r="D583" s="0" t="inlineStr">
        <is>
          <t xml:space="preserve">-</t>
        </is>
      </c>
      <c r="E583" s="0" t="inlineStr">
        <is>
          <t xml:space="preserve">-</t>
        </is>
      </c>
      <c r="F583" s="0" t="inlineStr">
        <is>
          <t xml:space="preserve">-</t>
        </is>
      </c>
      <c r="G583" s="5">
        <v>0.22116937000000003</v>
      </c>
      <c r="H583" s="0" t="inlineStr">
        <is>
          <t xml:space="preserve">supplier</t>
        </is>
      </c>
      <c r="I583" s="0" t="inlineStr">
        <is>
          <t xml:space="preserve">unbucketed</t>
        </is>
      </c>
      <c r="J583" s="0" t="inlineStr">
        <is>
          <t xml:space="preserve">residual</t>
        </is>
      </c>
      <c r="K583" s="5">
        <v>0</v>
      </c>
      <c r="L583" s="5">
        <v>0</v>
      </c>
      <c r="M583" s="5">
        <v>0.22116937000000003</v>
      </c>
      <c r="N583" s="5">
        <v>0.0</v>
      </c>
      <c r="O583" s="5">
        <v>0.0</v>
      </c>
      <c r="P583" s="5">
        <v>0.0</v>
      </c>
      <c r="Q583" s="5">
        <v>0.0</v>
      </c>
      <c r="R583" s="5">
        <v>0.0</v>
      </c>
      <c r="S583" s="5">
        <v>0.22116937000000003</v>
      </c>
      <c r="T583" s="5">
        <v>0.0</v>
      </c>
      <c r="U583" s="5">
        <v>0.0</v>
      </c>
    </row>
    <row r="584" outlineLevel="1">
      <c r="B584" s="0" t="inlineStr">
        <is>
          <t xml:space="preserve">C V TOOL COMPANY INC</t>
        </is>
      </c>
      <c r="C584" s="0" t="inlineStr">
        <is>
          <t xml:space="preserve">TXHLDCPC95J3</t>
        </is>
      </c>
      <c r="D584" s="0" t="inlineStr">
        <is>
          <t xml:space="preserve">-</t>
        </is>
      </c>
      <c r="E584" s="0" t="inlineStr">
        <is>
          <t xml:space="preserve">-</t>
        </is>
      </c>
      <c r="F584" s="0" t="inlineStr">
        <is>
          <t xml:space="preserve">-</t>
        </is>
      </c>
      <c r="G584" s="5">
        <v>0.22114799999999998</v>
      </c>
      <c r="H584" s="0" t="inlineStr">
        <is>
          <t xml:space="preserve">supplier</t>
        </is>
      </c>
      <c r="I584" s="0" t="inlineStr">
        <is>
          <t xml:space="preserve">unbucketed</t>
        </is>
      </c>
      <c r="J584" s="0" t="inlineStr">
        <is>
          <t xml:space="preserve">residual</t>
        </is>
      </c>
      <c r="K584" s="5">
        <v>0</v>
      </c>
      <c r="L584" s="5">
        <v>0</v>
      </c>
      <c r="M584" s="5">
        <v>0.22114799999999998</v>
      </c>
      <c r="N584" s="5">
        <v>0.0</v>
      </c>
      <c r="O584" s="5">
        <v>0.081729</v>
      </c>
      <c r="P584" s="5">
        <v>-0.032645</v>
      </c>
      <c r="Q584" s="5">
        <v>0.056791999999999995</v>
      </c>
      <c r="R584" s="5">
        <v>0.035422</v>
      </c>
      <c r="S584" s="5">
        <v>0.0237</v>
      </c>
      <c r="T584" s="5">
        <v>0.09634999999999999</v>
      </c>
      <c r="U584" s="5">
        <v>-0.0402</v>
      </c>
    </row>
    <row r="585" outlineLevel="1">
      <c r="B585" s="0" t="inlineStr">
        <is>
          <t xml:space="preserve">AERO NAV LABORATORIES, INC.</t>
        </is>
      </c>
      <c r="C585" s="0" t="inlineStr">
        <is>
          <t xml:space="preserve">C3L9A8H3TWG5</t>
        </is>
      </c>
      <c r="D585" s="0" t="inlineStr">
        <is>
          <t xml:space="preserve">-</t>
        </is>
      </c>
      <c r="E585" s="0" t="inlineStr">
        <is>
          <t xml:space="preserve">-</t>
        </is>
      </c>
      <c r="F585" s="0" t="inlineStr">
        <is>
          <t xml:space="preserve">-</t>
        </is>
      </c>
      <c r="G585" s="5">
        <v>0.22027875</v>
      </c>
      <c r="H585" s="0" t="inlineStr">
        <is>
          <t xml:space="preserve">supplier</t>
        </is>
      </c>
      <c r="I585" s="0" t="inlineStr">
        <is>
          <t xml:space="preserve">unbucketed</t>
        </is>
      </c>
      <c r="J585" s="0" t="inlineStr">
        <is>
          <t xml:space="preserve">residual</t>
        </is>
      </c>
      <c r="K585" s="5">
        <v>0</v>
      </c>
      <c r="L585" s="5">
        <v>0</v>
      </c>
      <c r="M585" s="5">
        <v>0.22027875</v>
      </c>
      <c r="N585" s="5">
        <v>0.0</v>
      </c>
      <c r="O585" s="5">
        <v>0.0</v>
      </c>
      <c r="P585" s="5">
        <v>0.0</v>
      </c>
      <c r="Q585" s="5">
        <v>0.0</v>
      </c>
      <c r="R585" s="5">
        <v>0.0152</v>
      </c>
      <c r="S585" s="5">
        <v>0.018743</v>
      </c>
      <c r="T585" s="5">
        <v>0.00232</v>
      </c>
      <c r="U585" s="5">
        <v>0.0</v>
      </c>
    </row>
    <row r="586" outlineLevel="1">
      <c r="B586" s="0" t="inlineStr">
        <is>
          <t xml:space="preserve">POLISCOM S.R.L.</t>
        </is>
      </c>
      <c r="C586" s="0" t="inlineStr">
        <is>
          <t xml:space="preserve">GTDWX1272LQ4</t>
        </is>
      </c>
      <c r="D586" s="0" t="inlineStr">
        <is>
          <t xml:space="preserve">-</t>
        </is>
      </c>
      <c r="E586" s="0" t="inlineStr">
        <is>
          <t xml:space="preserve">-</t>
        </is>
      </c>
      <c r="F586" s="0" t="inlineStr">
        <is>
          <t xml:space="preserve">-</t>
        </is>
      </c>
      <c r="G586" s="5">
        <v>0.220101</v>
      </c>
      <c r="H586" s="0" t="inlineStr">
        <is>
          <t xml:space="preserve">supplier</t>
        </is>
      </c>
      <c r="I586" s="0" t="inlineStr">
        <is>
          <t xml:space="preserve">unbucketed</t>
        </is>
      </c>
      <c r="J586" s="0" t="inlineStr">
        <is>
          <t xml:space="preserve">residual</t>
        </is>
      </c>
      <c r="K586" s="5">
        <v>0</v>
      </c>
      <c r="L586" s="5">
        <v>0</v>
      </c>
      <c r="M586" s="5">
        <v>0.220101</v>
      </c>
      <c r="N586" s="5">
        <v>0.0</v>
      </c>
      <c r="O586" s="5">
        <v>0.0</v>
      </c>
      <c r="P586" s="5">
        <v>0.0</v>
      </c>
      <c r="Q586" s="5">
        <v>0.220101</v>
      </c>
      <c r="R586" s="5">
        <v>0.0</v>
      </c>
      <c r="S586" s="5">
        <v>0.0</v>
      </c>
      <c r="T586" s="5">
        <v>0.0</v>
      </c>
      <c r="U586" s="5">
        <v>0.0</v>
      </c>
    </row>
    <row r="587" outlineLevel="1">
      <c r="B587" s="0" t="inlineStr">
        <is>
          <t xml:space="preserve">AMERICAN TOOL COMPANY</t>
        </is>
      </c>
      <c r="C587" s="0" t="inlineStr">
        <is>
          <t xml:space="preserve">UE9ZP9KJKQ67</t>
        </is>
      </c>
      <c r="D587" s="0" t="inlineStr">
        <is>
          <t xml:space="preserve">-</t>
        </is>
      </c>
      <c r="E587" s="0" t="inlineStr">
        <is>
          <t xml:space="preserve">-</t>
        </is>
      </c>
      <c r="F587" s="0" t="inlineStr">
        <is>
          <t xml:space="preserve">-</t>
        </is>
      </c>
      <c r="G587" s="5">
        <v>0.218272</v>
      </c>
      <c r="H587" s="0" t="inlineStr">
        <is>
          <t xml:space="preserve">supplier</t>
        </is>
      </c>
      <c r="I587" s="0" t="inlineStr">
        <is>
          <t xml:space="preserve">unbucketed</t>
        </is>
      </c>
      <c r="J587" s="0" t="inlineStr">
        <is>
          <t xml:space="preserve">residual</t>
        </is>
      </c>
      <c r="K587" s="5">
        <v>0</v>
      </c>
      <c r="L587" s="5">
        <v>0</v>
      </c>
      <c r="M587" s="5">
        <v>0.0</v>
      </c>
      <c r="N587" s="5">
        <v>0.0</v>
      </c>
      <c r="O587" s="5">
        <v>0.0</v>
      </c>
      <c r="P587" s="5">
        <v>0.0</v>
      </c>
      <c r="Q587" s="5">
        <v>0.0</v>
      </c>
      <c r="R587" s="5">
        <v>0.0</v>
      </c>
      <c r="S587" s="5">
        <v>0.0</v>
      </c>
      <c r="T587" s="5">
        <v>0.0</v>
      </c>
      <c r="U587" s="5">
        <v>0.0</v>
      </c>
    </row>
    <row r="588" outlineLevel="1">
      <c r="B588" s="0" t="inlineStr">
        <is>
          <t xml:space="preserve">POWERSTATION, LLC</t>
        </is>
      </c>
      <c r="C588" s="0" t="inlineStr">
        <is>
          <t xml:space="preserve">MK6AGEN4XM53</t>
        </is>
      </c>
      <c r="D588" s="0" t="inlineStr">
        <is>
          <t xml:space="preserve">-</t>
        </is>
      </c>
      <c r="E588" s="0" t="inlineStr">
        <is>
          <t xml:space="preserve">-</t>
        </is>
      </c>
      <c r="F588" s="0" t="inlineStr">
        <is>
          <t xml:space="preserve">-</t>
        </is>
      </c>
      <c r="G588" s="5">
        <v>0.216949</v>
      </c>
      <c r="H588" s="0" t="inlineStr">
        <is>
          <t xml:space="preserve">supplier</t>
        </is>
      </c>
      <c r="I588" s="0" t="inlineStr">
        <is>
          <t xml:space="preserve">unbucketed</t>
        </is>
      </c>
      <c r="J588" s="0" t="inlineStr">
        <is>
          <t xml:space="preserve">residual</t>
        </is>
      </c>
      <c r="K588" s="5">
        <v>0</v>
      </c>
      <c r="L588" s="5">
        <v>0</v>
      </c>
      <c r="M588" s="5">
        <v>0.216949</v>
      </c>
      <c r="N588" s="5">
        <v>0.0</v>
      </c>
      <c r="O588" s="5">
        <v>0.216949</v>
      </c>
      <c r="P588" s="5">
        <v>0.0</v>
      </c>
      <c r="Q588" s="5">
        <v>0.0</v>
      </c>
      <c r="R588" s="5">
        <v>0.0</v>
      </c>
      <c r="S588" s="5">
        <v>0.0</v>
      </c>
      <c r="T588" s="5">
        <v>0.0</v>
      </c>
      <c r="U588" s="5">
        <v>0.0</v>
      </c>
    </row>
    <row r="589" outlineLevel="1">
      <c r="B589" s="0" t="inlineStr">
        <is>
          <t xml:space="preserve">ESI ACQUISITION CORP</t>
        </is>
      </c>
      <c r="C589" s="0" t="inlineStr">
        <is>
          <t xml:space="preserve">LR2HQKYJLDZ7</t>
        </is>
      </c>
      <c r="D589" s="0" t="inlineStr">
        <is>
          <t xml:space="preserve">-</t>
        </is>
      </c>
      <c r="E589" s="0" t="inlineStr">
        <is>
          <t xml:space="preserve">-</t>
        </is>
      </c>
      <c r="F589" s="0" t="inlineStr">
        <is>
          <t xml:space="preserve">-</t>
        </is>
      </c>
      <c r="G589" s="5">
        <v>0.2157749</v>
      </c>
      <c r="H589" s="0" t="inlineStr">
        <is>
          <t xml:space="preserve">supplier</t>
        </is>
      </c>
      <c r="I589" s="0" t="inlineStr">
        <is>
          <t xml:space="preserve">unbucketed</t>
        </is>
      </c>
      <c r="J589" s="0" t="inlineStr">
        <is>
          <t xml:space="preserve">registry</t>
        </is>
      </c>
      <c r="K589" s="5">
        <v>0</v>
      </c>
      <c r="L589" s="5">
        <v>0</v>
      </c>
      <c r="M589" s="5">
        <v>0.2157749</v>
      </c>
      <c r="N589" s="5">
        <v>0.0</v>
      </c>
      <c r="O589" s="5">
        <v>0.0</v>
      </c>
      <c r="P589" s="5">
        <v>0.0</v>
      </c>
      <c r="Q589" s="5">
        <v>0.0</v>
      </c>
      <c r="R589" s="5">
        <v>0.0876989</v>
      </c>
      <c r="S589" s="5">
        <v>0.128076</v>
      </c>
      <c r="T589" s="5">
        <v>0.0</v>
      </c>
      <c r="U589" s="5">
        <v>0.0</v>
      </c>
    </row>
    <row r="590" outlineLevel="1">
      <c r="B590" s="0" t="inlineStr">
        <is>
          <t xml:space="preserve">ITT INC</t>
        </is>
      </c>
      <c r="C590" s="0" t="inlineStr">
        <is>
          <t xml:space="preserve">NHA2LDXZPES3</t>
        </is>
      </c>
      <c r="D590" s="0" t="inlineStr">
        <is>
          <t xml:space="preserve">-</t>
        </is>
      </c>
      <c r="E590" s="0" t="inlineStr">
        <is>
          <t xml:space="preserve">-</t>
        </is>
      </c>
      <c r="F590" s="0" t="inlineStr">
        <is>
          <t xml:space="preserve">-</t>
        </is>
      </c>
      <c r="G590" s="5">
        <v>0.214488</v>
      </c>
      <c r="H590" s="0" t="inlineStr">
        <is>
          <t xml:space="preserve">supplier</t>
        </is>
      </c>
      <c r="I590" s="0" t="inlineStr">
        <is>
          <t xml:space="preserve">unbucketed</t>
        </is>
      </c>
      <c r="J590" s="0" t="inlineStr">
        <is>
          <t xml:space="preserve">residual</t>
        </is>
      </c>
      <c r="K590" s="5">
        <v>0</v>
      </c>
      <c r="L590" s="5">
        <v>0</v>
      </c>
      <c r="M590" s="5">
        <v>0.214488</v>
      </c>
      <c r="N590" s="5">
        <v>0.07004728</v>
      </c>
      <c r="O590" s="5">
        <v>0.14444072</v>
      </c>
      <c r="P590" s="5">
        <v>0.0</v>
      </c>
      <c r="Q590" s="5">
        <v>0.0</v>
      </c>
      <c r="R590" s="5">
        <v>0.0</v>
      </c>
      <c r="S590" s="5">
        <v>0.0</v>
      </c>
      <c r="T590" s="5">
        <v>0.0</v>
      </c>
      <c r="U590" s="5">
        <v>0.0</v>
      </c>
    </row>
    <row r="591" outlineLevel="1">
      <c r="B591" s="0" t="inlineStr">
        <is>
          <t xml:space="preserve">OPUS INVESTMENT</t>
        </is>
      </c>
      <c r="C591" s="0" t="inlineStr">
        <is>
          <t xml:space="preserve">JN14RTY2BEZ5</t>
        </is>
      </c>
      <c r="D591" s="0" t="inlineStr">
        <is>
          <t xml:space="preserve">-</t>
        </is>
      </c>
      <c r="E591" s="0" t="inlineStr">
        <is>
          <t xml:space="preserve">-</t>
        </is>
      </c>
      <c r="F591" s="0" t="inlineStr">
        <is>
          <t xml:space="preserve">-</t>
        </is>
      </c>
      <c r="G591" s="5">
        <v>0.2131992</v>
      </c>
      <c r="H591" s="0" t="inlineStr">
        <is>
          <t xml:space="preserve">supplier</t>
        </is>
      </c>
      <c r="I591" s="0" t="inlineStr">
        <is>
          <t xml:space="preserve">unbucketed</t>
        </is>
      </c>
      <c r="J591" s="0" t="inlineStr">
        <is>
          <t xml:space="preserve">residual</t>
        </is>
      </c>
      <c r="K591" s="5">
        <v>0</v>
      </c>
      <c r="L591" s="5">
        <v>0</v>
      </c>
      <c r="M591" s="5">
        <v>0.2131992</v>
      </c>
      <c r="N591" s="5">
        <v>0.0</v>
      </c>
      <c r="O591" s="5">
        <v>0.0</v>
      </c>
      <c r="P591" s="5">
        <v>0.0</v>
      </c>
      <c r="Q591" s="5">
        <v>0.0</v>
      </c>
      <c r="R591" s="5">
        <v>0.0</v>
      </c>
      <c r="S591" s="5">
        <v>0.0</v>
      </c>
      <c r="T591" s="5">
        <v>0.0</v>
      </c>
      <c r="U591" s="5">
        <v>0.0</v>
      </c>
    </row>
    <row r="592" outlineLevel="1">
      <c r="B592" s="0" t="inlineStr">
        <is>
          <t xml:space="preserve">VEGAS FASTENER MANUFACTURING, LLC</t>
        </is>
      </c>
      <c r="C592" s="0" t="inlineStr">
        <is>
          <t xml:space="preserve">CZKYJKB7H9J7</t>
        </is>
      </c>
      <c r="D592" s="0" t="inlineStr">
        <is>
          <t xml:space="preserve">-</t>
        </is>
      </c>
      <c r="E592" s="0" t="inlineStr">
        <is>
          <t xml:space="preserve">-</t>
        </is>
      </c>
      <c r="F592" s="0" t="inlineStr">
        <is>
          <t xml:space="preserve">-</t>
        </is>
      </c>
      <c r="G592" s="5">
        <v>0.21107288</v>
      </c>
      <c r="H592" s="0" t="inlineStr">
        <is>
          <t xml:space="preserve">supplier</t>
        </is>
      </c>
      <c r="I592" s="0" t="inlineStr">
        <is>
          <t xml:space="preserve">unbucketed</t>
        </is>
      </c>
      <c r="J592" s="0" t="inlineStr">
        <is>
          <t xml:space="preserve">residual</t>
        </is>
      </c>
      <c r="K592" s="5">
        <v>0</v>
      </c>
      <c r="L592" s="5">
        <v>0</v>
      </c>
      <c r="M592" s="5">
        <v>0.21107288</v>
      </c>
      <c r="N592" s="5">
        <v>0.0</v>
      </c>
      <c r="O592" s="5">
        <v>0.0</v>
      </c>
      <c r="P592" s="5">
        <v>0.0</v>
      </c>
      <c r="Q592" s="5">
        <v>0.0</v>
      </c>
      <c r="R592" s="5">
        <v>0.0</v>
      </c>
      <c r="S592" s="5">
        <v>0.035322</v>
      </c>
      <c r="T592" s="5">
        <v>0.17575088</v>
      </c>
      <c r="U592" s="5">
        <v>0.0</v>
      </c>
    </row>
    <row r="593" outlineLevel="1">
      <c r="B593" s="0" t="inlineStr">
        <is>
          <t xml:space="preserve">ACTUANT CORPORATION</t>
        </is>
      </c>
      <c r="C593" s="0" t="inlineStr">
        <is>
          <t xml:space="preserve">JG73AVR7NUN4</t>
        </is>
      </c>
      <c r="D593" s="0" t="inlineStr">
        <is>
          <t xml:space="preserve">-</t>
        </is>
      </c>
      <c r="E593" s="0" t="inlineStr">
        <is>
          <t xml:space="preserve">-</t>
        </is>
      </c>
      <c r="F593" s="0" t="inlineStr">
        <is>
          <t xml:space="preserve">-</t>
        </is>
      </c>
      <c r="G593" s="5">
        <v>0.20963144</v>
      </c>
      <c r="H593" s="0" t="inlineStr">
        <is>
          <t xml:space="preserve">supplier</t>
        </is>
      </c>
      <c r="I593" s="0" t="inlineStr">
        <is>
          <t xml:space="preserve">unbucketed</t>
        </is>
      </c>
      <c r="J593" s="0" t="inlineStr">
        <is>
          <t xml:space="preserve">residual</t>
        </is>
      </c>
      <c r="K593" s="5">
        <v>0</v>
      </c>
      <c r="L593" s="5">
        <v>0</v>
      </c>
      <c r="M593" s="5">
        <v>0.20963144</v>
      </c>
      <c r="N593" s="5">
        <v>0.0</v>
      </c>
      <c r="O593" s="5">
        <v>0.0</v>
      </c>
      <c r="P593" s="5">
        <v>0.0</v>
      </c>
      <c r="Q593" s="5">
        <v>0.0</v>
      </c>
      <c r="R593" s="5">
        <v>0.0</v>
      </c>
      <c r="S593" s="5">
        <v>0.0</v>
      </c>
      <c r="T593" s="5">
        <v>0.0</v>
      </c>
      <c r="U593" s="5">
        <v>0.0</v>
      </c>
    </row>
    <row r="594" outlineLevel="1">
      <c r="B594" s="0" t="inlineStr">
        <is>
          <t xml:space="preserve">FOLEY INC</t>
        </is>
      </c>
      <c r="C594" s="0" t="inlineStr">
        <is>
          <t xml:space="preserve">CMPLJR3G8K76</t>
        </is>
      </c>
      <c r="D594" s="0" t="inlineStr">
        <is>
          <t xml:space="preserve">-</t>
        </is>
      </c>
      <c r="E594" s="0" t="inlineStr">
        <is>
          <t xml:space="preserve">-</t>
        </is>
      </c>
      <c r="F594" s="0" t="inlineStr">
        <is>
          <t xml:space="preserve">-</t>
        </is>
      </c>
      <c r="G594" s="5">
        <v>0.20879143</v>
      </c>
      <c r="H594" s="0" t="inlineStr">
        <is>
          <t xml:space="preserve">supplier</t>
        </is>
      </c>
      <c r="I594" s="0" t="inlineStr">
        <is>
          <t xml:space="preserve">unbucketed</t>
        </is>
      </c>
      <c r="J594" s="0" t="inlineStr">
        <is>
          <t xml:space="preserve">residual</t>
        </is>
      </c>
      <c r="K594" s="5">
        <v>0</v>
      </c>
      <c r="L594" s="5">
        <v>0</v>
      </c>
      <c r="M594" s="5">
        <v>0.20879143</v>
      </c>
      <c r="N594" s="5">
        <v>0.0</v>
      </c>
      <c r="O594" s="5">
        <v>0.0</v>
      </c>
      <c r="P594" s="5">
        <v>0.0</v>
      </c>
      <c r="Q594" s="5">
        <v>0.0</v>
      </c>
      <c r="R594" s="5">
        <v>0.0</v>
      </c>
      <c r="S594" s="5">
        <v>0.0</v>
      </c>
      <c r="T594" s="5">
        <v>0.20879143</v>
      </c>
      <c r="U594" s="5">
        <v>0.0</v>
      </c>
    </row>
    <row r="595" outlineLevel="1">
      <c r="B595" s="0" t="inlineStr">
        <is>
          <t xml:space="preserve">WESTERN BRONZE INC</t>
        </is>
      </c>
      <c r="C595" s="0" t="inlineStr">
        <is>
          <t xml:space="preserve">H2X6CQSJHQL4</t>
        </is>
      </c>
      <c r="D595" s="0" t="inlineStr">
        <is>
          <t xml:space="preserve">-</t>
        </is>
      </c>
      <c r="E595" s="0" t="inlineStr">
        <is>
          <t xml:space="preserve">-</t>
        </is>
      </c>
      <c r="F595" s="0" t="inlineStr">
        <is>
          <t xml:space="preserve">-</t>
        </is>
      </c>
      <c r="G595" s="5">
        <v>0.20845</v>
      </c>
      <c r="H595" s="0" t="inlineStr">
        <is>
          <t xml:space="preserve">supplier</t>
        </is>
      </c>
      <c r="I595" s="0" t="inlineStr">
        <is>
          <t xml:space="preserve">unbucketed</t>
        </is>
      </c>
      <c r="J595" s="0" t="inlineStr">
        <is>
          <t xml:space="preserve">residual</t>
        </is>
      </c>
      <c r="K595" s="5">
        <v>0</v>
      </c>
      <c r="L595" s="5">
        <v>0</v>
      </c>
      <c r="M595" s="5">
        <v>0.20845</v>
      </c>
      <c r="N595" s="5">
        <v>0.0</v>
      </c>
      <c r="O595" s="5">
        <v>0.0</v>
      </c>
      <c r="P595" s="5">
        <v>0.0</v>
      </c>
      <c r="Q595" s="5">
        <v>0.0</v>
      </c>
      <c r="R595" s="5">
        <v>0.0</v>
      </c>
      <c r="S595" s="5">
        <v>0.0</v>
      </c>
      <c r="T595" s="5">
        <v>0.20845</v>
      </c>
      <c r="U595" s="5">
        <v>0.0</v>
      </c>
    </row>
    <row r="596" outlineLevel="1">
      <c r="B596" s="0" t="inlineStr">
        <is>
          <t xml:space="preserve">TRANSDIGM GROUP INCORPORATED</t>
        </is>
      </c>
      <c r="C596" s="0" t="inlineStr">
        <is>
          <t xml:space="preserve">XRN4L5GSHNJ5</t>
        </is>
      </c>
      <c r="D596" s="0" t="inlineStr">
        <is>
          <t xml:space="preserve">-</t>
        </is>
      </c>
      <c r="E596" s="0" t="inlineStr">
        <is>
          <t xml:space="preserve">-</t>
        </is>
      </c>
      <c r="F596" s="0" t="inlineStr">
        <is>
          <t xml:space="preserve">-</t>
        </is>
      </c>
      <c r="G596" s="5">
        <v>0.207888</v>
      </c>
      <c r="H596" s="0" t="inlineStr">
        <is>
          <t xml:space="preserve">supplier</t>
        </is>
      </c>
      <c r="I596" s="0" t="inlineStr">
        <is>
          <t xml:space="preserve">unbucketed</t>
        </is>
      </c>
      <c r="J596" s="0" t="inlineStr">
        <is>
          <t xml:space="preserve">residual</t>
        </is>
      </c>
      <c r="K596" s="5">
        <v>0</v>
      </c>
      <c r="L596" s="5">
        <v>0</v>
      </c>
      <c r="M596" s="5">
        <v>0.207888</v>
      </c>
      <c r="N596" s="5">
        <v>0.0</v>
      </c>
      <c r="O596" s="5">
        <v>0.0</v>
      </c>
      <c r="P596" s="5">
        <v>0.0</v>
      </c>
      <c r="Q596" s="5">
        <v>0.0</v>
      </c>
      <c r="R596" s="5">
        <v>0.0</v>
      </c>
      <c r="S596" s="5">
        <v>0.0</v>
      </c>
      <c r="T596" s="5">
        <v>0.0</v>
      </c>
      <c r="U596" s="5">
        <v>0.0</v>
      </c>
    </row>
    <row r="597" outlineLevel="1">
      <c r="B597" s="0" t="inlineStr">
        <is>
          <t xml:space="preserve">ADA CORE TECHNOLOGIES, INC.</t>
        </is>
      </c>
      <c r="C597" s="0" t="inlineStr">
        <is>
          <t xml:space="preserve">DP49VT4FA4J3</t>
        </is>
      </c>
      <c r="D597" s="0" t="inlineStr">
        <is>
          <t xml:space="preserve">-</t>
        </is>
      </c>
      <c r="E597" s="0" t="inlineStr">
        <is>
          <t xml:space="preserve">-</t>
        </is>
      </c>
      <c r="F597" s="0" t="inlineStr">
        <is>
          <t xml:space="preserve">-</t>
        </is>
      </c>
      <c r="G597" s="5">
        <v>0.207467</v>
      </c>
      <c r="H597" s="0" t="inlineStr">
        <is>
          <t xml:space="preserve">supplier</t>
        </is>
      </c>
      <c r="I597" s="0" t="inlineStr">
        <is>
          <t xml:space="preserve">unbucketed</t>
        </is>
      </c>
      <c r="J597" s="0" t="inlineStr">
        <is>
          <t xml:space="preserve">residual</t>
        </is>
      </c>
      <c r="K597" s="5">
        <v>0</v>
      </c>
      <c r="L597" s="5">
        <v>0</v>
      </c>
      <c r="M597" s="5">
        <v>0.207467</v>
      </c>
      <c r="N597" s="5">
        <v>0.0</v>
      </c>
      <c r="O597" s="5">
        <v>0.0</v>
      </c>
      <c r="P597" s="5">
        <v>0.0</v>
      </c>
      <c r="Q597" s="5">
        <v>0.0</v>
      </c>
      <c r="R597" s="5">
        <v>0.0</v>
      </c>
      <c r="S597" s="5">
        <v>0.0</v>
      </c>
      <c r="T597" s="5">
        <v>0.207467</v>
      </c>
      <c r="U597" s="5">
        <v>0.0</v>
      </c>
    </row>
    <row r="598" outlineLevel="1">
      <c r="B598" s="0" t="inlineStr">
        <is>
          <t xml:space="preserve">LJM PACKAGING CO., INC.</t>
        </is>
      </c>
      <c r="C598" s="0" t="inlineStr">
        <is>
          <t xml:space="preserve">MTNSMCNJCNE1</t>
        </is>
      </c>
      <c r="D598" s="0" t="inlineStr">
        <is>
          <t xml:space="preserve">-</t>
        </is>
      </c>
      <c r="E598" s="0" t="inlineStr">
        <is>
          <t xml:space="preserve">-</t>
        </is>
      </c>
      <c r="F598" s="0" t="inlineStr">
        <is>
          <t xml:space="preserve">-</t>
        </is>
      </c>
      <c r="G598" s="5">
        <v>0.20400000000000001</v>
      </c>
      <c r="H598" s="0" t="inlineStr">
        <is>
          <t xml:space="preserve">supplier</t>
        </is>
      </c>
      <c r="I598" s="0" t="inlineStr">
        <is>
          <t xml:space="preserve">unbucketed</t>
        </is>
      </c>
      <c r="J598" s="0" t="inlineStr">
        <is>
          <t xml:space="preserve">residual</t>
        </is>
      </c>
      <c r="K598" s="5">
        <v>0</v>
      </c>
      <c r="L598" s="5">
        <v>0</v>
      </c>
      <c r="M598" s="5">
        <v>0.20400000000000001</v>
      </c>
      <c r="N598" s="5">
        <v>0.0</v>
      </c>
      <c r="O598" s="5">
        <v>0.0</v>
      </c>
      <c r="P598" s="5">
        <v>0.0</v>
      </c>
      <c r="Q598" s="5">
        <v>0.0</v>
      </c>
      <c r="R598" s="5">
        <v>0.0</v>
      </c>
      <c r="S598" s="5">
        <v>0.0</v>
      </c>
      <c r="T598" s="5">
        <v>0.0</v>
      </c>
      <c r="U598" s="5">
        <v>0.0</v>
      </c>
    </row>
    <row r="599" outlineLevel="1">
      <c r="B599" s="0" t="inlineStr">
        <is>
          <t xml:space="preserve">CABLEWORKS, INC.</t>
        </is>
      </c>
      <c r="C599" s="0" t="inlineStr">
        <is>
          <t xml:space="preserve">UGQ9ZMC59WA6</t>
        </is>
      </c>
      <c r="D599" s="0" t="inlineStr">
        <is>
          <t xml:space="preserve">-</t>
        </is>
      </c>
      <c r="E599" s="0" t="inlineStr">
        <is>
          <t xml:space="preserve">-</t>
        </is>
      </c>
      <c r="F599" s="0" t="inlineStr">
        <is>
          <t xml:space="preserve">-</t>
        </is>
      </c>
      <c r="G599" s="5">
        <v>0.20117442</v>
      </c>
      <c r="H599" s="0" t="inlineStr">
        <is>
          <t xml:space="preserve">supplier</t>
        </is>
      </c>
      <c r="I599" s="0" t="inlineStr">
        <is>
          <t xml:space="preserve">unbucketed</t>
        </is>
      </c>
      <c r="J599" s="0" t="inlineStr">
        <is>
          <t xml:space="preserve">residual</t>
        </is>
      </c>
      <c r="K599" s="5">
        <v>0</v>
      </c>
      <c r="L599" s="5">
        <v>0</v>
      </c>
      <c r="M599" s="5">
        <v>0.20117442</v>
      </c>
      <c r="N599" s="5">
        <v>0.03897999</v>
      </c>
      <c r="O599" s="5">
        <v>0.0</v>
      </c>
      <c r="P599" s="5">
        <v>0.0</v>
      </c>
      <c r="Q599" s="5">
        <v>0.0</v>
      </c>
      <c r="R599" s="5">
        <v>0.0</v>
      </c>
      <c r="S599" s="5">
        <v>0.04967168</v>
      </c>
      <c r="T599" s="5">
        <v>0.0</v>
      </c>
      <c r="U599" s="5">
        <v>0.11252275</v>
      </c>
    </row>
    <row r="600" outlineLevel="1">
      <c r="B600" s="0" t="inlineStr">
        <is>
          <t xml:space="preserve">SOUTHERN GEAR &amp; MACHINE, INC.</t>
        </is>
      </c>
      <c r="C600" s="0" t="inlineStr">
        <is>
          <t xml:space="preserve">V7GQF5M7C667</t>
        </is>
      </c>
      <c r="D600" s="0" t="inlineStr">
        <is>
          <t xml:space="preserve">-</t>
        </is>
      </c>
      <c r="E600" s="0" t="inlineStr">
        <is>
          <t xml:space="preserve">-</t>
        </is>
      </c>
      <c r="F600" s="0" t="inlineStr">
        <is>
          <t xml:space="preserve">-</t>
        </is>
      </c>
      <c r="G600" s="5">
        <v>0.20027208</v>
      </c>
      <c r="H600" s="0" t="inlineStr">
        <is>
          <t xml:space="preserve">supplier</t>
        </is>
      </c>
      <c r="I600" s="0" t="inlineStr">
        <is>
          <t xml:space="preserve">unbucketed</t>
        </is>
      </c>
      <c r="J600" s="0" t="inlineStr">
        <is>
          <t xml:space="preserve">residual</t>
        </is>
      </c>
      <c r="K600" s="5">
        <v>0</v>
      </c>
      <c r="L600" s="5">
        <v>0</v>
      </c>
      <c r="M600" s="5">
        <v>0.20027208</v>
      </c>
      <c r="N600" s="5">
        <v>0.0</v>
      </c>
      <c r="O600" s="5">
        <v>0.0</v>
      </c>
      <c r="P600" s="5">
        <v>0.0</v>
      </c>
      <c r="Q600" s="5">
        <v>0.0</v>
      </c>
      <c r="R600" s="5">
        <v>0.0</v>
      </c>
      <c r="S600" s="5">
        <v>0.0</v>
      </c>
      <c r="T600" s="5">
        <v>0.0</v>
      </c>
      <c r="U600" s="5">
        <v>0.0</v>
      </c>
    </row>
    <row r="601" outlineLevel="1">
      <c r="B601" s="0" t="inlineStr">
        <is>
          <t xml:space="preserve">AMETEK INC</t>
        </is>
      </c>
      <c r="C601" s="0" t="inlineStr">
        <is>
          <t xml:space="preserve">SMZQB2YVYM66</t>
        </is>
      </c>
      <c r="D601" s="0" t="inlineStr">
        <is>
          <t xml:space="preserve">-</t>
        </is>
      </c>
      <c r="E601" s="0" t="inlineStr">
        <is>
          <t xml:space="preserve">-</t>
        </is>
      </c>
      <c r="F601" s="0" t="inlineStr">
        <is>
          <t xml:space="preserve">-</t>
        </is>
      </c>
      <c r="G601" s="5">
        <v>0.197162</v>
      </c>
      <c r="H601" s="0" t="inlineStr">
        <is>
          <t xml:space="preserve">supplier</t>
        </is>
      </c>
      <c r="I601" s="0" t="inlineStr">
        <is>
          <t xml:space="preserve">unbucketed</t>
        </is>
      </c>
      <c r="J601" s="0" t="inlineStr">
        <is>
          <t xml:space="preserve">residual</t>
        </is>
      </c>
      <c r="K601" s="5">
        <v>0</v>
      </c>
      <c r="L601" s="5">
        <v>0</v>
      </c>
      <c r="M601" s="5">
        <v>0.197162</v>
      </c>
      <c r="N601" s="5">
        <v>0.039432</v>
      </c>
      <c r="O601" s="5">
        <v>0.03993</v>
      </c>
      <c r="P601" s="5">
        <v>0.0</v>
      </c>
      <c r="Q601" s="5">
        <v>0.0</v>
      </c>
      <c r="R601" s="5">
        <v>0.0</v>
      </c>
      <c r="S601" s="5">
        <v>0.0</v>
      </c>
      <c r="T601" s="5">
        <v>0.1178</v>
      </c>
      <c r="U601" s="5">
        <v>0.0</v>
      </c>
    </row>
    <row r="602" outlineLevel="1">
      <c r="B602" s="0" t="inlineStr">
        <is>
          <t xml:space="preserve">H.C. STARCK</t>
        </is>
      </c>
      <c r="C602" s="0" t="inlineStr">
        <is>
          <t xml:space="preserve">F6JXYKQB4QL6</t>
        </is>
      </c>
      <c r="D602" s="0" t="inlineStr">
        <is>
          <t xml:space="preserve">-</t>
        </is>
      </c>
      <c r="E602" s="0" t="inlineStr">
        <is>
          <t xml:space="preserve">-</t>
        </is>
      </c>
      <c r="F602" s="0" t="inlineStr">
        <is>
          <t xml:space="preserve">-</t>
        </is>
      </c>
      <c r="G602" s="5">
        <v>0.19619248</v>
      </c>
      <c r="H602" s="0" t="inlineStr">
        <is>
          <t xml:space="preserve">supplier</t>
        </is>
      </c>
      <c r="I602" s="0" t="inlineStr">
        <is>
          <t xml:space="preserve">unbucketed</t>
        </is>
      </c>
      <c r="J602" s="0" t="inlineStr">
        <is>
          <t xml:space="preserve">residual</t>
        </is>
      </c>
      <c r="K602" s="5">
        <v>0</v>
      </c>
      <c r="L602" s="5">
        <v>0</v>
      </c>
      <c r="M602" s="5">
        <v>0.19619248</v>
      </c>
      <c r="N602" s="5">
        <v>0.0</v>
      </c>
      <c r="O602" s="5">
        <v>0.0</v>
      </c>
      <c r="P602" s="5">
        <v>0.19619248</v>
      </c>
      <c r="Q602" s="5">
        <v>0.0</v>
      </c>
      <c r="R602" s="5">
        <v>0.0</v>
      </c>
      <c r="S602" s="5">
        <v>0.0</v>
      </c>
      <c r="T602" s="5">
        <v>0.0</v>
      </c>
      <c r="U602" s="5">
        <v>0.0</v>
      </c>
    </row>
    <row r="603" outlineLevel="1">
      <c r="B603" s="0" t="inlineStr">
        <is>
          <t xml:space="preserve">SUPERBOLT INC</t>
        </is>
      </c>
      <c r="C603" s="0" t="inlineStr">
        <is>
          <t xml:space="preserve">FNBNKXCC3QD8</t>
        </is>
      </c>
      <c r="D603" s="0" t="inlineStr">
        <is>
          <t xml:space="preserve">-</t>
        </is>
      </c>
      <c r="E603" s="0" t="inlineStr">
        <is>
          <t xml:space="preserve">-</t>
        </is>
      </c>
      <c r="F603" s="0" t="inlineStr">
        <is>
          <t xml:space="preserve">-</t>
        </is>
      </c>
      <c r="G603" s="5">
        <v>0.194672</v>
      </c>
      <c r="H603" s="0" t="inlineStr">
        <is>
          <t xml:space="preserve">supplier</t>
        </is>
      </c>
      <c r="I603" s="0" t="inlineStr">
        <is>
          <t xml:space="preserve">unbucketed</t>
        </is>
      </c>
      <c r="J603" s="0" t="inlineStr">
        <is>
          <t xml:space="preserve">residual</t>
        </is>
      </c>
      <c r="K603" s="5">
        <v>0</v>
      </c>
      <c r="L603" s="5">
        <v>0</v>
      </c>
      <c r="M603" s="5">
        <v>0.194672</v>
      </c>
      <c r="N603" s="5">
        <v>0.0</v>
      </c>
      <c r="O603" s="5">
        <v>0.0</v>
      </c>
      <c r="P603" s="5">
        <v>0.0</v>
      </c>
      <c r="Q603" s="5">
        <v>0.0</v>
      </c>
      <c r="R603" s="5">
        <v>0.0</v>
      </c>
      <c r="S603" s="5">
        <v>0.194672</v>
      </c>
      <c r="T603" s="5">
        <v>0.0</v>
      </c>
      <c r="U603" s="5">
        <v>0.0</v>
      </c>
    </row>
    <row r="604" outlineLevel="1">
      <c r="B604" s="0" t="inlineStr">
        <is>
          <t xml:space="preserve">TRI-TEC MANUFACTURING, LLC</t>
        </is>
      </c>
      <c r="C604" s="0" t="inlineStr">
        <is>
          <t xml:space="preserve">YMKJUADMJN79</t>
        </is>
      </c>
      <c r="D604" s="0" t="inlineStr">
        <is>
          <t xml:space="preserve">-</t>
        </is>
      </c>
      <c r="E604" s="0" t="inlineStr">
        <is>
          <t xml:space="preserve">-</t>
        </is>
      </c>
      <c r="F604" s="0" t="inlineStr">
        <is>
          <t xml:space="preserve">-</t>
        </is>
      </c>
      <c r="G604" s="5">
        <v>0.193832</v>
      </c>
      <c r="H604" s="0" t="inlineStr">
        <is>
          <t xml:space="preserve">supplier</t>
        </is>
      </c>
      <c r="I604" s="0" t="inlineStr">
        <is>
          <t xml:space="preserve">unbucketed</t>
        </is>
      </c>
      <c r="J604" s="0" t="inlineStr">
        <is>
          <t xml:space="preserve">residual</t>
        </is>
      </c>
      <c r="K604" s="5">
        <v>0</v>
      </c>
      <c r="L604" s="5">
        <v>0</v>
      </c>
      <c r="M604" s="5">
        <v>0.193832</v>
      </c>
      <c r="N604" s="5">
        <v>0.0</v>
      </c>
      <c r="O604" s="5">
        <v>0.0</v>
      </c>
      <c r="P604" s="5">
        <v>0.0</v>
      </c>
      <c r="Q604" s="5">
        <v>0.0</v>
      </c>
      <c r="R604" s="5">
        <v>0.0</v>
      </c>
      <c r="S604" s="5">
        <v>0.0</v>
      </c>
      <c r="T604" s="5">
        <v>0.0</v>
      </c>
      <c r="U604" s="5">
        <v>0.0</v>
      </c>
    </row>
    <row r="605" outlineLevel="1">
      <c r="B605" s="0" t="inlineStr">
        <is>
          <t xml:space="preserve">LAL ACQUISITION INC.</t>
        </is>
      </c>
      <c r="C605" s="0" t="inlineStr">
        <is>
          <t xml:space="preserve">M6N3M8GCHLN5</t>
        </is>
      </c>
      <c r="D605" s="0" t="inlineStr">
        <is>
          <t xml:space="preserve">-</t>
        </is>
      </c>
      <c r="E605" s="0" t="inlineStr">
        <is>
          <t xml:space="preserve">-</t>
        </is>
      </c>
      <c r="F605" s="0" t="inlineStr">
        <is>
          <t xml:space="preserve">-</t>
        </is>
      </c>
      <c r="G605" s="5">
        <v>0.193346</v>
      </c>
      <c r="H605" s="0" t="inlineStr">
        <is>
          <t xml:space="preserve">supplier</t>
        </is>
      </c>
      <c r="I605" s="0" t="inlineStr">
        <is>
          <t xml:space="preserve">unbucketed</t>
        </is>
      </c>
      <c r="J605" s="0" t="inlineStr">
        <is>
          <t xml:space="preserve">residual</t>
        </is>
      </c>
      <c r="K605" s="5">
        <v>0</v>
      </c>
      <c r="L605" s="5">
        <v>0</v>
      </c>
      <c r="M605" s="5">
        <v>0.193346</v>
      </c>
      <c r="N605" s="5">
        <v>0.0</v>
      </c>
      <c r="O605" s="5">
        <v>0.0</v>
      </c>
      <c r="P605" s="5">
        <v>0.0</v>
      </c>
      <c r="Q605" s="5">
        <v>0.0</v>
      </c>
      <c r="R605" s="5">
        <v>0.0</v>
      </c>
      <c r="S605" s="5">
        <v>0.0</v>
      </c>
      <c r="T605" s="5">
        <v>0.0</v>
      </c>
      <c r="U605" s="5">
        <v>0.0</v>
      </c>
    </row>
    <row r="606" outlineLevel="1">
      <c r="B606" s="0" t="inlineStr">
        <is>
          <t xml:space="preserve">SCHNEIDER ELECTRIC SE</t>
        </is>
      </c>
      <c r="C606" s="0" t="inlineStr">
        <is>
          <t xml:space="preserve">MDH6KH9D4SG7</t>
        </is>
      </c>
      <c r="D606" s="0" t="inlineStr">
        <is>
          <t xml:space="preserve">-</t>
        </is>
      </c>
      <c r="E606" s="0" t="inlineStr">
        <is>
          <t xml:space="preserve">-</t>
        </is>
      </c>
      <c r="F606" s="0" t="inlineStr">
        <is>
          <t xml:space="preserve">-</t>
        </is>
      </c>
      <c r="G606" s="5">
        <v>0.193072</v>
      </c>
      <c r="H606" s="0" t="inlineStr">
        <is>
          <t xml:space="preserve">supplier</t>
        </is>
      </c>
      <c r="I606" s="0" t="inlineStr">
        <is>
          <t xml:space="preserve">unbucketed</t>
        </is>
      </c>
      <c r="J606" s="0" t="inlineStr">
        <is>
          <t xml:space="preserve">residual</t>
        </is>
      </c>
      <c r="K606" s="5">
        <v>0</v>
      </c>
      <c r="L606" s="5">
        <v>0</v>
      </c>
      <c r="M606" s="5">
        <v>0.193072</v>
      </c>
      <c r="N606" s="5">
        <v>0.0</v>
      </c>
      <c r="O606" s="5">
        <v>0.0</v>
      </c>
      <c r="P606" s="5">
        <v>0.0</v>
      </c>
      <c r="Q606" s="5">
        <v>0.0</v>
      </c>
      <c r="R606" s="5">
        <v>0.030712</v>
      </c>
      <c r="S606" s="5">
        <v>0.0</v>
      </c>
      <c r="T606" s="5">
        <v>0.0</v>
      </c>
      <c r="U606" s="5">
        <v>0.0</v>
      </c>
    </row>
    <row r="607" outlineLevel="1">
      <c r="B607" s="0" t="inlineStr">
        <is>
          <t xml:space="preserve">MOOG INC</t>
        </is>
      </c>
      <c r="C607" s="0" t="inlineStr">
        <is>
          <t xml:space="preserve">KDWVFE3K1TL3</t>
        </is>
      </c>
      <c r="D607" s="0" t="inlineStr">
        <is>
          <t xml:space="preserve">USA</t>
        </is>
      </c>
      <c r="E607" s="0" t="inlineStr">
        <is>
          <t xml:space="preserve">3364</t>
        </is>
      </c>
      <c r="F607" s="0" t="inlineStr">
        <is>
          <t xml:space="preserve">Other Aircraft Parts and Auxiliary Equipment Manufacturing</t>
        </is>
      </c>
      <c r="G607" s="5">
        <v>0.192628</v>
      </c>
      <c r="H607" s="0" t="inlineStr">
        <is>
          <t xml:space="preserve">supplier</t>
        </is>
      </c>
      <c r="I607" s="0" t="inlineStr">
        <is>
          <t xml:space="preserve">unbucketed</t>
        </is>
      </c>
      <c r="J607" s="0" t="inlineStr">
        <is>
          <t xml:space="preserve">residual</t>
        </is>
      </c>
      <c r="K607" s="5">
        <v>0</v>
      </c>
      <c r="L607" s="5">
        <v>0</v>
      </c>
      <c r="M607" s="5">
        <v>0.192628</v>
      </c>
      <c r="N607" s="5">
        <v>0.0</v>
      </c>
      <c r="O607" s="5">
        <v>0.0</v>
      </c>
      <c r="P607" s="5">
        <v>0.192628</v>
      </c>
      <c r="Q607" s="5">
        <v>0.0</v>
      </c>
      <c r="R607" s="5">
        <v>0.0</v>
      </c>
      <c r="S607" s="5">
        <v>0.0</v>
      </c>
      <c r="T607" s="5">
        <v>0.0</v>
      </c>
      <c r="U607" s="5">
        <v>0.0</v>
      </c>
    </row>
    <row r="608" outlineLevel="1">
      <c r="B608" s="0" t="inlineStr">
        <is>
          <t xml:space="preserve">AEROTEK AFFILIATED SERVICES, INC.</t>
        </is>
      </c>
      <c r="C608" s="0" t="inlineStr">
        <is>
          <t xml:space="preserve">QPFMBXNMQM85</t>
        </is>
      </c>
      <c r="D608" s="0" t="inlineStr">
        <is>
          <t xml:space="preserve">-</t>
        </is>
      </c>
      <c r="E608" s="0" t="inlineStr">
        <is>
          <t xml:space="preserve">-</t>
        </is>
      </c>
      <c r="F608" s="0" t="inlineStr">
        <is>
          <t xml:space="preserve">-</t>
        </is>
      </c>
      <c r="G608" s="5">
        <v>0.1908816</v>
      </c>
      <c r="H608" s="0" t="inlineStr">
        <is>
          <t xml:space="preserve">supplier</t>
        </is>
      </c>
      <c r="I608" s="0" t="inlineStr">
        <is>
          <t xml:space="preserve">unbucketed</t>
        </is>
      </c>
      <c r="J608" s="0" t="inlineStr">
        <is>
          <t xml:space="preserve">residual</t>
        </is>
      </c>
      <c r="K608" s="5">
        <v>0</v>
      </c>
      <c r="L608" s="5">
        <v>0</v>
      </c>
      <c r="M608" s="5">
        <v>0.1908816</v>
      </c>
      <c r="N608" s="5">
        <v>0.0</v>
      </c>
      <c r="O608" s="5">
        <v>0.0</v>
      </c>
      <c r="P608" s="5">
        <v>0.0</v>
      </c>
      <c r="Q608" s="5">
        <v>0.0</v>
      </c>
      <c r="R608" s="5">
        <v>0.0</v>
      </c>
      <c r="S608" s="5">
        <v>0.1908816</v>
      </c>
      <c r="T608" s="5">
        <v>0.0</v>
      </c>
      <c r="U608" s="5">
        <v>0.0</v>
      </c>
    </row>
    <row r="609" outlineLevel="1">
      <c r="B609" s="0" t="inlineStr">
        <is>
          <t xml:space="preserve">ITT INC.</t>
        </is>
      </c>
      <c r="C609" s="0" t="inlineStr">
        <is>
          <t xml:space="preserve">NHA2LDXZPES3</t>
        </is>
      </c>
      <c r="D609" s="0" t="inlineStr">
        <is>
          <t xml:space="preserve">-</t>
        </is>
      </c>
      <c r="E609" s="0" t="inlineStr">
        <is>
          <t xml:space="preserve">-</t>
        </is>
      </c>
      <c r="F609" s="0" t="inlineStr">
        <is>
          <t xml:space="preserve">-</t>
        </is>
      </c>
      <c r="G609" s="5">
        <v>0.1904944</v>
      </c>
      <c r="H609" s="0" t="inlineStr">
        <is>
          <t xml:space="preserve">supplier</t>
        </is>
      </c>
      <c r="I609" s="0" t="inlineStr">
        <is>
          <t xml:space="preserve">unbucketed</t>
        </is>
      </c>
      <c r="J609" s="0" t="inlineStr">
        <is>
          <t xml:space="preserve">residual</t>
        </is>
      </c>
      <c r="K609" s="5">
        <v>0</v>
      </c>
      <c r="L609" s="5">
        <v>0</v>
      </c>
      <c r="M609" s="5">
        <v>0.1904944</v>
      </c>
      <c r="N609" s="5">
        <v>0.0</v>
      </c>
      <c r="O609" s="5">
        <v>0.0</v>
      </c>
      <c r="P609" s="5">
        <v>0.0</v>
      </c>
      <c r="Q609" s="5">
        <v>0.0</v>
      </c>
      <c r="R609" s="5">
        <v>0.0</v>
      </c>
      <c r="S609" s="5">
        <v>0.0</v>
      </c>
      <c r="T609" s="5">
        <v>0.0</v>
      </c>
      <c r="U609" s="5">
        <v>0.0</v>
      </c>
    </row>
    <row r="610" outlineLevel="1">
      <c r="B610" s="0" t="inlineStr">
        <is>
          <t xml:space="preserve">GEODETIC SERVICES INC.</t>
        </is>
      </c>
      <c r="C610" s="0" t="inlineStr">
        <is>
          <t xml:space="preserve">UPMWNA8Y25L1</t>
        </is>
      </c>
      <c r="D610" s="0" t="inlineStr">
        <is>
          <t xml:space="preserve">-</t>
        </is>
      </c>
      <c r="E610" s="0" t="inlineStr">
        <is>
          <t xml:space="preserve">-</t>
        </is>
      </c>
      <c r="F610" s="0" t="inlineStr">
        <is>
          <t xml:space="preserve">-</t>
        </is>
      </c>
      <c r="G610" s="5">
        <v>0.187545</v>
      </c>
      <c r="H610" s="0" t="inlineStr">
        <is>
          <t xml:space="preserve">supplier</t>
        </is>
      </c>
      <c r="I610" s="0" t="inlineStr">
        <is>
          <t xml:space="preserve">unbucketed</t>
        </is>
      </c>
      <c r="J610" s="0" t="inlineStr">
        <is>
          <t xml:space="preserve">residual</t>
        </is>
      </c>
      <c r="K610" s="5">
        <v>0</v>
      </c>
      <c r="L610" s="5">
        <v>0</v>
      </c>
      <c r="M610" s="5">
        <v>0.187545</v>
      </c>
      <c r="N610" s="5">
        <v>0.0</v>
      </c>
      <c r="O610" s="5">
        <v>0.059085</v>
      </c>
      <c r="P610" s="5">
        <v>0.0</v>
      </c>
      <c r="Q610" s="5">
        <v>0.0</v>
      </c>
      <c r="R610" s="5">
        <v>0.0</v>
      </c>
      <c r="S610" s="5">
        <v>0.12846</v>
      </c>
      <c r="T610" s="5">
        <v>0.0</v>
      </c>
      <c r="U610" s="5">
        <v>0.0</v>
      </c>
    </row>
    <row r="611" outlineLevel="1">
      <c r="B611" s="0" t="inlineStr">
        <is>
          <t xml:space="preserve">SSS MANAGEMENT CORP</t>
        </is>
      </c>
      <c r="C611" s="0" t="inlineStr">
        <is>
          <t xml:space="preserve">KK9HWTR6SM49</t>
        </is>
      </c>
      <c r="D611" s="0" t="inlineStr">
        <is>
          <t xml:space="preserve">-</t>
        </is>
      </c>
      <c r="E611" s="0" t="inlineStr">
        <is>
          <t xml:space="preserve">-</t>
        </is>
      </c>
      <c r="F611" s="0" t="inlineStr">
        <is>
          <t xml:space="preserve">-</t>
        </is>
      </c>
      <c r="G611" s="5">
        <v>0.1873649</v>
      </c>
      <c r="H611" s="0" t="inlineStr">
        <is>
          <t xml:space="preserve">supplier</t>
        </is>
      </c>
      <c r="I611" s="0" t="inlineStr">
        <is>
          <t xml:space="preserve">unbucketed</t>
        </is>
      </c>
      <c r="J611" s="0" t="inlineStr">
        <is>
          <t xml:space="preserve">residual</t>
        </is>
      </c>
      <c r="K611" s="5">
        <v>0</v>
      </c>
      <c r="L611" s="5">
        <v>0</v>
      </c>
      <c r="M611" s="5">
        <v>0.1873649</v>
      </c>
      <c r="N611" s="5">
        <v>0.0</v>
      </c>
      <c r="O611" s="5">
        <v>0.0</v>
      </c>
      <c r="P611" s="5">
        <v>0.0</v>
      </c>
      <c r="Q611" s="5">
        <v>0.0</v>
      </c>
      <c r="R611" s="5">
        <v>0.0</v>
      </c>
      <c r="S611" s="5">
        <v>0.0</v>
      </c>
      <c r="T611" s="5">
        <v>0.0</v>
      </c>
      <c r="U611" s="5">
        <v>0.0</v>
      </c>
    </row>
    <row r="612" outlineLevel="1">
      <c r="B612" s="0" t="inlineStr">
        <is>
          <t xml:space="preserve">SUPERBOLT INC.</t>
        </is>
      </c>
      <c r="C612" s="0" t="inlineStr">
        <is>
          <t xml:space="preserve">FNBNKXCC3QD8</t>
        </is>
      </c>
      <c r="D612" s="0" t="inlineStr">
        <is>
          <t xml:space="preserve">-</t>
        </is>
      </c>
      <c r="E612" s="0" t="inlineStr">
        <is>
          <t xml:space="preserve">-</t>
        </is>
      </c>
      <c r="F612" s="0" t="inlineStr">
        <is>
          <t xml:space="preserve">-</t>
        </is>
      </c>
      <c r="G612" s="5">
        <v>0.187289</v>
      </c>
      <c r="H612" s="0" t="inlineStr">
        <is>
          <t xml:space="preserve">supplier</t>
        </is>
      </c>
      <c r="I612" s="0" t="inlineStr">
        <is>
          <t xml:space="preserve">unbucketed</t>
        </is>
      </c>
      <c r="J612" s="0" t="inlineStr">
        <is>
          <t xml:space="preserve">residual</t>
        </is>
      </c>
      <c r="K612" s="5">
        <v>0</v>
      </c>
      <c r="L612" s="5">
        <v>0</v>
      </c>
      <c r="M612" s="5">
        <v>0.187289</v>
      </c>
      <c r="N612" s="5">
        <v>0.0</v>
      </c>
      <c r="O612" s="5">
        <v>0.0</v>
      </c>
      <c r="P612" s="5">
        <v>0.0</v>
      </c>
      <c r="Q612" s="5">
        <v>0.0</v>
      </c>
      <c r="R612" s="5">
        <v>0.0</v>
      </c>
      <c r="S612" s="5">
        <v>0.0</v>
      </c>
      <c r="T612" s="5">
        <v>0.0</v>
      </c>
      <c r="U612" s="5">
        <v>0.0</v>
      </c>
    </row>
    <row r="613" outlineLevel="1">
      <c r="B613" s="0" t="inlineStr">
        <is>
          <t xml:space="preserve">BRISTOL HARBOR GROUP</t>
        </is>
      </c>
      <c r="C613" s="0" t="inlineStr">
        <is>
          <t xml:space="preserve">G5W8NZNYN1P6</t>
        </is>
      </c>
      <c r="D613" s="0" t="inlineStr">
        <is>
          <t xml:space="preserve">-</t>
        </is>
      </c>
      <c r="E613" s="0" t="inlineStr">
        <is>
          <t xml:space="preserve">-</t>
        </is>
      </c>
      <c r="F613" s="0" t="inlineStr">
        <is>
          <t xml:space="preserve">-</t>
        </is>
      </c>
      <c r="G613" s="5">
        <v>0.1868</v>
      </c>
      <c r="H613" s="0" t="inlineStr">
        <is>
          <t xml:space="preserve">supplier</t>
        </is>
      </c>
      <c r="I613" s="0" t="inlineStr">
        <is>
          <t xml:space="preserve">unbucketed</t>
        </is>
      </c>
      <c r="J613" s="0" t="inlineStr">
        <is>
          <t xml:space="preserve">residual</t>
        </is>
      </c>
      <c r="K613" s="5">
        <v>0</v>
      </c>
      <c r="L613" s="5">
        <v>0</v>
      </c>
      <c r="M613" s="5">
        <v>0.1868</v>
      </c>
      <c r="N613" s="5">
        <v>0.0</v>
      </c>
      <c r="O613" s="5">
        <v>0.0</v>
      </c>
      <c r="P613" s="5">
        <v>0.0</v>
      </c>
      <c r="Q613" s="5">
        <v>0.0</v>
      </c>
      <c r="R613" s="5">
        <v>0.02</v>
      </c>
      <c r="S613" s="5">
        <v>0.0</v>
      </c>
      <c r="T613" s="5">
        <v>0.0</v>
      </c>
      <c r="U613" s="5">
        <v>0.0</v>
      </c>
    </row>
    <row r="614" outlineLevel="1">
      <c r="B614" s="0" t="inlineStr">
        <is>
          <t xml:space="preserve">CUSTOM MAGNETICS OF CALIFORNIA INC</t>
        </is>
      </c>
      <c r="C614" s="0" t="inlineStr">
        <is>
          <t xml:space="preserve">TSJLBQWEYD73</t>
        </is>
      </c>
      <c r="D614" s="0" t="inlineStr">
        <is>
          <t xml:space="preserve">-</t>
        </is>
      </c>
      <c r="E614" s="0" t="inlineStr">
        <is>
          <t xml:space="preserve">-</t>
        </is>
      </c>
      <c r="F614" s="0" t="inlineStr">
        <is>
          <t xml:space="preserve">-</t>
        </is>
      </c>
      <c r="G614" s="5">
        <v>0.184748</v>
      </c>
      <c r="H614" s="0" t="inlineStr">
        <is>
          <t xml:space="preserve">supplier</t>
        </is>
      </c>
      <c r="I614" s="0" t="inlineStr">
        <is>
          <t xml:space="preserve">unbucketed</t>
        </is>
      </c>
      <c r="J614" s="0" t="inlineStr">
        <is>
          <t xml:space="preserve">residual</t>
        </is>
      </c>
      <c r="K614" s="5">
        <v>0</v>
      </c>
      <c r="L614" s="5">
        <v>0</v>
      </c>
      <c r="M614" s="5">
        <v>0.184748</v>
      </c>
      <c r="N614" s="5">
        <v>0.0</v>
      </c>
      <c r="O614" s="5">
        <v>0.0</v>
      </c>
      <c r="P614" s="5">
        <v>0.0</v>
      </c>
      <c r="Q614" s="5">
        <v>0.0</v>
      </c>
      <c r="R614" s="5">
        <v>0.0</v>
      </c>
      <c r="S614" s="5">
        <v>0.184748</v>
      </c>
      <c r="T614" s="5">
        <v>0.0</v>
      </c>
      <c r="U614" s="5">
        <v>0.0</v>
      </c>
    </row>
    <row r="615" outlineLevel="1">
      <c r="B615" s="0" t="inlineStr">
        <is>
          <t xml:space="preserve">ISLAND HOSE &amp; SEALS, INC.</t>
        </is>
      </c>
      <c r="C615" s="0" t="inlineStr">
        <is>
          <t xml:space="preserve">NYWQLNAXE9G4</t>
        </is>
      </c>
      <c r="D615" s="0" t="inlineStr">
        <is>
          <t xml:space="preserve">-</t>
        </is>
      </c>
      <c r="E615" s="0" t="inlineStr">
        <is>
          <t xml:space="preserve">-</t>
        </is>
      </c>
      <c r="F615" s="0" t="inlineStr">
        <is>
          <t xml:space="preserve">-</t>
        </is>
      </c>
      <c r="G615" s="5">
        <v>0.1833</v>
      </c>
      <c r="H615" s="0" t="inlineStr">
        <is>
          <t xml:space="preserve">supplier</t>
        </is>
      </c>
      <c r="I615" s="0" t="inlineStr">
        <is>
          <t xml:space="preserve">unbucketed</t>
        </is>
      </c>
      <c r="J615" s="0" t="inlineStr">
        <is>
          <t xml:space="preserve">residual</t>
        </is>
      </c>
      <c r="K615" s="5">
        <v>0</v>
      </c>
      <c r="L615" s="5">
        <v>0</v>
      </c>
      <c r="M615" s="5">
        <v>0.1833</v>
      </c>
      <c r="N615" s="5">
        <v>0.0</v>
      </c>
      <c r="O615" s="5">
        <v>0.1833</v>
      </c>
      <c r="P615" s="5">
        <v>0.0</v>
      </c>
      <c r="Q615" s="5">
        <v>0.0</v>
      </c>
      <c r="R615" s="5">
        <v>0.0</v>
      </c>
      <c r="S615" s="5">
        <v>0.0</v>
      </c>
      <c r="T615" s="5">
        <v>0.0</v>
      </c>
      <c r="U615" s="5">
        <v>0.0</v>
      </c>
    </row>
    <row r="616" outlineLevel="1">
      <c r="B616" s="0" t="inlineStr">
        <is>
          <t xml:space="preserve">ARCELORMITTAL</t>
        </is>
      </c>
      <c r="C616" s="0" t="inlineStr">
        <is>
          <t xml:space="preserve">Y7N4SPXNK115</t>
        </is>
      </c>
      <c r="D616" s="0" t="inlineStr">
        <is>
          <t xml:space="preserve">-</t>
        </is>
      </c>
      <c r="E616" s="0" t="inlineStr">
        <is>
          <t xml:space="preserve">-</t>
        </is>
      </c>
      <c r="F616" s="0" t="inlineStr">
        <is>
          <t xml:space="preserve">-</t>
        </is>
      </c>
      <c r="G616" s="5">
        <v>0.18235044</v>
      </c>
      <c r="H616" s="0" t="inlineStr">
        <is>
          <t xml:space="preserve">supplier</t>
        </is>
      </c>
      <c r="I616" s="0" t="inlineStr">
        <is>
          <t xml:space="preserve">structural</t>
        </is>
      </c>
      <c r="J616" s="0" t="inlineStr">
        <is>
          <t xml:space="preserve">registry</t>
        </is>
      </c>
      <c r="K616" s="5">
        <v>0</v>
      </c>
      <c r="L616" s="5">
        <v>0</v>
      </c>
      <c r="M616" s="5">
        <v>0.18235044</v>
      </c>
      <c r="N616" s="5">
        <v>0.0</v>
      </c>
      <c r="O616" s="5">
        <v>0.0</v>
      </c>
      <c r="P616" s="5">
        <v>0.0</v>
      </c>
      <c r="Q616" s="5">
        <v>0.0</v>
      </c>
      <c r="R616" s="5">
        <v>0.0</v>
      </c>
      <c r="S616" s="5">
        <v>0.0</v>
      </c>
      <c r="T616" s="5">
        <v>0.0</v>
      </c>
      <c r="U616" s="5">
        <v>0.0</v>
      </c>
    </row>
    <row r="617" outlineLevel="1">
      <c r="B617" s="0" t="inlineStr">
        <is>
          <t xml:space="preserve">MERCURY SYSTEMS, INC.</t>
        </is>
      </c>
      <c r="C617" s="0" t="inlineStr">
        <is>
          <t xml:space="preserve">FKEYGBAYJLH3</t>
        </is>
      </c>
      <c r="D617" s="0" t="inlineStr">
        <is>
          <t xml:space="preserve">-</t>
        </is>
      </c>
      <c r="E617" s="0" t="inlineStr">
        <is>
          <t xml:space="preserve">-</t>
        </is>
      </c>
      <c r="F617" s="0" t="inlineStr">
        <is>
          <t xml:space="preserve">-</t>
        </is>
      </c>
      <c r="G617" s="5">
        <v>0.18129888</v>
      </c>
      <c r="H617" s="0" t="inlineStr">
        <is>
          <t xml:space="preserve">supplier</t>
        </is>
      </c>
      <c r="I617" s="0" t="inlineStr">
        <is>
          <t xml:space="preserve">unbucketed</t>
        </is>
      </c>
      <c r="J617" s="0" t="inlineStr">
        <is>
          <t xml:space="preserve">residual</t>
        </is>
      </c>
      <c r="K617" s="5">
        <v>0</v>
      </c>
      <c r="L617" s="5">
        <v>0</v>
      </c>
      <c r="M617" s="5">
        <v>0.18129888</v>
      </c>
      <c r="N617" s="5">
        <v>0.18129888</v>
      </c>
      <c r="O617" s="5">
        <v>0.0</v>
      </c>
      <c r="P617" s="5">
        <v>0.0</v>
      </c>
      <c r="Q617" s="5">
        <v>0.0</v>
      </c>
      <c r="R617" s="5">
        <v>0.0</v>
      </c>
      <c r="S617" s="5">
        <v>0.0</v>
      </c>
      <c r="T617" s="5">
        <v>0.0</v>
      </c>
      <c r="U617" s="5">
        <v>0.0</v>
      </c>
    </row>
    <row r="618" outlineLevel="1">
      <c r="B618" s="0" t="inlineStr">
        <is>
          <t xml:space="preserve">INTERNATIONAL MARINE AND INDUSTRIAL APPLICATORS, LLC</t>
        </is>
      </c>
      <c r="C618" s="0" t="inlineStr">
        <is>
          <t xml:space="preserve">EDNNTCM7SUS8</t>
        </is>
      </c>
      <c r="D618" s="0" t="inlineStr">
        <is>
          <t xml:space="preserve">-</t>
        </is>
      </c>
      <c r="E618" s="0" t="inlineStr">
        <is>
          <t xml:space="preserve">-</t>
        </is>
      </c>
      <c r="F618" s="0" t="inlineStr">
        <is>
          <t xml:space="preserve">-</t>
        </is>
      </c>
      <c r="G618" s="5">
        <v>0.1812696</v>
      </c>
      <c r="H618" s="0" t="inlineStr">
        <is>
          <t xml:space="preserve">supplier</t>
        </is>
      </c>
      <c r="I618" s="0" t="inlineStr">
        <is>
          <t xml:space="preserve">unbucketed</t>
        </is>
      </c>
      <c r="J618" s="0" t="inlineStr">
        <is>
          <t xml:space="preserve">residual</t>
        </is>
      </c>
      <c r="K618" s="5">
        <v>0</v>
      </c>
      <c r="L618" s="5">
        <v>0</v>
      </c>
      <c r="M618" s="5">
        <v>0.1812696</v>
      </c>
      <c r="N618" s="5">
        <v>0.0</v>
      </c>
      <c r="O618" s="5">
        <v>0.0</v>
      </c>
      <c r="P618" s="5">
        <v>0.0</v>
      </c>
      <c r="Q618" s="5">
        <v>0.0</v>
      </c>
      <c r="R618" s="5">
        <v>0.0</v>
      </c>
      <c r="S618" s="5">
        <v>0.0</v>
      </c>
      <c r="T618" s="5">
        <v>0.0</v>
      </c>
      <c r="U618" s="5">
        <v>0.0</v>
      </c>
    </row>
    <row r="619" outlineLevel="1">
      <c r="B619" s="0" t="inlineStr">
        <is>
          <t xml:space="preserve">EMERSON ELECTRIC CO.</t>
        </is>
      </c>
      <c r="C619" s="0" t="inlineStr">
        <is>
          <t xml:space="preserve">YNUWEPDNSH37</t>
        </is>
      </c>
      <c r="D619" s="0" t="inlineStr">
        <is>
          <t xml:space="preserve">-</t>
        </is>
      </c>
      <c r="E619" s="0" t="inlineStr">
        <is>
          <t xml:space="preserve">-</t>
        </is>
      </c>
      <c r="F619" s="0" t="inlineStr">
        <is>
          <t xml:space="preserve">-</t>
        </is>
      </c>
      <c r="G619" s="5">
        <v>0.180162</v>
      </c>
      <c r="H619" s="0" t="inlineStr">
        <is>
          <t xml:space="preserve">supplier</t>
        </is>
      </c>
      <c r="I619" s="0" t="inlineStr">
        <is>
          <t xml:space="preserve">unbucketed</t>
        </is>
      </c>
      <c r="J619" s="0" t="inlineStr">
        <is>
          <t xml:space="preserve">residual</t>
        </is>
      </c>
      <c r="K619" s="5">
        <v>0</v>
      </c>
      <c r="L619" s="5">
        <v>0</v>
      </c>
      <c r="M619" s="5">
        <v>0.180162</v>
      </c>
      <c r="N619" s="5">
        <v>0.0</v>
      </c>
      <c r="O619" s="5">
        <v>0.0</v>
      </c>
      <c r="P619" s="5">
        <v>0.0</v>
      </c>
      <c r="Q619" s="5">
        <v>0.0</v>
      </c>
      <c r="R619" s="5">
        <v>0.0</v>
      </c>
      <c r="S619" s="5">
        <v>0.0</v>
      </c>
      <c r="T619" s="5">
        <v>0.0</v>
      </c>
      <c r="U619" s="5">
        <v>0.0</v>
      </c>
    </row>
    <row r="620" outlineLevel="1">
      <c r="B620" s="0" t="inlineStr">
        <is>
          <t xml:space="preserve">BLACK KNIGHT ENTERPRISES LLC</t>
        </is>
      </c>
      <c r="C620" s="0" t="inlineStr">
        <is>
          <t xml:space="preserve">DB33FU6GGYE7</t>
        </is>
      </c>
      <c r="D620" s="0" t="inlineStr">
        <is>
          <t xml:space="preserve">-</t>
        </is>
      </c>
      <c r="E620" s="0" t="inlineStr">
        <is>
          <t xml:space="preserve">-</t>
        </is>
      </c>
      <c r="F620" s="0" t="inlineStr">
        <is>
          <t xml:space="preserve">-</t>
        </is>
      </c>
      <c r="G620" s="5">
        <v>0.179955</v>
      </c>
      <c r="H620" s="0" t="inlineStr">
        <is>
          <t xml:space="preserve">supplier</t>
        </is>
      </c>
      <c r="I620" s="0" t="inlineStr">
        <is>
          <t xml:space="preserve">unbucketed</t>
        </is>
      </c>
      <c r="J620" s="0" t="inlineStr">
        <is>
          <t xml:space="preserve">residual</t>
        </is>
      </c>
      <c r="K620" s="5">
        <v>0</v>
      </c>
      <c r="L620" s="5">
        <v>0</v>
      </c>
      <c r="M620" s="5">
        <v>0.179955</v>
      </c>
      <c r="N620" s="5">
        <v>0.0</v>
      </c>
      <c r="O620" s="5">
        <v>0.179955</v>
      </c>
      <c r="P620" s="5">
        <v>0.0</v>
      </c>
      <c r="Q620" s="5">
        <v>0.0</v>
      </c>
      <c r="R620" s="5">
        <v>0.0</v>
      </c>
      <c r="S620" s="5">
        <v>0.0</v>
      </c>
      <c r="T620" s="5">
        <v>0.0</v>
      </c>
      <c r="U620" s="5">
        <v>0.0</v>
      </c>
    </row>
    <row r="621" outlineLevel="1">
      <c r="B621" s="0" t="inlineStr">
        <is>
          <t xml:space="preserve">HUISH OUTDOORS, LLC</t>
        </is>
      </c>
      <c r="C621" s="0" t="inlineStr">
        <is>
          <t xml:space="preserve">JQHDLX7VEUC1</t>
        </is>
      </c>
      <c r="D621" s="0" t="inlineStr">
        <is>
          <t xml:space="preserve">-</t>
        </is>
      </c>
      <c r="E621" s="0" t="inlineStr">
        <is>
          <t xml:space="preserve">-</t>
        </is>
      </c>
      <c r="F621" s="0" t="inlineStr">
        <is>
          <t xml:space="preserve">-</t>
        </is>
      </c>
      <c r="G621" s="5">
        <v>0.1799</v>
      </c>
      <c r="H621" s="0" t="inlineStr">
        <is>
          <t xml:space="preserve">supplier</t>
        </is>
      </c>
      <c r="I621" s="0" t="inlineStr">
        <is>
          <t xml:space="preserve">unbucketed</t>
        </is>
      </c>
      <c r="J621" s="0" t="inlineStr">
        <is>
          <t xml:space="preserve">residual</t>
        </is>
      </c>
      <c r="K621" s="5">
        <v>0</v>
      </c>
      <c r="L621" s="5">
        <v>0</v>
      </c>
      <c r="M621" s="5">
        <v>0.1799</v>
      </c>
      <c r="N621" s="5">
        <v>0.0</v>
      </c>
      <c r="O621" s="5">
        <v>0.0</v>
      </c>
      <c r="P621" s="5">
        <v>0.0</v>
      </c>
      <c r="Q621" s="5">
        <v>0.0</v>
      </c>
      <c r="R621" s="5">
        <v>0.0</v>
      </c>
      <c r="S621" s="5">
        <v>0.0</v>
      </c>
      <c r="T621" s="5">
        <v>0.0</v>
      </c>
      <c r="U621" s="5">
        <v>0.0</v>
      </c>
    </row>
    <row r="622" outlineLevel="1">
      <c r="B622" s="0" t="inlineStr">
        <is>
          <t xml:space="preserve">JANUS ENGINEERING AMERICAS CORPORATION</t>
        </is>
      </c>
      <c r="C622" s="0" t="inlineStr">
        <is>
          <t xml:space="preserve">UJJWGFAEB7S8</t>
        </is>
      </c>
      <c r="D622" s="0" t="inlineStr">
        <is>
          <t xml:space="preserve">-</t>
        </is>
      </c>
      <c r="E622" s="0" t="inlineStr">
        <is>
          <t xml:space="preserve">-</t>
        </is>
      </c>
      <c r="F622" s="0" t="inlineStr">
        <is>
          <t xml:space="preserve">-</t>
        </is>
      </c>
      <c r="G622" s="5">
        <v>0.179242</v>
      </c>
      <c r="H622" s="0" t="inlineStr">
        <is>
          <t xml:space="preserve">supplier</t>
        </is>
      </c>
      <c r="I622" s="0" t="inlineStr">
        <is>
          <t xml:space="preserve">unbucketed</t>
        </is>
      </c>
      <c r="J622" s="0" t="inlineStr">
        <is>
          <t xml:space="preserve">residual</t>
        </is>
      </c>
      <c r="K622" s="5">
        <v>0</v>
      </c>
      <c r="L622" s="5">
        <v>0</v>
      </c>
      <c r="M622" s="5">
        <v>0.0</v>
      </c>
      <c r="N622" s="5">
        <v>0.0</v>
      </c>
      <c r="O622" s="5">
        <v>0.0</v>
      </c>
      <c r="P622" s="5">
        <v>0.0</v>
      </c>
      <c r="Q622" s="5">
        <v>0.0</v>
      </c>
      <c r="R622" s="5">
        <v>0.0</v>
      </c>
      <c r="S622" s="5">
        <v>0.0</v>
      </c>
      <c r="T622" s="5">
        <v>0.0</v>
      </c>
      <c r="U622" s="5">
        <v>0.0</v>
      </c>
    </row>
    <row r="623" outlineLevel="1">
      <c r="B623" s="0" t="inlineStr">
        <is>
          <t xml:space="preserve">PRV METALS, LLC</t>
        </is>
      </c>
      <c r="C623" s="0" t="inlineStr">
        <is>
          <t xml:space="preserve">W7QMJRYTHHM4</t>
        </is>
      </c>
      <c r="D623" s="0" t="inlineStr">
        <is>
          <t xml:space="preserve">-</t>
        </is>
      </c>
      <c r="E623" s="0" t="inlineStr">
        <is>
          <t xml:space="preserve">-</t>
        </is>
      </c>
      <c r="F623" s="0" t="inlineStr">
        <is>
          <t xml:space="preserve">-</t>
        </is>
      </c>
      <c r="G623" s="5">
        <v>0.1788082</v>
      </c>
      <c r="H623" s="0" t="inlineStr">
        <is>
          <t xml:space="preserve">supplier</t>
        </is>
      </c>
      <c r="I623" s="0" t="inlineStr">
        <is>
          <t xml:space="preserve">unbucketed</t>
        </is>
      </c>
      <c r="J623" s="0" t="inlineStr">
        <is>
          <t xml:space="preserve">residual</t>
        </is>
      </c>
      <c r="K623" s="5">
        <v>0</v>
      </c>
      <c r="L623" s="5">
        <v>0</v>
      </c>
      <c r="M623" s="5">
        <v>0.1788082</v>
      </c>
      <c r="N623" s="5">
        <v>0.0</v>
      </c>
      <c r="O623" s="5">
        <v>0.0</v>
      </c>
      <c r="P623" s="5">
        <v>0.0</v>
      </c>
      <c r="Q623" s="5">
        <v>0.0</v>
      </c>
      <c r="R623" s="5">
        <v>0.0</v>
      </c>
      <c r="S623" s="5">
        <v>0.0</v>
      </c>
      <c r="T623" s="5">
        <v>0.0</v>
      </c>
      <c r="U623" s="5">
        <v>0.0</v>
      </c>
    </row>
    <row r="624" outlineLevel="1">
      <c r="B624" s="0" t="inlineStr">
        <is>
          <t xml:space="preserve">WEST PHILA BRONZE CO INC</t>
        </is>
      </c>
      <c r="C624" s="0" t="inlineStr">
        <is>
          <t xml:space="preserve">GNH1FJWKY3G3</t>
        </is>
      </c>
      <c r="D624" s="0" t="inlineStr">
        <is>
          <t xml:space="preserve">-</t>
        </is>
      </c>
      <c r="E624" s="0" t="inlineStr">
        <is>
          <t xml:space="preserve">-</t>
        </is>
      </c>
      <c r="F624" s="0" t="inlineStr">
        <is>
          <t xml:space="preserve">-</t>
        </is>
      </c>
      <c r="G624" s="5">
        <v>0.17820999999999998</v>
      </c>
      <c r="H624" s="0" t="inlineStr">
        <is>
          <t xml:space="preserve">supplier</t>
        </is>
      </c>
      <c r="I624" s="0" t="inlineStr">
        <is>
          <t xml:space="preserve">unbucketed</t>
        </is>
      </c>
      <c r="J624" s="0" t="inlineStr">
        <is>
          <t xml:space="preserve">residual</t>
        </is>
      </c>
      <c r="K624" s="5">
        <v>0</v>
      </c>
      <c r="L624" s="5">
        <v>0</v>
      </c>
      <c r="M624" s="5">
        <v>0.17820999999999998</v>
      </c>
      <c r="N624" s="5">
        <v>0.005955</v>
      </c>
      <c r="O624" s="5">
        <v>0.0</v>
      </c>
      <c r="P624" s="5">
        <v>0.0</v>
      </c>
      <c r="Q624" s="5">
        <v>0.0</v>
      </c>
      <c r="R624" s="5">
        <v>0.141</v>
      </c>
      <c r="S624" s="5">
        <v>0.0</v>
      </c>
      <c r="T624" s="5">
        <v>0.0</v>
      </c>
      <c r="U624" s="5">
        <v>0.0</v>
      </c>
    </row>
    <row r="625" outlineLevel="1">
      <c r="B625" s="0" t="inlineStr">
        <is>
          <t xml:space="preserve">SCHLUMBERGER TECHNOLOGY CORPORATION</t>
        </is>
      </c>
      <c r="C625" s="0" t="inlineStr">
        <is>
          <t xml:space="preserve">RLYHS582JDW8</t>
        </is>
      </c>
      <c r="D625" s="0" t="inlineStr">
        <is>
          <t xml:space="preserve">-</t>
        </is>
      </c>
      <c r="E625" s="0" t="inlineStr">
        <is>
          <t xml:space="preserve">-</t>
        </is>
      </c>
      <c r="F625" s="0" t="inlineStr">
        <is>
          <t xml:space="preserve">-</t>
        </is>
      </c>
      <c r="G625" s="5">
        <v>0.175793</v>
      </c>
      <c r="H625" s="0" t="inlineStr">
        <is>
          <t xml:space="preserve">supplier</t>
        </is>
      </c>
      <c r="I625" s="0" t="inlineStr">
        <is>
          <t xml:space="preserve">unbucketed</t>
        </is>
      </c>
      <c r="J625" s="0" t="inlineStr">
        <is>
          <t xml:space="preserve">residual</t>
        </is>
      </c>
      <c r="K625" s="5">
        <v>0</v>
      </c>
      <c r="L625" s="5">
        <v>0</v>
      </c>
      <c r="M625" s="5">
        <v>0.175793</v>
      </c>
      <c r="N625" s="5">
        <v>0.04928</v>
      </c>
      <c r="O625" s="5">
        <v>0.0</v>
      </c>
      <c r="P625" s="5">
        <v>0.0</v>
      </c>
      <c r="Q625" s="5">
        <v>0.0</v>
      </c>
      <c r="R625" s="5">
        <v>0.11225</v>
      </c>
      <c r="S625" s="5">
        <v>0.0</v>
      </c>
      <c r="T625" s="5">
        <v>0.0</v>
      </c>
      <c r="U625" s="5">
        <v>0.0</v>
      </c>
    </row>
    <row r="626" outlineLevel="1">
      <c r="B626" s="0" t="inlineStr">
        <is>
          <t xml:space="preserve">DOVER CORPORATION</t>
        </is>
      </c>
      <c r="C626" s="0" t="inlineStr">
        <is>
          <t xml:space="preserve">GZ57A195G7K6</t>
        </is>
      </c>
      <c r="D626" s="0" t="inlineStr">
        <is>
          <t xml:space="preserve">-</t>
        </is>
      </c>
      <c r="E626" s="0" t="inlineStr">
        <is>
          <t xml:space="preserve">-</t>
        </is>
      </c>
      <c r="F626" s="0" t="inlineStr">
        <is>
          <t xml:space="preserve">-</t>
        </is>
      </c>
      <c r="G626" s="5">
        <v>0.175705</v>
      </c>
      <c r="H626" s="0" t="inlineStr">
        <is>
          <t xml:space="preserve">supplier</t>
        </is>
      </c>
      <c r="I626" s="0" t="inlineStr">
        <is>
          <t xml:space="preserve">unbucketed</t>
        </is>
      </c>
      <c r="J626" s="0" t="inlineStr">
        <is>
          <t xml:space="preserve">residual</t>
        </is>
      </c>
      <c r="K626" s="5">
        <v>0</v>
      </c>
      <c r="L626" s="5">
        <v>0</v>
      </c>
      <c r="M626" s="5">
        <v>0.175705</v>
      </c>
      <c r="N626" s="5">
        <v>0.0</v>
      </c>
      <c r="O626" s="5">
        <v>0.0</v>
      </c>
      <c r="P626" s="5">
        <v>0.0</v>
      </c>
      <c r="Q626" s="5">
        <v>0.0</v>
      </c>
      <c r="R626" s="5">
        <v>0.0</v>
      </c>
      <c r="S626" s="5">
        <v>0.0</v>
      </c>
      <c r="T626" s="5">
        <v>0.0</v>
      </c>
      <c r="U626" s="5">
        <v>0.0</v>
      </c>
    </row>
    <row r="627" outlineLevel="1">
      <c r="B627" s="0" t="inlineStr">
        <is>
          <t xml:space="preserve">MOTOROLA SOLUTIONS, INC.</t>
        </is>
      </c>
      <c r="C627" s="0" t="inlineStr">
        <is>
          <t xml:space="preserve">HFK9V1G2B513</t>
        </is>
      </c>
      <c r="D627" s="0" t="inlineStr">
        <is>
          <t xml:space="preserve">-</t>
        </is>
      </c>
      <c r="E627" s="0" t="inlineStr">
        <is>
          <t xml:space="preserve">-</t>
        </is>
      </c>
      <c r="F627" s="0" t="inlineStr">
        <is>
          <t xml:space="preserve">-</t>
        </is>
      </c>
      <c r="G627" s="5">
        <v>0.175071</v>
      </c>
      <c r="H627" s="0" t="inlineStr">
        <is>
          <t xml:space="preserve">supplier</t>
        </is>
      </c>
      <c r="I627" s="0" t="inlineStr">
        <is>
          <t xml:space="preserve">unbucketed</t>
        </is>
      </c>
      <c r="J627" s="0" t="inlineStr">
        <is>
          <t xml:space="preserve">residual</t>
        </is>
      </c>
      <c r="K627" s="5">
        <v>0</v>
      </c>
      <c r="L627" s="5">
        <v>0</v>
      </c>
      <c r="M627" s="5">
        <v>0.175071</v>
      </c>
      <c r="N627" s="5">
        <v>0.175071</v>
      </c>
      <c r="O627" s="5">
        <v>0.0</v>
      </c>
      <c r="P627" s="5">
        <v>0.0</v>
      </c>
      <c r="Q627" s="5">
        <v>0.0</v>
      </c>
      <c r="R627" s="5">
        <v>0.0</v>
      </c>
      <c r="S627" s="5">
        <v>0.0</v>
      </c>
      <c r="T627" s="5">
        <v>0.0</v>
      </c>
      <c r="U627" s="5">
        <v>0.0</v>
      </c>
    </row>
    <row r="628" outlineLevel="1">
      <c r="B628" s="0" t="inlineStr">
        <is>
          <t xml:space="preserve">CUSTOM QUALITY SCAFFOLDING, INC.</t>
        </is>
      </c>
      <c r="C628" s="0" t="inlineStr">
        <is>
          <t xml:space="preserve">PDBCMAYNN1V8</t>
        </is>
      </c>
      <c r="D628" s="0" t="inlineStr">
        <is>
          <t xml:space="preserve">-</t>
        </is>
      </c>
      <c r="E628" s="0" t="inlineStr">
        <is>
          <t xml:space="preserve">-</t>
        </is>
      </c>
      <c r="F628" s="0" t="inlineStr">
        <is>
          <t xml:space="preserve">-</t>
        </is>
      </c>
      <c r="G628" s="5">
        <v>0.17398470000000005</v>
      </c>
      <c r="H628" s="0" t="inlineStr">
        <is>
          <t xml:space="preserve">supplier</t>
        </is>
      </c>
      <c r="I628" s="0" t="inlineStr">
        <is>
          <t xml:space="preserve">unbucketed</t>
        </is>
      </c>
      <c r="J628" s="0" t="inlineStr">
        <is>
          <t xml:space="preserve">residual</t>
        </is>
      </c>
      <c r="K628" s="5">
        <v>0</v>
      </c>
      <c r="L628" s="5">
        <v>0</v>
      </c>
      <c r="M628" s="5">
        <v>0.17398470000000005</v>
      </c>
      <c r="N628" s="5">
        <v>0.06354713</v>
      </c>
      <c r="O628" s="5">
        <v>0.0</v>
      </c>
      <c r="P628" s="5">
        <v>0.0</v>
      </c>
      <c r="Q628" s="5">
        <v>0.0</v>
      </c>
      <c r="R628" s="5">
        <v>0.0</v>
      </c>
      <c r="S628" s="5">
        <v>0.04073257</v>
      </c>
      <c r="T628" s="5">
        <v>0.069705</v>
      </c>
      <c r="U628" s="5">
        <v>0.0</v>
      </c>
    </row>
    <row r="629" outlineLevel="1">
      <c r="B629" s="0" t="inlineStr">
        <is>
          <t xml:space="preserve">PLASTIC DISTRIBUTORS &amp; FABRICATORS INC</t>
        </is>
      </c>
      <c r="C629" s="0" t="inlineStr">
        <is>
          <t xml:space="preserve">SK3YCN3CHJD7</t>
        </is>
      </c>
      <c r="D629" s="0" t="inlineStr">
        <is>
          <t xml:space="preserve">-</t>
        </is>
      </c>
      <c r="E629" s="0" t="inlineStr">
        <is>
          <t xml:space="preserve">-</t>
        </is>
      </c>
      <c r="F629" s="0" t="inlineStr">
        <is>
          <t xml:space="preserve">-</t>
        </is>
      </c>
      <c r="G629" s="5">
        <v>0.171425</v>
      </c>
      <c r="H629" s="0" t="inlineStr">
        <is>
          <t xml:space="preserve">supplier</t>
        </is>
      </c>
      <c r="I629" s="0" t="inlineStr">
        <is>
          <t xml:space="preserve">unbucketed</t>
        </is>
      </c>
      <c r="J629" s="0" t="inlineStr">
        <is>
          <t xml:space="preserve">residual</t>
        </is>
      </c>
      <c r="K629" s="5">
        <v>0</v>
      </c>
      <c r="L629" s="5">
        <v>0</v>
      </c>
      <c r="M629" s="5">
        <v>0.171425</v>
      </c>
      <c r="N629" s="5">
        <v>0.0</v>
      </c>
      <c r="O629" s="5">
        <v>0.0</v>
      </c>
      <c r="P629" s="5">
        <v>0.0</v>
      </c>
      <c r="Q629" s="5">
        <v>0.171425</v>
      </c>
      <c r="R629" s="5">
        <v>0.0</v>
      </c>
      <c r="S629" s="5">
        <v>0.0</v>
      </c>
      <c r="T629" s="5">
        <v>0.0</v>
      </c>
      <c r="U629" s="5">
        <v>0.0</v>
      </c>
    </row>
    <row r="630" outlineLevel="1">
      <c r="B630" s="0" t="inlineStr">
        <is>
          <t xml:space="preserve">INSIGHT ENTERPRISES, INC.</t>
        </is>
      </c>
      <c r="C630" s="0" t="inlineStr">
        <is>
          <t xml:space="preserve">P2L5J5XEYCN3</t>
        </is>
      </c>
      <c r="D630" s="0" t="inlineStr">
        <is>
          <t xml:space="preserve">-</t>
        </is>
      </c>
      <c r="E630" s="0" t="inlineStr">
        <is>
          <t xml:space="preserve">-</t>
        </is>
      </c>
      <c r="F630" s="0" t="inlineStr">
        <is>
          <t xml:space="preserve">-</t>
        </is>
      </c>
      <c r="G630" s="5">
        <v>0.17101009</v>
      </c>
      <c r="H630" s="0" t="inlineStr">
        <is>
          <t xml:space="preserve">supplier</t>
        </is>
      </c>
      <c r="I630" s="0" t="inlineStr">
        <is>
          <t xml:space="preserve">unbucketed</t>
        </is>
      </c>
      <c r="J630" s="0" t="inlineStr">
        <is>
          <t xml:space="preserve">residual</t>
        </is>
      </c>
      <c r="K630" s="5">
        <v>0</v>
      </c>
      <c r="L630" s="5">
        <v>0</v>
      </c>
      <c r="M630" s="5">
        <v>0.17101009</v>
      </c>
      <c r="N630" s="5">
        <v>0.0</v>
      </c>
      <c r="O630" s="5">
        <v>0.0</v>
      </c>
      <c r="P630" s="5">
        <v>0.0</v>
      </c>
      <c r="Q630" s="5">
        <v>0.0</v>
      </c>
      <c r="R630" s="5">
        <v>0.03757733</v>
      </c>
      <c r="S630" s="5">
        <v>0.0</v>
      </c>
      <c r="T630" s="5">
        <v>0.0</v>
      </c>
      <c r="U630" s="5">
        <v>0.0</v>
      </c>
    </row>
    <row r="631" outlineLevel="1">
      <c r="B631" s="0" t="inlineStr">
        <is>
          <t xml:space="preserve">GENERAL DIGITAL CORPORATION</t>
        </is>
      </c>
      <c r="C631" s="0" t="inlineStr">
        <is>
          <t xml:space="preserve">DWMEGPGHBGY5</t>
        </is>
      </c>
      <c r="D631" s="0" t="inlineStr">
        <is>
          <t xml:space="preserve">-</t>
        </is>
      </c>
      <c r="E631" s="0" t="inlineStr">
        <is>
          <t xml:space="preserve">-</t>
        </is>
      </c>
      <c r="F631" s="0" t="inlineStr">
        <is>
          <t xml:space="preserve">-</t>
        </is>
      </c>
      <c r="G631" s="5">
        <v>0.17046</v>
      </c>
      <c r="H631" s="0" t="inlineStr">
        <is>
          <t xml:space="preserve">supplier</t>
        </is>
      </c>
      <c r="I631" s="0" t="inlineStr">
        <is>
          <t xml:space="preserve">unbucketed</t>
        </is>
      </c>
      <c r="J631" s="0" t="inlineStr">
        <is>
          <t xml:space="preserve">residual</t>
        </is>
      </c>
      <c r="K631" s="5">
        <v>0</v>
      </c>
      <c r="L631" s="5">
        <v>0</v>
      </c>
      <c r="M631" s="5">
        <v>0.17046</v>
      </c>
      <c r="N631" s="5">
        <v>0.0</v>
      </c>
      <c r="O631" s="5">
        <v>0.0</v>
      </c>
      <c r="P631" s="5">
        <v>0.0</v>
      </c>
      <c r="Q631" s="5">
        <v>0.0</v>
      </c>
      <c r="R631" s="5">
        <v>0.0</v>
      </c>
      <c r="S631" s="5">
        <v>0.0</v>
      </c>
      <c r="T631" s="5">
        <v>0.0</v>
      </c>
      <c r="U631" s="5">
        <v>0.0</v>
      </c>
    </row>
    <row r="632" outlineLevel="1">
      <c r="B632" s="0" t="inlineStr">
        <is>
          <t xml:space="preserve">ADOLF WURTH GMBH &amp; CO KG</t>
        </is>
      </c>
      <c r="C632" s="0" t="inlineStr">
        <is>
          <t xml:space="preserve">GHVMX1DLDAK6</t>
        </is>
      </c>
      <c r="D632" s="0" t="inlineStr">
        <is>
          <t xml:space="preserve">-</t>
        </is>
      </c>
      <c r="E632" s="0" t="inlineStr">
        <is>
          <t xml:space="preserve">-</t>
        </is>
      </c>
      <c r="F632" s="0" t="inlineStr">
        <is>
          <t xml:space="preserve">-</t>
        </is>
      </c>
      <c r="G632" s="5">
        <v>0.16631034</v>
      </c>
      <c r="H632" s="0" t="inlineStr">
        <is>
          <t xml:space="preserve">supplier</t>
        </is>
      </c>
      <c r="I632" s="0" t="inlineStr">
        <is>
          <t xml:space="preserve">unbucketed</t>
        </is>
      </c>
      <c r="J632" s="0" t="inlineStr">
        <is>
          <t xml:space="preserve">residual</t>
        </is>
      </c>
      <c r="K632" s="5">
        <v>0</v>
      </c>
      <c r="L632" s="5">
        <v>0</v>
      </c>
      <c r="M632" s="5">
        <v>0.16631034</v>
      </c>
      <c r="N632" s="5">
        <v>0.077748</v>
      </c>
      <c r="O632" s="5">
        <v>0.0</v>
      </c>
      <c r="P632" s="5">
        <v>0.0</v>
      </c>
      <c r="Q632" s="5">
        <v>0.0</v>
      </c>
      <c r="R632" s="5">
        <v>0.02782125</v>
      </c>
      <c r="S632" s="5">
        <v>0.0</v>
      </c>
      <c r="T632" s="5">
        <v>0.0</v>
      </c>
      <c r="U632" s="5">
        <v>0.0</v>
      </c>
    </row>
    <row r="633" outlineLevel="1">
      <c r="B633" s="0" t="inlineStr">
        <is>
          <t xml:space="preserve">PACKAGE ONE INDUSTRIES, LLC</t>
        </is>
      </c>
      <c r="C633" s="0" t="inlineStr">
        <is>
          <t xml:space="preserve">KPFHQNYN8R54</t>
        </is>
      </c>
      <c r="D633" s="0" t="inlineStr">
        <is>
          <t xml:space="preserve">-</t>
        </is>
      </c>
      <c r="E633" s="0" t="inlineStr">
        <is>
          <t xml:space="preserve">-</t>
        </is>
      </c>
      <c r="F633" s="0" t="inlineStr">
        <is>
          <t xml:space="preserve">-</t>
        </is>
      </c>
      <c r="G633" s="5">
        <v>0.16475746000000002</v>
      </c>
      <c r="H633" s="0" t="inlineStr">
        <is>
          <t xml:space="preserve">supplier</t>
        </is>
      </c>
      <c r="I633" s="0" t="inlineStr">
        <is>
          <t xml:space="preserve">unbucketed</t>
        </is>
      </c>
      <c r="J633" s="0" t="inlineStr">
        <is>
          <t xml:space="preserve">residual</t>
        </is>
      </c>
      <c r="K633" s="5">
        <v>0</v>
      </c>
      <c r="L633" s="5">
        <v>0</v>
      </c>
      <c r="M633" s="5">
        <v>0.16475746000000002</v>
      </c>
      <c r="N633" s="5">
        <v>0.09290886000000001</v>
      </c>
      <c r="O633" s="5">
        <v>0.0</v>
      </c>
      <c r="P633" s="5">
        <v>0.0</v>
      </c>
      <c r="Q633" s="5">
        <v>0.0</v>
      </c>
      <c r="R633" s="5">
        <v>0.0</v>
      </c>
      <c r="S633" s="5">
        <v>0.0</v>
      </c>
      <c r="T633" s="5">
        <v>0.0</v>
      </c>
      <c r="U633" s="5">
        <v>0.0</v>
      </c>
    </row>
    <row r="634" outlineLevel="1">
      <c r="B634" s="0" t="inlineStr">
        <is>
          <t xml:space="preserve">COMSACO, INC.</t>
        </is>
      </c>
      <c r="C634" s="0" t="inlineStr">
        <is>
          <t xml:space="preserve">C1B6X8AADFB1</t>
        </is>
      </c>
      <c r="D634" s="0" t="inlineStr">
        <is>
          <t xml:space="preserve">-</t>
        </is>
      </c>
      <c r="E634" s="0" t="inlineStr">
        <is>
          <t xml:space="preserve">-</t>
        </is>
      </c>
      <c r="F634" s="0" t="inlineStr">
        <is>
          <t xml:space="preserve">-</t>
        </is>
      </c>
      <c r="G634" s="5">
        <v>0.16445200000000004</v>
      </c>
      <c r="H634" s="0" t="inlineStr">
        <is>
          <t xml:space="preserve">supplier</t>
        </is>
      </c>
      <c r="I634" s="0" t="inlineStr">
        <is>
          <t xml:space="preserve">unbucketed</t>
        </is>
      </c>
      <c r="J634" s="0" t="inlineStr">
        <is>
          <t xml:space="preserve">residual</t>
        </is>
      </c>
      <c r="K634" s="5">
        <v>0</v>
      </c>
      <c r="L634" s="5">
        <v>0</v>
      </c>
      <c r="M634" s="5">
        <v>0.16445200000000004</v>
      </c>
      <c r="N634" s="5">
        <v>0.0</v>
      </c>
      <c r="O634" s="5">
        <v>0.0</v>
      </c>
      <c r="P634" s="5">
        <v>0.0</v>
      </c>
      <c r="Q634" s="5">
        <v>0.0</v>
      </c>
      <c r="R634" s="5">
        <v>0.02828</v>
      </c>
      <c r="S634" s="5">
        <v>0.0</v>
      </c>
      <c r="T634" s="5">
        <v>0.0</v>
      </c>
      <c r="U634" s="5">
        <v>0.0</v>
      </c>
    </row>
    <row r="635" outlineLevel="1">
      <c r="B635" s="0" t="inlineStr">
        <is>
          <t xml:space="preserve">INTEGRATED SECURITY &amp; COMMUNICATIONS OF NEW JERSEY LLC</t>
        </is>
      </c>
      <c r="C635" s="0" t="inlineStr">
        <is>
          <t xml:space="preserve">HW3GLNH2M767</t>
        </is>
      </c>
      <c r="D635" s="0" t="inlineStr">
        <is>
          <t xml:space="preserve">-</t>
        </is>
      </c>
      <c r="E635" s="0" t="inlineStr">
        <is>
          <t xml:space="preserve">-</t>
        </is>
      </c>
      <c r="F635" s="0" t="inlineStr">
        <is>
          <t xml:space="preserve">-</t>
        </is>
      </c>
      <c r="G635" s="5">
        <v>0.164</v>
      </c>
      <c r="H635" s="0" t="inlineStr">
        <is>
          <t xml:space="preserve">supplier</t>
        </is>
      </c>
      <c r="I635" s="0" t="inlineStr">
        <is>
          <t xml:space="preserve">unbucketed</t>
        </is>
      </c>
      <c r="J635" s="0" t="inlineStr">
        <is>
          <t xml:space="preserve">residual</t>
        </is>
      </c>
      <c r="K635" s="5">
        <v>0</v>
      </c>
      <c r="L635" s="5">
        <v>0</v>
      </c>
      <c r="M635" s="5">
        <v>0.164</v>
      </c>
      <c r="N635" s="5">
        <v>0.0</v>
      </c>
      <c r="O635" s="5">
        <v>0.0</v>
      </c>
      <c r="P635" s="5">
        <v>0.0</v>
      </c>
      <c r="Q635" s="5">
        <v>0.0</v>
      </c>
      <c r="R635" s="5">
        <v>0.0</v>
      </c>
      <c r="S635" s="5">
        <v>0.0</v>
      </c>
      <c r="T635" s="5">
        <v>0.164</v>
      </c>
      <c r="U635" s="5">
        <v>0.0</v>
      </c>
    </row>
    <row r="636" outlineLevel="1">
      <c r="B636" s="0" t="inlineStr">
        <is>
          <t xml:space="preserve">MEASUREMENT SYSTEMS INC</t>
        </is>
      </c>
      <c r="C636" s="0" t="inlineStr">
        <is>
          <t xml:space="preserve">CXQ7A9JSV3K5</t>
        </is>
      </c>
      <c r="D636" s="0" t="inlineStr">
        <is>
          <t xml:space="preserve">-</t>
        </is>
      </c>
      <c r="E636" s="0" t="inlineStr">
        <is>
          <t xml:space="preserve">-</t>
        </is>
      </c>
      <c r="F636" s="0" t="inlineStr">
        <is>
          <t xml:space="preserve">-</t>
        </is>
      </c>
      <c r="G636" s="5">
        <v>0.1577835</v>
      </c>
      <c r="H636" s="0" t="inlineStr">
        <is>
          <t xml:space="preserve">supplier</t>
        </is>
      </c>
      <c r="I636" s="0" t="inlineStr">
        <is>
          <t xml:space="preserve">unbucketed</t>
        </is>
      </c>
      <c r="J636" s="0" t="inlineStr">
        <is>
          <t xml:space="preserve">residual</t>
        </is>
      </c>
      <c r="K636" s="5">
        <v>0</v>
      </c>
      <c r="L636" s="5">
        <v>0</v>
      </c>
      <c r="M636" s="5">
        <v>0.1577835</v>
      </c>
      <c r="N636" s="5">
        <v>0.0</v>
      </c>
      <c r="O636" s="5">
        <v>0.0</v>
      </c>
      <c r="P636" s="5">
        <v>0.0</v>
      </c>
      <c r="Q636" s="5">
        <v>0.0</v>
      </c>
      <c r="R636" s="5">
        <v>0.0</v>
      </c>
      <c r="S636" s="5">
        <v>0.085282</v>
      </c>
      <c r="T636" s="5">
        <v>0.0725015</v>
      </c>
      <c r="U636" s="5">
        <v>0.0</v>
      </c>
    </row>
    <row r="637" outlineLevel="1">
      <c r="B637" s="0" t="inlineStr">
        <is>
          <t xml:space="preserve">B&amp;G MANUFACTURING CO INC</t>
        </is>
      </c>
      <c r="C637" s="0" t="inlineStr">
        <is>
          <t xml:space="preserve">MXDKLLXB3EK7</t>
        </is>
      </c>
      <c r="D637" s="0" t="inlineStr">
        <is>
          <t xml:space="preserve">-</t>
        </is>
      </c>
      <c r="E637" s="0" t="inlineStr">
        <is>
          <t xml:space="preserve">-</t>
        </is>
      </c>
      <c r="F637" s="0" t="inlineStr">
        <is>
          <t xml:space="preserve">-</t>
        </is>
      </c>
      <c r="G637" s="5">
        <v>0.15725</v>
      </c>
      <c r="H637" s="0" t="inlineStr">
        <is>
          <t xml:space="preserve">supplier</t>
        </is>
      </c>
      <c r="I637" s="0" t="inlineStr">
        <is>
          <t xml:space="preserve">unbucketed</t>
        </is>
      </c>
      <c r="J637" s="0" t="inlineStr">
        <is>
          <t xml:space="preserve">residual</t>
        </is>
      </c>
      <c r="K637" s="5">
        <v>0</v>
      </c>
      <c r="L637" s="5">
        <v>0</v>
      </c>
      <c r="M637" s="5">
        <v>0.15725</v>
      </c>
      <c r="N637" s="5">
        <v>0.0</v>
      </c>
      <c r="O637" s="5">
        <v>0.0</v>
      </c>
      <c r="P637" s="5">
        <v>0.0</v>
      </c>
      <c r="Q637" s="5">
        <v>0.0</v>
      </c>
      <c r="R637" s="5">
        <v>0.0</v>
      </c>
      <c r="S637" s="5">
        <v>0.15725</v>
      </c>
      <c r="T637" s="5">
        <v>0.0</v>
      </c>
      <c r="U637" s="5">
        <v>0.0</v>
      </c>
    </row>
    <row r="638" outlineLevel="1">
      <c r="B638" s="0" t="inlineStr">
        <is>
          <t xml:space="preserve">WODIN, INC.</t>
        </is>
      </c>
      <c r="C638" s="0" t="inlineStr">
        <is>
          <t xml:space="preserve">JLUZRMMLKQ47</t>
        </is>
      </c>
      <c r="D638" s="0" t="inlineStr">
        <is>
          <t xml:space="preserve">-</t>
        </is>
      </c>
      <c r="E638" s="0" t="inlineStr">
        <is>
          <t xml:space="preserve">-</t>
        </is>
      </c>
      <c r="F638" s="0" t="inlineStr">
        <is>
          <t xml:space="preserve">-</t>
        </is>
      </c>
      <c r="G638" s="5">
        <v>0.1567564</v>
      </c>
      <c r="H638" s="0" t="inlineStr">
        <is>
          <t xml:space="preserve">supplier</t>
        </is>
      </c>
      <c r="I638" s="0" t="inlineStr">
        <is>
          <t xml:space="preserve">unbucketed</t>
        </is>
      </c>
      <c r="J638" s="0" t="inlineStr">
        <is>
          <t xml:space="preserve">residual</t>
        </is>
      </c>
      <c r="K638" s="5">
        <v>0</v>
      </c>
      <c r="L638" s="5">
        <v>0</v>
      </c>
      <c r="M638" s="5">
        <v>0.1567564</v>
      </c>
      <c r="N638" s="5">
        <v>0.0</v>
      </c>
      <c r="O638" s="5">
        <v>0.0</v>
      </c>
      <c r="P638" s="5">
        <v>0.0</v>
      </c>
      <c r="Q638" s="5">
        <v>0.0</v>
      </c>
      <c r="R638" s="5">
        <v>0.126888</v>
      </c>
      <c r="S638" s="5">
        <v>0.0</v>
      </c>
      <c r="T638" s="5">
        <v>0.0</v>
      </c>
      <c r="U638" s="5">
        <v>0.0</v>
      </c>
    </row>
    <row r="639" outlineLevel="1">
      <c r="B639" s="0" t="inlineStr">
        <is>
          <t xml:space="preserve">CORE MANUFACTURING, LLC</t>
        </is>
      </c>
      <c r="C639" s="0" t="inlineStr">
        <is>
          <t xml:space="preserve">Z31MCJ7P45T1</t>
        </is>
      </c>
      <c r="D639" s="0" t="inlineStr">
        <is>
          <t xml:space="preserve">-</t>
        </is>
      </c>
      <c r="E639" s="0" t="inlineStr">
        <is>
          <t xml:space="preserve">-</t>
        </is>
      </c>
      <c r="F639" s="0" t="inlineStr">
        <is>
          <t xml:space="preserve">-</t>
        </is>
      </c>
      <c r="G639" s="5">
        <v>0.15562</v>
      </c>
      <c r="H639" s="0" t="inlineStr">
        <is>
          <t xml:space="preserve">supplier</t>
        </is>
      </c>
      <c r="I639" s="0" t="inlineStr">
        <is>
          <t xml:space="preserve">unbucketed</t>
        </is>
      </c>
      <c r="J639" s="0" t="inlineStr">
        <is>
          <t xml:space="preserve">residual</t>
        </is>
      </c>
      <c r="K639" s="5">
        <v>0</v>
      </c>
      <c r="L639" s="5">
        <v>0</v>
      </c>
      <c r="M639" s="5">
        <v>0.15562</v>
      </c>
      <c r="N639" s="5">
        <v>0.0</v>
      </c>
      <c r="O639" s="5">
        <v>0.0</v>
      </c>
      <c r="P639" s="5">
        <v>0.0</v>
      </c>
      <c r="Q639" s="5">
        <v>0.0</v>
      </c>
      <c r="R639" s="5">
        <v>0.0</v>
      </c>
      <c r="S639" s="5">
        <v>0.0464</v>
      </c>
      <c r="T639" s="5">
        <v>0.08234</v>
      </c>
      <c r="U639" s="5">
        <v>0.0</v>
      </c>
    </row>
    <row r="640" outlineLevel="1">
      <c r="B640" s="0" t="inlineStr">
        <is>
          <t xml:space="preserve">GENERAL STANDARDS CORP</t>
        </is>
      </c>
      <c r="C640" s="0" t="inlineStr">
        <is>
          <t xml:space="preserve">EZGFXRCDNAZ1</t>
        </is>
      </c>
      <c r="D640" s="0" t="inlineStr">
        <is>
          <t xml:space="preserve">-</t>
        </is>
      </c>
      <c r="E640" s="0" t="inlineStr">
        <is>
          <t xml:space="preserve">-</t>
        </is>
      </c>
      <c r="F640" s="0" t="inlineStr">
        <is>
          <t xml:space="preserve">-</t>
        </is>
      </c>
      <c r="G640" s="5">
        <v>0.1519</v>
      </c>
      <c r="H640" s="0" t="inlineStr">
        <is>
          <t xml:space="preserve">supplier</t>
        </is>
      </c>
      <c r="I640" s="0" t="inlineStr">
        <is>
          <t xml:space="preserve">unbucketed</t>
        </is>
      </c>
      <c r="J640" s="0" t="inlineStr">
        <is>
          <t xml:space="preserve">residual</t>
        </is>
      </c>
      <c r="K640" s="5">
        <v>0</v>
      </c>
      <c r="L640" s="5">
        <v>0</v>
      </c>
      <c r="M640" s="5">
        <v>0.1519</v>
      </c>
      <c r="N640" s="5">
        <v>0.0</v>
      </c>
      <c r="O640" s="5">
        <v>0.0</v>
      </c>
      <c r="P640" s="5">
        <v>0.0</v>
      </c>
      <c r="Q640" s="5">
        <v>0.0</v>
      </c>
      <c r="R640" s="5">
        <v>0.0</v>
      </c>
      <c r="S640" s="5">
        <v>0.0</v>
      </c>
      <c r="T640" s="5">
        <v>0.1519</v>
      </c>
      <c r="U640" s="5">
        <v>0.0</v>
      </c>
    </row>
    <row r="641" outlineLevel="1">
      <c r="B641" s="0" t="inlineStr">
        <is>
          <t xml:space="preserve">COGITIC CORP</t>
        </is>
      </c>
      <c r="C641" s="0" t="inlineStr">
        <is>
          <t xml:space="preserve">ETWEE7EYY9G5</t>
        </is>
      </c>
      <c r="D641" s="0" t="inlineStr">
        <is>
          <t xml:space="preserve">-</t>
        </is>
      </c>
      <c r="E641" s="0" t="inlineStr">
        <is>
          <t xml:space="preserve">-</t>
        </is>
      </c>
      <c r="F641" s="0" t="inlineStr">
        <is>
          <t xml:space="preserve">-</t>
        </is>
      </c>
      <c r="G641" s="5">
        <v>0.15184608</v>
      </c>
      <c r="H641" s="0" t="inlineStr">
        <is>
          <t xml:space="preserve">supplier</t>
        </is>
      </c>
      <c r="I641" s="0" t="inlineStr">
        <is>
          <t xml:space="preserve">unbucketed</t>
        </is>
      </c>
      <c r="J641" s="0" t="inlineStr">
        <is>
          <t xml:space="preserve">residual</t>
        </is>
      </c>
      <c r="K641" s="5">
        <v>0</v>
      </c>
      <c r="L641" s="5">
        <v>0</v>
      </c>
      <c r="M641" s="5">
        <v>0.15184608</v>
      </c>
      <c r="N641" s="5">
        <v>0.15184608</v>
      </c>
      <c r="O641" s="5">
        <v>0.0</v>
      </c>
      <c r="P641" s="5">
        <v>0.0</v>
      </c>
      <c r="Q641" s="5">
        <v>0.0</v>
      </c>
      <c r="R641" s="5">
        <v>0.0</v>
      </c>
      <c r="S641" s="5">
        <v>0.0</v>
      </c>
      <c r="T641" s="5">
        <v>0.0</v>
      </c>
      <c r="U641" s="5">
        <v>0.0</v>
      </c>
    </row>
    <row r="642" outlineLevel="1">
      <c r="B642" s="0" t="inlineStr">
        <is>
          <t xml:space="preserve">BARNHART CRANE AND RIGGING CO.</t>
        </is>
      </c>
      <c r="C642" s="0" t="inlineStr">
        <is>
          <t xml:space="preserve">KDKVNQBN2Q53</t>
        </is>
      </c>
      <c r="D642" s="0" t="inlineStr">
        <is>
          <t xml:space="preserve">-</t>
        </is>
      </c>
      <c r="E642" s="0" t="inlineStr">
        <is>
          <t xml:space="preserve">-</t>
        </is>
      </c>
      <c r="F642" s="0" t="inlineStr">
        <is>
          <t xml:space="preserve">-</t>
        </is>
      </c>
      <c r="G642" s="5">
        <v>0.15032</v>
      </c>
      <c r="H642" s="0" t="inlineStr">
        <is>
          <t xml:space="preserve">supplier</t>
        </is>
      </c>
      <c r="I642" s="0" t="inlineStr">
        <is>
          <t xml:space="preserve">unbucketed</t>
        </is>
      </c>
      <c r="J642" s="0" t="inlineStr">
        <is>
          <t xml:space="preserve">residual</t>
        </is>
      </c>
      <c r="K642" s="5">
        <v>0</v>
      </c>
      <c r="L642" s="5">
        <v>0</v>
      </c>
      <c r="M642" s="5">
        <v>0.15032</v>
      </c>
      <c r="N642" s="5">
        <v>0.0</v>
      </c>
      <c r="O642" s="5">
        <v>0.0</v>
      </c>
      <c r="P642" s="5">
        <v>0.0</v>
      </c>
      <c r="Q642" s="5">
        <v>0.0</v>
      </c>
      <c r="R642" s="5">
        <v>0.0</v>
      </c>
      <c r="S642" s="5">
        <v>0.0</v>
      </c>
      <c r="T642" s="5">
        <v>0.0</v>
      </c>
      <c r="U642" s="5">
        <v>0.0</v>
      </c>
    </row>
    <row r="643" outlineLevel="1">
      <c r="B643" s="0" t="inlineStr">
        <is>
          <t xml:space="preserve">FORTUNE METAL FINISHING CORPORATION</t>
        </is>
      </c>
      <c r="C643" s="0" t="inlineStr">
        <is>
          <t xml:space="preserve">P3NZJN8NQSB3</t>
        </is>
      </c>
      <c r="D643" s="0" t="inlineStr">
        <is>
          <t xml:space="preserve">-</t>
        </is>
      </c>
      <c r="E643" s="0" t="inlineStr">
        <is>
          <t xml:space="preserve">-</t>
        </is>
      </c>
      <c r="F643" s="0" t="inlineStr">
        <is>
          <t xml:space="preserve">-</t>
        </is>
      </c>
      <c r="G643" s="5">
        <v>0.15000000000000002</v>
      </c>
      <c r="H643" s="0" t="inlineStr">
        <is>
          <t xml:space="preserve">supplier</t>
        </is>
      </c>
      <c r="I643" s="0" t="inlineStr">
        <is>
          <t xml:space="preserve">unbucketed</t>
        </is>
      </c>
      <c r="J643" s="0" t="inlineStr">
        <is>
          <t xml:space="preserve">residual</t>
        </is>
      </c>
      <c r="K643" s="5">
        <v>0</v>
      </c>
      <c r="L643" s="5">
        <v>0</v>
      </c>
      <c r="M643" s="5">
        <v>0.15000000000000002</v>
      </c>
      <c r="N643" s="5">
        <v>0.0</v>
      </c>
      <c r="O643" s="5">
        <v>0.084</v>
      </c>
      <c r="P643" s="5">
        <v>0.0</v>
      </c>
      <c r="Q643" s="5">
        <v>0.0</v>
      </c>
      <c r="R643" s="5">
        <v>0.0</v>
      </c>
      <c r="S643" s="5">
        <v>0.0</v>
      </c>
      <c r="T643" s="5">
        <v>0.0</v>
      </c>
      <c r="U643" s="5">
        <v>0.0</v>
      </c>
    </row>
    <row r="644" outlineLevel="1">
      <c r="B644" s="0" t="inlineStr">
        <is>
          <t xml:space="preserve">PRECISION FABRICATING &amp; CLEANING COMPANY, INC.</t>
        </is>
      </c>
      <c r="C644" s="0" t="inlineStr">
        <is>
          <t xml:space="preserve">FACXKY7FULJ4</t>
        </is>
      </c>
      <c r="D644" s="0" t="inlineStr">
        <is>
          <t xml:space="preserve">-</t>
        </is>
      </c>
      <c r="E644" s="0" t="inlineStr">
        <is>
          <t xml:space="preserve">-</t>
        </is>
      </c>
      <c r="F644" s="0" t="inlineStr">
        <is>
          <t xml:space="preserve">-</t>
        </is>
      </c>
      <c r="G644" s="5">
        <v>0.15</v>
      </c>
      <c r="H644" s="0" t="inlineStr">
        <is>
          <t xml:space="preserve">supplier</t>
        </is>
      </c>
      <c r="I644" s="0" t="inlineStr">
        <is>
          <t xml:space="preserve">unbucketed</t>
        </is>
      </c>
      <c r="J644" s="0" t="inlineStr">
        <is>
          <t xml:space="preserve">residual</t>
        </is>
      </c>
      <c r="K644" s="5">
        <v>0</v>
      </c>
      <c r="L644" s="5">
        <v>0</v>
      </c>
      <c r="M644" s="5">
        <v>0.15</v>
      </c>
      <c r="N644" s="5">
        <v>0.0</v>
      </c>
      <c r="O644" s="5">
        <v>0.0</v>
      </c>
      <c r="P644" s="5">
        <v>0.0</v>
      </c>
      <c r="Q644" s="5">
        <v>0.0</v>
      </c>
      <c r="R644" s="5">
        <v>0.15</v>
      </c>
      <c r="S644" s="5">
        <v>0.0</v>
      </c>
      <c r="T644" s="5">
        <v>0.0</v>
      </c>
      <c r="U644" s="5">
        <v>0.0</v>
      </c>
    </row>
    <row r="645" outlineLevel="1">
      <c r="B645" s="0" t="inlineStr">
        <is>
          <t xml:space="preserve">NIANTIC SEAL INC</t>
        </is>
      </c>
      <c r="C645" s="0" t="inlineStr">
        <is>
          <t xml:space="preserve">TGUHUW52MLE3</t>
        </is>
      </c>
      <c r="D645" s="0" t="inlineStr">
        <is>
          <t xml:space="preserve">-</t>
        </is>
      </c>
      <c r="E645" s="0" t="inlineStr">
        <is>
          <t xml:space="preserve">-</t>
        </is>
      </c>
      <c r="F645" s="0" t="inlineStr">
        <is>
          <t xml:space="preserve">-</t>
        </is>
      </c>
      <c r="G645" s="5">
        <v>0.14763</v>
      </c>
      <c r="H645" s="0" t="inlineStr">
        <is>
          <t xml:space="preserve">supplier</t>
        </is>
      </c>
      <c r="I645" s="0" t="inlineStr">
        <is>
          <t xml:space="preserve">unbucketed</t>
        </is>
      </c>
      <c r="J645" s="0" t="inlineStr">
        <is>
          <t xml:space="preserve">residual</t>
        </is>
      </c>
      <c r="K645" s="5">
        <v>0</v>
      </c>
      <c r="L645" s="5">
        <v>0</v>
      </c>
      <c r="M645" s="5">
        <v>0.14763</v>
      </c>
      <c r="N645" s="5">
        <v>0.0</v>
      </c>
      <c r="O645" s="5">
        <v>0.054</v>
      </c>
      <c r="P645" s="5">
        <v>0.05802</v>
      </c>
      <c r="Q645" s="5">
        <v>0.0</v>
      </c>
      <c r="R645" s="5">
        <v>0.0</v>
      </c>
      <c r="S645" s="5">
        <v>0.0</v>
      </c>
      <c r="T645" s="5">
        <v>0.0</v>
      </c>
      <c r="U645" s="5">
        <v>0.03561</v>
      </c>
    </row>
    <row r="646" outlineLevel="1">
      <c r="B646" s="0" t="inlineStr">
        <is>
          <t xml:space="preserve">POWER CONVERSION TECHNOLOGIES, INC.</t>
        </is>
      </c>
      <c r="C646" s="0" t="inlineStr">
        <is>
          <t xml:space="preserve">RJZKELTAHBM5</t>
        </is>
      </c>
      <c r="D646" s="0" t="inlineStr">
        <is>
          <t xml:space="preserve">-</t>
        </is>
      </c>
      <c r="E646" s="0" t="inlineStr">
        <is>
          <t xml:space="preserve">-</t>
        </is>
      </c>
      <c r="F646" s="0" t="inlineStr">
        <is>
          <t xml:space="preserve">-</t>
        </is>
      </c>
      <c r="G646" s="5">
        <v>0.14685</v>
      </c>
      <c r="H646" s="0" t="inlineStr">
        <is>
          <t xml:space="preserve">supplier</t>
        </is>
      </c>
      <c r="I646" s="0" t="inlineStr">
        <is>
          <t xml:space="preserve">unbucketed</t>
        </is>
      </c>
      <c r="J646" s="0" t="inlineStr">
        <is>
          <t xml:space="preserve">residual</t>
        </is>
      </c>
      <c r="K646" s="5">
        <v>0</v>
      </c>
      <c r="L646" s="5">
        <v>0</v>
      </c>
      <c r="M646" s="5">
        <v>0.14685</v>
      </c>
      <c r="N646" s="5">
        <v>0.0</v>
      </c>
      <c r="O646" s="5">
        <v>0.0</v>
      </c>
      <c r="P646" s="5">
        <v>0.0</v>
      </c>
      <c r="Q646" s="5">
        <v>0.0</v>
      </c>
      <c r="R646" s="5">
        <v>0.0</v>
      </c>
      <c r="S646" s="5">
        <v>0.0</v>
      </c>
      <c r="T646" s="5">
        <v>0.0</v>
      </c>
      <c r="U646" s="5">
        <v>0.0</v>
      </c>
    </row>
    <row r="647" outlineLevel="1">
      <c r="B647" s="0" t="inlineStr">
        <is>
          <t xml:space="preserve">MCALLISTER TOWING AND TRANSPORTATION COMPANY, INC.</t>
        </is>
      </c>
      <c r="C647" s="0" t="inlineStr">
        <is>
          <t xml:space="preserve">F7J2BU8VKSL8</t>
        </is>
      </c>
      <c r="D647" s="0" t="inlineStr">
        <is>
          <t xml:space="preserve">-</t>
        </is>
      </c>
      <c r="E647" s="0" t="inlineStr">
        <is>
          <t xml:space="preserve">-</t>
        </is>
      </c>
      <c r="F647" s="0" t="inlineStr">
        <is>
          <t xml:space="preserve">-</t>
        </is>
      </c>
      <c r="G647" s="5">
        <v>0.14639123999999998</v>
      </c>
      <c r="H647" s="0" t="inlineStr">
        <is>
          <t xml:space="preserve">supplier</t>
        </is>
      </c>
      <c r="I647" s="0" t="inlineStr">
        <is>
          <t xml:space="preserve">unbucketed</t>
        </is>
      </c>
      <c r="J647" s="0" t="inlineStr">
        <is>
          <t xml:space="preserve">residual</t>
        </is>
      </c>
      <c r="K647" s="5">
        <v>0</v>
      </c>
      <c r="L647" s="5">
        <v>0</v>
      </c>
      <c r="M647" s="5">
        <v>0.14639123999999998</v>
      </c>
      <c r="N647" s="5">
        <v>0.0</v>
      </c>
      <c r="O647" s="5">
        <v>0.0</v>
      </c>
      <c r="P647" s="5">
        <v>0.0</v>
      </c>
      <c r="Q647" s="5">
        <v>0.0</v>
      </c>
      <c r="R647" s="5">
        <v>0.0</v>
      </c>
      <c r="S647" s="5">
        <v>0.0</v>
      </c>
      <c r="T647" s="5">
        <v>0.0</v>
      </c>
      <c r="U647" s="5">
        <v>0.0</v>
      </c>
    </row>
    <row r="648" outlineLevel="1">
      <c r="B648" s="0" t="inlineStr">
        <is>
          <t xml:space="preserve">AIRLINE HYDRAULICS CORP</t>
        </is>
      </c>
      <c r="C648" s="0" t="inlineStr">
        <is>
          <t xml:space="preserve">EAZVTUEVK9J9</t>
        </is>
      </c>
      <c r="D648" s="0" t="inlineStr">
        <is>
          <t xml:space="preserve">-</t>
        </is>
      </c>
      <c r="E648" s="0" t="inlineStr">
        <is>
          <t xml:space="preserve">-</t>
        </is>
      </c>
      <c r="F648" s="0" t="inlineStr">
        <is>
          <t xml:space="preserve">-</t>
        </is>
      </c>
      <c r="G648" s="5">
        <v>0.1460074</v>
      </c>
      <c r="H648" s="0" t="inlineStr">
        <is>
          <t xml:space="preserve">supplier</t>
        </is>
      </c>
      <c r="I648" s="0" t="inlineStr">
        <is>
          <t xml:space="preserve">unbucketed</t>
        </is>
      </c>
      <c r="J648" s="0" t="inlineStr">
        <is>
          <t xml:space="preserve">residual</t>
        </is>
      </c>
      <c r="K648" s="5">
        <v>0</v>
      </c>
      <c r="L648" s="5">
        <v>0</v>
      </c>
      <c r="M648" s="5">
        <v>0.1460074</v>
      </c>
      <c r="N648" s="5">
        <v>0.0</v>
      </c>
      <c r="O648" s="5">
        <v>0.0</v>
      </c>
      <c r="P648" s="5">
        <v>0.0856324</v>
      </c>
      <c r="Q648" s="5">
        <v>0.0</v>
      </c>
      <c r="R648" s="5">
        <v>0.060375</v>
      </c>
      <c r="S648" s="5">
        <v>0.0</v>
      </c>
      <c r="T648" s="5">
        <v>0.0</v>
      </c>
      <c r="U648" s="5">
        <v>0.0</v>
      </c>
    </row>
    <row r="649" outlineLevel="1">
      <c r="B649" s="0" t="inlineStr">
        <is>
          <t xml:space="preserve">THE AIRFLO INSTRUMENT COMPANY</t>
        </is>
      </c>
      <c r="C649" s="0" t="inlineStr">
        <is>
          <t xml:space="preserve">CWU4C613AB25</t>
        </is>
      </c>
      <c r="D649" s="0" t="inlineStr">
        <is>
          <t xml:space="preserve">-</t>
        </is>
      </c>
      <c r="E649" s="0" t="inlineStr">
        <is>
          <t xml:space="preserve">-</t>
        </is>
      </c>
      <c r="F649" s="0" t="inlineStr">
        <is>
          <t xml:space="preserve">-</t>
        </is>
      </c>
      <c r="G649" s="5">
        <v>0.14417429999999998</v>
      </c>
      <c r="H649" s="0" t="inlineStr">
        <is>
          <t xml:space="preserve">supplier</t>
        </is>
      </c>
      <c r="I649" s="0" t="inlineStr">
        <is>
          <t xml:space="preserve">unbucketed</t>
        </is>
      </c>
      <c r="J649" s="0" t="inlineStr">
        <is>
          <t xml:space="preserve">residual</t>
        </is>
      </c>
      <c r="K649" s="5">
        <v>0</v>
      </c>
      <c r="L649" s="5">
        <v>0</v>
      </c>
      <c r="M649" s="5">
        <v>0.14417429999999998</v>
      </c>
      <c r="N649" s="5">
        <v>0.14417429999999998</v>
      </c>
      <c r="O649" s="5">
        <v>0.0</v>
      </c>
      <c r="P649" s="5">
        <v>0.0</v>
      </c>
      <c r="Q649" s="5">
        <v>0.0</v>
      </c>
      <c r="R649" s="5">
        <v>0.0</v>
      </c>
      <c r="S649" s="5">
        <v>0.0</v>
      </c>
      <c r="T649" s="5">
        <v>0.0</v>
      </c>
      <c r="U649" s="5">
        <v>0.0</v>
      </c>
    </row>
    <row r="650" outlineLevel="1">
      <c r="B650" s="0" t="inlineStr">
        <is>
          <t xml:space="preserve">WILLSCOT MOBILE MINI HOLDINGS CORP.</t>
        </is>
      </c>
      <c r="C650" s="0" t="inlineStr">
        <is>
          <t xml:space="preserve">URUVKGK3FTV1</t>
        </is>
      </c>
      <c r="D650" s="0" t="inlineStr">
        <is>
          <t xml:space="preserve">-</t>
        </is>
      </c>
      <c r="E650" s="0" t="inlineStr">
        <is>
          <t xml:space="preserve">-</t>
        </is>
      </c>
      <c r="F650" s="0" t="inlineStr">
        <is>
          <t xml:space="preserve">-</t>
        </is>
      </c>
      <c r="G650" s="5">
        <v>0.14404603</v>
      </c>
      <c r="H650" s="0" t="inlineStr">
        <is>
          <t xml:space="preserve">supplier</t>
        </is>
      </c>
      <c r="I650" s="0" t="inlineStr">
        <is>
          <t xml:space="preserve">unbucketed</t>
        </is>
      </c>
      <c r="J650" s="0" t="inlineStr">
        <is>
          <t xml:space="preserve">residual</t>
        </is>
      </c>
      <c r="K650" s="5">
        <v>0</v>
      </c>
      <c r="L650" s="5">
        <v>0</v>
      </c>
      <c r="M650" s="5">
        <v>0.14404603</v>
      </c>
      <c r="N650" s="5">
        <v>0.0</v>
      </c>
      <c r="O650" s="5">
        <v>0.0</v>
      </c>
      <c r="P650" s="5">
        <v>0.0</v>
      </c>
      <c r="Q650" s="5">
        <v>0.0</v>
      </c>
      <c r="R650" s="5">
        <v>0.0</v>
      </c>
      <c r="S650" s="5">
        <v>0.0</v>
      </c>
      <c r="T650" s="5">
        <v>0.0</v>
      </c>
      <c r="U650" s="5">
        <v>0.0</v>
      </c>
    </row>
    <row r="651" outlineLevel="1">
      <c r="B651" s="0" t="inlineStr">
        <is>
          <t xml:space="preserve">RAYTHEON TECHNOLOGIES CORPORATION</t>
        </is>
      </c>
      <c r="C651" s="0" t="inlineStr">
        <is>
          <t xml:space="preserve">M1BVCGDKJ1L7</t>
        </is>
      </c>
      <c r="D651" s="0" t="inlineStr">
        <is>
          <t xml:space="preserve">-</t>
        </is>
      </c>
      <c r="E651" s="0" t="inlineStr">
        <is>
          <t xml:space="preserve">-</t>
        </is>
      </c>
      <c r="F651" s="0" t="inlineStr">
        <is>
          <t xml:space="preserve">-</t>
        </is>
      </c>
      <c r="G651" s="5">
        <v>0.142376</v>
      </c>
      <c r="H651" s="0" t="inlineStr">
        <is>
          <t xml:space="preserve">gfe_sib</t>
        </is>
      </c>
      <c r="I651" s="0" t="inlineStr">
        <is>
          <t xml:space="preserve">-</t>
        </is>
      </c>
      <c r="J651" s="0" t="inlineStr">
        <is>
          <t xml:space="preserve">GFE/SIB name</t>
        </is>
      </c>
      <c r="K651" s="5">
        <v>0</v>
      </c>
      <c r="L651" s="5">
        <v>0</v>
      </c>
      <c r="M651" s="5">
        <v>0.142376</v>
      </c>
      <c r="N651" s="5">
        <v>0.0</v>
      </c>
      <c r="O651" s="5">
        <v>0.0</v>
      </c>
      <c r="P651" s="5">
        <v>0.0</v>
      </c>
      <c r="Q651" s="5">
        <v>0.0</v>
      </c>
      <c r="R651" s="5">
        <v>0.0</v>
      </c>
      <c r="S651" s="5">
        <v>0.0</v>
      </c>
      <c r="T651" s="5">
        <v>0.0</v>
      </c>
      <c r="U651" s="5">
        <v>0.0</v>
      </c>
    </row>
    <row r="652" outlineLevel="1">
      <c r="B652" s="0" t="inlineStr">
        <is>
          <t xml:space="preserve">WILLIFORD PLASTICS INC</t>
        </is>
      </c>
      <c r="C652" s="0" t="inlineStr">
        <is>
          <t xml:space="preserve">PRKVJMMJYJM3</t>
        </is>
      </c>
      <c r="D652" s="0" t="inlineStr">
        <is>
          <t xml:space="preserve">-</t>
        </is>
      </c>
      <c r="E652" s="0" t="inlineStr">
        <is>
          <t xml:space="preserve">-</t>
        </is>
      </c>
      <c r="F652" s="0" t="inlineStr">
        <is>
          <t xml:space="preserve">-</t>
        </is>
      </c>
      <c r="G652" s="5">
        <v>0.14074794000000002</v>
      </c>
      <c r="H652" s="0" t="inlineStr">
        <is>
          <t xml:space="preserve">supplier</t>
        </is>
      </c>
      <c r="I652" s="0" t="inlineStr">
        <is>
          <t xml:space="preserve">unbucketed</t>
        </is>
      </c>
      <c r="J652" s="0" t="inlineStr">
        <is>
          <t xml:space="preserve">residual</t>
        </is>
      </c>
      <c r="K652" s="5">
        <v>0</v>
      </c>
      <c r="L652" s="5">
        <v>0</v>
      </c>
      <c r="M652" s="5">
        <v>0.14074794000000002</v>
      </c>
      <c r="N652" s="5">
        <v>0.0</v>
      </c>
      <c r="O652" s="5">
        <v>0.0</v>
      </c>
      <c r="P652" s="5">
        <v>0.0</v>
      </c>
      <c r="Q652" s="5">
        <v>0.14074794000000002</v>
      </c>
      <c r="R652" s="5">
        <v>0.0</v>
      </c>
      <c r="S652" s="5">
        <v>0.0</v>
      </c>
      <c r="T652" s="5">
        <v>0.0</v>
      </c>
      <c r="U652" s="5">
        <v>0.0</v>
      </c>
    </row>
    <row r="653" outlineLevel="1">
      <c r="B653" s="0" t="inlineStr">
        <is>
          <t xml:space="preserve">SCHNEIDER ELECTRIC SYSTEMS USA, INC.</t>
        </is>
      </c>
      <c r="C653" s="0" t="inlineStr">
        <is>
          <t xml:space="preserve">GFSJF2WNK1E1</t>
        </is>
      </c>
      <c r="D653" s="0" t="inlineStr">
        <is>
          <t xml:space="preserve">-</t>
        </is>
      </c>
      <c r="E653" s="0" t="inlineStr">
        <is>
          <t xml:space="preserve">-</t>
        </is>
      </c>
      <c r="F653" s="0" t="inlineStr">
        <is>
          <t xml:space="preserve">-</t>
        </is>
      </c>
      <c r="G653" s="5">
        <v>0.14041881</v>
      </c>
      <c r="H653" s="0" t="inlineStr">
        <is>
          <t xml:space="preserve">supplier</t>
        </is>
      </c>
      <c r="I653" s="0" t="inlineStr">
        <is>
          <t xml:space="preserve">unbucketed</t>
        </is>
      </c>
      <c r="J653" s="0" t="inlineStr">
        <is>
          <t xml:space="preserve">residual</t>
        </is>
      </c>
      <c r="K653" s="5">
        <v>0</v>
      </c>
      <c r="L653" s="5">
        <v>0</v>
      </c>
      <c r="M653" s="5">
        <v>0.14041881</v>
      </c>
      <c r="N653" s="5">
        <v>0.0</v>
      </c>
      <c r="O653" s="5">
        <v>0.0</v>
      </c>
      <c r="P653" s="5">
        <v>0.0</v>
      </c>
      <c r="Q653" s="5">
        <v>0.0</v>
      </c>
      <c r="R653" s="5">
        <v>0.0</v>
      </c>
      <c r="S653" s="5">
        <v>0.0</v>
      </c>
      <c r="T653" s="5">
        <v>0.0</v>
      </c>
      <c r="U653" s="5">
        <v>0.0</v>
      </c>
    </row>
    <row r="654" outlineLevel="1">
      <c r="B654" s="0" t="inlineStr">
        <is>
          <t xml:space="preserve">TEAM INDUSTRIES, INC.</t>
        </is>
      </c>
      <c r="C654" s="0" t="inlineStr">
        <is>
          <t xml:space="preserve">HKB9G8NZ5P66</t>
        </is>
      </c>
      <c r="D654" s="0" t="inlineStr">
        <is>
          <t xml:space="preserve">-</t>
        </is>
      </c>
      <c r="E654" s="0" t="inlineStr">
        <is>
          <t xml:space="preserve">-</t>
        </is>
      </c>
      <c r="F654" s="0" t="inlineStr">
        <is>
          <t xml:space="preserve">-</t>
        </is>
      </c>
      <c r="G654" s="5">
        <v>0.140006</v>
      </c>
      <c r="H654" s="0" t="inlineStr">
        <is>
          <t xml:space="preserve">supplier</t>
        </is>
      </c>
      <c r="I654" s="0" t="inlineStr">
        <is>
          <t xml:space="preserve">unbucketed</t>
        </is>
      </c>
      <c r="J654" s="0" t="inlineStr">
        <is>
          <t xml:space="preserve">residual</t>
        </is>
      </c>
      <c r="K654" s="5">
        <v>0</v>
      </c>
      <c r="L654" s="5">
        <v>0</v>
      </c>
      <c r="M654" s="5">
        <v>0.140006</v>
      </c>
      <c r="N654" s="5">
        <v>0.0</v>
      </c>
      <c r="O654" s="5">
        <v>0.0</v>
      </c>
      <c r="P654" s="5">
        <v>0.0</v>
      </c>
      <c r="Q654" s="5">
        <v>0.0</v>
      </c>
      <c r="R654" s="5">
        <v>0.0</v>
      </c>
      <c r="S654" s="5">
        <v>0.0</v>
      </c>
      <c r="T654" s="5">
        <v>0.0</v>
      </c>
      <c r="U654" s="5">
        <v>0.0</v>
      </c>
    </row>
    <row r="655" outlineLevel="1">
      <c r="B655" s="0" t="inlineStr">
        <is>
          <t xml:space="preserve">BRUEL &amp; KJAER NORTH AMERICA INC.</t>
        </is>
      </c>
      <c r="C655" s="0" t="inlineStr">
        <is>
          <t xml:space="preserve">QC8RNVNLMA97</t>
        </is>
      </c>
      <c r="D655" s="0" t="inlineStr">
        <is>
          <t xml:space="preserve">-</t>
        </is>
      </c>
      <c r="E655" s="0" t="inlineStr">
        <is>
          <t xml:space="preserve">-</t>
        </is>
      </c>
      <c r="F655" s="0" t="inlineStr">
        <is>
          <t xml:space="preserve">-</t>
        </is>
      </c>
      <c r="G655" s="5">
        <v>0.1395</v>
      </c>
      <c r="H655" s="0" t="inlineStr">
        <is>
          <t xml:space="preserve">supplier</t>
        </is>
      </c>
      <c r="I655" s="0" t="inlineStr">
        <is>
          <t xml:space="preserve">unbucketed</t>
        </is>
      </c>
      <c r="J655" s="0" t="inlineStr">
        <is>
          <t xml:space="preserve">residual</t>
        </is>
      </c>
      <c r="K655" s="5">
        <v>0</v>
      </c>
      <c r="L655" s="5">
        <v>0</v>
      </c>
      <c r="M655" s="5">
        <v>0.1395</v>
      </c>
      <c r="N655" s="5">
        <v>0.0</v>
      </c>
      <c r="O655" s="5">
        <v>0.0</v>
      </c>
      <c r="P655" s="5">
        <v>0.0</v>
      </c>
      <c r="Q655" s="5">
        <v>0.0</v>
      </c>
      <c r="R655" s="5">
        <v>0.0</v>
      </c>
      <c r="S655" s="5">
        <v>0.0</v>
      </c>
      <c r="T655" s="5">
        <v>0.0</v>
      </c>
      <c r="U655" s="5">
        <v>0.0</v>
      </c>
    </row>
    <row r="656" outlineLevel="1">
      <c r="B656" s="0" t="inlineStr">
        <is>
          <t xml:space="preserve">RDF CORPORATION</t>
        </is>
      </c>
      <c r="C656" s="0" t="inlineStr">
        <is>
          <t xml:space="preserve">L6V2CGVQP844</t>
        </is>
      </c>
      <c r="D656" s="0" t="inlineStr">
        <is>
          <t xml:space="preserve">-</t>
        </is>
      </c>
      <c r="E656" s="0" t="inlineStr">
        <is>
          <t xml:space="preserve">-</t>
        </is>
      </c>
      <c r="F656" s="0" t="inlineStr">
        <is>
          <t xml:space="preserve">-</t>
        </is>
      </c>
      <c r="G656" s="5">
        <v>0.1388</v>
      </c>
      <c r="H656" s="0" t="inlineStr">
        <is>
          <t xml:space="preserve">supplier</t>
        </is>
      </c>
      <c r="I656" s="0" t="inlineStr">
        <is>
          <t xml:space="preserve">unbucketed</t>
        </is>
      </c>
      <c r="J656" s="0" t="inlineStr">
        <is>
          <t xml:space="preserve">residual</t>
        </is>
      </c>
      <c r="K656" s="5">
        <v>0</v>
      </c>
      <c r="L656" s="5">
        <v>0</v>
      </c>
      <c r="M656" s="5">
        <v>0.1388</v>
      </c>
      <c r="N656" s="5">
        <v>0.0</v>
      </c>
      <c r="O656" s="5">
        <v>0.038</v>
      </c>
      <c r="P656" s="5">
        <v>0.0</v>
      </c>
      <c r="Q656" s="5">
        <v>0.0</v>
      </c>
      <c r="R656" s="5">
        <v>0.0</v>
      </c>
      <c r="S656" s="5">
        <v>0.0</v>
      </c>
      <c r="T656" s="5">
        <v>0.1008</v>
      </c>
      <c r="U656" s="5">
        <v>0.0</v>
      </c>
    </row>
    <row r="657" outlineLevel="1">
      <c r="B657" s="0" t="inlineStr">
        <is>
          <t xml:space="preserve">KEEN COMPRESSED GAS CO.</t>
        </is>
      </c>
      <c r="C657" s="0" t="inlineStr">
        <is>
          <t xml:space="preserve">D3TAPP57SEB4</t>
        </is>
      </c>
      <c r="D657" s="0" t="inlineStr">
        <is>
          <t xml:space="preserve">-</t>
        </is>
      </c>
      <c r="E657" s="0" t="inlineStr">
        <is>
          <t xml:space="preserve">-</t>
        </is>
      </c>
      <c r="F657" s="0" t="inlineStr">
        <is>
          <t xml:space="preserve">-</t>
        </is>
      </c>
      <c r="G657" s="5">
        <v>0.138724</v>
      </c>
      <c r="H657" s="0" t="inlineStr">
        <is>
          <t xml:space="preserve">supplier</t>
        </is>
      </c>
      <c r="I657" s="0" t="inlineStr">
        <is>
          <t xml:space="preserve">unbucketed</t>
        </is>
      </c>
      <c r="J657" s="0" t="inlineStr">
        <is>
          <t xml:space="preserve">residual</t>
        </is>
      </c>
      <c r="K657" s="5">
        <v>0</v>
      </c>
      <c r="L657" s="5">
        <v>0</v>
      </c>
      <c r="M657" s="5">
        <v>0.138724</v>
      </c>
      <c r="N657" s="5">
        <v>0.0</v>
      </c>
      <c r="O657" s="5">
        <v>0.0</v>
      </c>
      <c r="P657" s="5">
        <v>0.0</v>
      </c>
      <c r="Q657" s="5">
        <v>0.0</v>
      </c>
      <c r="R657" s="5">
        <v>0.0</v>
      </c>
      <c r="S657" s="5">
        <v>0.0</v>
      </c>
      <c r="T657" s="5">
        <v>0.0</v>
      </c>
      <c r="U657" s="5">
        <v>0.138724</v>
      </c>
    </row>
    <row r="658" outlineLevel="1">
      <c r="B658" s="0" t="inlineStr">
        <is>
          <t xml:space="preserve">OZOP ENERGY SOLUTIONS, INC.</t>
        </is>
      </c>
      <c r="C658" s="0" t="inlineStr">
        <is>
          <t xml:space="preserve">RJZKELTAHBM5</t>
        </is>
      </c>
      <c r="D658" s="0" t="inlineStr">
        <is>
          <t xml:space="preserve">-</t>
        </is>
      </c>
      <c r="E658" s="0" t="inlineStr">
        <is>
          <t xml:space="preserve">-</t>
        </is>
      </c>
      <c r="F658" s="0" t="inlineStr">
        <is>
          <t xml:space="preserve">-</t>
        </is>
      </c>
      <c r="G658" s="5">
        <v>0.13830399999999998</v>
      </c>
      <c r="H658" s="0" t="inlineStr">
        <is>
          <t xml:space="preserve">supplier</t>
        </is>
      </c>
      <c r="I658" s="0" t="inlineStr">
        <is>
          <t xml:space="preserve">unbucketed</t>
        </is>
      </c>
      <c r="J658" s="0" t="inlineStr">
        <is>
          <t xml:space="preserve">residual</t>
        </is>
      </c>
      <c r="K658" s="5">
        <v>0</v>
      </c>
      <c r="L658" s="5">
        <v>0</v>
      </c>
      <c r="M658" s="5">
        <v>0.13830399999999998</v>
      </c>
      <c r="N658" s="5">
        <v>0.0</v>
      </c>
      <c r="O658" s="5">
        <v>0.0</v>
      </c>
      <c r="P658" s="5">
        <v>0.0</v>
      </c>
      <c r="Q658" s="5">
        <v>0.0</v>
      </c>
      <c r="R658" s="5">
        <v>0.0</v>
      </c>
      <c r="S658" s="5">
        <v>0.0</v>
      </c>
      <c r="T658" s="5">
        <v>0.0</v>
      </c>
      <c r="U658" s="5">
        <v>0.0</v>
      </c>
    </row>
    <row r="659" outlineLevel="1">
      <c r="B659" s="0" t="inlineStr">
        <is>
          <t xml:space="preserve">COGSDILL TOOL PRODUCTS INC</t>
        </is>
      </c>
      <c r="C659" s="0" t="inlineStr">
        <is>
          <t xml:space="preserve">NKNJZAVJ9EK3</t>
        </is>
      </c>
      <c r="D659" s="0" t="inlineStr">
        <is>
          <t xml:space="preserve">-</t>
        </is>
      </c>
      <c r="E659" s="0" t="inlineStr">
        <is>
          <t xml:space="preserve">-</t>
        </is>
      </c>
      <c r="F659" s="0" t="inlineStr">
        <is>
          <t xml:space="preserve">-</t>
        </is>
      </c>
      <c r="G659" s="5">
        <v>0.13803</v>
      </c>
      <c r="H659" s="0" t="inlineStr">
        <is>
          <t xml:space="preserve">supplier</t>
        </is>
      </c>
      <c r="I659" s="0" t="inlineStr">
        <is>
          <t xml:space="preserve">unbucketed</t>
        </is>
      </c>
      <c r="J659" s="0" t="inlineStr">
        <is>
          <t xml:space="preserve">residual</t>
        </is>
      </c>
      <c r="K659" s="5">
        <v>0</v>
      </c>
      <c r="L659" s="5">
        <v>0</v>
      </c>
      <c r="M659" s="5">
        <v>0.13803</v>
      </c>
      <c r="N659" s="5">
        <v>0.0</v>
      </c>
      <c r="O659" s="5">
        <v>0.0</v>
      </c>
      <c r="P659" s="5">
        <v>0.13803</v>
      </c>
      <c r="Q659" s="5">
        <v>0.0</v>
      </c>
      <c r="R659" s="5">
        <v>0.0</v>
      </c>
      <c r="S659" s="5">
        <v>0.0</v>
      </c>
      <c r="T659" s="5">
        <v>0.0</v>
      </c>
      <c r="U659" s="5">
        <v>0.0</v>
      </c>
    </row>
    <row r="660" outlineLevel="1">
      <c r="B660" s="0" t="inlineStr">
        <is>
          <t xml:space="preserve">TURNBULL LLC</t>
        </is>
      </c>
      <c r="C660" s="0" t="inlineStr">
        <is>
          <t xml:space="preserve">MUD4KL77FK98</t>
        </is>
      </c>
      <c r="D660" s="0" t="inlineStr">
        <is>
          <t xml:space="preserve">-</t>
        </is>
      </c>
      <c r="E660" s="0" t="inlineStr">
        <is>
          <t xml:space="preserve">-</t>
        </is>
      </c>
      <c r="F660" s="0" t="inlineStr">
        <is>
          <t xml:space="preserve">-</t>
        </is>
      </c>
      <c r="G660" s="5">
        <v>0.13761</v>
      </c>
      <c r="H660" s="0" t="inlineStr">
        <is>
          <t xml:space="preserve">supplier</t>
        </is>
      </c>
      <c r="I660" s="0" t="inlineStr">
        <is>
          <t xml:space="preserve">unbucketed</t>
        </is>
      </c>
      <c r="J660" s="0" t="inlineStr">
        <is>
          <t xml:space="preserve">residual</t>
        </is>
      </c>
      <c r="K660" s="5">
        <v>0</v>
      </c>
      <c r="L660" s="5">
        <v>0</v>
      </c>
      <c r="M660" s="5">
        <v>0.13761</v>
      </c>
      <c r="N660" s="5">
        <v>0.0</v>
      </c>
      <c r="O660" s="5">
        <v>0.0</v>
      </c>
      <c r="P660" s="5">
        <v>0.0</v>
      </c>
      <c r="Q660" s="5">
        <v>0.0</v>
      </c>
      <c r="R660" s="5">
        <v>0.0</v>
      </c>
      <c r="S660" s="5">
        <v>0.0</v>
      </c>
      <c r="T660" s="5">
        <v>0.0</v>
      </c>
      <c r="U660" s="5">
        <v>0.13761</v>
      </c>
    </row>
    <row r="661" outlineLevel="1">
      <c r="B661" s="0" t="inlineStr">
        <is>
          <t xml:space="preserve">FRIES SPINNING &amp; STAMPING, INCORPORATED</t>
        </is>
      </c>
      <c r="C661" s="0" t="inlineStr">
        <is>
          <t xml:space="preserve">WW6HFEMKWPC5</t>
        </is>
      </c>
      <c r="D661" s="0" t="inlineStr">
        <is>
          <t xml:space="preserve">-</t>
        </is>
      </c>
      <c r="E661" s="0" t="inlineStr">
        <is>
          <t xml:space="preserve">-</t>
        </is>
      </c>
      <c r="F661" s="0" t="inlineStr">
        <is>
          <t xml:space="preserve">-</t>
        </is>
      </c>
      <c r="G661" s="5">
        <v>0.137297</v>
      </c>
      <c r="H661" s="0" t="inlineStr">
        <is>
          <t xml:space="preserve">supplier</t>
        </is>
      </c>
      <c r="I661" s="0" t="inlineStr">
        <is>
          <t xml:space="preserve">unbucketed</t>
        </is>
      </c>
      <c r="J661" s="0" t="inlineStr">
        <is>
          <t xml:space="preserve">residual</t>
        </is>
      </c>
      <c r="K661" s="5">
        <v>0</v>
      </c>
      <c r="L661" s="5">
        <v>0</v>
      </c>
      <c r="M661" s="5">
        <v>0.137297</v>
      </c>
      <c r="N661" s="5">
        <v>0.0</v>
      </c>
      <c r="O661" s="5">
        <v>0.137297</v>
      </c>
      <c r="P661" s="5">
        <v>0.0</v>
      </c>
      <c r="Q661" s="5">
        <v>0.0</v>
      </c>
      <c r="R661" s="5">
        <v>0.0</v>
      </c>
      <c r="S661" s="5">
        <v>0.0</v>
      </c>
      <c r="T661" s="5">
        <v>0.0</v>
      </c>
      <c r="U661" s="5">
        <v>0.0</v>
      </c>
    </row>
    <row r="662" outlineLevel="1">
      <c r="B662" s="0" t="inlineStr">
        <is>
          <t xml:space="preserve">SHAFT CURRENT SOLUTIONS, INC.</t>
        </is>
      </c>
      <c r="C662" s="0" t="inlineStr">
        <is>
          <t xml:space="preserve">KTK2F491J6A8</t>
        </is>
      </c>
      <c r="D662" s="0" t="inlineStr">
        <is>
          <t xml:space="preserve">-</t>
        </is>
      </c>
      <c r="E662" s="0" t="inlineStr">
        <is>
          <t xml:space="preserve">-</t>
        </is>
      </c>
      <c r="F662" s="0" t="inlineStr">
        <is>
          <t xml:space="preserve">-</t>
        </is>
      </c>
      <c r="G662" s="5">
        <v>0.13653504</v>
      </c>
      <c r="H662" s="0" t="inlineStr">
        <is>
          <t xml:space="preserve">supplier</t>
        </is>
      </c>
      <c r="I662" s="0" t="inlineStr">
        <is>
          <t xml:space="preserve">unbucketed</t>
        </is>
      </c>
      <c r="J662" s="0" t="inlineStr">
        <is>
          <t xml:space="preserve">residual</t>
        </is>
      </c>
      <c r="K662" s="5">
        <v>0</v>
      </c>
      <c r="L662" s="5">
        <v>0</v>
      </c>
      <c r="M662" s="5">
        <v>0.13653504</v>
      </c>
      <c r="N662" s="5">
        <v>0.0</v>
      </c>
      <c r="O662" s="5">
        <v>0.0</v>
      </c>
      <c r="P662" s="5">
        <v>0.0</v>
      </c>
      <c r="Q662" s="5">
        <v>0.0</v>
      </c>
      <c r="R662" s="5">
        <v>0.0</v>
      </c>
      <c r="S662" s="5">
        <v>0.0</v>
      </c>
      <c r="T662" s="5">
        <v>0.0</v>
      </c>
      <c r="U662" s="5">
        <v>0.13653504</v>
      </c>
    </row>
    <row r="663" outlineLevel="1">
      <c r="B663" s="0" t="inlineStr">
        <is>
          <t xml:space="preserve">NTS LABS LLC</t>
        </is>
      </c>
      <c r="C663" s="0" t="inlineStr">
        <is>
          <t xml:space="preserve">WF99GAJKQAL5</t>
        </is>
      </c>
      <c r="D663" s="0" t="inlineStr">
        <is>
          <t xml:space="preserve">-</t>
        </is>
      </c>
      <c r="E663" s="0" t="inlineStr">
        <is>
          <t xml:space="preserve">-</t>
        </is>
      </c>
      <c r="F663" s="0" t="inlineStr">
        <is>
          <t xml:space="preserve">-</t>
        </is>
      </c>
      <c r="G663" s="5">
        <v>0.13554109999999997</v>
      </c>
      <c r="H663" s="0" t="inlineStr">
        <is>
          <t xml:space="preserve">supplier</t>
        </is>
      </c>
      <c r="I663" s="0" t="inlineStr">
        <is>
          <t xml:space="preserve">unbucketed</t>
        </is>
      </c>
      <c r="J663" s="0" t="inlineStr">
        <is>
          <t xml:space="preserve">residual</t>
        </is>
      </c>
      <c r="K663" s="5">
        <v>0</v>
      </c>
      <c r="L663" s="5">
        <v>0</v>
      </c>
      <c r="M663" s="5">
        <v>0.13554109999999997</v>
      </c>
      <c r="N663" s="5">
        <v>0.0</v>
      </c>
      <c r="O663" s="5">
        <v>0.0</v>
      </c>
      <c r="P663" s="5">
        <v>-0.0247349</v>
      </c>
      <c r="Q663" s="5">
        <v>0.0</v>
      </c>
      <c r="R663" s="5">
        <v>-0.180444</v>
      </c>
      <c r="S663" s="5">
        <v>0.02107</v>
      </c>
      <c r="T663" s="5">
        <v>0.19772</v>
      </c>
      <c r="U663" s="5">
        <v>0.11993</v>
      </c>
    </row>
    <row r="664" outlineLevel="1">
      <c r="B664" s="0" t="inlineStr">
        <is>
          <t xml:space="preserve">SYNOPSYS, INC.</t>
        </is>
      </c>
      <c r="C664" s="0" t="inlineStr">
        <is>
          <t xml:space="preserve">K8W2J2DS9FN1</t>
        </is>
      </c>
      <c r="D664" s="0" t="inlineStr">
        <is>
          <t xml:space="preserve">-</t>
        </is>
      </c>
      <c r="E664" s="0" t="inlineStr">
        <is>
          <t xml:space="preserve">-</t>
        </is>
      </c>
      <c r="F664" s="0" t="inlineStr">
        <is>
          <t xml:space="preserve">-</t>
        </is>
      </c>
      <c r="G664" s="5">
        <v>0.1345</v>
      </c>
      <c r="H664" s="0" t="inlineStr">
        <is>
          <t xml:space="preserve">supplier</t>
        </is>
      </c>
      <c r="I664" s="0" t="inlineStr">
        <is>
          <t xml:space="preserve">unbucketed</t>
        </is>
      </c>
      <c r="J664" s="0" t="inlineStr">
        <is>
          <t xml:space="preserve">residual</t>
        </is>
      </c>
      <c r="K664" s="5">
        <v>0</v>
      </c>
      <c r="L664" s="5">
        <v>0</v>
      </c>
      <c r="M664" s="5">
        <v>0.1345</v>
      </c>
      <c r="N664" s="5">
        <v>0.0</v>
      </c>
      <c r="O664" s="5">
        <v>0.0</v>
      </c>
      <c r="P664" s="5">
        <v>0.0</v>
      </c>
      <c r="Q664" s="5">
        <v>0.0</v>
      </c>
      <c r="R664" s="5">
        <v>0.048</v>
      </c>
      <c r="S664" s="5">
        <v>0.0375</v>
      </c>
      <c r="T664" s="5">
        <v>0.0</v>
      </c>
      <c r="U664" s="5">
        <v>0.0</v>
      </c>
    </row>
    <row r="665" outlineLevel="1">
      <c r="B665" s="0" t="inlineStr">
        <is>
          <t xml:space="preserve">CONCURRENT REAL-TIME, INC.</t>
        </is>
      </c>
      <c r="C665" s="0" t="inlineStr">
        <is>
          <t xml:space="preserve">YK46GJRH4W87</t>
        </is>
      </c>
      <c r="D665" s="0" t="inlineStr">
        <is>
          <t xml:space="preserve">-</t>
        </is>
      </c>
      <c r="E665" s="0" t="inlineStr">
        <is>
          <t xml:space="preserve">-</t>
        </is>
      </c>
      <c r="F665" s="0" t="inlineStr">
        <is>
          <t xml:space="preserve">-</t>
        </is>
      </c>
      <c r="G665" s="5">
        <v>0.1340079</v>
      </c>
      <c r="H665" s="0" t="inlineStr">
        <is>
          <t xml:space="preserve">supplier</t>
        </is>
      </c>
      <c r="I665" s="0" t="inlineStr">
        <is>
          <t xml:space="preserve">unbucketed</t>
        </is>
      </c>
      <c r="J665" s="0" t="inlineStr">
        <is>
          <t xml:space="preserve">residual</t>
        </is>
      </c>
      <c r="K665" s="5">
        <v>0</v>
      </c>
      <c r="L665" s="5">
        <v>0</v>
      </c>
      <c r="M665" s="5">
        <v>0.1340079</v>
      </c>
      <c r="N665" s="5">
        <v>0.0</v>
      </c>
      <c r="O665" s="5">
        <v>0.0</v>
      </c>
      <c r="P665" s="5">
        <v>0.0</v>
      </c>
      <c r="Q665" s="5">
        <v>0.0</v>
      </c>
      <c r="R665" s="5">
        <v>0.0394429</v>
      </c>
      <c r="S665" s="5">
        <v>0.0</v>
      </c>
      <c r="T665" s="5">
        <v>0.0</v>
      </c>
      <c r="U665" s="5">
        <v>0.094565</v>
      </c>
    </row>
    <row r="666" outlineLevel="1">
      <c r="B666" s="0" t="inlineStr">
        <is>
          <t xml:space="preserve">FLUID DYNAMICS, LLC</t>
        </is>
      </c>
      <c r="C666" s="0" t="inlineStr">
        <is>
          <t xml:space="preserve">W8RMNY6A3NT1</t>
        </is>
      </c>
      <c r="D666" s="0" t="inlineStr">
        <is>
          <t xml:space="preserve">-</t>
        </is>
      </c>
      <c r="E666" s="0" t="inlineStr">
        <is>
          <t xml:space="preserve">-</t>
        </is>
      </c>
      <c r="F666" s="0" t="inlineStr">
        <is>
          <t xml:space="preserve">-</t>
        </is>
      </c>
      <c r="G666" s="5">
        <v>0.13325064</v>
      </c>
      <c r="H666" s="0" t="inlineStr">
        <is>
          <t xml:space="preserve">supplier</t>
        </is>
      </c>
      <c r="I666" s="0" t="inlineStr">
        <is>
          <t xml:space="preserve">unbucketed</t>
        </is>
      </c>
      <c r="J666" s="0" t="inlineStr">
        <is>
          <t xml:space="preserve">residual</t>
        </is>
      </c>
      <c r="K666" s="5">
        <v>0</v>
      </c>
      <c r="L666" s="5">
        <v>0</v>
      </c>
      <c r="M666" s="5">
        <v>0.13325064</v>
      </c>
      <c r="N666" s="5">
        <v>0.13325064</v>
      </c>
      <c r="O666" s="5">
        <v>0.0</v>
      </c>
      <c r="P666" s="5">
        <v>0.0</v>
      </c>
      <c r="Q666" s="5">
        <v>0.0</v>
      </c>
      <c r="R666" s="5">
        <v>0.0</v>
      </c>
      <c r="S666" s="5">
        <v>0.0</v>
      </c>
      <c r="T666" s="5">
        <v>0.0</v>
      </c>
      <c r="U666" s="5">
        <v>0.0</v>
      </c>
    </row>
    <row r="667" outlineLevel="1">
      <c r="B667" s="0" t="inlineStr">
        <is>
          <t xml:space="preserve">KEYSIGHT TECHNOLOGIES, INC.</t>
        </is>
      </c>
      <c r="C667" s="0" t="inlineStr">
        <is>
          <t xml:space="preserve">NBMDBMMXJLR5</t>
        </is>
      </c>
      <c r="D667" s="0" t="inlineStr">
        <is>
          <t xml:space="preserve">-</t>
        </is>
      </c>
      <c r="E667" s="0" t="inlineStr">
        <is>
          <t xml:space="preserve">-</t>
        </is>
      </c>
      <c r="F667" s="0" t="inlineStr">
        <is>
          <t xml:space="preserve">-</t>
        </is>
      </c>
      <c r="G667" s="5">
        <v>0.13244269</v>
      </c>
      <c r="H667" s="0" t="inlineStr">
        <is>
          <t xml:space="preserve">supplier</t>
        </is>
      </c>
      <c r="I667" s="0" t="inlineStr">
        <is>
          <t xml:space="preserve">unbucketed</t>
        </is>
      </c>
      <c r="J667" s="0" t="inlineStr">
        <is>
          <t xml:space="preserve">residual</t>
        </is>
      </c>
      <c r="K667" s="5">
        <v>0</v>
      </c>
      <c r="L667" s="5">
        <v>0</v>
      </c>
      <c r="M667" s="5">
        <v>0.13244269</v>
      </c>
      <c r="N667" s="5">
        <v>0.0</v>
      </c>
      <c r="O667" s="5">
        <v>0.0</v>
      </c>
      <c r="P667" s="5">
        <v>0.0</v>
      </c>
      <c r="Q667" s="5">
        <v>0.0</v>
      </c>
      <c r="R667" s="5">
        <v>0.13244269</v>
      </c>
      <c r="S667" s="5">
        <v>0.0</v>
      </c>
      <c r="T667" s="5">
        <v>0.0</v>
      </c>
      <c r="U667" s="5">
        <v>0.0</v>
      </c>
    </row>
    <row r="668" outlineLevel="1">
      <c r="B668" s="0" t="inlineStr">
        <is>
          <t xml:space="preserve">PICKERING INTERFACES, INC</t>
        </is>
      </c>
      <c r="C668" s="0" t="inlineStr">
        <is>
          <t xml:space="preserve">ECVNHKM2CLS9</t>
        </is>
      </c>
      <c r="D668" s="0" t="inlineStr">
        <is>
          <t xml:space="preserve">-</t>
        </is>
      </c>
      <c r="E668" s="0" t="inlineStr">
        <is>
          <t xml:space="preserve">-</t>
        </is>
      </c>
      <c r="F668" s="0" t="inlineStr">
        <is>
          <t xml:space="preserve">-</t>
        </is>
      </c>
      <c r="G668" s="5">
        <v>0.131855</v>
      </c>
      <c r="H668" s="0" t="inlineStr">
        <is>
          <t xml:space="preserve">supplier</t>
        </is>
      </c>
      <c r="I668" s="0" t="inlineStr">
        <is>
          <t xml:space="preserve">unbucketed</t>
        </is>
      </c>
      <c r="J668" s="0" t="inlineStr">
        <is>
          <t xml:space="preserve">residual</t>
        </is>
      </c>
      <c r="K668" s="5">
        <v>0</v>
      </c>
      <c r="L668" s="5">
        <v>0</v>
      </c>
      <c r="M668" s="5">
        <v>0.131855</v>
      </c>
      <c r="N668" s="5">
        <v>0.0</v>
      </c>
      <c r="O668" s="5">
        <v>0.0</v>
      </c>
      <c r="P668" s="5">
        <v>0.0</v>
      </c>
      <c r="Q668" s="5">
        <v>0.0</v>
      </c>
      <c r="R668" s="5">
        <v>0.065175</v>
      </c>
      <c r="S668" s="5">
        <v>0.0</v>
      </c>
      <c r="T668" s="5">
        <v>0.06668</v>
      </c>
      <c r="U668" s="5">
        <v>0.0</v>
      </c>
    </row>
    <row r="669" outlineLevel="1">
      <c r="B669" s="0" t="inlineStr">
        <is>
          <t xml:space="preserve">ADMIRAL VALVE, LLC</t>
        </is>
      </c>
      <c r="C669" s="0" t="inlineStr">
        <is>
          <t xml:space="preserve">P33VWHC39MN5</t>
        </is>
      </c>
      <c r="D669" s="0" t="inlineStr">
        <is>
          <t xml:space="preserve">-</t>
        </is>
      </c>
      <c r="E669" s="0" t="inlineStr">
        <is>
          <t xml:space="preserve">-</t>
        </is>
      </c>
      <c r="F669" s="0" t="inlineStr">
        <is>
          <t xml:space="preserve">-</t>
        </is>
      </c>
      <c r="G669" s="5">
        <v>0.13184893</v>
      </c>
      <c r="H669" s="0" t="inlineStr">
        <is>
          <t xml:space="preserve">supplier</t>
        </is>
      </c>
      <c r="I669" s="0" t="inlineStr">
        <is>
          <t xml:space="preserve">unbucketed</t>
        </is>
      </c>
      <c r="J669" s="0" t="inlineStr">
        <is>
          <t xml:space="preserve">residual</t>
        </is>
      </c>
      <c r="K669" s="5">
        <v>0</v>
      </c>
      <c r="L669" s="5">
        <v>0</v>
      </c>
      <c r="M669" s="5">
        <v>0.13184893</v>
      </c>
      <c r="N669" s="5">
        <v>0.0</v>
      </c>
      <c r="O669" s="5">
        <v>0.0</v>
      </c>
      <c r="P669" s="5">
        <v>0.0</v>
      </c>
      <c r="Q669" s="5">
        <v>0.0</v>
      </c>
      <c r="R669" s="5">
        <v>0.03629486</v>
      </c>
      <c r="S669" s="5">
        <v>0.0</v>
      </c>
      <c r="T669" s="5">
        <v>0.0</v>
      </c>
      <c r="U669" s="5">
        <v>0.0</v>
      </c>
    </row>
    <row r="670" outlineLevel="1">
      <c r="B670" s="0" t="inlineStr">
        <is>
          <t xml:space="preserve">W.W. GRAINGER, INC.</t>
        </is>
      </c>
      <c r="C670" s="0" t="inlineStr">
        <is>
          <t xml:space="preserve">DBQGN324ULK3</t>
        </is>
      </c>
      <c r="D670" s="0" t="inlineStr">
        <is>
          <t xml:space="preserve">-</t>
        </is>
      </c>
      <c r="E670" s="0" t="inlineStr">
        <is>
          <t xml:space="preserve">-</t>
        </is>
      </c>
      <c r="F670" s="0" t="inlineStr">
        <is>
          <t xml:space="preserve">-</t>
        </is>
      </c>
      <c r="G670" s="5">
        <v>0.13137216000000002</v>
      </c>
      <c r="H670" s="0" t="inlineStr">
        <is>
          <t xml:space="preserve">supplier</t>
        </is>
      </c>
      <c r="I670" s="0" t="inlineStr">
        <is>
          <t xml:space="preserve">unbucketed</t>
        </is>
      </c>
      <c r="J670" s="0" t="inlineStr">
        <is>
          <t xml:space="preserve">residual</t>
        </is>
      </c>
      <c r="K670" s="5">
        <v>0</v>
      </c>
      <c r="L670" s="5">
        <v>0</v>
      </c>
      <c r="M670" s="5">
        <v>0.13137216000000002</v>
      </c>
      <c r="N670" s="5">
        <v>0.0</v>
      </c>
      <c r="O670" s="5">
        <v>0.0</v>
      </c>
      <c r="P670" s="5">
        <v>0.0</v>
      </c>
      <c r="Q670" s="5">
        <v>0.0</v>
      </c>
      <c r="R670" s="5">
        <v>0.0</v>
      </c>
      <c r="S670" s="5">
        <v>0.05317912</v>
      </c>
      <c r="T670" s="5">
        <v>0.07819303999999999</v>
      </c>
      <c r="U670" s="5">
        <v>0.0</v>
      </c>
    </row>
    <row r="671" outlineLevel="1">
      <c r="B671" s="0" t="inlineStr">
        <is>
          <t xml:space="preserve">METALTEK INTERNATIONAL, INC.</t>
        </is>
      </c>
      <c r="C671" s="0" t="inlineStr">
        <is>
          <t xml:space="preserve">RYVANEDADBK3</t>
        </is>
      </c>
      <c r="D671" s="0" t="inlineStr">
        <is>
          <t xml:space="preserve">-</t>
        </is>
      </c>
      <c r="E671" s="0" t="inlineStr">
        <is>
          <t xml:space="preserve">-</t>
        </is>
      </c>
      <c r="F671" s="0" t="inlineStr">
        <is>
          <t xml:space="preserve">-</t>
        </is>
      </c>
      <c r="G671" s="5">
        <v>0.129153</v>
      </c>
      <c r="H671" s="0" t="inlineStr">
        <is>
          <t xml:space="preserve">supplier</t>
        </is>
      </c>
      <c r="I671" s="0" t="inlineStr">
        <is>
          <t xml:space="preserve">unbucketed</t>
        </is>
      </c>
      <c r="J671" s="0" t="inlineStr">
        <is>
          <t xml:space="preserve">residual</t>
        </is>
      </c>
      <c r="K671" s="5">
        <v>0</v>
      </c>
      <c r="L671" s="5">
        <v>0</v>
      </c>
      <c r="M671" s="5">
        <v>0.129153</v>
      </c>
      <c r="N671" s="5">
        <v>0.0</v>
      </c>
      <c r="O671" s="5">
        <v>0.0</v>
      </c>
      <c r="P671" s="5">
        <v>0.0</v>
      </c>
      <c r="Q671" s="5">
        <v>0.0</v>
      </c>
      <c r="R671" s="5">
        <v>0.0</v>
      </c>
      <c r="S671" s="5">
        <v>0.113076</v>
      </c>
      <c r="T671" s="5">
        <v>0.016077</v>
      </c>
      <c r="U671" s="5">
        <v>0.0</v>
      </c>
    </row>
    <row r="672" outlineLevel="1">
      <c r="B672" s="0" t="inlineStr">
        <is>
          <t xml:space="preserve">OMNI SERVICES, INC.</t>
        </is>
      </c>
      <c r="C672" s="0" t="inlineStr">
        <is>
          <t xml:space="preserve">C1VMWS2KV645</t>
        </is>
      </c>
      <c r="D672" s="0" t="inlineStr">
        <is>
          <t xml:space="preserve">-</t>
        </is>
      </c>
      <c r="E672" s="0" t="inlineStr">
        <is>
          <t xml:space="preserve">-</t>
        </is>
      </c>
      <c r="F672" s="0" t="inlineStr">
        <is>
          <t xml:space="preserve">-</t>
        </is>
      </c>
      <c r="G672" s="5">
        <v>0.12862036</v>
      </c>
      <c r="H672" s="0" t="inlineStr">
        <is>
          <t xml:space="preserve">supplier</t>
        </is>
      </c>
      <c r="I672" s="0" t="inlineStr">
        <is>
          <t xml:space="preserve">unbucketed</t>
        </is>
      </c>
      <c r="J672" s="0" t="inlineStr">
        <is>
          <t xml:space="preserve">residual</t>
        </is>
      </c>
      <c r="K672" s="5">
        <v>0</v>
      </c>
      <c r="L672" s="5">
        <v>0</v>
      </c>
      <c r="M672" s="5">
        <v>0.12862036</v>
      </c>
      <c r="N672" s="5">
        <v>0.0</v>
      </c>
      <c r="O672" s="5">
        <v>0.0</v>
      </c>
      <c r="P672" s="5">
        <v>0.0</v>
      </c>
      <c r="Q672" s="5">
        <v>0.0</v>
      </c>
      <c r="R672" s="5">
        <v>0.0</v>
      </c>
      <c r="S672" s="5">
        <v>0.0</v>
      </c>
      <c r="T672" s="5">
        <v>0.0</v>
      </c>
      <c r="U672" s="5">
        <v>0.0</v>
      </c>
    </row>
    <row r="673" outlineLevel="1">
      <c r="B673" s="0" t="inlineStr">
        <is>
          <t xml:space="preserve">CURTISS-WRIGHT FLOW CONTROL SERVICE, LLC</t>
        </is>
      </c>
      <c r="C673" s="0" t="inlineStr">
        <is>
          <t xml:space="preserve">DXGJDCR3TN56</t>
        </is>
      </c>
      <c r="D673" s="0" t="inlineStr">
        <is>
          <t xml:space="preserve">-</t>
        </is>
      </c>
      <c r="E673" s="0" t="inlineStr">
        <is>
          <t xml:space="preserve">-</t>
        </is>
      </c>
      <c r="F673" s="0" t="inlineStr">
        <is>
          <t xml:space="preserve">-</t>
        </is>
      </c>
      <c r="G673" s="5">
        <v>0.12803238</v>
      </c>
      <c r="H673" s="0" t="inlineStr">
        <is>
          <t xml:space="preserve">supplier</t>
        </is>
      </c>
      <c r="I673" s="0" t="inlineStr">
        <is>
          <t xml:space="preserve">piping</t>
        </is>
      </c>
      <c r="J673" s="0" t="inlineStr">
        <is>
          <t xml:space="preserve">vendor-override</t>
        </is>
      </c>
      <c r="K673" s="5">
        <v>0</v>
      </c>
      <c r="L673" s="5">
        <v>0</v>
      </c>
      <c r="M673" s="5">
        <v>0.12803238</v>
      </c>
      <c r="N673" s="5">
        <v>0.0</v>
      </c>
      <c r="O673" s="5">
        <v>0.0</v>
      </c>
      <c r="P673" s="5">
        <v>0.0</v>
      </c>
      <c r="Q673" s="5">
        <v>0.0</v>
      </c>
      <c r="R673" s="5">
        <v>0.0</v>
      </c>
      <c r="S673" s="5">
        <v>0.0</v>
      </c>
      <c r="T673" s="5">
        <v>0.0</v>
      </c>
      <c r="U673" s="5">
        <v>0.12803238</v>
      </c>
    </row>
    <row r="674" outlineLevel="1">
      <c r="B674" s="0" t="inlineStr">
        <is>
          <t xml:space="preserve">COSPOLICH INC.</t>
        </is>
      </c>
      <c r="C674" s="0" t="inlineStr">
        <is>
          <t xml:space="preserve">FNQARYRJJEL5</t>
        </is>
      </c>
      <c r="D674" s="0" t="inlineStr">
        <is>
          <t xml:space="preserve">-</t>
        </is>
      </c>
      <c r="E674" s="0" t="inlineStr">
        <is>
          <t xml:space="preserve">-</t>
        </is>
      </c>
      <c r="F674" s="0" t="inlineStr">
        <is>
          <t xml:space="preserve">-</t>
        </is>
      </c>
      <c r="G674" s="5">
        <v>0.12783637</v>
      </c>
      <c r="H674" s="0" t="inlineStr">
        <is>
          <t xml:space="preserve">supplier</t>
        </is>
      </c>
      <c r="I674" s="0" t="inlineStr">
        <is>
          <t xml:space="preserve">unbucketed</t>
        </is>
      </c>
      <c r="J674" s="0" t="inlineStr">
        <is>
          <t xml:space="preserve">residual</t>
        </is>
      </c>
      <c r="K674" s="5">
        <v>0</v>
      </c>
      <c r="L674" s="5">
        <v>0</v>
      </c>
      <c r="M674" s="5">
        <v>0.12783637</v>
      </c>
      <c r="N674" s="5">
        <v>0.0</v>
      </c>
      <c r="O674" s="5">
        <v>0.0</v>
      </c>
      <c r="P674" s="5">
        <v>0.0</v>
      </c>
      <c r="Q674" s="5">
        <v>0.0</v>
      </c>
      <c r="R674" s="5">
        <v>0.0</v>
      </c>
      <c r="S674" s="5">
        <v>0.12783637</v>
      </c>
      <c r="T674" s="5">
        <v>0.0</v>
      </c>
      <c r="U674" s="5">
        <v>0.0</v>
      </c>
    </row>
    <row r="675" outlineLevel="1">
      <c r="B675" s="0" t="inlineStr">
        <is>
          <t xml:space="preserve">TIMKEN COMPANY, THE</t>
        </is>
      </c>
      <c r="C675" s="0" t="inlineStr">
        <is>
          <t xml:space="preserve">HK1VJ4NJ6QN7</t>
        </is>
      </c>
      <c r="D675" s="0" t="inlineStr">
        <is>
          <t xml:space="preserve">-</t>
        </is>
      </c>
      <c r="E675" s="0" t="inlineStr">
        <is>
          <t xml:space="preserve">-</t>
        </is>
      </c>
      <c r="F675" s="0" t="inlineStr">
        <is>
          <t xml:space="preserve">-</t>
        </is>
      </c>
      <c r="G675" s="5">
        <v>0.12666149999999998</v>
      </c>
      <c r="H675" s="0" t="inlineStr">
        <is>
          <t xml:space="preserve">supplier</t>
        </is>
      </c>
      <c r="I675" s="0" t="inlineStr">
        <is>
          <t xml:space="preserve">unbucketed</t>
        </is>
      </c>
      <c r="J675" s="0" t="inlineStr">
        <is>
          <t xml:space="preserve">residual</t>
        </is>
      </c>
      <c r="K675" s="5">
        <v>0</v>
      </c>
      <c r="L675" s="5">
        <v>0</v>
      </c>
      <c r="M675" s="5">
        <v>0.12666149999999998</v>
      </c>
      <c r="N675" s="5">
        <v>0.0</v>
      </c>
      <c r="O675" s="5">
        <v>0.0</v>
      </c>
      <c r="P675" s="5">
        <v>0.0</v>
      </c>
      <c r="Q675" s="5">
        <v>0.0</v>
      </c>
      <c r="R675" s="5">
        <v>0.0</v>
      </c>
      <c r="S675" s="5">
        <v>0.0</v>
      </c>
      <c r="T675" s="5">
        <v>0.0</v>
      </c>
      <c r="U675" s="5">
        <v>0.0</v>
      </c>
    </row>
    <row r="676" outlineLevel="1">
      <c r="B676" s="0" t="inlineStr">
        <is>
          <t xml:space="preserve">ROSS MACHINERY SALES, INC</t>
        </is>
      </c>
      <c r="C676" s="0" t="inlineStr">
        <is>
          <t xml:space="preserve">MGFUP827VKV2</t>
        </is>
      </c>
      <c r="D676" s="0" t="inlineStr">
        <is>
          <t xml:space="preserve">-</t>
        </is>
      </c>
      <c r="E676" s="0" t="inlineStr">
        <is>
          <t xml:space="preserve">-</t>
        </is>
      </c>
      <c r="F676" s="0" t="inlineStr">
        <is>
          <t xml:space="preserve">-</t>
        </is>
      </c>
      <c r="G676" s="5">
        <v>0.12616</v>
      </c>
      <c r="H676" s="0" t="inlineStr">
        <is>
          <t xml:space="preserve">supplier</t>
        </is>
      </c>
      <c r="I676" s="0" t="inlineStr">
        <is>
          <t xml:space="preserve">unbucketed</t>
        </is>
      </c>
      <c r="J676" s="0" t="inlineStr">
        <is>
          <t xml:space="preserve">residual</t>
        </is>
      </c>
      <c r="K676" s="5">
        <v>0</v>
      </c>
      <c r="L676" s="5">
        <v>0</v>
      </c>
      <c r="M676" s="5">
        <v>0.12616</v>
      </c>
      <c r="N676" s="5">
        <v>0.0</v>
      </c>
      <c r="O676" s="5">
        <v>0.0</v>
      </c>
      <c r="P676" s="5">
        <v>0.0</v>
      </c>
      <c r="Q676" s="5">
        <v>0.0</v>
      </c>
      <c r="R676" s="5">
        <v>0.0</v>
      </c>
      <c r="S676" s="5">
        <v>0.0</v>
      </c>
      <c r="T676" s="5">
        <v>0.0</v>
      </c>
      <c r="U676" s="5">
        <v>0.0</v>
      </c>
    </row>
    <row r="677" outlineLevel="1">
      <c r="B677" s="0" t="inlineStr">
        <is>
          <t xml:space="preserve">EFG HOLDINGS, INC.</t>
        </is>
      </c>
      <c r="C677" s="0" t="inlineStr">
        <is>
          <t xml:space="preserve">CZKYJKB7H9J7</t>
        </is>
      </c>
      <c r="D677" s="0" t="inlineStr">
        <is>
          <t xml:space="preserve">-</t>
        </is>
      </c>
      <c r="E677" s="0" t="inlineStr">
        <is>
          <t xml:space="preserve">-</t>
        </is>
      </c>
      <c r="F677" s="0" t="inlineStr">
        <is>
          <t xml:space="preserve">-</t>
        </is>
      </c>
      <c r="G677" s="5">
        <v>0.12609984000000002</v>
      </c>
      <c r="H677" s="0" t="inlineStr">
        <is>
          <t xml:space="preserve">supplier</t>
        </is>
      </c>
      <c r="I677" s="0" t="inlineStr">
        <is>
          <t xml:space="preserve">unbucketed</t>
        </is>
      </c>
      <c r="J677" s="0" t="inlineStr">
        <is>
          <t xml:space="preserve">residual</t>
        </is>
      </c>
      <c r="K677" s="5">
        <v>0</v>
      </c>
      <c r="L677" s="5">
        <v>0</v>
      </c>
      <c r="M677" s="5">
        <v>0.12609984000000002</v>
      </c>
      <c r="N677" s="5">
        <v>0.02622336</v>
      </c>
      <c r="O677" s="5">
        <v>0.0</v>
      </c>
      <c r="P677" s="5">
        <v>0.0</v>
      </c>
      <c r="Q677" s="5">
        <v>0.0</v>
      </c>
      <c r="R677" s="5">
        <v>0.09987648</v>
      </c>
      <c r="S677" s="5">
        <v>0.0</v>
      </c>
      <c r="T677" s="5">
        <v>0.0</v>
      </c>
      <c r="U677" s="5">
        <v>0.0</v>
      </c>
    </row>
    <row r="678" outlineLevel="1">
      <c r="B678" s="0" t="inlineStr">
        <is>
          <t xml:space="preserve">POLISCOM SRL</t>
        </is>
      </c>
      <c r="C678" s="0" t="inlineStr">
        <is>
          <t xml:space="preserve">GTDWX1272LQ4</t>
        </is>
      </c>
      <c r="D678" s="0" t="inlineStr">
        <is>
          <t xml:space="preserve">-</t>
        </is>
      </c>
      <c r="E678" s="0" t="inlineStr">
        <is>
          <t xml:space="preserve">-</t>
        </is>
      </c>
      <c r="F678" s="0" t="inlineStr">
        <is>
          <t xml:space="preserve">-</t>
        </is>
      </c>
      <c r="G678" s="5">
        <v>0.12586744</v>
      </c>
      <c r="H678" s="0" t="inlineStr">
        <is>
          <t xml:space="preserve">supplier</t>
        </is>
      </c>
      <c r="I678" s="0" t="inlineStr">
        <is>
          <t xml:space="preserve">unbucketed</t>
        </is>
      </c>
      <c r="J678" s="0" t="inlineStr">
        <is>
          <t xml:space="preserve">residual</t>
        </is>
      </c>
      <c r="K678" s="5">
        <v>0</v>
      </c>
      <c r="L678" s="5">
        <v>0</v>
      </c>
      <c r="M678" s="5">
        <v>0.12586744</v>
      </c>
      <c r="N678" s="5">
        <v>0.0</v>
      </c>
      <c r="O678" s="5">
        <v>0.0</v>
      </c>
      <c r="P678" s="5">
        <v>0.0</v>
      </c>
      <c r="Q678" s="5">
        <v>0.0</v>
      </c>
      <c r="R678" s="5">
        <v>0.0</v>
      </c>
      <c r="S678" s="5">
        <v>0.0</v>
      </c>
      <c r="T678" s="5">
        <v>0.0</v>
      </c>
      <c r="U678" s="5">
        <v>0.0</v>
      </c>
    </row>
    <row r="679" outlineLevel="1">
      <c r="B679" s="0" t="inlineStr">
        <is>
          <t xml:space="preserve">CUSTOM MAGNETICS OF CALIFORNIA INCORPORATED</t>
        </is>
      </c>
      <c r="C679" s="0" t="inlineStr">
        <is>
          <t xml:space="preserve">TSJLBQWEYD73</t>
        </is>
      </c>
      <c r="D679" s="0" t="inlineStr">
        <is>
          <t xml:space="preserve">-</t>
        </is>
      </c>
      <c r="E679" s="0" t="inlineStr">
        <is>
          <t xml:space="preserve">-</t>
        </is>
      </c>
      <c r="F679" s="0" t="inlineStr">
        <is>
          <t xml:space="preserve">-</t>
        </is>
      </c>
      <c r="G679" s="5">
        <v>0.1258</v>
      </c>
      <c r="H679" s="0" t="inlineStr">
        <is>
          <t xml:space="preserve">supplier</t>
        </is>
      </c>
      <c r="I679" s="0" t="inlineStr">
        <is>
          <t xml:space="preserve">unbucketed</t>
        </is>
      </c>
      <c r="J679" s="0" t="inlineStr">
        <is>
          <t xml:space="preserve">residual</t>
        </is>
      </c>
      <c r="K679" s="5">
        <v>0</v>
      </c>
      <c r="L679" s="5">
        <v>0</v>
      </c>
      <c r="M679" s="5">
        <v>0.1258</v>
      </c>
      <c r="N679" s="5">
        <v>0.0</v>
      </c>
      <c r="O679" s="5">
        <v>0.0</v>
      </c>
      <c r="P679" s="5">
        <v>0.0</v>
      </c>
      <c r="Q679" s="5">
        <v>0.0</v>
      </c>
      <c r="R679" s="5">
        <v>0.0</v>
      </c>
      <c r="S679" s="5">
        <v>0.0</v>
      </c>
      <c r="T679" s="5">
        <v>0.0</v>
      </c>
      <c r="U679" s="5">
        <v>0.0</v>
      </c>
    </row>
    <row r="680" outlineLevel="1">
      <c r="B680" s="0" t="inlineStr">
        <is>
          <t xml:space="preserve">MANUFACTURER'S RUBBER &amp; SUPPLY CO, INC.</t>
        </is>
      </c>
      <c r="C680" s="0" t="inlineStr">
        <is>
          <t xml:space="preserve">T9U5YKZRMHH5</t>
        </is>
      </c>
      <c r="D680" s="0" t="inlineStr">
        <is>
          <t xml:space="preserve">-</t>
        </is>
      </c>
      <c r="E680" s="0" t="inlineStr">
        <is>
          <t xml:space="preserve">-</t>
        </is>
      </c>
      <c r="F680" s="0" t="inlineStr">
        <is>
          <t xml:space="preserve">-</t>
        </is>
      </c>
      <c r="G680" s="5">
        <v>0.12441288</v>
      </c>
      <c r="H680" s="0" t="inlineStr">
        <is>
          <t xml:space="preserve">supplier</t>
        </is>
      </c>
      <c r="I680" s="0" t="inlineStr">
        <is>
          <t xml:space="preserve">unbucketed</t>
        </is>
      </c>
      <c r="J680" s="0" t="inlineStr">
        <is>
          <t xml:space="preserve">residual</t>
        </is>
      </c>
      <c r="K680" s="5">
        <v>0</v>
      </c>
      <c r="L680" s="5">
        <v>0</v>
      </c>
      <c r="M680" s="5">
        <v>0.12441288</v>
      </c>
      <c r="N680" s="5">
        <v>0.0</v>
      </c>
      <c r="O680" s="5">
        <v>0.08777288000000001</v>
      </c>
      <c r="P680" s="5">
        <v>0.03664</v>
      </c>
      <c r="Q680" s="5">
        <v>0.0</v>
      </c>
      <c r="R680" s="5">
        <v>0.0</v>
      </c>
      <c r="S680" s="5">
        <v>0.0</v>
      </c>
      <c r="T680" s="5">
        <v>0.0</v>
      </c>
      <c r="U680" s="5">
        <v>0.0</v>
      </c>
    </row>
    <row r="681" outlineLevel="1">
      <c r="B681" s="0" t="inlineStr">
        <is>
          <t xml:space="preserve">ADMIRAL FILTER COMPANY LLC</t>
        </is>
      </c>
      <c r="C681" s="0" t="inlineStr">
        <is>
          <t xml:space="preserve">WEK3JBN7G6L7</t>
        </is>
      </c>
      <c r="D681" s="0" t="inlineStr">
        <is>
          <t xml:space="preserve">-</t>
        </is>
      </c>
      <c r="E681" s="0" t="inlineStr">
        <is>
          <t xml:space="preserve">-</t>
        </is>
      </c>
      <c r="F681" s="0" t="inlineStr">
        <is>
          <t xml:space="preserve">-</t>
        </is>
      </c>
      <c r="G681" s="5">
        <v>0.12107383999999999</v>
      </c>
      <c r="H681" s="0" t="inlineStr">
        <is>
          <t xml:space="preserve">supplier</t>
        </is>
      </c>
      <c r="I681" s="0" t="inlineStr">
        <is>
          <t xml:space="preserve">unbucketed</t>
        </is>
      </c>
      <c r="J681" s="0" t="inlineStr">
        <is>
          <t xml:space="preserve">residual</t>
        </is>
      </c>
      <c r="K681" s="5">
        <v>0</v>
      </c>
      <c r="L681" s="5">
        <v>0</v>
      </c>
      <c r="M681" s="5">
        <v>0.12107383999999999</v>
      </c>
      <c r="N681" s="5">
        <v>0.0</v>
      </c>
      <c r="O681" s="5">
        <v>0.0</v>
      </c>
      <c r="P681" s="5">
        <v>0.0</v>
      </c>
      <c r="Q681" s="5">
        <v>0.0</v>
      </c>
      <c r="R681" s="5">
        <v>0.0</v>
      </c>
      <c r="S681" s="5">
        <v>0.0</v>
      </c>
      <c r="T681" s="5">
        <v>0.0</v>
      </c>
      <c r="U681" s="5">
        <v>0.0</v>
      </c>
    </row>
    <row r="682" outlineLevel="1">
      <c r="B682" s="0" t="inlineStr">
        <is>
          <t xml:space="preserve">AUTOMATED PRECISION INC.</t>
        </is>
      </c>
      <c r="C682" s="0" t="inlineStr">
        <is>
          <t xml:space="preserve">LR8MS4H7N2U5</t>
        </is>
      </c>
      <c r="D682" s="0" t="inlineStr">
        <is>
          <t xml:space="preserve">-</t>
        </is>
      </c>
      <c r="E682" s="0" t="inlineStr">
        <is>
          <t xml:space="preserve">-</t>
        </is>
      </c>
      <c r="F682" s="0" t="inlineStr">
        <is>
          <t xml:space="preserve">-</t>
        </is>
      </c>
      <c r="G682" s="5">
        <v>0.119135</v>
      </c>
      <c r="H682" s="0" t="inlineStr">
        <is>
          <t xml:space="preserve">supplier</t>
        </is>
      </c>
      <c r="I682" s="0" t="inlineStr">
        <is>
          <t xml:space="preserve">unbucketed</t>
        </is>
      </c>
      <c r="J682" s="0" t="inlineStr">
        <is>
          <t xml:space="preserve">residual</t>
        </is>
      </c>
      <c r="K682" s="5">
        <v>0</v>
      </c>
      <c r="L682" s="5">
        <v>0</v>
      </c>
      <c r="M682" s="5">
        <v>0.119135</v>
      </c>
      <c r="N682" s="5">
        <v>0.0</v>
      </c>
      <c r="O682" s="5">
        <v>0.0</v>
      </c>
      <c r="P682" s="5">
        <v>0.0</v>
      </c>
      <c r="Q682" s="5">
        <v>0.0</v>
      </c>
      <c r="R682" s="5">
        <v>0.119135</v>
      </c>
      <c r="S682" s="5">
        <v>0.0</v>
      </c>
      <c r="T682" s="5">
        <v>0.0</v>
      </c>
      <c r="U682" s="5">
        <v>0.0</v>
      </c>
    </row>
    <row r="683" outlineLevel="1">
      <c r="B683" s="0" t="inlineStr">
        <is>
          <t xml:space="preserve">PRIME TECHNOLOGY, LLC</t>
        </is>
      </c>
      <c r="C683" s="0" t="inlineStr">
        <is>
          <t xml:space="preserve">U5DDDFM4LJS3</t>
        </is>
      </c>
      <c r="D683" s="0" t="inlineStr">
        <is>
          <t xml:space="preserve">-</t>
        </is>
      </c>
      <c r="E683" s="0" t="inlineStr">
        <is>
          <t xml:space="preserve">-</t>
        </is>
      </c>
      <c r="F683" s="0" t="inlineStr">
        <is>
          <t xml:space="preserve">-</t>
        </is>
      </c>
      <c r="G683" s="5">
        <v>0.11885227999999999</v>
      </c>
      <c r="H683" s="0" t="inlineStr">
        <is>
          <t xml:space="preserve">supplier</t>
        </is>
      </c>
      <c r="I683" s="0" t="inlineStr">
        <is>
          <t xml:space="preserve">unbucketed</t>
        </is>
      </c>
      <c r="J683" s="0" t="inlineStr">
        <is>
          <t xml:space="preserve">residual</t>
        </is>
      </c>
      <c r="K683" s="5">
        <v>0</v>
      </c>
      <c r="L683" s="5">
        <v>0</v>
      </c>
      <c r="M683" s="5">
        <v>0.11885227999999999</v>
      </c>
      <c r="N683" s="5">
        <v>0.0</v>
      </c>
      <c r="O683" s="5">
        <v>0.0</v>
      </c>
      <c r="P683" s="5">
        <v>0.0</v>
      </c>
      <c r="Q683" s="5">
        <v>0.0</v>
      </c>
      <c r="R683" s="5">
        <v>0.0</v>
      </c>
      <c r="S683" s="5">
        <v>0.0</v>
      </c>
      <c r="T683" s="5">
        <v>0.0</v>
      </c>
      <c r="U683" s="5">
        <v>0.0</v>
      </c>
    </row>
    <row r="684" outlineLevel="1">
      <c r="B684" s="0" t="inlineStr">
        <is>
          <t xml:space="preserve">SCHROEDER INDUSTRIES LLC</t>
        </is>
      </c>
      <c r="C684" s="0" t="inlineStr">
        <is>
          <t xml:space="preserve">R7JLC1Y2PLJ1</t>
        </is>
      </c>
      <c r="D684" s="0" t="inlineStr">
        <is>
          <t xml:space="preserve">-</t>
        </is>
      </c>
      <c r="E684" s="0" t="inlineStr">
        <is>
          <t xml:space="preserve">-</t>
        </is>
      </c>
      <c r="F684" s="0" t="inlineStr">
        <is>
          <t xml:space="preserve">-</t>
        </is>
      </c>
      <c r="G684" s="5">
        <v>0.11862347999999999</v>
      </c>
      <c r="H684" s="0" t="inlineStr">
        <is>
          <t xml:space="preserve">supplier</t>
        </is>
      </c>
      <c r="I684" s="0" t="inlineStr">
        <is>
          <t xml:space="preserve">unbucketed</t>
        </is>
      </c>
      <c r="J684" s="0" t="inlineStr">
        <is>
          <t xml:space="preserve">residual</t>
        </is>
      </c>
      <c r="K684" s="5">
        <v>0</v>
      </c>
      <c r="L684" s="5">
        <v>0</v>
      </c>
      <c r="M684" s="5">
        <v>0.11862347999999999</v>
      </c>
      <c r="N684" s="5">
        <v>0.0</v>
      </c>
      <c r="O684" s="5">
        <v>0.0</v>
      </c>
      <c r="P684" s="5">
        <v>0.0</v>
      </c>
      <c r="Q684" s="5">
        <v>0.0</v>
      </c>
      <c r="R684" s="5">
        <v>0.0</v>
      </c>
      <c r="S684" s="5">
        <v>0.11862347999999999</v>
      </c>
      <c r="T684" s="5">
        <v>0.0</v>
      </c>
      <c r="U684" s="5">
        <v>0.0</v>
      </c>
    </row>
    <row r="685" outlineLevel="1">
      <c r="B685" s="0" t="inlineStr">
        <is>
          <t xml:space="preserve">MAINE TECHNICAL SOURCE</t>
        </is>
      </c>
      <c r="C685" s="0" t="inlineStr">
        <is>
          <t xml:space="preserve">EH4ZYJ5CMLP9</t>
        </is>
      </c>
      <c r="D685" s="0" t="inlineStr">
        <is>
          <t xml:space="preserve">-</t>
        </is>
      </c>
      <c r="E685" s="0" t="inlineStr">
        <is>
          <t xml:space="preserve">-</t>
        </is>
      </c>
      <c r="F685" s="0" t="inlineStr">
        <is>
          <t xml:space="preserve">-</t>
        </is>
      </c>
      <c r="G685" s="5">
        <v>0.11532</v>
      </c>
      <c r="H685" s="0" t="inlineStr">
        <is>
          <t xml:space="preserve">supplier</t>
        </is>
      </c>
      <c r="I685" s="0" t="inlineStr">
        <is>
          <t xml:space="preserve">unbucketed</t>
        </is>
      </c>
      <c r="J685" s="0" t="inlineStr">
        <is>
          <t xml:space="preserve">residual</t>
        </is>
      </c>
      <c r="K685" s="5">
        <v>0</v>
      </c>
      <c r="L685" s="5">
        <v>0</v>
      </c>
      <c r="M685" s="5">
        <v>0.11532</v>
      </c>
      <c r="N685" s="5">
        <v>0.0</v>
      </c>
      <c r="O685" s="5">
        <v>0.0</v>
      </c>
      <c r="P685" s="5">
        <v>0.0</v>
      </c>
      <c r="Q685" s="5">
        <v>0.0</v>
      </c>
      <c r="R685" s="5">
        <v>0.11532</v>
      </c>
      <c r="S685" s="5">
        <v>0.0</v>
      </c>
      <c r="T685" s="5">
        <v>0.0</v>
      </c>
      <c r="U685" s="5">
        <v>0.0</v>
      </c>
    </row>
    <row r="686" outlineLevel="1">
      <c r="B686" s="0" t="inlineStr">
        <is>
          <t xml:space="preserve">FEDERAL BRONZE CASTING INDS</t>
        </is>
      </c>
      <c r="C686" s="0" t="inlineStr">
        <is>
          <t xml:space="preserve">HTR5K76FMH84</t>
        </is>
      </c>
      <c r="D686" s="0" t="inlineStr">
        <is>
          <t xml:space="preserve">-</t>
        </is>
      </c>
      <c r="E686" s="0" t="inlineStr">
        <is>
          <t xml:space="preserve">-</t>
        </is>
      </c>
      <c r="F686" s="0" t="inlineStr">
        <is>
          <t xml:space="preserve">-</t>
        </is>
      </c>
      <c r="G686" s="5">
        <v>0.11427999999999999</v>
      </c>
      <c r="H686" s="0" t="inlineStr">
        <is>
          <t xml:space="preserve">supplier</t>
        </is>
      </c>
      <c r="I686" s="0" t="inlineStr">
        <is>
          <t xml:space="preserve">unbucketed</t>
        </is>
      </c>
      <c r="J686" s="0" t="inlineStr">
        <is>
          <t xml:space="preserve">residual</t>
        </is>
      </c>
      <c r="K686" s="5">
        <v>0</v>
      </c>
      <c r="L686" s="5">
        <v>0</v>
      </c>
      <c r="M686" s="5">
        <v>0.11427999999999999</v>
      </c>
      <c r="N686" s="5">
        <v>0.0</v>
      </c>
      <c r="O686" s="5">
        <v>0.0</v>
      </c>
      <c r="P686" s="5">
        <v>0.0</v>
      </c>
      <c r="Q686" s="5">
        <v>0.0</v>
      </c>
      <c r="R686" s="5">
        <v>0.0</v>
      </c>
      <c r="S686" s="5">
        <v>0.0</v>
      </c>
      <c r="T686" s="5">
        <v>0.0</v>
      </c>
      <c r="U686" s="5">
        <v>0.0</v>
      </c>
    </row>
    <row r="687" outlineLevel="1">
      <c r="B687" s="0" t="inlineStr">
        <is>
          <t xml:space="preserve">CHROMALOX INC</t>
        </is>
      </c>
      <c r="C687" s="0" t="inlineStr">
        <is>
          <t xml:space="preserve">Z85NS892LYA8</t>
        </is>
      </c>
      <c r="D687" s="0" t="inlineStr">
        <is>
          <t xml:space="preserve">-</t>
        </is>
      </c>
      <c r="E687" s="0" t="inlineStr">
        <is>
          <t xml:space="preserve">-</t>
        </is>
      </c>
      <c r="F687" s="0" t="inlineStr">
        <is>
          <t xml:space="preserve">-</t>
        </is>
      </c>
      <c r="G687" s="5">
        <v>0.114164</v>
      </c>
      <c r="H687" s="0" t="inlineStr">
        <is>
          <t xml:space="preserve">supplier</t>
        </is>
      </c>
      <c r="I687" s="0" t="inlineStr">
        <is>
          <t xml:space="preserve">unbucketed</t>
        </is>
      </c>
      <c r="J687" s="0" t="inlineStr">
        <is>
          <t xml:space="preserve">residual</t>
        </is>
      </c>
      <c r="K687" s="5">
        <v>0</v>
      </c>
      <c r="L687" s="5">
        <v>0</v>
      </c>
      <c r="M687" s="5">
        <v>0.114164</v>
      </c>
      <c r="N687" s="5">
        <v>0.0</v>
      </c>
      <c r="O687" s="5">
        <v>0.114164</v>
      </c>
      <c r="P687" s="5">
        <v>0.0</v>
      </c>
      <c r="Q687" s="5">
        <v>0.0</v>
      </c>
      <c r="R687" s="5">
        <v>0.0</v>
      </c>
      <c r="S687" s="5">
        <v>0.0</v>
      </c>
      <c r="T687" s="5">
        <v>0.0</v>
      </c>
      <c r="U687" s="5">
        <v>0.0</v>
      </c>
    </row>
    <row r="688" outlineLevel="1">
      <c r="B688" s="0" t="inlineStr">
        <is>
          <t xml:space="preserve">ASPEQ HEATING GROUP LLC</t>
        </is>
      </c>
      <c r="C688" s="0" t="inlineStr">
        <is>
          <t xml:space="preserve">DTCND1MN7J15</t>
        </is>
      </c>
      <c r="D688" s="0" t="inlineStr">
        <is>
          <t xml:space="preserve">-</t>
        </is>
      </c>
      <c r="E688" s="0" t="inlineStr">
        <is>
          <t xml:space="preserve">-</t>
        </is>
      </c>
      <c r="F688" s="0" t="inlineStr">
        <is>
          <t xml:space="preserve">-</t>
        </is>
      </c>
      <c r="G688" s="5">
        <v>0.1139223</v>
      </c>
      <c r="H688" s="0" t="inlineStr">
        <is>
          <t xml:space="preserve">supplier</t>
        </is>
      </c>
      <c r="I688" s="0" t="inlineStr">
        <is>
          <t xml:space="preserve">unbucketed</t>
        </is>
      </c>
      <c r="J688" s="0" t="inlineStr">
        <is>
          <t xml:space="preserve">residual</t>
        </is>
      </c>
      <c r="K688" s="5">
        <v>0</v>
      </c>
      <c r="L688" s="5">
        <v>0</v>
      </c>
      <c r="M688" s="5">
        <v>0.1139223</v>
      </c>
      <c r="N688" s="5">
        <v>-0.001824</v>
      </c>
      <c r="O688" s="5">
        <v>0.053518050000000005</v>
      </c>
      <c r="P688" s="5">
        <v>0.0</v>
      </c>
      <c r="Q688" s="5">
        <v>0.0</v>
      </c>
      <c r="R688" s="5">
        <v>0.0</v>
      </c>
      <c r="S688" s="5">
        <v>0.0</v>
      </c>
      <c r="T688" s="5">
        <v>0.06222824999999999</v>
      </c>
      <c r="U688" s="5">
        <v>0.0</v>
      </c>
    </row>
    <row r="689" outlineLevel="1">
      <c r="B689" s="0" t="inlineStr">
        <is>
          <t xml:space="preserve">PENN STATE TOOL &amp; DIE CORPORATION</t>
        </is>
      </c>
      <c r="C689" s="0" t="inlineStr">
        <is>
          <t xml:space="preserve">JN9QTLH7KL47</t>
        </is>
      </c>
      <c r="D689" s="0" t="inlineStr">
        <is>
          <t xml:space="preserve">-</t>
        </is>
      </c>
      <c r="E689" s="0" t="inlineStr">
        <is>
          <t xml:space="preserve">-</t>
        </is>
      </c>
      <c r="F689" s="0" t="inlineStr">
        <is>
          <t xml:space="preserve">-</t>
        </is>
      </c>
      <c r="G689" s="5">
        <v>0.112248</v>
      </c>
      <c r="H689" s="0" t="inlineStr">
        <is>
          <t xml:space="preserve">supplier</t>
        </is>
      </c>
      <c r="I689" s="0" t="inlineStr">
        <is>
          <t xml:space="preserve">unbucketed</t>
        </is>
      </c>
      <c r="J689" s="0" t="inlineStr">
        <is>
          <t xml:space="preserve">residual</t>
        </is>
      </c>
      <c r="K689" s="5">
        <v>0</v>
      </c>
      <c r="L689" s="5">
        <v>0</v>
      </c>
      <c r="M689" s="5">
        <v>0.0</v>
      </c>
      <c r="N689" s="5">
        <v>0.0</v>
      </c>
      <c r="O689" s="5">
        <v>0.0</v>
      </c>
      <c r="P689" s="5">
        <v>0.0</v>
      </c>
      <c r="Q689" s="5">
        <v>0.0</v>
      </c>
      <c r="R689" s="5">
        <v>0.0</v>
      </c>
      <c r="S689" s="5">
        <v>0.0</v>
      </c>
      <c r="T689" s="5">
        <v>0.0</v>
      </c>
      <c r="U689" s="5">
        <v>0.0</v>
      </c>
    </row>
    <row r="690" outlineLevel="1">
      <c r="B690" s="0" t="inlineStr">
        <is>
          <t xml:space="preserve">SIMULATION AND CONTROL TECHNOLOGIES, INC.</t>
        </is>
      </c>
      <c r="C690" s="0" t="inlineStr">
        <is>
          <t xml:space="preserve">MN5LYLMWBGK8</t>
        </is>
      </c>
      <c r="D690" s="0" t="inlineStr">
        <is>
          <t xml:space="preserve">-</t>
        </is>
      </c>
      <c r="E690" s="0" t="inlineStr">
        <is>
          <t xml:space="preserve">-</t>
        </is>
      </c>
      <c r="F690" s="0" t="inlineStr">
        <is>
          <t xml:space="preserve">-</t>
        </is>
      </c>
      <c r="G690" s="5">
        <v>0.1122</v>
      </c>
      <c r="H690" s="0" t="inlineStr">
        <is>
          <t xml:space="preserve">supplier</t>
        </is>
      </c>
      <c r="I690" s="0" t="inlineStr">
        <is>
          <t xml:space="preserve">unbucketed</t>
        </is>
      </c>
      <c r="J690" s="0" t="inlineStr">
        <is>
          <t xml:space="preserve">residual</t>
        </is>
      </c>
      <c r="K690" s="5">
        <v>0</v>
      </c>
      <c r="L690" s="5">
        <v>0</v>
      </c>
      <c r="M690" s="5">
        <v>0.1122</v>
      </c>
      <c r="N690" s="5">
        <v>0.0</v>
      </c>
      <c r="O690" s="5">
        <v>0.0</v>
      </c>
      <c r="P690" s="5">
        <v>0.0</v>
      </c>
      <c r="Q690" s="5">
        <v>0.0</v>
      </c>
      <c r="R690" s="5">
        <v>0.0</v>
      </c>
      <c r="S690" s="5">
        <v>0.0</v>
      </c>
      <c r="T690" s="5">
        <v>0.0</v>
      </c>
      <c r="U690" s="5">
        <v>0.0</v>
      </c>
    </row>
    <row r="691" outlineLevel="1">
      <c r="B691" s="0" t="inlineStr">
        <is>
          <t xml:space="preserve">FRIES SPINNING &amp; STAMPINGS INC</t>
        </is>
      </c>
      <c r="C691" s="0" t="inlineStr">
        <is>
          <t xml:space="preserve">WW6HFEMKWPC5</t>
        </is>
      </c>
      <c r="D691" s="0" t="inlineStr">
        <is>
          <t xml:space="preserve">-</t>
        </is>
      </c>
      <c r="E691" s="0" t="inlineStr">
        <is>
          <t xml:space="preserve">-</t>
        </is>
      </c>
      <c r="F691" s="0" t="inlineStr">
        <is>
          <t xml:space="preserve">-</t>
        </is>
      </c>
      <c r="G691" s="5">
        <v>0.11058999999999998</v>
      </c>
      <c r="H691" s="0" t="inlineStr">
        <is>
          <t xml:space="preserve">supplier</t>
        </is>
      </c>
      <c r="I691" s="0" t="inlineStr">
        <is>
          <t xml:space="preserve">unbucketed</t>
        </is>
      </c>
      <c r="J691" s="0" t="inlineStr">
        <is>
          <t xml:space="preserve">residual</t>
        </is>
      </c>
      <c r="K691" s="5">
        <v>0</v>
      </c>
      <c r="L691" s="5">
        <v>0</v>
      </c>
      <c r="M691" s="5">
        <v>0.11058999999999998</v>
      </c>
      <c r="N691" s="5">
        <v>-0.00524</v>
      </c>
      <c r="O691" s="5">
        <v>0.0</v>
      </c>
      <c r="P691" s="5">
        <v>0.0</v>
      </c>
      <c r="Q691" s="5">
        <v>0.0</v>
      </c>
      <c r="R691" s="5">
        <v>0.0</v>
      </c>
      <c r="S691" s="5">
        <v>0.0</v>
      </c>
      <c r="T691" s="5">
        <v>0.0</v>
      </c>
      <c r="U691" s="5">
        <v>0.0</v>
      </c>
    </row>
    <row r="692" outlineLevel="1">
      <c r="B692" s="0" t="inlineStr">
        <is>
          <t xml:space="preserve">RAYTHEON TECHNOLOGIES CORPORATION</t>
        </is>
      </c>
      <c r="C692" s="0" t="inlineStr">
        <is>
          <t xml:space="preserve">MKRCHD2CBAY1</t>
        </is>
      </c>
      <c r="D692" s="0" t="inlineStr">
        <is>
          <t xml:space="preserve">-</t>
        </is>
      </c>
      <c r="E692" s="0" t="inlineStr">
        <is>
          <t xml:space="preserve">-</t>
        </is>
      </c>
      <c r="F692" s="0" t="inlineStr">
        <is>
          <t xml:space="preserve">-</t>
        </is>
      </c>
      <c r="G692" s="5">
        <v>0.11057212</v>
      </c>
      <c r="H692" s="0" t="inlineStr">
        <is>
          <t xml:space="preserve">gfe_sib</t>
        </is>
      </c>
      <c r="I692" s="0" t="inlineStr">
        <is>
          <t xml:space="preserve">-</t>
        </is>
      </c>
      <c r="J692" s="0" t="inlineStr">
        <is>
          <t xml:space="preserve">GFE/SIB name</t>
        </is>
      </c>
      <c r="K692" s="5">
        <v>0</v>
      </c>
      <c r="L692" s="5">
        <v>0</v>
      </c>
      <c r="M692" s="5">
        <v>0.11057212</v>
      </c>
      <c r="N692" s="5">
        <v>0.0</v>
      </c>
      <c r="O692" s="5">
        <v>0.0</v>
      </c>
      <c r="P692" s="5">
        <v>0.0</v>
      </c>
      <c r="Q692" s="5">
        <v>0.0</v>
      </c>
      <c r="R692" s="5">
        <v>0.05872942</v>
      </c>
      <c r="S692" s="5">
        <v>0.0</v>
      </c>
      <c r="T692" s="5">
        <v>0.0</v>
      </c>
      <c r="U692" s="5">
        <v>0.0</v>
      </c>
    </row>
    <row r="693" outlineLevel="1">
      <c r="B693" s="0" t="inlineStr">
        <is>
          <t xml:space="preserve">FORD &amp; ULRICH INC</t>
        </is>
      </c>
      <c r="C693" s="0" t="inlineStr">
        <is>
          <t xml:space="preserve">E6H2BBJ1LD19</t>
        </is>
      </c>
      <c r="D693" s="0" t="inlineStr">
        <is>
          <t xml:space="preserve">-</t>
        </is>
      </c>
      <c r="E693" s="0" t="inlineStr">
        <is>
          <t xml:space="preserve">-</t>
        </is>
      </c>
      <c r="F693" s="0" t="inlineStr">
        <is>
          <t xml:space="preserve">-</t>
        </is>
      </c>
      <c r="G693" s="5">
        <v>0.1104</v>
      </c>
      <c r="H693" s="0" t="inlineStr">
        <is>
          <t xml:space="preserve">supplier</t>
        </is>
      </c>
      <c r="I693" s="0" t="inlineStr">
        <is>
          <t xml:space="preserve">unbucketed</t>
        </is>
      </c>
      <c r="J693" s="0" t="inlineStr">
        <is>
          <t xml:space="preserve">residual</t>
        </is>
      </c>
      <c r="K693" s="5">
        <v>0</v>
      </c>
      <c r="L693" s="5">
        <v>0</v>
      </c>
      <c r="M693" s="5">
        <v>0.1104</v>
      </c>
      <c r="N693" s="5">
        <v>0.0</v>
      </c>
      <c r="O693" s="5">
        <v>0.0</v>
      </c>
      <c r="P693" s="5">
        <v>0.0</v>
      </c>
      <c r="Q693" s="5">
        <v>0.0</v>
      </c>
      <c r="R693" s="5">
        <v>0.0</v>
      </c>
      <c r="S693" s="5">
        <v>0.1104</v>
      </c>
      <c r="T693" s="5">
        <v>0.0</v>
      </c>
      <c r="U693" s="5">
        <v>0.0</v>
      </c>
    </row>
    <row r="694" outlineLevel="1">
      <c r="B694" s="0" t="inlineStr">
        <is>
          <t xml:space="preserve">SCHLUMBERGER N.V.</t>
        </is>
      </c>
      <c r="C694" s="0" t="inlineStr">
        <is>
          <t xml:space="preserve">FJMAMQK89ZB8</t>
        </is>
      </c>
      <c r="D694" s="0" t="inlineStr">
        <is>
          <t xml:space="preserve">-</t>
        </is>
      </c>
      <c r="E694" s="0" t="inlineStr">
        <is>
          <t xml:space="preserve">-</t>
        </is>
      </c>
      <c r="F694" s="0" t="inlineStr">
        <is>
          <t xml:space="preserve">-</t>
        </is>
      </c>
      <c r="G694" s="5">
        <v>0.110231</v>
      </c>
      <c r="H694" s="0" t="inlineStr">
        <is>
          <t xml:space="preserve">supplier</t>
        </is>
      </c>
      <c r="I694" s="0" t="inlineStr">
        <is>
          <t xml:space="preserve">unbucketed</t>
        </is>
      </c>
      <c r="J694" s="0" t="inlineStr">
        <is>
          <t xml:space="preserve">residual</t>
        </is>
      </c>
      <c r="K694" s="5">
        <v>0</v>
      </c>
      <c r="L694" s="5">
        <v>0</v>
      </c>
      <c r="M694" s="5">
        <v>0.110231</v>
      </c>
      <c r="N694" s="5">
        <v>0.0</v>
      </c>
      <c r="O694" s="5">
        <v>0.0</v>
      </c>
      <c r="P694" s="5">
        <v>0.0</v>
      </c>
      <c r="Q694" s="5">
        <v>0.0</v>
      </c>
      <c r="R694" s="5">
        <v>0.0</v>
      </c>
      <c r="S694" s="5">
        <v>0.0</v>
      </c>
      <c r="T694" s="5">
        <v>0.0</v>
      </c>
      <c r="U694" s="5">
        <v>0.0</v>
      </c>
    </row>
    <row r="695" outlineLevel="1">
      <c r="B695" s="0" t="inlineStr">
        <is>
          <t xml:space="preserve">JONATHAN ENGINEERED SOLUTIONS CORP.</t>
        </is>
      </c>
      <c r="C695" s="0" t="inlineStr">
        <is>
          <t xml:space="preserve">K5WVCD4GUK41</t>
        </is>
      </c>
      <c r="D695" s="0" t="inlineStr">
        <is>
          <t xml:space="preserve">-</t>
        </is>
      </c>
      <c r="E695" s="0" t="inlineStr">
        <is>
          <t xml:space="preserve">-</t>
        </is>
      </c>
      <c r="F695" s="0" t="inlineStr">
        <is>
          <t xml:space="preserve">-</t>
        </is>
      </c>
      <c r="G695" s="5">
        <v>0.10932372000000001</v>
      </c>
      <c r="H695" s="0" t="inlineStr">
        <is>
          <t xml:space="preserve">supplier</t>
        </is>
      </c>
      <c r="I695" s="0" t="inlineStr">
        <is>
          <t xml:space="preserve">unbucketed</t>
        </is>
      </c>
      <c r="J695" s="0" t="inlineStr">
        <is>
          <t xml:space="preserve">residual</t>
        </is>
      </c>
      <c r="K695" s="5">
        <v>0</v>
      </c>
      <c r="L695" s="5">
        <v>0</v>
      </c>
      <c r="M695" s="5">
        <v>0.10932372000000001</v>
      </c>
      <c r="N695" s="5">
        <v>0.0</v>
      </c>
      <c r="O695" s="5">
        <v>0.04988184</v>
      </c>
      <c r="P695" s="5">
        <v>0.0</v>
      </c>
      <c r="Q695" s="5">
        <v>0.0</v>
      </c>
      <c r="R695" s="5">
        <v>0.0</v>
      </c>
      <c r="S695" s="5">
        <v>0.0</v>
      </c>
      <c r="T695" s="5">
        <v>0.0</v>
      </c>
      <c r="U695" s="5">
        <v>0.0</v>
      </c>
    </row>
    <row r="696" outlineLevel="1">
      <c r="B696" s="0" t="inlineStr">
        <is>
          <t xml:space="preserve">MARIA DO CARMO DE ALBUQUERQUE LINS</t>
        </is>
      </c>
      <c r="C696" s="0" t="inlineStr">
        <is>
          <t xml:space="preserve">X96XQ88UFHM5</t>
        </is>
      </c>
      <c r="D696" s="0" t="inlineStr">
        <is>
          <t xml:space="preserve">Foreign</t>
        </is>
      </c>
      <c r="E696" s="0" t="inlineStr">
        <is>
          <t xml:space="preserve">-</t>
        </is>
      </c>
      <c r="F696" s="0" t="inlineStr">
        <is>
          <t xml:space="preserve">-</t>
        </is>
      </c>
      <c r="G696" s="5">
        <v>0.109202</v>
      </c>
      <c r="H696" s="0" t="inlineStr">
        <is>
          <t xml:space="preserve">foreign_fms</t>
        </is>
      </c>
      <c r="I696" s="0" t="inlineStr">
        <is>
          <t xml:space="preserve">-</t>
        </is>
      </c>
      <c r="J696" s="0" t="inlineStr">
        <is>
          <t xml:space="preserve">foreign flag</t>
        </is>
      </c>
      <c r="K696" s="5">
        <v>0</v>
      </c>
      <c r="L696" s="5">
        <v>0</v>
      </c>
      <c r="M696" s="5">
        <v>0.109202</v>
      </c>
      <c r="N696" s="5">
        <v>0.0</v>
      </c>
      <c r="O696" s="5">
        <v>0.0</v>
      </c>
      <c r="P696" s="5">
        <v>0.0</v>
      </c>
      <c r="Q696" s="5">
        <v>0.0</v>
      </c>
      <c r="R696" s="5">
        <v>0.0</v>
      </c>
      <c r="S696" s="5">
        <v>0.0</v>
      </c>
      <c r="T696" s="5">
        <v>0.0</v>
      </c>
      <c r="U696" s="5">
        <v>0.0</v>
      </c>
    </row>
    <row r="697" outlineLevel="1">
      <c r="B697" s="0" t="inlineStr">
        <is>
          <t xml:space="preserve">FORTIVE CORPORATION</t>
        </is>
      </c>
      <c r="C697" s="0" t="inlineStr">
        <is>
          <t xml:space="preserve">M4ANYAZ8Q6H8</t>
        </is>
      </c>
      <c r="D697" s="0" t="inlineStr">
        <is>
          <t xml:space="preserve">-</t>
        </is>
      </c>
      <c r="E697" s="0" t="inlineStr">
        <is>
          <t xml:space="preserve">-</t>
        </is>
      </c>
      <c r="F697" s="0" t="inlineStr">
        <is>
          <t xml:space="preserve">-</t>
        </is>
      </c>
      <c r="G697" s="5">
        <v>0.10848408000000001</v>
      </c>
      <c r="H697" s="0" t="inlineStr">
        <is>
          <t xml:space="preserve">supplier</t>
        </is>
      </c>
      <c r="I697" s="0" t="inlineStr">
        <is>
          <t xml:space="preserve">unbucketed</t>
        </is>
      </c>
      <c r="J697" s="0" t="inlineStr">
        <is>
          <t xml:space="preserve">residual</t>
        </is>
      </c>
      <c r="K697" s="5">
        <v>0</v>
      </c>
      <c r="L697" s="5">
        <v>0</v>
      </c>
      <c r="M697" s="5">
        <v>0.10848408000000001</v>
      </c>
      <c r="N697" s="5">
        <v>0.0</v>
      </c>
      <c r="O697" s="5">
        <v>0.0</v>
      </c>
      <c r="P697" s="5">
        <v>0.0</v>
      </c>
      <c r="Q697" s="5">
        <v>0.0</v>
      </c>
      <c r="R697" s="5">
        <v>0.0</v>
      </c>
      <c r="S697" s="5">
        <v>0.0</v>
      </c>
      <c r="T697" s="5">
        <v>0.0</v>
      </c>
      <c r="U697" s="5">
        <v>0.0</v>
      </c>
    </row>
    <row r="698" outlineLevel="1">
      <c r="B698" s="0" t="inlineStr">
        <is>
          <t xml:space="preserve">CPT INVESTMENTS APS</t>
        </is>
      </c>
      <c r="C698" s="0" t="inlineStr">
        <is>
          <t xml:space="preserve">XSVGNUK78U74</t>
        </is>
      </c>
      <c r="D698" s="0" t="inlineStr">
        <is>
          <t xml:space="preserve">Foreign</t>
        </is>
      </c>
      <c r="E698" s="0" t="inlineStr">
        <is>
          <t xml:space="preserve">-</t>
        </is>
      </c>
      <c r="F698" s="0" t="inlineStr">
        <is>
          <t xml:space="preserve">-</t>
        </is>
      </c>
      <c r="G698" s="5">
        <v>0.10690939999999999</v>
      </c>
      <c r="H698" s="0" t="inlineStr">
        <is>
          <t xml:space="preserve">foreign_fms</t>
        </is>
      </c>
      <c r="I698" s="0" t="inlineStr">
        <is>
          <t xml:space="preserve">-</t>
        </is>
      </c>
      <c r="J698" s="0" t="inlineStr">
        <is>
          <t xml:space="preserve">foreign flag</t>
        </is>
      </c>
      <c r="K698" s="5">
        <v>0</v>
      </c>
      <c r="L698" s="5">
        <v>0</v>
      </c>
      <c r="M698" s="5">
        <v>0.10690939999999999</v>
      </c>
      <c r="N698" s="5">
        <v>0.0</v>
      </c>
      <c r="O698" s="5">
        <v>0.0</v>
      </c>
      <c r="P698" s="5">
        <v>0.0</v>
      </c>
      <c r="Q698" s="5">
        <v>0.0</v>
      </c>
      <c r="R698" s="5">
        <v>0.0</v>
      </c>
      <c r="S698" s="5">
        <v>0.0</v>
      </c>
      <c r="T698" s="5">
        <v>0.0</v>
      </c>
      <c r="U698" s="5">
        <v>0.0</v>
      </c>
    </row>
    <row r="699" outlineLevel="1">
      <c r="B699" s="0" t="inlineStr">
        <is>
          <t xml:space="preserve">AIR TOOL SALES &amp; SERVICE CO INC</t>
        </is>
      </c>
      <c r="C699" s="0" t="inlineStr">
        <is>
          <t xml:space="preserve">RQQYADH1UBU8</t>
        </is>
      </c>
      <c r="D699" s="0" t="inlineStr">
        <is>
          <t xml:space="preserve">-</t>
        </is>
      </c>
      <c r="E699" s="0" t="inlineStr">
        <is>
          <t xml:space="preserve">-</t>
        </is>
      </c>
      <c r="F699" s="0" t="inlineStr">
        <is>
          <t xml:space="preserve">-</t>
        </is>
      </c>
      <c r="G699" s="5">
        <v>0.10658403</v>
      </c>
      <c r="H699" s="0" t="inlineStr">
        <is>
          <t xml:space="preserve">supplier</t>
        </is>
      </c>
      <c r="I699" s="0" t="inlineStr">
        <is>
          <t xml:space="preserve">unbucketed</t>
        </is>
      </c>
      <c r="J699" s="0" t="inlineStr">
        <is>
          <t xml:space="preserve">residual</t>
        </is>
      </c>
      <c r="K699" s="5">
        <v>0</v>
      </c>
      <c r="L699" s="5">
        <v>0</v>
      </c>
      <c r="M699" s="5">
        <v>0.10658403</v>
      </c>
      <c r="N699" s="5">
        <v>0.0</v>
      </c>
      <c r="O699" s="5">
        <v>0.0</v>
      </c>
      <c r="P699" s="5">
        <v>0.0</v>
      </c>
      <c r="Q699" s="5">
        <v>0.0</v>
      </c>
      <c r="R699" s="5">
        <v>0.0</v>
      </c>
      <c r="S699" s="5">
        <v>0.0</v>
      </c>
      <c r="T699" s="5">
        <v>0.0</v>
      </c>
      <c r="U699" s="5">
        <v>0.0</v>
      </c>
    </row>
    <row r="700" outlineLevel="1">
      <c r="B700" s="0" t="inlineStr">
        <is>
          <t xml:space="preserve">BUFFALO MACHINES, INC.</t>
        </is>
      </c>
      <c r="C700" s="0" t="inlineStr">
        <is>
          <t xml:space="preserve">G8HNS2EJYJU6</t>
        </is>
      </c>
      <c r="D700" s="0" t="inlineStr">
        <is>
          <t xml:space="preserve">-</t>
        </is>
      </c>
      <c r="E700" s="0" t="inlineStr">
        <is>
          <t xml:space="preserve">-</t>
        </is>
      </c>
      <c r="F700" s="0" t="inlineStr">
        <is>
          <t xml:space="preserve">-</t>
        </is>
      </c>
      <c r="G700" s="5">
        <v>0.10467119999999999</v>
      </c>
      <c r="H700" s="0" t="inlineStr">
        <is>
          <t xml:space="preserve">supplier</t>
        </is>
      </c>
      <c r="I700" s="0" t="inlineStr">
        <is>
          <t xml:space="preserve">unbucketed</t>
        </is>
      </c>
      <c r="J700" s="0" t="inlineStr">
        <is>
          <t xml:space="preserve">residual</t>
        </is>
      </c>
      <c r="K700" s="5">
        <v>0</v>
      </c>
      <c r="L700" s="5">
        <v>0</v>
      </c>
      <c r="M700" s="5">
        <v>0.10467119999999999</v>
      </c>
      <c r="N700" s="5">
        <v>0.0433356</v>
      </c>
      <c r="O700" s="5">
        <v>0.0</v>
      </c>
      <c r="P700" s="5">
        <v>0.0</v>
      </c>
      <c r="Q700" s="5">
        <v>0.0</v>
      </c>
      <c r="R700" s="5">
        <v>0.0</v>
      </c>
      <c r="S700" s="5">
        <v>0.0613356</v>
      </c>
      <c r="T700" s="5">
        <v>0.0</v>
      </c>
      <c r="U700" s="5">
        <v>0.0</v>
      </c>
    </row>
    <row r="701" outlineLevel="1">
      <c r="B701" s="0" t="inlineStr">
        <is>
          <t xml:space="preserve">SAI SYSTEMS INTERNATIONAL, INC.</t>
        </is>
      </c>
      <c r="C701" s="0" t="inlineStr">
        <is>
          <t xml:space="preserve">XDBJX5QWAM86</t>
        </is>
      </c>
      <c r="D701" s="0" t="inlineStr">
        <is>
          <t xml:space="preserve">-</t>
        </is>
      </c>
      <c r="E701" s="0" t="inlineStr">
        <is>
          <t xml:space="preserve">-</t>
        </is>
      </c>
      <c r="F701" s="0" t="inlineStr">
        <is>
          <t xml:space="preserve">-</t>
        </is>
      </c>
      <c r="G701" s="5">
        <v>0.10390599999999998</v>
      </c>
      <c r="H701" s="0" t="inlineStr">
        <is>
          <t xml:space="preserve">supplier</t>
        </is>
      </c>
      <c r="I701" s="0" t="inlineStr">
        <is>
          <t xml:space="preserve">unbucketed</t>
        </is>
      </c>
      <c r="J701" s="0" t="inlineStr">
        <is>
          <t xml:space="preserve">residual</t>
        </is>
      </c>
      <c r="K701" s="5">
        <v>0</v>
      </c>
      <c r="L701" s="5">
        <v>0</v>
      </c>
      <c r="M701" s="5">
        <v>0.10390599999999998</v>
      </c>
      <c r="N701" s="5">
        <v>0.0</v>
      </c>
      <c r="O701" s="5">
        <v>0.0</v>
      </c>
      <c r="P701" s="5">
        <v>0.0</v>
      </c>
      <c r="Q701" s="5">
        <v>0.0</v>
      </c>
      <c r="R701" s="5">
        <v>0.0</v>
      </c>
      <c r="S701" s="5">
        <v>0.0</v>
      </c>
      <c r="T701" s="5">
        <v>0.0</v>
      </c>
      <c r="U701" s="5">
        <v>0.0</v>
      </c>
    </row>
    <row r="702" outlineLevel="1">
      <c r="B702" s="0" t="inlineStr">
        <is>
          <t xml:space="preserve">DROITCOUR COMPANY</t>
        </is>
      </c>
      <c r="C702" s="0" t="inlineStr">
        <is>
          <t xml:space="preserve">M618ETNNYA77</t>
        </is>
      </c>
      <c r="D702" s="0" t="inlineStr">
        <is>
          <t xml:space="preserve">-</t>
        </is>
      </c>
      <c r="E702" s="0" t="inlineStr">
        <is>
          <t xml:space="preserve">-</t>
        </is>
      </c>
      <c r="F702" s="0" t="inlineStr">
        <is>
          <t xml:space="preserve">-</t>
        </is>
      </c>
      <c r="G702" s="5">
        <v>0.10348528</v>
      </c>
      <c r="H702" s="0" t="inlineStr">
        <is>
          <t xml:space="preserve">supplier</t>
        </is>
      </c>
      <c r="I702" s="0" t="inlineStr">
        <is>
          <t xml:space="preserve">unbucketed</t>
        </is>
      </c>
      <c r="J702" s="0" t="inlineStr">
        <is>
          <t xml:space="preserve">residual</t>
        </is>
      </c>
      <c r="K702" s="5">
        <v>0</v>
      </c>
      <c r="L702" s="5">
        <v>0</v>
      </c>
      <c r="M702" s="5">
        <v>0.10348528</v>
      </c>
      <c r="N702" s="5">
        <v>0.0</v>
      </c>
      <c r="O702" s="5">
        <v>0.0</v>
      </c>
      <c r="P702" s="5">
        <v>0.0</v>
      </c>
      <c r="Q702" s="5">
        <v>0.0</v>
      </c>
      <c r="R702" s="5">
        <v>0.0</v>
      </c>
      <c r="S702" s="5">
        <v>0.0</v>
      </c>
      <c r="T702" s="5">
        <v>0.0</v>
      </c>
      <c r="U702" s="5">
        <v>0.0</v>
      </c>
    </row>
    <row r="703" outlineLevel="1">
      <c r="B703" s="0" t="inlineStr">
        <is>
          <t xml:space="preserve">K M L ARCHITECTS, LLC</t>
        </is>
      </c>
      <c r="C703" s="0" t="inlineStr">
        <is>
          <t xml:space="preserve">FCYFZ4P8ZGV6</t>
        </is>
      </c>
      <c r="D703" s="0" t="inlineStr">
        <is>
          <t xml:space="preserve">-</t>
        </is>
      </c>
      <c r="E703" s="0" t="inlineStr">
        <is>
          <t xml:space="preserve">-</t>
        </is>
      </c>
      <c r="F703" s="0" t="inlineStr">
        <is>
          <t xml:space="preserve">-</t>
        </is>
      </c>
      <c r="G703" s="5">
        <v>0.1030125</v>
      </c>
      <c r="H703" s="0" t="inlineStr">
        <is>
          <t xml:space="preserve">supplier</t>
        </is>
      </c>
      <c r="I703" s="0" t="inlineStr">
        <is>
          <t xml:space="preserve">unbucketed</t>
        </is>
      </c>
      <c r="J703" s="0" t="inlineStr">
        <is>
          <t xml:space="preserve">residual</t>
        </is>
      </c>
      <c r="K703" s="5">
        <v>0</v>
      </c>
      <c r="L703" s="5">
        <v>0</v>
      </c>
      <c r="M703" s="5">
        <v>0.1030125</v>
      </c>
      <c r="N703" s="5">
        <v>0.0</v>
      </c>
      <c r="O703" s="5">
        <v>0.0</v>
      </c>
      <c r="P703" s="5">
        <v>0.0</v>
      </c>
      <c r="Q703" s="5">
        <v>0.0</v>
      </c>
      <c r="R703" s="5">
        <v>0.0</v>
      </c>
      <c r="S703" s="5">
        <v>0.0</v>
      </c>
      <c r="T703" s="5">
        <v>0.1030125</v>
      </c>
      <c r="U703" s="5">
        <v>0.0</v>
      </c>
    </row>
    <row r="704" outlineLevel="1">
      <c r="B704" s="0" t="inlineStr">
        <is>
          <t xml:space="preserve">MARTINEZ AND TUREK, INC.</t>
        </is>
      </c>
      <c r="C704" s="0" t="inlineStr">
        <is>
          <t xml:space="preserve">M6CTHGC91RG4</t>
        </is>
      </c>
      <c r="D704" s="0" t="inlineStr">
        <is>
          <t xml:space="preserve">-</t>
        </is>
      </c>
      <c r="E704" s="0" t="inlineStr">
        <is>
          <t xml:space="preserve">-</t>
        </is>
      </c>
      <c r="F704" s="0" t="inlineStr">
        <is>
          <t xml:space="preserve">-</t>
        </is>
      </c>
      <c r="G704" s="5">
        <v>0.101355</v>
      </c>
      <c r="H704" s="0" t="inlineStr">
        <is>
          <t xml:space="preserve">supplier</t>
        </is>
      </c>
      <c r="I704" s="0" t="inlineStr">
        <is>
          <t xml:space="preserve">unbucketed</t>
        </is>
      </c>
      <c r="J704" s="0" t="inlineStr">
        <is>
          <t xml:space="preserve">residual</t>
        </is>
      </c>
      <c r="K704" s="5">
        <v>0</v>
      </c>
      <c r="L704" s="5">
        <v>0</v>
      </c>
      <c r="M704" s="5">
        <v>0.101355</v>
      </c>
      <c r="N704" s="5">
        <v>0.0</v>
      </c>
      <c r="O704" s="5">
        <v>0.0</v>
      </c>
      <c r="P704" s="5">
        <v>0.0</v>
      </c>
      <c r="Q704" s="5">
        <v>0.0</v>
      </c>
      <c r="R704" s="5">
        <v>0.0</v>
      </c>
      <c r="S704" s="5">
        <v>0.094855</v>
      </c>
      <c r="T704" s="5">
        <v>0.0</v>
      </c>
      <c r="U704" s="5">
        <v>0.0</v>
      </c>
    </row>
    <row r="705" outlineLevel="1">
      <c r="B705" s="0" t="inlineStr">
        <is>
          <t xml:space="preserve">OUTLAND TECHNOLOGY INC</t>
        </is>
      </c>
      <c r="C705" s="0" t="inlineStr">
        <is>
          <t xml:space="preserve">DN8HGRSV3LA6</t>
        </is>
      </c>
      <c r="D705" s="0" t="inlineStr">
        <is>
          <t xml:space="preserve">-</t>
        </is>
      </c>
      <c r="E705" s="0" t="inlineStr">
        <is>
          <t xml:space="preserve">-</t>
        </is>
      </c>
      <c r="F705" s="0" t="inlineStr">
        <is>
          <t xml:space="preserve">-</t>
        </is>
      </c>
      <c r="G705" s="5">
        <v>0.1</v>
      </c>
      <c r="H705" s="0" t="inlineStr">
        <is>
          <t xml:space="preserve">supplier</t>
        </is>
      </c>
      <c r="I705" s="0" t="inlineStr">
        <is>
          <t xml:space="preserve">unbucketed</t>
        </is>
      </c>
      <c r="J705" s="0" t="inlineStr">
        <is>
          <t xml:space="preserve">residual</t>
        </is>
      </c>
      <c r="K705" s="5">
        <v>0</v>
      </c>
      <c r="L705" s="5">
        <v>0</v>
      </c>
      <c r="M705" s="5">
        <v>0.1</v>
      </c>
      <c r="N705" s="5">
        <v>0.0</v>
      </c>
      <c r="O705" s="5">
        <v>0.0</v>
      </c>
      <c r="P705" s="5">
        <v>0.0</v>
      </c>
      <c r="Q705" s="5">
        <v>0.0</v>
      </c>
      <c r="R705" s="5">
        <v>0.0</v>
      </c>
      <c r="S705" s="5">
        <v>0.0</v>
      </c>
      <c r="T705" s="5">
        <v>0.0</v>
      </c>
      <c r="U705" s="5">
        <v>0.0</v>
      </c>
    </row>
    <row r="706" outlineLevel="1">
      <c r="B706" s="0" t="inlineStr">
        <is>
          <t xml:space="preserve">NDI ENGINEERING COMPANY</t>
        </is>
      </c>
      <c r="C706" s="0" t="inlineStr">
        <is>
          <t xml:space="preserve">H1WGM2HUFNB3</t>
        </is>
      </c>
      <c r="D706" s="0" t="inlineStr">
        <is>
          <t xml:space="preserve">-</t>
        </is>
      </c>
      <c r="E706" s="0" t="inlineStr">
        <is>
          <t xml:space="preserve">-</t>
        </is>
      </c>
      <c r="F706" s="0" t="inlineStr">
        <is>
          <t xml:space="preserve">-</t>
        </is>
      </c>
      <c r="G706" s="5">
        <v>0.1</v>
      </c>
      <c r="H706" s="0" t="inlineStr">
        <is>
          <t xml:space="preserve">supplier</t>
        </is>
      </c>
      <c r="I706" s="0" t="inlineStr">
        <is>
          <t xml:space="preserve">unbucketed</t>
        </is>
      </c>
      <c r="J706" s="0" t="inlineStr">
        <is>
          <t xml:space="preserve">residual</t>
        </is>
      </c>
      <c r="K706" s="5">
        <v>0</v>
      </c>
      <c r="L706" s="5">
        <v>0</v>
      </c>
      <c r="M706" s="5">
        <v>0.1</v>
      </c>
      <c r="N706" s="5">
        <v>0.0</v>
      </c>
      <c r="O706" s="5">
        <v>0.0</v>
      </c>
      <c r="P706" s="5">
        <v>0.0</v>
      </c>
      <c r="Q706" s="5">
        <v>0.0</v>
      </c>
      <c r="R706" s="5">
        <v>0.0</v>
      </c>
      <c r="S706" s="5">
        <v>0.0</v>
      </c>
      <c r="T706" s="5">
        <v>0.0</v>
      </c>
      <c r="U706" s="5">
        <v>0.0</v>
      </c>
    </row>
    <row r="707" outlineLevel="1">
      <c r="B707" s="0" t="inlineStr">
        <is>
          <t xml:space="preserve">AMET, INC.</t>
        </is>
      </c>
      <c r="C707" s="0" t="inlineStr">
        <is>
          <t xml:space="preserve">MXALQCAPGHJ8</t>
        </is>
      </c>
      <c r="D707" s="0" t="inlineStr">
        <is>
          <t xml:space="preserve">-</t>
        </is>
      </c>
      <c r="E707" s="0" t="inlineStr">
        <is>
          <t xml:space="preserve">-</t>
        </is>
      </c>
      <c r="F707" s="0" t="inlineStr">
        <is>
          <t xml:space="preserve">-</t>
        </is>
      </c>
      <c r="G707" s="5">
        <v>0.1</v>
      </c>
      <c r="H707" s="0" t="inlineStr">
        <is>
          <t xml:space="preserve">supplier</t>
        </is>
      </c>
      <c r="I707" s="0" t="inlineStr">
        <is>
          <t xml:space="preserve">unbucketed</t>
        </is>
      </c>
      <c r="J707" s="0" t="inlineStr">
        <is>
          <t xml:space="preserve">residual</t>
        </is>
      </c>
      <c r="K707" s="5">
        <v>0</v>
      </c>
      <c r="L707" s="5">
        <v>0</v>
      </c>
      <c r="M707" s="5">
        <v>0.1</v>
      </c>
      <c r="N707" s="5">
        <v>0.0</v>
      </c>
      <c r="O707" s="5">
        <v>0.0</v>
      </c>
      <c r="P707" s="5">
        <v>0.0</v>
      </c>
      <c r="Q707" s="5">
        <v>0.0</v>
      </c>
      <c r="R707" s="5">
        <v>0.0</v>
      </c>
      <c r="S707" s="5">
        <v>0.1</v>
      </c>
      <c r="T707" s="5">
        <v>0.0</v>
      </c>
      <c r="U707" s="5">
        <v>0.0</v>
      </c>
    </row>
    <row r="708" outlineLevel="1">
      <c r="B708" s="0" t="inlineStr">
        <is>
          <t xml:space="preserve">MICROFLEX INC</t>
        </is>
      </c>
      <c r="C708" s="0" t="inlineStr">
        <is>
          <t xml:space="preserve">GMVJD1H9JQX8</t>
        </is>
      </c>
      <c r="D708" s="0" t="inlineStr">
        <is>
          <t xml:space="preserve">-</t>
        </is>
      </c>
      <c r="E708" s="0" t="inlineStr">
        <is>
          <t xml:space="preserve">-</t>
        </is>
      </c>
      <c r="F708" s="0" t="inlineStr">
        <is>
          <t xml:space="preserve">-</t>
        </is>
      </c>
      <c r="G708" s="5">
        <v>0.09804</v>
      </c>
      <c r="H708" s="0" t="inlineStr">
        <is>
          <t xml:space="preserve">supplier</t>
        </is>
      </c>
      <c r="I708" s="0" t="inlineStr">
        <is>
          <t xml:space="preserve">unbucketed</t>
        </is>
      </c>
      <c r="J708" s="0" t="inlineStr">
        <is>
          <t xml:space="preserve">residual</t>
        </is>
      </c>
      <c r="K708" s="5">
        <v>0</v>
      </c>
      <c r="L708" s="5">
        <v>0</v>
      </c>
      <c r="M708" s="5">
        <v>0.09804</v>
      </c>
      <c r="N708" s="5">
        <v>0.09804</v>
      </c>
      <c r="O708" s="5">
        <v>0.0</v>
      </c>
      <c r="P708" s="5">
        <v>0.0</v>
      </c>
      <c r="Q708" s="5">
        <v>0.0</v>
      </c>
      <c r="R708" s="5">
        <v>0.0</v>
      </c>
      <c r="S708" s="5">
        <v>0.0</v>
      </c>
      <c r="T708" s="5">
        <v>0.0</v>
      </c>
      <c r="U708" s="5">
        <v>0.0</v>
      </c>
    </row>
    <row r="709" outlineLevel="1">
      <c r="B709" s="0" t="inlineStr">
        <is>
          <t xml:space="preserve">BURNS &amp; MCDONNELL, INC.</t>
        </is>
      </c>
      <c r="C709" s="0" t="inlineStr">
        <is>
          <t xml:space="preserve">SS8JL7WNHPX9</t>
        </is>
      </c>
      <c r="D709" s="0" t="inlineStr">
        <is>
          <t xml:space="preserve">-</t>
        </is>
      </c>
      <c r="E709" s="0" t="inlineStr">
        <is>
          <t xml:space="preserve">-</t>
        </is>
      </c>
      <c r="F709" s="0" t="inlineStr">
        <is>
          <t xml:space="preserve">-</t>
        </is>
      </c>
      <c r="G709" s="5">
        <v>0.09647779</v>
      </c>
      <c r="H709" s="0" t="inlineStr">
        <is>
          <t xml:space="preserve">supplier</t>
        </is>
      </c>
      <c r="I709" s="0" t="inlineStr">
        <is>
          <t xml:space="preserve">unbucketed</t>
        </is>
      </c>
      <c r="J709" s="0" t="inlineStr">
        <is>
          <t xml:space="preserve">residual</t>
        </is>
      </c>
      <c r="K709" s="5">
        <v>0</v>
      </c>
      <c r="L709" s="5">
        <v>0</v>
      </c>
      <c r="M709" s="5">
        <v>0.09647779</v>
      </c>
      <c r="N709" s="5">
        <v>0.0</v>
      </c>
      <c r="O709" s="5">
        <v>0.0</v>
      </c>
      <c r="P709" s="5">
        <v>0.0</v>
      </c>
      <c r="Q709" s="5">
        <v>0.0</v>
      </c>
      <c r="R709" s="5">
        <v>0.0</v>
      </c>
      <c r="S709" s="5">
        <v>0.0</v>
      </c>
      <c r="T709" s="5">
        <v>0.0</v>
      </c>
      <c r="U709" s="5">
        <v>0.0</v>
      </c>
    </row>
    <row r="710" outlineLevel="1">
      <c r="B710" s="0" t="inlineStr">
        <is>
          <t xml:space="preserve">MARINE AIR SUPPLY CO., INC.</t>
        </is>
      </c>
      <c r="C710" s="0" t="inlineStr">
        <is>
          <t xml:space="preserve">D3NDZT2XLW83</t>
        </is>
      </c>
      <c r="D710" s="0" t="inlineStr">
        <is>
          <t xml:space="preserve">-</t>
        </is>
      </c>
      <c r="E710" s="0" t="inlineStr">
        <is>
          <t xml:space="preserve">-</t>
        </is>
      </c>
      <c r="F710" s="0" t="inlineStr">
        <is>
          <t xml:space="preserve">-</t>
        </is>
      </c>
      <c r="G710" s="5">
        <v>0.09647195</v>
      </c>
      <c r="H710" s="0" t="inlineStr">
        <is>
          <t xml:space="preserve">supplier</t>
        </is>
      </c>
      <c r="I710" s="0" t="inlineStr">
        <is>
          <t xml:space="preserve">unbucketed</t>
        </is>
      </c>
      <c r="J710" s="0" t="inlineStr">
        <is>
          <t xml:space="preserve">residual</t>
        </is>
      </c>
      <c r="K710" s="5">
        <v>0</v>
      </c>
      <c r="L710" s="5">
        <v>0</v>
      </c>
      <c r="M710" s="5">
        <v>0.09647195</v>
      </c>
      <c r="N710" s="5">
        <v>0.0</v>
      </c>
      <c r="O710" s="5">
        <v>0.0</v>
      </c>
      <c r="P710" s="5">
        <v>0.0</v>
      </c>
      <c r="Q710" s="5">
        <v>0.0</v>
      </c>
      <c r="R710" s="5">
        <v>0.0</v>
      </c>
      <c r="S710" s="5">
        <v>0.0</v>
      </c>
      <c r="T710" s="5">
        <v>0.0</v>
      </c>
      <c r="U710" s="5">
        <v>0.0</v>
      </c>
    </row>
    <row r="711" outlineLevel="1">
      <c r="B711" s="0" t="inlineStr">
        <is>
          <t xml:space="preserve">UNITED RENTALS, INC.</t>
        </is>
      </c>
      <c r="C711" s="0" t="inlineStr">
        <is>
          <t xml:space="preserve">QFG7EC12DQK4</t>
        </is>
      </c>
      <c r="D711" s="0" t="inlineStr">
        <is>
          <t xml:space="preserve">-</t>
        </is>
      </c>
      <c r="E711" s="0" t="inlineStr">
        <is>
          <t xml:space="preserve">-</t>
        </is>
      </c>
      <c r="F711" s="0" t="inlineStr">
        <is>
          <t xml:space="preserve">-</t>
        </is>
      </c>
      <c r="G711" s="5">
        <v>0.09625756</v>
      </c>
      <c r="H711" s="0" t="inlineStr">
        <is>
          <t xml:space="preserve">supplier</t>
        </is>
      </c>
      <c r="I711" s="0" t="inlineStr">
        <is>
          <t xml:space="preserve">unbucketed</t>
        </is>
      </c>
      <c r="J711" s="0" t="inlineStr">
        <is>
          <t xml:space="preserve">residual</t>
        </is>
      </c>
      <c r="K711" s="5">
        <v>0</v>
      </c>
      <c r="L711" s="5">
        <v>0</v>
      </c>
      <c r="M711" s="5">
        <v>0.09625756</v>
      </c>
      <c r="N711" s="5">
        <v>0.0</v>
      </c>
      <c r="O711" s="5">
        <v>0.0</v>
      </c>
      <c r="P711" s="5">
        <v>0.0</v>
      </c>
      <c r="Q711" s="5">
        <v>0.0</v>
      </c>
      <c r="R711" s="5">
        <v>0.0</v>
      </c>
      <c r="S711" s="5">
        <v>0.0</v>
      </c>
      <c r="T711" s="5">
        <v>0.0</v>
      </c>
      <c r="U711" s="5">
        <v>0.0</v>
      </c>
    </row>
    <row r="712" outlineLevel="1">
      <c r="B712" s="0" t="inlineStr">
        <is>
          <t xml:space="preserve">PULSAFEEDER INC A UNIT OF IDEX</t>
        </is>
      </c>
      <c r="C712" s="0" t="inlineStr">
        <is>
          <t xml:space="preserve">CHSCLZAAPTQ3</t>
        </is>
      </c>
      <c r="D712" s="0" t="inlineStr">
        <is>
          <t xml:space="preserve">-</t>
        </is>
      </c>
      <c r="E712" s="0" t="inlineStr">
        <is>
          <t xml:space="preserve">-</t>
        </is>
      </c>
      <c r="F712" s="0" t="inlineStr">
        <is>
          <t xml:space="preserve">-</t>
        </is>
      </c>
      <c r="G712" s="5">
        <v>0.0962</v>
      </c>
      <c r="H712" s="0" t="inlineStr">
        <is>
          <t xml:space="preserve">supplier</t>
        </is>
      </c>
      <c r="I712" s="0" t="inlineStr">
        <is>
          <t xml:space="preserve">unbucketed</t>
        </is>
      </c>
      <c r="J712" s="0" t="inlineStr">
        <is>
          <t xml:space="preserve">residual</t>
        </is>
      </c>
      <c r="K712" s="5">
        <v>0</v>
      </c>
      <c r="L712" s="5">
        <v>0</v>
      </c>
      <c r="M712" s="5">
        <v>0.0962</v>
      </c>
      <c r="N712" s="5">
        <v>0.0</v>
      </c>
      <c r="O712" s="5">
        <v>0.0</v>
      </c>
      <c r="P712" s="5">
        <v>0.0</v>
      </c>
      <c r="Q712" s="5">
        <v>0.0</v>
      </c>
      <c r="R712" s="5">
        <v>0.0</v>
      </c>
      <c r="S712" s="5">
        <v>0.0</v>
      </c>
      <c r="T712" s="5">
        <v>0.0</v>
      </c>
      <c r="U712" s="5">
        <v>0.0</v>
      </c>
    </row>
    <row r="713" outlineLevel="1">
      <c r="B713" s="0" t="inlineStr">
        <is>
          <t xml:space="preserve">CHASE SUPPLY, INC.</t>
        </is>
      </c>
      <c r="C713" s="0" t="inlineStr">
        <is>
          <t xml:space="preserve">TF2HVUYPRMV1</t>
        </is>
      </c>
      <c r="D713" s="0" t="inlineStr">
        <is>
          <t xml:space="preserve">-</t>
        </is>
      </c>
      <c r="E713" s="0" t="inlineStr">
        <is>
          <t xml:space="preserve">-</t>
        </is>
      </c>
      <c r="F713" s="0" t="inlineStr">
        <is>
          <t xml:space="preserve">-</t>
        </is>
      </c>
      <c r="G713" s="5">
        <v>0.096037</v>
      </c>
      <c r="H713" s="0" t="inlineStr">
        <is>
          <t xml:space="preserve">supplier</t>
        </is>
      </c>
      <c r="I713" s="0" t="inlineStr">
        <is>
          <t xml:space="preserve">unbucketed</t>
        </is>
      </c>
      <c r="J713" s="0" t="inlineStr">
        <is>
          <t xml:space="preserve">residual</t>
        </is>
      </c>
      <c r="K713" s="5">
        <v>0</v>
      </c>
      <c r="L713" s="5">
        <v>0</v>
      </c>
      <c r="M713" s="5">
        <v>0.096037</v>
      </c>
      <c r="N713" s="5">
        <v>0.05303</v>
      </c>
      <c r="O713" s="5">
        <v>0.043007</v>
      </c>
      <c r="P713" s="5">
        <v>0.0</v>
      </c>
      <c r="Q713" s="5">
        <v>0.0</v>
      </c>
      <c r="R713" s="5">
        <v>0.0</v>
      </c>
      <c r="S713" s="5">
        <v>0.0</v>
      </c>
      <c r="T713" s="5">
        <v>0.0</v>
      </c>
      <c r="U713" s="5">
        <v>0.0</v>
      </c>
    </row>
    <row r="714" outlineLevel="1">
      <c r="B714" s="0" t="inlineStr">
        <is>
          <t xml:space="preserve">VERSAMIL INC</t>
        </is>
      </c>
      <c r="C714" s="0" t="inlineStr">
        <is>
          <t xml:space="preserve">XW6ZAJKNHM65</t>
        </is>
      </c>
      <c r="D714" s="0" t="inlineStr">
        <is>
          <t xml:space="preserve">-</t>
        </is>
      </c>
      <c r="E714" s="0" t="inlineStr">
        <is>
          <t xml:space="preserve">-</t>
        </is>
      </c>
      <c r="F714" s="0" t="inlineStr">
        <is>
          <t xml:space="preserve">-</t>
        </is>
      </c>
      <c r="G714" s="5">
        <v>0.095</v>
      </c>
      <c r="H714" s="0" t="inlineStr">
        <is>
          <t xml:space="preserve">supplier</t>
        </is>
      </c>
      <c r="I714" s="0" t="inlineStr">
        <is>
          <t xml:space="preserve">unbucketed</t>
        </is>
      </c>
      <c r="J714" s="0" t="inlineStr">
        <is>
          <t xml:space="preserve">residual</t>
        </is>
      </c>
      <c r="K714" s="5">
        <v>0</v>
      </c>
      <c r="L714" s="5">
        <v>0</v>
      </c>
      <c r="M714" s="5">
        <v>0.095</v>
      </c>
      <c r="N714" s="5">
        <v>0.035</v>
      </c>
      <c r="O714" s="5">
        <v>0.0</v>
      </c>
      <c r="P714" s="5">
        <v>0.0</v>
      </c>
      <c r="Q714" s="5">
        <v>0.0</v>
      </c>
      <c r="R714" s="5">
        <v>0.0</v>
      </c>
      <c r="S714" s="5">
        <v>0.0</v>
      </c>
      <c r="T714" s="5">
        <v>0.0</v>
      </c>
      <c r="U714" s="5">
        <v>0.0</v>
      </c>
    </row>
    <row r="715" outlineLevel="1">
      <c r="B715" s="0" t="inlineStr">
        <is>
          <t xml:space="preserve">AIRSAN CORPORATION</t>
        </is>
      </c>
      <c r="C715" s="0" t="inlineStr">
        <is>
          <t xml:space="preserve">JCY9NCTJF9J3</t>
        </is>
      </c>
      <c r="D715" s="0" t="inlineStr">
        <is>
          <t xml:space="preserve">-</t>
        </is>
      </c>
      <c r="E715" s="0" t="inlineStr">
        <is>
          <t xml:space="preserve">-</t>
        </is>
      </c>
      <c r="F715" s="0" t="inlineStr">
        <is>
          <t xml:space="preserve">-</t>
        </is>
      </c>
      <c r="G715" s="5">
        <v>0.09372792</v>
      </c>
      <c r="H715" s="0" t="inlineStr">
        <is>
          <t xml:space="preserve">supplier</t>
        </is>
      </c>
      <c r="I715" s="0" t="inlineStr">
        <is>
          <t xml:space="preserve">unbucketed</t>
        </is>
      </c>
      <c r="J715" s="0" t="inlineStr">
        <is>
          <t xml:space="preserve">residual</t>
        </is>
      </c>
      <c r="K715" s="5">
        <v>0</v>
      </c>
      <c r="L715" s="5">
        <v>0</v>
      </c>
      <c r="M715" s="5">
        <v>0.09372792</v>
      </c>
      <c r="N715" s="5">
        <v>0.0263001</v>
      </c>
      <c r="O715" s="5">
        <v>0.03323205</v>
      </c>
      <c r="P715" s="5">
        <v>0.0</v>
      </c>
      <c r="Q715" s="5">
        <v>0.0</v>
      </c>
      <c r="R715" s="5">
        <v>0.0</v>
      </c>
      <c r="S715" s="5">
        <v>0.0</v>
      </c>
      <c r="T715" s="5">
        <v>0.0</v>
      </c>
      <c r="U715" s="5">
        <v>0.0</v>
      </c>
    </row>
    <row r="716" outlineLevel="1">
      <c r="B716" s="0" t="inlineStr">
        <is>
          <t xml:space="preserve">YOKOGAWA CORP OF AMERICA</t>
        </is>
      </c>
      <c r="C716" s="0" t="inlineStr">
        <is>
          <t xml:space="preserve">NTGALU6XECJ5</t>
        </is>
      </c>
      <c r="D716" s="0" t="inlineStr">
        <is>
          <t xml:space="preserve">-</t>
        </is>
      </c>
      <c r="E716" s="0" t="inlineStr">
        <is>
          <t xml:space="preserve">-</t>
        </is>
      </c>
      <c r="F716" s="0" t="inlineStr">
        <is>
          <t xml:space="preserve">-</t>
        </is>
      </c>
      <c r="G716" s="5">
        <v>0.09354</v>
      </c>
      <c r="H716" s="0" t="inlineStr">
        <is>
          <t xml:space="preserve">supplier</t>
        </is>
      </c>
      <c r="I716" s="0" t="inlineStr">
        <is>
          <t xml:space="preserve">unbucketed</t>
        </is>
      </c>
      <c r="J716" s="0" t="inlineStr">
        <is>
          <t xml:space="preserve">residual</t>
        </is>
      </c>
      <c r="K716" s="5">
        <v>0</v>
      </c>
      <c r="L716" s="5">
        <v>0</v>
      </c>
      <c r="M716" s="5">
        <v>0.09354</v>
      </c>
      <c r="N716" s="5">
        <v>0.0</v>
      </c>
      <c r="O716" s="5">
        <v>0.0</v>
      </c>
      <c r="P716" s="5">
        <v>0.0</v>
      </c>
      <c r="Q716" s="5">
        <v>0.0</v>
      </c>
      <c r="R716" s="5">
        <v>0.0</v>
      </c>
      <c r="S716" s="5">
        <v>0.0</v>
      </c>
      <c r="T716" s="5">
        <v>0.09354</v>
      </c>
      <c r="U716" s="5">
        <v>0.0</v>
      </c>
    </row>
    <row r="717" outlineLevel="1">
      <c r="B717" s="0" t="inlineStr">
        <is>
          <t xml:space="preserve">BLOWERS, LLC</t>
        </is>
      </c>
      <c r="C717" s="0" t="inlineStr">
        <is>
          <t xml:space="preserve">TCSFXP5TD5P6</t>
        </is>
      </c>
      <c r="D717" s="0" t="inlineStr">
        <is>
          <t xml:space="preserve">-</t>
        </is>
      </c>
      <c r="E717" s="0" t="inlineStr">
        <is>
          <t xml:space="preserve">-</t>
        </is>
      </c>
      <c r="F717" s="0" t="inlineStr">
        <is>
          <t xml:space="preserve">-</t>
        </is>
      </c>
      <c r="G717" s="5">
        <v>0.09348</v>
      </c>
      <c r="H717" s="0" t="inlineStr">
        <is>
          <t xml:space="preserve">supplier</t>
        </is>
      </c>
      <c r="I717" s="0" t="inlineStr">
        <is>
          <t xml:space="preserve">unbucketed</t>
        </is>
      </c>
      <c r="J717" s="0" t="inlineStr">
        <is>
          <t xml:space="preserve">residual</t>
        </is>
      </c>
      <c r="K717" s="5">
        <v>0</v>
      </c>
      <c r="L717" s="5">
        <v>0</v>
      </c>
      <c r="M717" s="5">
        <v>0.09348</v>
      </c>
      <c r="N717" s="5">
        <v>0.0</v>
      </c>
      <c r="O717" s="5">
        <v>0.0</v>
      </c>
      <c r="P717" s="5">
        <v>0.09348</v>
      </c>
      <c r="Q717" s="5">
        <v>0.0</v>
      </c>
      <c r="R717" s="5">
        <v>0.0</v>
      </c>
      <c r="S717" s="5">
        <v>0.0</v>
      </c>
      <c r="T717" s="5">
        <v>0.0</v>
      </c>
      <c r="U717" s="5">
        <v>0.0</v>
      </c>
    </row>
    <row r="718" outlineLevel="1">
      <c r="B718" s="0" t="inlineStr">
        <is>
          <t xml:space="preserve">SANDVIK AB</t>
        </is>
      </c>
      <c r="C718" s="0" t="inlineStr">
        <is>
          <t xml:space="preserve">E3WFXJMWH458</t>
        </is>
      </c>
      <c r="D718" s="0" t="inlineStr">
        <is>
          <t xml:space="preserve">-</t>
        </is>
      </c>
      <c r="E718" s="0" t="inlineStr">
        <is>
          <t xml:space="preserve">-</t>
        </is>
      </c>
      <c r="F718" s="0" t="inlineStr">
        <is>
          <t xml:space="preserve">-</t>
        </is>
      </c>
      <c r="G718" s="5">
        <v>0.09238358</v>
      </c>
      <c r="H718" s="0" t="inlineStr">
        <is>
          <t xml:space="preserve">supplier</t>
        </is>
      </c>
      <c r="I718" s="0" t="inlineStr">
        <is>
          <t xml:space="preserve">unbucketed</t>
        </is>
      </c>
      <c r="J718" s="0" t="inlineStr">
        <is>
          <t xml:space="preserve">residual</t>
        </is>
      </c>
      <c r="K718" s="5">
        <v>0</v>
      </c>
      <c r="L718" s="5">
        <v>0</v>
      </c>
      <c r="M718" s="5">
        <v>0.09238358</v>
      </c>
      <c r="N718" s="5">
        <v>0.0</v>
      </c>
      <c r="O718" s="5">
        <v>0.0</v>
      </c>
      <c r="P718" s="5">
        <v>0.0</v>
      </c>
      <c r="Q718" s="5">
        <v>0.0</v>
      </c>
      <c r="R718" s="5">
        <v>0.0</v>
      </c>
      <c r="S718" s="5">
        <v>0.0</v>
      </c>
      <c r="T718" s="5">
        <v>0.0</v>
      </c>
      <c r="U718" s="5">
        <v>0.0</v>
      </c>
    </row>
    <row r="719" outlineLevel="1">
      <c r="B719" s="0" t="inlineStr">
        <is>
          <t xml:space="preserve">W R SYSTEMS LTD.</t>
        </is>
      </c>
      <c r="C719" s="0" t="inlineStr">
        <is>
          <t xml:space="preserve">N5RJW5NX32Y1</t>
        </is>
      </c>
      <c r="D719" s="0" t="inlineStr">
        <is>
          <t xml:space="preserve">-</t>
        </is>
      </c>
      <c r="E719" s="0" t="inlineStr">
        <is>
          <t xml:space="preserve">-</t>
        </is>
      </c>
      <c r="F719" s="0" t="inlineStr">
        <is>
          <t xml:space="preserve">-</t>
        </is>
      </c>
      <c r="G719" s="5">
        <v>0.09176000000000001</v>
      </c>
      <c r="H719" s="0" t="inlineStr">
        <is>
          <t xml:space="preserve">supplier</t>
        </is>
      </c>
      <c r="I719" s="0" t="inlineStr">
        <is>
          <t xml:space="preserve">unbucketed</t>
        </is>
      </c>
      <c r="J719" s="0" t="inlineStr">
        <is>
          <t xml:space="preserve">residual</t>
        </is>
      </c>
      <c r="K719" s="5">
        <v>0</v>
      </c>
      <c r="L719" s="5">
        <v>0</v>
      </c>
      <c r="M719" s="5">
        <v>0.09176000000000001</v>
      </c>
      <c r="N719" s="5">
        <v>0.0</v>
      </c>
      <c r="O719" s="5">
        <v>0.0</v>
      </c>
      <c r="P719" s="5">
        <v>0.0</v>
      </c>
      <c r="Q719" s="5">
        <v>0.0</v>
      </c>
      <c r="R719" s="5">
        <v>0.0</v>
      </c>
      <c r="S719" s="5">
        <v>0.0</v>
      </c>
      <c r="T719" s="5">
        <v>0.05806</v>
      </c>
      <c r="U719" s="5">
        <v>0.0337</v>
      </c>
    </row>
    <row r="720" outlineLevel="1">
      <c r="B720" s="0" t="inlineStr">
        <is>
          <t xml:space="preserve">TRAC REGULATOR CO., INC.</t>
        </is>
      </c>
      <c r="C720" s="0" t="inlineStr">
        <is>
          <t xml:space="preserve">MAKYNVTMNZX1</t>
        </is>
      </c>
      <c r="D720" s="0" t="inlineStr">
        <is>
          <t xml:space="preserve">-</t>
        </is>
      </c>
      <c r="E720" s="0" t="inlineStr">
        <is>
          <t xml:space="preserve">-</t>
        </is>
      </c>
      <c r="F720" s="0" t="inlineStr">
        <is>
          <t xml:space="preserve">-</t>
        </is>
      </c>
      <c r="G720" s="5">
        <v>0.091474</v>
      </c>
      <c r="H720" s="0" t="inlineStr">
        <is>
          <t xml:space="preserve">supplier</t>
        </is>
      </c>
      <c r="I720" s="0" t="inlineStr">
        <is>
          <t xml:space="preserve">unbucketed</t>
        </is>
      </c>
      <c r="J720" s="0" t="inlineStr">
        <is>
          <t xml:space="preserve">residual</t>
        </is>
      </c>
      <c r="K720" s="5">
        <v>0</v>
      </c>
      <c r="L720" s="5">
        <v>0</v>
      </c>
      <c r="M720" s="5">
        <v>0.091474</v>
      </c>
      <c r="N720" s="5">
        <v>0.0</v>
      </c>
      <c r="O720" s="5">
        <v>0.0</v>
      </c>
      <c r="P720" s="5">
        <v>0.0</v>
      </c>
      <c r="Q720" s="5">
        <v>0.091474</v>
      </c>
      <c r="R720" s="5">
        <v>0.0</v>
      </c>
      <c r="S720" s="5">
        <v>0.0</v>
      </c>
      <c r="T720" s="5">
        <v>0.0</v>
      </c>
      <c r="U720" s="5">
        <v>0.0</v>
      </c>
    </row>
    <row r="721" outlineLevel="1">
      <c r="B721" s="0" t="inlineStr">
        <is>
          <t xml:space="preserve">AMERICAST TECHNOLOGIES INC</t>
        </is>
      </c>
      <c r="C721" s="0" t="inlineStr">
        <is>
          <t xml:space="preserve">JKPCAKFW8X93</t>
        </is>
      </c>
      <c r="D721" s="0" t="inlineStr">
        <is>
          <t xml:space="preserve">-</t>
        </is>
      </c>
      <c r="E721" s="0" t="inlineStr">
        <is>
          <t xml:space="preserve">-</t>
        </is>
      </c>
      <c r="F721" s="0" t="inlineStr">
        <is>
          <t xml:space="preserve">-</t>
        </is>
      </c>
      <c r="G721" s="5">
        <v>0.091239</v>
      </c>
      <c r="H721" s="0" t="inlineStr">
        <is>
          <t xml:space="preserve">supplier</t>
        </is>
      </c>
      <c r="I721" s="0" t="inlineStr">
        <is>
          <t xml:space="preserve">unbucketed</t>
        </is>
      </c>
      <c r="J721" s="0" t="inlineStr">
        <is>
          <t xml:space="preserve">residual</t>
        </is>
      </c>
      <c r="K721" s="5">
        <v>0</v>
      </c>
      <c r="L721" s="5">
        <v>0</v>
      </c>
      <c r="M721" s="5">
        <v>0.091239</v>
      </c>
      <c r="N721" s="5">
        <v>0.0</v>
      </c>
      <c r="O721" s="5">
        <v>0.0</v>
      </c>
      <c r="P721" s="5">
        <v>0.0</v>
      </c>
      <c r="Q721" s="5">
        <v>0.0</v>
      </c>
      <c r="R721" s="5">
        <v>0.0</v>
      </c>
      <c r="S721" s="5">
        <v>0.0</v>
      </c>
      <c r="T721" s="5">
        <v>0.0</v>
      </c>
      <c r="U721" s="5">
        <v>0.0</v>
      </c>
    </row>
    <row r="722" outlineLevel="1">
      <c r="B722" s="0" t="inlineStr">
        <is>
          <t xml:space="preserve">FEOLE TECHNOLOGIES INC</t>
        </is>
      </c>
      <c r="C722" s="0" t="inlineStr">
        <is>
          <t xml:space="preserve">JK5BGM73XQ58</t>
        </is>
      </c>
      <c r="D722" s="0" t="inlineStr">
        <is>
          <t xml:space="preserve">-</t>
        </is>
      </c>
      <c r="E722" s="0" t="inlineStr">
        <is>
          <t xml:space="preserve">-</t>
        </is>
      </c>
      <c r="F722" s="0" t="inlineStr">
        <is>
          <t xml:space="preserve">-</t>
        </is>
      </c>
      <c r="G722" s="5">
        <v>0.09061790999999998</v>
      </c>
      <c r="H722" s="0" t="inlineStr">
        <is>
          <t xml:space="preserve">supplier</t>
        </is>
      </c>
      <c r="I722" s="0" t="inlineStr">
        <is>
          <t xml:space="preserve">unbucketed</t>
        </is>
      </c>
      <c r="J722" s="0" t="inlineStr">
        <is>
          <t xml:space="preserve">residual</t>
        </is>
      </c>
      <c r="K722" s="5">
        <v>0</v>
      </c>
      <c r="L722" s="5">
        <v>0</v>
      </c>
      <c r="M722" s="5">
        <v>0.09061790999999998</v>
      </c>
      <c r="N722" s="5">
        <v>0.0</v>
      </c>
      <c r="O722" s="5">
        <v>0.0</v>
      </c>
      <c r="P722" s="5">
        <v>0.0</v>
      </c>
      <c r="Q722" s="5">
        <v>0.0</v>
      </c>
      <c r="R722" s="5">
        <v>0.09061790999999998</v>
      </c>
      <c r="S722" s="5">
        <v>0.0</v>
      </c>
      <c r="T722" s="5">
        <v>0.0</v>
      </c>
      <c r="U722" s="5">
        <v>0.0</v>
      </c>
    </row>
    <row r="723" outlineLevel="1">
      <c r="B723" s="0" t="inlineStr">
        <is>
          <t xml:space="preserve">BEK INC</t>
        </is>
      </c>
      <c r="C723" s="0" t="inlineStr">
        <is>
          <t xml:space="preserve">LK9BTBWNLY96</t>
        </is>
      </c>
      <c r="D723" s="0" t="inlineStr">
        <is>
          <t xml:space="preserve">-</t>
        </is>
      </c>
      <c r="E723" s="0" t="inlineStr">
        <is>
          <t xml:space="preserve">-</t>
        </is>
      </c>
      <c r="F723" s="0" t="inlineStr">
        <is>
          <t xml:space="preserve">-</t>
        </is>
      </c>
      <c r="G723" s="5">
        <v>0.09024</v>
      </c>
      <c r="H723" s="0" t="inlineStr">
        <is>
          <t xml:space="preserve">supplier</t>
        </is>
      </c>
      <c r="I723" s="0" t="inlineStr">
        <is>
          <t xml:space="preserve">unbucketed</t>
        </is>
      </c>
      <c r="J723" s="0" t="inlineStr">
        <is>
          <t xml:space="preserve">residual</t>
        </is>
      </c>
      <c r="K723" s="5">
        <v>0</v>
      </c>
      <c r="L723" s="5">
        <v>0</v>
      </c>
      <c r="M723" s="5">
        <v>0.09024</v>
      </c>
      <c r="N723" s="5">
        <v>0.0</v>
      </c>
      <c r="O723" s="5">
        <v>0.0</v>
      </c>
      <c r="P723" s="5">
        <v>0.0</v>
      </c>
      <c r="Q723" s="5">
        <v>0.09024</v>
      </c>
      <c r="R723" s="5">
        <v>0.0</v>
      </c>
      <c r="S723" s="5">
        <v>0.0</v>
      </c>
      <c r="T723" s="5">
        <v>0.0</v>
      </c>
      <c r="U723" s="5">
        <v>0.0</v>
      </c>
    </row>
    <row r="724" outlineLevel="1">
      <c r="B724" s="0" t="inlineStr">
        <is>
          <t xml:space="preserve">LUMEN TECHNOLOGIES, INC.</t>
        </is>
      </c>
      <c r="C724" s="0" t="inlineStr">
        <is>
          <t xml:space="preserve">LYV8XEV314F6</t>
        </is>
      </c>
      <c r="D724" s="0" t="inlineStr">
        <is>
          <t xml:space="preserve">-</t>
        </is>
      </c>
      <c r="E724" s="0" t="inlineStr">
        <is>
          <t xml:space="preserve">-</t>
        </is>
      </c>
      <c r="F724" s="0" t="inlineStr">
        <is>
          <t xml:space="preserve">-</t>
        </is>
      </c>
      <c r="G724" s="5">
        <v>0.088974</v>
      </c>
      <c r="H724" s="0" t="inlineStr">
        <is>
          <t xml:space="preserve">supplier</t>
        </is>
      </c>
      <c r="I724" s="0" t="inlineStr">
        <is>
          <t xml:space="preserve">unbucketed</t>
        </is>
      </c>
      <c r="J724" s="0" t="inlineStr">
        <is>
          <t xml:space="preserve">residual</t>
        </is>
      </c>
      <c r="K724" s="5">
        <v>0</v>
      </c>
      <c r="L724" s="5">
        <v>0</v>
      </c>
      <c r="M724" s="5">
        <v>0.088974</v>
      </c>
      <c r="N724" s="5">
        <v>0.0</v>
      </c>
      <c r="O724" s="5">
        <v>0.0</v>
      </c>
      <c r="P724" s="5">
        <v>0.0</v>
      </c>
      <c r="Q724" s="5">
        <v>0.0</v>
      </c>
      <c r="R724" s="5">
        <v>0.0</v>
      </c>
      <c r="S724" s="5">
        <v>0.0171</v>
      </c>
      <c r="T724" s="5">
        <v>0.0</v>
      </c>
      <c r="U724" s="5">
        <v>0.0</v>
      </c>
    </row>
    <row r="725" outlineLevel="1">
      <c r="B725" s="0" t="inlineStr">
        <is>
          <t xml:space="preserve">VICOR CORP</t>
        </is>
      </c>
      <c r="C725" s="0" t="inlineStr">
        <is>
          <t xml:space="preserve">PZK1KSXFFNX9</t>
        </is>
      </c>
      <c r="D725" s="0" t="inlineStr">
        <is>
          <t xml:space="preserve">-</t>
        </is>
      </c>
      <c r="E725" s="0" t="inlineStr">
        <is>
          <t xml:space="preserve">-</t>
        </is>
      </c>
      <c r="F725" s="0" t="inlineStr">
        <is>
          <t xml:space="preserve">-</t>
        </is>
      </c>
      <c r="G725" s="5">
        <v>0.08887</v>
      </c>
      <c r="H725" s="0" t="inlineStr">
        <is>
          <t xml:space="preserve">supplier</t>
        </is>
      </c>
      <c r="I725" s="0" t="inlineStr">
        <is>
          <t xml:space="preserve">unbucketed</t>
        </is>
      </c>
      <c r="J725" s="0" t="inlineStr">
        <is>
          <t xml:space="preserve">residual</t>
        </is>
      </c>
      <c r="K725" s="5">
        <v>0</v>
      </c>
      <c r="L725" s="5">
        <v>0</v>
      </c>
      <c r="M725" s="5">
        <v>0.08887</v>
      </c>
      <c r="N725" s="5">
        <v>0.0</v>
      </c>
      <c r="O725" s="5">
        <v>0.0</v>
      </c>
      <c r="P725" s="5">
        <v>0.0</v>
      </c>
      <c r="Q725" s="5">
        <v>0.0</v>
      </c>
      <c r="R725" s="5">
        <v>0.08887</v>
      </c>
      <c r="S725" s="5">
        <v>0.0</v>
      </c>
      <c r="T725" s="5">
        <v>0.0</v>
      </c>
      <c r="U725" s="5">
        <v>0.0</v>
      </c>
    </row>
    <row r="726" outlineLevel="1">
      <c r="B726" s="0" t="inlineStr">
        <is>
          <t xml:space="preserve">321GANG, LLC</t>
        </is>
      </c>
      <c r="C726" s="0" t="inlineStr">
        <is>
          <t xml:space="preserve">KAFVDV3C5BN1</t>
        </is>
      </c>
      <c r="D726" s="0" t="inlineStr">
        <is>
          <t xml:space="preserve">-</t>
        </is>
      </c>
      <c r="E726" s="0" t="inlineStr">
        <is>
          <t xml:space="preserve">-</t>
        </is>
      </c>
      <c r="F726" s="0" t="inlineStr">
        <is>
          <t xml:space="preserve">-</t>
        </is>
      </c>
      <c r="G726" s="5">
        <v>0.08843077</v>
      </c>
      <c r="H726" s="0" t="inlineStr">
        <is>
          <t xml:space="preserve">supplier</t>
        </is>
      </c>
      <c r="I726" s="0" t="inlineStr">
        <is>
          <t xml:space="preserve">unbucketed</t>
        </is>
      </c>
      <c r="J726" s="0" t="inlineStr">
        <is>
          <t xml:space="preserve">residual</t>
        </is>
      </c>
      <c r="K726" s="5">
        <v>0</v>
      </c>
      <c r="L726" s="5">
        <v>0</v>
      </c>
      <c r="M726" s="5">
        <v>0.08843077</v>
      </c>
      <c r="N726" s="5">
        <v>0.0</v>
      </c>
      <c r="O726" s="5">
        <v>0.0</v>
      </c>
      <c r="P726" s="5">
        <v>0.0</v>
      </c>
      <c r="Q726" s="5">
        <v>0.0</v>
      </c>
      <c r="R726" s="5">
        <v>-4e-05</v>
      </c>
      <c r="S726" s="5">
        <v>0.08847077</v>
      </c>
      <c r="T726" s="5">
        <v>0.0</v>
      </c>
      <c r="U726" s="5">
        <v>0.0</v>
      </c>
    </row>
    <row r="727" outlineLevel="1">
      <c r="B727" s="0" t="inlineStr">
        <is>
          <t xml:space="preserve">RANOR INC</t>
        </is>
      </c>
      <c r="C727" s="0" t="inlineStr">
        <is>
          <t xml:space="preserve">MF1LU8RPCMB8</t>
        </is>
      </c>
      <c r="D727" s="0" t="inlineStr">
        <is>
          <t xml:space="preserve">USA</t>
        </is>
      </c>
      <c r="E727" s="0" t="inlineStr">
        <is>
          <t xml:space="preserve">3323</t>
        </is>
      </c>
      <c r="F727" s="0" t="inlineStr">
        <is>
          <t xml:space="preserve">Plate Work Manufacturing</t>
        </is>
      </c>
      <c r="G727" s="5">
        <v>0.088</v>
      </c>
      <c r="H727" s="0" t="inlineStr">
        <is>
          <t xml:space="preserve">supplier</t>
        </is>
      </c>
      <c r="I727" s="0" t="inlineStr">
        <is>
          <t xml:space="preserve">structural</t>
        </is>
      </c>
      <c r="J727" s="0" t="inlineStr">
        <is>
          <t xml:space="preserve">naics4</t>
        </is>
      </c>
      <c r="K727" s="5">
        <v>0</v>
      </c>
      <c r="L727" s="5">
        <v>0</v>
      </c>
      <c r="M727" s="5">
        <v>0.088</v>
      </c>
      <c r="N727" s="5">
        <v>0.088</v>
      </c>
      <c r="O727" s="5">
        <v>0.0</v>
      </c>
      <c r="P727" s="5">
        <v>0.0</v>
      </c>
      <c r="Q727" s="5">
        <v>0.0</v>
      </c>
      <c r="R727" s="5">
        <v>0.0</v>
      </c>
      <c r="S727" s="5">
        <v>0.0</v>
      </c>
      <c r="T727" s="5">
        <v>0.0</v>
      </c>
      <c r="U727" s="5">
        <v>0.0</v>
      </c>
    </row>
    <row r="728" outlineLevel="1">
      <c r="B728" s="0" t="inlineStr">
        <is>
          <t xml:space="preserve">AMRON INTERNATIONAL INC</t>
        </is>
      </c>
      <c r="C728" s="0" t="inlineStr">
        <is>
          <t xml:space="preserve">T5PEM8N1QE25</t>
        </is>
      </c>
      <c r="D728" s="0" t="inlineStr">
        <is>
          <t xml:space="preserve">-</t>
        </is>
      </c>
      <c r="E728" s="0" t="inlineStr">
        <is>
          <t xml:space="preserve">-</t>
        </is>
      </c>
      <c r="F728" s="0" t="inlineStr">
        <is>
          <t xml:space="preserve">-</t>
        </is>
      </c>
      <c r="G728" s="5">
        <v>0.0879</v>
      </c>
      <c r="H728" s="0" t="inlineStr">
        <is>
          <t xml:space="preserve">supplier</t>
        </is>
      </c>
      <c r="I728" s="0" t="inlineStr">
        <is>
          <t xml:space="preserve">unbucketed</t>
        </is>
      </c>
      <c r="J728" s="0" t="inlineStr">
        <is>
          <t xml:space="preserve">residual</t>
        </is>
      </c>
      <c r="K728" s="5">
        <v>0</v>
      </c>
      <c r="L728" s="5">
        <v>0</v>
      </c>
      <c r="M728" s="5">
        <v>0.0879</v>
      </c>
      <c r="N728" s="5">
        <v>0.0</v>
      </c>
      <c r="O728" s="5">
        <v>0.0879</v>
      </c>
      <c r="P728" s="5">
        <v>0.0</v>
      </c>
      <c r="Q728" s="5">
        <v>0.0</v>
      </c>
      <c r="R728" s="5">
        <v>0.0</v>
      </c>
      <c r="S728" s="5">
        <v>0.0</v>
      </c>
      <c r="T728" s="5">
        <v>0.0</v>
      </c>
      <c r="U728" s="5">
        <v>0.0</v>
      </c>
    </row>
    <row r="729" outlineLevel="1">
      <c r="B729" s="0" t="inlineStr">
        <is>
          <t xml:space="preserve">CORTEVA, INC.</t>
        </is>
      </c>
      <c r="C729" s="0" t="inlineStr">
        <is>
          <t xml:space="preserve">E844ZKYNKDX4</t>
        </is>
      </c>
      <c r="D729" s="0" t="inlineStr">
        <is>
          <t xml:space="preserve">-</t>
        </is>
      </c>
      <c r="E729" s="0" t="inlineStr">
        <is>
          <t xml:space="preserve">-</t>
        </is>
      </c>
      <c r="F729" s="0" t="inlineStr">
        <is>
          <t xml:space="preserve">-</t>
        </is>
      </c>
      <c r="G729" s="5">
        <v>0.0875</v>
      </c>
      <c r="H729" s="0" t="inlineStr">
        <is>
          <t xml:space="preserve">supplier</t>
        </is>
      </c>
      <c r="I729" s="0" t="inlineStr">
        <is>
          <t xml:space="preserve">unbucketed</t>
        </is>
      </c>
      <c r="J729" s="0" t="inlineStr">
        <is>
          <t xml:space="preserve">residual</t>
        </is>
      </c>
      <c r="K729" s="5">
        <v>0</v>
      </c>
      <c r="L729" s="5">
        <v>0</v>
      </c>
      <c r="M729" s="5">
        <v>0.0875</v>
      </c>
      <c r="N729" s="5">
        <v>0.0</v>
      </c>
      <c r="O729" s="5">
        <v>0.0</v>
      </c>
      <c r="P729" s="5">
        <v>0.0</v>
      </c>
      <c r="Q729" s="5">
        <v>0.0</v>
      </c>
      <c r="R729" s="5">
        <v>0.0</v>
      </c>
      <c r="S729" s="5">
        <v>0.0</v>
      </c>
      <c r="T729" s="5">
        <v>0.0</v>
      </c>
      <c r="U729" s="5">
        <v>0.0</v>
      </c>
    </row>
    <row r="730" outlineLevel="1">
      <c r="B730" s="0" t="inlineStr">
        <is>
          <t xml:space="preserve">SPIRAX-SARCO ENGINEERING PLC</t>
        </is>
      </c>
      <c r="C730" s="0" t="inlineStr">
        <is>
          <t xml:space="preserve">M8ZHL8ZXGQP5</t>
        </is>
      </c>
      <c r="D730" s="0" t="inlineStr">
        <is>
          <t xml:space="preserve">-</t>
        </is>
      </c>
      <c r="E730" s="0" t="inlineStr">
        <is>
          <t xml:space="preserve">-</t>
        </is>
      </c>
      <c r="F730" s="0" t="inlineStr">
        <is>
          <t xml:space="preserve">-</t>
        </is>
      </c>
      <c r="G730" s="5">
        <v>0.087074</v>
      </c>
      <c r="H730" s="0" t="inlineStr">
        <is>
          <t xml:space="preserve">supplier</t>
        </is>
      </c>
      <c r="I730" s="0" t="inlineStr">
        <is>
          <t xml:space="preserve">unbucketed</t>
        </is>
      </c>
      <c r="J730" s="0" t="inlineStr">
        <is>
          <t xml:space="preserve">residual</t>
        </is>
      </c>
      <c r="K730" s="5">
        <v>0</v>
      </c>
      <c r="L730" s="5">
        <v>0</v>
      </c>
      <c r="M730" s="5">
        <v>0.087074</v>
      </c>
      <c r="N730" s="5">
        <v>0.0</v>
      </c>
      <c r="O730" s="5">
        <v>0.0</v>
      </c>
      <c r="P730" s="5">
        <v>0.0</v>
      </c>
      <c r="Q730" s="5">
        <v>0.0</v>
      </c>
      <c r="R730" s="5">
        <v>0.0</v>
      </c>
      <c r="S730" s="5">
        <v>0.0</v>
      </c>
      <c r="T730" s="5">
        <v>0.0</v>
      </c>
      <c r="U730" s="5">
        <v>0.0</v>
      </c>
    </row>
    <row r="731" outlineLevel="1">
      <c r="B731" s="0" t="inlineStr">
        <is>
          <t xml:space="preserve">SAMTAN ENGINEERING, LLC</t>
        </is>
      </c>
      <c r="C731" s="0" t="inlineStr">
        <is>
          <t xml:space="preserve">MKG5CAN2J8S7</t>
        </is>
      </c>
      <c r="D731" s="0" t="inlineStr">
        <is>
          <t xml:space="preserve">-</t>
        </is>
      </c>
      <c r="E731" s="0" t="inlineStr">
        <is>
          <t xml:space="preserve">-</t>
        </is>
      </c>
      <c r="F731" s="0" t="inlineStr">
        <is>
          <t xml:space="preserve">-</t>
        </is>
      </c>
      <c r="G731" s="5">
        <v>0.08669546</v>
      </c>
      <c r="H731" s="0" t="inlineStr">
        <is>
          <t xml:space="preserve">supplier</t>
        </is>
      </c>
      <c r="I731" s="0" t="inlineStr">
        <is>
          <t xml:space="preserve">unbucketed</t>
        </is>
      </c>
      <c r="J731" s="0" t="inlineStr">
        <is>
          <t xml:space="preserve">residual</t>
        </is>
      </c>
      <c r="K731" s="5">
        <v>0</v>
      </c>
      <c r="L731" s="5">
        <v>0</v>
      </c>
      <c r="M731" s="5">
        <v>0.08669546</v>
      </c>
      <c r="N731" s="5">
        <v>0.08669546</v>
      </c>
      <c r="O731" s="5">
        <v>0.0</v>
      </c>
      <c r="P731" s="5">
        <v>0.0</v>
      </c>
      <c r="Q731" s="5">
        <v>0.0</v>
      </c>
      <c r="R731" s="5">
        <v>0.0</v>
      </c>
      <c r="S731" s="5">
        <v>0.0</v>
      </c>
      <c r="T731" s="5">
        <v>0.0</v>
      </c>
      <c r="U731" s="5">
        <v>0.0</v>
      </c>
    </row>
    <row r="732" outlineLevel="1">
      <c r="B732" s="0" t="inlineStr">
        <is>
          <t xml:space="preserve">THE SHERWIN-WILLIAMS COMPANY</t>
        </is>
      </c>
      <c r="C732" s="0" t="inlineStr">
        <is>
          <t xml:space="preserve">Q5JLDRAYLJF4</t>
        </is>
      </c>
      <c r="D732" s="0" t="inlineStr">
        <is>
          <t xml:space="preserve">-</t>
        </is>
      </c>
      <c r="E732" s="0" t="inlineStr">
        <is>
          <t xml:space="preserve">-</t>
        </is>
      </c>
      <c r="F732" s="0" t="inlineStr">
        <is>
          <t xml:space="preserve">-</t>
        </is>
      </c>
      <c r="G732" s="5">
        <v>0.08617530999999999</v>
      </c>
      <c r="H732" s="0" t="inlineStr">
        <is>
          <t xml:space="preserve">supplier</t>
        </is>
      </c>
      <c r="I732" s="0" t="inlineStr">
        <is>
          <t xml:space="preserve">unbucketed</t>
        </is>
      </c>
      <c r="J732" s="0" t="inlineStr">
        <is>
          <t xml:space="preserve">residual</t>
        </is>
      </c>
      <c r="K732" s="5">
        <v>0</v>
      </c>
      <c r="L732" s="5">
        <v>0</v>
      </c>
      <c r="M732" s="5">
        <v>0.0</v>
      </c>
      <c r="N732" s="5">
        <v>0.0</v>
      </c>
      <c r="O732" s="5">
        <v>0.0</v>
      </c>
      <c r="P732" s="5">
        <v>0.0</v>
      </c>
      <c r="Q732" s="5">
        <v>0.0</v>
      </c>
      <c r="R732" s="5">
        <v>0.0</v>
      </c>
      <c r="S732" s="5">
        <v>0.0</v>
      </c>
      <c r="T732" s="5">
        <v>0.0</v>
      </c>
      <c r="U732" s="5">
        <v>0.0</v>
      </c>
    </row>
    <row r="733" outlineLevel="1">
      <c r="B733" s="0" t="inlineStr">
        <is>
          <t xml:space="preserve">HEH HOLDINGS LLC</t>
        </is>
      </c>
      <c r="C733" s="0" t="inlineStr">
        <is>
          <t xml:space="preserve">RJGEKQDTZKT8</t>
        </is>
      </c>
      <c r="D733" s="0" t="inlineStr">
        <is>
          <t xml:space="preserve">-</t>
        </is>
      </c>
      <c r="E733" s="0" t="inlineStr">
        <is>
          <t xml:space="preserve">-</t>
        </is>
      </c>
      <c r="F733" s="0" t="inlineStr">
        <is>
          <t xml:space="preserve">-</t>
        </is>
      </c>
      <c r="G733" s="5">
        <v>0.0855608</v>
      </c>
      <c r="H733" s="0" t="inlineStr">
        <is>
          <t xml:space="preserve">supplier</t>
        </is>
      </c>
      <c r="I733" s="0" t="inlineStr">
        <is>
          <t xml:space="preserve">unbucketed</t>
        </is>
      </c>
      <c r="J733" s="0" t="inlineStr">
        <is>
          <t xml:space="preserve">residual</t>
        </is>
      </c>
      <c r="K733" s="5">
        <v>0</v>
      </c>
      <c r="L733" s="5">
        <v>0</v>
      </c>
      <c r="M733" s="5">
        <v>0.0855608</v>
      </c>
      <c r="N733" s="5">
        <v>0.0</v>
      </c>
      <c r="O733" s="5">
        <v>0.0</v>
      </c>
      <c r="P733" s="5">
        <v>0.0</v>
      </c>
      <c r="Q733" s="5">
        <v>0.0</v>
      </c>
      <c r="R733" s="5">
        <v>0.0</v>
      </c>
      <c r="S733" s="5">
        <v>0.0</v>
      </c>
      <c r="T733" s="5">
        <v>0.0</v>
      </c>
      <c r="U733" s="5">
        <v>0.0</v>
      </c>
    </row>
    <row r="734" outlineLevel="1">
      <c r="B734" s="0" t="inlineStr">
        <is>
          <t xml:space="preserve">LEARN</t>
        </is>
      </c>
      <c r="C734" s="0" t="inlineStr">
        <is>
          <t xml:space="preserve">J1PMKPB4HNN5</t>
        </is>
      </c>
      <c r="D734" s="0" t="inlineStr">
        <is>
          <t xml:space="preserve">-</t>
        </is>
      </c>
      <c r="E734" s="0" t="inlineStr">
        <is>
          <t xml:space="preserve">-</t>
        </is>
      </c>
      <c r="F734" s="0" t="inlineStr">
        <is>
          <t xml:space="preserve">-</t>
        </is>
      </c>
      <c r="G734" s="5">
        <v>0.08536</v>
      </c>
      <c r="H734" s="0" t="inlineStr">
        <is>
          <t xml:space="preserve">supplier</t>
        </is>
      </c>
      <c r="I734" s="0" t="inlineStr">
        <is>
          <t xml:space="preserve">unbucketed</t>
        </is>
      </c>
      <c r="J734" s="0" t="inlineStr">
        <is>
          <t xml:space="preserve">residual</t>
        </is>
      </c>
      <c r="K734" s="5">
        <v>0</v>
      </c>
      <c r="L734" s="5">
        <v>0</v>
      </c>
      <c r="M734" s="5">
        <v>0.08536</v>
      </c>
      <c r="N734" s="5">
        <v>0.0</v>
      </c>
      <c r="O734" s="5">
        <v>0.0</v>
      </c>
      <c r="P734" s="5">
        <v>0.0</v>
      </c>
      <c r="Q734" s="5">
        <v>0.0</v>
      </c>
      <c r="R734" s="5">
        <v>0.0</v>
      </c>
      <c r="S734" s="5">
        <v>0.0</v>
      </c>
      <c r="T734" s="5">
        <v>0.08536</v>
      </c>
      <c r="U734" s="5">
        <v>0.0</v>
      </c>
    </row>
    <row r="735" outlineLevel="1">
      <c r="B735" s="0" t="inlineStr">
        <is>
          <t xml:space="preserve">NORTHROP GRUMMAN CORPORATION</t>
        </is>
      </c>
      <c r="C735" s="0" t="inlineStr">
        <is>
          <t xml:space="preserve">UYHRBG6RLS57</t>
        </is>
      </c>
      <c r="D735" s="0" t="inlineStr">
        <is>
          <t xml:space="preserve">USA</t>
        </is>
      </c>
      <c r="E735" s="0" t="inlineStr">
        <is>
          <t xml:space="preserve">3364</t>
        </is>
      </c>
      <c r="F735" s="0" t="inlineStr">
        <is>
          <t xml:space="preserve">Other Aircraft Parts and Auxiliary Equipment Manufacturing</t>
        </is>
      </c>
      <c r="G735" s="5">
        <v>0.08452799999999999</v>
      </c>
      <c r="H735" s="0" t="inlineStr">
        <is>
          <t xml:space="preserve">supplier</t>
        </is>
      </c>
      <c r="I735" s="0" t="inlineStr">
        <is>
          <t xml:space="preserve">unbucketed</t>
        </is>
      </c>
      <c r="J735" s="0" t="inlineStr">
        <is>
          <t xml:space="preserve">residual</t>
        </is>
      </c>
      <c r="K735" s="5">
        <v>0</v>
      </c>
      <c r="L735" s="5">
        <v>0</v>
      </c>
      <c r="M735" s="5">
        <v>0.0</v>
      </c>
      <c r="N735" s="5">
        <v>0.0</v>
      </c>
      <c r="O735" s="5">
        <v>0.0</v>
      </c>
      <c r="P735" s="5">
        <v>0.0</v>
      </c>
      <c r="Q735" s="5">
        <v>0.0</v>
      </c>
      <c r="R735" s="5">
        <v>0.0</v>
      </c>
      <c r="S735" s="5">
        <v>0.0</v>
      </c>
      <c r="T735" s="5">
        <v>0.0</v>
      </c>
      <c r="U735" s="5">
        <v>0.0</v>
      </c>
    </row>
    <row r="736" outlineLevel="1">
      <c r="B736" s="0" t="inlineStr">
        <is>
          <t xml:space="preserve">MID STATE FIRE EQUIPMENT INC</t>
        </is>
      </c>
      <c r="C736" s="0" t="inlineStr">
        <is>
          <t xml:space="preserve">GWJVH3CYE2F1</t>
        </is>
      </c>
      <c r="D736" s="0" t="inlineStr">
        <is>
          <t xml:space="preserve">-</t>
        </is>
      </c>
      <c r="E736" s="0" t="inlineStr">
        <is>
          <t xml:space="preserve">-</t>
        </is>
      </c>
      <c r="F736" s="0" t="inlineStr">
        <is>
          <t xml:space="preserve">-</t>
        </is>
      </c>
      <c r="G736" s="5">
        <v>0.08435680000000001</v>
      </c>
      <c r="H736" s="0" t="inlineStr">
        <is>
          <t xml:space="preserve">supplier</t>
        </is>
      </c>
      <c r="I736" s="0" t="inlineStr">
        <is>
          <t xml:space="preserve">unbucketed</t>
        </is>
      </c>
      <c r="J736" s="0" t="inlineStr">
        <is>
          <t xml:space="preserve">residual</t>
        </is>
      </c>
      <c r="K736" s="5">
        <v>0</v>
      </c>
      <c r="L736" s="5">
        <v>0</v>
      </c>
      <c r="M736" s="5">
        <v>0.08435680000000001</v>
      </c>
      <c r="N736" s="5">
        <v>0.0</v>
      </c>
      <c r="O736" s="5">
        <v>0.0</v>
      </c>
      <c r="P736" s="5">
        <v>0.0</v>
      </c>
      <c r="Q736" s="5">
        <v>0.0</v>
      </c>
      <c r="R736" s="5">
        <v>0.0</v>
      </c>
      <c r="S736" s="5">
        <v>0.0</v>
      </c>
      <c r="T736" s="5">
        <v>0.0</v>
      </c>
      <c r="U736" s="5">
        <v>0.0</v>
      </c>
    </row>
    <row r="737" outlineLevel="1">
      <c r="B737" s="0" t="inlineStr">
        <is>
          <t xml:space="preserve">HAMPTON RUBBER COMPANY</t>
        </is>
      </c>
      <c r="C737" s="0" t="inlineStr">
        <is>
          <t xml:space="preserve">HJ7KCZ68G3N3</t>
        </is>
      </c>
      <c r="D737" s="0" t="inlineStr">
        <is>
          <t xml:space="preserve">-</t>
        </is>
      </c>
      <c r="E737" s="0" t="inlineStr">
        <is>
          <t xml:space="preserve">-</t>
        </is>
      </c>
      <c r="F737" s="0" t="inlineStr">
        <is>
          <t xml:space="preserve">-</t>
        </is>
      </c>
      <c r="G737" s="5">
        <v>0.08412672</v>
      </c>
      <c r="H737" s="0" t="inlineStr">
        <is>
          <t xml:space="preserve">supplier</t>
        </is>
      </c>
      <c r="I737" s="0" t="inlineStr">
        <is>
          <t xml:space="preserve">unbucketed</t>
        </is>
      </c>
      <c r="J737" s="0" t="inlineStr">
        <is>
          <t xml:space="preserve">residual</t>
        </is>
      </c>
      <c r="K737" s="5">
        <v>0</v>
      </c>
      <c r="L737" s="5">
        <v>0</v>
      </c>
      <c r="M737" s="5">
        <v>0.08412672</v>
      </c>
      <c r="N737" s="5">
        <v>0.0</v>
      </c>
      <c r="O737" s="5">
        <v>0.0</v>
      </c>
      <c r="P737" s="5">
        <v>0.0</v>
      </c>
      <c r="Q737" s="5">
        <v>0.0</v>
      </c>
      <c r="R737" s="5">
        <v>0.0</v>
      </c>
      <c r="S737" s="5">
        <v>0.0</v>
      </c>
      <c r="T737" s="5">
        <v>0.08412672</v>
      </c>
      <c r="U737" s="5">
        <v>0.0</v>
      </c>
    </row>
    <row r="738" outlineLevel="1">
      <c r="B738" s="0" t="inlineStr">
        <is>
          <t xml:space="preserve">TECHSPEC, INC.</t>
        </is>
      </c>
      <c r="C738" s="0" t="inlineStr">
        <is>
          <t xml:space="preserve">W7QMJRYTHHM4</t>
        </is>
      </c>
      <c r="D738" s="0" t="inlineStr">
        <is>
          <t xml:space="preserve">-</t>
        </is>
      </c>
      <c r="E738" s="0" t="inlineStr">
        <is>
          <t xml:space="preserve">-</t>
        </is>
      </c>
      <c r="F738" s="0" t="inlineStr">
        <is>
          <t xml:space="preserve">-</t>
        </is>
      </c>
      <c r="G738" s="5">
        <v>0.08393888000000001</v>
      </c>
      <c r="H738" s="0" t="inlineStr">
        <is>
          <t xml:space="preserve">supplier</t>
        </is>
      </c>
      <c r="I738" s="0" t="inlineStr">
        <is>
          <t xml:space="preserve">unbucketed</t>
        </is>
      </c>
      <c r="J738" s="0" t="inlineStr">
        <is>
          <t xml:space="preserve">residual</t>
        </is>
      </c>
      <c r="K738" s="5">
        <v>0</v>
      </c>
      <c r="L738" s="5">
        <v>0</v>
      </c>
      <c r="M738" s="5">
        <v>0.08393888000000001</v>
      </c>
      <c r="N738" s="5">
        <v>0.08393888000000001</v>
      </c>
      <c r="O738" s="5">
        <v>0.0</v>
      </c>
      <c r="P738" s="5">
        <v>0.0</v>
      </c>
      <c r="Q738" s="5">
        <v>0.0</v>
      </c>
      <c r="R738" s="5">
        <v>0.0</v>
      </c>
      <c r="S738" s="5">
        <v>0.0</v>
      </c>
      <c r="T738" s="5">
        <v>0.0</v>
      </c>
      <c r="U738" s="5">
        <v>0.0</v>
      </c>
    </row>
    <row r="739" outlineLevel="1">
      <c r="B739" s="0" t="inlineStr">
        <is>
          <t xml:space="preserve">PALMER HOLLAND INC</t>
        </is>
      </c>
      <c r="C739" s="0" t="inlineStr">
        <is>
          <t xml:space="preserve">E8QBZAUN1UL3</t>
        </is>
      </c>
      <c r="D739" s="0" t="inlineStr">
        <is>
          <t xml:space="preserve">-</t>
        </is>
      </c>
      <c r="E739" s="0" t="inlineStr">
        <is>
          <t xml:space="preserve">-</t>
        </is>
      </c>
      <c r="F739" s="0" t="inlineStr">
        <is>
          <t xml:space="preserve">-</t>
        </is>
      </c>
      <c r="G739" s="5">
        <v>0.08306</v>
      </c>
      <c r="H739" s="0" t="inlineStr">
        <is>
          <t xml:space="preserve">supplier</t>
        </is>
      </c>
      <c r="I739" s="0" t="inlineStr">
        <is>
          <t xml:space="preserve">unbucketed</t>
        </is>
      </c>
      <c r="J739" s="0" t="inlineStr">
        <is>
          <t xml:space="preserve">residual</t>
        </is>
      </c>
      <c r="K739" s="5">
        <v>0</v>
      </c>
      <c r="L739" s="5">
        <v>0</v>
      </c>
      <c r="M739" s="5">
        <v>0.0</v>
      </c>
      <c r="N739" s="5">
        <v>0.0</v>
      </c>
      <c r="O739" s="5">
        <v>0.0</v>
      </c>
      <c r="P739" s="5">
        <v>0.0</v>
      </c>
      <c r="Q739" s="5">
        <v>0.0</v>
      </c>
      <c r="R739" s="5">
        <v>0.0</v>
      </c>
      <c r="S739" s="5">
        <v>0.0</v>
      </c>
      <c r="T739" s="5">
        <v>0.0</v>
      </c>
      <c r="U739" s="5">
        <v>0.0</v>
      </c>
    </row>
    <row r="740" outlineLevel="1">
      <c r="B740" s="0" t="inlineStr">
        <is>
          <t xml:space="preserve">MW JONES &amp; COMPANY, INC.</t>
        </is>
      </c>
      <c r="C740" s="0" t="inlineStr">
        <is>
          <t xml:space="preserve">K294P4QJHFU9</t>
        </is>
      </c>
      <c r="D740" s="0" t="inlineStr">
        <is>
          <t xml:space="preserve">USA</t>
        </is>
      </c>
      <c r="E740" s="0" t="inlineStr">
        <is>
          <t xml:space="preserve">5416</t>
        </is>
      </c>
      <c r="F740" s="0" t="inlineStr">
        <is>
          <t xml:space="preserve">Administrative Management and General Management Consulting Services</t>
        </is>
      </c>
      <c r="G740" s="5">
        <v>0.08249999999999999</v>
      </c>
      <c r="H740" s="0" t="inlineStr">
        <is>
          <t xml:space="preserve">service</t>
        </is>
      </c>
      <c r="I740" s="0" t="inlineStr">
        <is>
          <t xml:space="preserve">-</t>
        </is>
      </c>
      <c r="J740" s="0" t="inlineStr">
        <is>
          <t xml:space="preserve">registry</t>
        </is>
      </c>
      <c r="K740" s="5">
        <v>0</v>
      </c>
      <c r="L740" s="5">
        <v>0</v>
      </c>
      <c r="M740" s="5">
        <v>0.08249999999999999</v>
      </c>
      <c r="N740" s="5">
        <v>0.0</v>
      </c>
      <c r="O740" s="5">
        <v>0.0</v>
      </c>
      <c r="P740" s="5">
        <v>0.0</v>
      </c>
      <c r="Q740" s="5">
        <v>0.0</v>
      </c>
      <c r="R740" s="5">
        <v>0.0</v>
      </c>
      <c r="S740" s="5">
        <v>0.0</v>
      </c>
      <c r="T740" s="5">
        <v>0.0</v>
      </c>
      <c r="U740" s="5">
        <v>0.0</v>
      </c>
    </row>
    <row r="741" outlineLevel="1">
      <c r="B741" s="0" t="inlineStr">
        <is>
          <t xml:space="preserve">TRI-LANE EQUIPMENT RENTALS, INC.</t>
        </is>
      </c>
      <c r="C741" s="0" t="inlineStr">
        <is>
          <t xml:space="preserve">PD3NKE727DN9</t>
        </is>
      </c>
      <c r="D741" s="0" t="inlineStr">
        <is>
          <t xml:space="preserve">-</t>
        </is>
      </c>
      <c r="E741" s="0" t="inlineStr">
        <is>
          <t xml:space="preserve">-</t>
        </is>
      </c>
      <c r="F741" s="0" t="inlineStr">
        <is>
          <t xml:space="preserve">-</t>
        </is>
      </c>
      <c r="G741" s="5">
        <v>0.08170583000000001</v>
      </c>
      <c r="H741" s="0" t="inlineStr">
        <is>
          <t xml:space="preserve">supplier</t>
        </is>
      </c>
      <c r="I741" s="0" t="inlineStr">
        <is>
          <t xml:space="preserve">unbucketed</t>
        </is>
      </c>
      <c r="J741" s="0" t="inlineStr">
        <is>
          <t xml:space="preserve">residual</t>
        </is>
      </c>
      <c r="K741" s="5">
        <v>0</v>
      </c>
      <c r="L741" s="5">
        <v>0</v>
      </c>
      <c r="M741" s="5">
        <v>0.08170583000000001</v>
      </c>
      <c r="N741" s="5">
        <v>0.08170583000000001</v>
      </c>
      <c r="O741" s="5">
        <v>0.0</v>
      </c>
      <c r="P741" s="5">
        <v>0.0</v>
      </c>
      <c r="Q741" s="5">
        <v>0.0</v>
      </c>
      <c r="R741" s="5">
        <v>0.0</v>
      </c>
      <c r="S741" s="5">
        <v>0.0</v>
      </c>
      <c r="T741" s="5">
        <v>0.0</v>
      </c>
      <c r="U741" s="5">
        <v>0.0</v>
      </c>
    </row>
    <row r="742" outlineLevel="1">
      <c r="B742" s="0" t="inlineStr">
        <is>
          <t xml:space="preserve">EATON CORPORATION PUBLIC LIMITED COMPANY</t>
        </is>
      </c>
      <c r="C742" s="0" t="inlineStr">
        <is>
          <t xml:space="preserve">EHRJCSUERKU3</t>
        </is>
      </c>
      <c r="D742" s="0" t="inlineStr">
        <is>
          <t xml:space="preserve">-</t>
        </is>
      </c>
      <c r="E742" s="0" t="inlineStr">
        <is>
          <t xml:space="preserve">-</t>
        </is>
      </c>
      <c r="F742" s="0" t="inlineStr">
        <is>
          <t xml:space="preserve">-</t>
        </is>
      </c>
      <c r="G742" s="5">
        <v>0.0809</v>
      </c>
      <c r="H742" s="0" t="inlineStr">
        <is>
          <t xml:space="preserve">supplier</t>
        </is>
      </c>
      <c r="I742" s="0" t="inlineStr">
        <is>
          <t xml:space="preserve">unbucketed</t>
        </is>
      </c>
      <c r="J742" s="0" t="inlineStr">
        <is>
          <t xml:space="preserve">residual</t>
        </is>
      </c>
      <c r="K742" s="5">
        <v>0</v>
      </c>
      <c r="L742" s="5">
        <v>0</v>
      </c>
      <c r="M742" s="5">
        <v>0.0809</v>
      </c>
      <c r="N742" s="5">
        <v>0.0</v>
      </c>
      <c r="O742" s="5">
        <v>0.0</v>
      </c>
      <c r="P742" s="5">
        <v>0.0</v>
      </c>
      <c r="Q742" s="5">
        <v>0.0</v>
      </c>
      <c r="R742" s="5">
        <v>0.0809</v>
      </c>
      <c r="S742" s="5">
        <v>0.0</v>
      </c>
      <c r="T742" s="5">
        <v>0.0</v>
      </c>
      <c r="U742" s="5">
        <v>0.0</v>
      </c>
    </row>
    <row r="743" outlineLevel="1">
      <c r="B743" s="0" t="inlineStr">
        <is>
          <t xml:space="preserve">UNIFIED2 GLOBAL PACKAGING GROUP LLC</t>
        </is>
      </c>
      <c r="C743" s="0" t="inlineStr">
        <is>
          <t xml:space="preserve">XBHNYVTCDQH8</t>
        </is>
      </c>
      <c r="D743" s="0" t="inlineStr">
        <is>
          <t xml:space="preserve">-</t>
        </is>
      </c>
      <c r="E743" s="0" t="inlineStr">
        <is>
          <t xml:space="preserve">-</t>
        </is>
      </c>
      <c r="F743" s="0" t="inlineStr">
        <is>
          <t xml:space="preserve">-</t>
        </is>
      </c>
      <c r="G743" s="5">
        <v>0.08071358000000001</v>
      </c>
      <c r="H743" s="0" t="inlineStr">
        <is>
          <t xml:space="preserve">supplier</t>
        </is>
      </c>
      <c r="I743" s="0" t="inlineStr">
        <is>
          <t xml:space="preserve">unbucketed</t>
        </is>
      </c>
      <c r="J743" s="0" t="inlineStr">
        <is>
          <t xml:space="preserve">residual</t>
        </is>
      </c>
      <c r="K743" s="5">
        <v>0</v>
      </c>
      <c r="L743" s="5">
        <v>0</v>
      </c>
      <c r="M743" s="5">
        <v>0.08071358000000001</v>
      </c>
      <c r="N743" s="5">
        <v>0.0</v>
      </c>
      <c r="O743" s="5">
        <v>0.0</v>
      </c>
      <c r="P743" s="5">
        <v>0.0</v>
      </c>
      <c r="Q743" s="5">
        <v>0.03071358</v>
      </c>
      <c r="R743" s="5">
        <v>0.0</v>
      </c>
      <c r="S743" s="5">
        <v>0.05</v>
      </c>
      <c r="T743" s="5">
        <v>0.0</v>
      </c>
      <c r="U743" s="5">
        <v>0.0</v>
      </c>
    </row>
    <row r="744" outlineLevel="1">
      <c r="B744" s="0" t="inlineStr">
        <is>
          <t xml:space="preserve">THE CARLYLE GROUP L P</t>
        </is>
      </c>
      <c r="C744" s="0" t="inlineStr">
        <is>
          <t xml:space="preserve">N6P1AGPMV456</t>
        </is>
      </c>
      <c r="D744" s="0" t="inlineStr">
        <is>
          <t xml:space="preserve">-</t>
        </is>
      </c>
      <c r="E744" s="0" t="inlineStr">
        <is>
          <t xml:space="preserve">-</t>
        </is>
      </c>
      <c r="F744" s="0" t="inlineStr">
        <is>
          <t xml:space="preserve">-</t>
        </is>
      </c>
      <c r="G744" s="5">
        <v>0.08019024</v>
      </c>
      <c r="H744" s="0" t="inlineStr">
        <is>
          <t xml:space="preserve">supplier</t>
        </is>
      </c>
      <c r="I744" s="0" t="inlineStr">
        <is>
          <t xml:space="preserve">piping</t>
        </is>
      </c>
      <c r="J744" s="0" t="inlineStr">
        <is>
          <t xml:space="preserve">registry</t>
        </is>
      </c>
      <c r="K744" s="5">
        <v>0</v>
      </c>
      <c r="L744" s="5">
        <v>0</v>
      </c>
      <c r="M744" s="5">
        <v>0.08019024</v>
      </c>
      <c r="N744" s="5">
        <v>0.0</v>
      </c>
      <c r="O744" s="5">
        <v>0.0</v>
      </c>
      <c r="P744" s="5">
        <v>0.0</v>
      </c>
      <c r="Q744" s="5">
        <v>0.0</v>
      </c>
      <c r="R744" s="5">
        <v>0.0</v>
      </c>
      <c r="S744" s="5">
        <v>0.0</v>
      </c>
      <c r="T744" s="5">
        <v>0.0</v>
      </c>
      <c r="U744" s="5">
        <v>0.0</v>
      </c>
    </row>
    <row r="745" outlineLevel="1">
      <c r="B745" s="0" t="inlineStr">
        <is>
          <t xml:space="preserve">VULCAN ELECTRIC COMPANY</t>
        </is>
      </c>
      <c r="C745" s="0" t="inlineStr">
        <is>
          <t xml:space="preserve">W9MTG3DEVQN5</t>
        </is>
      </c>
      <c r="D745" s="0" t="inlineStr">
        <is>
          <t xml:space="preserve">-</t>
        </is>
      </c>
      <c r="E745" s="0" t="inlineStr">
        <is>
          <t xml:space="preserve">-</t>
        </is>
      </c>
      <c r="F745" s="0" t="inlineStr">
        <is>
          <t xml:space="preserve">-</t>
        </is>
      </c>
      <c r="G745" s="5">
        <v>0.08</v>
      </c>
      <c r="H745" s="0" t="inlineStr">
        <is>
          <t xml:space="preserve">supplier</t>
        </is>
      </c>
      <c r="I745" s="0" t="inlineStr">
        <is>
          <t xml:space="preserve">unbucketed</t>
        </is>
      </c>
      <c r="J745" s="0" t="inlineStr">
        <is>
          <t xml:space="preserve">residual</t>
        </is>
      </c>
      <c r="K745" s="5">
        <v>0</v>
      </c>
      <c r="L745" s="5">
        <v>0</v>
      </c>
      <c r="M745" s="5">
        <v>0.08</v>
      </c>
      <c r="N745" s="5">
        <v>0.0</v>
      </c>
      <c r="O745" s="5">
        <v>0.0</v>
      </c>
      <c r="P745" s="5">
        <v>0.0</v>
      </c>
      <c r="Q745" s="5">
        <v>0.0</v>
      </c>
      <c r="R745" s="5">
        <v>0.0</v>
      </c>
      <c r="S745" s="5">
        <v>0.0</v>
      </c>
      <c r="T745" s="5">
        <v>0.0</v>
      </c>
      <c r="U745" s="5">
        <v>0.0</v>
      </c>
    </row>
    <row r="746" outlineLevel="1">
      <c r="B746" s="0" t="inlineStr">
        <is>
          <t xml:space="preserve">BAKER SHEET METAL CORP</t>
        </is>
      </c>
      <c r="C746" s="0" t="inlineStr">
        <is>
          <t xml:space="preserve">RYRLL49HWN65</t>
        </is>
      </c>
      <c r="D746" s="0" t="inlineStr">
        <is>
          <t xml:space="preserve">USA</t>
        </is>
      </c>
      <c r="E746" s="0" t="inlineStr">
        <is>
          <t xml:space="preserve">3323</t>
        </is>
      </c>
      <c r="F746" s="0" t="inlineStr">
        <is>
          <t xml:space="preserve">Sheet Metal Work Manufacturing</t>
        </is>
      </c>
      <c r="G746" s="5">
        <v>0.079875</v>
      </c>
      <c r="H746" s="0" t="inlineStr">
        <is>
          <t xml:space="preserve">supplier</t>
        </is>
      </c>
      <c r="I746" s="0" t="inlineStr">
        <is>
          <t xml:space="preserve">structural</t>
        </is>
      </c>
      <c r="J746" s="0" t="inlineStr">
        <is>
          <t xml:space="preserve">naics4</t>
        </is>
      </c>
      <c r="K746" s="5">
        <v>0</v>
      </c>
      <c r="L746" s="5">
        <v>0</v>
      </c>
      <c r="M746" s="5">
        <v>0.079875</v>
      </c>
      <c r="N746" s="5">
        <v>0.0</v>
      </c>
      <c r="O746" s="5">
        <v>0.0</v>
      </c>
      <c r="P746" s="5">
        <v>0.0</v>
      </c>
      <c r="Q746" s="5">
        <v>0.0</v>
      </c>
      <c r="R746" s="5">
        <v>0.079875</v>
      </c>
      <c r="S746" s="5">
        <v>0.0</v>
      </c>
      <c r="T746" s="5">
        <v>0.0</v>
      </c>
      <c r="U746" s="5">
        <v>0.0</v>
      </c>
    </row>
    <row r="747" outlineLevel="1">
      <c r="B747" s="0" t="inlineStr">
        <is>
          <t xml:space="preserve">ELLWOOD NATIONAL FORGE COMPANY</t>
        </is>
      </c>
      <c r="C747" s="0" t="inlineStr">
        <is>
          <t xml:space="preserve">QGB4RDYJNJT9</t>
        </is>
      </c>
      <c r="D747" s="0" t="inlineStr">
        <is>
          <t xml:space="preserve">-</t>
        </is>
      </c>
      <c r="E747" s="0" t="inlineStr">
        <is>
          <t xml:space="preserve">-</t>
        </is>
      </c>
      <c r="F747" s="0" t="inlineStr">
        <is>
          <t xml:space="preserve">-</t>
        </is>
      </c>
      <c r="G747" s="5">
        <v>0.079824</v>
      </c>
      <c r="H747" s="0" t="inlineStr">
        <is>
          <t xml:space="preserve">supplier</t>
        </is>
      </c>
      <c r="I747" s="0" t="inlineStr">
        <is>
          <t xml:space="preserve">castings</t>
        </is>
      </c>
      <c r="J747" s="0" t="inlineStr">
        <is>
          <t xml:space="preserve">registry</t>
        </is>
      </c>
      <c r="K747" s="5">
        <v>0</v>
      </c>
      <c r="L747" s="5">
        <v>0</v>
      </c>
      <c r="M747" s="5">
        <v>0.079824</v>
      </c>
      <c r="N747" s="5">
        <v>0.0</v>
      </c>
      <c r="O747" s="5">
        <v>0.0</v>
      </c>
      <c r="P747" s="5">
        <v>0.079824</v>
      </c>
      <c r="Q747" s="5">
        <v>0.0</v>
      </c>
      <c r="R747" s="5">
        <v>0.0</v>
      </c>
      <c r="S747" s="5">
        <v>0.0</v>
      </c>
      <c r="T747" s="5">
        <v>0.0</v>
      </c>
      <c r="U747" s="5">
        <v>0.0</v>
      </c>
    </row>
    <row r="748" outlineLevel="1">
      <c r="B748" s="0" t="inlineStr">
        <is>
          <t xml:space="preserve">SKOVIRA MACHINE COMPANY</t>
        </is>
      </c>
      <c r="C748" s="0" t="inlineStr">
        <is>
          <t xml:space="preserve">HHXEGAZL8618</t>
        </is>
      </c>
      <c r="D748" s="0" t="inlineStr">
        <is>
          <t xml:space="preserve">-</t>
        </is>
      </c>
      <c r="E748" s="0" t="inlineStr">
        <is>
          <t xml:space="preserve">-</t>
        </is>
      </c>
      <c r="F748" s="0" t="inlineStr">
        <is>
          <t xml:space="preserve">-</t>
        </is>
      </c>
      <c r="G748" s="5">
        <v>0.0798</v>
      </c>
      <c r="H748" s="0" t="inlineStr">
        <is>
          <t xml:space="preserve">supplier</t>
        </is>
      </c>
      <c r="I748" s="0" t="inlineStr">
        <is>
          <t xml:space="preserve">unbucketed</t>
        </is>
      </c>
      <c r="J748" s="0" t="inlineStr">
        <is>
          <t xml:space="preserve">residual</t>
        </is>
      </c>
      <c r="K748" s="5">
        <v>0</v>
      </c>
      <c r="L748" s="5">
        <v>0</v>
      </c>
      <c r="M748" s="5">
        <v>0.0</v>
      </c>
      <c r="N748" s="5">
        <v>0.0</v>
      </c>
      <c r="O748" s="5">
        <v>0.0</v>
      </c>
      <c r="P748" s="5">
        <v>0.0</v>
      </c>
      <c r="Q748" s="5">
        <v>0.0</v>
      </c>
      <c r="R748" s="5">
        <v>0.0</v>
      </c>
      <c r="S748" s="5">
        <v>0.0</v>
      </c>
      <c r="T748" s="5">
        <v>0.0</v>
      </c>
      <c r="U748" s="5">
        <v>0.0</v>
      </c>
    </row>
    <row r="749" outlineLevel="1">
      <c r="B749" s="0" t="inlineStr">
        <is>
          <t xml:space="preserve">TRANSCAT, INC.</t>
        </is>
      </c>
      <c r="C749" s="0" t="inlineStr">
        <is>
          <t xml:space="preserve">NAA7LGTT6WA4</t>
        </is>
      </c>
      <c r="D749" s="0" t="inlineStr">
        <is>
          <t xml:space="preserve">-</t>
        </is>
      </c>
      <c r="E749" s="0" t="inlineStr">
        <is>
          <t xml:space="preserve">-</t>
        </is>
      </c>
      <c r="F749" s="0" t="inlineStr">
        <is>
          <t xml:space="preserve">-</t>
        </is>
      </c>
      <c r="G749" s="5">
        <v>0.07971492</v>
      </c>
      <c r="H749" s="0" t="inlineStr">
        <is>
          <t xml:space="preserve">supplier</t>
        </is>
      </c>
      <c r="I749" s="0" t="inlineStr">
        <is>
          <t xml:space="preserve">unbucketed</t>
        </is>
      </c>
      <c r="J749" s="0" t="inlineStr">
        <is>
          <t xml:space="preserve">residual</t>
        </is>
      </c>
      <c r="K749" s="5">
        <v>0</v>
      </c>
      <c r="L749" s="5">
        <v>0</v>
      </c>
      <c r="M749" s="5">
        <v>0.07971492</v>
      </c>
      <c r="N749" s="5">
        <v>0.0</v>
      </c>
      <c r="O749" s="5">
        <v>0.0</v>
      </c>
      <c r="P749" s="5">
        <v>0.0</v>
      </c>
      <c r="Q749" s="5">
        <v>0.0</v>
      </c>
      <c r="R749" s="5">
        <v>0.0</v>
      </c>
      <c r="S749" s="5">
        <v>0.0</v>
      </c>
      <c r="T749" s="5">
        <v>0.07971492</v>
      </c>
      <c r="U749" s="5">
        <v>0.0</v>
      </c>
    </row>
    <row r="750" outlineLevel="1">
      <c r="B750" s="0" t="inlineStr">
        <is>
          <t xml:space="preserve">FIN-TECH, INC.</t>
        </is>
      </c>
      <c r="C750" s="0" t="inlineStr">
        <is>
          <t xml:space="preserve">C59LDR2KN4U6</t>
        </is>
      </c>
      <c r="D750" s="0" t="inlineStr">
        <is>
          <t xml:space="preserve">-</t>
        </is>
      </c>
      <c r="E750" s="0" t="inlineStr">
        <is>
          <t xml:space="preserve">-</t>
        </is>
      </c>
      <c r="F750" s="0" t="inlineStr">
        <is>
          <t xml:space="preserve">-</t>
        </is>
      </c>
      <c r="G750" s="5">
        <v>0.07930200000000001</v>
      </c>
      <c r="H750" s="0" t="inlineStr">
        <is>
          <t xml:space="preserve">supplier</t>
        </is>
      </c>
      <c r="I750" s="0" t="inlineStr">
        <is>
          <t xml:space="preserve">unbucketed</t>
        </is>
      </c>
      <c r="J750" s="0" t="inlineStr">
        <is>
          <t xml:space="preserve">residual</t>
        </is>
      </c>
      <c r="K750" s="5">
        <v>0</v>
      </c>
      <c r="L750" s="5">
        <v>0</v>
      </c>
      <c r="M750" s="5">
        <v>0.07930200000000001</v>
      </c>
      <c r="N750" s="5">
        <v>0.0</v>
      </c>
      <c r="O750" s="5">
        <v>0.038524</v>
      </c>
      <c r="P750" s="5">
        <v>0.00966</v>
      </c>
      <c r="Q750" s="5">
        <v>0.0</v>
      </c>
      <c r="R750" s="5">
        <v>0.0</v>
      </c>
      <c r="S750" s="5">
        <v>0.0</v>
      </c>
      <c r="T750" s="5">
        <v>0.0</v>
      </c>
      <c r="U750" s="5">
        <v>0.0</v>
      </c>
    </row>
    <row r="751" outlineLevel="1">
      <c r="B751" s="0" t="inlineStr">
        <is>
          <t xml:space="preserve">ADACORE</t>
        </is>
      </c>
      <c r="C751" s="0" t="inlineStr">
        <is>
          <t xml:space="preserve">DP49VT4FA4J3</t>
        </is>
      </c>
      <c r="D751" s="0" t="inlineStr">
        <is>
          <t xml:space="preserve">-</t>
        </is>
      </c>
      <c r="E751" s="0" t="inlineStr">
        <is>
          <t xml:space="preserve">-</t>
        </is>
      </c>
      <c r="F751" s="0" t="inlineStr">
        <is>
          <t xml:space="preserve">-</t>
        </is>
      </c>
      <c r="G751" s="5">
        <v>0.0785055</v>
      </c>
      <c r="H751" s="0" t="inlineStr">
        <is>
          <t xml:space="preserve">supplier</t>
        </is>
      </c>
      <c r="I751" s="0" t="inlineStr">
        <is>
          <t xml:space="preserve">unbucketed</t>
        </is>
      </c>
      <c r="J751" s="0" t="inlineStr">
        <is>
          <t xml:space="preserve">residual</t>
        </is>
      </c>
      <c r="K751" s="5">
        <v>0</v>
      </c>
      <c r="L751" s="5">
        <v>0</v>
      </c>
      <c r="M751" s="5">
        <v>0.0785055</v>
      </c>
      <c r="N751" s="5">
        <v>0.0</v>
      </c>
      <c r="O751" s="5">
        <v>0.0</v>
      </c>
      <c r="P751" s="5">
        <v>0.0</v>
      </c>
      <c r="Q751" s="5">
        <v>0.0</v>
      </c>
      <c r="R751" s="5">
        <v>0.0</v>
      </c>
      <c r="S751" s="5">
        <v>0.0</v>
      </c>
      <c r="T751" s="5">
        <v>0.0</v>
      </c>
      <c r="U751" s="5">
        <v>0.0</v>
      </c>
    </row>
    <row r="752" outlineLevel="1">
      <c r="B752" s="0" t="inlineStr">
        <is>
          <t xml:space="preserve">OPUS INVESTMENT S.À.R.L.</t>
        </is>
      </c>
      <c r="C752" s="0" t="inlineStr">
        <is>
          <t xml:space="preserve">JN14RTY2BEZ5</t>
        </is>
      </c>
      <c r="D752" s="0" t="inlineStr">
        <is>
          <t xml:space="preserve">-</t>
        </is>
      </c>
      <c r="E752" s="0" t="inlineStr">
        <is>
          <t xml:space="preserve">-</t>
        </is>
      </c>
      <c r="F752" s="0" t="inlineStr">
        <is>
          <t xml:space="preserve">-</t>
        </is>
      </c>
      <c r="G752" s="5">
        <v>0.0784032</v>
      </c>
      <c r="H752" s="0" t="inlineStr">
        <is>
          <t xml:space="preserve">supplier</t>
        </is>
      </c>
      <c r="I752" s="0" t="inlineStr">
        <is>
          <t xml:space="preserve">unbucketed</t>
        </is>
      </c>
      <c r="J752" s="0" t="inlineStr">
        <is>
          <t xml:space="preserve">residual</t>
        </is>
      </c>
      <c r="K752" s="5">
        <v>0</v>
      </c>
      <c r="L752" s="5">
        <v>0</v>
      </c>
      <c r="M752" s="5">
        <v>0.0784032</v>
      </c>
      <c r="N752" s="5">
        <v>0.0</v>
      </c>
      <c r="O752" s="5">
        <v>0.0</v>
      </c>
      <c r="P752" s="5">
        <v>0.0</v>
      </c>
      <c r="Q752" s="5">
        <v>0.0</v>
      </c>
      <c r="R752" s="5">
        <v>0.0</v>
      </c>
      <c r="S752" s="5">
        <v>0.0</v>
      </c>
      <c r="T752" s="5">
        <v>0.0</v>
      </c>
      <c r="U752" s="5">
        <v>0.0</v>
      </c>
    </row>
    <row r="753" outlineLevel="1">
      <c r="B753" s="0" t="inlineStr">
        <is>
          <t xml:space="preserve">FLOW HOLDINGS, INC</t>
        </is>
      </c>
      <c r="C753" s="0" t="inlineStr">
        <is>
          <t xml:space="preserve">TGUHUW52MLE3</t>
        </is>
      </c>
      <c r="D753" s="0" t="inlineStr">
        <is>
          <t xml:space="preserve">-</t>
        </is>
      </c>
      <c r="E753" s="0" t="inlineStr">
        <is>
          <t xml:space="preserve">-</t>
        </is>
      </c>
      <c r="F753" s="0" t="inlineStr">
        <is>
          <t xml:space="preserve">-</t>
        </is>
      </c>
      <c r="G753" s="5">
        <v>0.0774</v>
      </c>
      <c r="H753" s="0" t="inlineStr">
        <is>
          <t xml:space="preserve">supplier</t>
        </is>
      </c>
      <c r="I753" s="0" t="inlineStr">
        <is>
          <t xml:space="preserve">unbucketed</t>
        </is>
      </c>
      <c r="J753" s="0" t="inlineStr">
        <is>
          <t xml:space="preserve">residual</t>
        </is>
      </c>
      <c r="K753" s="5">
        <v>0</v>
      </c>
      <c r="L753" s="5">
        <v>0</v>
      </c>
      <c r="M753" s="5">
        <v>0.0774</v>
      </c>
      <c r="N753" s="5">
        <v>0.0</v>
      </c>
      <c r="O753" s="5">
        <v>0.0</v>
      </c>
      <c r="P753" s="5">
        <v>0.0</v>
      </c>
      <c r="Q753" s="5">
        <v>0.0774</v>
      </c>
      <c r="R753" s="5">
        <v>0.0</v>
      </c>
      <c r="S753" s="5">
        <v>0.0</v>
      </c>
      <c r="T753" s="5">
        <v>0.0</v>
      </c>
      <c r="U753" s="5">
        <v>0.0</v>
      </c>
    </row>
    <row r="754" outlineLevel="1">
      <c r="B754" s="0" t="inlineStr">
        <is>
          <t xml:space="preserve">L3HARRIS TECHNOLOGIES, INC</t>
        </is>
      </c>
      <c r="C754" s="0" t="inlineStr">
        <is>
          <t xml:space="preserve">HA3UFSU8FN75</t>
        </is>
      </c>
      <c r="D754" s="0" t="inlineStr">
        <is>
          <t xml:space="preserve">USA</t>
        </is>
      </c>
      <c r="E754" s="0" t="inlineStr">
        <is>
          <t xml:space="preserve">3345</t>
        </is>
      </c>
      <c r="F754" s="0" t="inlineStr">
        <is>
          <t xml:space="preserve">Search, Detection, Navigation, Guidance, Aeronautical, and Nautical System and Instrument Manufacturing</t>
        </is>
      </c>
      <c r="G754" s="5">
        <v>0.0770004</v>
      </c>
      <c r="H754" s="0" t="inlineStr">
        <is>
          <t xml:space="preserve">supplier</t>
        </is>
      </c>
      <c r="I754" s="0" t="inlineStr">
        <is>
          <t xml:space="preserve">unbucketed</t>
        </is>
      </c>
      <c r="J754" s="0" t="inlineStr">
        <is>
          <t xml:space="preserve">vendor-override</t>
        </is>
      </c>
      <c r="K754" s="5">
        <v>0</v>
      </c>
      <c r="L754" s="5">
        <v>0</v>
      </c>
      <c r="M754" s="5">
        <v>0.0770004</v>
      </c>
      <c r="N754" s="5">
        <v>0.0</v>
      </c>
      <c r="O754" s="5">
        <v>0.0</v>
      </c>
      <c r="P754" s="5">
        <v>0.0</v>
      </c>
      <c r="Q754" s="5">
        <v>0.0</v>
      </c>
      <c r="R754" s="5">
        <v>0.04685</v>
      </c>
      <c r="S754" s="5">
        <v>0.0</v>
      </c>
      <c r="T754" s="5">
        <v>0.0301504</v>
      </c>
      <c r="U754" s="5">
        <v>0.0</v>
      </c>
    </row>
    <row r="755" outlineLevel="1">
      <c r="B755" s="0" t="inlineStr">
        <is>
          <t xml:space="preserve">AMERICAN TOOLING CENTER INC</t>
        </is>
      </c>
      <c r="C755" s="0" t="inlineStr">
        <is>
          <t xml:space="preserve">NFEDFL5LKRN4</t>
        </is>
      </c>
      <c r="D755" s="0" t="inlineStr">
        <is>
          <t xml:space="preserve">-</t>
        </is>
      </c>
      <c r="E755" s="0" t="inlineStr">
        <is>
          <t xml:space="preserve">-</t>
        </is>
      </c>
      <c r="F755" s="0" t="inlineStr">
        <is>
          <t xml:space="preserve">-</t>
        </is>
      </c>
      <c r="G755" s="5">
        <v>0.07625</v>
      </c>
      <c r="H755" s="0" t="inlineStr">
        <is>
          <t xml:space="preserve">supplier</t>
        </is>
      </c>
      <c r="I755" s="0" t="inlineStr">
        <is>
          <t xml:space="preserve">unbucketed</t>
        </is>
      </c>
      <c r="J755" s="0" t="inlineStr">
        <is>
          <t xml:space="preserve">residual</t>
        </is>
      </c>
      <c r="K755" s="5">
        <v>0</v>
      </c>
      <c r="L755" s="5">
        <v>0</v>
      </c>
      <c r="M755" s="5">
        <v>0.0</v>
      </c>
      <c r="N755" s="5">
        <v>0.0</v>
      </c>
      <c r="O755" s="5">
        <v>0.0</v>
      </c>
      <c r="P755" s="5">
        <v>0.0</v>
      </c>
      <c r="Q755" s="5">
        <v>0.0</v>
      </c>
      <c r="R755" s="5">
        <v>0.0</v>
      </c>
      <c r="S755" s="5">
        <v>0.0</v>
      </c>
      <c r="T755" s="5">
        <v>0.0</v>
      </c>
      <c r="U755" s="5">
        <v>0.0</v>
      </c>
    </row>
    <row r="756" outlineLevel="1">
      <c r="B756" s="0" t="inlineStr">
        <is>
          <t xml:space="preserve">HITACHI, LTD.</t>
        </is>
      </c>
      <c r="C756" s="0" t="inlineStr">
        <is>
          <t xml:space="preserve">JKPCAKFW8X93</t>
        </is>
      </c>
      <c r="D756" s="0" t="inlineStr">
        <is>
          <t xml:space="preserve">-</t>
        </is>
      </c>
      <c r="E756" s="0" t="inlineStr">
        <is>
          <t xml:space="preserve">-</t>
        </is>
      </c>
      <c r="F756" s="0" t="inlineStr">
        <is>
          <t xml:space="preserve">-</t>
        </is>
      </c>
      <c r="G756" s="5">
        <v>0.07550300000000001</v>
      </c>
      <c r="H756" s="0" t="inlineStr">
        <is>
          <t xml:space="preserve">supplier</t>
        </is>
      </c>
      <c r="I756" s="0" t="inlineStr">
        <is>
          <t xml:space="preserve">unbucketed</t>
        </is>
      </c>
      <c r="J756" s="0" t="inlineStr">
        <is>
          <t xml:space="preserve">residual</t>
        </is>
      </c>
      <c r="K756" s="5">
        <v>0</v>
      </c>
      <c r="L756" s="5">
        <v>0</v>
      </c>
      <c r="M756" s="5">
        <v>0.07550300000000001</v>
      </c>
      <c r="N756" s="5">
        <v>0.0</v>
      </c>
      <c r="O756" s="5">
        <v>0.0</v>
      </c>
      <c r="P756" s="5">
        <v>0.0</v>
      </c>
      <c r="Q756" s="5">
        <v>0.0</v>
      </c>
      <c r="R756" s="5">
        <v>0.0</v>
      </c>
      <c r="S756" s="5">
        <v>0.0</v>
      </c>
      <c r="T756" s="5">
        <v>0.0</v>
      </c>
      <c r="U756" s="5">
        <v>0.0</v>
      </c>
    </row>
    <row r="757" outlineLevel="1">
      <c r="B757" s="0" t="inlineStr">
        <is>
          <t xml:space="preserve">NEW ENGLAND INSTITUTE OF TECHNOLOGY</t>
        </is>
      </c>
      <c r="C757" s="0" t="inlineStr">
        <is>
          <t xml:space="preserve">PDJ4B4PSZK52</t>
        </is>
      </c>
      <c r="D757" s="0" t="inlineStr">
        <is>
          <t xml:space="preserve">-</t>
        </is>
      </c>
      <c r="E757" s="0" t="inlineStr">
        <is>
          <t xml:space="preserve">-</t>
        </is>
      </c>
      <c r="F757" s="0" t="inlineStr">
        <is>
          <t xml:space="preserve">-</t>
        </is>
      </c>
      <c r="G757" s="5">
        <v>0.075</v>
      </c>
      <c r="H757" s="0" t="inlineStr">
        <is>
          <t xml:space="preserve">supplier</t>
        </is>
      </c>
      <c r="I757" s="0" t="inlineStr">
        <is>
          <t xml:space="preserve">unbucketed</t>
        </is>
      </c>
      <c r="J757" s="0" t="inlineStr">
        <is>
          <t xml:space="preserve">residual</t>
        </is>
      </c>
      <c r="K757" s="5">
        <v>0</v>
      </c>
      <c r="L757" s="5">
        <v>0</v>
      </c>
      <c r="M757" s="5">
        <v>0.075</v>
      </c>
      <c r="N757" s="5">
        <v>0.0</v>
      </c>
      <c r="O757" s="5">
        <v>0.0</v>
      </c>
      <c r="P757" s="5">
        <v>0.0</v>
      </c>
      <c r="Q757" s="5">
        <v>0.0</v>
      </c>
      <c r="R757" s="5">
        <v>0.0</v>
      </c>
      <c r="S757" s="5">
        <v>0.0</v>
      </c>
      <c r="T757" s="5">
        <v>0.0</v>
      </c>
      <c r="U757" s="5">
        <v>0.075</v>
      </c>
    </row>
    <row r="758" outlineLevel="1">
      <c r="B758" s="0" t="inlineStr">
        <is>
          <t xml:space="preserve">EST GROUP INC</t>
        </is>
      </c>
      <c r="C758" s="0" t="inlineStr">
        <is>
          <t xml:space="preserve">N6U1EU32U9J1</t>
        </is>
      </c>
      <c r="D758" s="0" t="inlineStr">
        <is>
          <t xml:space="preserve">-</t>
        </is>
      </c>
      <c r="E758" s="0" t="inlineStr">
        <is>
          <t xml:space="preserve">-</t>
        </is>
      </c>
      <c r="F758" s="0" t="inlineStr">
        <is>
          <t xml:space="preserve">-</t>
        </is>
      </c>
      <c r="G758" s="5">
        <v>0.074998</v>
      </c>
      <c r="H758" s="0" t="inlineStr">
        <is>
          <t xml:space="preserve">supplier</t>
        </is>
      </c>
      <c r="I758" s="0" t="inlineStr">
        <is>
          <t xml:space="preserve">unbucketed</t>
        </is>
      </c>
      <c r="J758" s="0" t="inlineStr">
        <is>
          <t xml:space="preserve">residual</t>
        </is>
      </c>
      <c r="K758" s="5">
        <v>0</v>
      </c>
      <c r="L758" s="5">
        <v>0</v>
      </c>
      <c r="M758" s="5">
        <v>0.074998</v>
      </c>
      <c r="N758" s="5">
        <v>0.0</v>
      </c>
      <c r="O758" s="5">
        <v>0.0</v>
      </c>
      <c r="P758" s="5">
        <v>0.074998</v>
      </c>
      <c r="Q758" s="5">
        <v>0.0</v>
      </c>
      <c r="R758" s="5">
        <v>0.0</v>
      </c>
      <c r="S758" s="5">
        <v>0.0</v>
      </c>
      <c r="T758" s="5">
        <v>0.0</v>
      </c>
      <c r="U758" s="5">
        <v>0.0</v>
      </c>
    </row>
    <row r="759" outlineLevel="1">
      <c r="B759" s="0" t="inlineStr">
        <is>
          <t xml:space="preserve">MAYCO HOLDINGS, LLC</t>
        </is>
      </c>
      <c r="C759" s="0" t="inlineStr">
        <is>
          <t xml:space="preserve">UNYXWK1ZR391</t>
        </is>
      </c>
      <c r="D759" s="0" t="inlineStr">
        <is>
          <t xml:space="preserve">-</t>
        </is>
      </c>
      <c r="E759" s="0" t="inlineStr">
        <is>
          <t xml:space="preserve">-</t>
        </is>
      </c>
      <c r="F759" s="0" t="inlineStr">
        <is>
          <t xml:space="preserve">-</t>
        </is>
      </c>
      <c r="G759" s="5">
        <v>0.074014</v>
      </c>
      <c r="H759" s="0" t="inlineStr">
        <is>
          <t xml:space="preserve">supplier</t>
        </is>
      </c>
      <c r="I759" s="0" t="inlineStr">
        <is>
          <t xml:space="preserve">unbucketed</t>
        </is>
      </c>
      <c r="J759" s="0" t="inlineStr">
        <is>
          <t xml:space="preserve">residual</t>
        </is>
      </c>
      <c r="K759" s="5">
        <v>0</v>
      </c>
      <c r="L759" s="5">
        <v>0</v>
      </c>
      <c r="M759" s="5">
        <v>0.074014</v>
      </c>
      <c r="N759" s="5">
        <v>0.0</v>
      </c>
      <c r="O759" s="5">
        <v>0.0</v>
      </c>
      <c r="P759" s="5">
        <v>0.0</v>
      </c>
      <c r="Q759" s="5">
        <v>0.0</v>
      </c>
      <c r="R759" s="5">
        <v>0.0</v>
      </c>
      <c r="S759" s="5">
        <v>0.0</v>
      </c>
      <c r="T759" s="5">
        <v>0.0</v>
      </c>
      <c r="U759" s="5">
        <v>0.0</v>
      </c>
    </row>
    <row r="760" outlineLevel="1">
      <c r="B760" s="0" t="inlineStr">
        <is>
          <t xml:space="preserve">SAS INSTITUTE INC.</t>
        </is>
      </c>
      <c r="C760" s="0" t="inlineStr">
        <is>
          <t xml:space="preserve">RFLNANKKZYV5</t>
        </is>
      </c>
      <c r="D760" s="0" t="inlineStr">
        <is>
          <t xml:space="preserve">-</t>
        </is>
      </c>
      <c r="E760" s="0" t="inlineStr">
        <is>
          <t xml:space="preserve">-</t>
        </is>
      </c>
      <c r="F760" s="0" t="inlineStr">
        <is>
          <t xml:space="preserve">-</t>
        </is>
      </c>
      <c r="G760" s="5">
        <v>0.0739584</v>
      </c>
      <c r="H760" s="0" t="inlineStr">
        <is>
          <t xml:space="preserve">supplier</t>
        </is>
      </c>
      <c r="I760" s="0" t="inlineStr">
        <is>
          <t xml:space="preserve">unbucketed</t>
        </is>
      </c>
      <c r="J760" s="0" t="inlineStr">
        <is>
          <t xml:space="preserve">residual</t>
        </is>
      </c>
      <c r="K760" s="5">
        <v>0</v>
      </c>
      <c r="L760" s="5">
        <v>0</v>
      </c>
      <c r="M760" s="5">
        <v>0.0739584</v>
      </c>
      <c r="N760" s="5">
        <v>0.0</v>
      </c>
      <c r="O760" s="5">
        <v>0.0</v>
      </c>
      <c r="P760" s="5">
        <v>0.0</v>
      </c>
      <c r="Q760" s="5">
        <v>0.0</v>
      </c>
      <c r="R760" s="5">
        <v>0.0</v>
      </c>
      <c r="S760" s="5">
        <v>0.0</v>
      </c>
      <c r="T760" s="5">
        <v>0.0</v>
      </c>
      <c r="U760" s="5">
        <v>0.0</v>
      </c>
    </row>
    <row r="761" outlineLevel="1">
      <c r="B761" s="0" t="inlineStr">
        <is>
          <t xml:space="preserve">TITANIUM INDUSTRIES, INC.</t>
        </is>
      </c>
      <c r="C761" s="0" t="inlineStr">
        <is>
          <t xml:space="preserve">WY3RNC5GMY36</t>
        </is>
      </c>
      <c r="D761" s="0" t="inlineStr">
        <is>
          <t xml:space="preserve">-</t>
        </is>
      </c>
      <c r="E761" s="0" t="inlineStr">
        <is>
          <t xml:space="preserve">-</t>
        </is>
      </c>
      <c r="F761" s="0" t="inlineStr">
        <is>
          <t xml:space="preserve">-</t>
        </is>
      </c>
      <c r="G761" s="5">
        <v>0.072848</v>
      </c>
      <c r="H761" s="0" t="inlineStr">
        <is>
          <t xml:space="preserve">supplier</t>
        </is>
      </c>
      <c r="I761" s="0" t="inlineStr">
        <is>
          <t xml:space="preserve">unbucketed</t>
        </is>
      </c>
      <c r="J761" s="0" t="inlineStr">
        <is>
          <t xml:space="preserve">residual</t>
        </is>
      </c>
      <c r="K761" s="5">
        <v>0</v>
      </c>
      <c r="L761" s="5">
        <v>0</v>
      </c>
      <c r="M761" s="5">
        <v>0.072848</v>
      </c>
      <c r="N761" s="5">
        <v>0.0</v>
      </c>
      <c r="O761" s="5">
        <v>0.0</v>
      </c>
      <c r="P761" s="5">
        <v>0.0</v>
      </c>
      <c r="Q761" s="5">
        <v>0.0</v>
      </c>
      <c r="R761" s="5">
        <v>0.0</v>
      </c>
      <c r="S761" s="5">
        <v>0.0</v>
      </c>
      <c r="T761" s="5">
        <v>0.0</v>
      </c>
      <c r="U761" s="5">
        <v>0.0</v>
      </c>
    </row>
    <row r="762" outlineLevel="1">
      <c r="B762" s="0" t="inlineStr">
        <is>
          <t xml:space="preserve">ASA ENVIRONMENTAL PRODUCTS, INC.</t>
        </is>
      </c>
      <c r="C762" s="0" t="inlineStr">
        <is>
          <t xml:space="preserve">NGMSB6M2QKA4</t>
        </is>
      </c>
      <c r="D762" s="0" t="inlineStr">
        <is>
          <t xml:space="preserve">-</t>
        </is>
      </c>
      <c r="E762" s="0" t="inlineStr">
        <is>
          <t xml:space="preserve">-</t>
        </is>
      </c>
      <c r="F762" s="0" t="inlineStr">
        <is>
          <t xml:space="preserve">-</t>
        </is>
      </c>
      <c r="G762" s="5">
        <v>0.07132568</v>
      </c>
      <c r="H762" s="0" t="inlineStr">
        <is>
          <t xml:space="preserve">supplier</t>
        </is>
      </c>
      <c r="I762" s="0" t="inlineStr">
        <is>
          <t xml:space="preserve">unbucketed</t>
        </is>
      </c>
      <c r="J762" s="0" t="inlineStr">
        <is>
          <t xml:space="preserve">residual</t>
        </is>
      </c>
      <c r="K762" s="5">
        <v>0</v>
      </c>
      <c r="L762" s="5">
        <v>0</v>
      </c>
      <c r="M762" s="5">
        <v>0.07132568</v>
      </c>
      <c r="N762" s="5">
        <v>0.0</v>
      </c>
      <c r="O762" s="5">
        <v>0.0</v>
      </c>
      <c r="P762" s="5">
        <v>0.0</v>
      </c>
      <c r="Q762" s="5">
        <v>0.0</v>
      </c>
      <c r="R762" s="5">
        <v>0.0</v>
      </c>
      <c r="S762" s="5">
        <v>0.0</v>
      </c>
      <c r="T762" s="5">
        <v>0.0</v>
      </c>
      <c r="U762" s="5">
        <v>0.0</v>
      </c>
    </row>
    <row r="763" outlineLevel="1">
      <c r="B763" s="0" t="inlineStr">
        <is>
          <t xml:space="preserve">SETRA SYSTEMS, INC.</t>
        </is>
      </c>
      <c r="C763" s="0" t="inlineStr">
        <is>
          <t xml:space="preserve">M4ANYAZ8Q6H8</t>
        </is>
      </c>
      <c r="D763" s="0" t="inlineStr">
        <is>
          <t xml:space="preserve">-</t>
        </is>
      </c>
      <c r="E763" s="0" t="inlineStr">
        <is>
          <t xml:space="preserve">-</t>
        </is>
      </c>
      <c r="F763" s="0" t="inlineStr">
        <is>
          <t xml:space="preserve">-</t>
        </is>
      </c>
      <c r="G763" s="5">
        <v>0.07116</v>
      </c>
      <c r="H763" s="0" t="inlineStr">
        <is>
          <t xml:space="preserve">supplier</t>
        </is>
      </c>
      <c r="I763" s="0" t="inlineStr">
        <is>
          <t xml:space="preserve">unbucketed</t>
        </is>
      </c>
      <c r="J763" s="0" t="inlineStr">
        <is>
          <t xml:space="preserve">residual</t>
        </is>
      </c>
      <c r="K763" s="5">
        <v>0</v>
      </c>
      <c r="L763" s="5">
        <v>0</v>
      </c>
      <c r="M763" s="5">
        <v>0.07116</v>
      </c>
      <c r="N763" s="5">
        <v>0.0</v>
      </c>
      <c r="O763" s="5">
        <v>0.0</v>
      </c>
      <c r="P763" s="5">
        <v>0.0</v>
      </c>
      <c r="Q763" s="5">
        <v>0.0</v>
      </c>
      <c r="R763" s="5">
        <v>0.0</v>
      </c>
      <c r="S763" s="5">
        <v>0.0</v>
      </c>
      <c r="T763" s="5">
        <v>0.0</v>
      </c>
      <c r="U763" s="5">
        <v>0.07116</v>
      </c>
    </row>
    <row r="764" outlineLevel="1">
      <c r="B764" s="0" t="inlineStr">
        <is>
          <t xml:space="preserve">NEWPORT NEWS NUCLEAR INC</t>
        </is>
      </c>
      <c r="C764" s="0" t="inlineStr">
        <is>
          <t xml:space="preserve">CR39JL3216G7</t>
        </is>
      </c>
      <c r="D764" s="0" t="inlineStr">
        <is>
          <t xml:space="preserve">-</t>
        </is>
      </c>
      <c r="E764" s="0" t="inlineStr">
        <is>
          <t xml:space="preserve">-</t>
        </is>
      </c>
      <c r="F764" s="0" t="inlineStr">
        <is>
          <t xml:space="preserve">-</t>
        </is>
      </c>
      <c r="G764" s="5">
        <v>0.06991463</v>
      </c>
      <c r="H764" s="0" t="inlineStr">
        <is>
          <t xml:space="preserve">co_prime</t>
        </is>
      </c>
      <c r="I764" s="0" t="inlineStr">
        <is>
          <t xml:space="preserve">-</t>
        </is>
      </c>
      <c r="J764" s="0" t="inlineStr">
        <is>
          <t xml:space="preserve">prime/co-prime name</t>
        </is>
      </c>
      <c r="K764" s="5">
        <v>0</v>
      </c>
      <c r="L764" s="5">
        <v>0</v>
      </c>
      <c r="M764" s="5">
        <v>0.06991463</v>
      </c>
      <c r="N764" s="5">
        <v>0.0</v>
      </c>
      <c r="O764" s="5">
        <v>0.0642997</v>
      </c>
      <c r="P764" s="5">
        <v>0.005614930000000001</v>
      </c>
      <c r="Q764" s="5">
        <v>0.0</v>
      </c>
      <c r="R764" s="5">
        <v>0.0</v>
      </c>
      <c r="S764" s="5">
        <v>0.0</v>
      </c>
      <c r="T764" s="5">
        <v>0.0</v>
      </c>
      <c r="U764" s="5">
        <v>0.0</v>
      </c>
    </row>
    <row r="765" outlineLevel="1">
      <c r="B765" s="0" t="inlineStr">
        <is>
          <t xml:space="preserve">TRI TOOL INC</t>
        </is>
      </c>
      <c r="C765" s="0" t="inlineStr">
        <is>
          <t xml:space="preserve">REDAH61ZHLN7</t>
        </is>
      </c>
      <c r="D765" s="0" t="inlineStr">
        <is>
          <t xml:space="preserve">-</t>
        </is>
      </c>
      <c r="E765" s="0" t="inlineStr">
        <is>
          <t xml:space="preserve">-</t>
        </is>
      </c>
      <c r="F765" s="0" t="inlineStr">
        <is>
          <t xml:space="preserve">-</t>
        </is>
      </c>
      <c r="G765" s="5">
        <v>0.06965</v>
      </c>
      <c r="H765" s="0" t="inlineStr">
        <is>
          <t xml:space="preserve">supplier</t>
        </is>
      </c>
      <c r="I765" s="0" t="inlineStr">
        <is>
          <t xml:space="preserve">unbucketed</t>
        </is>
      </c>
      <c r="J765" s="0" t="inlineStr">
        <is>
          <t xml:space="preserve">residual</t>
        </is>
      </c>
      <c r="K765" s="5">
        <v>0</v>
      </c>
      <c r="L765" s="5">
        <v>0</v>
      </c>
      <c r="M765" s="5">
        <v>0.06965</v>
      </c>
      <c r="N765" s="5">
        <v>0.06965</v>
      </c>
      <c r="O765" s="5">
        <v>0.0</v>
      </c>
      <c r="P765" s="5">
        <v>0.0</v>
      </c>
      <c r="Q765" s="5">
        <v>0.0</v>
      </c>
      <c r="R765" s="5">
        <v>0.0</v>
      </c>
      <c r="S765" s="5">
        <v>0.0</v>
      </c>
      <c r="T765" s="5">
        <v>0.0</v>
      </c>
      <c r="U765" s="5">
        <v>0.0</v>
      </c>
    </row>
    <row r="766" outlineLevel="1">
      <c r="B766" s="0" t="inlineStr">
        <is>
          <t xml:space="preserve">ABRASIVE PRODUCTS LLC</t>
        </is>
      </c>
      <c r="C766" s="0" t="inlineStr">
        <is>
          <t xml:space="preserve">Q3HHLUDK4ED3</t>
        </is>
      </c>
      <c r="D766" s="0" t="inlineStr">
        <is>
          <t xml:space="preserve">-</t>
        </is>
      </c>
      <c r="E766" s="0" t="inlineStr">
        <is>
          <t xml:space="preserve">-</t>
        </is>
      </c>
      <c r="F766" s="0" t="inlineStr">
        <is>
          <t xml:space="preserve">-</t>
        </is>
      </c>
      <c r="G766" s="5">
        <v>0.0696</v>
      </c>
      <c r="H766" s="0" t="inlineStr">
        <is>
          <t xml:space="preserve">supplier</t>
        </is>
      </c>
      <c r="I766" s="0" t="inlineStr">
        <is>
          <t xml:space="preserve">unbucketed</t>
        </is>
      </c>
      <c r="J766" s="0" t="inlineStr">
        <is>
          <t xml:space="preserve">residual</t>
        </is>
      </c>
      <c r="K766" s="5">
        <v>0</v>
      </c>
      <c r="L766" s="5">
        <v>0</v>
      </c>
      <c r="M766" s="5">
        <v>0.0696</v>
      </c>
      <c r="N766" s="5">
        <v>0.0696</v>
      </c>
      <c r="O766" s="5">
        <v>0.0</v>
      </c>
      <c r="P766" s="5">
        <v>0.0</v>
      </c>
      <c r="Q766" s="5">
        <v>0.0</v>
      </c>
      <c r="R766" s="5">
        <v>0.0</v>
      </c>
      <c r="S766" s="5">
        <v>0.0</v>
      </c>
      <c r="T766" s="5">
        <v>0.0</v>
      </c>
      <c r="U766" s="5">
        <v>0.0</v>
      </c>
    </row>
    <row r="767" outlineLevel="1">
      <c r="B767" s="0" t="inlineStr">
        <is>
          <t xml:space="preserve">FARO TECHNOLOGIES INC</t>
        </is>
      </c>
      <c r="C767" s="0" t="inlineStr">
        <is>
          <t xml:space="preserve">GRTDYGFYWBS8</t>
        </is>
      </c>
      <c r="D767" s="0" t="inlineStr">
        <is>
          <t xml:space="preserve">-</t>
        </is>
      </c>
      <c r="E767" s="0" t="inlineStr">
        <is>
          <t xml:space="preserve">-</t>
        </is>
      </c>
      <c r="F767" s="0" t="inlineStr">
        <is>
          <t xml:space="preserve">-</t>
        </is>
      </c>
      <c r="G767" s="5">
        <v>0.06916</v>
      </c>
      <c r="H767" s="0" t="inlineStr">
        <is>
          <t xml:space="preserve">supplier</t>
        </is>
      </c>
      <c r="I767" s="0" t="inlineStr">
        <is>
          <t xml:space="preserve">unbucketed</t>
        </is>
      </c>
      <c r="J767" s="0" t="inlineStr">
        <is>
          <t xml:space="preserve">residual</t>
        </is>
      </c>
      <c r="K767" s="5">
        <v>0</v>
      </c>
      <c r="L767" s="5">
        <v>0</v>
      </c>
      <c r="M767" s="5">
        <v>0.06916</v>
      </c>
      <c r="N767" s="5">
        <v>0.0</v>
      </c>
      <c r="O767" s="5">
        <v>0.0</v>
      </c>
      <c r="P767" s="5">
        <v>0.0</v>
      </c>
      <c r="Q767" s="5">
        <v>0.0</v>
      </c>
      <c r="R767" s="5">
        <v>0.0</v>
      </c>
      <c r="S767" s="5">
        <v>0.0</v>
      </c>
      <c r="T767" s="5">
        <v>0.06916</v>
      </c>
      <c r="U767" s="5">
        <v>0.0</v>
      </c>
    </row>
    <row r="768" outlineLevel="1">
      <c r="B768" s="0" t="inlineStr">
        <is>
          <t xml:space="preserve">LORD CORPORATION</t>
        </is>
      </c>
      <c r="C768" s="0" t="inlineStr">
        <is>
          <t xml:space="preserve">J496QWE2LK33</t>
        </is>
      </c>
      <c r="D768" s="0" t="inlineStr">
        <is>
          <t xml:space="preserve">-</t>
        </is>
      </c>
      <c r="E768" s="0" t="inlineStr">
        <is>
          <t xml:space="preserve">-</t>
        </is>
      </c>
      <c r="F768" s="0" t="inlineStr">
        <is>
          <t xml:space="preserve">-</t>
        </is>
      </c>
      <c r="G768" s="5">
        <v>0.06897276</v>
      </c>
      <c r="H768" s="0" t="inlineStr">
        <is>
          <t xml:space="preserve">supplier</t>
        </is>
      </c>
      <c r="I768" s="0" t="inlineStr">
        <is>
          <t xml:space="preserve">unbucketed</t>
        </is>
      </c>
      <c r="J768" s="0" t="inlineStr">
        <is>
          <t xml:space="preserve">residual</t>
        </is>
      </c>
      <c r="K768" s="5">
        <v>0</v>
      </c>
      <c r="L768" s="5">
        <v>0</v>
      </c>
      <c r="M768" s="5">
        <v>0.06897276</v>
      </c>
      <c r="N768" s="5">
        <v>0.0</v>
      </c>
      <c r="O768" s="5">
        <v>0.0</v>
      </c>
      <c r="P768" s="5">
        <v>0.0</v>
      </c>
      <c r="Q768" s="5">
        <v>0.0</v>
      </c>
      <c r="R768" s="5">
        <v>0.0</v>
      </c>
      <c r="S768" s="5">
        <v>0.06897276</v>
      </c>
      <c r="T768" s="5">
        <v>0.0</v>
      </c>
      <c r="U768" s="5">
        <v>0.0</v>
      </c>
    </row>
    <row r="769" outlineLevel="1">
      <c r="B769" s="0" t="inlineStr">
        <is>
          <t xml:space="preserve">D&amp;D FILTRATION CONSULTANTS &amp; SUPPLIERS, INC.</t>
        </is>
      </c>
      <c r="C769" s="0" t="inlineStr">
        <is>
          <t xml:space="preserve">FKE7YM75FN66</t>
        </is>
      </c>
      <c r="D769" s="0" t="inlineStr">
        <is>
          <t xml:space="preserve">-</t>
        </is>
      </c>
      <c r="E769" s="0" t="inlineStr">
        <is>
          <t xml:space="preserve">-</t>
        </is>
      </c>
      <c r="F769" s="0" t="inlineStr">
        <is>
          <t xml:space="preserve">-</t>
        </is>
      </c>
      <c r="G769" s="5">
        <v>0.06889</v>
      </c>
      <c r="H769" s="0" t="inlineStr">
        <is>
          <t xml:space="preserve">supplier</t>
        </is>
      </c>
      <c r="I769" s="0" t="inlineStr">
        <is>
          <t xml:space="preserve">unbucketed</t>
        </is>
      </c>
      <c r="J769" s="0" t="inlineStr">
        <is>
          <t xml:space="preserve">residual</t>
        </is>
      </c>
      <c r="K769" s="5">
        <v>0</v>
      </c>
      <c r="L769" s="5">
        <v>0</v>
      </c>
      <c r="M769" s="5">
        <v>0.06889</v>
      </c>
      <c r="N769" s="5">
        <v>0.0</v>
      </c>
      <c r="O769" s="5">
        <v>0.0</v>
      </c>
      <c r="P769" s="5">
        <v>0.0</v>
      </c>
      <c r="Q769" s="5">
        <v>0.0</v>
      </c>
      <c r="R769" s="5">
        <v>0.0</v>
      </c>
      <c r="S769" s="5">
        <v>0.0</v>
      </c>
      <c r="T769" s="5">
        <v>0.0</v>
      </c>
      <c r="U769" s="5">
        <v>0.0</v>
      </c>
    </row>
    <row r="770" outlineLevel="1">
      <c r="B770" s="0" t="inlineStr">
        <is>
          <t xml:space="preserve">AEROGO, INC</t>
        </is>
      </c>
      <c r="C770" s="0" t="inlineStr">
        <is>
          <t xml:space="preserve">GMHRX5DU4LS5</t>
        </is>
      </c>
      <c r="D770" s="0" t="inlineStr">
        <is>
          <t xml:space="preserve">-</t>
        </is>
      </c>
      <c r="E770" s="0" t="inlineStr">
        <is>
          <t xml:space="preserve">-</t>
        </is>
      </c>
      <c r="F770" s="0" t="inlineStr">
        <is>
          <t xml:space="preserve">-</t>
        </is>
      </c>
      <c r="G770" s="5">
        <v>0.06855</v>
      </c>
      <c r="H770" s="0" t="inlineStr">
        <is>
          <t xml:space="preserve">supplier</t>
        </is>
      </c>
      <c r="I770" s="0" t="inlineStr">
        <is>
          <t xml:space="preserve">unbucketed</t>
        </is>
      </c>
      <c r="J770" s="0" t="inlineStr">
        <is>
          <t xml:space="preserve">residual</t>
        </is>
      </c>
      <c r="K770" s="5">
        <v>0</v>
      </c>
      <c r="L770" s="5">
        <v>0</v>
      </c>
      <c r="M770" s="5">
        <v>0.06855</v>
      </c>
      <c r="N770" s="5">
        <v>0.0</v>
      </c>
      <c r="O770" s="5">
        <v>0.0</v>
      </c>
      <c r="P770" s="5">
        <v>0.0</v>
      </c>
      <c r="Q770" s="5">
        <v>0.0</v>
      </c>
      <c r="R770" s="5">
        <v>0.0</v>
      </c>
      <c r="S770" s="5">
        <v>0.06855</v>
      </c>
      <c r="T770" s="5">
        <v>0.0</v>
      </c>
      <c r="U770" s="5">
        <v>0.0</v>
      </c>
    </row>
    <row r="771" outlineLevel="1">
      <c r="B771" s="0" t="inlineStr">
        <is>
          <t xml:space="preserve">D. W. BOYD CORPORATION</t>
        </is>
      </c>
      <c r="C771" s="0" t="inlineStr">
        <is>
          <t xml:space="preserve">FECPDA1S8WJ1</t>
        </is>
      </c>
      <c r="D771" s="0" t="inlineStr">
        <is>
          <t xml:space="preserve">-</t>
        </is>
      </c>
      <c r="E771" s="0" t="inlineStr">
        <is>
          <t xml:space="preserve">-</t>
        </is>
      </c>
      <c r="F771" s="0" t="inlineStr">
        <is>
          <t xml:space="preserve">-</t>
        </is>
      </c>
      <c r="G771" s="5">
        <v>0.06798</v>
      </c>
      <c r="H771" s="0" t="inlineStr">
        <is>
          <t xml:space="preserve">supplier</t>
        </is>
      </c>
      <c r="I771" s="0" t="inlineStr">
        <is>
          <t xml:space="preserve">unbucketed</t>
        </is>
      </c>
      <c r="J771" s="0" t="inlineStr">
        <is>
          <t xml:space="preserve">residual</t>
        </is>
      </c>
      <c r="K771" s="5">
        <v>0</v>
      </c>
      <c r="L771" s="5">
        <v>0</v>
      </c>
      <c r="M771" s="5">
        <v>0.06798</v>
      </c>
      <c r="N771" s="5">
        <v>0.0</v>
      </c>
      <c r="O771" s="5">
        <v>0.0</v>
      </c>
      <c r="P771" s="5">
        <v>0.0</v>
      </c>
      <c r="Q771" s="5">
        <v>0.0</v>
      </c>
      <c r="R771" s="5">
        <v>0.0</v>
      </c>
      <c r="S771" s="5">
        <v>0.0</v>
      </c>
      <c r="T771" s="5">
        <v>0.0</v>
      </c>
      <c r="U771" s="5">
        <v>0.06798</v>
      </c>
    </row>
    <row r="772" outlineLevel="1">
      <c r="B772" s="0" t="inlineStr">
        <is>
          <t xml:space="preserve">DAWSON MACDONALD CO INC</t>
        </is>
      </c>
      <c r="C772" s="0" t="inlineStr">
        <is>
          <t xml:space="preserve">Z2M4Q4H6TKM3</t>
        </is>
      </c>
      <c r="D772" s="0" t="inlineStr">
        <is>
          <t xml:space="preserve">-</t>
        </is>
      </c>
      <c r="E772" s="0" t="inlineStr">
        <is>
          <t xml:space="preserve">-</t>
        </is>
      </c>
      <c r="F772" s="0" t="inlineStr">
        <is>
          <t xml:space="preserve">-</t>
        </is>
      </c>
      <c r="G772" s="5">
        <v>0.0664</v>
      </c>
      <c r="H772" s="0" t="inlineStr">
        <is>
          <t xml:space="preserve">supplier</t>
        </is>
      </c>
      <c r="I772" s="0" t="inlineStr">
        <is>
          <t xml:space="preserve">unbucketed</t>
        </is>
      </c>
      <c r="J772" s="0" t="inlineStr">
        <is>
          <t xml:space="preserve">residual</t>
        </is>
      </c>
      <c r="K772" s="5">
        <v>0</v>
      </c>
      <c r="L772" s="5">
        <v>0</v>
      </c>
      <c r="M772" s="5">
        <v>0.0664</v>
      </c>
      <c r="N772" s="5">
        <v>0.0</v>
      </c>
      <c r="O772" s="5">
        <v>0.0</v>
      </c>
      <c r="P772" s="5">
        <v>0.0664</v>
      </c>
      <c r="Q772" s="5">
        <v>0.0</v>
      </c>
      <c r="R772" s="5">
        <v>0.0</v>
      </c>
      <c r="S772" s="5">
        <v>0.0</v>
      </c>
      <c r="T772" s="5">
        <v>0.0</v>
      </c>
      <c r="U772" s="5">
        <v>0.0</v>
      </c>
    </row>
    <row r="773" outlineLevel="1">
      <c r="B773" s="0" t="inlineStr">
        <is>
          <t xml:space="preserve">CUBE MOBILE POWER HOLDCO LIMITED</t>
        </is>
      </c>
      <c r="C773" s="0" t="inlineStr">
        <is>
          <t xml:space="preserve">QVJEVJHK3G31</t>
        </is>
      </c>
      <c r="D773" s="0" t="inlineStr">
        <is>
          <t xml:space="preserve">-</t>
        </is>
      </c>
      <c r="E773" s="0" t="inlineStr">
        <is>
          <t xml:space="preserve">-</t>
        </is>
      </c>
      <c r="F773" s="0" t="inlineStr">
        <is>
          <t xml:space="preserve">-</t>
        </is>
      </c>
      <c r="G773" s="5">
        <v>0.06591771</v>
      </c>
      <c r="H773" s="0" t="inlineStr">
        <is>
          <t xml:space="preserve">supplier</t>
        </is>
      </c>
      <c r="I773" s="0" t="inlineStr">
        <is>
          <t xml:space="preserve">unbucketed</t>
        </is>
      </c>
      <c r="J773" s="0" t="inlineStr">
        <is>
          <t xml:space="preserve">residual</t>
        </is>
      </c>
      <c r="K773" s="5">
        <v>0</v>
      </c>
      <c r="L773" s="5">
        <v>0</v>
      </c>
      <c r="M773" s="5">
        <v>0.06591771</v>
      </c>
      <c r="N773" s="5">
        <v>0.0</v>
      </c>
      <c r="O773" s="5">
        <v>0.0</v>
      </c>
      <c r="P773" s="5">
        <v>0.0</v>
      </c>
      <c r="Q773" s="5">
        <v>0.0</v>
      </c>
      <c r="R773" s="5">
        <v>0.0</v>
      </c>
      <c r="S773" s="5">
        <v>0.0</v>
      </c>
      <c r="T773" s="5">
        <v>0.0</v>
      </c>
      <c r="U773" s="5">
        <v>0.0</v>
      </c>
    </row>
    <row r="774" outlineLevel="1">
      <c r="B774" s="0" t="inlineStr">
        <is>
          <t xml:space="preserve">EACO CORPORATION</t>
        </is>
      </c>
      <c r="C774" s="0" t="inlineStr">
        <is>
          <t xml:space="preserve">TAHNTWE2BVN1</t>
        </is>
      </c>
      <c r="D774" s="0" t="inlineStr">
        <is>
          <t xml:space="preserve">-</t>
        </is>
      </c>
      <c r="E774" s="0" t="inlineStr">
        <is>
          <t xml:space="preserve">-</t>
        </is>
      </c>
      <c r="F774" s="0" t="inlineStr">
        <is>
          <t xml:space="preserve">-</t>
        </is>
      </c>
      <c r="G774" s="5">
        <v>0.065088</v>
      </c>
      <c r="H774" s="0" t="inlineStr">
        <is>
          <t xml:space="preserve">supplier</t>
        </is>
      </c>
      <c r="I774" s="0" t="inlineStr">
        <is>
          <t xml:space="preserve">unbucketed</t>
        </is>
      </c>
      <c r="J774" s="0" t="inlineStr">
        <is>
          <t xml:space="preserve">residual</t>
        </is>
      </c>
      <c r="K774" s="5">
        <v>0</v>
      </c>
      <c r="L774" s="5">
        <v>0</v>
      </c>
      <c r="M774" s="5">
        <v>0.0</v>
      </c>
      <c r="N774" s="5">
        <v>0.0</v>
      </c>
      <c r="O774" s="5">
        <v>0.0</v>
      </c>
      <c r="P774" s="5">
        <v>0.0</v>
      </c>
      <c r="Q774" s="5">
        <v>0.0</v>
      </c>
      <c r="R774" s="5">
        <v>0.0</v>
      </c>
      <c r="S774" s="5">
        <v>0.0</v>
      </c>
      <c r="T774" s="5">
        <v>0.0</v>
      </c>
      <c r="U774" s="5">
        <v>0.0</v>
      </c>
    </row>
    <row r="775" outlineLevel="1">
      <c r="B775" s="0" t="inlineStr">
        <is>
          <t xml:space="preserve">GENUINE PARTS COMPANY</t>
        </is>
      </c>
      <c r="C775" s="0" t="inlineStr">
        <is>
          <t xml:space="preserve">N5H9R8EN75V9</t>
        </is>
      </c>
      <c r="D775" s="0" t="inlineStr">
        <is>
          <t xml:space="preserve">-</t>
        </is>
      </c>
      <c r="E775" s="0" t="inlineStr">
        <is>
          <t xml:space="preserve">-</t>
        </is>
      </c>
      <c r="F775" s="0" t="inlineStr">
        <is>
          <t xml:space="preserve">-</t>
        </is>
      </c>
      <c r="G775" s="5">
        <v>0.06413711999999999</v>
      </c>
      <c r="H775" s="0" t="inlineStr">
        <is>
          <t xml:space="preserve">supplier</t>
        </is>
      </c>
      <c r="I775" s="0" t="inlineStr">
        <is>
          <t xml:space="preserve">unbucketed</t>
        </is>
      </c>
      <c r="J775" s="0" t="inlineStr">
        <is>
          <t xml:space="preserve">residual</t>
        </is>
      </c>
      <c r="K775" s="5">
        <v>0</v>
      </c>
      <c r="L775" s="5">
        <v>0</v>
      </c>
      <c r="M775" s="5">
        <v>0.06413711999999999</v>
      </c>
      <c r="N775" s="5">
        <v>0.0</v>
      </c>
      <c r="O775" s="5">
        <v>0.0</v>
      </c>
      <c r="P775" s="5">
        <v>0.03175512</v>
      </c>
      <c r="Q775" s="5">
        <v>0.0</v>
      </c>
      <c r="R775" s="5">
        <v>0.0</v>
      </c>
      <c r="S775" s="5">
        <v>0.0</v>
      </c>
      <c r="T775" s="5">
        <v>0.0</v>
      </c>
      <c r="U775" s="5">
        <v>0.0</v>
      </c>
    </row>
    <row r="776" outlineLevel="1">
      <c r="B776" s="0" t="inlineStr">
        <is>
          <t xml:space="preserve">AK INDUSTRIAL SERVICES LLC</t>
        </is>
      </c>
      <c r="C776" s="0" t="inlineStr">
        <is>
          <t xml:space="preserve">U8SAS3VH6J38</t>
        </is>
      </c>
      <c r="D776" s="0" t="inlineStr">
        <is>
          <t xml:space="preserve">-</t>
        </is>
      </c>
      <c r="E776" s="0" t="inlineStr">
        <is>
          <t xml:space="preserve">-</t>
        </is>
      </c>
      <c r="F776" s="0" t="inlineStr">
        <is>
          <t xml:space="preserve">-</t>
        </is>
      </c>
      <c r="G776" s="5">
        <v>0.0638275</v>
      </c>
      <c r="H776" s="0" t="inlineStr">
        <is>
          <t xml:space="preserve">supplier</t>
        </is>
      </c>
      <c r="I776" s="0" t="inlineStr">
        <is>
          <t xml:space="preserve">unbucketed</t>
        </is>
      </c>
      <c r="J776" s="0" t="inlineStr">
        <is>
          <t xml:space="preserve">residual</t>
        </is>
      </c>
      <c r="K776" s="5">
        <v>0</v>
      </c>
      <c r="L776" s="5">
        <v>0</v>
      </c>
      <c r="M776" s="5">
        <v>0.0638275</v>
      </c>
      <c r="N776" s="5">
        <v>0.0638275</v>
      </c>
      <c r="O776" s="5">
        <v>0.0</v>
      </c>
      <c r="P776" s="5">
        <v>0.0</v>
      </c>
      <c r="Q776" s="5">
        <v>0.0</v>
      </c>
      <c r="R776" s="5">
        <v>0.0</v>
      </c>
      <c r="S776" s="5">
        <v>0.0</v>
      </c>
      <c r="T776" s="5">
        <v>0.0</v>
      </c>
      <c r="U776" s="5">
        <v>0.0</v>
      </c>
    </row>
    <row r="777" outlineLevel="1">
      <c r="B777" s="0" t="inlineStr">
        <is>
          <t xml:space="preserve">UNITED TECHNOLOGIES CORPORATION</t>
        </is>
      </c>
      <c r="C777" s="0" t="inlineStr">
        <is>
          <t xml:space="preserve">MKRCHD2CBAY1</t>
        </is>
      </c>
      <c r="D777" s="0" t="inlineStr">
        <is>
          <t xml:space="preserve">-</t>
        </is>
      </c>
      <c r="E777" s="0" t="inlineStr">
        <is>
          <t xml:space="preserve">-</t>
        </is>
      </c>
      <c r="F777" s="0" t="inlineStr">
        <is>
          <t xml:space="preserve">-</t>
        </is>
      </c>
      <c r="G777" s="5">
        <v>0.063726</v>
      </c>
      <c r="H777" s="0" t="inlineStr">
        <is>
          <t xml:space="preserve">supplier</t>
        </is>
      </c>
      <c r="I777" s="0" t="inlineStr">
        <is>
          <t xml:space="preserve">unbucketed</t>
        </is>
      </c>
      <c r="J777" s="0" t="inlineStr">
        <is>
          <t xml:space="preserve">residual</t>
        </is>
      </c>
      <c r="K777" s="5">
        <v>0</v>
      </c>
      <c r="L777" s="5">
        <v>0</v>
      </c>
      <c r="M777" s="5">
        <v>0.063726</v>
      </c>
      <c r="N777" s="5">
        <v>0.0</v>
      </c>
      <c r="O777" s="5">
        <v>0.0</v>
      </c>
      <c r="P777" s="5">
        <v>0.0</v>
      </c>
      <c r="Q777" s="5">
        <v>0.0</v>
      </c>
      <c r="R777" s="5">
        <v>0.0</v>
      </c>
      <c r="S777" s="5">
        <v>0.0</v>
      </c>
      <c r="T777" s="5">
        <v>0.0</v>
      </c>
      <c r="U777" s="5">
        <v>0.0</v>
      </c>
    </row>
    <row r="778" outlineLevel="1">
      <c r="B778" s="0" t="inlineStr">
        <is>
          <t xml:space="preserve">321GANG, INC.</t>
        </is>
      </c>
      <c r="C778" s="0" t="inlineStr">
        <is>
          <t xml:space="preserve">KAFVDV3C5BN1</t>
        </is>
      </c>
      <c r="D778" s="0" t="inlineStr">
        <is>
          <t xml:space="preserve">-</t>
        </is>
      </c>
      <c r="E778" s="0" t="inlineStr">
        <is>
          <t xml:space="preserve">-</t>
        </is>
      </c>
      <c r="F778" s="0" t="inlineStr">
        <is>
          <t xml:space="preserve">-</t>
        </is>
      </c>
      <c r="G778" s="5">
        <v>0.06363872</v>
      </c>
      <c r="H778" s="0" t="inlineStr">
        <is>
          <t xml:space="preserve">supplier</t>
        </is>
      </c>
      <c r="I778" s="0" t="inlineStr">
        <is>
          <t xml:space="preserve">unbucketed</t>
        </is>
      </c>
      <c r="J778" s="0" t="inlineStr">
        <is>
          <t xml:space="preserve">residual</t>
        </is>
      </c>
      <c r="K778" s="5">
        <v>0</v>
      </c>
      <c r="L778" s="5">
        <v>0</v>
      </c>
      <c r="M778" s="5">
        <v>0.06363872</v>
      </c>
      <c r="N778" s="5">
        <v>0.0</v>
      </c>
      <c r="O778" s="5">
        <v>0.0</v>
      </c>
      <c r="P778" s="5">
        <v>0.0</v>
      </c>
      <c r="Q778" s="5">
        <v>0.0</v>
      </c>
      <c r="R778" s="5">
        <v>0.03404674</v>
      </c>
      <c r="S778" s="5">
        <v>0.0</v>
      </c>
      <c r="T778" s="5">
        <v>0.0</v>
      </c>
      <c r="U778" s="5">
        <v>0.0</v>
      </c>
    </row>
    <row r="779" outlineLevel="1">
      <c r="B779" s="0" t="inlineStr">
        <is>
          <t xml:space="preserve">ALERT TUBING FABRICATORS INC.</t>
        </is>
      </c>
      <c r="C779" s="0" t="inlineStr">
        <is>
          <t xml:space="preserve">UPJ1ASYAGWH4</t>
        </is>
      </c>
      <c r="D779" s="0" t="inlineStr">
        <is>
          <t xml:space="preserve">-</t>
        </is>
      </c>
      <c r="E779" s="0" t="inlineStr">
        <is>
          <t xml:space="preserve">-</t>
        </is>
      </c>
      <c r="F779" s="0" t="inlineStr">
        <is>
          <t xml:space="preserve">-</t>
        </is>
      </c>
      <c r="G779" s="5">
        <v>0.06359999999999999</v>
      </c>
      <c r="H779" s="0" t="inlineStr">
        <is>
          <t xml:space="preserve">supplier</t>
        </is>
      </c>
      <c r="I779" s="0" t="inlineStr">
        <is>
          <t xml:space="preserve">unbucketed</t>
        </is>
      </c>
      <c r="J779" s="0" t="inlineStr">
        <is>
          <t xml:space="preserve">residual</t>
        </is>
      </c>
      <c r="K779" s="5">
        <v>0</v>
      </c>
      <c r="L779" s="5">
        <v>0</v>
      </c>
      <c r="M779" s="5">
        <v>0.06359999999999999</v>
      </c>
      <c r="N779" s="5">
        <v>0.0</v>
      </c>
      <c r="O779" s="5">
        <v>0.03</v>
      </c>
      <c r="P779" s="5">
        <v>0.0</v>
      </c>
      <c r="Q779" s="5">
        <v>0.0</v>
      </c>
      <c r="R779" s="5">
        <v>0.0</v>
      </c>
      <c r="S779" s="5">
        <v>0.0</v>
      </c>
      <c r="T779" s="5">
        <v>0.0</v>
      </c>
      <c r="U779" s="5">
        <v>0.0</v>
      </c>
    </row>
    <row r="780" outlineLevel="1">
      <c r="B780" s="0" t="inlineStr">
        <is>
          <t xml:space="preserve">GULF FASTENER, INC.</t>
        </is>
      </c>
      <c r="C780" s="0" t="inlineStr">
        <is>
          <t xml:space="preserve">EANJVKFHMSZ8</t>
        </is>
      </c>
      <c r="D780" s="0" t="inlineStr">
        <is>
          <t xml:space="preserve">-</t>
        </is>
      </c>
      <c r="E780" s="0" t="inlineStr">
        <is>
          <t xml:space="preserve">-</t>
        </is>
      </c>
      <c r="F780" s="0" t="inlineStr">
        <is>
          <t xml:space="preserve">-</t>
        </is>
      </c>
      <c r="G780" s="5">
        <v>0.06258</v>
      </c>
      <c r="H780" s="0" t="inlineStr">
        <is>
          <t xml:space="preserve">supplier</t>
        </is>
      </c>
      <c r="I780" s="0" t="inlineStr">
        <is>
          <t xml:space="preserve">unbucketed</t>
        </is>
      </c>
      <c r="J780" s="0" t="inlineStr">
        <is>
          <t xml:space="preserve">residual</t>
        </is>
      </c>
      <c r="K780" s="5">
        <v>0</v>
      </c>
      <c r="L780" s="5">
        <v>0</v>
      </c>
      <c r="M780" s="5">
        <v>0.06258</v>
      </c>
      <c r="N780" s="5">
        <v>0.0</v>
      </c>
      <c r="O780" s="5">
        <v>0.0</v>
      </c>
      <c r="P780" s="5">
        <v>0.0</v>
      </c>
      <c r="Q780" s="5">
        <v>0.0</v>
      </c>
      <c r="R780" s="5">
        <v>0.0</v>
      </c>
      <c r="S780" s="5">
        <v>0.0</v>
      </c>
      <c r="T780" s="5">
        <v>0.0</v>
      </c>
      <c r="U780" s="5">
        <v>0.0</v>
      </c>
    </row>
    <row r="781" outlineLevel="1">
      <c r="B781" s="0" t="inlineStr">
        <is>
          <t xml:space="preserve">MIDSTATE INDUSTRIAL SUPPLY, INC.</t>
        </is>
      </c>
      <c r="C781" s="0" t="inlineStr">
        <is>
          <t xml:space="preserve">KHN9PQ6VZ756</t>
        </is>
      </c>
      <c r="D781" s="0" t="inlineStr">
        <is>
          <t xml:space="preserve">-</t>
        </is>
      </c>
      <c r="E781" s="0" t="inlineStr">
        <is>
          <t xml:space="preserve">-</t>
        </is>
      </c>
      <c r="F781" s="0" t="inlineStr">
        <is>
          <t xml:space="preserve">-</t>
        </is>
      </c>
      <c r="G781" s="5">
        <v>0.0625</v>
      </c>
      <c r="H781" s="0" t="inlineStr">
        <is>
          <t xml:space="preserve">supplier</t>
        </is>
      </c>
      <c r="I781" s="0" t="inlineStr">
        <is>
          <t xml:space="preserve">unbucketed</t>
        </is>
      </c>
      <c r="J781" s="0" t="inlineStr">
        <is>
          <t xml:space="preserve">residual</t>
        </is>
      </c>
      <c r="K781" s="5">
        <v>0</v>
      </c>
      <c r="L781" s="5">
        <v>0</v>
      </c>
      <c r="M781" s="5">
        <v>0.0</v>
      </c>
      <c r="N781" s="5">
        <v>0.0</v>
      </c>
      <c r="O781" s="5">
        <v>0.0</v>
      </c>
      <c r="P781" s="5">
        <v>0.0</v>
      </c>
      <c r="Q781" s="5">
        <v>0.0</v>
      </c>
      <c r="R781" s="5">
        <v>0.0</v>
      </c>
      <c r="S781" s="5">
        <v>0.0</v>
      </c>
      <c r="T781" s="5">
        <v>0.0</v>
      </c>
      <c r="U781" s="5">
        <v>0.0</v>
      </c>
    </row>
    <row r="782" outlineLevel="1">
      <c r="B782" s="0" t="inlineStr">
        <is>
          <t xml:space="preserve">CDP FASTENER GROUP, INC.</t>
        </is>
      </c>
      <c r="C782" s="0" t="inlineStr">
        <is>
          <t xml:space="preserve">CPNJM695NH15</t>
        </is>
      </c>
      <c r="D782" s="0" t="inlineStr">
        <is>
          <t xml:space="preserve">-</t>
        </is>
      </c>
      <c r="E782" s="0" t="inlineStr">
        <is>
          <t xml:space="preserve">-</t>
        </is>
      </c>
      <c r="F782" s="0" t="inlineStr">
        <is>
          <t xml:space="preserve">-</t>
        </is>
      </c>
      <c r="G782" s="5">
        <v>0.062244</v>
      </c>
      <c r="H782" s="0" t="inlineStr">
        <is>
          <t xml:space="preserve">supplier</t>
        </is>
      </c>
      <c r="I782" s="0" t="inlineStr">
        <is>
          <t xml:space="preserve">unbucketed</t>
        </is>
      </c>
      <c r="J782" s="0" t="inlineStr">
        <is>
          <t xml:space="preserve">residual</t>
        </is>
      </c>
      <c r="K782" s="5">
        <v>0</v>
      </c>
      <c r="L782" s="5">
        <v>0</v>
      </c>
      <c r="M782" s="5">
        <v>0.062244</v>
      </c>
      <c r="N782" s="5">
        <v>0.0</v>
      </c>
      <c r="O782" s="5">
        <v>0.0</v>
      </c>
      <c r="P782" s="5">
        <v>0.0</v>
      </c>
      <c r="Q782" s="5">
        <v>0.0</v>
      </c>
      <c r="R782" s="5">
        <v>0.062244</v>
      </c>
      <c r="S782" s="5">
        <v>0.0</v>
      </c>
      <c r="T782" s="5">
        <v>0.0</v>
      </c>
      <c r="U782" s="5">
        <v>0.0</v>
      </c>
    </row>
    <row r="783" outlineLevel="1">
      <c r="B783" s="0" t="inlineStr">
        <is>
          <t xml:space="preserve">LBI, INC.</t>
        </is>
      </c>
      <c r="C783" s="0" t="inlineStr">
        <is>
          <t xml:space="preserve">CR99X5Q2KQS1</t>
        </is>
      </c>
      <c r="D783" s="0" t="inlineStr">
        <is>
          <t xml:space="preserve">-</t>
        </is>
      </c>
      <c r="E783" s="0" t="inlineStr">
        <is>
          <t xml:space="preserve">-</t>
        </is>
      </c>
      <c r="F783" s="0" t="inlineStr">
        <is>
          <t xml:space="preserve">-</t>
        </is>
      </c>
      <c r="G783" s="5">
        <v>0.061798</v>
      </c>
      <c r="H783" s="0" t="inlineStr">
        <is>
          <t xml:space="preserve">supplier</t>
        </is>
      </c>
      <c r="I783" s="0" t="inlineStr">
        <is>
          <t xml:space="preserve">unbucketed</t>
        </is>
      </c>
      <c r="J783" s="0" t="inlineStr">
        <is>
          <t xml:space="preserve">residual</t>
        </is>
      </c>
      <c r="K783" s="5">
        <v>0</v>
      </c>
      <c r="L783" s="5">
        <v>0</v>
      </c>
      <c r="M783" s="5">
        <v>0.061798</v>
      </c>
      <c r="N783" s="5">
        <v>0.0</v>
      </c>
      <c r="O783" s="5">
        <v>0.0</v>
      </c>
      <c r="P783" s="5">
        <v>0.0</v>
      </c>
      <c r="Q783" s="5">
        <v>0.0</v>
      </c>
      <c r="R783" s="5">
        <v>0.0</v>
      </c>
      <c r="S783" s="5">
        <v>0.0</v>
      </c>
      <c r="T783" s="5">
        <v>0.0</v>
      </c>
      <c r="U783" s="5">
        <v>0.0</v>
      </c>
    </row>
    <row r="784" outlineLevel="1">
      <c r="B784" s="0" t="inlineStr">
        <is>
          <t xml:space="preserve">RBC BEARINGS INCORPORATED</t>
        </is>
      </c>
      <c r="C784" s="0" t="inlineStr">
        <is>
          <t xml:space="preserve">GY5BEBKX7ME7</t>
        </is>
      </c>
      <c r="D784" s="0" t="inlineStr">
        <is>
          <t xml:space="preserve">-</t>
        </is>
      </c>
      <c r="E784" s="0" t="inlineStr">
        <is>
          <t xml:space="preserve">-</t>
        </is>
      </c>
      <c r="F784" s="0" t="inlineStr">
        <is>
          <t xml:space="preserve">-</t>
        </is>
      </c>
      <c r="G784" s="5">
        <v>0.06176</v>
      </c>
      <c r="H784" s="0" t="inlineStr">
        <is>
          <t xml:space="preserve">supplier</t>
        </is>
      </c>
      <c r="I784" s="0" t="inlineStr">
        <is>
          <t xml:space="preserve">unbucketed</t>
        </is>
      </c>
      <c r="J784" s="0" t="inlineStr">
        <is>
          <t xml:space="preserve">residual</t>
        </is>
      </c>
      <c r="K784" s="5">
        <v>0</v>
      </c>
      <c r="L784" s="5">
        <v>0</v>
      </c>
      <c r="M784" s="5">
        <v>0.06176</v>
      </c>
      <c r="N784" s="5">
        <v>0.06176</v>
      </c>
      <c r="O784" s="5">
        <v>0.0</v>
      </c>
      <c r="P784" s="5">
        <v>0.0</v>
      </c>
      <c r="Q784" s="5">
        <v>0.0</v>
      </c>
      <c r="R784" s="5">
        <v>0.0</v>
      </c>
      <c r="S784" s="5">
        <v>0.0</v>
      </c>
      <c r="T784" s="5">
        <v>0.0</v>
      </c>
      <c r="U784" s="5">
        <v>0.0</v>
      </c>
    </row>
    <row r="785" outlineLevel="1">
      <c r="B785" s="0" t="inlineStr">
        <is>
          <t xml:space="preserve">NTS HOLDING CORPORATION INC</t>
        </is>
      </c>
      <c r="C785" s="0" t="inlineStr">
        <is>
          <t xml:space="preserve">GAGNAGWFNY83</t>
        </is>
      </c>
      <c r="D785" s="0" t="inlineStr">
        <is>
          <t xml:space="preserve">-</t>
        </is>
      </c>
      <c r="E785" s="0" t="inlineStr">
        <is>
          <t xml:space="preserve">-</t>
        </is>
      </c>
      <c r="F785" s="0" t="inlineStr">
        <is>
          <t xml:space="preserve">-</t>
        </is>
      </c>
      <c r="G785" s="5">
        <v>0.0615</v>
      </c>
      <c r="H785" s="0" t="inlineStr">
        <is>
          <t xml:space="preserve">supplier</t>
        </is>
      </c>
      <c r="I785" s="0" t="inlineStr">
        <is>
          <t xml:space="preserve">unbucketed</t>
        </is>
      </c>
      <c r="J785" s="0" t="inlineStr">
        <is>
          <t xml:space="preserve">residual</t>
        </is>
      </c>
      <c r="K785" s="5">
        <v>0</v>
      </c>
      <c r="L785" s="5">
        <v>0</v>
      </c>
      <c r="M785" s="5">
        <v>0.0615</v>
      </c>
      <c r="N785" s="5">
        <v>0.0</v>
      </c>
      <c r="O785" s="5">
        <v>0.0</v>
      </c>
      <c r="P785" s="5">
        <v>0.0</v>
      </c>
      <c r="Q785" s="5">
        <v>0.0</v>
      </c>
      <c r="R785" s="5">
        <v>0.0</v>
      </c>
      <c r="S785" s="5">
        <v>0.0</v>
      </c>
      <c r="T785" s="5">
        <v>0.0</v>
      </c>
      <c r="U785" s="5">
        <v>0.0</v>
      </c>
    </row>
    <row r="786" outlineLevel="1">
      <c r="B786" s="0" t="inlineStr">
        <is>
          <t xml:space="preserve">AMRON INTERNATIONAL, INC.</t>
        </is>
      </c>
      <c r="C786" s="0" t="inlineStr">
        <is>
          <t xml:space="preserve">T5PEM8N1QE25</t>
        </is>
      </c>
      <c r="D786" s="0" t="inlineStr">
        <is>
          <t xml:space="preserve">-</t>
        </is>
      </c>
      <c r="E786" s="0" t="inlineStr">
        <is>
          <t xml:space="preserve">-</t>
        </is>
      </c>
      <c r="F786" s="0" t="inlineStr">
        <is>
          <t xml:space="preserve">-</t>
        </is>
      </c>
      <c r="G786" s="5">
        <v>0.060128</v>
      </c>
      <c r="H786" s="0" t="inlineStr">
        <is>
          <t xml:space="preserve">supplier</t>
        </is>
      </c>
      <c r="I786" s="0" t="inlineStr">
        <is>
          <t xml:space="preserve">unbucketed</t>
        </is>
      </c>
      <c r="J786" s="0" t="inlineStr">
        <is>
          <t xml:space="preserve">residual</t>
        </is>
      </c>
      <c r="K786" s="5">
        <v>0</v>
      </c>
      <c r="L786" s="5">
        <v>0</v>
      </c>
      <c r="M786" s="5">
        <v>0.060128</v>
      </c>
      <c r="N786" s="5">
        <v>0.0</v>
      </c>
      <c r="O786" s="5">
        <v>0.0</v>
      </c>
      <c r="P786" s="5">
        <v>0.0</v>
      </c>
      <c r="Q786" s="5">
        <v>0.0</v>
      </c>
      <c r="R786" s="5">
        <v>0.0</v>
      </c>
      <c r="S786" s="5">
        <v>0.0</v>
      </c>
      <c r="T786" s="5">
        <v>0.0</v>
      </c>
      <c r="U786" s="5">
        <v>0.0</v>
      </c>
    </row>
    <row r="787" outlineLevel="1">
      <c r="B787" s="0" t="inlineStr">
        <is>
          <t xml:space="preserve">HEXAGON METROLOGY AB</t>
        </is>
      </c>
      <c r="C787" s="0" t="inlineStr">
        <is>
          <t xml:space="preserve">EK4EVQQNEFC6</t>
        </is>
      </c>
      <c r="D787" s="0" t="inlineStr">
        <is>
          <t xml:space="preserve">-</t>
        </is>
      </c>
      <c r="E787" s="0" t="inlineStr">
        <is>
          <t xml:space="preserve">-</t>
        </is>
      </c>
      <c r="F787" s="0" t="inlineStr">
        <is>
          <t xml:space="preserve">-</t>
        </is>
      </c>
      <c r="G787" s="5">
        <v>0.0593</v>
      </c>
      <c r="H787" s="0" t="inlineStr">
        <is>
          <t xml:space="preserve">supplier</t>
        </is>
      </c>
      <c r="I787" s="0" t="inlineStr">
        <is>
          <t xml:space="preserve">unbucketed</t>
        </is>
      </c>
      <c r="J787" s="0" t="inlineStr">
        <is>
          <t xml:space="preserve">residual</t>
        </is>
      </c>
      <c r="K787" s="5">
        <v>0</v>
      </c>
      <c r="L787" s="5">
        <v>0</v>
      </c>
      <c r="M787" s="5">
        <v>0.0593</v>
      </c>
      <c r="N787" s="5">
        <v>0.0</v>
      </c>
      <c r="O787" s="5">
        <v>0.0</v>
      </c>
      <c r="P787" s="5">
        <v>0.0</v>
      </c>
      <c r="Q787" s="5">
        <v>0.0</v>
      </c>
      <c r="R787" s="5">
        <v>0.0593</v>
      </c>
      <c r="S787" s="5">
        <v>0.0</v>
      </c>
      <c r="T787" s="5">
        <v>0.0</v>
      </c>
      <c r="U787" s="5">
        <v>0.0</v>
      </c>
    </row>
    <row r="788" outlineLevel="1">
      <c r="B788" s="0" t="inlineStr">
        <is>
          <t xml:space="preserve">SUPREME CORP</t>
        </is>
      </c>
      <c r="C788" s="0" t="inlineStr">
        <is>
          <t xml:space="preserve">LKVHTENM62A5</t>
        </is>
      </c>
      <c r="D788" s="0" t="inlineStr">
        <is>
          <t xml:space="preserve">-</t>
        </is>
      </c>
      <c r="E788" s="0" t="inlineStr">
        <is>
          <t xml:space="preserve">-</t>
        </is>
      </c>
      <c r="F788" s="0" t="inlineStr">
        <is>
          <t xml:space="preserve">-</t>
        </is>
      </c>
      <c r="G788" s="5">
        <v>0.058712499999999994</v>
      </c>
      <c r="H788" s="0" t="inlineStr">
        <is>
          <t xml:space="preserve">supplier</t>
        </is>
      </c>
      <c r="I788" s="0" t="inlineStr">
        <is>
          <t xml:space="preserve">unbucketed</t>
        </is>
      </c>
      <c r="J788" s="0" t="inlineStr">
        <is>
          <t xml:space="preserve">residual</t>
        </is>
      </c>
      <c r="K788" s="5">
        <v>0</v>
      </c>
      <c r="L788" s="5">
        <v>0</v>
      </c>
      <c r="M788" s="5">
        <v>0.058712499999999994</v>
      </c>
      <c r="N788" s="5">
        <v>0.0</v>
      </c>
      <c r="O788" s="5">
        <v>0.0</v>
      </c>
      <c r="P788" s="5">
        <v>0.0</v>
      </c>
      <c r="Q788" s="5">
        <v>0.0</v>
      </c>
      <c r="R788" s="5">
        <v>0.0</v>
      </c>
      <c r="S788" s="5">
        <v>0.033699999999999994</v>
      </c>
      <c r="T788" s="5">
        <v>0.0</v>
      </c>
      <c r="U788" s="5">
        <v>0.0</v>
      </c>
    </row>
    <row r="789" outlineLevel="1">
      <c r="B789" s="0" t="inlineStr">
        <is>
          <t xml:space="preserve">HALE TRAILER BRAKE &amp; WHEEL, INC.</t>
        </is>
      </c>
      <c r="C789" s="0" t="inlineStr">
        <is>
          <t xml:space="preserve">GK3DKPJRSUR3</t>
        </is>
      </c>
      <c r="D789" s="0" t="inlineStr">
        <is>
          <t xml:space="preserve">-</t>
        </is>
      </c>
      <c r="E789" s="0" t="inlineStr">
        <is>
          <t xml:space="preserve">-</t>
        </is>
      </c>
      <c r="F789" s="0" t="inlineStr">
        <is>
          <t xml:space="preserve">-</t>
        </is>
      </c>
      <c r="G789" s="5">
        <v>0.0572</v>
      </c>
      <c r="H789" s="0" t="inlineStr">
        <is>
          <t xml:space="preserve">supplier</t>
        </is>
      </c>
      <c r="I789" s="0" t="inlineStr">
        <is>
          <t xml:space="preserve">unbucketed</t>
        </is>
      </c>
      <c r="J789" s="0" t="inlineStr">
        <is>
          <t xml:space="preserve">residual</t>
        </is>
      </c>
      <c r="K789" s="5">
        <v>0</v>
      </c>
      <c r="L789" s="5">
        <v>0</v>
      </c>
      <c r="M789" s="5">
        <v>0.0572</v>
      </c>
      <c r="N789" s="5">
        <v>0.0</v>
      </c>
      <c r="O789" s="5">
        <v>0.0</v>
      </c>
      <c r="P789" s="5">
        <v>0.0</v>
      </c>
      <c r="Q789" s="5">
        <v>0.0</v>
      </c>
      <c r="R789" s="5">
        <v>0.0</v>
      </c>
      <c r="S789" s="5">
        <v>0.0</v>
      </c>
      <c r="T789" s="5">
        <v>0.0</v>
      </c>
      <c r="U789" s="5">
        <v>0.0</v>
      </c>
    </row>
    <row r="790" outlineLevel="1">
      <c r="B790" s="0" t="inlineStr">
        <is>
          <t xml:space="preserve">AGGREKO PLC</t>
        </is>
      </c>
      <c r="C790" s="0" t="inlineStr">
        <is>
          <t xml:space="preserve">QVJEVJHK3G31</t>
        </is>
      </c>
      <c r="D790" s="0" t="inlineStr">
        <is>
          <t xml:space="preserve">-</t>
        </is>
      </c>
      <c r="E790" s="0" t="inlineStr">
        <is>
          <t xml:space="preserve">-</t>
        </is>
      </c>
      <c r="F790" s="0" t="inlineStr">
        <is>
          <t xml:space="preserve">-</t>
        </is>
      </c>
      <c r="G790" s="5">
        <v>0.05624513999999999</v>
      </c>
      <c r="H790" s="0" t="inlineStr">
        <is>
          <t xml:space="preserve">supplier</t>
        </is>
      </c>
      <c r="I790" s="0" t="inlineStr">
        <is>
          <t xml:space="preserve">unbucketed</t>
        </is>
      </c>
      <c r="J790" s="0" t="inlineStr">
        <is>
          <t xml:space="preserve">residual</t>
        </is>
      </c>
      <c r="K790" s="5">
        <v>0</v>
      </c>
      <c r="L790" s="5">
        <v>0</v>
      </c>
      <c r="M790" s="5">
        <v>0.05624513999999999</v>
      </c>
      <c r="N790" s="5">
        <v>0.0</v>
      </c>
      <c r="O790" s="5">
        <v>0.0</v>
      </c>
      <c r="P790" s="5">
        <v>0.0</v>
      </c>
      <c r="Q790" s="5">
        <v>0.0</v>
      </c>
      <c r="R790" s="5">
        <v>0.0</v>
      </c>
      <c r="S790" s="5">
        <v>0.0</v>
      </c>
      <c r="T790" s="5">
        <v>0.0</v>
      </c>
      <c r="U790" s="5">
        <v>0.0</v>
      </c>
    </row>
    <row r="791" outlineLevel="1">
      <c r="B791" s="0" t="inlineStr">
        <is>
          <t xml:space="preserve">MERCURY SYSTEMS, INC.</t>
        </is>
      </c>
      <c r="C791" s="0" t="inlineStr">
        <is>
          <t xml:space="preserve">Q9D3LSUU5BN6</t>
        </is>
      </c>
      <c r="D791" s="0" t="inlineStr">
        <is>
          <t xml:space="preserve">-</t>
        </is>
      </c>
      <c r="E791" s="0" t="inlineStr">
        <is>
          <t xml:space="preserve">-</t>
        </is>
      </c>
      <c r="F791" s="0" t="inlineStr">
        <is>
          <t xml:space="preserve">-</t>
        </is>
      </c>
      <c r="G791" s="5">
        <v>0.05575401</v>
      </c>
      <c r="H791" s="0" t="inlineStr">
        <is>
          <t xml:space="preserve">mission_systems</t>
        </is>
      </c>
      <c r="I791" s="0" t="inlineStr">
        <is>
          <t xml:space="preserve">-</t>
        </is>
      </c>
      <c r="J791" s="0" t="inlineStr">
        <is>
          <t xml:space="preserve">registry</t>
        </is>
      </c>
      <c r="K791" s="5">
        <v>0</v>
      </c>
      <c r="L791" s="5">
        <v>0</v>
      </c>
      <c r="M791" s="5">
        <v>0.05575401</v>
      </c>
      <c r="N791" s="5">
        <v>0.02553747</v>
      </c>
      <c r="O791" s="5">
        <v>0.0</v>
      </c>
      <c r="P791" s="5">
        <v>0.0</v>
      </c>
      <c r="Q791" s="5">
        <v>0.0</v>
      </c>
      <c r="R791" s="5">
        <v>0.0</v>
      </c>
      <c r="S791" s="5">
        <v>0.0</v>
      </c>
      <c r="T791" s="5">
        <v>0.0</v>
      </c>
      <c r="U791" s="5">
        <v>0.0</v>
      </c>
    </row>
    <row r="792" outlineLevel="1">
      <c r="B792" s="0" t="inlineStr">
        <is>
          <t xml:space="preserve">LUNA INNOVATIONS INCORPORATED</t>
        </is>
      </c>
      <c r="C792" s="0" t="inlineStr">
        <is>
          <t xml:space="preserve">LGM4LM5ZR9K9</t>
        </is>
      </c>
      <c r="D792" s="0" t="inlineStr">
        <is>
          <t xml:space="preserve">-</t>
        </is>
      </c>
      <c r="E792" s="0" t="inlineStr">
        <is>
          <t xml:space="preserve">-</t>
        </is>
      </c>
      <c r="F792" s="0" t="inlineStr">
        <is>
          <t xml:space="preserve">-</t>
        </is>
      </c>
      <c r="G792" s="5">
        <v>0.055</v>
      </c>
      <c r="H792" s="0" t="inlineStr">
        <is>
          <t xml:space="preserve">supplier</t>
        </is>
      </c>
      <c r="I792" s="0" t="inlineStr">
        <is>
          <t xml:space="preserve">unbucketed</t>
        </is>
      </c>
      <c r="J792" s="0" t="inlineStr">
        <is>
          <t xml:space="preserve">residual</t>
        </is>
      </c>
      <c r="K792" s="5">
        <v>0</v>
      </c>
      <c r="L792" s="5">
        <v>0</v>
      </c>
      <c r="M792" s="5">
        <v>0.055</v>
      </c>
      <c r="N792" s="5">
        <v>0.0</v>
      </c>
      <c r="O792" s="5">
        <v>0.0</v>
      </c>
      <c r="P792" s="5">
        <v>0.0</v>
      </c>
      <c r="Q792" s="5">
        <v>0.0</v>
      </c>
      <c r="R792" s="5">
        <v>0.0</v>
      </c>
      <c r="S792" s="5">
        <v>0.0</v>
      </c>
      <c r="T792" s="5">
        <v>0.0</v>
      </c>
      <c r="U792" s="5">
        <v>0.0</v>
      </c>
    </row>
    <row r="793" outlineLevel="1">
      <c r="B793" s="0" t="inlineStr">
        <is>
          <t xml:space="preserve">ODAT MACHINE INC</t>
        </is>
      </c>
      <c r="C793" s="0" t="inlineStr">
        <is>
          <t xml:space="preserve">HNAKLNNSE339</t>
        </is>
      </c>
      <c r="D793" s="0" t="inlineStr">
        <is>
          <t xml:space="preserve">-</t>
        </is>
      </c>
      <c r="E793" s="0" t="inlineStr">
        <is>
          <t xml:space="preserve">-</t>
        </is>
      </c>
      <c r="F793" s="0" t="inlineStr">
        <is>
          <t xml:space="preserve">-</t>
        </is>
      </c>
      <c r="G793" s="5">
        <v>0.054834</v>
      </c>
      <c r="H793" s="0" t="inlineStr">
        <is>
          <t xml:space="preserve">supplier</t>
        </is>
      </c>
      <c r="I793" s="0" t="inlineStr">
        <is>
          <t xml:space="preserve">unbucketed</t>
        </is>
      </c>
      <c r="J793" s="0" t="inlineStr">
        <is>
          <t xml:space="preserve">residual</t>
        </is>
      </c>
      <c r="K793" s="5">
        <v>0</v>
      </c>
      <c r="L793" s="5">
        <v>0</v>
      </c>
      <c r="M793" s="5">
        <v>0.054834</v>
      </c>
      <c r="N793" s="5">
        <v>0.0</v>
      </c>
      <c r="O793" s="5">
        <v>0.0</v>
      </c>
      <c r="P793" s="5">
        <v>0.0</v>
      </c>
      <c r="Q793" s="5">
        <v>0.0</v>
      </c>
      <c r="R793" s="5">
        <v>0.054834</v>
      </c>
      <c r="S793" s="5">
        <v>0.0</v>
      </c>
      <c r="T793" s="5">
        <v>0.0</v>
      </c>
      <c r="U793" s="5">
        <v>0.0</v>
      </c>
    </row>
    <row r="794" outlineLevel="1">
      <c r="B794" s="0" t="inlineStr">
        <is>
          <t xml:space="preserve">FRED L HAWKINS CO INC</t>
        </is>
      </c>
      <c r="C794" s="0" t="inlineStr">
        <is>
          <t xml:space="preserve">V3GKQC7LZE37</t>
        </is>
      </c>
      <c r="D794" s="0" t="inlineStr">
        <is>
          <t xml:space="preserve">-</t>
        </is>
      </c>
      <c r="E794" s="0" t="inlineStr">
        <is>
          <t xml:space="preserve">-</t>
        </is>
      </c>
      <c r="F794" s="0" t="inlineStr">
        <is>
          <t xml:space="preserve">-</t>
        </is>
      </c>
      <c r="G794" s="5">
        <v>0.054775</v>
      </c>
      <c r="H794" s="0" t="inlineStr">
        <is>
          <t xml:space="preserve">supplier</t>
        </is>
      </c>
      <c r="I794" s="0" t="inlineStr">
        <is>
          <t xml:space="preserve">unbucketed</t>
        </is>
      </c>
      <c r="J794" s="0" t="inlineStr">
        <is>
          <t xml:space="preserve">residual</t>
        </is>
      </c>
      <c r="K794" s="5">
        <v>0</v>
      </c>
      <c r="L794" s="5">
        <v>0</v>
      </c>
      <c r="M794" s="5">
        <v>0.054775</v>
      </c>
      <c r="N794" s="5">
        <v>0.0</v>
      </c>
      <c r="O794" s="5">
        <v>0.0</v>
      </c>
      <c r="P794" s="5">
        <v>0.0</v>
      </c>
      <c r="Q794" s="5">
        <v>0.0</v>
      </c>
      <c r="R794" s="5">
        <v>0.0</v>
      </c>
      <c r="S794" s="5">
        <v>0.054775</v>
      </c>
      <c r="T794" s="5">
        <v>0.0</v>
      </c>
      <c r="U794" s="5">
        <v>0.0</v>
      </c>
    </row>
    <row r="795" outlineLevel="1">
      <c r="B795" s="0" t="inlineStr">
        <is>
          <t xml:space="preserve">PICKERING GROUP LIMITED</t>
        </is>
      </c>
      <c r="C795" s="0" t="inlineStr">
        <is>
          <t xml:space="preserve">ECVNHKM2CLS9</t>
        </is>
      </c>
      <c r="D795" s="0" t="inlineStr">
        <is>
          <t xml:space="preserve">-</t>
        </is>
      </c>
      <c r="E795" s="0" t="inlineStr">
        <is>
          <t xml:space="preserve">-</t>
        </is>
      </c>
      <c r="F795" s="0" t="inlineStr">
        <is>
          <t xml:space="preserve">-</t>
        </is>
      </c>
      <c r="G795" s="5">
        <v>0.054759999999999996</v>
      </c>
      <c r="H795" s="0" t="inlineStr">
        <is>
          <t xml:space="preserve">supplier</t>
        </is>
      </c>
      <c r="I795" s="0" t="inlineStr">
        <is>
          <t xml:space="preserve">unbucketed</t>
        </is>
      </c>
      <c r="J795" s="0" t="inlineStr">
        <is>
          <t xml:space="preserve">residual</t>
        </is>
      </c>
      <c r="K795" s="5">
        <v>0</v>
      </c>
      <c r="L795" s="5">
        <v>0</v>
      </c>
      <c r="M795" s="5">
        <v>0.054759999999999996</v>
      </c>
      <c r="N795" s="5">
        <v>0.0</v>
      </c>
      <c r="O795" s="5">
        <v>0.0</v>
      </c>
      <c r="P795" s="5">
        <v>0.0</v>
      </c>
      <c r="Q795" s="5">
        <v>0.0</v>
      </c>
      <c r="R795" s="5">
        <v>0.0</v>
      </c>
      <c r="S795" s="5">
        <v>0.0</v>
      </c>
      <c r="T795" s="5">
        <v>0.0</v>
      </c>
      <c r="U795" s="5">
        <v>0.0</v>
      </c>
    </row>
    <row r="796" outlineLevel="1">
      <c r="B796" s="0" t="inlineStr">
        <is>
          <t xml:space="preserve">E7 SOLUTIONS, LLC</t>
        </is>
      </c>
      <c r="C796" s="0" t="inlineStr">
        <is>
          <t xml:space="preserve">WX7ED2HWHJ17</t>
        </is>
      </c>
      <c r="D796" s="0" t="inlineStr">
        <is>
          <t xml:space="preserve">-</t>
        </is>
      </c>
      <c r="E796" s="0" t="inlineStr">
        <is>
          <t xml:space="preserve">-</t>
        </is>
      </c>
      <c r="F796" s="0" t="inlineStr">
        <is>
          <t xml:space="preserve">-</t>
        </is>
      </c>
      <c r="G796" s="5">
        <v>0.054319730000000004</v>
      </c>
      <c r="H796" s="0" t="inlineStr">
        <is>
          <t xml:space="preserve">supplier</t>
        </is>
      </c>
      <c r="I796" s="0" t="inlineStr">
        <is>
          <t xml:space="preserve">unbucketed</t>
        </is>
      </c>
      <c r="J796" s="0" t="inlineStr">
        <is>
          <t xml:space="preserve">residual</t>
        </is>
      </c>
      <c r="K796" s="5">
        <v>0</v>
      </c>
      <c r="L796" s="5">
        <v>0</v>
      </c>
      <c r="M796" s="5">
        <v>0.054319730000000004</v>
      </c>
      <c r="N796" s="5">
        <v>0.0</v>
      </c>
      <c r="O796" s="5">
        <v>0.0</v>
      </c>
      <c r="P796" s="5">
        <v>0.0</v>
      </c>
      <c r="Q796" s="5">
        <v>0.0</v>
      </c>
      <c r="R796" s="5">
        <v>0.0</v>
      </c>
      <c r="S796" s="5">
        <v>0.0</v>
      </c>
      <c r="T796" s="5">
        <v>0.0</v>
      </c>
      <c r="U796" s="5">
        <v>0.054319730000000004</v>
      </c>
    </row>
    <row r="797" outlineLevel="1">
      <c r="B797" s="0" t="inlineStr">
        <is>
          <t xml:space="preserve">EZEFLOW USA, INC.</t>
        </is>
      </c>
      <c r="C797" s="0" t="inlineStr">
        <is>
          <t xml:space="preserve">ZPZMCRH2JSA3</t>
        </is>
      </c>
      <c r="D797" s="0" t="inlineStr">
        <is>
          <t xml:space="preserve">-</t>
        </is>
      </c>
      <c r="E797" s="0" t="inlineStr">
        <is>
          <t xml:space="preserve">-</t>
        </is>
      </c>
      <c r="F797" s="0" t="inlineStr">
        <is>
          <t xml:space="preserve">-</t>
        </is>
      </c>
      <c r="G797" s="5">
        <v>0.053866999999999915</v>
      </c>
      <c r="H797" s="0" t="inlineStr">
        <is>
          <t xml:space="preserve">supplier</t>
        </is>
      </c>
      <c r="I797" s="0" t="inlineStr">
        <is>
          <t xml:space="preserve">unbucketed</t>
        </is>
      </c>
      <c r="J797" s="0" t="inlineStr">
        <is>
          <t xml:space="preserve">residual</t>
        </is>
      </c>
      <c r="K797" s="5">
        <v>0</v>
      </c>
      <c r="L797" s="5">
        <v>0</v>
      </c>
      <c r="M797" s="5">
        <v>0.053866999999999915</v>
      </c>
      <c r="N797" s="5">
        <v>-0.002376</v>
      </c>
      <c r="O797" s="5">
        <v>0.0</v>
      </c>
      <c r="P797" s="5">
        <v>0.0</v>
      </c>
      <c r="Q797" s="5">
        <v>0.0</v>
      </c>
      <c r="R797" s="5">
        <v>0.0</v>
      </c>
      <c r="S797" s="5">
        <v>0.0</v>
      </c>
      <c r="T797" s="5">
        <v>0.0</v>
      </c>
      <c r="U797" s="5">
        <v>0.0</v>
      </c>
    </row>
    <row r="798" outlineLevel="1">
      <c r="B798" s="0" t="inlineStr">
        <is>
          <t xml:space="preserve">THE MATHWORKS, INC.</t>
        </is>
      </c>
      <c r="C798" s="0" t="inlineStr">
        <is>
          <t xml:space="preserve">YQXBZHMXEVE5</t>
        </is>
      </c>
      <c r="D798" s="0" t="inlineStr">
        <is>
          <t xml:space="preserve">-</t>
        </is>
      </c>
      <c r="E798" s="0" t="inlineStr">
        <is>
          <t xml:space="preserve">-</t>
        </is>
      </c>
      <c r="F798" s="0" t="inlineStr">
        <is>
          <t xml:space="preserve">-</t>
        </is>
      </c>
      <c r="G798" s="5">
        <v>0.05361</v>
      </c>
      <c r="H798" s="0" t="inlineStr">
        <is>
          <t xml:space="preserve">supplier</t>
        </is>
      </c>
      <c r="I798" s="0" t="inlineStr">
        <is>
          <t xml:space="preserve">unbucketed</t>
        </is>
      </c>
      <c r="J798" s="0" t="inlineStr">
        <is>
          <t xml:space="preserve">residual</t>
        </is>
      </c>
      <c r="K798" s="5">
        <v>0</v>
      </c>
      <c r="L798" s="5">
        <v>0</v>
      </c>
      <c r="M798" s="5">
        <v>0.05361</v>
      </c>
      <c r="N798" s="5">
        <v>0.0</v>
      </c>
      <c r="O798" s="5">
        <v>0.0</v>
      </c>
      <c r="P798" s="5">
        <v>0.0</v>
      </c>
      <c r="Q798" s="5">
        <v>0.0</v>
      </c>
      <c r="R798" s="5">
        <v>0.0</v>
      </c>
      <c r="S798" s="5">
        <v>0.05361</v>
      </c>
      <c r="T798" s="5">
        <v>0.0</v>
      </c>
      <c r="U798" s="5">
        <v>0.0</v>
      </c>
    </row>
    <row r="799" outlineLevel="1">
      <c r="B799" s="0" t="inlineStr">
        <is>
          <t xml:space="preserve">AIRFLO INSTRUMENT COMPANY, THE</t>
        </is>
      </c>
      <c r="C799" s="0" t="inlineStr">
        <is>
          <t xml:space="preserve">CWU4C613AB25</t>
        </is>
      </c>
      <c r="D799" s="0" t="inlineStr">
        <is>
          <t xml:space="preserve">-</t>
        </is>
      </c>
      <c r="E799" s="0" t="inlineStr">
        <is>
          <t xml:space="preserve">-</t>
        </is>
      </c>
      <c r="F799" s="0" t="inlineStr">
        <is>
          <t xml:space="preserve">-</t>
        </is>
      </c>
      <c r="G799" s="5">
        <v>0.052058160000000006</v>
      </c>
      <c r="H799" s="0" t="inlineStr">
        <is>
          <t xml:space="preserve">supplier</t>
        </is>
      </c>
      <c r="I799" s="0" t="inlineStr">
        <is>
          <t xml:space="preserve">unbucketed</t>
        </is>
      </c>
      <c r="J799" s="0" t="inlineStr">
        <is>
          <t xml:space="preserve">residual</t>
        </is>
      </c>
      <c r="K799" s="5">
        <v>0</v>
      </c>
      <c r="L799" s="5">
        <v>0</v>
      </c>
      <c r="M799" s="5">
        <v>0.052058160000000006</v>
      </c>
      <c r="N799" s="5">
        <v>0.0</v>
      </c>
      <c r="O799" s="5">
        <v>0.0</v>
      </c>
      <c r="P799" s="5">
        <v>0.0</v>
      </c>
      <c r="Q799" s="5">
        <v>0.052058160000000006</v>
      </c>
      <c r="R799" s="5">
        <v>0.0</v>
      </c>
      <c r="S799" s="5">
        <v>0.0</v>
      </c>
      <c r="T799" s="5">
        <v>0.0</v>
      </c>
      <c r="U799" s="5">
        <v>0.0</v>
      </c>
    </row>
    <row r="800" outlineLevel="1">
      <c r="B800" s="0" t="inlineStr">
        <is>
          <t xml:space="preserve">SHENZHEN NANSHAN DISTRICT GELAIMI CLOTHES SHOP</t>
        </is>
      </c>
      <c r="C800" s="0" t="inlineStr">
        <is>
          <t xml:space="preserve">UTG3KW3RJ6M3</t>
        </is>
      </c>
      <c r="D800" s="0" t="inlineStr">
        <is>
          <t xml:space="preserve">Foreign</t>
        </is>
      </c>
      <c r="E800" s="0" t="inlineStr">
        <is>
          <t xml:space="preserve">-</t>
        </is>
      </c>
      <c r="F800" s="0" t="inlineStr">
        <is>
          <t xml:space="preserve">-</t>
        </is>
      </c>
      <c r="G800" s="5">
        <v>0.05165028</v>
      </c>
      <c r="H800" s="0" t="inlineStr">
        <is>
          <t xml:space="preserve">foreign_fms</t>
        </is>
      </c>
      <c r="I800" s="0" t="inlineStr">
        <is>
          <t xml:space="preserve">-</t>
        </is>
      </c>
      <c r="J800" s="0" t="inlineStr">
        <is>
          <t xml:space="preserve">foreign flag</t>
        </is>
      </c>
      <c r="K800" s="5">
        <v>0</v>
      </c>
      <c r="L800" s="5">
        <v>0</v>
      </c>
      <c r="M800" s="5">
        <v>0.05165028</v>
      </c>
      <c r="N800" s="5">
        <v>0.0</v>
      </c>
      <c r="O800" s="5">
        <v>0.0</v>
      </c>
      <c r="P800" s="5">
        <v>0.0</v>
      </c>
      <c r="Q800" s="5">
        <v>0.0</v>
      </c>
      <c r="R800" s="5">
        <v>0.05165028</v>
      </c>
      <c r="S800" s="5">
        <v>0.0</v>
      </c>
      <c r="T800" s="5">
        <v>0.0</v>
      </c>
      <c r="U800" s="5">
        <v>0.0</v>
      </c>
    </row>
    <row r="801" outlineLevel="1">
      <c r="B801" s="0" t="inlineStr">
        <is>
          <t xml:space="preserve">GLOBAL SUPPLY, INC.</t>
        </is>
      </c>
      <c r="C801" s="0" t="inlineStr">
        <is>
          <t xml:space="preserve">KUCZSM9XDBS5</t>
        </is>
      </c>
      <c r="D801" s="0" t="inlineStr">
        <is>
          <t xml:space="preserve">-</t>
        </is>
      </c>
      <c r="E801" s="0" t="inlineStr">
        <is>
          <t xml:space="preserve">-</t>
        </is>
      </c>
      <c r="F801" s="0" t="inlineStr">
        <is>
          <t xml:space="preserve">-</t>
        </is>
      </c>
      <c r="G801" s="5">
        <v>0.05160228</v>
      </c>
      <c r="H801" s="0" t="inlineStr">
        <is>
          <t xml:space="preserve">supplier</t>
        </is>
      </c>
      <c r="I801" s="0" t="inlineStr">
        <is>
          <t xml:space="preserve">unbucketed</t>
        </is>
      </c>
      <c r="J801" s="0" t="inlineStr">
        <is>
          <t xml:space="preserve">residual</t>
        </is>
      </c>
      <c r="K801" s="5">
        <v>0</v>
      </c>
      <c r="L801" s="5">
        <v>0</v>
      </c>
      <c r="M801" s="5">
        <v>0.0</v>
      </c>
      <c r="N801" s="5">
        <v>0.0</v>
      </c>
      <c r="O801" s="5">
        <v>0.0</v>
      </c>
      <c r="P801" s="5">
        <v>0.0</v>
      </c>
      <c r="Q801" s="5">
        <v>0.0</v>
      </c>
      <c r="R801" s="5">
        <v>0.0</v>
      </c>
      <c r="S801" s="5">
        <v>0.0</v>
      </c>
      <c r="T801" s="5">
        <v>0.0</v>
      </c>
      <c r="U801" s="5">
        <v>0.0</v>
      </c>
    </row>
    <row r="802" outlineLevel="1">
      <c r="B802" s="0" t="inlineStr">
        <is>
          <t xml:space="preserve">CONVERGINT TECHNOLOGIES LLC</t>
        </is>
      </c>
      <c r="C802" s="0" t="inlineStr">
        <is>
          <t xml:space="preserve">PXB2X38X4V11</t>
        </is>
      </c>
      <c r="D802" s="0" t="inlineStr">
        <is>
          <t xml:space="preserve">-</t>
        </is>
      </c>
      <c r="E802" s="0" t="inlineStr">
        <is>
          <t xml:space="preserve">-</t>
        </is>
      </c>
      <c r="F802" s="0" t="inlineStr">
        <is>
          <t xml:space="preserve">-</t>
        </is>
      </c>
      <c r="G802" s="5">
        <v>0.05140602</v>
      </c>
      <c r="H802" s="0" t="inlineStr">
        <is>
          <t xml:space="preserve">supplier</t>
        </is>
      </c>
      <c r="I802" s="0" t="inlineStr">
        <is>
          <t xml:space="preserve">unbucketed</t>
        </is>
      </c>
      <c r="J802" s="0" t="inlineStr">
        <is>
          <t xml:space="preserve">residual</t>
        </is>
      </c>
      <c r="K802" s="5">
        <v>0</v>
      </c>
      <c r="L802" s="5">
        <v>0</v>
      </c>
      <c r="M802" s="5">
        <v>0.05140602</v>
      </c>
      <c r="N802" s="5">
        <v>0.0</v>
      </c>
      <c r="O802" s="5">
        <v>0.0</v>
      </c>
      <c r="P802" s="5">
        <v>0.0</v>
      </c>
      <c r="Q802" s="5">
        <v>0.0</v>
      </c>
      <c r="R802" s="5">
        <v>0.0</v>
      </c>
      <c r="S802" s="5">
        <v>0.05140602</v>
      </c>
      <c r="T802" s="5">
        <v>0.0</v>
      </c>
      <c r="U802" s="5">
        <v>0.0</v>
      </c>
    </row>
    <row r="803" outlineLevel="1">
      <c r="B803" s="0" t="inlineStr">
        <is>
          <t xml:space="preserve">PPG INDUSTRIES, INC.</t>
        </is>
      </c>
      <c r="C803" s="0" t="inlineStr">
        <is>
          <t xml:space="preserve">RCCWP36NHMA6</t>
        </is>
      </c>
      <c r="D803" s="0" t="inlineStr">
        <is>
          <t xml:space="preserve">-</t>
        </is>
      </c>
      <c r="E803" s="0" t="inlineStr">
        <is>
          <t xml:space="preserve">-</t>
        </is>
      </c>
      <c r="F803" s="0" t="inlineStr">
        <is>
          <t xml:space="preserve">-</t>
        </is>
      </c>
      <c r="G803" s="5">
        <v>0.0504</v>
      </c>
      <c r="H803" s="0" t="inlineStr">
        <is>
          <t xml:space="preserve">supplier</t>
        </is>
      </c>
      <c r="I803" s="0" t="inlineStr">
        <is>
          <t xml:space="preserve">unbucketed</t>
        </is>
      </c>
      <c r="J803" s="0" t="inlineStr">
        <is>
          <t xml:space="preserve">residual</t>
        </is>
      </c>
      <c r="K803" s="5">
        <v>0</v>
      </c>
      <c r="L803" s="5">
        <v>0</v>
      </c>
      <c r="M803" s="5">
        <v>0.0</v>
      </c>
      <c r="N803" s="5">
        <v>0.0</v>
      </c>
      <c r="O803" s="5">
        <v>0.0</v>
      </c>
      <c r="P803" s="5">
        <v>0.0</v>
      </c>
      <c r="Q803" s="5">
        <v>0.0</v>
      </c>
      <c r="R803" s="5">
        <v>0.0</v>
      </c>
      <c r="S803" s="5">
        <v>0.0</v>
      </c>
      <c r="T803" s="5">
        <v>0.0</v>
      </c>
      <c r="U803" s="5">
        <v>0.0</v>
      </c>
    </row>
    <row r="804" outlineLevel="1">
      <c r="B804" s="0" t="inlineStr">
        <is>
          <t xml:space="preserve">SOUND MECHANICAL, INC.</t>
        </is>
      </c>
      <c r="C804" s="0" t="inlineStr">
        <is>
          <t xml:space="preserve">H4NUSZNWG4K6</t>
        </is>
      </c>
      <c r="D804" s="0" t="inlineStr">
        <is>
          <t xml:space="preserve">-</t>
        </is>
      </c>
      <c r="E804" s="0" t="inlineStr">
        <is>
          <t xml:space="preserve">-</t>
        </is>
      </c>
      <c r="F804" s="0" t="inlineStr">
        <is>
          <t xml:space="preserve">-</t>
        </is>
      </c>
      <c r="G804" s="5">
        <v>0.0503</v>
      </c>
      <c r="H804" s="0" t="inlineStr">
        <is>
          <t xml:space="preserve">supplier</t>
        </is>
      </c>
      <c r="I804" s="0" t="inlineStr">
        <is>
          <t xml:space="preserve">unbucketed</t>
        </is>
      </c>
      <c r="J804" s="0" t="inlineStr">
        <is>
          <t xml:space="preserve">residual</t>
        </is>
      </c>
      <c r="K804" s="5">
        <v>0</v>
      </c>
      <c r="L804" s="5">
        <v>0</v>
      </c>
      <c r="M804" s="5">
        <v>0.0503</v>
      </c>
      <c r="N804" s="5">
        <v>0.0</v>
      </c>
      <c r="O804" s="5">
        <v>0.0</v>
      </c>
      <c r="P804" s="5">
        <v>0.0</v>
      </c>
      <c r="Q804" s="5">
        <v>0.0</v>
      </c>
      <c r="R804" s="5">
        <v>0.0</v>
      </c>
      <c r="S804" s="5">
        <v>0.0</v>
      </c>
      <c r="T804" s="5">
        <v>0.0</v>
      </c>
      <c r="U804" s="5">
        <v>0.0</v>
      </c>
    </row>
    <row r="805" outlineLevel="1">
      <c r="B805" s="0" t="inlineStr">
        <is>
          <t xml:space="preserve">H. O. PENN MACHINERY COMPANY, INC.</t>
        </is>
      </c>
      <c r="C805" s="0" t="inlineStr">
        <is>
          <t xml:space="preserve">VK36BNH241M8</t>
        </is>
      </c>
      <c r="D805" s="0" t="inlineStr">
        <is>
          <t xml:space="preserve">-</t>
        </is>
      </c>
      <c r="E805" s="0" t="inlineStr">
        <is>
          <t xml:space="preserve">-</t>
        </is>
      </c>
      <c r="F805" s="0" t="inlineStr">
        <is>
          <t xml:space="preserve">-</t>
        </is>
      </c>
      <c r="G805" s="5">
        <v>0.05</v>
      </c>
      <c r="H805" s="0" t="inlineStr">
        <is>
          <t xml:space="preserve">supplier</t>
        </is>
      </c>
      <c r="I805" s="0" t="inlineStr">
        <is>
          <t xml:space="preserve">unbucketed</t>
        </is>
      </c>
      <c r="J805" s="0" t="inlineStr">
        <is>
          <t xml:space="preserve">residual</t>
        </is>
      </c>
      <c r="K805" s="5">
        <v>0</v>
      </c>
      <c r="L805" s="5">
        <v>0</v>
      </c>
      <c r="M805" s="5">
        <v>0.05</v>
      </c>
      <c r="N805" s="5">
        <v>0.0</v>
      </c>
      <c r="O805" s="5">
        <v>0.0</v>
      </c>
      <c r="P805" s="5">
        <v>0.05</v>
      </c>
      <c r="Q805" s="5">
        <v>0.0</v>
      </c>
      <c r="R805" s="5">
        <v>0.0</v>
      </c>
      <c r="S805" s="5">
        <v>0.0</v>
      </c>
      <c r="T805" s="5">
        <v>0.0</v>
      </c>
      <c r="U805" s="5">
        <v>0.0</v>
      </c>
    </row>
    <row r="806" outlineLevel="1">
      <c r="B806" s="0" t="inlineStr">
        <is>
          <t xml:space="preserve">CM-MATRIX CORPORATION</t>
        </is>
      </c>
      <c r="C806" s="0" t="inlineStr">
        <is>
          <t xml:space="preserve">JMFNDVNJ67A3</t>
        </is>
      </c>
      <c r="D806" s="0" t="inlineStr">
        <is>
          <t xml:space="preserve">-</t>
        </is>
      </c>
      <c r="E806" s="0" t="inlineStr">
        <is>
          <t xml:space="preserve">-</t>
        </is>
      </c>
      <c r="F806" s="0" t="inlineStr">
        <is>
          <t xml:space="preserve">-</t>
        </is>
      </c>
      <c r="G806" s="5">
        <v>0.049957</v>
      </c>
      <c r="H806" s="0" t="inlineStr">
        <is>
          <t xml:space="preserve">supplier</t>
        </is>
      </c>
      <c r="I806" s="0" t="inlineStr">
        <is>
          <t xml:space="preserve">unbucketed</t>
        </is>
      </c>
      <c r="J806" s="0" t="inlineStr">
        <is>
          <t xml:space="preserve">residual</t>
        </is>
      </c>
      <c r="K806" s="5">
        <v>0</v>
      </c>
      <c r="L806" s="5">
        <v>0</v>
      </c>
      <c r="M806" s="5">
        <v>0.049957</v>
      </c>
      <c r="N806" s="5">
        <v>0.0</v>
      </c>
      <c r="O806" s="5">
        <v>0.0</v>
      </c>
      <c r="P806" s="5">
        <v>0.049957</v>
      </c>
      <c r="Q806" s="5">
        <v>0.0</v>
      </c>
      <c r="R806" s="5">
        <v>0.0</v>
      </c>
      <c r="S806" s="5">
        <v>0.0</v>
      </c>
      <c r="T806" s="5">
        <v>0.0</v>
      </c>
      <c r="U806" s="5">
        <v>0.0</v>
      </c>
    </row>
    <row r="807" outlineLevel="1">
      <c r="B807" s="0" t="inlineStr">
        <is>
          <t xml:space="preserve">J. STEELE SERVICES LLC</t>
        </is>
      </c>
      <c r="C807" s="0" t="inlineStr">
        <is>
          <t xml:space="preserve">D7T3U3HPNR49</t>
        </is>
      </c>
      <c r="D807" s="0" t="inlineStr">
        <is>
          <t xml:space="preserve">-</t>
        </is>
      </c>
      <c r="E807" s="0" t="inlineStr">
        <is>
          <t xml:space="preserve">-</t>
        </is>
      </c>
      <c r="F807" s="0" t="inlineStr">
        <is>
          <t xml:space="preserve">-</t>
        </is>
      </c>
      <c r="G807" s="5">
        <v>0.04956008</v>
      </c>
      <c r="H807" s="0" t="inlineStr">
        <is>
          <t xml:space="preserve">supplier</t>
        </is>
      </c>
      <c r="I807" s="0" t="inlineStr">
        <is>
          <t xml:space="preserve">unbucketed</t>
        </is>
      </c>
      <c r="J807" s="0" t="inlineStr">
        <is>
          <t xml:space="preserve">residual</t>
        </is>
      </c>
      <c r="K807" s="5">
        <v>0</v>
      </c>
      <c r="L807" s="5">
        <v>0</v>
      </c>
      <c r="M807" s="5">
        <v>0.04956008</v>
      </c>
      <c r="N807" s="5">
        <v>0.0</v>
      </c>
      <c r="O807" s="5">
        <v>0.0</v>
      </c>
      <c r="P807" s="5">
        <v>0.0</v>
      </c>
      <c r="Q807" s="5">
        <v>0.0</v>
      </c>
      <c r="R807" s="5">
        <v>0.0</v>
      </c>
      <c r="S807" s="5">
        <v>0.0</v>
      </c>
      <c r="T807" s="5">
        <v>0.0</v>
      </c>
      <c r="U807" s="5">
        <v>0.0</v>
      </c>
    </row>
    <row r="808" outlineLevel="1">
      <c r="B808" s="0" t="inlineStr">
        <is>
          <t xml:space="preserve">BAE SYSTEMS PLC</t>
        </is>
      </c>
      <c r="C808" s="0" t="inlineStr">
        <is>
          <t xml:space="preserve">YNJNTZWVC3H6</t>
        </is>
      </c>
      <c r="D808" s="0" t="inlineStr">
        <is>
          <t xml:space="preserve">-</t>
        </is>
      </c>
      <c r="E808" s="0" t="inlineStr">
        <is>
          <t xml:space="preserve">-</t>
        </is>
      </c>
      <c r="F808" s="0" t="inlineStr">
        <is>
          <t xml:space="preserve">-</t>
        </is>
      </c>
      <c r="G808" s="5">
        <v>0.04874727000000001</v>
      </c>
      <c r="H808" s="0" t="inlineStr">
        <is>
          <t xml:space="preserve">mission_systems</t>
        </is>
      </c>
      <c r="I808" s="0" t="inlineStr">
        <is>
          <t xml:space="preserve">-</t>
        </is>
      </c>
      <c r="J808" s="0" t="inlineStr">
        <is>
          <t xml:space="preserve">registry</t>
        </is>
      </c>
      <c r="K808" s="5">
        <v>0</v>
      </c>
      <c r="L808" s="5">
        <v>0</v>
      </c>
      <c r="M808" s="5">
        <v>0.04874727000000001</v>
      </c>
      <c r="N808" s="5">
        <v>0.453776</v>
      </c>
      <c r="O808" s="5">
        <v>0.0</v>
      </c>
      <c r="P808" s="5">
        <v>0.0</v>
      </c>
      <c r="Q808" s="5">
        <v>0.0</v>
      </c>
      <c r="R808" s="5">
        <v>0.0</v>
      </c>
      <c r="S808" s="5">
        <v>0.0</v>
      </c>
      <c r="T808" s="5">
        <v>0.0</v>
      </c>
      <c r="U808" s="5">
        <v>0.0</v>
      </c>
    </row>
    <row r="809" outlineLevel="1">
      <c r="B809" s="0" t="inlineStr">
        <is>
          <t xml:space="preserve">LEIDOS HOLDINGS, INC.</t>
        </is>
      </c>
      <c r="C809" s="0" t="inlineStr">
        <is>
          <t xml:space="preserve">QLNMVC12KWY3</t>
        </is>
      </c>
      <c r="D809" s="0" t="inlineStr">
        <is>
          <t xml:space="preserve">USA</t>
        </is>
      </c>
      <c r="E809" s="0" t="inlineStr">
        <is>
          <t xml:space="preserve">5417</t>
        </is>
      </c>
      <c r="F809" s="0" t="inlineStr">
        <is>
          <t xml:space="preserve">Research and Development in the Physical, Engineering, and Life Sciences (except Nanotechnology and Biotechnology)</t>
        </is>
      </c>
      <c r="G809" s="5">
        <v>0.04868319999999998</v>
      </c>
      <c r="H809" s="0" t="inlineStr">
        <is>
          <t xml:space="preserve">service</t>
        </is>
      </c>
      <c r="I809" s="0" t="inlineStr">
        <is>
          <t xml:space="preserve">-</t>
        </is>
      </c>
      <c r="J809" s="0" t="inlineStr">
        <is>
          <t xml:space="preserve">service NAICS</t>
        </is>
      </c>
      <c r="K809" s="5">
        <v>0</v>
      </c>
      <c r="L809" s="5">
        <v>0</v>
      </c>
      <c r="M809" s="5">
        <v>0.04868319999999998</v>
      </c>
      <c r="N809" s="5">
        <v>0.0</v>
      </c>
      <c r="O809" s="5">
        <v>0.0</v>
      </c>
      <c r="P809" s="5">
        <v>0.0</v>
      </c>
      <c r="Q809" s="5">
        <v>0.0</v>
      </c>
      <c r="R809" s="5">
        <v>0.180062</v>
      </c>
      <c r="S809" s="5">
        <v>0.0</v>
      </c>
      <c r="T809" s="5">
        <v>0.0</v>
      </c>
      <c r="U809" s="5">
        <v>0.0</v>
      </c>
    </row>
    <row r="810" outlineLevel="1">
      <c r="B810" s="0" t="inlineStr">
        <is>
          <t xml:space="preserve">ITW FOOD EQUIPMENT GROUP LLC</t>
        </is>
      </c>
      <c r="C810" s="0" t="inlineStr">
        <is>
          <t xml:space="preserve">LRYRHNM7EHJ8</t>
        </is>
      </c>
      <c r="D810" s="0" t="inlineStr">
        <is>
          <t xml:space="preserve">-</t>
        </is>
      </c>
      <c r="E810" s="0" t="inlineStr">
        <is>
          <t xml:space="preserve">-</t>
        </is>
      </c>
      <c r="F810" s="0" t="inlineStr">
        <is>
          <t xml:space="preserve">-</t>
        </is>
      </c>
      <c r="G810" s="5">
        <v>0.04823997</v>
      </c>
      <c r="H810" s="0" t="inlineStr">
        <is>
          <t xml:space="preserve">supplier</t>
        </is>
      </c>
      <c r="I810" s="0" t="inlineStr">
        <is>
          <t xml:space="preserve">unbucketed</t>
        </is>
      </c>
      <c r="J810" s="0" t="inlineStr">
        <is>
          <t xml:space="preserve">residual</t>
        </is>
      </c>
      <c r="K810" s="5">
        <v>0</v>
      </c>
      <c r="L810" s="5">
        <v>0</v>
      </c>
      <c r="M810" s="5">
        <v>0.04823997</v>
      </c>
      <c r="N810" s="5">
        <v>0.0</v>
      </c>
      <c r="O810" s="5">
        <v>0.0</v>
      </c>
      <c r="P810" s="5">
        <v>0.0</v>
      </c>
      <c r="Q810" s="5">
        <v>0.0</v>
      </c>
      <c r="R810" s="5">
        <v>0.0</v>
      </c>
      <c r="S810" s="5">
        <v>0.04823997</v>
      </c>
      <c r="T810" s="5">
        <v>0.0</v>
      </c>
      <c r="U810" s="5">
        <v>0.0</v>
      </c>
    </row>
    <row r="811" outlineLevel="1">
      <c r="B811" s="0" t="inlineStr">
        <is>
          <t xml:space="preserve">EAGLE LEASING COMPANY THE</t>
        </is>
      </c>
      <c r="C811" s="0" t="inlineStr">
        <is>
          <t xml:space="preserve">FHJHVERLNXU7</t>
        </is>
      </c>
      <c r="D811" s="0" t="inlineStr">
        <is>
          <t xml:space="preserve">-</t>
        </is>
      </c>
      <c r="E811" s="0" t="inlineStr">
        <is>
          <t xml:space="preserve">-</t>
        </is>
      </c>
      <c r="F811" s="0" t="inlineStr">
        <is>
          <t xml:space="preserve">-</t>
        </is>
      </c>
      <c r="G811" s="5">
        <v>0.048074</v>
      </c>
      <c r="H811" s="0" t="inlineStr">
        <is>
          <t xml:space="preserve">supplier</t>
        </is>
      </c>
      <c r="I811" s="0" t="inlineStr">
        <is>
          <t xml:space="preserve">unbucketed</t>
        </is>
      </c>
      <c r="J811" s="0" t="inlineStr">
        <is>
          <t xml:space="preserve">residual</t>
        </is>
      </c>
      <c r="K811" s="5">
        <v>0</v>
      </c>
      <c r="L811" s="5">
        <v>0</v>
      </c>
      <c r="M811" s="5">
        <v>0.048074</v>
      </c>
      <c r="N811" s="5">
        <v>0.0</v>
      </c>
      <c r="O811" s="5">
        <v>0.0</v>
      </c>
      <c r="P811" s="5">
        <v>0.0</v>
      </c>
      <c r="Q811" s="5">
        <v>0.0</v>
      </c>
      <c r="R811" s="5">
        <v>0.0</v>
      </c>
      <c r="S811" s="5">
        <v>0.0</v>
      </c>
      <c r="T811" s="5">
        <v>0.0</v>
      </c>
      <c r="U811" s="5">
        <v>0.0</v>
      </c>
    </row>
    <row r="812" outlineLevel="1">
      <c r="B812" s="0" t="inlineStr">
        <is>
          <t xml:space="preserve">MARWAY POWER SYSTEMS, INC.</t>
        </is>
      </c>
      <c r="C812" s="0" t="inlineStr">
        <is>
          <t xml:space="preserve">UXVTFYJT5PN7</t>
        </is>
      </c>
      <c r="D812" s="0" t="inlineStr">
        <is>
          <t xml:space="preserve">-</t>
        </is>
      </c>
      <c r="E812" s="0" t="inlineStr">
        <is>
          <t xml:space="preserve">-</t>
        </is>
      </c>
      <c r="F812" s="0" t="inlineStr">
        <is>
          <t xml:space="preserve">-</t>
        </is>
      </c>
      <c r="G812" s="5">
        <v>0.047184</v>
      </c>
      <c r="H812" s="0" t="inlineStr">
        <is>
          <t xml:space="preserve">supplier</t>
        </is>
      </c>
      <c r="I812" s="0" t="inlineStr">
        <is>
          <t xml:space="preserve">unbucketed</t>
        </is>
      </c>
      <c r="J812" s="0" t="inlineStr">
        <is>
          <t xml:space="preserve">residual</t>
        </is>
      </c>
      <c r="K812" s="5">
        <v>0</v>
      </c>
      <c r="L812" s="5">
        <v>0</v>
      </c>
      <c r="M812" s="5">
        <v>0.047184</v>
      </c>
      <c r="N812" s="5">
        <v>0.0</v>
      </c>
      <c r="O812" s="5">
        <v>0.0</v>
      </c>
      <c r="P812" s="5">
        <v>0.0</v>
      </c>
      <c r="Q812" s="5">
        <v>0.0</v>
      </c>
      <c r="R812" s="5">
        <v>0.0</v>
      </c>
      <c r="S812" s="5">
        <v>0.0</v>
      </c>
      <c r="T812" s="5">
        <v>0.0</v>
      </c>
      <c r="U812" s="5">
        <v>0.0</v>
      </c>
    </row>
    <row r="813" outlineLevel="1">
      <c r="B813" s="0" t="inlineStr">
        <is>
          <t xml:space="preserve">VECTOR NORTH AMERICA INC.</t>
        </is>
      </c>
      <c r="C813" s="0" t="inlineStr">
        <is>
          <t xml:space="preserve">V1XJX2JT3JK1</t>
        </is>
      </c>
      <c r="D813" s="0" t="inlineStr">
        <is>
          <t xml:space="preserve">-</t>
        </is>
      </c>
      <c r="E813" s="0" t="inlineStr">
        <is>
          <t xml:space="preserve">-</t>
        </is>
      </c>
      <c r="F813" s="0" t="inlineStr">
        <is>
          <t xml:space="preserve">-</t>
        </is>
      </c>
      <c r="G813" s="5">
        <v>0.04708</v>
      </c>
      <c r="H813" s="0" t="inlineStr">
        <is>
          <t xml:space="preserve">supplier</t>
        </is>
      </c>
      <c r="I813" s="0" t="inlineStr">
        <is>
          <t xml:space="preserve">unbucketed</t>
        </is>
      </c>
      <c r="J813" s="0" t="inlineStr">
        <is>
          <t xml:space="preserve">residual</t>
        </is>
      </c>
      <c r="K813" s="5">
        <v>0</v>
      </c>
      <c r="L813" s="5">
        <v>0</v>
      </c>
      <c r="M813" s="5">
        <v>0.04708</v>
      </c>
      <c r="N813" s="5">
        <v>0.0</v>
      </c>
      <c r="O813" s="5">
        <v>0.0</v>
      </c>
      <c r="P813" s="5">
        <v>0.0</v>
      </c>
      <c r="Q813" s="5">
        <v>0.0</v>
      </c>
      <c r="R813" s="5">
        <v>0.0</v>
      </c>
      <c r="S813" s="5">
        <v>0.0</v>
      </c>
      <c r="T813" s="5">
        <v>0.0</v>
      </c>
      <c r="U813" s="5">
        <v>0.0</v>
      </c>
    </row>
    <row r="814" outlineLevel="1">
      <c r="B814" s="0" t="inlineStr">
        <is>
          <t xml:space="preserve">TTI INC.</t>
        </is>
      </c>
      <c r="C814" s="0" t="inlineStr">
        <is>
          <t xml:space="preserve">U6JRN865H4E3</t>
        </is>
      </c>
      <c r="D814" s="0" t="inlineStr">
        <is>
          <t xml:space="preserve">-</t>
        </is>
      </c>
      <c r="E814" s="0" t="inlineStr">
        <is>
          <t xml:space="preserve">-</t>
        </is>
      </c>
      <c r="F814" s="0" t="inlineStr">
        <is>
          <t xml:space="preserve">-</t>
        </is>
      </c>
      <c r="G814" s="5">
        <v>0.046016</v>
      </c>
      <c r="H814" s="0" t="inlineStr">
        <is>
          <t xml:space="preserve">supplier</t>
        </is>
      </c>
      <c r="I814" s="0" t="inlineStr">
        <is>
          <t xml:space="preserve">unbucketed</t>
        </is>
      </c>
      <c r="J814" s="0" t="inlineStr">
        <is>
          <t xml:space="preserve">residual</t>
        </is>
      </c>
      <c r="K814" s="5">
        <v>0</v>
      </c>
      <c r="L814" s="5">
        <v>0</v>
      </c>
      <c r="M814" s="5">
        <v>0.046016</v>
      </c>
      <c r="N814" s="5">
        <v>0.0</v>
      </c>
      <c r="O814" s="5">
        <v>0.046016</v>
      </c>
      <c r="P814" s="5">
        <v>0.0</v>
      </c>
      <c r="Q814" s="5">
        <v>0.0</v>
      </c>
      <c r="R814" s="5">
        <v>0.0</v>
      </c>
      <c r="S814" s="5">
        <v>0.0</v>
      </c>
      <c r="T814" s="5">
        <v>0.0</v>
      </c>
      <c r="U814" s="5">
        <v>0.0</v>
      </c>
    </row>
    <row r="815" outlineLevel="1">
      <c r="B815" s="0" t="inlineStr">
        <is>
          <t xml:space="preserve">ARLAND TOOL &amp; MFG, INC.</t>
        </is>
      </c>
      <c r="C815" s="0" t="inlineStr">
        <is>
          <t xml:space="preserve">C2HBVLFX4AH7</t>
        </is>
      </c>
      <c r="D815" s="0" t="inlineStr">
        <is>
          <t xml:space="preserve">-</t>
        </is>
      </c>
      <c r="E815" s="0" t="inlineStr">
        <is>
          <t xml:space="preserve">-</t>
        </is>
      </c>
      <c r="F815" s="0" t="inlineStr">
        <is>
          <t xml:space="preserve">-</t>
        </is>
      </c>
      <c r="G815" s="5">
        <v>0.0454825</v>
      </c>
      <c r="H815" s="0" t="inlineStr">
        <is>
          <t xml:space="preserve">supplier</t>
        </is>
      </c>
      <c r="I815" s="0" t="inlineStr">
        <is>
          <t xml:space="preserve">unbucketed</t>
        </is>
      </c>
      <c r="J815" s="0" t="inlineStr">
        <is>
          <t xml:space="preserve">residual</t>
        </is>
      </c>
      <c r="K815" s="5">
        <v>0</v>
      </c>
      <c r="L815" s="5">
        <v>0</v>
      </c>
      <c r="M815" s="5">
        <v>0.0454825</v>
      </c>
      <c r="N815" s="5">
        <v>0.0</v>
      </c>
      <c r="O815" s="5">
        <v>0.0</v>
      </c>
      <c r="P815" s="5">
        <v>0.0</v>
      </c>
      <c r="Q815" s="5">
        <v>0.0</v>
      </c>
      <c r="R815" s="5">
        <v>0.0</v>
      </c>
      <c r="S815" s="5">
        <v>0.0</v>
      </c>
      <c r="T815" s="5">
        <v>0.0</v>
      </c>
      <c r="U815" s="5">
        <v>0.0</v>
      </c>
    </row>
    <row r="816" outlineLevel="1">
      <c r="B816" s="0" t="inlineStr">
        <is>
          <t xml:space="preserve">FARO TECHNOLOGIES, INC.</t>
        </is>
      </c>
      <c r="C816" s="0" t="inlineStr">
        <is>
          <t xml:space="preserve">GRTDYGFYWBS8</t>
        </is>
      </c>
      <c r="D816" s="0" t="inlineStr">
        <is>
          <t xml:space="preserve">-</t>
        </is>
      </c>
      <c r="E816" s="0" t="inlineStr">
        <is>
          <t xml:space="preserve">-</t>
        </is>
      </c>
      <c r="F816" s="0" t="inlineStr">
        <is>
          <t xml:space="preserve">-</t>
        </is>
      </c>
      <c r="G816" s="5">
        <v>0.045</v>
      </c>
      <c r="H816" s="0" t="inlineStr">
        <is>
          <t xml:space="preserve">supplier</t>
        </is>
      </c>
      <c r="I816" s="0" t="inlineStr">
        <is>
          <t xml:space="preserve">unbucketed</t>
        </is>
      </c>
      <c r="J816" s="0" t="inlineStr">
        <is>
          <t xml:space="preserve">residual</t>
        </is>
      </c>
      <c r="K816" s="5">
        <v>0</v>
      </c>
      <c r="L816" s="5">
        <v>0</v>
      </c>
      <c r="M816" s="5">
        <v>0.045</v>
      </c>
      <c r="N816" s="5">
        <v>0.0</v>
      </c>
      <c r="O816" s="5">
        <v>0.0</v>
      </c>
      <c r="P816" s="5">
        <v>0.0</v>
      </c>
      <c r="Q816" s="5">
        <v>0.0</v>
      </c>
      <c r="R816" s="5">
        <v>0.0</v>
      </c>
      <c r="S816" s="5">
        <v>0.0</v>
      </c>
      <c r="T816" s="5">
        <v>0.0</v>
      </c>
      <c r="U816" s="5">
        <v>0.0</v>
      </c>
    </row>
    <row r="817" outlineLevel="1">
      <c r="B817" s="0" t="inlineStr">
        <is>
          <t xml:space="preserve">EAST COAST METROLOGY, LLC</t>
        </is>
      </c>
      <c r="C817" s="0" t="inlineStr">
        <is>
          <t xml:space="preserve">DVLSV4HZBX23</t>
        </is>
      </c>
      <c r="D817" s="0" t="inlineStr">
        <is>
          <t xml:space="preserve">-</t>
        </is>
      </c>
      <c r="E817" s="0" t="inlineStr">
        <is>
          <t xml:space="preserve">-</t>
        </is>
      </c>
      <c r="F817" s="0" t="inlineStr">
        <is>
          <t xml:space="preserve">-</t>
        </is>
      </c>
      <c r="G817" s="5">
        <v>0.045</v>
      </c>
      <c r="H817" s="0" t="inlineStr">
        <is>
          <t xml:space="preserve">supplier</t>
        </is>
      </c>
      <c r="I817" s="0" t="inlineStr">
        <is>
          <t xml:space="preserve">unbucketed</t>
        </is>
      </c>
      <c r="J817" s="0" t="inlineStr">
        <is>
          <t xml:space="preserve">residual</t>
        </is>
      </c>
      <c r="K817" s="5">
        <v>0</v>
      </c>
      <c r="L817" s="5">
        <v>0</v>
      </c>
      <c r="M817" s="5">
        <v>0.045</v>
      </c>
      <c r="N817" s="5">
        <v>0.0</v>
      </c>
      <c r="O817" s="5">
        <v>0.0</v>
      </c>
      <c r="P817" s="5">
        <v>0.0</v>
      </c>
      <c r="Q817" s="5">
        <v>0.0</v>
      </c>
      <c r="R817" s="5">
        <v>0.0</v>
      </c>
      <c r="S817" s="5">
        <v>0.0</v>
      </c>
      <c r="T817" s="5">
        <v>0.0</v>
      </c>
      <c r="U817" s="5">
        <v>0.0</v>
      </c>
    </row>
    <row r="818" outlineLevel="1">
      <c r="B818" s="0" t="inlineStr">
        <is>
          <t xml:space="preserve">GOODWIN-BRADLEY PATTERN CO INC</t>
        </is>
      </c>
      <c r="C818" s="0" t="inlineStr">
        <is>
          <t xml:space="preserve">XQ2FNSEVHWL1</t>
        </is>
      </c>
      <c r="D818" s="0" t="inlineStr">
        <is>
          <t xml:space="preserve">-</t>
        </is>
      </c>
      <c r="E818" s="0" t="inlineStr">
        <is>
          <t xml:space="preserve">-</t>
        </is>
      </c>
      <c r="F818" s="0" t="inlineStr">
        <is>
          <t xml:space="preserve">-</t>
        </is>
      </c>
      <c r="G818" s="5">
        <v>0.044633400000000004</v>
      </c>
      <c r="H818" s="0" t="inlineStr">
        <is>
          <t xml:space="preserve">supplier</t>
        </is>
      </c>
      <c r="I818" s="0" t="inlineStr">
        <is>
          <t xml:space="preserve">unbucketed</t>
        </is>
      </c>
      <c r="J818" s="0" t="inlineStr">
        <is>
          <t xml:space="preserve">residual</t>
        </is>
      </c>
      <c r="K818" s="5">
        <v>0</v>
      </c>
      <c r="L818" s="5">
        <v>0</v>
      </c>
      <c r="M818" s="5">
        <v>0.044633400000000004</v>
      </c>
      <c r="N818" s="5">
        <v>0.0</v>
      </c>
      <c r="O818" s="5">
        <v>0.044633400000000004</v>
      </c>
      <c r="P818" s="5">
        <v>0.0</v>
      </c>
      <c r="Q818" s="5">
        <v>0.0</v>
      </c>
      <c r="R818" s="5">
        <v>0.0</v>
      </c>
      <c r="S818" s="5">
        <v>0.0</v>
      </c>
      <c r="T818" s="5">
        <v>0.0</v>
      </c>
      <c r="U818" s="5">
        <v>0.0</v>
      </c>
    </row>
    <row r="819" outlineLevel="1">
      <c r="B819" s="0" t="inlineStr">
        <is>
          <t xml:space="preserve">GRISWOLD INDUSTRIES, CO.</t>
        </is>
      </c>
      <c r="C819" s="0" t="inlineStr">
        <is>
          <t xml:space="preserve">LGL1LNBH8KM5</t>
        </is>
      </c>
      <c r="D819" s="0" t="inlineStr">
        <is>
          <t xml:space="preserve">-</t>
        </is>
      </c>
      <c r="E819" s="0" t="inlineStr">
        <is>
          <t xml:space="preserve">-</t>
        </is>
      </c>
      <c r="F819" s="0" t="inlineStr">
        <is>
          <t xml:space="preserve">-</t>
        </is>
      </c>
      <c r="G819" s="5">
        <v>0.04444368</v>
      </c>
      <c r="H819" s="0" t="inlineStr">
        <is>
          <t xml:space="preserve">supplier</t>
        </is>
      </c>
      <c r="I819" s="0" t="inlineStr">
        <is>
          <t xml:space="preserve">unbucketed</t>
        </is>
      </c>
      <c r="J819" s="0" t="inlineStr">
        <is>
          <t xml:space="preserve">residual</t>
        </is>
      </c>
      <c r="K819" s="5">
        <v>0</v>
      </c>
      <c r="L819" s="5">
        <v>0</v>
      </c>
      <c r="M819" s="5">
        <v>0.04444368</v>
      </c>
      <c r="N819" s="5">
        <v>0.0</v>
      </c>
      <c r="O819" s="5">
        <v>0.0</v>
      </c>
      <c r="P819" s="5">
        <v>0.0</v>
      </c>
      <c r="Q819" s="5">
        <v>0.0</v>
      </c>
      <c r="R819" s="5">
        <v>0.0</v>
      </c>
      <c r="S819" s="5">
        <v>0.0</v>
      </c>
      <c r="T819" s="5">
        <v>0.0</v>
      </c>
      <c r="U819" s="5">
        <v>0.0</v>
      </c>
    </row>
    <row r="820" outlineLevel="1">
      <c r="B820" s="0" t="inlineStr">
        <is>
          <t xml:space="preserve">WARTSILA DEFENSE INC</t>
        </is>
      </c>
      <c r="C820" s="0" t="inlineStr">
        <is>
          <t xml:space="preserve">JA2KCX21NL48</t>
        </is>
      </c>
      <c r="D820" s="0" t="inlineStr">
        <is>
          <t xml:space="preserve">-</t>
        </is>
      </c>
      <c r="E820" s="0" t="inlineStr">
        <is>
          <t xml:space="preserve">-</t>
        </is>
      </c>
      <c r="F820" s="0" t="inlineStr">
        <is>
          <t xml:space="preserve">-</t>
        </is>
      </c>
      <c r="G820" s="5">
        <v>0.04424317</v>
      </c>
      <c r="H820" s="0" t="inlineStr">
        <is>
          <t xml:space="preserve">supplier</t>
        </is>
      </c>
      <c r="I820" s="0" t="inlineStr">
        <is>
          <t xml:space="preserve">machining</t>
        </is>
      </c>
      <c r="J820" s="0" t="inlineStr">
        <is>
          <t xml:space="preserve">registry</t>
        </is>
      </c>
      <c r="K820" s="5">
        <v>0</v>
      </c>
      <c r="L820" s="5">
        <v>0</v>
      </c>
      <c r="M820" s="5">
        <v>0.04424317</v>
      </c>
      <c r="N820" s="5">
        <v>0.04424317</v>
      </c>
      <c r="O820" s="5">
        <v>0.0</v>
      </c>
      <c r="P820" s="5">
        <v>0.0</v>
      </c>
      <c r="Q820" s="5">
        <v>0.0</v>
      </c>
      <c r="R820" s="5">
        <v>0.0</v>
      </c>
      <c r="S820" s="5">
        <v>0.0</v>
      </c>
      <c r="T820" s="5">
        <v>0.0</v>
      </c>
      <c r="U820" s="5">
        <v>0.0</v>
      </c>
    </row>
    <row r="821" outlineLevel="1">
      <c r="B821" s="0" t="inlineStr">
        <is>
          <t xml:space="preserve">RAYTHEON COMPANY</t>
        </is>
      </c>
      <c r="C821" s="0" t="inlineStr">
        <is>
          <t xml:space="preserve">Z1YKDWN86HE6</t>
        </is>
      </c>
      <c r="D821" s="0" t="inlineStr">
        <is>
          <t xml:space="preserve">-</t>
        </is>
      </c>
      <c r="E821" s="0" t="inlineStr">
        <is>
          <t xml:space="preserve">-</t>
        </is>
      </c>
      <c r="F821" s="0" t="inlineStr">
        <is>
          <t xml:space="preserve">-</t>
        </is>
      </c>
      <c r="G821" s="5">
        <v>0.044198770000000005</v>
      </c>
      <c r="H821" s="0" t="inlineStr">
        <is>
          <t xml:space="preserve">supplier</t>
        </is>
      </c>
      <c r="I821" s="0" t="inlineStr">
        <is>
          <t xml:space="preserve">coatings</t>
        </is>
      </c>
      <c r="J821" s="0" t="inlineStr">
        <is>
          <t xml:space="preserve">registry</t>
        </is>
      </c>
      <c r="K821" s="5">
        <v>0</v>
      </c>
      <c r="L821" s="5">
        <v>0</v>
      </c>
      <c r="M821" s="5">
        <v>0.044198770000000005</v>
      </c>
      <c r="N821" s="5">
        <v>0.0</v>
      </c>
      <c r="O821" s="5">
        <v>0.0</v>
      </c>
      <c r="P821" s="5">
        <v>0.0</v>
      </c>
      <c r="Q821" s="5">
        <v>0.0</v>
      </c>
      <c r="R821" s="5">
        <v>-0.00514494</v>
      </c>
      <c r="S821" s="5">
        <v>0.049343710000000006</v>
      </c>
      <c r="T821" s="5">
        <v>0.0</v>
      </c>
      <c r="U821" s="5">
        <v>0.0</v>
      </c>
    </row>
    <row r="822" outlineLevel="1">
      <c r="B822" s="0" t="inlineStr">
        <is>
          <t xml:space="preserve">BEK, INC.</t>
        </is>
      </c>
      <c r="C822" s="0" t="inlineStr">
        <is>
          <t xml:space="preserve">LK9BTBWNLY96</t>
        </is>
      </c>
      <c r="D822" s="0" t="inlineStr">
        <is>
          <t xml:space="preserve">-</t>
        </is>
      </c>
      <c r="E822" s="0" t="inlineStr">
        <is>
          <t xml:space="preserve">-</t>
        </is>
      </c>
      <c r="F822" s="0" t="inlineStr">
        <is>
          <t xml:space="preserve">-</t>
        </is>
      </c>
      <c r="G822" s="5">
        <v>0.0441915</v>
      </c>
      <c r="H822" s="0" t="inlineStr">
        <is>
          <t xml:space="preserve">supplier</t>
        </is>
      </c>
      <c r="I822" s="0" t="inlineStr">
        <is>
          <t xml:space="preserve">unbucketed</t>
        </is>
      </c>
      <c r="J822" s="0" t="inlineStr">
        <is>
          <t xml:space="preserve">residual</t>
        </is>
      </c>
      <c r="K822" s="5">
        <v>0</v>
      </c>
      <c r="L822" s="5">
        <v>0</v>
      </c>
      <c r="M822" s="5">
        <v>0.0441915</v>
      </c>
      <c r="N822" s="5">
        <v>0.0</v>
      </c>
      <c r="O822" s="5">
        <v>0.0</v>
      </c>
      <c r="P822" s="5">
        <v>0.0</v>
      </c>
      <c r="Q822" s="5">
        <v>0.0</v>
      </c>
      <c r="R822" s="5">
        <v>0.0441915</v>
      </c>
      <c r="S822" s="5">
        <v>0.0</v>
      </c>
      <c r="T822" s="5">
        <v>0.0</v>
      </c>
      <c r="U822" s="5">
        <v>0.0</v>
      </c>
    </row>
    <row r="823" outlineLevel="1">
      <c r="B823" s="0" t="inlineStr">
        <is>
          <t xml:space="preserve">PINNACLE TECHNOLOGIES CORPORATION</t>
        </is>
      </c>
      <c r="C823" s="0" t="inlineStr">
        <is>
          <t xml:space="preserve">ELM6EX21EMJ9</t>
        </is>
      </c>
      <c r="D823" s="0" t="inlineStr">
        <is>
          <t xml:space="preserve">-</t>
        </is>
      </c>
      <c r="E823" s="0" t="inlineStr">
        <is>
          <t xml:space="preserve">-</t>
        </is>
      </c>
      <c r="F823" s="0" t="inlineStr">
        <is>
          <t xml:space="preserve">-</t>
        </is>
      </c>
      <c r="G823" s="5">
        <v>0.043913</v>
      </c>
      <c r="H823" s="0" t="inlineStr">
        <is>
          <t xml:space="preserve">supplier</t>
        </is>
      </c>
      <c r="I823" s="0" t="inlineStr">
        <is>
          <t xml:space="preserve">unbucketed</t>
        </is>
      </c>
      <c r="J823" s="0" t="inlineStr">
        <is>
          <t xml:space="preserve">residual</t>
        </is>
      </c>
      <c r="K823" s="5">
        <v>0</v>
      </c>
      <c r="L823" s="5">
        <v>0</v>
      </c>
      <c r="M823" s="5">
        <v>0.043913</v>
      </c>
      <c r="N823" s="5">
        <v>0.0</v>
      </c>
      <c r="O823" s="5">
        <v>0.0</v>
      </c>
      <c r="P823" s="5">
        <v>0.0</v>
      </c>
      <c r="Q823" s="5">
        <v>0.0</v>
      </c>
      <c r="R823" s="5">
        <v>0.0</v>
      </c>
      <c r="S823" s="5">
        <v>0.0</v>
      </c>
      <c r="T823" s="5">
        <v>0.0</v>
      </c>
      <c r="U823" s="5">
        <v>0.0</v>
      </c>
    </row>
    <row r="824" outlineLevel="1">
      <c r="B824" s="0" t="inlineStr">
        <is>
          <t xml:space="preserve">STEELCASE INC.</t>
        </is>
      </c>
      <c r="C824" s="0" t="inlineStr">
        <is>
          <t xml:space="preserve">RSKAJD8SNDL3</t>
        </is>
      </c>
      <c r="D824" s="0" t="inlineStr">
        <is>
          <t xml:space="preserve">-</t>
        </is>
      </c>
      <c r="E824" s="0" t="inlineStr">
        <is>
          <t xml:space="preserve">-</t>
        </is>
      </c>
      <c r="F824" s="0" t="inlineStr">
        <is>
          <t xml:space="preserve">-</t>
        </is>
      </c>
      <c r="G824" s="5">
        <v>0.04374298</v>
      </c>
      <c r="H824" s="0" t="inlineStr">
        <is>
          <t xml:space="preserve">supplier</t>
        </is>
      </c>
      <c r="I824" s="0" t="inlineStr">
        <is>
          <t xml:space="preserve">unbucketed</t>
        </is>
      </c>
      <c r="J824" s="0" t="inlineStr">
        <is>
          <t xml:space="preserve">residual</t>
        </is>
      </c>
      <c r="K824" s="5">
        <v>0</v>
      </c>
      <c r="L824" s="5">
        <v>0</v>
      </c>
      <c r="M824" s="5">
        <v>0.04374298</v>
      </c>
      <c r="N824" s="5">
        <v>0.0</v>
      </c>
      <c r="O824" s="5">
        <v>0.0</v>
      </c>
      <c r="P824" s="5">
        <v>0.0</v>
      </c>
      <c r="Q824" s="5">
        <v>0.0</v>
      </c>
      <c r="R824" s="5">
        <v>0.0</v>
      </c>
      <c r="S824" s="5">
        <v>0.03904952</v>
      </c>
      <c r="T824" s="5">
        <v>0.00469346</v>
      </c>
      <c r="U824" s="5">
        <v>0.0</v>
      </c>
    </row>
    <row r="825" outlineLevel="1">
      <c r="B825" s="0" t="inlineStr">
        <is>
          <t xml:space="preserve">CEPEDA ASSOCIATES INC</t>
        </is>
      </c>
      <c r="C825" s="0" t="inlineStr">
        <is>
          <t xml:space="preserve">LJRBXLTGXN57</t>
        </is>
      </c>
      <c r="D825" s="0" t="inlineStr">
        <is>
          <t xml:space="preserve">USA</t>
        </is>
      </c>
      <c r="E825" s="0" t="inlineStr">
        <is>
          <t xml:space="preserve">3334</t>
        </is>
      </c>
      <c r="F825" s="0" t="inlineStr">
        <is>
          <t xml:space="preserve">Industrial and Commercial Fan and Blower and Air Purification Equipment Manufacturing</t>
        </is>
      </c>
      <c r="G825" s="5">
        <v>0.0434</v>
      </c>
      <c r="H825" s="0" t="inlineStr">
        <is>
          <t xml:space="preserve">supplier</t>
        </is>
      </c>
      <c r="I825" s="0" t="inlineStr">
        <is>
          <t xml:space="preserve">hvac</t>
        </is>
      </c>
      <c r="J825" s="0" t="inlineStr">
        <is>
          <t xml:space="preserve">registry</t>
        </is>
      </c>
      <c r="K825" s="5">
        <v>0</v>
      </c>
      <c r="L825" s="5">
        <v>0</v>
      </c>
      <c r="M825" s="5">
        <v>0.0434</v>
      </c>
      <c r="N825" s="5">
        <v>0.0</v>
      </c>
      <c r="O825" s="5">
        <v>0.0</v>
      </c>
      <c r="P825" s="5">
        <v>0.0</v>
      </c>
      <c r="Q825" s="5">
        <v>0.0</v>
      </c>
      <c r="R825" s="5">
        <v>0.0434</v>
      </c>
      <c r="S825" s="5">
        <v>0.0</v>
      </c>
      <c r="T825" s="5">
        <v>0.0</v>
      </c>
      <c r="U825" s="5">
        <v>0.0</v>
      </c>
    </row>
    <row r="826" outlineLevel="1">
      <c r="B826" s="0" t="inlineStr">
        <is>
          <t xml:space="preserve">WIND RIVER SYSTEMS, INC.</t>
        </is>
      </c>
      <c r="C826" s="0" t="inlineStr">
        <is>
          <t xml:space="preserve">FMNVM66XGFY7</t>
        </is>
      </c>
      <c r="D826" s="0" t="inlineStr">
        <is>
          <t xml:space="preserve">-</t>
        </is>
      </c>
      <c r="E826" s="0" t="inlineStr">
        <is>
          <t xml:space="preserve">-</t>
        </is>
      </c>
      <c r="F826" s="0" t="inlineStr">
        <is>
          <t xml:space="preserve">-</t>
        </is>
      </c>
      <c r="G826" s="5">
        <v>0.043</v>
      </c>
      <c r="H826" s="0" t="inlineStr">
        <is>
          <t xml:space="preserve">supplier</t>
        </is>
      </c>
      <c r="I826" s="0" t="inlineStr">
        <is>
          <t xml:space="preserve">unbucketed</t>
        </is>
      </c>
      <c r="J826" s="0" t="inlineStr">
        <is>
          <t xml:space="preserve">residual</t>
        </is>
      </c>
      <c r="K826" s="5">
        <v>0</v>
      </c>
      <c r="L826" s="5">
        <v>0</v>
      </c>
      <c r="M826" s="5">
        <v>0.043</v>
      </c>
      <c r="N826" s="5">
        <v>0.0</v>
      </c>
      <c r="O826" s="5">
        <v>0.0</v>
      </c>
      <c r="P826" s="5">
        <v>0.043</v>
      </c>
      <c r="Q826" s="5">
        <v>0.0</v>
      </c>
      <c r="R826" s="5">
        <v>0.0</v>
      </c>
      <c r="S826" s="5">
        <v>0.0</v>
      </c>
      <c r="T826" s="5">
        <v>0.0</v>
      </c>
      <c r="U826" s="5">
        <v>0.0</v>
      </c>
    </row>
    <row r="827" outlineLevel="1">
      <c r="B827" s="0" t="inlineStr">
        <is>
          <t xml:space="preserve">FAXON ENGINEERING COMPANY, INCORPORATED THE</t>
        </is>
      </c>
      <c r="C827" s="0" t="inlineStr">
        <is>
          <t xml:space="preserve">YXMXTJMDPJR7</t>
        </is>
      </c>
      <c r="D827" s="0" t="inlineStr">
        <is>
          <t xml:space="preserve">-</t>
        </is>
      </c>
      <c r="E827" s="0" t="inlineStr">
        <is>
          <t xml:space="preserve">-</t>
        </is>
      </c>
      <c r="F827" s="0" t="inlineStr">
        <is>
          <t xml:space="preserve">-</t>
        </is>
      </c>
      <c r="G827" s="5">
        <v>0.04298</v>
      </c>
      <c r="H827" s="0" t="inlineStr">
        <is>
          <t xml:space="preserve">supplier</t>
        </is>
      </c>
      <c r="I827" s="0" t="inlineStr">
        <is>
          <t xml:space="preserve">unbucketed</t>
        </is>
      </c>
      <c r="J827" s="0" t="inlineStr">
        <is>
          <t xml:space="preserve">residual</t>
        </is>
      </c>
      <c r="K827" s="5">
        <v>0</v>
      </c>
      <c r="L827" s="5">
        <v>0</v>
      </c>
      <c r="M827" s="5">
        <v>0.04298</v>
      </c>
      <c r="N827" s="5">
        <v>0.04298</v>
      </c>
      <c r="O827" s="5">
        <v>0.0</v>
      </c>
      <c r="P827" s="5">
        <v>0.0</v>
      </c>
      <c r="Q827" s="5">
        <v>0.0</v>
      </c>
      <c r="R827" s="5">
        <v>0.0</v>
      </c>
      <c r="S827" s="5">
        <v>0.0</v>
      </c>
      <c r="T827" s="5">
        <v>0.0</v>
      </c>
      <c r="U827" s="5">
        <v>0.0</v>
      </c>
    </row>
    <row r="828" outlineLevel="1">
      <c r="B828" s="0" t="inlineStr">
        <is>
          <t xml:space="preserve">INDUSTRIAL TOOLING &amp; SUPPLY LLC</t>
        </is>
      </c>
      <c r="C828" s="0" t="inlineStr">
        <is>
          <t xml:space="preserve">PWLMEWS7MKM9</t>
        </is>
      </c>
      <c r="D828" s="0" t="inlineStr">
        <is>
          <t xml:space="preserve">-</t>
        </is>
      </c>
      <c r="E828" s="0" t="inlineStr">
        <is>
          <t xml:space="preserve">-</t>
        </is>
      </c>
      <c r="F828" s="0" t="inlineStr">
        <is>
          <t xml:space="preserve">-</t>
        </is>
      </c>
      <c r="G828" s="5">
        <v>0.04268294</v>
      </c>
      <c r="H828" s="0" t="inlineStr">
        <is>
          <t xml:space="preserve">supplier</t>
        </is>
      </c>
      <c r="I828" s="0" t="inlineStr">
        <is>
          <t xml:space="preserve">unbucketed</t>
        </is>
      </c>
      <c r="J828" s="0" t="inlineStr">
        <is>
          <t xml:space="preserve">residual</t>
        </is>
      </c>
      <c r="K828" s="5">
        <v>0</v>
      </c>
      <c r="L828" s="5">
        <v>0</v>
      </c>
      <c r="M828" s="5">
        <v>0.0</v>
      </c>
      <c r="N828" s="5">
        <v>0.0</v>
      </c>
      <c r="O828" s="5">
        <v>0.0</v>
      </c>
      <c r="P828" s="5">
        <v>0.0</v>
      </c>
      <c r="Q828" s="5">
        <v>0.0</v>
      </c>
      <c r="R828" s="5">
        <v>0.0</v>
      </c>
      <c r="S828" s="5">
        <v>0.0</v>
      </c>
      <c r="T828" s="5">
        <v>0.0</v>
      </c>
      <c r="U828" s="5">
        <v>0.0</v>
      </c>
    </row>
    <row r="829" outlineLevel="1">
      <c r="B829" s="0" t="inlineStr">
        <is>
          <t xml:space="preserve">MUNICIPAL EMERGENCY SERVICES, INC.</t>
        </is>
      </c>
      <c r="C829" s="0" t="inlineStr">
        <is>
          <t xml:space="preserve">T4MGJ9BU63J6</t>
        </is>
      </c>
      <c r="D829" s="0" t="inlineStr">
        <is>
          <t xml:space="preserve">-</t>
        </is>
      </c>
      <c r="E829" s="0" t="inlineStr">
        <is>
          <t xml:space="preserve">-</t>
        </is>
      </c>
      <c r="F829" s="0" t="inlineStr">
        <is>
          <t xml:space="preserve">-</t>
        </is>
      </c>
      <c r="G829" s="5">
        <v>0.042418620000000004</v>
      </c>
      <c r="H829" s="0" t="inlineStr">
        <is>
          <t xml:space="preserve">supplier</t>
        </is>
      </c>
      <c r="I829" s="0" t="inlineStr">
        <is>
          <t xml:space="preserve">unbucketed</t>
        </is>
      </c>
      <c r="J829" s="0" t="inlineStr">
        <is>
          <t xml:space="preserve">residual</t>
        </is>
      </c>
      <c r="K829" s="5">
        <v>0</v>
      </c>
      <c r="L829" s="5">
        <v>0</v>
      </c>
      <c r="M829" s="5">
        <v>0.042418620000000004</v>
      </c>
      <c r="N829" s="5">
        <v>0.0</v>
      </c>
      <c r="O829" s="5">
        <v>0.0</v>
      </c>
      <c r="P829" s="5">
        <v>0.0</v>
      </c>
      <c r="Q829" s="5">
        <v>0.0</v>
      </c>
      <c r="R829" s="5">
        <v>0.0</v>
      </c>
      <c r="S829" s="5">
        <v>0.0</v>
      </c>
      <c r="T829" s="5">
        <v>0.042418620000000004</v>
      </c>
      <c r="U829" s="5">
        <v>0.0</v>
      </c>
    </row>
    <row r="830" outlineLevel="1">
      <c r="B830" s="0" t="inlineStr">
        <is>
          <t xml:space="preserve">NCP COATINGS INC</t>
        </is>
      </c>
      <c r="C830" s="0" t="inlineStr">
        <is>
          <t xml:space="preserve">DKWCJWBNHCL3</t>
        </is>
      </c>
      <c r="D830" s="0" t="inlineStr">
        <is>
          <t xml:space="preserve">-</t>
        </is>
      </c>
      <c r="E830" s="0" t="inlineStr">
        <is>
          <t xml:space="preserve">-</t>
        </is>
      </c>
      <c r="F830" s="0" t="inlineStr">
        <is>
          <t xml:space="preserve">-</t>
        </is>
      </c>
      <c r="G830" s="5">
        <v>0.042048</v>
      </c>
      <c r="H830" s="0" t="inlineStr">
        <is>
          <t xml:space="preserve">supplier</t>
        </is>
      </c>
      <c r="I830" s="0" t="inlineStr">
        <is>
          <t xml:space="preserve">unbucketed</t>
        </is>
      </c>
      <c r="J830" s="0" t="inlineStr">
        <is>
          <t xml:space="preserve">residual</t>
        </is>
      </c>
      <c r="K830" s="5">
        <v>0</v>
      </c>
      <c r="L830" s="5">
        <v>0</v>
      </c>
      <c r="M830" s="5">
        <v>0.042048</v>
      </c>
      <c r="N830" s="5">
        <v>0.0</v>
      </c>
      <c r="O830" s="5">
        <v>0.042048</v>
      </c>
      <c r="P830" s="5">
        <v>0.0</v>
      </c>
      <c r="Q830" s="5">
        <v>0.0</v>
      </c>
      <c r="R830" s="5">
        <v>0.0</v>
      </c>
      <c r="S830" s="5">
        <v>0.0</v>
      </c>
      <c r="T830" s="5">
        <v>0.0</v>
      </c>
      <c r="U830" s="5">
        <v>0.0</v>
      </c>
    </row>
    <row r="831" outlineLevel="1">
      <c r="B831" s="0" t="inlineStr">
        <is>
          <t xml:space="preserve">DRAFTCO INCORPORATED</t>
        </is>
      </c>
      <c r="C831" s="0" t="inlineStr">
        <is>
          <t xml:space="preserve">NZNKGYLA9NT3</t>
        </is>
      </c>
      <c r="D831" s="0" t="inlineStr">
        <is>
          <t xml:space="preserve">-</t>
        </is>
      </c>
      <c r="E831" s="0" t="inlineStr">
        <is>
          <t xml:space="preserve">-</t>
        </is>
      </c>
      <c r="F831" s="0" t="inlineStr">
        <is>
          <t xml:space="preserve">-</t>
        </is>
      </c>
      <c r="G831" s="5">
        <v>0.041895</v>
      </c>
      <c r="H831" s="0" t="inlineStr">
        <is>
          <t xml:space="preserve">supplier</t>
        </is>
      </c>
      <c r="I831" s="0" t="inlineStr">
        <is>
          <t xml:space="preserve">unbucketed</t>
        </is>
      </c>
      <c r="J831" s="0" t="inlineStr">
        <is>
          <t xml:space="preserve">residual</t>
        </is>
      </c>
      <c r="K831" s="5">
        <v>0</v>
      </c>
      <c r="L831" s="5">
        <v>0</v>
      </c>
      <c r="M831" s="5">
        <v>0.041895</v>
      </c>
      <c r="N831" s="5">
        <v>0.0</v>
      </c>
      <c r="O831" s="5">
        <v>0.0</v>
      </c>
      <c r="P831" s="5">
        <v>0.0</v>
      </c>
      <c r="Q831" s="5">
        <v>0.0</v>
      </c>
      <c r="R831" s="5">
        <v>0.0</v>
      </c>
      <c r="S831" s="5">
        <v>0.0</v>
      </c>
      <c r="T831" s="5">
        <v>0.041895</v>
      </c>
      <c r="U831" s="5">
        <v>0.0</v>
      </c>
    </row>
    <row r="832" outlineLevel="1">
      <c r="B832" s="0" t="inlineStr">
        <is>
          <t xml:space="preserve">DELTA-ELECTRO POWER INC</t>
        </is>
      </c>
      <c r="C832" s="0" t="inlineStr">
        <is>
          <t xml:space="preserve">UN3TBWQUCQN4</t>
        </is>
      </c>
      <c r="D832" s="0" t="inlineStr">
        <is>
          <t xml:space="preserve">-</t>
        </is>
      </c>
      <c r="E832" s="0" t="inlineStr">
        <is>
          <t xml:space="preserve">-</t>
        </is>
      </c>
      <c r="F832" s="0" t="inlineStr">
        <is>
          <t xml:space="preserve">-</t>
        </is>
      </c>
      <c r="G832" s="5">
        <v>0.041836</v>
      </c>
      <c r="H832" s="0" t="inlineStr">
        <is>
          <t xml:space="preserve">supplier</t>
        </is>
      </c>
      <c r="I832" s="0" t="inlineStr">
        <is>
          <t xml:space="preserve">unbucketed</t>
        </is>
      </c>
      <c r="J832" s="0" t="inlineStr">
        <is>
          <t xml:space="preserve">residual</t>
        </is>
      </c>
      <c r="K832" s="5">
        <v>0</v>
      </c>
      <c r="L832" s="5">
        <v>0</v>
      </c>
      <c r="M832" s="5">
        <v>0.041836</v>
      </c>
      <c r="N832" s="5">
        <v>0.0</v>
      </c>
      <c r="O832" s="5">
        <v>0.0</v>
      </c>
      <c r="P832" s="5">
        <v>0.0</v>
      </c>
      <c r="Q832" s="5">
        <v>0.0</v>
      </c>
      <c r="R832" s="5">
        <v>0.0</v>
      </c>
      <c r="S832" s="5">
        <v>0.0</v>
      </c>
      <c r="T832" s="5">
        <v>0.041836</v>
      </c>
      <c r="U832" s="5">
        <v>0.0</v>
      </c>
    </row>
    <row r="833" outlineLevel="1">
      <c r="B833" s="0" t="inlineStr">
        <is>
          <t xml:space="preserve">ACTUANT CORPORATION</t>
        </is>
      </c>
      <c r="C833" s="0" t="inlineStr">
        <is>
          <t xml:space="preserve">L5YANW2XSND4</t>
        </is>
      </c>
      <c r="D833" s="0" t="inlineStr">
        <is>
          <t xml:space="preserve">-</t>
        </is>
      </c>
      <c r="E833" s="0" t="inlineStr">
        <is>
          <t xml:space="preserve">-</t>
        </is>
      </c>
      <c r="F833" s="0" t="inlineStr">
        <is>
          <t xml:space="preserve">-</t>
        </is>
      </c>
      <c r="G833" s="5">
        <v>0.040724</v>
      </c>
      <c r="H833" s="0" t="inlineStr">
        <is>
          <t xml:space="preserve">supplier</t>
        </is>
      </c>
      <c r="I833" s="0" t="inlineStr">
        <is>
          <t xml:space="preserve">unbucketed</t>
        </is>
      </c>
      <c r="J833" s="0" t="inlineStr">
        <is>
          <t xml:space="preserve">residual</t>
        </is>
      </c>
      <c r="K833" s="5">
        <v>0</v>
      </c>
      <c r="L833" s="5">
        <v>0</v>
      </c>
      <c r="M833" s="5">
        <v>0.040724</v>
      </c>
      <c r="N833" s="5">
        <v>0.0</v>
      </c>
      <c r="O833" s="5">
        <v>0.0</v>
      </c>
      <c r="P833" s="5">
        <v>0.0</v>
      </c>
      <c r="Q833" s="5">
        <v>0.0</v>
      </c>
      <c r="R833" s="5">
        <v>0.0</v>
      </c>
      <c r="S833" s="5">
        <v>0.0</v>
      </c>
      <c r="T833" s="5">
        <v>0.0</v>
      </c>
      <c r="U833" s="5">
        <v>0.0</v>
      </c>
    </row>
    <row r="834" outlineLevel="1">
      <c r="B834" s="0" t="inlineStr">
        <is>
          <t xml:space="preserve">CONX INNOVATIONS, LLC</t>
        </is>
      </c>
      <c r="C834" s="0" t="inlineStr">
        <is>
          <t xml:space="preserve">ZFN1PBJXNUA3</t>
        </is>
      </c>
      <c r="D834" s="0" t="inlineStr">
        <is>
          <t xml:space="preserve">-</t>
        </is>
      </c>
      <c r="E834" s="0" t="inlineStr">
        <is>
          <t xml:space="preserve">-</t>
        </is>
      </c>
      <c r="F834" s="0" t="inlineStr">
        <is>
          <t xml:space="preserve">-</t>
        </is>
      </c>
      <c r="G834" s="5">
        <v>0.04060000000000001</v>
      </c>
      <c r="H834" s="0" t="inlineStr">
        <is>
          <t xml:space="preserve">supplier</t>
        </is>
      </c>
      <c r="I834" s="0" t="inlineStr">
        <is>
          <t xml:space="preserve">unbucketed</t>
        </is>
      </c>
      <c r="J834" s="0" t="inlineStr">
        <is>
          <t xml:space="preserve">residual</t>
        </is>
      </c>
      <c r="K834" s="5">
        <v>0</v>
      </c>
      <c r="L834" s="5">
        <v>0</v>
      </c>
      <c r="M834" s="5">
        <v>0.04060000000000001</v>
      </c>
      <c r="N834" s="5">
        <v>0.0</v>
      </c>
      <c r="O834" s="5">
        <v>0.0</v>
      </c>
      <c r="P834" s="5">
        <v>0.0</v>
      </c>
      <c r="Q834" s="5">
        <v>0.0</v>
      </c>
      <c r="R834" s="5">
        <v>0.0</v>
      </c>
      <c r="S834" s="5">
        <v>0.0</v>
      </c>
      <c r="T834" s="5">
        <v>0.04060000000000001</v>
      </c>
      <c r="U834" s="5">
        <v>0.0</v>
      </c>
    </row>
    <row r="835" outlineLevel="1">
      <c r="B835" s="0" t="inlineStr">
        <is>
          <t xml:space="preserve">NGB CORP</t>
        </is>
      </c>
      <c r="C835" s="0" t="inlineStr">
        <is>
          <t xml:space="preserve">QT8MN8A81NB7</t>
        </is>
      </c>
      <c r="D835" s="0" t="inlineStr">
        <is>
          <t xml:space="preserve">-</t>
        </is>
      </c>
      <c r="E835" s="0" t="inlineStr">
        <is>
          <t xml:space="preserve">-</t>
        </is>
      </c>
      <c r="F835" s="0" t="inlineStr">
        <is>
          <t xml:space="preserve">-</t>
        </is>
      </c>
      <c r="G835" s="5">
        <v>0.04037</v>
      </c>
      <c r="H835" s="0" t="inlineStr">
        <is>
          <t xml:space="preserve">supplier</t>
        </is>
      </c>
      <c r="I835" s="0" t="inlineStr">
        <is>
          <t xml:space="preserve">unbucketed</t>
        </is>
      </c>
      <c r="J835" s="0" t="inlineStr">
        <is>
          <t xml:space="preserve">residual</t>
        </is>
      </c>
      <c r="K835" s="5">
        <v>0</v>
      </c>
      <c r="L835" s="5">
        <v>0</v>
      </c>
      <c r="M835" s="5">
        <v>0.04037</v>
      </c>
      <c r="N835" s="5">
        <v>0.0</v>
      </c>
      <c r="O835" s="5">
        <v>0.0</v>
      </c>
      <c r="P835" s="5">
        <v>0.0</v>
      </c>
      <c r="Q835" s="5">
        <v>0.0</v>
      </c>
      <c r="R835" s="5">
        <v>0.0</v>
      </c>
      <c r="S835" s="5">
        <v>0.04037</v>
      </c>
      <c r="T835" s="5">
        <v>0.0</v>
      </c>
      <c r="U835" s="5">
        <v>0.0</v>
      </c>
    </row>
    <row r="836" outlineLevel="1">
      <c r="B836" s="0" t="inlineStr">
        <is>
          <t xml:space="preserve">TRI-LANE EQUIPMENT RENTALS INC</t>
        </is>
      </c>
      <c r="C836" s="0" t="inlineStr">
        <is>
          <t xml:space="preserve">PD3NKE727DN9</t>
        </is>
      </c>
      <c r="D836" s="0" t="inlineStr">
        <is>
          <t xml:space="preserve">-</t>
        </is>
      </c>
      <c r="E836" s="0" t="inlineStr">
        <is>
          <t xml:space="preserve">-</t>
        </is>
      </c>
      <c r="F836" s="0" t="inlineStr">
        <is>
          <t xml:space="preserve">-</t>
        </is>
      </c>
      <c r="G836" s="5">
        <v>0.04018288</v>
      </c>
      <c r="H836" s="0" t="inlineStr">
        <is>
          <t xml:space="preserve">supplier</t>
        </is>
      </c>
      <c r="I836" s="0" t="inlineStr">
        <is>
          <t xml:space="preserve">unbucketed</t>
        </is>
      </c>
      <c r="J836" s="0" t="inlineStr">
        <is>
          <t xml:space="preserve">residual</t>
        </is>
      </c>
      <c r="K836" s="5">
        <v>0</v>
      </c>
      <c r="L836" s="5">
        <v>0</v>
      </c>
      <c r="M836" s="5">
        <v>0.04018288</v>
      </c>
      <c r="N836" s="5">
        <v>0.04018288</v>
      </c>
      <c r="O836" s="5">
        <v>0.0</v>
      </c>
      <c r="P836" s="5">
        <v>0.0</v>
      </c>
      <c r="Q836" s="5">
        <v>0.0</v>
      </c>
      <c r="R836" s="5">
        <v>0.0</v>
      </c>
      <c r="S836" s="5">
        <v>0.0</v>
      </c>
      <c r="T836" s="5">
        <v>0.0</v>
      </c>
      <c r="U836" s="5">
        <v>0.0</v>
      </c>
    </row>
    <row r="837" outlineLevel="1">
      <c r="B837" s="0" t="inlineStr">
        <is>
          <t xml:space="preserve">ARLAND TOOL &amp; MFG., INC.</t>
        </is>
      </c>
      <c r="C837" s="0" t="inlineStr">
        <is>
          <t xml:space="preserve">C2HBVLFX4AH7</t>
        </is>
      </c>
      <c r="D837" s="0" t="inlineStr">
        <is>
          <t xml:space="preserve">-</t>
        </is>
      </c>
      <c r="E837" s="0" t="inlineStr">
        <is>
          <t xml:space="preserve">-</t>
        </is>
      </c>
      <c r="F837" s="0" t="inlineStr">
        <is>
          <t xml:space="preserve">-</t>
        </is>
      </c>
      <c r="G837" s="5">
        <v>0.039622</v>
      </c>
      <c r="H837" s="0" t="inlineStr">
        <is>
          <t xml:space="preserve">supplier</t>
        </is>
      </c>
      <c r="I837" s="0" t="inlineStr">
        <is>
          <t xml:space="preserve">unbucketed</t>
        </is>
      </c>
      <c r="J837" s="0" t="inlineStr">
        <is>
          <t xml:space="preserve">residual</t>
        </is>
      </c>
      <c r="K837" s="5">
        <v>0</v>
      </c>
      <c r="L837" s="5">
        <v>0</v>
      </c>
      <c r="M837" s="5">
        <v>0.039622</v>
      </c>
      <c r="N837" s="5">
        <v>0.0</v>
      </c>
      <c r="O837" s="5">
        <v>0.0</v>
      </c>
      <c r="P837" s="5">
        <v>-0.004818</v>
      </c>
      <c r="Q837" s="5">
        <v>0.0</v>
      </c>
      <c r="R837" s="5">
        <v>0.04444</v>
      </c>
      <c r="S837" s="5">
        <v>0.0</v>
      </c>
      <c r="T837" s="5">
        <v>0.0</v>
      </c>
      <c r="U837" s="5">
        <v>0.0</v>
      </c>
    </row>
    <row r="838" outlineLevel="1">
      <c r="B838" s="0" t="inlineStr">
        <is>
          <t xml:space="preserve">BERKSHIRE HATHAWAY INC.</t>
        </is>
      </c>
      <c r="C838" s="0" t="inlineStr">
        <is>
          <t xml:space="preserve">C18KXNHETC95</t>
        </is>
      </c>
      <c r="D838" s="0" t="inlineStr">
        <is>
          <t xml:space="preserve">-</t>
        </is>
      </c>
      <c r="E838" s="0" t="inlineStr">
        <is>
          <t xml:space="preserve">-</t>
        </is>
      </c>
      <c r="F838" s="0" t="inlineStr">
        <is>
          <t xml:space="preserve">-</t>
        </is>
      </c>
      <c r="G838" s="5">
        <v>0.039465839999999995</v>
      </c>
      <c r="H838" s="0" t="inlineStr">
        <is>
          <t xml:space="preserve">supplier</t>
        </is>
      </c>
      <c r="I838" s="0" t="inlineStr">
        <is>
          <t xml:space="preserve">unbucketed</t>
        </is>
      </c>
      <c r="J838" s="0" t="inlineStr">
        <is>
          <t xml:space="preserve">residual</t>
        </is>
      </c>
      <c r="K838" s="5">
        <v>0</v>
      </c>
      <c r="L838" s="5">
        <v>0</v>
      </c>
      <c r="M838" s="5">
        <v>0.039465839999999995</v>
      </c>
      <c r="N838" s="5">
        <v>0.0</v>
      </c>
      <c r="O838" s="5">
        <v>0.039465839999999995</v>
      </c>
      <c r="P838" s="5">
        <v>0.0</v>
      </c>
      <c r="Q838" s="5">
        <v>0.0</v>
      </c>
      <c r="R838" s="5">
        <v>0.0</v>
      </c>
      <c r="S838" s="5">
        <v>0.0</v>
      </c>
      <c r="T838" s="5">
        <v>0.0</v>
      </c>
      <c r="U838" s="5">
        <v>0.0</v>
      </c>
    </row>
    <row r="839" outlineLevel="1">
      <c r="B839" s="0" t="inlineStr">
        <is>
          <t xml:space="preserve">CLEVELAND-CLIFFS STEEL LLC</t>
        </is>
      </c>
      <c r="C839" s="0" t="inlineStr">
        <is>
          <t xml:space="preserve">X3DBJSMT83N5</t>
        </is>
      </c>
      <c r="D839" s="0" t="inlineStr">
        <is>
          <t xml:space="preserve">-</t>
        </is>
      </c>
      <c r="E839" s="0" t="inlineStr">
        <is>
          <t xml:space="preserve">-</t>
        </is>
      </c>
      <c r="F839" s="0" t="inlineStr">
        <is>
          <t xml:space="preserve">-</t>
        </is>
      </c>
      <c r="G839" s="5">
        <v>0.03916679</v>
      </c>
      <c r="H839" s="0" t="inlineStr">
        <is>
          <t xml:space="preserve">supplier</t>
        </is>
      </c>
      <c r="I839" s="0" t="inlineStr">
        <is>
          <t xml:space="preserve">structural</t>
        </is>
      </c>
      <c r="J839" s="0" t="inlineStr">
        <is>
          <t xml:space="preserve">registry</t>
        </is>
      </c>
      <c r="K839" s="5">
        <v>0</v>
      </c>
      <c r="L839" s="5">
        <v>0</v>
      </c>
      <c r="M839" s="5">
        <v>0.03916679</v>
      </c>
      <c r="N839" s="5">
        <v>0.03916679</v>
      </c>
      <c r="O839" s="5">
        <v>0.0</v>
      </c>
      <c r="P839" s="5">
        <v>0.0</v>
      </c>
      <c r="Q839" s="5">
        <v>0.0</v>
      </c>
      <c r="R839" s="5">
        <v>0.0</v>
      </c>
      <c r="S839" s="5">
        <v>0.0</v>
      </c>
      <c r="T839" s="5">
        <v>0.0</v>
      </c>
      <c r="U839" s="5">
        <v>0.0</v>
      </c>
    </row>
    <row r="840" outlineLevel="1">
      <c r="B840" s="0" t="inlineStr">
        <is>
          <t xml:space="preserve">SHILOH INDUSTRIES INC</t>
        </is>
      </c>
      <c r="C840" s="0" t="inlineStr">
        <is>
          <t xml:space="preserve">W6SWKAS2DBE5</t>
        </is>
      </c>
      <c r="D840" s="0" t="inlineStr">
        <is>
          <t xml:space="preserve">-</t>
        </is>
      </c>
      <c r="E840" s="0" t="inlineStr">
        <is>
          <t xml:space="preserve">-</t>
        </is>
      </c>
      <c r="F840" s="0" t="inlineStr">
        <is>
          <t xml:space="preserve">-</t>
        </is>
      </c>
      <c r="G840" s="5">
        <v>0.039144</v>
      </c>
      <c r="H840" s="0" t="inlineStr">
        <is>
          <t xml:space="preserve">supplier</t>
        </is>
      </c>
      <c r="I840" s="0" t="inlineStr">
        <is>
          <t xml:space="preserve">unbucketed</t>
        </is>
      </c>
      <c r="J840" s="0" t="inlineStr">
        <is>
          <t xml:space="preserve">residual</t>
        </is>
      </c>
      <c r="K840" s="5">
        <v>0</v>
      </c>
      <c r="L840" s="5">
        <v>0</v>
      </c>
      <c r="M840" s="5">
        <v>0.039144</v>
      </c>
      <c r="N840" s="5">
        <v>0.0</v>
      </c>
      <c r="O840" s="5">
        <v>0.039144</v>
      </c>
      <c r="P840" s="5">
        <v>0.0</v>
      </c>
      <c r="Q840" s="5">
        <v>0.0</v>
      </c>
      <c r="R840" s="5">
        <v>0.0</v>
      </c>
      <c r="S840" s="5">
        <v>0.0</v>
      </c>
      <c r="T840" s="5">
        <v>0.0</v>
      </c>
      <c r="U840" s="5">
        <v>0.0</v>
      </c>
    </row>
    <row r="841" outlineLevel="1">
      <c r="B841" s="0" t="inlineStr">
        <is>
          <t xml:space="preserve">BABCOCK &amp; WILCOX COMPANY, THE</t>
        </is>
      </c>
      <c r="C841" s="0" t="inlineStr">
        <is>
          <t xml:space="preserve">WJYVCPD5HKK7</t>
        </is>
      </c>
      <c r="D841" s="0" t="inlineStr">
        <is>
          <t xml:space="preserve">-</t>
        </is>
      </c>
      <c r="E841" s="0" t="inlineStr">
        <is>
          <t xml:space="preserve">-</t>
        </is>
      </c>
      <c r="F841" s="0" t="inlineStr">
        <is>
          <t xml:space="preserve">-</t>
        </is>
      </c>
      <c r="G841" s="5">
        <v>0.039022</v>
      </c>
      <c r="H841" s="0" t="inlineStr">
        <is>
          <t xml:space="preserve">gfe_sib</t>
        </is>
      </c>
      <c r="I841" s="0" t="inlineStr">
        <is>
          <t xml:space="preserve">-</t>
        </is>
      </c>
      <c r="J841" s="0" t="inlineStr">
        <is>
          <t xml:space="preserve">registry</t>
        </is>
      </c>
      <c r="K841" s="5">
        <v>0</v>
      </c>
      <c r="L841" s="5">
        <v>0</v>
      </c>
      <c r="M841" s="5">
        <v>0.039022</v>
      </c>
      <c r="N841" s="5">
        <v>0.0</v>
      </c>
      <c r="O841" s="5">
        <v>0.0</v>
      </c>
      <c r="P841" s="5">
        <v>0.0</v>
      </c>
      <c r="Q841" s="5">
        <v>0.0</v>
      </c>
      <c r="R841" s="5">
        <v>0.0</v>
      </c>
      <c r="S841" s="5">
        <v>0.0</v>
      </c>
      <c r="T841" s="5">
        <v>0.0</v>
      </c>
      <c r="U841" s="5">
        <v>0.0</v>
      </c>
    </row>
    <row r="842" outlineLevel="1">
      <c r="B842" s="0" t="inlineStr">
        <is>
          <t xml:space="preserve">SYNOPSYS INC</t>
        </is>
      </c>
      <c r="C842" s="0" t="inlineStr">
        <is>
          <t xml:space="preserve">K8W2J2DS9FN1</t>
        </is>
      </c>
      <c r="D842" s="0" t="inlineStr">
        <is>
          <t xml:space="preserve">-</t>
        </is>
      </c>
      <c r="E842" s="0" t="inlineStr">
        <is>
          <t xml:space="preserve">-</t>
        </is>
      </c>
      <c r="F842" s="0" t="inlineStr">
        <is>
          <t xml:space="preserve">-</t>
        </is>
      </c>
      <c r="G842" s="5">
        <v>0.039</v>
      </c>
      <c r="H842" s="0" t="inlineStr">
        <is>
          <t xml:space="preserve">supplier</t>
        </is>
      </c>
      <c r="I842" s="0" t="inlineStr">
        <is>
          <t xml:space="preserve">unbucketed</t>
        </is>
      </c>
      <c r="J842" s="0" t="inlineStr">
        <is>
          <t xml:space="preserve">residual</t>
        </is>
      </c>
      <c r="K842" s="5">
        <v>0</v>
      </c>
      <c r="L842" s="5">
        <v>0</v>
      </c>
      <c r="M842" s="5">
        <v>0.039</v>
      </c>
      <c r="N842" s="5">
        <v>0.0</v>
      </c>
      <c r="O842" s="5">
        <v>0.0</v>
      </c>
      <c r="P842" s="5">
        <v>0.0</v>
      </c>
      <c r="Q842" s="5">
        <v>0.0</v>
      </c>
      <c r="R842" s="5">
        <v>0.0</v>
      </c>
      <c r="S842" s="5">
        <v>0.0</v>
      </c>
      <c r="T842" s="5">
        <v>0.039</v>
      </c>
      <c r="U842" s="5">
        <v>0.0</v>
      </c>
    </row>
    <row r="843" outlineLevel="1">
      <c r="B843" s="0" t="inlineStr">
        <is>
          <t xml:space="preserve">PATRIOT ELECTRONICS INC</t>
        </is>
      </c>
      <c r="C843" s="0" t="inlineStr">
        <is>
          <t xml:space="preserve">LN8JD2HB57K5</t>
        </is>
      </c>
      <c r="D843" s="0" t="inlineStr">
        <is>
          <t xml:space="preserve">-</t>
        </is>
      </c>
      <c r="E843" s="0" t="inlineStr">
        <is>
          <t xml:space="preserve">-</t>
        </is>
      </c>
      <c r="F843" s="0" t="inlineStr">
        <is>
          <t xml:space="preserve">-</t>
        </is>
      </c>
      <c r="G843" s="5">
        <v>0.03867224</v>
      </c>
      <c r="H843" s="0" t="inlineStr">
        <is>
          <t xml:space="preserve">supplier</t>
        </is>
      </c>
      <c r="I843" s="0" t="inlineStr">
        <is>
          <t xml:space="preserve">unbucketed</t>
        </is>
      </c>
      <c r="J843" s="0" t="inlineStr">
        <is>
          <t xml:space="preserve">residual</t>
        </is>
      </c>
      <c r="K843" s="5">
        <v>0</v>
      </c>
      <c r="L843" s="5">
        <v>0</v>
      </c>
      <c r="M843" s="5">
        <v>0.03867224</v>
      </c>
      <c r="N843" s="5">
        <v>0.03867224</v>
      </c>
      <c r="O843" s="5">
        <v>0.0</v>
      </c>
      <c r="P843" s="5">
        <v>0.0</v>
      </c>
      <c r="Q843" s="5">
        <v>0.0</v>
      </c>
      <c r="R843" s="5">
        <v>0.0</v>
      </c>
      <c r="S843" s="5">
        <v>0.0</v>
      </c>
      <c r="T843" s="5">
        <v>0.0</v>
      </c>
      <c r="U843" s="5">
        <v>0.0</v>
      </c>
    </row>
    <row r="844" outlineLevel="1">
      <c r="B844" s="0" t="inlineStr">
        <is>
          <t xml:space="preserve">EPSILON SYSTEMS SOLUTIONS INC</t>
        </is>
      </c>
      <c r="C844" s="0" t="inlineStr">
        <is>
          <t xml:space="preserve">Q54KG4JYEWE4</t>
        </is>
      </c>
      <c r="D844" s="0" t="inlineStr">
        <is>
          <t xml:space="preserve">-</t>
        </is>
      </c>
      <c r="E844" s="0" t="inlineStr">
        <is>
          <t xml:space="preserve">-</t>
        </is>
      </c>
      <c r="F844" s="0" t="inlineStr">
        <is>
          <t xml:space="preserve">-</t>
        </is>
      </c>
      <c r="G844" s="5">
        <v>0.0384</v>
      </c>
      <c r="H844" s="0" t="inlineStr">
        <is>
          <t xml:space="preserve">supplier</t>
        </is>
      </c>
      <c r="I844" s="0" t="inlineStr">
        <is>
          <t xml:space="preserve">unbucketed</t>
        </is>
      </c>
      <c r="J844" s="0" t="inlineStr">
        <is>
          <t xml:space="preserve">residual</t>
        </is>
      </c>
      <c r="K844" s="5">
        <v>0</v>
      </c>
      <c r="L844" s="5">
        <v>0</v>
      </c>
      <c r="M844" s="5">
        <v>0.0384</v>
      </c>
      <c r="N844" s="5">
        <v>0.0</v>
      </c>
      <c r="O844" s="5">
        <v>0.0</v>
      </c>
      <c r="P844" s="5">
        <v>0.0</v>
      </c>
      <c r="Q844" s="5">
        <v>0.0</v>
      </c>
      <c r="R844" s="5">
        <v>0.0</v>
      </c>
      <c r="S844" s="5">
        <v>0.0384</v>
      </c>
      <c r="T844" s="5">
        <v>0.0</v>
      </c>
      <c r="U844" s="5">
        <v>0.0</v>
      </c>
    </row>
    <row r="845" outlineLevel="1">
      <c r="B845" s="0" t="inlineStr">
        <is>
          <t xml:space="preserve">ASCO POWER TECHNOLOGIES, L.P.</t>
        </is>
      </c>
      <c r="C845" s="0" t="inlineStr">
        <is>
          <t xml:space="preserve">MDH6KH9D4SG7</t>
        </is>
      </c>
      <c r="D845" s="0" t="inlineStr">
        <is>
          <t xml:space="preserve">-</t>
        </is>
      </c>
      <c r="E845" s="0" t="inlineStr">
        <is>
          <t xml:space="preserve">-</t>
        </is>
      </c>
      <c r="F845" s="0" t="inlineStr">
        <is>
          <t xml:space="preserve">-</t>
        </is>
      </c>
      <c r="G845" s="5">
        <v>0.038346</v>
      </c>
      <c r="H845" s="0" t="inlineStr">
        <is>
          <t xml:space="preserve">supplier</t>
        </is>
      </c>
      <c r="I845" s="0" t="inlineStr">
        <is>
          <t xml:space="preserve">unbucketed</t>
        </is>
      </c>
      <c r="J845" s="0" t="inlineStr">
        <is>
          <t xml:space="preserve">residual</t>
        </is>
      </c>
      <c r="K845" s="5">
        <v>0</v>
      </c>
      <c r="L845" s="5">
        <v>0</v>
      </c>
      <c r="M845" s="5">
        <v>0.038346</v>
      </c>
      <c r="N845" s="5">
        <v>0.0</v>
      </c>
      <c r="O845" s="5">
        <v>0.0</v>
      </c>
      <c r="P845" s="5">
        <v>0.0</v>
      </c>
      <c r="Q845" s="5">
        <v>0.0</v>
      </c>
      <c r="R845" s="5">
        <v>0.0</v>
      </c>
      <c r="S845" s="5">
        <v>0.038346</v>
      </c>
      <c r="T845" s="5">
        <v>0.0</v>
      </c>
      <c r="U845" s="5">
        <v>0.0</v>
      </c>
    </row>
    <row r="846" outlineLevel="1">
      <c r="B846" s="0" t="inlineStr">
        <is>
          <t xml:space="preserve">DETROIT SWITCH INC</t>
        </is>
      </c>
      <c r="C846" s="0" t="inlineStr">
        <is>
          <t xml:space="preserve">NK1RB5VKXES9</t>
        </is>
      </c>
      <c r="D846" s="0" t="inlineStr">
        <is>
          <t xml:space="preserve">-</t>
        </is>
      </c>
      <c r="E846" s="0" t="inlineStr">
        <is>
          <t xml:space="preserve">-</t>
        </is>
      </c>
      <c r="F846" s="0" t="inlineStr">
        <is>
          <t xml:space="preserve">-</t>
        </is>
      </c>
      <c r="G846" s="5">
        <v>0.03766592</v>
      </c>
      <c r="H846" s="0" t="inlineStr">
        <is>
          <t xml:space="preserve">supplier</t>
        </is>
      </c>
      <c r="I846" s="0" t="inlineStr">
        <is>
          <t xml:space="preserve">unbucketed</t>
        </is>
      </c>
      <c r="J846" s="0" t="inlineStr">
        <is>
          <t xml:space="preserve">residual</t>
        </is>
      </c>
      <c r="K846" s="5">
        <v>0</v>
      </c>
      <c r="L846" s="5">
        <v>0</v>
      </c>
      <c r="M846" s="5">
        <v>0.03766592</v>
      </c>
      <c r="N846" s="5">
        <v>0.0</v>
      </c>
      <c r="O846" s="5">
        <v>0.0</v>
      </c>
      <c r="P846" s="5">
        <v>0.03766592</v>
      </c>
      <c r="Q846" s="5">
        <v>0.0</v>
      </c>
      <c r="R846" s="5">
        <v>0.0</v>
      </c>
      <c r="S846" s="5">
        <v>0.0</v>
      </c>
      <c r="T846" s="5">
        <v>0.0</v>
      </c>
      <c r="U846" s="5">
        <v>0.0</v>
      </c>
    </row>
    <row r="847" outlineLevel="1">
      <c r="B847" s="0" t="inlineStr">
        <is>
          <t xml:space="preserve">A.C.R. MACHINE, INC.</t>
        </is>
      </c>
      <c r="C847" s="0" t="inlineStr">
        <is>
          <t xml:space="preserve">LEC1VZC9HL25</t>
        </is>
      </c>
      <c r="D847" s="0" t="inlineStr">
        <is>
          <t xml:space="preserve">-</t>
        </is>
      </c>
      <c r="E847" s="0" t="inlineStr">
        <is>
          <t xml:space="preserve">-</t>
        </is>
      </c>
      <c r="F847" s="0" t="inlineStr">
        <is>
          <t xml:space="preserve">-</t>
        </is>
      </c>
      <c r="G847" s="5">
        <v>0.03762</v>
      </c>
      <c r="H847" s="0" t="inlineStr">
        <is>
          <t xml:space="preserve">supplier</t>
        </is>
      </c>
      <c r="I847" s="0" t="inlineStr">
        <is>
          <t xml:space="preserve">unbucketed</t>
        </is>
      </c>
      <c r="J847" s="0" t="inlineStr">
        <is>
          <t xml:space="preserve">residual</t>
        </is>
      </c>
      <c r="K847" s="5">
        <v>0</v>
      </c>
      <c r="L847" s="5">
        <v>0</v>
      </c>
      <c r="M847" s="5">
        <v>0.03762</v>
      </c>
      <c r="N847" s="5">
        <v>0.0</v>
      </c>
      <c r="O847" s="5">
        <v>0.0</v>
      </c>
      <c r="P847" s="5">
        <v>0.0</v>
      </c>
      <c r="Q847" s="5">
        <v>0.0</v>
      </c>
      <c r="R847" s="5">
        <v>0.0</v>
      </c>
      <c r="S847" s="5">
        <v>0.0</v>
      </c>
      <c r="T847" s="5">
        <v>0.0</v>
      </c>
      <c r="U847" s="5">
        <v>0.0</v>
      </c>
    </row>
    <row r="848" outlineLevel="1">
      <c r="B848" s="0" t="inlineStr">
        <is>
          <t xml:space="preserve">LYN-LAD GROUP, LTD.</t>
        </is>
      </c>
      <c r="C848" s="0" t="inlineStr">
        <is>
          <t xml:space="preserve">UR64LG5YKUE8</t>
        </is>
      </c>
      <c r="D848" s="0" t="inlineStr">
        <is>
          <t xml:space="preserve">-</t>
        </is>
      </c>
      <c r="E848" s="0" t="inlineStr">
        <is>
          <t xml:space="preserve">-</t>
        </is>
      </c>
      <c r="F848" s="0" t="inlineStr">
        <is>
          <t xml:space="preserve">-</t>
        </is>
      </c>
      <c r="G848" s="5">
        <v>0.0374064</v>
      </c>
      <c r="H848" s="0" t="inlineStr">
        <is>
          <t xml:space="preserve">supplier</t>
        </is>
      </c>
      <c r="I848" s="0" t="inlineStr">
        <is>
          <t xml:space="preserve">unbucketed</t>
        </is>
      </c>
      <c r="J848" s="0" t="inlineStr">
        <is>
          <t xml:space="preserve">residual</t>
        </is>
      </c>
      <c r="K848" s="5">
        <v>0</v>
      </c>
      <c r="L848" s="5">
        <v>0</v>
      </c>
      <c r="M848" s="5">
        <v>0.0374064</v>
      </c>
      <c r="N848" s="5">
        <v>0.0</v>
      </c>
      <c r="O848" s="5">
        <v>0.0</v>
      </c>
      <c r="P848" s="5">
        <v>0.0</v>
      </c>
      <c r="Q848" s="5">
        <v>0.0</v>
      </c>
      <c r="R848" s="5">
        <v>0.0</v>
      </c>
      <c r="S848" s="5">
        <v>0.0</v>
      </c>
      <c r="T848" s="5">
        <v>0.0</v>
      </c>
      <c r="U848" s="5">
        <v>0.0</v>
      </c>
    </row>
    <row r="849" outlineLevel="1">
      <c r="B849" s="0" t="inlineStr">
        <is>
          <t xml:space="preserve">OPERATING &amp; MAINTENANCE SPECIALTIES INC</t>
        </is>
      </c>
      <c r="C849" s="0" t="inlineStr">
        <is>
          <t xml:space="preserve">WYLZYTJ1SSJ3</t>
        </is>
      </c>
      <c r="D849" s="0" t="inlineStr">
        <is>
          <t xml:space="preserve">-</t>
        </is>
      </c>
      <c r="E849" s="0" t="inlineStr">
        <is>
          <t xml:space="preserve">-</t>
        </is>
      </c>
      <c r="F849" s="0" t="inlineStr">
        <is>
          <t xml:space="preserve">-</t>
        </is>
      </c>
      <c r="G849" s="5">
        <v>0.03679116</v>
      </c>
      <c r="H849" s="0" t="inlineStr">
        <is>
          <t xml:space="preserve">supplier</t>
        </is>
      </c>
      <c r="I849" s="0" t="inlineStr">
        <is>
          <t xml:space="preserve">unbucketed</t>
        </is>
      </c>
      <c r="J849" s="0" t="inlineStr">
        <is>
          <t xml:space="preserve">residual</t>
        </is>
      </c>
      <c r="K849" s="5">
        <v>0</v>
      </c>
      <c r="L849" s="5">
        <v>0</v>
      </c>
      <c r="M849" s="5">
        <v>0.03679116</v>
      </c>
      <c r="N849" s="5">
        <v>0.0</v>
      </c>
      <c r="O849" s="5">
        <v>0.0</v>
      </c>
      <c r="P849" s="5">
        <v>0.03679116</v>
      </c>
      <c r="Q849" s="5">
        <v>0.0</v>
      </c>
      <c r="R849" s="5">
        <v>0.0</v>
      </c>
      <c r="S849" s="5">
        <v>0.0</v>
      </c>
      <c r="T849" s="5">
        <v>0.0</v>
      </c>
      <c r="U849" s="5">
        <v>0.0</v>
      </c>
    </row>
    <row r="850" outlineLevel="1">
      <c r="B850" s="0" t="inlineStr">
        <is>
          <t xml:space="preserve">INVESTMENT AB LATOUR</t>
        </is>
      </c>
      <c r="C850" s="0" t="inlineStr">
        <is>
          <t xml:space="preserve">FNBNKXCC3QD8</t>
        </is>
      </c>
      <c r="D850" s="0" t="inlineStr">
        <is>
          <t xml:space="preserve">-</t>
        </is>
      </c>
      <c r="E850" s="0" t="inlineStr">
        <is>
          <t xml:space="preserve">-</t>
        </is>
      </c>
      <c r="F850" s="0" t="inlineStr">
        <is>
          <t xml:space="preserve">-</t>
        </is>
      </c>
      <c r="G850" s="5">
        <v>0.036096</v>
      </c>
      <c r="H850" s="0" t="inlineStr">
        <is>
          <t xml:space="preserve">supplier</t>
        </is>
      </c>
      <c r="I850" s="0" t="inlineStr">
        <is>
          <t xml:space="preserve">unbucketed</t>
        </is>
      </c>
      <c r="J850" s="0" t="inlineStr">
        <is>
          <t xml:space="preserve">residual</t>
        </is>
      </c>
      <c r="K850" s="5">
        <v>0</v>
      </c>
      <c r="L850" s="5">
        <v>0</v>
      </c>
      <c r="M850" s="5">
        <v>0.036096</v>
      </c>
      <c r="N850" s="5">
        <v>0.0</v>
      </c>
      <c r="O850" s="5">
        <v>0.0</v>
      </c>
      <c r="P850" s="5">
        <v>0.0</v>
      </c>
      <c r="Q850" s="5">
        <v>0.0</v>
      </c>
      <c r="R850" s="5">
        <v>0.0</v>
      </c>
      <c r="S850" s="5">
        <v>0.0</v>
      </c>
      <c r="T850" s="5">
        <v>0.0</v>
      </c>
      <c r="U850" s="5">
        <v>0.0</v>
      </c>
    </row>
    <row r="851" outlineLevel="1">
      <c r="B851" s="0" t="inlineStr">
        <is>
          <t xml:space="preserve">3M COMPANY</t>
        </is>
      </c>
      <c r="C851" s="0" t="inlineStr">
        <is>
          <t xml:space="preserve">U4TBEJN3QV83</t>
        </is>
      </c>
      <c r="D851" s="0" t="inlineStr">
        <is>
          <t xml:space="preserve">-</t>
        </is>
      </c>
      <c r="E851" s="0" t="inlineStr">
        <is>
          <t xml:space="preserve">-</t>
        </is>
      </c>
      <c r="F851" s="0" t="inlineStr">
        <is>
          <t xml:space="preserve">-</t>
        </is>
      </c>
      <c r="G851" s="5">
        <v>0.035901</v>
      </c>
      <c r="H851" s="0" t="inlineStr">
        <is>
          <t xml:space="preserve">supplier</t>
        </is>
      </c>
      <c r="I851" s="0" t="inlineStr">
        <is>
          <t xml:space="preserve">unbucketed</t>
        </is>
      </c>
      <c r="J851" s="0" t="inlineStr">
        <is>
          <t xml:space="preserve">residual</t>
        </is>
      </c>
      <c r="K851" s="5">
        <v>0</v>
      </c>
      <c r="L851" s="5">
        <v>0</v>
      </c>
      <c r="M851" s="5">
        <v>0.035901</v>
      </c>
      <c r="N851" s="5">
        <v>0.0</v>
      </c>
      <c r="O851" s="5">
        <v>0.0</v>
      </c>
      <c r="P851" s="5">
        <v>0.0</v>
      </c>
      <c r="Q851" s="5">
        <v>0.0</v>
      </c>
      <c r="R851" s="5">
        <v>0.035901</v>
      </c>
      <c r="S851" s="5">
        <v>0.0</v>
      </c>
      <c r="T851" s="5">
        <v>0.0</v>
      </c>
      <c r="U851" s="5">
        <v>0.0</v>
      </c>
    </row>
    <row r="852" outlineLevel="1">
      <c r="B852" s="0" t="inlineStr">
        <is>
          <t xml:space="preserve">CARR COMPANY LIMITED</t>
        </is>
      </c>
      <c r="C852" s="0" t="inlineStr">
        <is>
          <t xml:space="preserve">RLNZFHWTLKH6</t>
        </is>
      </c>
      <c r="D852" s="0" t="inlineStr">
        <is>
          <t xml:space="preserve">-</t>
        </is>
      </c>
      <c r="E852" s="0" t="inlineStr">
        <is>
          <t xml:space="preserve">-</t>
        </is>
      </c>
      <c r="F852" s="0" t="inlineStr">
        <is>
          <t xml:space="preserve">-</t>
        </is>
      </c>
      <c r="G852" s="5">
        <v>0.03574</v>
      </c>
      <c r="H852" s="0" t="inlineStr">
        <is>
          <t xml:space="preserve">supplier</t>
        </is>
      </c>
      <c r="I852" s="0" t="inlineStr">
        <is>
          <t xml:space="preserve">unbucketed</t>
        </is>
      </c>
      <c r="J852" s="0" t="inlineStr">
        <is>
          <t xml:space="preserve">residual</t>
        </is>
      </c>
      <c r="K852" s="5">
        <v>0</v>
      </c>
      <c r="L852" s="5">
        <v>0</v>
      </c>
      <c r="M852" s="5">
        <v>0.03574</v>
      </c>
      <c r="N852" s="5">
        <v>0.0</v>
      </c>
      <c r="O852" s="5">
        <v>0.0</v>
      </c>
      <c r="P852" s="5">
        <v>0.03574</v>
      </c>
      <c r="Q852" s="5">
        <v>0.0</v>
      </c>
      <c r="R852" s="5">
        <v>0.0</v>
      </c>
      <c r="S852" s="5">
        <v>0.0</v>
      </c>
      <c r="T852" s="5">
        <v>0.0</v>
      </c>
      <c r="U852" s="5">
        <v>0.0</v>
      </c>
    </row>
    <row r="853" outlineLevel="1">
      <c r="B853" s="0" t="inlineStr">
        <is>
          <t xml:space="preserve">KADANT UNAFLEX LLC</t>
        </is>
      </c>
      <c r="C853" s="0" t="inlineStr">
        <is>
          <t xml:space="preserve">L6EMG925NF78</t>
        </is>
      </c>
      <c r="D853" s="0" t="inlineStr">
        <is>
          <t xml:space="preserve">-</t>
        </is>
      </c>
      <c r="E853" s="0" t="inlineStr">
        <is>
          <t xml:space="preserve">-</t>
        </is>
      </c>
      <c r="F853" s="0" t="inlineStr">
        <is>
          <t xml:space="preserve">-</t>
        </is>
      </c>
      <c r="G853" s="5">
        <v>0.03556</v>
      </c>
      <c r="H853" s="0" t="inlineStr">
        <is>
          <t xml:space="preserve">supplier</t>
        </is>
      </c>
      <c r="I853" s="0" t="inlineStr">
        <is>
          <t xml:space="preserve">unbucketed</t>
        </is>
      </c>
      <c r="J853" s="0" t="inlineStr">
        <is>
          <t xml:space="preserve">residual</t>
        </is>
      </c>
      <c r="K853" s="5">
        <v>0</v>
      </c>
      <c r="L853" s="5">
        <v>0</v>
      </c>
      <c r="M853" s="5">
        <v>0.03556</v>
      </c>
      <c r="N853" s="5">
        <v>0.0</v>
      </c>
      <c r="O853" s="5">
        <v>0.0</v>
      </c>
      <c r="P853" s="5">
        <v>0.0</v>
      </c>
      <c r="Q853" s="5">
        <v>0.0</v>
      </c>
      <c r="R853" s="5">
        <v>0.0</v>
      </c>
      <c r="S853" s="5">
        <v>0.03556</v>
      </c>
      <c r="T853" s="5">
        <v>0.0</v>
      </c>
      <c r="U853" s="5">
        <v>0.0</v>
      </c>
    </row>
    <row r="854" outlineLevel="1">
      <c r="B854" s="0" t="inlineStr">
        <is>
          <t xml:space="preserve">SHERWIN-WILLIAMS COMPANY, THE</t>
        </is>
      </c>
      <c r="C854" s="0" t="inlineStr">
        <is>
          <t xml:space="preserve">Q5JLDRAYLJF4</t>
        </is>
      </c>
      <c r="D854" s="0" t="inlineStr">
        <is>
          <t xml:space="preserve">-</t>
        </is>
      </c>
      <c r="E854" s="0" t="inlineStr">
        <is>
          <t xml:space="preserve">-</t>
        </is>
      </c>
      <c r="F854" s="0" t="inlineStr">
        <is>
          <t xml:space="preserve">-</t>
        </is>
      </c>
      <c r="G854" s="5">
        <v>0.035436</v>
      </c>
      <c r="H854" s="0" t="inlineStr">
        <is>
          <t xml:space="preserve">supplier</t>
        </is>
      </c>
      <c r="I854" s="0" t="inlineStr">
        <is>
          <t xml:space="preserve">unbucketed</t>
        </is>
      </c>
      <c r="J854" s="0" t="inlineStr">
        <is>
          <t xml:space="preserve">residual</t>
        </is>
      </c>
      <c r="K854" s="5">
        <v>0</v>
      </c>
      <c r="L854" s="5">
        <v>0</v>
      </c>
      <c r="M854" s="5">
        <v>0.0</v>
      </c>
      <c r="N854" s="5">
        <v>0.0</v>
      </c>
      <c r="O854" s="5">
        <v>0.0</v>
      </c>
      <c r="P854" s="5">
        <v>0.0</v>
      </c>
      <c r="Q854" s="5">
        <v>0.0</v>
      </c>
      <c r="R854" s="5">
        <v>0.0</v>
      </c>
      <c r="S854" s="5">
        <v>0.0</v>
      </c>
      <c r="T854" s="5">
        <v>0.0</v>
      </c>
      <c r="U854" s="5">
        <v>0.0</v>
      </c>
    </row>
    <row r="855" outlineLevel="1">
      <c r="B855" s="0" t="inlineStr">
        <is>
          <t xml:space="preserve">APPLICATIONS 3D LLC</t>
        </is>
      </c>
      <c r="C855" s="0" t="inlineStr">
        <is>
          <t xml:space="preserve">DR25DM16Y9G8</t>
        </is>
      </c>
      <c r="D855" s="0" t="inlineStr">
        <is>
          <t xml:space="preserve">-</t>
        </is>
      </c>
      <c r="E855" s="0" t="inlineStr">
        <is>
          <t xml:space="preserve">-</t>
        </is>
      </c>
      <c r="F855" s="0" t="inlineStr">
        <is>
          <t xml:space="preserve">-</t>
        </is>
      </c>
      <c r="G855" s="5">
        <v>0.035228999999999996</v>
      </c>
      <c r="H855" s="0" t="inlineStr">
        <is>
          <t xml:space="preserve">supplier</t>
        </is>
      </c>
      <c r="I855" s="0" t="inlineStr">
        <is>
          <t xml:space="preserve">unbucketed</t>
        </is>
      </c>
      <c r="J855" s="0" t="inlineStr">
        <is>
          <t xml:space="preserve">residual</t>
        </is>
      </c>
      <c r="K855" s="5">
        <v>0</v>
      </c>
      <c r="L855" s="5">
        <v>0</v>
      </c>
      <c r="M855" s="5">
        <v>0.035228999999999996</v>
      </c>
      <c r="N855" s="5">
        <v>0.0</v>
      </c>
      <c r="O855" s="5">
        <v>0.0</v>
      </c>
      <c r="P855" s="5">
        <v>0.0</v>
      </c>
      <c r="Q855" s="5">
        <v>0.0</v>
      </c>
      <c r="R855" s="5">
        <v>0.0</v>
      </c>
      <c r="S855" s="5">
        <v>0.0</v>
      </c>
      <c r="T855" s="5">
        <v>0.0</v>
      </c>
      <c r="U855" s="5">
        <v>0.0</v>
      </c>
    </row>
    <row r="856" outlineLevel="1">
      <c r="B856" s="0" t="inlineStr">
        <is>
          <t xml:space="preserve">BIOMATED SOLUTIONS LLC</t>
        </is>
      </c>
      <c r="C856" s="0" t="inlineStr">
        <is>
          <t xml:space="preserve">MYDWUALGXBL5</t>
        </is>
      </c>
      <c r="D856" s="0" t="inlineStr">
        <is>
          <t xml:space="preserve">-</t>
        </is>
      </c>
      <c r="E856" s="0" t="inlineStr">
        <is>
          <t xml:space="preserve">-</t>
        </is>
      </c>
      <c r="F856" s="0" t="inlineStr">
        <is>
          <t xml:space="preserve">-</t>
        </is>
      </c>
      <c r="G856" s="5">
        <v>0.035085000000000005</v>
      </c>
      <c r="H856" s="0" t="inlineStr">
        <is>
          <t xml:space="preserve">supplier</t>
        </is>
      </c>
      <c r="I856" s="0" t="inlineStr">
        <is>
          <t xml:space="preserve">unbucketed</t>
        </is>
      </c>
      <c r="J856" s="0" t="inlineStr">
        <is>
          <t xml:space="preserve">residual</t>
        </is>
      </c>
      <c r="K856" s="5">
        <v>0</v>
      </c>
      <c r="L856" s="5">
        <v>0</v>
      </c>
      <c r="M856" s="5">
        <v>0.035085000000000005</v>
      </c>
      <c r="N856" s="5">
        <v>0.0</v>
      </c>
      <c r="O856" s="5">
        <v>0.0</v>
      </c>
      <c r="P856" s="5">
        <v>0.0</v>
      </c>
      <c r="Q856" s="5">
        <v>0.0</v>
      </c>
      <c r="R856" s="5">
        <v>0.0</v>
      </c>
      <c r="S856" s="5">
        <v>0.0</v>
      </c>
      <c r="T856" s="5">
        <v>0.0</v>
      </c>
      <c r="U856" s="5">
        <v>0.0</v>
      </c>
    </row>
    <row r="857" outlineLevel="1">
      <c r="B857" s="0" t="inlineStr">
        <is>
          <t xml:space="preserve">TIM BRIERE</t>
        </is>
      </c>
      <c r="C857" s="0" t="inlineStr">
        <is>
          <t xml:space="preserve">QB7EKDNK2E83</t>
        </is>
      </c>
      <c r="D857" s="0" t="inlineStr">
        <is>
          <t xml:space="preserve">USA</t>
        </is>
      </c>
      <c r="E857" s="0" t="inlineStr">
        <is>
          <t xml:space="preserve">3327</t>
        </is>
      </c>
      <c r="F857" s="0" t="inlineStr">
        <is>
          <t xml:space="preserve">Machine Shops</t>
        </is>
      </c>
      <c r="G857" s="5">
        <v>0.03490288</v>
      </c>
      <c r="H857" s="0" t="inlineStr">
        <is>
          <t xml:space="preserve">supplier</t>
        </is>
      </c>
      <c r="I857" s="0" t="inlineStr">
        <is>
          <t xml:space="preserve">machining</t>
        </is>
      </c>
      <c r="J857" s="0" t="inlineStr">
        <is>
          <t xml:space="preserve">naics4</t>
        </is>
      </c>
      <c r="K857" s="5">
        <v>0</v>
      </c>
      <c r="L857" s="5">
        <v>0</v>
      </c>
      <c r="M857" s="5">
        <v>0.03490288</v>
      </c>
      <c r="N857" s="5">
        <v>0.0</v>
      </c>
      <c r="O857" s="5">
        <v>0.0</v>
      </c>
      <c r="P857" s="5">
        <v>0.0</v>
      </c>
      <c r="Q857" s="5">
        <v>0.0</v>
      </c>
      <c r="R857" s="5">
        <v>0.0</v>
      </c>
      <c r="S857" s="5">
        <v>0.0</v>
      </c>
      <c r="T857" s="5">
        <v>0.0</v>
      </c>
      <c r="U857" s="5">
        <v>0.0</v>
      </c>
    </row>
    <row r="858" outlineLevel="1">
      <c r="B858" s="0" t="inlineStr">
        <is>
          <t xml:space="preserve">DLT MERGERCO LLC</t>
        </is>
      </c>
      <c r="C858" s="0" t="inlineStr">
        <is>
          <t xml:space="preserve">F1N2KDGBDTU8</t>
        </is>
      </c>
      <c r="D858" s="0" t="inlineStr">
        <is>
          <t xml:space="preserve">-</t>
        </is>
      </c>
      <c r="E858" s="0" t="inlineStr">
        <is>
          <t xml:space="preserve">-</t>
        </is>
      </c>
      <c r="F858" s="0" t="inlineStr">
        <is>
          <t xml:space="preserve">-</t>
        </is>
      </c>
      <c r="G858" s="5">
        <v>0.03452699</v>
      </c>
      <c r="H858" s="0" t="inlineStr">
        <is>
          <t xml:space="preserve">supplier</t>
        </is>
      </c>
      <c r="I858" s="0" t="inlineStr">
        <is>
          <t xml:space="preserve">unbucketed</t>
        </is>
      </c>
      <c r="J858" s="0" t="inlineStr">
        <is>
          <t xml:space="preserve">residual</t>
        </is>
      </c>
      <c r="K858" s="5">
        <v>0</v>
      </c>
      <c r="L858" s="5">
        <v>0</v>
      </c>
      <c r="M858" s="5">
        <v>0.03452699</v>
      </c>
      <c r="N858" s="5">
        <v>0.0</v>
      </c>
      <c r="O858" s="5">
        <v>0.0</v>
      </c>
      <c r="P858" s="5">
        <v>0.0</v>
      </c>
      <c r="Q858" s="5">
        <v>0.0</v>
      </c>
      <c r="R858" s="5">
        <v>0.0</v>
      </c>
      <c r="S858" s="5">
        <v>0.0</v>
      </c>
      <c r="T858" s="5">
        <v>0.0</v>
      </c>
      <c r="U858" s="5">
        <v>0.0</v>
      </c>
    </row>
    <row r="859" outlineLevel="1">
      <c r="B859" s="0" t="inlineStr">
        <is>
          <t xml:space="preserve">REXNORD CORPORATION</t>
        </is>
      </c>
      <c r="C859" s="0" t="inlineStr">
        <is>
          <t xml:space="preserve">S4LDURRAY3J9</t>
        </is>
      </c>
      <c r="D859" s="0" t="inlineStr">
        <is>
          <t xml:space="preserve">-</t>
        </is>
      </c>
      <c r="E859" s="0" t="inlineStr">
        <is>
          <t xml:space="preserve">-</t>
        </is>
      </c>
      <c r="F859" s="0" t="inlineStr">
        <is>
          <t xml:space="preserve">-</t>
        </is>
      </c>
      <c r="G859" s="5">
        <v>0.03413181</v>
      </c>
      <c r="H859" s="0" t="inlineStr">
        <is>
          <t xml:space="preserve">supplier</t>
        </is>
      </c>
      <c r="I859" s="0" t="inlineStr">
        <is>
          <t xml:space="preserve">unbucketed</t>
        </is>
      </c>
      <c r="J859" s="0" t="inlineStr">
        <is>
          <t xml:space="preserve">residual</t>
        </is>
      </c>
      <c r="K859" s="5">
        <v>0</v>
      </c>
      <c r="L859" s="5">
        <v>0</v>
      </c>
      <c r="M859" s="5">
        <v>0.03413181</v>
      </c>
      <c r="N859" s="5">
        <v>0.0</v>
      </c>
      <c r="O859" s="5">
        <v>0.0</v>
      </c>
      <c r="P859" s="5">
        <v>0.0</v>
      </c>
      <c r="Q859" s="5">
        <v>0.0</v>
      </c>
      <c r="R859" s="5">
        <v>0.0</v>
      </c>
      <c r="S859" s="5">
        <v>0.0</v>
      </c>
      <c r="T859" s="5">
        <v>0.0</v>
      </c>
      <c r="U859" s="5">
        <v>0.0</v>
      </c>
    </row>
    <row r="860" outlineLevel="1">
      <c r="B860" s="0" t="inlineStr">
        <is>
          <t xml:space="preserve">MILDEF, INC.</t>
        </is>
      </c>
      <c r="C860" s="0" t="inlineStr">
        <is>
          <t xml:space="preserve">LYKSDHA54JA4</t>
        </is>
      </c>
      <c r="D860" s="0" t="inlineStr">
        <is>
          <t xml:space="preserve">-</t>
        </is>
      </c>
      <c r="E860" s="0" t="inlineStr">
        <is>
          <t xml:space="preserve">-</t>
        </is>
      </c>
      <c r="F860" s="0" t="inlineStr">
        <is>
          <t xml:space="preserve">-</t>
        </is>
      </c>
      <c r="G860" s="5">
        <v>0.03412996</v>
      </c>
      <c r="H860" s="0" t="inlineStr">
        <is>
          <t xml:space="preserve">supplier</t>
        </is>
      </c>
      <c r="I860" s="0" t="inlineStr">
        <is>
          <t xml:space="preserve">unbucketed</t>
        </is>
      </c>
      <c r="J860" s="0" t="inlineStr">
        <is>
          <t xml:space="preserve">residual</t>
        </is>
      </c>
      <c r="K860" s="5">
        <v>0</v>
      </c>
      <c r="L860" s="5">
        <v>0</v>
      </c>
      <c r="M860" s="5">
        <v>0.03412996</v>
      </c>
      <c r="N860" s="5">
        <v>0.0</v>
      </c>
      <c r="O860" s="5">
        <v>0.0</v>
      </c>
      <c r="P860" s="5">
        <v>0.0</v>
      </c>
      <c r="Q860" s="5">
        <v>0.0</v>
      </c>
      <c r="R860" s="5">
        <v>0.0</v>
      </c>
      <c r="S860" s="5">
        <v>0.0</v>
      </c>
      <c r="T860" s="5">
        <v>0.03412996</v>
      </c>
      <c r="U860" s="5">
        <v>0.0</v>
      </c>
    </row>
    <row r="861" outlineLevel="1">
      <c r="B861" s="0" t="inlineStr">
        <is>
          <t xml:space="preserve">CUBE MOBILE POWER HOLDCO LIMITED</t>
        </is>
      </c>
      <c r="C861" s="0" t="inlineStr">
        <is>
          <t xml:space="preserve">MC9KZKMUD8F8</t>
        </is>
      </c>
      <c r="D861" s="0" t="inlineStr">
        <is>
          <t xml:space="preserve">-</t>
        </is>
      </c>
      <c r="E861" s="0" t="inlineStr">
        <is>
          <t xml:space="preserve">-</t>
        </is>
      </c>
      <c r="F861" s="0" t="inlineStr">
        <is>
          <t xml:space="preserve">-</t>
        </is>
      </c>
      <c r="G861" s="5">
        <v>0.033971970000000004</v>
      </c>
      <c r="H861" s="0" t="inlineStr">
        <is>
          <t xml:space="preserve">supplier</t>
        </is>
      </c>
      <c r="I861" s="0" t="inlineStr">
        <is>
          <t xml:space="preserve">unbucketed</t>
        </is>
      </c>
      <c r="J861" s="0" t="inlineStr">
        <is>
          <t xml:space="preserve">residual</t>
        </is>
      </c>
      <c r="K861" s="5">
        <v>0</v>
      </c>
      <c r="L861" s="5">
        <v>0</v>
      </c>
      <c r="M861" s="5">
        <v>0.033971970000000004</v>
      </c>
      <c r="N861" s="5">
        <v>0.033971970000000004</v>
      </c>
      <c r="O861" s="5">
        <v>0.0</v>
      </c>
      <c r="P861" s="5">
        <v>0.0</v>
      </c>
      <c r="Q861" s="5">
        <v>0.0</v>
      </c>
      <c r="R861" s="5">
        <v>0.0</v>
      </c>
      <c r="S861" s="5">
        <v>0.0</v>
      </c>
      <c r="T861" s="5">
        <v>0.0</v>
      </c>
      <c r="U861" s="5">
        <v>0.0</v>
      </c>
    </row>
    <row r="862" outlineLevel="1">
      <c r="B862" s="0" t="inlineStr">
        <is>
          <t xml:space="preserve">FAXON ENGINEERING CO INC</t>
        </is>
      </c>
      <c r="C862" s="0" t="inlineStr">
        <is>
          <t xml:space="preserve">YXMXTJMDPJR7</t>
        </is>
      </c>
      <c r="D862" s="0" t="inlineStr">
        <is>
          <t xml:space="preserve">-</t>
        </is>
      </c>
      <c r="E862" s="0" t="inlineStr">
        <is>
          <t xml:space="preserve">-</t>
        </is>
      </c>
      <c r="F862" s="0" t="inlineStr">
        <is>
          <t xml:space="preserve">-</t>
        </is>
      </c>
      <c r="G862" s="5">
        <v>0.033724</v>
      </c>
      <c r="H862" s="0" t="inlineStr">
        <is>
          <t xml:space="preserve">supplier</t>
        </is>
      </c>
      <c r="I862" s="0" t="inlineStr">
        <is>
          <t xml:space="preserve">unbucketed</t>
        </is>
      </c>
      <c r="J862" s="0" t="inlineStr">
        <is>
          <t xml:space="preserve">residual</t>
        </is>
      </c>
      <c r="K862" s="5">
        <v>0</v>
      </c>
      <c r="L862" s="5">
        <v>0</v>
      </c>
      <c r="M862" s="5">
        <v>0.033724</v>
      </c>
      <c r="N862" s="5">
        <v>0.0</v>
      </c>
      <c r="O862" s="5">
        <v>0.0</v>
      </c>
      <c r="P862" s="5">
        <v>0.033724</v>
      </c>
      <c r="Q862" s="5">
        <v>0.0</v>
      </c>
      <c r="R862" s="5">
        <v>0.0</v>
      </c>
      <c r="S862" s="5">
        <v>0.0</v>
      </c>
      <c r="T862" s="5">
        <v>0.0</v>
      </c>
      <c r="U862" s="5">
        <v>0.0</v>
      </c>
    </row>
    <row r="863" outlineLevel="1">
      <c r="B863" s="0" t="inlineStr">
        <is>
          <t xml:space="preserve">AIR SYSTEM COMPONENTS, INC</t>
        </is>
      </c>
      <c r="C863" s="0" t="inlineStr">
        <is>
          <t xml:space="preserve">E83TNKA9JCY6</t>
        </is>
      </c>
      <c r="D863" s="0" t="inlineStr">
        <is>
          <t xml:space="preserve">-</t>
        </is>
      </c>
      <c r="E863" s="0" t="inlineStr">
        <is>
          <t xml:space="preserve">-</t>
        </is>
      </c>
      <c r="F863" s="0" t="inlineStr">
        <is>
          <t xml:space="preserve">-</t>
        </is>
      </c>
      <c r="G863" s="5">
        <v>0.033625</v>
      </c>
      <c r="H863" s="0" t="inlineStr">
        <is>
          <t xml:space="preserve">supplier</t>
        </is>
      </c>
      <c r="I863" s="0" t="inlineStr">
        <is>
          <t xml:space="preserve">unbucketed</t>
        </is>
      </c>
      <c r="J863" s="0" t="inlineStr">
        <is>
          <t xml:space="preserve">residual</t>
        </is>
      </c>
      <c r="K863" s="5">
        <v>0</v>
      </c>
      <c r="L863" s="5">
        <v>0</v>
      </c>
      <c r="M863" s="5">
        <v>0.033625</v>
      </c>
      <c r="N863" s="5">
        <v>0.0</v>
      </c>
      <c r="O863" s="5">
        <v>0.0</v>
      </c>
      <c r="P863" s="5">
        <v>0.0</v>
      </c>
      <c r="Q863" s="5">
        <v>0.0</v>
      </c>
      <c r="R863" s="5">
        <v>0.0</v>
      </c>
      <c r="S863" s="5">
        <v>0.0</v>
      </c>
      <c r="T863" s="5">
        <v>0.0</v>
      </c>
      <c r="U863" s="5">
        <v>0.0</v>
      </c>
    </row>
    <row r="864" outlineLevel="1">
      <c r="B864" s="0" t="inlineStr">
        <is>
          <t xml:space="preserve">VULCAN ELECTRIC CO</t>
        </is>
      </c>
      <c r="C864" s="0" t="inlineStr">
        <is>
          <t xml:space="preserve">W9MTG3DEVQN5</t>
        </is>
      </c>
      <c r="D864" s="0" t="inlineStr">
        <is>
          <t xml:space="preserve">-</t>
        </is>
      </c>
      <c r="E864" s="0" t="inlineStr">
        <is>
          <t xml:space="preserve">-</t>
        </is>
      </c>
      <c r="F864" s="0" t="inlineStr">
        <is>
          <t xml:space="preserve">-</t>
        </is>
      </c>
      <c r="G864" s="5">
        <v>0.03361</v>
      </c>
      <c r="H864" s="0" t="inlineStr">
        <is>
          <t xml:space="preserve">supplier</t>
        </is>
      </c>
      <c r="I864" s="0" t="inlineStr">
        <is>
          <t xml:space="preserve">unbucketed</t>
        </is>
      </c>
      <c r="J864" s="0" t="inlineStr">
        <is>
          <t xml:space="preserve">residual</t>
        </is>
      </c>
      <c r="K864" s="5">
        <v>0</v>
      </c>
      <c r="L864" s="5">
        <v>0</v>
      </c>
      <c r="M864" s="5">
        <v>0.03361</v>
      </c>
      <c r="N864" s="5">
        <v>0.0</v>
      </c>
      <c r="O864" s="5">
        <v>0.0</v>
      </c>
      <c r="P864" s="5">
        <v>0.03361</v>
      </c>
      <c r="Q864" s="5">
        <v>0.0</v>
      </c>
      <c r="R864" s="5">
        <v>0.0</v>
      </c>
      <c r="S864" s="5">
        <v>0.0</v>
      </c>
      <c r="T864" s="5">
        <v>0.0</v>
      </c>
      <c r="U864" s="5">
        <v>0.0</v>
      </c>
    </row>
    <row r="865" outlineLevel="1">
      <c r="B865" s="0" t="inlineStr">
        <is>
          <t xml:space="preserve">FFI HOLDINGS III CORP</t>
        </is>
      </c>
      <c r="C865" s="0" t="inlineStr">
        <is>
          <t xml:space="preserve">TGUHUW52MLE3</t>
        </is>
      </c>
      <c r="D865" s="0" t="inlineStr">
        <is>
          <t xml:space="preserve">-</t>
        </is>
      </c>
      <c r="E865" s="0" t="inlineStr">
        <is>
          <t xml:space="preserve">-</t>
        </is>
      </c>
      <c r="F865" s="0" t="inlineStr">
        <is>
          <t xml:space="preserve">-</t>
        </is>
      </c>
      <c r="G865" s="5">
        <v>0.0333</v>
      </c>
      <c r="H865" s="0" t="inlineStr">
        <is>
          <t xml:space="preserve">supplier</t>
        </is>
      </c>
      <c r="I865" s="0" t="inlineStr">
        <is>
          <t xml:space="preserve">unbucketed</t>
        </is>
      </c>
      <c r="J865" s="0" t="inlineStr">
        <is>
          <t xml:space="preserve">residual</t>
        </is>
      </c>
      <c r="K865" s="5">
        <v>0</v>
      </c>
      <c r="L865" s="5">
        <v>0</v>
      </c>
      <c r="M865" s="5">
        <v>0.0333</v>
      </c>
      <c r="N865" s="5">
        <v>0.0333</v>
      </c>
      <c r="O865" s="5">
        <v>0.0</v>
      </c>
      <c r="P865" s="5">
        <v>0.0</v>
      </c>
      <c r="Q865" s="5">
        <v>0.0</v>
      </c>
      <c r="R865" s="5">
        <v>0.0</v>
      </c>
      <c r="S865" s="5">
        <v>0.0</v>
      </c>
      <c r="T865" s="5">
        <v>0.0</v>
      </c>
      <c r="U865" s="5">
        <v>0.0</v>
      </c>
    </row>
    <row r="866" outlineLevel="1">
      <c r="B866" s="0" t="inlineStr">
        <is>
          <t xml:space="preserve">DAWSON-MACDONALD CO., INC.</t>
        </is>
      </c>
      <c r="C866" s="0" t="inlineStr">
        <is>
          <t xml:space="preserve">Z2M4Q4H6TKM3</t>
        </is>
      </c>
      <c r="D866" s="0" t="inlineStr">
        <is>
          <t xml:space="preserve">-</t>
        </is>
      </c>
      <c r="E866" s="0" t="inlineStr">
        <is>
          <t xml:space="preserve">-</t>
        </is>
      </c>
      <c r="F866" s="0" t="inlineStr">
        <is>
          <t xml:space="preserve">-</t>
        </is>
      </c>
      <c r="G866" s="5">
        <v>0.0332</v>
      </c>
      <c r="H866" s="0" t="inlineStr">
        <is>
          <t xml:space="preserve">supplier</t>
        </is>
      </c>
      <c r="I866" s="0" t="inlineStr">
        <is>
          <t xml:space="preserve">unbucketed</t>
        </is>
      </c>
      <c r="J866" s="0" t="inlineStr">
        <is>
          <t xml:space="preserve">residual</t>
        </is>
      </c>
      <c r="K866" s="5">
        <v>0</v>
      </c>
      <c r="L866" s="5">
        <v>0</v>
      </c>
      <c r="M866" s="5">
        <v>0.0332</v>
      </c>
      <c r="N866" s="5">
        <v>0.0</v>
      </c>
      <c r="O866" s="5">
        <v>0.0</v>
      </c>
      <c r="P866" s="5">
        <v>0.0</v>
      </c>
      <c r="Q866" s="5">
        <v>0.0</v>
      </c>
      <c r="R866" s="5">
        <v>0.0</v>
      </c>
      <c r="S866" s="5">
        <v>0.0</v>
      </c>
      <c r="T866" s="5">
        <v>0.0</v>
      </c>
      <c r="U866" s="5">
        <v>0.0</v>
      </c>
    </row>
    <row r="867" outlineLevel="1">
      <c r="B867" s="0" t="inlineStr">
        <is>
          <t xml:space="preserve">JOHNSON CONTROLS INTERNATIONAL PUBLIC LIMITED COMPANY</t>
        </is>
      </c>
      <c r="C867" s="0" t="inlineStr">
        <is>
          <t xml:space="preserve">YV2MG1WKYEQ3</t>
        </is>
      </c>
      <c r="D867" s="0" t="inlineStr">
        <is>
          <t xml:space="preserve">-</t>
        </is>
      </c>
      <c r="E867" s="0" t="inlineStr">
        <is>
          <t xml:space="preserve">-</t>
        </is>
      </c>
      <c r="F867" s="0" t="inlineStr">
        <is>
          <t xml:space="preserve">-</t>
        </is>
      </c>
      <c r="G867" s="5">
        <v>0.0325</v>
      </c>
      <c r="H867" s="0" t="inlineStr">
        <is>
          <t xml:space="preserve">supplier</t>
        </is>
      </c>
      <c r="I867" s="0" t="inlineStr">
        <is>
          <t xml:space="preserve">unbucketed</t>
        </is>
      </c>
      <c r="J867" s="0" t="inlineStr">
        <is>
          <t xml:space="preserve">residual</t>
        </is>
      </c>
      <c r="K867" s="5">
        <v>0</v>
      </c>
      <c r="L867" s="5">
        <v>0</v>
      </c>
      <c r="M867" s="5">
        <v>0.0325</v>
      </c>
      <c r="N867" s="5">
        <v>0.0</v>
      </c>
      <c r="O867" s="5">
        <v>0.0</v>
      </c>
      <c r="P867" s="5">
        <v>0.0</v>
      </c>
      <c r="Q867" s="5">
        <v>0.0</v>
      </c>
      <c r="R867" s="5">
        <v>0.0</v>
      </c>
      <c r="S867" s="5">
        <v>0.0</v>
      </c>
      <c r="T867" s="5">
        <v>0.0</v>
      </c>
      <c r="U867" s="5">
        <v>0.0</v>
      </c>
    </row>
    <row r="868" outlineLevel="1">
      <c r="B868" s="0" t="inlineStr">
        <is>
          <t xml:space="preserve">ANVER CORPORATION</t>
        </is>
      </c>
      <c r="C868" s="0" t="inlineStr">
        <is>
          <t xml:space="preserve">ZG54KTLANAU7</t>
        </is>
      </c>
      <c r="D868" s="0" t="inlineStr">
        <is>
          <t xml:space="preserve">-</t>
        </is>
      </c>
      <c r="E868" s="0" t="inlineStr">
        <is>
          <t xml:space="preserve">-</t>
        </is>
      </c>
      <c r="F868" s="0" t="inlineStr">
        <is>
          <t xml:space="preserve">-</t>
        </is>
      </c>
      <c r="G868" s="5">
        <v>0.03249</v>
      </c>
      <c r="H868" s="0" t="inlineStr">
        <is>
          <t xml:space="preserve">supplier</t>
        </is>
      </c>
      <c r="I868" s="0" t="inlineStr">
        <is>
          <t xml:space="preserve">unbucketed</t>
        </is>
      </c>
      <c r="J868" s="0" t="inlineStr">
        <is>
          <t xml:space="preserve">residual</t>
        </is>
      </c>
      <c r="K868" s="5">
        <v>0</v>
      </c>
      <c r="L868" s="5">
        <v>0</v>
      </c>
      <c r="M868" s="5">
        <v>0.03249</v>
      </c>
      <c r="N868" s="5">
        <v>0.0</v>
      </c>
      <c r="O868" s="5">
        <v>0.0</v>
      </c>
      <c r="P868" s="5">
        <v>0.0</v>
      </c>
      <c r="Q868" s="5">
        <v>0.0</v>
      </c>
      <c r="R868" s="5">
        <v>0.0</v>
      </c>
      <c r="S868" s="5">
        <v>0.0</v>
      </c>
      <c r="T868" s="5">
        <v>0.0</v>
      </c>
      <c r="U868" s="5">
        <v>0.0</v>
      </c>
    </row>
    <row r="869" outlineLevel="1">
      <c r="B869" s="0" t="inlineStr">
        <is>
          <t xml:space="preserve">TEAM INDUSTRIES INC</t>
        </is>
      </c>
      <c r="C869" s="0" t="inlineStr">
        <is>
          <t xml:space="preserve">HKB9G8NZ5P66</t>
        </is>
      </c>
      <c r="D869" s="0" t="inlineStr">
        <is>
          <t xml:space="preserve">-</t>
        </is>
      </c>
      <c r="E869" s="0" t="inlineStr">
        <is>
          <t xml:space="preserve">-</t>
        </is>
      </c>
      <c r="F869" s="0" t="inlineStr">
        <is>
          <t xml:space="preserve">-</t>
        </is>
      </c>
      <c r="G869" s="5">
        <v>0.03243</v>
      </c>
      <c r="H869" s="0" t="inlineStr">
        <is>
          <t xml:space="preserve">supplier</t>
        </is>
      </c>
      <c r="I869" s="0" t="inlineStr">
        <is>
          <t xml:space="preserve">unbucketed</t>
        </is>
      </c>
      <c r="J869" s="0" t="inlineStr">
        <is>
          <t xml:space="preserve">residual</t>
        </is>
      </c>
      <c r="K869" s="5">
        <v>0</v>
      </c>
      <c r="L869" s="5">
        <v>0</v>
      </c>
      <c r="M869" s="5">
        <v>0.03243</v>
      </c>
      <c r="N869" s="5">
        <v>0.0</v>
      </c>
      <c r="O869" s="5">
        <v>0.0</v>
      </c>
      <c r="P869" s="5">
        <v>0.0</v>
      </c>
      <c r="Q869" s="5">
        <v>0.0</v>
      </c>
      <c r="R869" s="5">
        <v>0.0</v>
      </c>
      <c r="S869" s="5">
        <v>0.0</v>
      </c>
      <c r="T869" s="5">
        <v>0.03243</v>
      </c>
      <c r="U869" s="5">
        <v>0.0</v>
      </c>
    </row>
    <row r="870" outlineLevel="1">
      <c r="B870" s="0" t="inlineStr">
        <is>
          <t xml:space="preserve">PTC INC.</t>
        </is>
      </c>
      <c r="C870" s="0" t="inlineStr">
        <is>
          <t xml:space="preserve">T6HMTJ6CTRF5</t>
        </is>
      </c>
      <c r="D870" s="0" t="inlineStr">
        <is>
          <t xml:space="preserve">-</t>
        </is>
      </c>
      <c r="E870" s="0" t="inlineStr">
        <is>
          <t xml:space="preserve">-</t>
        </is>
      </c>
      <c r="F870" s="0" t="inlineStr">
        <is>
          <t xml:space="preserve">-</t>
        </is>
      </c>
      <c r="G870" s="5">
        <v>0.0323</v>
      </c>
      <c r="H870" s="0" t="inlineStr">
        <is>
          <t xml:space="preserve">supplier</t>
        </is>
      </c>
      <c r="I870" s="0" t="inlineStr">
        <is>
          <t xml:space="preserve">unbucketed</t>
        </is>
      </c>
      <c r="J870" s="0" t="inlineStr">
        <is>
          <t xml:space="preserve">residual</t>
        </is>
      </c>
      <c r="K870" s="5">
        <v>0</v>
      </c>
      <c r="L870" s="5">
        <v>0</v>
      </c>
      <c r="M870" s="5">
        <v>0.0323</v>
      </c>
      <c r="N870" s="5">
        <v>0.0</v>
      </c>
      <c r="O870" s="5">
        <v>0.0</v>
      </c>
      <c r="P870" s="5">
        <v>0.0</v>
      </c>
      <c r="Q870" s="5">
        <v>0.0</v>
      </c>
      <c r="R870" s="5">
        <v>0.0</v>
      </c>
      <c r="S870" s="5">
        <v>0.0</v>
      </c>
      <c r="T870" s="5">
        <v>0.0323</v>
      </c>
      <c r="U870" s="5">
        <v>0.0</v>
      </c>
    </row>
    <row r="871" outlineLevel="1">
      <c r="B871" s="0" t="inlineStr">
        <is>
          <t xml:space="preserve">GENERAL DYNAMICS INFORMATION TECHNOLOGY, INC.</t>
        </is>
      </c>
      <c r="C871" s="0" t="inlineStr">
        <is>
          <t xml:space="preserve">SMNWM6HN79X5</t>
        </is>
      </c>
      <c r="D871" s="0" t="inlineStr">
        <is>
          <t xml:space="preserve">-</t>
        </is>
      </c>
      <c r="E871" s="0" t="inlineStr">
        <is>
          <t xml:space="preserve">-</t>
        </is>
      </c>
      <c r="F871" s="0" t="inlineStr">
        <is>
          <t xml:space="preserve">-</t>
        </is>
      </c>
      <c r="G871" s="5">
        <v>0.03229</v>
      </c>
      <c r="H871" s="0" t="inlineStr">
        <is>
          <t xml:space="preserve">prime</t>
        </is>
      </c>
      <c r="I871" s="0" t="inlineStr">
        <is>
          <t xml:space="preserve">-</t>
        </is>
      </c>
      <c r="J871" s="0" t="inlineStr">
        <is>
          <t xml:space="preserve">prime/co-prime name</t>
        </is>
      </c>
      <c r="K871" s="5">
        <v>0</v>
      </c>
      <c r="L871" s="5">
        <v>0</v>
      </c>
      <c r="M871" s="5">
        <v>0.03229</v>
      </c>
      <c r="N871" s="5">
        <v>0.0</v>
      </c>
      <c r="O871" s="5">
        <v>0.0</v>
      </c>
      <c r="P871" s="5">
        <v>0.0</v>
      </c>
      <c r="Q871" s="5">
        <v>0.03229</v>
      </c>
      <c r="R871" s="5">
        <v>0.0</v>
      </c>
      <c r="S871" s="5">
        <v>0.0</v>
      </c>
      <c r="T871" s="5">
        <v>0.0</v>
      </c>
      <c r="U871" s="5">
        <v>0.0</v>
      </c>
    </row>
    <row r="872" outlineLevel="1">
      <c r="B872" s="0" t="inlineStr">
        <is>
          <t xml:space="preserve">LEXINGTON SOFT LLC</t>
        </is>
      </c>
      <c r="C872" s="0" t="inlineStr">
        <is>
          <t xml:space="preserve">F4JJL7645T67</t>
        </is>
      </c>
      <c r="D872" s="0" t="inlineStr">
        <is>
          <t xml:space="preserve">-</t>
        </is>
      </c>
      <c r="E872" s="0" t="inlineStr">
        <is>
          <t xml:space="preserve">-</t>
        </is>
      </c>
      <c r="F872" s="0" t="inlineStr">
        <is>
          <t xml:space="preserve">-</t>
        </is>
      </c>
      <c r="G872" s="5">
        <v>0.032189</v>
      </c>
      <c r="H872" s="0" t="inlineStr">
        <is>
          <t xml:space="preserve">supplier</t>
        </is>
      </c>
      <c r="I872" s="0" t="inlineStr">
        <is>
          <t xml:space="preserve">unbucketed</t>
        </is>
      </c>
      <c r="J872" s="0" t="inlineStr">
        <is>
          <t xml:space="preserve">residual</t>
        </is>
      </c>
      <c r="K872" s="5">
        <v>0</v>
      </c>
      <c r="L872" s="5">
        <v>0</v>
      </c>
      <c r="M872" s="5">
        <v>0.032189</v>
      </c>
      <c r="N872" s="5">
        <v>0.0</v>
      </c>
      <c r="O872" s="5">
        <v>0.0</v>
      </c>
      <c r="P872" s="5">
        <v>0.0</v>
      </c>
      <c r="Q872" s="5">
        <v>0.0</v>
      </c>
      <c r="R872" s="5">
        <v>0.0</v>
      </c>
      <c r="S872" s="5">
        <v>0.0</v>
      </c>
      <c r="T872" s="5">
        <v>0.0</v>
      </c>
      <c r="U872" s="5">
        <v>0.0</v>
      </c>
    </row>
    <row r="873" outlineLevel="1">
      <c r="B873" s="0" t="inlineStr">
        <is>
          <t xml:space="preserve">SPECTRIS PLC</t>
        </is>
      </c>
      <c r="C873" s="0" t="inlineStr">
        <is>
          <t xml:space="preserve">YK46GJRH4W87</t>
        </is>
      </c>
      <c r="D873" s="0" t="inlineStr">
        <is>
          <t xml:space="preserve">-</t>
        </is>
      </c>
      <c r="E873" s="0" t="inlineStr">
        <is>
          <t xml:space="preserve">-</t>
        </is>
      </c>
      <c r="F873" s="0" t="inlineStr">
        <is>
          <t xml:space="preserve">-</t>
        </is>
      </c>
      <c r="G873" s="5">
        <v>0.032111</v>
      </c>
      <c r="H873" s="0" t="inlineStr">
        <is>
          <t xml:space="preserve">supplier</t>
        </is>
      </c>
      <c r="I873" s="0" t="inlineStr">
        <is>
          <t xml:space="preserve">unbucketed</t>
        </is>
      </c>
      <c r="J873" s="0" t="inlineStr">
        <is>
          <t xml:space="preserve">residual</t>
        </is>
      </c>
      <c r="K873" s="5">
        <v>0</v>
      </c>
      <c r="L873" s="5">
        <v>0</v>
      </c>
      <c r="M873" s="5">
        <v>0.032111</v>
      </c>
      <c r="N873" s="5">
        <v>0.0</v>
      </c>
      <c r="O873" s="5">
        <v>0.0</v>
      </c>
      <c r="P873" s="5">
        <v>0.0</v>
      </c>
      <c r="Q873" s="5">
        <v>0.0</v>
      </c>
      <c r="R873" s="5">
        <v>0.032111</v>
      </c>
      <c r="S873" s="5">
        <v>0.0</v>
      </c>
      <c r="T873" s="5">
        <v>0.0</v>
      </c>
      <c r="U873" s="5">
        <v>0.0</v>
      </c>
    </row>
    <row r="874" outlineLevel="1">
      <c r="B874" s="0" t="inlineStr">
        <is>
          <t xml:space="preserve">UNITED TITANIUM, INC.</t>
        </is>
      </c>
      <c r="C874" s="0" t="inlineStr">
        <is>
          <t xml:space="preserve">X65QG1LNA3J3</t>
        </is>
      </c>
      <c r="D874" s="0" t="inlineStr">
        <is>
          <t xml:space="preserve">-</t>
        </is>
      </c>
      <c r="E874" s="0" t="inlineStr">
        <is>
          <t xml:space="preserve">-</t>
        </is>
      </c>
      <c r="F874" s="0" t="inlineStr">
        <is>
          <t xml:space="preserve">-</t>
        </is>
      </c>
      <c r="G874" s="5">
        <v>0.0318591</v>
      </c>
      <c r="H874" s="0" t="inlineStr">
        <is>
          <t xml:space="preserve">supplier</t>
        </is>
      </c>
      <c r="I874" s="0" t="inlineStr">
        <is>
          <t xml:space="preserve">unbucketed</t>
        </is>
      </c>
      <c r="J874" s="0" t="inlineStr">
        <is>
          <t xml:space="preserve">residual</t>
        </is>
      </c>
      <c r="K874" s="5">
        <v>0</v>
      </c>
      <c r="L874" s="5">
        <v>0</v>
      </c>
      <c r="M874" s="5">
        <v>0.0318591</v>
      </c>
      <c r="N874" s="5">
        <v>0.0318591</v>
      </c>
      <c r="O874" s="5">
        <v>0.0</v>
      </c>
      <c r="P874" s="5">
        <v>0.0</v>
      </c>
      <c r="Q874" s="5">
        <v>0.0</v>
      </c>
      <c r="R874" s="5">
        <v>0.0</v>
      </c>
      <c r="S874" s="5">
        <v>0.0</v>
      </c>
      <c r="T874" s="5">
        <v>0.0</v>
      </c>
      <c r="U874" s="5">
        <v>0.0</v>
      </c>
    </row>
    <row r="875" outlineLevel="1">
      <c r="B875" s="0" t="inlineStr">
        <is>
          <t xml:space="preserve">SOUTHERN GEAR &amp; MACHINE INC</t>
        </is>
      </c>
      <c r="C875" s="0" t="inlineStr">
        <is>
          <t xml:space="preserve">V7GQF5M7C667</t>
        </is>
      </c>
      <c r="D875" s="0" t="inlineStr">
        <is>
          <t xml:space="preserve">-</t>
        </is>
      </c>
      <c r="E875" s="0" t="inlineStr">
        <is>
          <t xml:space="preserve">-</t>
        </is>
      </c>
      <c r="F875" s="0" t="inlineStr">
        <is>
          <t xml:space="preserve">-</t>
        </is>
      </c>
      <c r="G875" s="5">
        <v>0.0318478</v>
      </c>
      <c r="H875" s="0" t="inlineStr">
        <is>
          <t xml:space="preserve">supplier</t>
        </is>
      </c>
      <c r="I875" s="0" t="inlineStr">
        <is>
          <t xml:space="preserve">unbucketed</t>
        </is>
      </c>
      <c r="J875" s="0" t="inlineStr">
        <is>
          <t xml:space="preserve">residual</t>
        </is>
      </c>
      <c r="K875" s="5">
        <v>0</v>
      </c>
      <c r="L875" s="5">
        <v>0</v>
      </c>
      <c r="M875" s="5">
        <v>0.0318478</v>
      </c>
      <c r="N875" s="5">
        <v>0.0</v>
      </c>
      <c r="O875" s="5">
        <v>0.0</v>
      </c>
      <c r="P875" s="5">
        <v>0.0</v>
      </c>
      <c r="Q875" s="5">
        <v>0.0</v>
      </c>
      <c r="R875" s="5">
        <v>0.0</v>
      </c>
      <c r="S875" s="5">
        <v>0.0318478</v>
      </c>
      <c r="T875" s="5">
        <v>0.0</v>
      </c>
      <c r="U875" s="5">
        <v>0.0</v>
      </c>
    </row>
    <row r="876" outlineLevel="1">
      <c r="B876" s="0" t="inlineStr">
        <is>
          <t xml:space="preserve">SPACECRAFT COMPONENTS CORP</t>
        </is>
      </c>
      <c r="C876" s="0" t="inlineStr">
        <is>
          <t xml:space="preserve">PNHTDAAYRXL3</t>
        </is>
      </c>
      <c r="D876" s="0" t="inlineStr">
        <is>
          <t xml:space="preserve">-</t>
        </is>
      </c>
      <c r="E876" s="0" t="inlineStr">
        <is>
          <t xml:space="preserve">-</t>
        </is>
      </c>
      <c r="F876" s="0" t="inlineStr">
        <is>
          <t xml:space="preserve">-</t>
        </is>
      </c>
      <c r="G876" s="5">
        <v>0.03181152</v>
      </c>
      <c r="H876" s="0" t="inlineStr">
        <is>
          <t xml:space="preserve">supplier</t>
        </is>
      </c>
      <c r="I876" s="0" t="inlineStr">
        <is>
          <t xml:space="preserve">unbucketed</t>
        </is>
      </c>
      <c r="J876" s="0" t="inlineStr">
        <is>
          <t xml:space="preserve">residual</t>
        </is>
      </c>
      <c r="K876" s="5">
        <v>0</v>
      </c>
      <c r="L876" s="5">
        <v>0</v>
      </c>
      <c r="M876" s="5">
        <v>0.03181152</v>
      </c>
      <c r="N876" s="5">
        <v>0.0</v>
      </c>
      <c r="O876" s="5">
        <v>0.0</v>
      </c>
      <c r="P876" s="5">
        <v>0.0</v>
      </c>
      <c r="Q876" s="5">
        <v>0.0</v>
      </c>
      <c r="R876" s="5">
        <v>0.0</v>
      </c>
      <c r="S876" s="5">
        <v>0.0</v>
      </c>
      <c r="T876" s="5">
        <v>0.03181152</v>
      </c>
      <c r="U876" s="5">
        <v>0.0</v>
      </c>
    </row>
    <row r="877" outlineLevel="1">
      <c r="B877" s="0" t="inlineStr">
        <is>
          <t xml:space="preserve">DIVERSIFIED METALS, INC.</t>
        </is>
      </c>
      <c r="C877" s="0" t="inlineStr">
        <is>
          <t xml:space="preserve">TT6NACMBJC38</t>
        </is>
      </c>
      <c r="D877" s="0" t="inlineStr">
        <is>
          <t xml:space="preserve">-</t>
        </is>
      </c>
      <c r="E877" s="0" t="inlineStr">
        <is>
          <t xml:space="preserve">-</t>
        </is>
      </c>
      <c r="F877" s="0" t="inlineStr">
        <is>
          <t xml:space="preserve">-</t>
        </is>
      </c>
      <c r="G877" s="5">
        <v>0.03121008</v>
      </c>
      <c r="H877" s="0" t="inlineStr">
        <is>
          <t xml:space="preserve">supplier</t>
        </is>
      </c>
      <c r="I877" s="0" t="inlineStr">
        <is>
          <t xml:space="preserve">unbucketed</t>
        </is>
      </c>
      <c r="J877" s="0" t="inlineStr">
        <is>
          <t xml:space="preserve">residual</t>
        </is>
      </c>
      <c r="K877" s="5">
        <v>0</v>
      </c>
      <c r="L877" s="5">
        <v>0</v>
      </c>
      <c r="M877" s="5">
        <v>0.03121008</v>
      </c>
      <c r="N877" s="5">
        <v>0.0</v>
      </c>
      <c r="O877" s="5">
        <v>0.0</v>
      </c>
      <c r="P877" s="5">
        <v>0.0</v>
      </c>
      <c r="Q877" s="5">
        <v>0.0</v>
      </c>
      <c r="R877" s="5">
        <v>0.0</v>
      </c>
      <c r="S877" s="5">
        <v>0.0</v>
      </c>
      <c r="T877" s="5">
        <v>0.0</v>
      </c>
      <c r="U877" s="5">
        <v>0.0</v>
      </c>
    </row>
    <row r="878" outlineLevel="1">
      <c r="B878" s="0" t="inlineStr">
        <is>
          <t xml:space="preserve">SIRIUS COMPUTER SOLUTIONS, INC.</t>
        </is>
      </c>
      <c r="C878" s="0" t="inlineStr">
        <is>
          <t xml:space="preserve">MFGMH9R7GMG3</t>
        </is>
      </c>
      <c r="D878" s="0" t="inlineStr">
        <is>
          <t xml:space="preserve">-</t>
        </is>
      </c>
      <c r="E878" s="0" t="inlineStr">
        <is>
          <t xml:space="preserve">-</t>
        </is>
      </c>
      <c r="F878" s="0" t="inlineStr">
        <is>
          <t xml:space="preserve">-</t>
        </is>
      </c>
      <c r="G878" s="5">
        <v>0.03099596</v>
      </c>
      <c r="H878" s="0" t="inlineStr">
        <is>
          <t xml:space="preserve">supplier</t>
        </is>
      </c>
      <c r="I878" s="0" t="inlineStr">
        <is>
          <t xml:space="preserve">unbucketed</t>
        </is>
      </c>
      <c r="J878" s="0" t="inlineStr">
        <is>
          <t xml:space="preserve">residual</t>
        </is>
      </c>
      <c r="K878" s="5">
        <v>0</v>
      </c>
      <c r="L878" s="5">
        <v>0</v>
      </c>
      <c r="M878" s="5">
        <v>0.03099596</v>
      </c>
      <c r="N878" s="5">
        <v>0.0</v>
      </c>
      <c r="O878" s="5">
        <v>0.0</v>
      </c>
      <c r="P878" s="5">
        <v>0.0</v>
      </c>
      <c r="Q878" s="5">
        <v>0.0</v>
      </c>
      <c r="R878" s="5">
        <v>0.0</v>
      </c>
      <c r="S878" s="5">
        <v>0.0</v>
      </c>
      <c r="T878" s="5">
        <v>0.0</v>
      </c>
      <c r="U878" s="5">
        <v>0.0</v>
      </c>
    </row>
    <row r="879" outlineLevel="1">
      <c r="B879" s="0" t="inlineStr">
        <is>
          <t xml:space="preserve">OCTOPUS INDUSTRIES, INC.</t>
        </is>
      </c>
      <c r="C879" s="0" t="inlineStr">
        <is>
          <t xml:space="preserve">KCYPSYNH1M94</t>
        </is>
      </c>
      <c r="D879" s="0" t="inlineStr">
        <is>
          <t xml:space="preserve">-</t>
        </is>
      </c>
      <c r="E879" s="0" t="inlineStr">
        <is>
          <t xml:space="preserve">-</t>
        </is>
      </c>
      <c r="F879" s="0" t="inlineStr">
        <is>
          <t xml:space="preserve">-</t>
        </is>
      </c>
      <c r="G879" s="5">
        <v>0.03</v>
      </c>
      <c r="H879" s="0" t="inlineStr">
        <is>
          <t xml:space="preserve">supplier</t>
        </is>
      </c>
      <c r="I879" s="0" t="inlineStr">
        <is>
          <t xml:space="preserve">unbucketed</t>
        </is>
      </c>
      <c r="J879" s="0" t="inlineStr">
        <is>
          <t xml:space="preserve">residual</t>
        </is>
      </c>
      <c r="K879" s="5">
        <v>0</v>
      </c>
      <c r="L879" s="5">
        <v>0</v>
      </c>
      <c r="M879" s="5">
        <v>0.03</v>
      </c>
      <c r="N879" s="5">
        <v>0.0</v>
      </c>
      <c r="O879" s="5">
        <v>0.0</v>
      </c>
      <c r="P879" s="5">
        <v>0.0</v>
      </c>
      <c r="Q879" s="5">
        <v>0.0</v>
      </c>
      <c r="R879" s="5">
        <v>0.0</v>
      </c>
      <c r="S879" s="5">
        <v>0.0</v>
      </c>
      <c r="T879" s="5">
        <v>0.0</v>
      </c>
      <c r="U879" s="5">
        <v>0.0</v>
      </c>
    </row>
    <row r="880" outlineLevel="1">
      <c r="B880" s="0" t="inlineStr">
        <is>
          <t xml:space="preserve">EMC SHOP, LLC, THE</t>
        </is>
      </c>
      <c r="C880" s="0" t="inlineStr">
        <is>
          <t xml:space="preserve">JKK6MTNJSLH6</t>
        </is>
      </c>
      <c r="D880" s="0" t="inlineStr">
        <is>
          <t xml:space="preserve">-</t>
        </is>
      </c>
      <c r="E880" s="0" t="inlineStr">
        <is>
          <t xml:space="preserve">-</t>
        </is>
      </c>
      <c r="F880" s="0" t="inlineStr">
        <is>
          <t xml:space="preserve">-</t>
        </is>
      </c>
      <c r="G880" s="5">
        <v>0.03</v>
      </c>
      <c r="H880" s="0" t="inlineStr">
        <is>
          <t xml:space="preserve">supplier</t>
        </is>
      </c>
      <c r="I880" s="0" t="inlineStr">
        <is>
          <t xml:space="preserve">unbucketed</t>
        </is>
      </c>
      <c r="J880" s="0" t="inlineStr">
        <is>
          <t xml:space="preserve">residual</t>
        </is>
      </c>
      <c r="K880" s="5">
        <v>0</v>
      </c>
      <c r="L880" s="5">
        <v>0</v>
      </c>
      <c r="M880" s="5">
        <v>0.03</v>
      </c>
      <c r="N880" s="5">
        <v>0.0</v>
      </c>
      <c r="O880" s="5">
        <v>0.0</v>
      </c>
      <c r="P880" s="5">
        <v>0.0</v>
      </c>
      <c r="Q880" s="5">
        <v>0.0</v>
      </c>
      <c r="R880" s="5">
        <v>0.03</v>
      </c>
      <c r="S880" s="5">
        <v>0.0</v>
      </c>
      <c r="T880" s="5">
        <v>0.0</v>
      </c>
      <c r="U880" s="5">
        <v>0.0</v>
      </c>
    </row>
    <row r="881" outlineLevel="1">
      <c r="B881" s="0" t="inlineStr">
        <is>
          <t xml:space="preserve">RAYTHEON COMPANY</t>
        </is>
      </c>
      <c r="C881" s="0" t="inlineStr">
        <is>
          <t xml:space="preserve">VTEWM5QSE598</t>
        </is>
      </c>
      <c r="D881" s="0" t="inlineStr">
        <is>
          <t xml:space="preserve">-</t>
        </is>
      </c>
      <c r="E881" s="0" t="inlineStr">
        <is>
          <t xml:space="preserve">-</t>
        </is>
      </c>
      <c r="F881" s="0" t="inlineStr">
        <is>
          <t xml:space="preserve">-</t>
        </is>
      </c>
      <c r="G881" s="5">
        <v>0.029903</v>
      </c>
      <c r="H881" s="0" t="inlineStr">
        <is>
          <t xml:space="preserve">gfe_sib</t>
        </is>
      </c>
      <c r="I881" s="0" t="inlineStr">
        <is>
          <t xml:space="preserve">-</t>
        </is>
      </c>
      <c r="J881" s="0" t="inlineStr">
        <is>
          <t xml:space="preserve">GFE/SIB name</t>
        </is>
      </c>
      <c r="K881" s="5">
        <v>0</v>
      </c>
      <c r="L881" s="5">
        <v>0</v>
      </c>
      <c r="M881" s="5">
        <v>0.029903</v>
      </c>
      <c r="N881" s="5">
        <v>0.0</v>
      </c>
      <c r="O881" s="5">
        <v>0.0</v>
      </c>
      <c r="P881" s="5">
        <v>0.0</v>
      </c>
      <c r="Q881" s="5">
        <v>0.0</v>
      </c>
      <c r="R881" s="5">
        <v>0.0</v>
      </c>
      <c r="S881" s="5">
        <v>0.0</v>
      </c>
      <c r="T881" s="5">
        <v>0.0</v>
      </c>
      <c r="U881" s="5">
        <v>0.0</v>
      </c>
    </row>
    <row r="882" outlineLevel="1">
      <c r="B882" s="0" t="inlineStr">
        <is>
          <t xml:space="preserve">B F METALS INC</t>
        </is>
      </c>
      <c r="C882" s="0" t="inlineStr">
        <is>
          <t xml:space="preserve">V8NJNRJ95KX5</t>
        </is>
      </c>
      <c r="D882" s="0" t="inlineStr">
        <is>
          <t xml:space="preserve">-</t>
        </is>
      </c>
      <c r="E882" s="0" t="inlineStr">
        <is>
          <t xml:space="preserve">-</t>
        </is>
      </c>
      <c r="F882" s="0" t="inlineStr">
        <is>
          <t xml:space="preserve">-</t>
        </is>
      </c>
      <c r="G882" s="5">
        <v>0.029689200000000002</v>
      </c>
      <c r="H882" s="0" t="inlineStr">
        <is>
          <t xml:space="preserve">supplier</t>
        </is>
      </c>
      <c r="I882" s="0" t="inlineStr">
        <is>
          <t xml:space="preserve">unbucketed</t>
        </is>
      </c>
      <c r="J882" s="0" t="inlineStr">
        <is>
          <t xml:space="preserve">residual</t>
        </is>
      </c>
      <c r="K882" s="5">
        <v>0</v>
      </c>
      <c r="L882" s="5">
        <v>0</v>
      </c>
      <c r="M882" s="5">
        <v>0.029689200000000002</v>
      </c>
      <c r="N882" s="5">
        <v>0.0</v>
      </c>
      <c r="O882" s="5">
        <v>0.0</v>
      </c>
      <c r="P882" s="5">
        <v>0.0</v>
      </c>
      <c r="Q882" s="5">
        <v>0.0</v>
      </c>
      <c r="R882" s="5">
        <v>0.0</v>
      </c>
      <c r="S882" s="5">
        <v>0.0</v>
      </c>
      <c r="T882" s="5">
        <v>0.0</v>
      </c>
      <c r="U882" s="5">
        <v>0.0</v>
      </c>
    </row>
    <row r="883" outlineLevel="1">
      <c r="B883" s="0" t="inlineStr">
        <is>
          <t xml:space="preserve">ELECTROCOMPONENTS PUBLIC LIMITED COMPANY</t>
        </is>
      </c>
      <c r="C883" s="0" t="inlineStr">
        <is>
          <t xml:space="preserve">F5P5K3L3ZMH5</t>
        </is>
      </c>
      <c r="D883" s="0" t="inlineStr">
        <is>
          <t xml:space="preserve">-</t>
        </is>
      </c>
      <c r="E883" s="0" t="inlineStr">
        <is>
          <t xml:space="preserve">-</t>
        </is>
      </c>
      <c r="F883" s="0" t="inlineStr">
        <is>
          <t xml:space="preserve">-</t>
        </is>
      </c>
      <c r="G883" s="5">
        <v>0.029448119999999998</v>
      </c>
      <c r="H883" s="0" t="inlineStr">
        <is>
          <t xml:space="preserve">supplier</t>
        </is>
      </c>
      <c r="I883" s="0" t="inlineStr">
        <is>
          <t xml:space="preserve">unbucketed</t>
        </is>
      </c>
      <c r="J883" s="0" t="inlineStr">
        <is>
          <t xml:space="preserve">residual</t>
        </is>
      </c>
      <c r="K883" s="5">
        <v>0</v>
      </c>
      <c r="L883" s="5">
        <v>0</v>
      </c>
      <c r="M883" s="5">
        <v>0.029448119999999998</v>
      </c>
      <c r="N883" s="5">
        <v>0.0</v>
      </c>
      <c r="O883" s="5">
        <v>0.0</v>
      </c>
      <c r="P883" s="5">
        <v>0.0</v>
      </c>
      <c r="Q883" s="5">
        <v>0.0</v>
      </c>
      <c r="R883" s="5">
        <v>0.0</v>
      </c>
      <c r="S883" s="5">
        <v>0.0</v>
      </c>
      <c r="T883" s="5">
        <v>0.0</v>
      </c>
      <c r="U883" s="5">
        <v>0.0</v>
      </c>
    </row>
    <row r="884" outlineLevel="1">
      <c r="B884" s="0" t="inlineStr">
        <is>
          <t xml:space="preserve">JAN ELECTRONIC SUPPLIES, INC.</t>
        </is>
      </c>
      <c r="C884" s="0" t="inlineStr">
        <is>
          <t xml:space="preserve">Z3KHMUV8E999</t>
        </is>
      </c>
      <c r="D884" s="0" t="inlineStr">
        <is>
          <t xml:space="preserve">-</t>
        </is>
      </c>
      <c r="E884" s="0" t="inlineStr">
        <is>
          <t xml:space="preserve">-</t>
        </is>
      </c>
      <c r="F884" s="0" t="inlineStr">
        <is>
          <t xml:space="preserve">-</t>
        </is>
      </c>
      <c r="G884" s="5">
        <v>0.028955030000000003</v>
      </c>
      <c r="H884" s="0" t="inlineStr">
        <is>
          <t xml:space="preserve">supplier</t>
        </is>
      </c>
      <c r="I884" s="0" t="inlineStr">
        <is>
          <t xml:space="preserve">unbucketed</t>
        </is>
      </c>
      <c r="J884" s="0" t="inlineStr">
        <is>
          <t xml:space="preserve">residual</t>
        </is>
      </c>
      <c r="K884" s="5">
        <v>0</v>
      </c>
      <c r="L884" s="5">
        <v>0</v>
      </c>
      <c r="M884" s="5">
        <v>0.028955030000000003</v>
      </c>
      <c r="N884" s="5">
        <v>0.0</v>
      </c>
      <c r="O884" s="5">
        <v>0.0</v>
      </c>
      <c r="P884" s="5">
        <v>0.0</v>
      </c>
      <c r="Q884" s="5">
        <v>0.0</v>
      </c>
      <c r="R884" s="5">
        <v>0.0</v>
      </c>
      <c r="S884" s="5">
        <v>0.0</v>
      </c>
      <c r="T884" s="5">
        <v>0.0</v>
      </c>
      <c r="U884" s="5">
        <v>0.0</v>
      </c>
    </row>
    <row r="885" outlineLevel="1">
      <c r="B885" s="0" t="inlineStr">
        <is>
          <t xml:space="preserve">HYSPAN PRECISION PRODUCTS, INC.</t>
        </is>
      </c>
      <c r="C885" s="0" t="inlineStr">
        <is>
          <t xml:space="preserve">GKN9NW23L2L9</t>
        </is>
      </c>
      <c r="D885" s="0" t="inlineStr">
        <is>
          <t xml:space="preserve">-</t>
        </is>
      </c>
      <c r="E885" s="0" t="inlineStr">
        <is>
          <t xml:space="preserve">-</t>
        </is>
      </c>
      <c r="F885" s="0" t="inlineStr">
        <is>
          <t xml:space="preserve">-</t>
        </is>
      </c>
      <c r="G885" s="5">
        <v>0.028251</v>
      </c>
      <c r="H885" s="0" t="inlineStr">
        <is>
          <t xml:space="preserve">supplier</t>
        </is>
      </c>
      <c r="I885" s="0" t="inlineStr">
        <is>
          <t xml:space="preserve">unbucketed</t>
        </is>
      </c>
      <c r="J885" s="0" t="inlineStr">
        <is>
          <t xml:space="preserve">residual</t>
        </is>
      </c>
      <c r="K885" s="5">
        <v>0</v>
      </c>
      <c r="L885" s="5">
        <v>0</v>
      </c>
      <c r="M885" s="5">
        <v>0.028251</v>
      </c>
      <c r="N885" s="5">
        <v>0.0</v>
      </c>
      <c r="O885" s="5">
        <v>0.0</v>
      </c>
      <c r="P885" s="5">
        <v>0.028251</v>
      </c>
      <c r="Q885" s="5">
        <v>0.0</v>
      </c>
      <c r="R885" s="5">
        <v>0.0</v>
      </c>
      <c r="S885" s="5">
        <v>0.0</v>
      </c>
      <c r="T885" s="5">
        <v>0.0</v>
      </c>
      <c r="U885" s="5">
        <v>0.0</v>
      </c>
    </row>
    <row r="886" outlineLevel="1">
      <c r="B886" s="0" t="inlineStr">
        <is>
          <t xml:space="preserve">L3HARRIS TECHNOLOGIES, INC.</t>
        </is>
      </c>
      <c r="C886" s="0" t="inlineStr">
        <is>
          <t xml:space="preserve">HLE1E2KALJA5</t>
        </is>
      </c>
      <c r="D886" s="0" t="inlineStr">
        <is>
          <t xml:space="preserve">USA</t>
        </is>
      </c>
      <c r="E886" s="0" t="inlineStr">
        <is>
          <t xml:space="preserve">3345</t>
        </is>
      </c>
      <c r="F886" s="0" t="inlineStr">
        <is>
          <t xml:space="preserve">Search, Detection, Navigation, Guidance, Aeronautical, and Nautical System and Instrument Manufacturing</t>
        </is>
      </c>
      <c r="G886" s="5">
        <v>0.027985</v>
      </c>
      <c r="H886" s="0" t="inlineStr">
        <is>
          <t xml:space="preserve">supplier</t>
        </is>
      </c>
      <c r="I886" s="0" t="inlineStr">
        <is>
          <t xml:space="preserve">electrical</t>
        </is>
      </c>
      <c r="J886" s="0" t="inlineStr">
        <is>
          <t xml:space="preserve">registry</t>
        </is>
      </c>
      <c r="K886" s="5">
        <v>0</v>
      </c>
      <c r="L886" s="5">
        <v>0</v>
      </c>
      <c r="M886" s="5">
        <v>0.027985</v>
      </c>
      <c r="N886" s="5">
        <v>0.0</v>
      </c>
      <c r="O886" s="5">
        <v>0.0</v>
      </c>
      <c r="P886" s="5">
        <v>0.0</v>
      </c>
      <c r="Q886" s="5">
        <v>0.0</v>
      </c>
      <c r="R886" s="5">
        <v>0.0</v>
      </c>
      <c r="S886" s="5">
        <v>0.0</v>
      </c>
      <c r="T886" s="5">
        <v>0.0</v>
      </c>
      <c r="U886" s="5">
        <v>0.0</v>
      </c>
    </row>
    <row r="887" outlineLevel="1">
      <c r="B887" s="0" t="inlineStr">
        <is>
          <t xml:space="preserve">HALLMAN SEPTIC SERVICE LLC</t>
        </is>
      </c>
      <c r="C887" s="0" t="inlineStr">
        <is>
          <t xml:space="preserve">PX5GZY3JUU27</t>
        </is>
      </c>
      <c r="D887" s="0" t="inlineStr">
        <is>
          <t xml:space="preserve">-</t>
        </is>
      </c>
      <c r="E887" s="0" t="inlineStr">
        <is>
          <t xml:space="preserve">-</t>
        </is>
      </c>
      <c r="F887" s="0" t="inlineStr">
        <is>
          <t xml:space="preserve">-</t>
        </is>
      </c>
      <c r="G887" s="5">
        <v>0.02785</v>
      </c>
      <c r="H887" s="0" t="inlineStr">
        <is>
          <t xml:space="preserve">supplier</t>
        </is>
      </c>
      <c r="I887" s="0" t="inlineStr">
        <is>
          <t xml:space="preserve">unbucketed</t>
        </is>
      </c>
      <c r="J887" s="0" t="inlineStr">
        <is>
          <t xml:space="preserve">residual</t>
        </is>
      </c>
      <c r="K887" s="5">
        <v>0</v>
      </c>
      <c r="L887" s="5">
        <v>0</v>
      </c>
      <c r="M887" s="5">
        <v>0.02785</v>
      </c>
      <c r="N887" s="5">
        <v>0.0</v>
      </c>
      <c r="O887" s="5">
        <v>0.0</v>
      </c>
      <c r="P887" s="5">
        <v>0.0</v>
      </c>
      <c r="Q887" s="5">
        <v>0.0</v>
      </c>
      <c r="R887" s="5">
        <v>0.0</v>
      </c>
      <c r="S887" s="5">
        <v>0.0</v>
      </c>
      <c r="T887" s="5">
        <v>0.0</v>
      </c>
      <c r="U887" s="5">
        <v>0.0</v>
      </c>
    </row>
    <row r="888" outlineLevel="1">
      <c r="B888" s="0" t="inlineStr">
        <is>
          <t xml:space="preserve">EBDG, INC.</t>
        </is>
      </c>
      <c r="C888" s="0" t="inlineStr">
        <is>
          <t xml:space="preserve">JMPNFJGDZLC7</t>
        </is>
      </c>
      <c r="D888" s="0" t="inlineStr">
        <is>
          <t xml:space="preserve">-</t>
        </is>
      </c>
      <c r="E888" s="0" t="inlineStr">
        <is>
          <t xml:space="preserve">-</t>
        </is>
      </c>
      <c r="F888" s="0" t="inlineStr">
        <is>
          <t xml:space="preserve">-</t>
        </is>
      </c>
      <c r="G888" s="5">
        <v>0.027754499999999998</v>
      </c>
      <c r="H888" s="0" t="inlineStr">
        <is>
          <t xml:space="preserve">supplier</t>
        </is>
      </c>
      <c r="I888" s="0" t="inlineStr">
        <is>
          <t xml:space="preserve">unbucketed</t>
        </is>
      </c>
      <c r="J888" s="0" t="inlineStr">
        <is>
          <t xml:space="preserve">residual</t>
        </is>
      </c>
      <c r="K888" s="5">
        <v>0</v>
      </c>
      <c r="L888" s="5">
        <v>0</v>
      </c>
      <c r="M888" s="5">
        <v>0.027754499999999998</v>
      </c>
      <c r="N888" s="5">
        <v>0.0</v>
      </c>
      <c r="O888" s="5">
        <v>0.0</v>
      </c>
      <c r="P888" s="5">
        <v>0.0</v>
      </c>
      <c r="Q888" s="5">
        <v>0.0</v>
      </c>
      <c r="R888" s="5">
        <v>0.0</v>
      </c>
      <c r="S888" s="5">
        <v>0.0</v>
      </c>
      <c r="T888" s="5">
        <v>0.0</v>
      </c>
      <c r="U888" s="5">
        <v>0.0</v>
      </c>
    </row>
    <row r="889" outlineLevel="1">
      <c r="B889" s="0" t="inlineStr">
        <is>
          <t xml:space="preserve">CRANE CO</t>
        </is>
      </c>
      <c r="C889" s="0" t="inlineStr">
        <is>
          <t xml:space="preserve">ZJYJB7MBFE56</t>
        </is>
      </c>
      <c r="D889" s="0" t="inlineStr">
        <is>
          <t xml:space="preserve">-</t>
        </is>
      </c>
      <c r="E889" s="0" t="inlineStr">
        <is>
          <t xml:space="preserve">-</t>
        </is>
      </c>
      <c r="F889" s="0" t="inlineStr">
        <is>
          <t xml:space="preserve">-</t>
        </is>
      </c>
      <c r="G889" s="5">
        <v>0.027592</v>
      </c>
      <c r="H889" s="0" t="inlineStr">
        <is>
          <t xml:space="preserve">supplier</t>
        </is>
      </c>
      <c r="I889" s="0" t="inlineStr">
        <is>
          <t xml:space="preserve">unbucketed</t>
        </is>
      </c>
      <c r="J889" s="0" t="inlineStr">
        <is>
          <t xml:space="preserve">residual</t>
        </is>
      </c>
      <c r="K889" s="5">
        <v>0</v>
      </c>
      <c r="L889" s="5">
        <v>0</v>
      </c>
      <c r="M889" s="5">
        <v>0.027592</v>
      </c>
      <c r="N889" s="5">
        <v>0.0</v>
      </c>
      <c r="O889" s="5">
        <v>0.0</v>
      </c>
      <c r="P889" s="5">
        <v>0.0</v>
      </c>
      <c r="Q889" s="5">
        <v>0.0</v>
      </c>
      <c r="R889" s="5">
        <v>0.027592</v>
      </c>
      <c r="S889" s="5">
        <v>0.0</v>
      </c>
      <c r="T889" s="5">
        <v>0.0</v>
      </c>
      <c r="U889" s="5">
        <v>0.0</v>
      </c>
    </row>
    <row r="890" outlineLevel="1">
      <c r="B890" s="0" t="inlineStr">
        <is>
          <t xml:space="preserve">WOLF ROBOTICS, LLC</t>
        </is>
      </c>
      <c r="C890" s="0" t="inlineStr">
        <is>
          <t xml:space="preserve">NNRGV1N3Y1G5</t>
        </is>
      </c>
      <c r="D890" s="0" t="inlineStr">
        <is>
          <t xml:space="preserve">-</t>
        </is>
      </c>
      <c r="E890" s="0" t="inlineStr">
        <is>
          <t xml:space="preserve">-</t>
        </is>
      </c>
      <c r="F890" s="0" t="inlineStr">
        <is>
          <t xml:space="preserve">-</t>
        </is>
      </c>
      <c r="G890" s="5">
        <v>0.02731271</v>
      </c>
      <c r="H890" s="0" t="inlineStr">
        <is>
          <t xml:space="preserve">supplier</t>
        </is>
      </c>
      <c r="I890" s="0" t="inlineStr">
        <is>
          <t xml:space="preserve">unbucketed</t>
        </is>
      </c>
      <c r="J890" s="0" t="inlineStr">
        <is>
          <t xml:space="preserve">residual</t>
        </is>
      </c>
      <c r="K890" s="5">
        <v>0</v>
      </c>
      <c r="L890" s="5">
        <v>0</v>
      </c>
      <c r="M890" s="5">
        <v>0.02731271</v>
      </c>
      <c r="N890" s="5">
        <v>0.0</v>
      </c>
      <c r="O890" s="5">
        <v>0.0</v>
      </c>
      <c r="P890" s="5">
        <v>0.0</v>
      </c>
      <c r="Q890" s="5">
        <v>0.0</v>
      </c>
      <c r="R890" s="5">
        <v>0.0</v>
      </c>
      <c r="S890" s="5">
        <v>0.0</v>
      </c>
      <c r="T890" s="5">
        <v>0.0</v>
      </c>
      <c r="U890" s="5">
        <v>0.0</v>
      </c>
    </row>
    <row r="891" outlineLevel="1">
      <c r="B891" s="0" t="inlineStr">
        <is>
          <t xml:space="preserve">ALBANY VALVE &amp; FITTING CO., INC.</t>
        </is>
      </c>
      <c r="C891" s="0" t="inlineStr">
        <is>
          <t xml:space="preserve">V8HLLRJLCQH6</t>
        </is>
      </c>
      <c r="D891" s="0" t="inlineStr">
        <is>
          <t xml:space="preserve">-</t>
        </is>
      </c>
      <c r="E891" s="0" t="inlineStr">
        <is>
          <t xml:space="preserve">-</t>
        </is>
      </c>
      <c r="F891" s="0" t="inlineStr">
        <is>
          <t xml:space="preserve">-</t>
        </is>
      </c>
      <c r="G891" s="5">
        <v>0.025248720000000002</v>
      </c>
      <c r="H891" s="0" t="inlineStr">
        <is>
          <t xml:space="preserve">supplier</t>
        </is>
      </c>
      <c r="I891" s="0" t="inlineStr">
        <is>
          <t xml:space="preserve">unbucketed</t>
        </is>
      </c>
      <c r="J891" s="0" t="inlineStr">
        <is>
          <t xml:space="preserve">residual</t>
        </is>
      </c>
      <c r="K891" s="5">
        <v>0</v>
      </c>
      <c r="L891" s="5">
        <v>0</v>
      </c>
      <c r="M891" s="5">
        <v>0.025248720000000002</v>
      </c>
      <c r="N891" s="5">
        <v>0.0</v>
      </c>
      <c r="O891" s="5">
        <v>0.0</v>
      </c>
      <c r="P891" s="5">
        <v>0.0</v>
      </c>
      <c r="Q891" s="5">
        <v>0.0</v>
      </c>
      <c r="R891" s="5">
        <v>0.0</v>
      </c>
      <c r="S891" s="5">
        <v>0.0</v>
      </c>
      <c r="T891" s="5">
        <v>0.0</v>
      </c>
      <c r="U891" s="5">
        <v>0.0</v>
      </c>
    </row>
    <row r="892" outlineLevel="1">
      <c r="B892" s="0" t="inlineStr">
        <is>
          <t xml:space="preserve">HELIX ACQUISITION HOLDINGS, INC.</t>
        </is>
      </c>
      <c r="C892" s="0" t="inlineStr">
        <is>
          <t xml:space="preserve">LKUNMC2NEY97</t>
        </is>
      </c>
      <c r="D892" s="0" t="inlineStr">
        <is>
          <t xml:space="preserve">-</t>
        </is>
      </c>
      <c r="E892" s="0" t="inlineStr">
        <is>
          <t xml:space="preserve">-</t>
        </is>
      </c>
      <c r="F892" s="0" t="inlineStr">
        <is>
          <t xml:space="preserve">-</t>
        </is>
      </c>
      <c r="G892" s="5">
        <v>0.025081600000000003</v>
      </c>
      <c r="H892" s="0" t="inlineStr">
        <is>
          <t xml:space="preserve">supplier</t>
        </is>
      </c>
      <c r="I892" s="0" t="inlineStr">
        <is>
          <t xml:space="preserve">unbucketed</t>
        </is>
      </c>
      <c r="J892" s="0" t="inlineStr">
        <is>
          <t xml:space="preserve">residual</t>
        </is>
      </c>
      <c r="K892" s="5">
        <v>0</v>
      </c>
      <c r="L892" s="5">
        <v>0</v>
      </c>
      <c r="M892" s="5">
        <v>0.025081600000000003</v>
      </c>
      <c r="N892" s="5">
        <v>-0.002809</v>
      </c>
      <c r="O892" s="5">
        <v>0.0</v>
      </c>
      <c r="P892" s="5">
        <v>0.0</v>
      </c>
      <c r="Q892" s="5">
        <v>0.0</v>
      </c>
      <c r="R892" s="5">
        <v>0.0</v>
      </c>
      <c r="S892" s="5">
        <v>0.0</v>
      </c>
      <c r="T892" s="5">
        <v>0.0</v>
      </c>
      <c r="U892" s="5">
        <v>0.0</v>
      </c>
    </row>
    <row r="893" outlineLevel="1">
      <c r="B893" s="0" t="inlineStr">
        <is>
          <t xml:space="preserve">RAYTHEON TECHNOLOGIES CORPORATION</t>
        </is>
      </c>
      <c r="C893" s="0" t="inlineStr">
        <is>
          <t xml:space="preserve">CBMZJ3Z5SC89</t>
        </is>
      </c>
      <c r="D893" s="0" t="inlineStr">
        <is>
          <t xml:space="preserve">-</t>
        </is>
      </c>
      <c r="E893" s="0" t="inlineStr">
        <is>
          <t xml:space="preserve">-</t>
        </is>
      </c>
      <c r="F893" s="0" t="inlineStr">
        <is>
          <t xml:space="preserve">-</t>
        </is>
      </c>
      <c r="G893" s="5">
        <v>0.02</v>
      </c>
      <c r="H893" s="0" t="inlineStr">
        <is>
          <t xml:space="preserve">supplier</t>
        </is>
      </c>
      <c r="I893" s="0" t="inlineStr">
        <is>
          <t xml:space="preserve">coatings</t>
        </is>
      </c>
      <c r="J893" s="0" t="inlineStr">
        <is>
          <t xml:space="preserve">registry</t>
        </is>
      </c>
      <c r="K893" s="5">
        <v>0</v>
      </c>
      <c r="L893" s="5">
        <v>0</v>
      </c>
      <c r="M893" s="5">
        <v>0.02</v>
      </c>
      <c r="N893" s="5">
        <v>0.0</v>
      </c>
      <c r="O893" s="5">
        <v>0.0</v>
      </c>
      <c r="P893" s="5">
        <v>0.0</v>
      </c>
      <c r="Q893" s="5">
        <v>0.0</v>
      </c>
      <c r="R893" s="5">
        <v>0.0</v>
      </c>
      <c r="S893" s="5">
        <v>0.0</v>
      </c>
      <c r="T893" s="5">
        <v>0.0</v>
      </c>
      <c r="U893" s="5">
        <v>0.0</v>
      </c>
    </row>
    <row r="894" outlineLevel="1">
      <c r="B894" s="0" t="inlineStr">
        <is>
          <t xml:space="preserve">CONCURRENT TECHNOLOGIES CORP</t>
        </is>
      </c>
      <c r="C894" s="0" t="inlineStr">
        <is>
          <t xml:space="preserve">KNW6WWRKELJ3</t>
        </is>
      </c>
      <c r="D894" s="0" t="inlineStr">
        <is>
          <t xml:space="preserve">-</t>
        </is>
      </c>
      <c r="E894" s="0" t="inlineStr">
        <is>
          <t xml:space="preserve">-</t>
        </is>
      </c>
      <c r="F894" s="0" t="inlineStr">
        <is>
          <t xml:space="preserve">-</t>
        </is>
      </c>
      <c r="G894" s="5">
        <v>0.02</v>
      </c>
      <c r="H894" s="0" t="inlineStr">
        <is>
          <t xml:space="preserve">supplier</t>
        </is>
      </c>
      <c r="I894" s="0" t="inlineStr">
        <is>
          <t xml:space="preserve">unbucketed</t>
        </is>
      </c>
      <c r="J894" s="0" t="inlineStr">
        <is>
          <t xml:space="preserve">residual</t>
        </is>
      </c>
      <c r="K894" s="5">
        <v>0</v>
      </c>
      <c r="L894" s="5">
        <v>0</v>
      </c>
      <c r="M894" s="5">
        <v>0.02</v>
      </c>
      <c r="N894" s="5">
        <v>0.0</v>
      </c>
      <c r="O894" s="5">
        <v>0.0</v>
      </c>
      <c r="P894" s="5">
        <v>0.0</v>
      </c>
      <c r="Q894" s="5">
        <v>0.0</v>
      </c>
      <c r="R894" s="5">
        <v>0.0</v>
      </c>
      <c r="S894" s="5">
        <v>0.0</v>
      </c>
      <c r="T894" s="5">
        <v>0.02</v>
      </c>
      <c r="U894" s="5">
        <v>0.0</v>
      </c>
    </row>
    <row r="895" outlineLevel="1">
      <c r="B895" s="0" t="inlineStr">
        <is>
          <t xml:space="preserve">WILLIAMS SCOTSMAN INC</t>
        </is>
      </c>
      <c r="C895" s="0" t="inlineStr">
        <is>
          <t xml:space="preserve">URUVKGK3FTV1</t>
        </is>
      </c>
      <c r="D895" s="0" t="inlineStr">
        <is>
          <t xml:space="preserve">-</t>
        </is>
      </c>
      <c r="E895" s="0" t="inlineStr">
        <is>
          <t xml:space="preserve">-</t>
        </is>
      </c>
      <c r="F895" s="0" t="inlineStr">
        <is>
          <t xml:space="preserve">-</t>
        </is>
      </c>
      <c r="G895" s="5">
        <v>0.0180716</v>
      </c>
      <c r="H895" s="0" t="inlineStr">
        <is>
          <t xml:space="preserve">supplier</t>
        </is>
      </c>
      <c r="I895" s="0" t="inlineStr">
        <is>
          <t xml:space="preserve">unbucketed</t>
        </is>
      </c>
      <c r="J895" s="0" t="inlineStr">
        <is>
          <t xml:space="preserve">residual</t>
        </is>
      </c>
      <c r="K895" s="5">
        <v>0</v>
      </c>
      <c r="L895" s="5">
        <v>0</v>
      </c>
      <c r="M895" s="5">
        <v>0.0180716</v>
      </c>
      <c r="N895" s="5">
        <v>0.0</v>
      </c>
      <c r="O895" s="5">
        <v>0.0</v>
      </c>
      <c r="P895" s="5">
        <v>0.0</v>
      </c>
      <c r="Q895" s="5">
        <v>0.0</v>
      </c>
      <c r="R895" s="5">
        <v>0.0180716</v>
      </c>
      <c r="S895" s="5">
        <v>0.0</v>
      </c>
      <c r="T895" s="5">
        <v>0.0</v>
      </c>
      <c r="U895" s="5">
        <v>0.0</v>
      </c>
    </row>
    <row r="896" outlineLevel="1">
      <c r="B896" s="0" t="inlineStr">
        <is>
          <t xml:space="preserve">JLL PARTNERS, LLC</t>
        </is>
      </c>
      <c r="C896" s="0" t="inlineStr">
        <is>
          <t xml:space="preserve">K5WVCD4GUK41</t>
        </is>
      </c>
      <c r="D896" s="0" t="inlineStr">
        <is>
          <t xml:space="preserve">-</t>
        </is>
      </c>
      <c r="E896" s="0" t="inlineStr">
        <is>
          <t xml:space="preserve">-</t>
        </is>
      </c>
      <c r="F896" s="0" t="inlineStr">
        <is>
          <t xml:space="preserve">-</t>
        </is>
      </c>
      <c r="G896" s="5">
        <v>0.01741521</v>
      </c>
      <c r="H896" s="0" t="inlineStr">
        <is>
          <t xml:space="preserve">supplier</t>
        </is>
      </c>
      <c r="I896" s="0" t="inlineStr">
        <is>
          <t xml:space="preserve">unbucketed</t>
        </is>
      </c>
      <c r="J896" s="0" t="inlineStr">
        <is>
          <t xml:space="preserve">residual</t>
        </is>
      </c>
      <c r="K896" s="5">
        <v>0</v>
      </c>
      <c r="L896" s="5">
        <v>0</v>
      </c>
      <c r="M896" s="5">
        <v>0.01741521</v>
      </c>
      <c r="N896" s="5">
        <v>0.03073701</v>
      </c>
      <c r="O896" s="5">
        <v>0.0</v>
      </c>
      <c r="P896" s="5">
        <v>0.0</v>
      </c>
      <c r="Q896" s="5">
        <v>0.0</v>
      </c>
      <c r="R896" s="5">
        <v>0.0</v>
      </c>
      <c r="S896" s="5">
        <v>0.0</v>
      </c>
      <c r="T896" s="5">
        <v>0.0</v>
      </c>
      <c r="U896" s="5">
        <v>0.0</v>
      </c>
    </row>
    <row r="897" outlineLevel="1">
      <c r="B897" s="0" t="inlineStr">
        <is>
          <t xml:space="preserve">WILMOT MODULAR STRUCTURES INC</t>
        </is>
      </c>
      <c r="C897" s="0" t="inlineStr">
        <is>
          <t xml:space="preserve">VMN5C8N5JXD7</t>
        </is>
      </c>
      <c r="D897" s="0" t="inlineStr">
        <is>
          <t xml:space="preserve">-</t>
        </is>
      </c>
      <c r="E897" s="0" t="inlineStr">
        <is>
          <t xml:space="preserve">-</t>
        </is>
      </c>
      <c r="F897" s="0" t="inlineStr">
        <is>
          <t xml:space="preserve">-</t>
        </is>
      </c>
      <c r="G897" s="5">
        <v>0.01694028</v>
      </c>
      <c r="H897" s="0" t="inlineStr">
        <is>
          <t xml:space="preserve">supplier</t>
        </is>
      </c>
      <c r="I897" s="0" t="inlineStr">
        <is>
          <t xml:space="preserve">unbucketed</t>
        </is>
      </c>
      <c r="J897" s="0" t="inlineStr">
        <is>
          <t xml:space="preserve">residual</t>
        </is>
      </c>
      <c r="K897" s="5">
        <v>0</v>
      </c>
      <c r="L897" s="5">
        <v>0</v>
      </c>
      <c r="M897" s="5">
        <v>0.01694028</v>
      </c>
      <c r="N897" s="5">
        <v>0.0</v>
      </c>
      <c r="O897" s="5">
        <v>0.0</v>
      </c>
      <c r="P897" s="5">
        <v>0.0</v>
      </c>
      <c r="Q897" s="5">
        <v>0.0</v>
      </c>
      <c r="R897" s="5">
        <v>0.0</v>
      </c>
      <c r="S897" s="5">
        <v>0.0</v>
      </c>
      <c r="T897" s="5">
        <v>-0.013803200000000002</v>
      </c>
      <c r="U897" s="5">
        <v>0.03074348</v>
      </c>
    </row>
    <row r="898" outlineLevel="1">
      <c r="B898" s="0" t="inlineStr">
        <is>
          <t xml:space="preserve">PRECISION MACHINE &amp; GEAR, INC.</t>
        </is>
      </c>
      <c r="C898" s="0" t="inlineStr">
        <is>
          <t xml:space="preserve">WN3KS9Z5JLK9</t>
        </is>
      </c>
      <c r="D898" s="0" t="inlineStr">
        <is>
          <t xml:space="preserve">-</t>
        </is>
      </c>
      <c r="E898" s="0" t="inlineStr">
        <is>
          <t xml:space="preserve">-</t>
        </is>
      </c>
      <c r="F898" s="0" t="inlineStr">
        <is>
          <t xml:space="preserve">-</t>
        </is>
      </c>
      <c r="G898" s="5">
        <v>0.016616999999999996</v>
      </c>
      <c r="H898" s="0" t="inlineStr">
        <is>
          <t xml:space="preserve">supplier</t>
        </is>
      </c>
      <c r="I898" s="0" t="inlineStr">
        <is>
          <t xml:space="preserve">unbucketed</t>
        </is>
      </c>
      <c r="J898" s="0" t="inlineStr">
        <is>
          <t xml:space="preserve">residual</t>
        </is>
      </c>
      <c r="K898" s="5">
        <v>0</v>
      </c>
      <c r="L898" s="5">
        <v>0</v>
      </c>
      <c r="M898" s="5">
        <v>0.016616999999999996</v>
      </c>
      <c r="N898" s="5">
        <v>0.0</v>
      </c>
      <c r="O898" s="5">
        <v>0.0</v>
      </c>
      <c r="P898" s="5">
        <v>0.0</v>
      </c>
      <c r="Q898" s="5">
        <v>0.0</v>
      </c>
      <c r="R898" s="5">
        <v>0.0</v>
      </c>
      <c r="S898" s="5">
        <v>0.0</v>
      </c>
      <c r="T898" s="5">
        <v>0.0</v>
      </c>
      <c r="U898" s="5">
        <v>0.0</v>
      </c>
    </row>
    <row r="899" outlineLevel="1">
      <c r="B899" s="0" t="inlineStr">
        <is>
          <t xml:space="preserve">NTS TECHNICAL SYSTEMS</t>
        </is>
      </c>
      <c r="C899" s="0" t="inlineStr">
        <is>
          <t xml:space="preserve">GAGNAGWFNY83</t>
        </is>
      </c>
      <c r="D899" s="0" t="inlineStr">
        <is>
          <t xml:space="preserve">-</t>
        </is>
      </c>
      <c r="E899" s="0" t="inlineStr">
        <is>
          <t xml:space="preserve">-</t>
        </is>
      </c>
      <c r="F899" s="0" t="inlineStr">
        <is>
          <t xml:space="preserve">-</t>
        </is>
      </c>
      <c r="G899" s="5">
        <v>0.0155</v>
      </c>
      <c r="H899" s="0" t="inlineStr">
        <is>
          <t xml:space="preserve">supplier</t>
        </is>
      </c>
      <c r="I899" s="0" t="inlineStr">
        <is>
          <t xml:space="preserve">unbucketed</t>
        </is>
      </c>
      <c r="J899" s="0" t="inlineStr">
        <is>
          <t xml:space="preserve">residual</t>
        </is>
      </c>
      <c r="K899" s="5">
        <v>0</v>
      </c>
      <c r="L899" s="5">
        <v>0</v>
      </c>
      <c r="M899" s="5">
        <v>0.0155</v>
      </c>
      <c r="N899" s="5">
        <v>0.0</v>
      </c>
      <c r="O899" s="5">
        <v>0.0</v>
      </c>
      <c r="P899" s="5">
        <v>0.0</v>
      </c>
      <c r="Q899" s="5">
        <v>0.0</v>
      </c>
      <c r="R899" s="5">
        <v>0.0</v>
      </c>
      <c r="S899" s="5">
        <v>0.0</v>
      </c>
      <c r="T899" s="5">
        <v>0.0</v>
      </c>
      <c r="U899" s="5">
        <v>0.0</v>
      </c>
    </row>
    <row r="900" outlineLevel="1">
      <c r="B900" s="0" t="inlineStr">
        <is>
          <t xml:space="preserve">NTS HOLDING CORPORATION INC</t>
        </is>
      </c>
      <c r="C900" s="0" t="inlineStr">
        <is>
          <t xml:space="preserve">VBFXNRMUYSK6</t>
        </is>
      </c>
      <c r="D900" s="0" t="inlineStr">
        <is>
          <t xml:space="preserve">-</t>
        </is>
      </c>
      <c r="E900" s="0" t="inlineStr">
        <is>
          <t xml:space="preserve">-</t>
        </is>
      </c>
      <c r="F900" s="0" t="inlineStr">
        <is>
          <t xml:space="preserve">-</t>
        </is>
      </c>
      <c r="G900" s="5">
        <v>0.01505</v>
      </c>
      <c r="H900" s="0" t="inlineStr">
        <is>
          <t xml:space="preserve">supplier</t>
        </is>
      </c>
      <c r="I900" s="0" t="inlineStr">
        <is>
          <t xml:space="preserve">unbucketed</t>
        </is>
      </c>
      <c r="J900" s="0" t="inlineStr">
        <is>
          <t xml:space="preserve">residual</t>
        </is>
      </c>
      <c r="K900" s="5">
        <v>0</v>
      </c>
      <c r="L900" s="5">
        <v>0</v>
      </c>
      <c r="M900" s="5">
        <v>0.01505</v>
      </c>
      <c r="N900" s="5">
        <v>0.0</v>
      </c>
      <c r="O900" s="5">
        <v>0.0</v>
      </c>
      <c r="P900" s="5">
        <v>0.0</v>
      </c>
      <c r="Q900" s="5">
        <v>0.0</v>
      </c>
      <c r="R900" s="5">
        <v>0.0</v>
      </c>
      <c r="S900" s="5">
        <v>0.0</v>
      </c>
      <c r="T900" s="5">
        <v>0.0</v>
      </c>
      <c r="U900" s="5">
        <v>0.0</v>
      </c>
    </row>
    <row r="901" outlineLevel="1">
      <c r="B901" s="0" t="inlineStr">
        <is>
          <t xml:space="preserve">RETLIF INCORPORATED</t>
        </is>
      </c>
      <c r="C901" s="0" t="inlineStr">
        <is>
          <t xml:space="preserve">GE3JLF1PZBM8</t>
        </is>
      </c>
      <c r="D901" s="0" t="inlineStr">
        <is>
          <t xml:space="preserve">-</t>
        </is>
      </c>
      <c r="E901" s="0" t="inlineStr">
        <is>
          <t xml:space="preserve">-</t>
        </is>
      </c>
      <c r="F901" s="0" t="inlineStr">
        <is>
          <t xml:space="preserve">-</t>
        </is>
      </c>
      <c r="G901" s="5">
        <v>0.012320000000000001</v>
      </c>
      <c r="H901" s="0" t="inlineStr">
        <is>
          <t xml:space="preserve">supplier</t>
        </is>
      </c>
      <c r="I901" s="0" t="inlineStr">
        <is>
          <t xml:space="preserve">unbucketed</t>
        </is>
      </c>
      <c r="J901" s="0" t="inlineStr">
        <is>
          <t xml:space="preserve">residual</t>
        </is>
      </c>
      <c r="K901" s="5">
        <v>0</v>
      </c>
      <c r="L901" s="5">
        <v>0</v>
      </c>
      <c r="M901" s="5">
        <v>0.012320000000000001</v>
      </c>
      <c r="N901" s="5">
        <v>0.0</v>
      </c>
      <c r="O901" s="5">
        <v>0.0</v>
      </c>
      <c r="P901" s="5">
        <v>0.0</v>
      </c>
      <c r="Q901" s="5">
        <v>0.0</v>
      </c>
      <c r="R901" s="5">
        <v>0.0</v>
      </c>
      <c r="S901" s="5">
        <v>0.0</v>
      </c>
      <c r="T901" s="5">
        <v>0.0</v>
      </c>
      <c r="U901" s="5">
        <v>0.0</v>
      </c>
    </row>
    <row r="902" outlineLevel="1">
      <c r="B902" s="0" t="inlineStr">
        <is>
          <t xml:space="preserve">NORTHROP GRUMMAN SYSTEMS CORPORATION</t>
        </is>
      </c>
      <c r="C902" s="0" t="inlineStr">
        <is>
          <t xml:space="preserve">LCV2N9FVV739</t>
        </is>
      </c>
      <c r="D902" s="0" t="inlineStr">
        <is>
          <t xml:space="preserve">-</t>
        </is>
      </c>
      <c r="E902" s="0" t="inlineStr">
        <is>
          <t xml:space="preserve">-</t>
        </is>
      </c>
      <c r="F902" s="0" t="inlineStr">
        <is>
          <t xml:space="preserve">-</t>
        </is>
      </c>
      <c r="G902" s="5">
        <v>0.012221</v>
      </c>
      <c r="H902" s="0" t="inlineStr">
        <is>
          <t xml:space="preserve">supplier</t>
        </is>
      </c>
      <c r="I902" s="0" t="inlineStr">
        <is>
          <t xml:space="preserve">electrical</t>
        </is>
      </c>
      <c r="J902" s="0" t="inlineStr">
        <is>
          <t xml:space="preserve">registry</t>
        </is>
      </c>
      <c r="K902" s="5">
        <v>0</v>
      </c>
      <c r="L902" s="5">
        <v>0</v>
      </c>
      <c r="M902" s="5">
        <v>0.012221</v>
      </c>
      <c r="N902" s="5">
        <v>0.0</v>
      </c>
      <c r="O902" s="5">
        <v>0.0</v>
      </c>
      <c r="P902" s="5">
        <v>0.0</v>
      </c>
      <c r="Q902" s="5">
        <v>0.0</v>
      </c>
      <c r="R902" s="5">
        <v>0.012221</v>
      </c>
      <c r="S902" s="5">
        <v>0.0</v>
      </c>
      <c r="T902" s="5">
        <v>0.0</v>
      </c>
      <c r="U902" s="5">
        <v>0.0</v>
      </c>
    </row>
    <row r="903" outlineLevel="1">
      <c r="B903" s="0" t="inlineStr">
        <is>
          <t xml:space="preserve">ARCADIA MANUFACTURING GROUP, INC.</t>
        </is>
      </c>
      <c r="C903" s="0" t="inlineStr">
        <is>
          <t xml:space="preserve">J3HWENQMNG69</t>
        </is>
      </c>
      <c r="D903" s="0" t="inlineStr">
        <is>
          <t xml:space="preserve">-</t>
        </is>
      </c>
      <c r="E903" s="0" t="inlineStr">
        <is>
          <t xml:space="preserve">-</t>
        </is>
      </c>
      <c r="F903" s="0" t="inlineStr">
        <is>
          <t xml:space="preserve">-</t>
        </is>
      </c>
      <c r="G903" s="5">
        <v>0.011202</v>
      </c>
      <c r="H903" s="0" t="inlineStr">
        <is>
          <t xml:space="preserve">supplier</t>
        </is>
      </c>
      <c r="I903" s="0" t="inlineStr">
        <is>
          <t xml:space="preserve">unbucketed</t>
        </is>
      </c>
      <c r="J903" s="0" t="inlineStr">
        <is>
          <t xml:space="preserve">residual</t>
        </is>
      </c>
      <c r="K903" s="5">
        <v>0</v>
      </c>
      <c r="L903" s="5">
        <v>0</v>
      </c>
      <c r="M903" s="5">
        <v>0.011202</v>
      </c>
      <c r="N903" s="5">
        <v>0.0</v>
      </c>
      <c r="O903" s="5">
        <v>0.0</v>
      </c>
      <c r="P903" s="5">
        <v>0.0</v>
      </c>
      <c r="Q903" s="5">
        <v>0.0</v>
      </c>
      <c r="R903" s="5">
        <v>0.0</v>
      </c>
      <c r="S903" s="5">
        <v>0.0</v>
      </c>
      <c r="T903" s="5">
        <v>0.0</v>
      </c>
      <c r="U903" s="5">
        <v>0.0</v>
      </c>
    </row>
    <row r="904" outlineLevel="1">
      <c r="B904" s="0" t="inlineStr">
        <is>
          <t xml:space="preserve">BRADDOCK HEAT TREATING CO.</t>
        </is>
      </c>
      <c r="C904" s="0" t="inlineStr">
        <is>
          <t xml:space="preserve">WQ8LDD3N2K24</t>
        </is>
      </c>
      <c r="D904" s="0" t="inlineStr">
        <is>
          <t xml:space="preserve">-</t>
        </is>
      </c>
      <c r="E904" s="0" t="inlineStr">
        <is>
          <t xml:space="preserve">-</t>
        </is>
      </c>
      <c r="F904" s="0" t="inlineStr">
        <is>
          <t xml:space="preserve">-</t>
        </is>
      </c>
      <c r="G904" s="5">
        <v>0.010700999999999999</v>
      </c>
      <c r="H904" s="0" t="inlineStr">
        <is>
          <t xml:space="preserve">supplier</t>
        </is>
      </c>
      <c r="I904" s="0" t="inlineStr">
        <is>
          <t xml:space="preserve">unbucketed</t>
        </is>
      </c>
      <c r="J904" s="0" t="inlineStr">
        <is>
          <t xml:space="preserve">residual</t>
        </is>
      </c>
      <c r="K904" s="5">
        <v>0</v>
      </c>
      <c r="L904" s="5">
        <v>0</v>
      </c>
      <c r="M904" s="5">
        <v>0.010700999999999999</v>
      </c>
      <c r="N904" s="5">
        <v>0.0</v>
      </c>
      <c r="O904" s="5">
        <v>0.0</v>
      </c>
      <c r="P904" s="5">
        <v>0.005595</v>
      </c>
      <c r="Q904" s="5">
        <v>0.005106</v>
      </c>
      <c r="R904" s="5">
        <v>0.0</v>
      </c>
      <c r="S904" s="5">
        <v>0.0</v>
      </c>
      <c r="T904" s="5">
        <v>0.0</v>
      </c>
      <c r="U904" s="5">
        <v>0.0</v>
      </c>
    </row>
    <row r="905" outlineLevel="1">
      <c r="B905" s="0" t="inlineStr">
        <is>
          <t xml:space="preserve">G.W. LISK CO, INC</t>
        </is>
      </c>
      <c r="C905" s="0" t="inlineStr">
        <is>
          <t xml:space="preserve">UKXMHUWSFLW7</t>
        </is>
      </c>
      <c r="D905" s="0" t="inlineStr">
        <is>
          <t xml:space="preserve">-</t>
        </is>
      </c>
      <c r="E905" s="0" t="inlineStr">
        <is>
          <t xml:space="preserve">-</t>
        </is>
      </c>
      <c r="F905" s="0" t="inlineStr">
        <is>
          <t xml:space="preserve">-</t>
        </is>
      </c>
      <c r="G905" s="5">
        <v>0.009387460000000002</v>
      </c>
      <c r="H905" s="0" t="inlineStr">
        <is>
          <t xml:space="preserve">supplier</t>
        </is>
      </c>
      <c r="I905" s="0" t="inlineStr">
        <is>
          <t xml:space="preserve">unbucketed</t>
        </is>
      </c>
      <c r="J905" s="0" t="inlineStr">
        <is>
          <t xml:space="preserve">residual</t>
        </is>
      </c>
      <c r="K905" s="5">
        <v>0</v>
      </c>
      <c r="L905" s="5">
        <v>0</v>
      </c>
      <c r="M905" s="5">
        <v>0.009387460000000002</v>
      </c>
      <c r="N905" s="5">
        <v>0.0007882599999999999</v>
      </c>
      <c r="O905" s="5">
        <v>0.0</v>
      </c>
      <c r="P905" s="5">
        <v>0.0</v>
      </c>
      <c r="Q905" s="5">
        <v>0.0</v>
      </c>
      <c r="R905" s="5">
        <v>0.008599200000000001</v>
      </c>
      <c r="S905" s="5">
        <v>0.0</v>
      </c>
      <c r="T905" s="5">
        <v>0.0</v>
      </c>
      <c r="U905" s="5">
        <v>0.0</v>
      </c>
    </row>
    <row r="906" outlineLevel="1">
      <c r="B906" s="0" t="inlineStr">
        <is>
          <t xml:space="preserve">DAYTON T. BROWN, INC.</t>
        </is>
      </c>
      <c r="C906" s="0" t="inlineStr">
        <is>
          <t xml:space="preserve">GN84UHWZJMR8</t>
        </is>
      </c>
      <c r="D906" s="0" t="inlineStr">
        <is>
          <t xml:space="preserve">-</t>
        </is>
      </c>
      <c r="E906" s="0" t="inlineStr">
        <is>
          <t xml:space="preserve">-</t>
        </is>
      </c>
      <c r="F906" s="0" t="inlineStr">
        <is>
          <t xml:space="preserve">-</t>
        </is>
      </c>
      <c r="G906" s="5">
        <v>0.008639999999999998</v>
      </c>
      <c r="H906" s="0" t="inlineStr">
        <is>
          <t xml:space="preserve">supplier</t>
        </is>
      </c>
      <c r="I906" s="0" t="inlineStr">
        <is>
          <t xml:space="preserve">unbucketed</t>
        </is>
      </c>
      <c r="J906" s="0" t="inlineStr">
        <is>
          <t xml:space="preserve">residual</t>
        </is>
      </c>
      <c r="K906" s="5">
        <v>0</v>
      </c>
      <c r="L906" s="5">
        <v>0</v>
      </c>
      <c r="M906" s="5">
        <v>0.008639999999999998</v>
      </c>
      <c r="N906" s="5">
        <v>0.0</v>
      </c>
      <c r="O906" s="5">
        <v>0.0</v>
      </c>
      <c r="P906" s="5">
        <v>0.0434</v>
      </c>
      <c r="Q906" s="5">
        <v>0.0</v>
      </c>
      <c r="R906" s="5">
        <v>0.0506</v>
      </c>
      <c r="S906" s="5">
        <v>0.0</v>
      </c>
      <c r="T906" s="5">
        <v>0.0</v>
      </c>
      <c r="U906" s="5">
        <v>0.0</v>
      </c>
    </row>
    <row r="907" outlineLevel="1">
      <c r="B907" s="0" t="inlineStr">
        <is>
          <t xml:space="preserve">COMNET COMMINCATIONS LLC</t>
        </is>
      </c>
      <c r="C907" s="0" t="inlineStr">
        <is>
          <t xml:space="preserve">EYSFY8B947C6</t>
        </is>
      </c>
      <c r="D907" s="0" t="inlineStr">
        <is>
          <t xml:space="preserve">-</t>
        </is>
      </c>
      <c r="E907" s="0" t="inlineStr">
        <is>
          <t xml:space="preserve">-</t>
        </is>
      </c>
      <c r="F907" s="0" t="inlineStr">
        <is>
          <t xml:space="preserve">-</t>
        </is>
      </c>
      <c r="G907" s="5">
        <v>0.006998889999999994</v>
      </c>
      <c r="H907" s="0" t="inlineStr">
        <is>
          <t xml:space="preserve">supplier</t>
        </is>
      </c>
      <c r="I907" s="0" t="inlineStr">
        <is>
          <t xml:space="preserve">unbucketed</t>
        </is>
      </c>
      <c r="J907" s="0" t="inlineStr">
        <is>
          <t xml:space="preserve">residual</t>
        </is>
      </c>
      <c r="K907" s="5">
        <v>0</v>
      </c>
      <c r="L907" s="5">
        <v>0</v>
      </c>
      <c r="M907" s="5">
        <v>0.006998889999999994</v>
      </c>
      <c r="N907" s="5">
        <v>0.0</v>
      </c>
      <c r="O907" s="5">
        <v>0.0</v>
      </c>
      <c r="P907" s="5">
        <v>0.0</v>
      </c>
      <c r="Q907" s="5">
        <v>0.0</v>
      </c>
      <c r="R907" s="5">
        <v>0.0</v>
      </c>
      <c r="S907" s="5">
        <v>0.0</v>
      </c>
      <c r="T907" s="5">
        <v>0.006998889999999994</v>
      </c>
      <c r="U907" s="5">
        <v>0.0</v>
      </c>
    </row>
    <row r="908" outlineLevel="1">
      <c r="B908" s="0" t="inlineStr">
        <is>
          <t xml:space="preserve">DAYTON T BROWN INC</t>
        </is>
      </c>
      <c r="C908" s="0" t="inlineStr">
        <is>
          <t xml:space="preserve">GN84UHWZJMR8</t>
        </is>
      </c>
      <c r="D908" s="0" t="inlineStr">
        <is>
          <t xml:space="preserve">-</t>
        </is>
      </c>
      <c r="E908" s="0" t="inlineStr">
        <is>
          <t xml:space="preserve">-</t>
        </is>
      </c>
      <c r="F908" s="0" t="inlineStr">
        <is>
          <t xml:space="preserve">-</t>
        </is>
      </c>
      <c r="G908" s="5">
        <v>0.0065</v>
      </c>
      <c r="H908" s="0" t="inlineStr">
        <is>
          <t xml:space="preserve">supplier</t>
        </is>
      </c>
      <c r="I908" s="0" t="inlineStr">
        <is>
          <t xml:space="preserve">unbucketed</t>
        </is>
      </c>
      <c r="J908" s="0" t="inlineStr">
        <is>
          <t xml:space="preserve">residual</t>
        </is>
      </c>
      <c r="K908" s="5">
        <v>0</v>
      </c>
      <c r="L908" s="5">
        <v>0</v>
      </c>
      <c r="M908" s="5">
        <v>0.0065</v>
      </c>
      <c r="N908" s="5">
        <v>0.0</v>
      </c>
      <c r="O908" s="5">
        <v>0.0</v>
      </c>
      <c r="P908" s="5">
        <v>0.0</v>
      </c>
      <c r="Q908" s="5">
        <v>0.0</v>
      </c>
      <c r="R908" s="5">
        <v>0.0065</v>
      </c>
      <c r="S908" s="5">
        <v>0.0</v>
      </c>
      <c r="T908" s="5">
        <v>0.0</v>
      </c>
      <c r="U908" s="5">
        <v>0.0</v>
      </c>
    </row>
    <row r="909" outlineLevel="1">
      <c r="B909" s="0" t="inlineStr">
        <is>
          <t xml:space="preserve">AIRSAN CORP</t>
        </is>
      </c>
      <c r="C909" s="0" t="inlineStr">
        <is>
          <t xml:space="preserve">JCY9NCTJF9J3</t>
        </is>
      </c>
      <c r="D909" s="0" t="inlineStr">
        <is>
          <t xml:space="preserve">-</t>
        </is>
      </c>
      <c r="E909" s="0" t="inlineStr">
        <is>
          <t xml:space="preserve">-</t>
        </is>
      </c>
      <c r="F909" s="0" t="inlineStr">
        <is>
          <t xml:space="preserve">-</t>
        </is>
      </c>
      <c r="G909" s="5">
        <v>0.0062689799999999995</v>
      </c>
      <c r="H909" s="0" t="inlineStr">
        <is>
          <t xml:space="preserve">supplier</t>
        </is>
      </c>
      <c r="I909" s="0" t="inlineStr">
        <is>
          <t xml:space="preserve">unbucketed</t>
        </is>
      </c>
      <c r="J909" s="0" t="inlineStr">
        <is>
          <t xml:space="preserve">residual</t>
        </is>
      </c>
      <c r="K909" s="5">
        <v>0</v>
      </c>
      <c r="L909" s="5">
        <v>0</v>
      </c>
      <c r="M909" s="5">
        <v>0.0062689799999999995</v>
      </c>
      <c r="N909" s="5">
        <v>0.0062689799999999995</v>
      </c>
      <c r="O909" s="5">
        <v>0.0</v>
      </c>
      <c r="P909" s="5">
        <v>0.0</v>
      </c>
      <c r="Q909" s="5">
        <v>0.0</v>
      </c>
      <c r="R909" s="5">
        <v>0.0</v>
      </c>
      <c r="S909" s="5">
        <v>0.0</v>
      </c>
      <c r="T909" s="5">
        <v>0.0</v>
      </c>
      <c r="U909" s="5">
        <v>0.0</v>
      </c>
    </row>
    <row r="910" outlineLevel="1">
      <c r="B910" s="0" t="inlineStr">
        <is>
          <t xml:space="preserve">LEONHARDT COMPANY INC</t>
        </is>
      </c>
      <c r="C910" s="0" t="inlineStr">
        <is>
          <t xml:space="preserve">JKN2Q1EHKF63</t>
        </is>
      </c>
      <c r="D910" s="0" t="inlineStr">
        <is>
          <t xml:space="preserve">-</t>
        </is>
      </c>
      <c r="E910" s="0" t="inlineStr">
        <is>
          <t xml:space="preserve">-</t>
        </is>
      </c>
      <c r="F910" s="0" t="inlineStr">
        <is>
          <t xml:space="preserve">-</t>
        </is>
      </c>
      <c r="G910" s="5">
        <v>0.00489299</v>
      </c>
      <c r="H910" s="0" t="inlineStr">
        <is>
          <t xml:space="preserve">supplier</t>
        </is>
      </c>
      <c r="I910" s="0" t="inlineStr">
        <is>
          <t xml:space="preserve">unbucketed</t>
        </is>
      </c>
      <c r="J910" s="0" t="inlineStr">
        <is>
          <t xml:space="preserve">residual</t>
        </is>
      </c>
      <c r="K910" s="5">
        <v>0</v>
      </c>
      <c r="L910" s="5">
        <v>0</v>
      </c>
      <c r="M910" s="5">
        <v>0.00489299</v>
      </c>
      <c r="N910" s="5">
        <v>0.0</v>
      </c>
      <c r="O910" s="5">
        <v>0.0</v>
      </c>
      <c r="P910" s="5">
        <v>0.0</v>
      </c>
      <c r="Q910" s="5">
        <v>0.0</v>
      </c>
      <c r="R910" s="5">
        <v>0.0</v>
      </c>
      <c r="S910" s="5">
        <v>0.0</v>
      </c>
      <c r="T910" s="5">
        <v>0.0</v>
      </c>
      <c r="U910" s="5">
        <v>0.0</v>
      </c>
    </row>
    <row r="911" outlineLevel="1">
      <c r="B911" s="0" t="inlineStr">
        <is>
          <t xml:space="preserve">BRIERE, TIM</t>
        </is>
      </c>
      <c r="C911" s="0" t="inlineStr">
        <is>
          <t xml:space="preserve">QB7EKDNK2E83</t>
        </is>
      </c>
      <c r="D911" s="0" t="inlineStr">
        <is>
          <t xml:space="preserve">USA</t>
        </is>
      </c>
      <c r="E911" s="0" t="inlineStr">
        <is>
          <t xml:space="preserve">3327</t>
        </is>
      </c>
      <c r="F911" s="0" t="inlineStr">
        <is>
          <t xml:space="preserve">Machine Shops</t>
        </is>
      </c>
      <c r="G911" s="5">
        <v>0.00384288</v>
      </c>
      <c r="H911" s="0" t="inlineStr">
        <is>
          <t xml:space="preserve">supplier</t>
        </is>
      </c>
      <c r="I911" s="0" t="inlineStr">
        <is>
          <t xml:space="preserve">machining</t>
        </is>
      </c>
      <c r="J911" s="0" t="inlineStr">
        <is>
          <t xml:space="preserve">naics4</t>
        </is>
      </c>
      <c r="K911" s="5">
        <v>0</v>
      </c>
      <c r="L911" s="5">
        <v>0</v>
      </c>
      <c r="M911" s="5">
        <v>0.00384288</v>
      </c>
      <c r="N911" s="5">
        <v>0.0</v>
      </c>
      <c r="O911" s="5">
        <v>0.0</v>
      </c>
      <c r="P911" s="5">
        <v>0.0</v>
      </c>
      <c r="Q911" s="5">
        <v>0.0</v>
      </c>
      <c r="R911" s="5">
        <v>0.0</v>
      </c>
      <c r="S911" s="5">
        <v>0.0</v>
      </c>
      <c r="T911" s="5">
        <v>0.0</v>
      </c>
      <c r="U911" s="5">
        <v>0.0</v>
      </c>
    </row>
    <row r="912" outlineLevel="1">
      <c r="B912" s="0" t="inlineStr">
        <is>
          <t xml:space="preserve">ROSS MACHINERY SALES, INC.</t>
        </is>
      </c>
      <c r="C912" s="0" t="inlineStr">
        <is>
          <t xml:space="preserve">MGFUP827VKV2</t>
        </is>
      </c>
      <c r="D912" s="0" t="inlineStr">
        <is>
          <t xml:space="preserve">-</t>
        </is>
      </c>
      <c r="E912" s="0" t="inlineStr">
        <is>
          <t xml:space="preserve">-</t>
        </is>
      </c>
      <c r="F912" s="0" t="inlineStr">
        <is>
          <t xml:space="preserve">-</t>
        </is>
      </c>
      <c r="G912" s="5">
        <v>0.00353</v>
      </c>
      <c r="H912" s="0" t="inlineStr">
        <is>
          <t xml:space="preserve">supplier</t>
        </is>
      </c>
      <c r="I912" s="0" t="inlineStr">
        <is>
          <t xml:space="preserve">unbucketed</t>
        </is>
      </c>
      <c r="J912" s="0" t="inlineStr">
        <is>
          <t xml:space="preserve">residual</t>
        </is>
      </c>
      <c r="K912" s="5">
        <v>0</v>
      </c>
      <c r="L912" s="5">
        <v>0</v>
      </c>
      <c r="M912" s="5">
        <v>0.00353</v>
      </c>
      <c r="N912" s="5">
        <v>0.0</v>
      </c>
      <c r="O912" s="5">
        <v>0.0</v>
      </c>
      <c r="P912" s="5">
        <v>0.0</v>
      </c>
      <c r="Q912" s="5">
        <v>0.0</v>
      </c>
      <c r="R912" s="5">
        <v>0.0</v>
      </c>
      <c r="S912" s="5">
        <v>0.00353</v>
      </c>
      <c r="T912" s="5">
        <v>0.0</v>
      </c>
      <c r="U912" s="5">
        <v>0.0</v>
      </c>
    </row>
    <row r="913" outlineLevel="1">
      <c r="B913" s="0" t="inlineStr">
        <is>
          <t xml:space="preserve">DUER /CAROLINA COIL, INCORPORATED</t>
        </is>
      </c>
      <c r="C913" s="0" t="inlineStr">
        <is>
          <t xml:space="preserve">KK9HWTR6SM49</t>
        </is>
      </c>
      <c r="D913" s="0" t="inlineStr">
        <is>
          <t xml:space="preserve">-</t>
        </is>
      </c>
      <c r="E913" s="0" t="inlineStr">
        <is>
          <t xml:space="preserve">-</t>
        </is>
      </c>
      <c r="F913" s="0" t="inlineStr">
        <is>
          <t xml:space="preserve">-</t>
        </is>
      </c>
      <c r="G913" s="5">
        <v>0.0029530199999999998</v>
      </c>
      <c r="H913" s="0" t="inlineStr">
        <is>
          <t xml:space="preserve">supplier</t>
        </is>
      </c>
      <c r="I913" s="0" t="inlineStr">
        <is>
          <t xml:space="preserve">unbucketed</t>
        </is>
      </c>
      <c r="J913" s="0" t="inlineStr">
        <is>
          <t xml:space="preserve">residual</t>
        </is>
      </c>
      <c r="K913" s="5">
        <v>0</v>
      </c>
      <c r="L913" s="5">
        <v>0</v>
      </c>
      <c r="M913" s="5">
        <v>0.0029530199999999998</v>
      </c>
      <c r="N913" s="5">
        <v>0.0</v>
      </c>
      <c r="O913" s="5">
        <v>0.0</v>
      </c>
      <c r="P913" s="5">
        <v>0.0</v>
      </c>
      <c r="Q913" s="5">
        <v>0.0</v>
      </c>
      <c r="R913" s="5">
        <v>0.0</v>
      </c>
      <c r="S913" s="5">
        <v>0.0</v>
      </c>
      <c r="T913" s="5">
        <v>0.0</v>
      </c>
      <c r="U913" s="5">
        <v>0.0</v>
      </c>
    </row>
    <row r="914" outlineLevel="1">
      <c r="B914" s="0" t="inlineStr">
        <is>
          <t xml:space="preserve">MCGILL HOSE &amp; COUPLING, INC.</t>
        </is>
      </c>
      <c r="C914" s="0" t="inlineStr">
        <is>
          <t xml:space="preserve">CRG3ND68KH28</t>
        </is>
      </c>
      <c r="D914" s="0" t="inlineStr">
        <is>
          <t xml:space="preserve">-</t>
        </is>
      </c>
      <c r="E914" s="0" t="inlineStr">
        <is>
          <t xml:space="preserve">-</t>
        </is>
      </c>
      <c r="F914" s="0" t="inlineStr">
        <is>
          <t xml:space="preserve">-</t>
        </is>
      </c>
      <c r="G914" s="5">
        <v>0.00220587</v>
      </c>
      <c r="H914" s="0" t="inlineStr">
        <is>
          <t xml:space="preserve">supplier</t>
        </is>
      </c>
      <c r="I914" s="0" t="inlineStr">
        <is>
          <t xml:space="preserve">unbucketed</t>
        </is>
      </c>
      <c r="J914" s="0" t="inlineStr">
        <is>
          <t xml:space="preserve">residual</t>
        </is>
      </c>
      <c r="K914" s="5">
        <v>0</v>
      </c>
      <c r="L914" s="5">
        <v>0</v>
      </c>
      <c r="M914" s="5">
        <v>0.00220587</v>
      </c>
      <c r="N914" s="5">
        <v>0.0</v>
      </c>
      <c r="O914" s="5">
        <v>0.0</v>
      </c>
      <c r="P914" s="5">
        <v>0.00220587</v>
      </c>
      <c r="Q914" s="5">
        <v>0.0</v>
      </c>
      <c r="R914" s="5">
        <v>0.0</v>
      </c>
      <c r="S914" s="5">
        <v>0.0</v>
      </c>
      <c r="T914" s="5">
        <v>0.0</v>
      </c>
      <c r="U914" s="5">
        <v>0.0</v>
      </c>
    </row>
    <row r="915" outlineLevel="1">
      <c r="B915" s="0" t="inlineStr">
        <is>
          <t xml:space="preserve">SHERWIN-WILLIAMS COMPANY, THE</t>
        </is>
      </c>
      <c r="C915" s="0" t="inlineStr">
        <is>
          <t xml:space="preserve">M5MVSHNR2BL1</t>
        </is>
      </c>
      <c r="D915" s="0" t="inlineStr">
        <is>
          <t xml:space="preserve">-</t>
        </is>
      </c>
      <c r="E915" s="0" t="inlineStr">
        <is>
          <t xml:space="preserve">-</t>
        </is>
      </c>
      <c r="F915" s="0" t="inlineStr">
        <is>
          <t xml:space="preserve">-</t>
        </is>
      </c>
      <c r="G915" s="5">
        <v>0.00131811</v>
      </c>
      <c r="H915" s="0" t="inlineStr">
        <is>
          <t xml:space="preserve">supplier</t>
        </is>
      </c>
      <c r="I915" s="0" t="inlineStr">
        <is>
          <t xml:space="preserve">unbucketed</t>
        </is>
      </c>
      <c r="J915" s="0" t="inlineStr">
        <is>
          <t xml:space="preserve">residual</t>
        </is>
      </c>
      <c r="K915" s="5">
        <v>0</v>
      </c>
      <c r="L915" s="5">
        <v>0</v>
      </c>
      <c r="M915" s="5">
        <v>0.00131811</v>
      </c>
      <c r="N915" s="5">
        <v>0.0</v>
      </c>
      <c r="O915" s="5">
        <v>0.0</v>
      </c>
      <c r="P915" s="5">
        <v>0.0</v>
      </c>
      <c r="Q915" s="5">
        <v>0.0</v>
      </c>
      <c r="R915" s="5">
        <v>0.0</v>
      </c>
      <c r="S915" s="5">
        <v>0.0</v>
      </c>
      <c r="T915" s="5">
        <v>0.0</v>
      </c>
      <c r="U915" s="5">
        <v>0.0</v>
      </c>
    </row>
    <row r="916" outlineLevel="1">
      <c r="B916" s="0" t="inlineStr">
        <is>
          <t xml:space="preserve">AW GIFFORD INC</t>
        </is>
      </c>
      <c r="C916" s="0" t="inlineStr">
        <is>
          <t xml:space="preserve">GMBZL1B9YMW9</t>
        </is>
      </c>
      <c r="D916" s="0" t="inlineStr">
        <is>
          <t xml:space="preserve">-</t>
        </is>
      </c>
      <c r="E916" s="0" t="inlineStr">
        <is>
          <t xml:space="preserve">-</t>
        </is>
      </c>
      <c r="F916" s="0" t="inlineStr">
        <is>
          <t xml:space="preserve">-</t>
        </is>
      </c>
      <c r="G916" s="5">
        <v>0.0004</v>
      </c>
      <c r="H916" s="0" t="inlineStr">
        <is>
          <t xml:space="preserve">supplier</t>
        </is>
      </c>
      <c r="I916" s="0" t="inlineStr">
        <is>
          <t xml:space="preserve">unbucketed</t>
        </is>
      </c>
      <c r="J916" s="0" t="inlineStr">
        <is>
          <t xml:space="preserve">residual</t>
        </is>
      </c>
      <c r="K916" s="5">
        <v>0</v>
      </c>
      <c r="L916" s="5">
        <v>0</v>
      </c>
      <c r="M916" s="5">
        <v>0.0004</v>
      </c>
      <c r="N916" s="5">
        <v>0.0004</v>
      </c>
      <c r="O916" s="5">
        <v>0.0</v>
      </c>
      <c r="P916" s="5">
        <v>0.0</v>
      </c>
      <c r="Q916" s="5">
        <v>0.0</v>
      </c>
      <c r="R916" s="5">
        <v>0.0</v>
      </c>
      <c r="S916" s="5">
        <v>0.0</v>
      </c>
      <c r="T916" s="5">
        <v>0.0</v>
      </c>
      <c r="U916" s="5">
        <v>0.0</v>
      </c>
    </row>
    <row r="917" outlineLevel="1">
      <c r="B917" s="0" t="inlineStr">
        <is>
          <t xml:space="preserve">ESCO TECHNOLOGIES INC.</t>
        </is>
      </c>
      <c r="C917" s="0" t="inlineStr">
        <is>
          <t xml:space="preserve">HMBSX7Z72UK4</t>
        </is>
      </c>
      <c r="D917" s="0" t="inlineStr">
        <is>
          <t xml:space="preserve">-</t>
        </is>
      </c>
      <c r="E917" s="0" t="inlineStr">
        <is>
          <t xml:space="preserve">-</t>
        </is>
      </c>
      <c r="F917" s="0" t="inlineStr">
        <is>
          <t xml:space="preserve">-</t>
        </is>
      </c>
      <c r="G917" s="5">
        <v>0.0002926</v>
      </c>
      <c r="H917" s="0" t="inlineStr">
        <is>
          <t xml:space="preserve">supplier</t>
        </is>
      </c>
      <c r="I917" s="0" t="inlineStr">
        <is>
          <t xml:space="preserve">unbucketed</t>
        </is>
      </c>
      <c r="J917" s="0" t="inlineStr">
        <is>
          <t xml:space="preserve">residual</t>
        </is>
      </c>
      <c r="K917" s="5">
        <v>0</v>
      </c>
      <c r="L917" s="5">
        <v>0</v>
      </c>
      <c r="M917" s="5">
        <v>0.0002926</v>
      </c>
      <c r="N917" s="5">
        <v>0.0</v>
      </c>
      <c r="O917" s="5">
        <v>0.0</v>
      </c>
      <c r="P917" s="5">
        <v>0.0</v>
      </c>
      <c r="Q917" s="5">
        <v>0.0</v>
      </c>
      <c r="R917" s="5">
        <v>0.0002926</v>
      </c>
      <c r="S917" s="5">
        <v>0.0</v>
      </c>
      <c r="T917" s="5">
        <v>0.0</v>
      </c>
      <c r="U917" s="5">
        <v>0.0</v>
      </c>
    </row>
    <row r="918" outlineLevel="1">
      <c r="B918" s="0" t="inlineStr">
        <is>
          <t xml:space="preserve">LANXESS SOLUTIONS US INC.</t>
        </is>
      </c>
      <c r="C918" s="0" t="inlineStr">
        <is>
          <t xml:space="preserve">RBJHSL4MK9M8</t>
        </is>
      </c>
      <c r="D918" s="0" t="inlineStr">
        <is>
          <t xml:space="preserve">-</t>
        </is>
      </c>
      <c r="E918" s="0" t="inlineStr">
        <is>
          <t xml:space="preserve">-</t>
        </is>
      </c>
      <c r="F918" s="0" t="inlineStr">
        <is>
          <t xml:space="preserve">-</t>
        </is>
      </c>
      <c r="G918" s="5">
        <v>0.0002068</v>
      </c>
      <c r="H918" s="0" t="inlineStr">
        <is>
          <t xml:space="preserve">supplier</t>
        </is>
      </c>
      <c r="I918" s="0" t="inlineStr">
        <is>
          <t xml:space="preserve">unbucketed</t>
        </is>
      </c>
      <c r="J918" s="0" t="inlineStr">
        <is>
          <t xml:space="preserve">residual</t>
        </is>
      </c>
      <c r="K918" s="5">
        <v>0</v>
      </c>
      <c r="L918" s="5">
        <v>0</v>
      </c>
      <c r="M918" s="5">
        <v>0.0002068</v>
      </c>
      <c r="N918" s="5">
        <v>0.0</v>
      </c>
      <c r="O918" s="5">
        <v>0.0</v>
      </c>
      <c r="P918" s="5">
        <v>0.0</v>
      </c>
      <c r="Q918" s="5">
        <v>0.0</v>
      </c>
      <c r="R918" s="5">
        <v>0.0</v>
      </c>
      <c r="S918" s="5">
        <v>0.0</v>
      </c>
      <c r="T918" s="5">
        <v>0.0</v>
      </c>
      <c r="U918" s="5">
        <v>0.0</v>
      </c>
    </row>
    <row r="919" outlineLevel="1">
      <c r="B919" s="0" t="inlineStr">
        <is>
          <t xml:space="preserve">COMSACO INC</t>
        </is>
      </c>
      <c r="C919" s="0" t="inlineStr">
        <is>
          <t xml:space="preserve">C1B6X8AADFB1</t>
        </is>
      </c>
      <c r="D919" s="0" t="inlineStr">
        <is>
          <t xml:space="preserve">-</t>
        </is>
      </c>
      <c r="E919" s="0" t="inlineStr">
        <is>
          <t xml:space="preserve">-</t>
        </is>
      </c>
      <c r="F919" s="0" t="inlineStr">
        <is>
          <t xml:space="preserve">-</t>
        </is>
      </c>
      <c r="G919" s="5">
        <v>2e-05</v>
      </c>
      <c r="H919" s="0" t="inlineStr">
        <is>
          <t xml:space="preserve">supplier</t>
        </is>
      </c>
      <c r="I919" s="0" t="inlineStr">
        <is>
          <t xml:space="preserve">unbucketed</t>
        </is>
      </c>
      <c r="J919" s="0" t="inlineStr">
        <is>
          <t xml:space="preserve">residual</t>
        </is>
      </c>
      <c r="K919" s="5">
        <v>0</v>
      </c>
      <c r="L919" s="5">
        <v>0</v>
      </c>
      <c r="M919" s="5">
        <v>2e-05</v>
      </c>
      <c r="N919" s="5">
        <v>0.0</v>
      </c>
      <c r="O919" s="5">
        <v>0.0</v>
      </c>
      <c r="P919" s="5">
        <v>0.0</v>
      </c>
      <c r="Q919" s="5">
        <v>0.0</v>
      </c>
      <c r="R919" s="5">
        <v>2e-05</v>
      </c>
      <c r="S919" s="5">
        <v>0.0</v>
      </c>
      <c r="T919" s="5">
        <v>0.0</v>
      </c>
      <c r="U919" s="5">
        <v>0.0</v>
      </c>
    </row>
    <row r="920" outlineLevel="1">
      <c r="B920" s="0" t="inlineStr">
        <is>
          <t xml:space="preserve">PROGENY SYSTEMS LLC</t>
        </is>
      </c>
      <c r="C920" s="0" t="inlineStr">
        <is>
          <t xml:space="preserve">MVVAKQUHTTQ6</t>
        </is>
      </c>
      <c r="D920" s="0" t="inlineStr">
        <is>
          <t xml:space="preserve">-</t>
        </is>
      </c>
      <c r="E920" s="0" t="inlineStr">
        <is>
          <t xml:space="preserve">-</t>
        </is>
      </c>
      <c r="F920" s="0" t="inlineStr">
        <is>
          <t xml:space="preserve">-</t>
        </is>
      </c>
      <c r="G920" s="5">
        <v>1.95e-06</v>
      </c>
      <c r="H920" s="0" t="inlineStr">
        <is>
          <t xml:space="preserve">supplier</t>
        </is>
      </c>
      <c r="I920" s="0" t="inlineStr">
        <is>
          <t xml:space="preserve">unbucketed</t>
        </is>
      </c>
      <c r="J920" s="0" t="inlineStr">
        <is>
          <t xml:space="preserve">residual</t>
        </is>
      </c>
      <c r="K920" s="5">
        <v>0</v>
      </c>
      <c r="L920" s="5">
        <v>0</v>
      </c>
      <c r="M920" s="5">
        <v>1.95e-06</v>
      </c>
      <c r="N920" s="5">
        <v>0.0</v>
      </c>
      <c r="O920" s="5">
        <v>1.95e-06</v>
      </c>
      <c r="P920" s="5">
        <v>0.0</v>
      </c>
      <c r="Q920" s="5">
        <v>0.0</v>
      </c>
      <c r="R920" s="5">
        <v>0.0</v>
      </c>
      <c r="S920" s="5">
        <v>0.0</v>
      </c>
      <c r="T920" s="5">
        <v>0.0</v>
      </c>
      <c r="U920" s="5">
        <v>0.0</v>
      </c>
    </row>
    <row r="921" outlineLevel="1">
      <c r="B921" s="0" t="inlineStr">
        <is>
          <t xml:space="preserve">GENERAL DYNAMICS MISSION SYSTEMS, INC.</t>
        </is>
      </c>
      <c r="C921" s="0" t="inlineStr">
        <is>
          <t xml:space="preserve">MVVAKQUHTTQ6</t>
        </is>
      </c>
      <c r="D921" s="0" t="inlineStr">
        <is>
          <t xml:space="preserve">-</t>
        </is>
      </c>
      <c r="E921" s="0" t="inlineStr">
        <is>
          <t xml:space="preserve">-</t>
        </is>
      </c>
      <c r="F921" s="0" t="inlineStr">
        <is>
          <t xml:space="preserve">-</t>
        </is>
      </c>
      <c r="G921" s="5">
        <v>1.95e-06</v>
      </c>
      <c r="H921" s="0" t="inlineStr">
        <is>
          <t xml:space="preserve">prime</t>
        </is>
      </c>
      <c r="I921" s="0" t="inlineStr">
        <is>
          <t xml:space="preserve">-</t>
        </is>
      </c>
      <c r="J921" s="0" t="inlineStr">
        <is>
          <t xml:space="preserve">prime/co-prime name</t>
        </is>
      </c>
      <c r="K921" s="5">
        <v>0</v>
      </c>
      <c r="L921" s="5">
        <v>0</v>
      </c>
      <c r="M921" s="5">
        <v>1.95e-06</v>
      </c>
      <c r="N921" s="5">
        <v>0.0</v>
      </c>
      <c r="O921" s="5">
        <v>1.95e-06</v>
      </c>
      <c r="P921" s="5">
        <v>0.0</v>
      </c>
      <c r="Q921" s="5">
        <v>0.0</v>
      </c>
      <c r="R921" s="5">
        <v>0.0</v>
      </c>
      <c r="S921" s="5">
        <v>0.0</v>
      </c>
      <c r="T921" s="5">
        <v>0.0</v>
      </c>
      <c r="U921" s="5">
        <v>0.0</v>
      </c>
    </row>
    <row r="922" outlineLevel="1">
      <c r="B922" s="0" t="inlineStr">
        <is>
          <t xml:space="preserve">DEFENSE MARITIME SOLUTIONS, INC.</t>
        </is>
      </c>
      <c r="C922" s="0" t="inlineStr">
        <is>
          <t xml:space="preserve">JA2KCX21NL48</t>
        </is>
      </c>
      <c r="D922" s="0" t="inlineStr">
        <is>
          <t xml:space="preserve">-</t>
        </is>
      </c>
      <c r="E922" s="0" t="inlineStr">
        <is>
          <t xml:space="preserve">-</t>
        </is>
      </c>
      <c r="F922" s="0" t="inlineStr">
        <is>
          <t xml:space="preserve">-</t>
        </is>
      </c>
      <c r="G922" s="5">
        <v>0.0</v>
      </c>
      <c r="H922" s="0" t="inlineStr">
        <is>
          <t xml:space="preserve">supplier</t>
        </is>
      </c>
      <c r="I922" s="0" t="inlineStr">
        <is>
          <t xml:space="preserve">machining</t>
        </is>
      </c>
      <c r="J922" s="0" t="inlineStr">
        <is>
          <t xml:space="preserve">registry</t>
        </is>
      </c>
      <c r="K922" s="5">
        <v>0</v>
      </c>
      <c r="L922" s="5">
        <v>0</v>
      </c>
      <c r="M922" s="5">
        <v>0.0</v>
      </c>
      <c r="N922" s="5">
        <v>0.0006</v>
      </c>
      <c r="O922" s="5">
        <v>0.0</v>
      </c>
      <c r="P922" s="5">
        <v>-0.0006</v>
      </c>
      <c r="Q922" s="5">
        <v>0.0</v>
      </c>
      <c r="R922" s="5">
        <v>0.0</v>
      </c>
      <c r="S922" s="5">
        <v>0.0</v>
      </c>
      <c r="T922" s="5">
        <v>0.0</v>
      </c>
      <c r="U922" s="5">
        <v>0.0</v>
      </c>
    </row>
    <row r="923" outlineLevel="1">
      <c r="B923" s="0" t="inlineStr">
        <is>
          <t xml:space="preserve">HEILIND ELECTRONICS, INC</t>
        </is>
      </c>
      <c r="C923" s="0" t="inlineStr">
        <is>
          <t xml:space="preserve">EPK7A98BB4B6</t>
        </is>
      </c>
      <c r="D923" s="0" t="inlineStr">
        <is>
          <t xml:space="preserve">-</t>
        </is>
      </c>
      <c r="E923" s="0" t="inlineStr">
        <is>
          <t xml:space="preserve">-</t>
        </is>
      </c>
      <c r="F923" s="0" t="inlineStr">
        <is>
          <t xml:space="preserve">-</t>
        </is>
      </c>
      <c r="G923" s="5">
        <v>-0.00040113999999999997</v>
      </c>
      <c r="H923" s="0" t="inlineStr">
        <is>
          <t xml:space="preserve">supplier</t>
        </is>
      </c>
      <c r="I923" s="0" t="inlineStr">
        <is>
          <t xml:space="preserve">unbucketed</t>
        </is>
      </c>
      <c r="J923" s="0" t="inlineStr">
        <is>
          <t xml:space="preserve">residual</t>
        </is>
      </c>
      <c r="K923" s="5">
        <v>0</v>
      </c>
      <c r="L923" s="5">
        <v>0</v>
      </c>
      <c r="M923" s="5">
        <v>-0.00040113999999999997</v>
      </c>
      <c r="N923" s="5">
        <v>0.0</v>
      </c>
      <c r="O923" s="5">
        <v>0.0</v>
      </c>
      <c r="P923" s="5">
        <v>0.0</v>
      </c>
      <c r="Q923" s="5">
        <v>0.0</v>
      </c>
      <c r="R923" s="5">
        <v>0.0</v>
      </c>
      <c r="S923" s="5">
        <v>0.0</v>
      </c>
      <c r="T923" s="5">
        <v>0.0</v>
      </c>
      <c r="U923" s="5">
        <v>0.0</v>
      </c>
    </row>
    <row r="924" outlineLevel="1">
      <c r="B924" s="0" t="inlineStr">
        <is>
          <t xml:space="preserve">RETLIF INC</t>
        </is>
      </c>
      <c r="C924" s="0" t="inlineStr">
        <is>
          <t xml:space="preserve">GE3JLF1PZBM8</t>
        </is>
      </c>
      <c r="D924" s="0" t="inlineStr">
        <is>
          <t xml:space="preserve">-</t>
        </is>
      </c>
      <c r="E924" s="0" t="inlineStr">
        <is>
          <t xml:space="preserve">-</t>
        </is>
      </c>
      <c r="F924" s="0" t="inlineStr">
        <is>
          <t xml:space="preserve">-</t>
        </is>
      </c>
      <c r="G924" s="5">
        <v>-0.00089999</v>
      </c>
      <c r="H924" s="0" t="inlineStr">
        <is>
          <t xml:space="preserve">supplier</t>
        </is>
      </c>
      <c r="I924" s="0" t="inlineStr">
        <is>
          <t xml:space="preserve">unbucketed</t>
        </is>
      </c>
      <c r="J924" s="0" t="inlineStr">
        <is>
          <t xml:space="preserve">residual</t>
        </is>
      </c>
      <c r="K924" s="5">
        <v>0</v>
      </c>
      <c r="L924" s="5">
        <v>0</v>
      </c>
      <c r="M924" s="5">
        <v>-0.00089999</v>
      </c>
      <c r="N924" s="5">
        <v>0.0</v>
      </c>
      <c r="O924" s="5">
        <v>0.0</v>
      </c>
      <c r="P924" s="5">
        <v>0.0</v>
      </c>
      <c r="Q924" s="5">
        <v>0.0</v>
      </c>
      <c r="R924" s="5">
        <v>0.00082</v>
      </c>
      <c r="S924" s="5">
        <v>0.0</v>
      </c>
      <c r="T924" s="5">
        <v>0.0</v>
      </c>
      <c r="U924" s="5">
        <v>0.0</v>
      </c>
    </row>
    <row r="925" outlineLevel="1">
      <c r="B925" s="0" t="inlineStr">
        <is>
          <t xml:space="preserve">GOODWIN-BRADLEY PATTERN CO., INC.</t>
        </is>
      </c>
      <c r="C925" s="0" t="inlineStr">
        <is>
          <t xml:space="preserve">XQ2FNSEVHWL1</t>
        </is>
      </c>
      <c r="D925" s="0" t="inlineStr">
        <is>
          <t xml:space="preserve">-</t>
        </is>
      </c>
      <c r="E925" s="0" t="inlineStr">
        <is>
          <t xml:space="preserve">-</t>
        </is>
      </c>
      <c r="F925" s="0" t="inlineStr">
        <is>
          <t xml:space="preserve">-</t>
        </is>
      </c>
      <c r="G925" s="5">
        <v>-0.0019400000000000003</v>
      </c>
      <c r="H925" s="0" t="inlineStr">
        <is>
          <t xml:space="preserve">supplier</t>
        </is>
      </c>
      <c r="I925" s="0" t="inlineStr">
        <is>
          <t xml:space="preserve">unbucketed</t>
        </is>
      </c>
      <c r="J925" s="0" t="inlineStr">
        <is>
          <t xml:space="preserve">residual</t>
        </is>
      </c>
      <c r="K925" s="5">
        <v>0</v>
      </c>
      <c r="L925" s="5">
        <v>0</v>
      </c>
      <c r="M925" s="5">
        <v>-0.0019400000000000003</v>
      </c>
      <c r="N925" s="5">
        <v>0.0</v>
      </c>
      <c r="O925" s="5">
        <v>0.0</v>
      </c>
      <c r="P925" s="5">
        <v>-0.0019400000000000003</v>
      </c>
      <c r="Q925" s="5">
        <v>0.0</v>
      </c>
      <c r="R925" s="5">
        <v>0.0</v>
      </c>
      <c r="S925" s="5">
        <v>0.0</v>
      </c>
      <c r="T925" s="5">
        <v>0.0</v>
      </c>
      <c r="U925" s="5">
        <v>0.0</v>
      </c>
    </row>
    <row r="926" outlineLevel="1">
      <c r="B926" s="0" t="inlineStr">
        <is>
          <t xml:space="preserve">MARINE EQUIPMENT SUPPLY LLC</t>
        </is>
      </c>
      <c r="C926" s="0" t="inlineStr">
        <is>
          <t xml:space="preserve">FHKCX7RMYW83</t>
        </is>
      </c>
      <c r="D926" s="0" t="inlineStr">
        <is>
          <t xml:space="preserve">-</t>
        </is>
      </c>
      <c r="E926" s="0" t="inlineStr">
        <is>
          <t xml:space="preserve">-</t>
        </is>
      </c>
      <c r="F926" s="0" t="inlineStr">
        <is>
          <t xml:space="preserve">-</t>
        </is>
      </c>
      <c r="G926" s="5">
        <v>-0.0438</v>
      </c>
      <c r="H926" s="0" t="inlineStr">
        <is>
          <t xml:space="preserve">supplier</t>
        </is>
      </c>
      <c r="I926" s="0" t="inlineStr">
        <is>
          <t xml:space="preserve">unbucketed</t>
        </is>
      </c>
      <c r="J926" s="0" t="inlineStr">
        <is>
          <t xml:space="preserve">residual</t>
        </is>
      </c>
      <c r="K926" s="5">
        <v>0</v>
      </c>
      <c r="L926" s="5">
        <v>0</v>
      </c>
      <c r="M926" s="5">
        <v>-0.0438</v>
      </c>
      <c r="N926" s="5">
        <v>0.0</v>
      </c>
      <c r="O926" s="5">
        <v>0.0</v>
      </c>
      <c r="P926" s="5">
        <v>-0.0385</v>
      </c>
      <c r="Q926" s="5">
        <v>-0.0053</v>
      </c>
      <c r="R926" s="5">
        <v>0.0</v>
      </c>
      <c r="S926" s="5">
        <v>0.0</v>
      </c>
      <c r="T926" s="5">
        <v>0.0</v>
      </c>
      <c r="U926" s="5">
        <v>0.0</v>
      </c>
    </row>
    <row r="927" outlineLevel="1">
      <c r="B927" s="0" t="inlineStr">
        <is>
          <t xml:space="preserve">NAG, LLC</t>
        </is>
      </c>
      <c r="C927" s="0" t="inlineStr">
        <is>
          <t xml:space="preserve">F3XKPA82MHQ5</t>
        </is>
      </c>
      <c r="D927" s="0" t="inlineStr">
        <is>
          <t xml:space="preserve">-</t>
        </is>
      </c>
      <c r="E927" s="0" t="inlineStr">
        <is>
          <t xml:space="preserve">-</t>
        </is>
      </c>
      <c r="F927" s="0" t="inlineStr">
        <is>
          <t xml:space="preserve">-</t>
        </is>
      </c>
      <c r="G927" s="5">
        <v>-0.045582489999999996</v>
      </c>
      <c r="H927" s="0" t="inlineStr">
        <is>
          <t xml:space="preserve">supplier</t>
        </is>
      </c>
      <c r="I927" s="0" t="inlineStr">
        <is>
          <t xml:space="preserve">unbucketed</t>
        </is>
      </c>
      <c r="J927" s="0" t="inlineStr">
        <is>
          <t xml:space="preserve">residual</t>
        </is>
      </c>
      <c r="K927" s="5">
        <v>0</v>
      </c>
      <c r="L927" s="5">
        <v>0</v>
      </c>
      <c r="M927" s="5">
        <v>-0.045582489999999996</v>
      </c>
      <c r="N927" s="5">
        <v>0.0</v>
      </c>
      <c r="O927" s="5">
        <v>0.0</v>
      </c>
      <c r="P927" s="5">
        <v>0.0</v>
      </c>
      <c r="Q927" s="5">
        <v>0.0</v>
      </c>
      <c r="R927" s="5">
        <v>0.0</v>
      </c>
      <c r="S927" s="5">
        <v>0.0</v>
      </c>
      <c r="T927" s="5">
        <v>0.0</v>
      </c>
      <c r="U927" s="5">
        <v>0.0</v>
      </c>
    </row>
    <row r="928" outlineLevel="1">
      <c r="B928" s="0" t="inlineStr">
        <is>
          <t xml:space="preserve">ALFA LAVAL AB</t>
        </is>
      </c>
      <c r="C928" s="0" t="inlineStr">
        <is>
          <t xml:space="preserve">YUXJXK8PRML3</t>
        </is>
      </c>
      <c r="D928" s="0" t="inlineStr">
        <is>
          <t xml:space="preserve">-</t>
        </is>
      </c>
      <c r="E928" s="0" t="inlineStr">
        <is>
          <t xml:space="preserve">-</t>
        </is>
      </c>
      <c r="F928" s="0" t="inlineStr">
        <is>
          <t xml:space="preserve">-</t>
        </is>
      </c>
      <c r="G928" s="5">
        <v>-0.0553845</v>
      </c>
      <c r="H928" s="0" t="inlineStr">
        <is>
          <t xml:space="preserve">supplier</t>
        </is>
      </c>
      <c r="I928" s="0" t="inlineStr">
        <is>
          <t xml:space="preserve">unbucketed</t>
        </is>
      </c>
      <c r="J928" s="0" t="inlineStr">
        <is>
          <t xml:space="preserve">residual</t>
        </is>
      </c>
      <c r="K928" s="5">
        <v>0</v>
      </c>
      <c r="L928" s="5">
        <v>0</v>
      </c>
      <c r="M928" s="5">
        <v>-0.0553845</v>
      </c>
      <c r="N928" s="5">
        <v>0.0</v>
      </c>
      <c r="O928" s="5">
        <v>0.0</v>
      </c>
      <c r="P928" s="5">
        <v>0.0</v>
      </c>
      <c r="Q928" s="5">
        <v>0.0</v>
      </c>
      <c r="R928" s="5">
        <v>0.0</v>
      </c>
      <c r="S928" s="5">
        <v>0.0</v>
      </c>
      <c r="T928" s="5">
        <v>0.0</v>
      </c>
      <c r="U928" s="5">
        <v>0.0</v>
      </c>
    </row>
    <row r="929" outlineLevel="1">
      <c r="B929" s="0" t="inlineStr">
        <is>
          <t xml:space="preserve">E2 ENGINEERS, LLC</t>
        </is>
      </c>
      <c r="C929" s="0" t="inlineStr">
        <is>
          <t xml:space="preserve">K1PMP7M771E5</t>
        </is>
      </c>
      <c r="D929" s="0" t="inlineStr">
        <is>
          <t xml:space="preserve">-</t>
        </is>
      </c>
      <c r="E929" s="0" t="inlineStr">
        <is>
          <t xml:space="preserve">-</t>
        </is>
      </c>
      <c r="F929" s="0" t="inlineStr">
        <is>
          <t xml:space="preserve">-</t>
        </is>
      </c>
      <c r="G929" s="5">
        <v>-0.099433</v>
      </c>
      <c r="H929" s="0" t="inlineStr">
        <is>
          <t xml:space="preserve">supplier</t>
        </is>
      </c>
      <c r="I929" s="0" t="inlineStr">
        <is>
          <t xml:space="preserve">unbucketed</t>
        </is>
      </c>
      <c r="J929" s="0" t="inlineStr">
        <is>
          <t xml:space="preserve">residual</t>
        </is>
      </c>
      <c r="K929" s="5">
        <v>0</v>
      </c>
      <c r="L929" s="5">
        <v>0</v>
      </c>
      <c r="M929" s="5">
        <v>-0.099433</v>
      </c>
      <c r="N929" s="5">
        <v>0.0</v>
      </c>
      <c r="O929" s="5">
        <v>0.0</v>
      </c>
      <c r="P929" s="5">
        <v>0.0</v>
      </c>
      <c r="Q929" s="5">
        <v>0.0</v>
      </c>
      <c r="R929" s="5">
        <v>0.0</v>
      </c>
      <c r="S929" s="5">
        <v>-0.099433</v>
      </c>
      <c r="T929" s="5">
        <v>0.0</v>
      </c>
      <c r="U929" s="5">
        <v>0.0</v>
      </c>
    </row>
    <row r="930" outlineLevel="1">
      <c r="B930" s="0" t="inlineStr">
        <is>
          <t xml:space="preserve">TRIPLE CROWN CONSULTING, LLC</t>
        </is>
      </c>
      <c r="C930" s="0" t="inlineStr">
        <is>
          <t xml:space="preserve">Z7K8HUMNCZ22</t>
        </is>
      </c>
      <c r="D930" s="0" t="inlineStr">
        <is>
          <t xml:space="preserve">-</t>
        </is>
      </c>
      <c r="E930" s="0" t="inlineStr">
        <is>
          <t xml:space="preserve">-</t>
        </is>
      </c>
      <c r="F930" s="0" t="inlineStr">
        <is>
          <t xml:space="preserve">-</t>
        </is>
      </c>
      <c r="G930" s="5">
        <v>-0.1017546</v>
      </c>
      <c r="H930" s="0" t="inlineStr">
        <is>
          <t xml:space="preserve">supplier</t>
        </is>
      </c>
      <c r="I930" s="0" t="inlineStr">
        <is>
          <t xml:space="preserve">unbucketed</t>
        </is>
      </c>
      <c r="J930" s="0" t="inlineStr">
        <is>
          <t xml:space="preserve">residual</t>
        </is>
      </c>
      <c r="K930" s="5">
        <v>0</v>
      </c>
      <c r="L930" s="5">
        <v>0</v>
      </c>
      <c r="M930" s="5">
        <v>-0.1017546</v>
      </c>
      <c r="N930" s="5">
        <v>0.0</v>
      </c>
      <c r="O930" s="5">
        <v>0.0</v>
      </c>
      <c r="P930" s="5">
        <v>0.0</v>
      </c>
      <c r="Q930" s="5">
        <v>0.0</v>
      </c>
      <c r="R930" s="5">
        <v>0.0</v>
      </c>
      <c r="S930" s="5">
        <v>-0.1017546</v>
      </c>
      <c r="T930" s="5">
        <v>0.0</v>
      </c>
      <c r="U930" s="5">
        <v>0.0</v>
      </c>
    </row>
    <row r="931" outlineLevel="1">
      <c r="B931" s="0" t="inlineStr">
        <is>
          <t xml:space="preserve">PV LEL INC.</t>
        </is>
      </c>
      <c r="C931" s="0" t="inlineStr">
        <is>
          <t xml:space="preserve">H12BMH6V6495</t>
        </is>
      </c>
      <c r="D931" s="0" t="inlineStr">
        <is>
          <t xml:space="preserve">-</t>
        </is>
      </c>
      <c r="E931" s="0" t="inlineStr">
        <is>
          <t xml:space="preserve">-</t>
        </is>
      </c>
      <c r="F931" s="0" t="inlineStr">
        <is>
          <t xml:space="preserve">-</t>
        </is>
      </c>
      <c r="G931" s="5">
        <v>-0.15494036</v>
      </c>
      <c r="H931" s="0" t="inlineStr">
        <is>
          <t xml:space="preserve">supplier</t>
        </is>
      </c>
      <c r="I931" s="0" t="inlineStr">
        <is>
          <t xml:space="preserve">unbucketed</t>
        </is>
      </c>
      <c r="J931" s="0" t="inlineStr">
        <is>
          <t xml:space="preserve">residual</t>
        </is>
      </c>
      <c r="K931" s="5">
        <v>0</v>
      </c>
      <c r="L931" s="5">
        <v>0</v>
      </c>
      <c r="M931" s="5">
        <v>-0.15494036</v>
      </c>
      <c r="N931" s="5">
        <v>0.0</v>
      </c>
      <c r="O931" s="5">
        <v>0.0</v>
      </c>
      <c r="P931" s="5">
        <v>0.0</v>
      </c>
      <c r="Q931" s="5">
        <v>0.0</v>
      </c>
      <c r="R931" s="5">
        <v>0.0</v>
      </c>
      <c r="S931" s="5">
        <v>0.0</v>
      </c>
      <c r="T931" s="5">
        <v>0.0</v>
      </c>
      <c r="U931" s="5">
        <v>0.0</v>
      </c>
    </row>
    <row r="932" outlineLevel="1">
      <c r="B932" s="0" t="inlineStr">
        <is>
          <t xml:space="preserve">ESPEY MFG. &amp; ELECTRONICS CORP.</t>
        </is>
      </c>
      <c r="C932" s="0" t="inlineStr">
        <is>
          <t xml:space="preserve">Z89SS59265U9</t>
        </is>
      </c>
      <c r="D932" s="0" t="inlineStr">
        <is>
          <t xml:space="preserve">USA</t>
        </is>
      </c>
      <c r="E932" s="0" t="inlineStr">
        <is>
          <t xml:space="preserve">3359</t>
        </is>
      </c>
      <c r="F932" s="0" t="inlineStr">
        <is>
          <t xml:space="preserve">All Other Miscellaneous Electrical Equipment and Component Manufacturing</t>
        </is>
      </c>
      <c r="G932" s="5">
        <v>-0.4359726399999997</v>
      </c>
      <c r="H932" s="0" t="inlineStr">
        <is>
          <t xml:space="preserve">supplier</t>
        </is>
      </c>
      <c r="I932" s="0" t="inlineStr">
        <is>
          <t xml:space="preserve">electrical</t>
        </is>
      </c>
      <c r="J932" s="0" t="inlineStr">
        <is>
          <t xml:space="preserve">registry</t>
        </is>
      </c>
      <c r="K932" s="5">
        <v>0</v>
      </c>
      <c r="L932" s="5">
        <v>0</v>
      </c>
      <c r="M932" s="5">
        <v>-0.4359726399999997</v>
      </c>
      <c r="N932" s="5">
        <v>0.0</v>
      </c>
      <c r="O932" s="5">
        <v>0.0</v>
      </c>
      <c r="P932" s="5">
        <v>0.0</v>
      </c>
      <c r="Q932" s="5">
        <v>0.0</v>
      </c>
      <c r="R932" s="5">
        <v>0.07899</v>
      </c>
      <c r="S932" s="5">
        <v>0.0</v>
      </c>
      <c r="T932" s="5">
        <v>0.0</v>
      </c>
      <c r="U932" s="5">
        <v>0.0</v>
      </c>
    </row>
    <row r="933" outlineLevel="1">
      <c r="B933" s="0" t="inlineStr">
        <is>
          <t xml:space="preserve">R KEOUGH CONSTRUCTION, CO.</t>
        </is>
      </c>
      <c r="C933" s="0" t="inlineStr">
        <is>
          <t xml:space="preserve">VQMRYA1EN3J9</t>
        </is>
      </c>
      <c r="D933" s="0" t="inlineStr">
        <is>
          <t xml:space="preserve">-</t>
        </is>
      </c>
      <c r="E933" s="0" t="inlineStr">
        <is>
          <t xml:space="preserve">-</t>
        </is>
      </c>
      <c r="F933" s="0" t="inlineStr">
        <is>
          <t xml:space="preserve">-</t>
        </is>
      </c>
      <c r="G933" s="5">
        <v>-0.56064899</v>
      </c>
      <c r="H933" s="0" t="inlineStr">
        <is>
          <t xml:space="preserve">supplier</t>
        </is>
      </c>
      <c r="I933" s="0" t="inlineStr">
        <is>
          <t xml:space="preserve">unbucketed</t>
        </is>
      </c>
      <c r="J933" s="0" t="inlineStr">
        <is>
          <t xml:space="preserve">residual</t>
        </is>
      </c>
      <c r="K933" s="5">
        <v>0</v>
      </c>
      <c r="L933" s="5">
        <v>0</v>
      </c>
      <c r="M933" s="5">
        <v>-0.56064899</v>
      </c>
      <c r="N933" s="5">
        <v>0.0</v>
      </c>
      <c r="O933" s="5">
        <v>0.0</v>
      </c>
      <c r="P933" s="5">
        <v>0.0</v>
      </c>
      <c r="Q933" s="5">
        <v>0.0</v>
      </c>
      <c r="R933" s="5">
        <v>0.0</v>
      </c>
      <c r="S933" s="5">
        <v>0.0</v>
      </c>
      <c r="T933" s="5">
        <v>0.0</v>
      </c>
      <c r="U933" s="5">
        <v>0.0</v>
      </c>
    </row>
    <row r="934" outlineLevel="1">
      <c r="B934" s="0" t="inlineStr">
        <is>
          <t xml:space="preserve">BWX TECHNOLOGIES, INC.</t>
        </is>
      </c>
      <c r="C934" s="0" t="inlineStr">
        <is>
          <t xml:space="preserve">WJYVCPD5HKK7</t>
        </is>
      </c>
      <c r="D934" s="0" t="inlineStr">
        <is>
          <t xml:space="preserve">-</t>
        </is>
      </c>
      <c r="E934" s="0" t="inlineStr">
        <is>
          <t xml:space="preserve">-</t>
        </is>
      </c>
      <c r="F934" s="0" t="inlineStr">
        <is>
          <t xml:space="preserve">-</t>
        </is>
      </c>
      <c r="G934" s="5">
        <v>-0.90360994</v>
      </c>
      <c r="H934" s="0" t="inlineStr">
        <is>
          <t xml:space="preserve">gfe_sib</t>
        </is>
      </c>
      <c r="I934" s="0" t="inlineStr">
        <is>
          <t xml:space="preserve">-</t>
        </is>
      </c>
      <c r="J934" s="0" t="inlineStr">
        <is>
          <t xml:space="preserve">registry</t>
        </is>
      </c>
      <c r="K934" s="5">
        <v>0</v>
      </c>
      <c r="L934" s="5">
        <v>0</v>
      </c>
      <c r="M934" s="5">
        <v>-0.90360994</v>
      </c>
      <c r="N934" s="5">
        <v>0.0</v>
      </c>
      <c r="O934" s="5">
        <v>0.0</v>
      </c>
      <c r="P934" s="5">
        <v>0.0</v>
      </c>
      <c r="Q934" s="5">
        <v>0.0</v>
      </c>
      <c r="R934" s="5">
        <v>0.0</v>
      </c>
      <c r="S934" s="5">
        <v>0.0</v>
      </c>
      <c r="T934" s="5">
        <v>0.0</v>
      </c>
      <c r="U934" s="5">
        <v>0.0</v>
      </c>
    </row>
    <row r="935" outlineLevel="1">
      <c r="B935" s="0" t="inlineStr">
        <is>
          <t xml:space="preserve">DRS NAVAL POWER SYSTEMS INC</t>
        </is>
      </c>
      <c r="C935" s="0" t="inlineStr">
        <is>
          <t xml:space="preserve">GXPHJRVG9MR7</t>
        </is>
      </c>
      <c r="D935" s="0" t="inlineStr">
        <is>
          <t xml:space="preserve">-</t>
        </is>
      </c>
      <c r="E935" s="0" t="inlineStr">
        <is>
          <t xml:space="preserve">-</t>
        </is>
      </c>
      <c r="F935" s="0" t="inlineStr">
        <is>
          <t xml:space="preserve">-</t>
        </is>
      </c>
      <c r="G935" s="5">
        <v>-1.2171792500000005</v>
      </c>
      <c r="H935" s="0" t="inlineStr">
        <is>
          <t xml:space="preserve">supplier</t>
        </is>
      </c>
      <c r="I935" s="0" t="inlineStr">
        <is>
          <t xml:space="preserve">electrical</t>
        </is>
      </c>
      <c r="J935" s="0" t="inlineStr">
        <is>
          <t xml:space="preserve">registry</t>
        </is>
      </c>
      <c r="K935" s="5">
        <v>0</v>
      </c>
      <c r="L935" s="5">
        <v>0</v>
      </c>
      <c r="M935" s="5">
        <v>-1.2171792500000005</v>
      </c>
      <c r="N935" s="5">
        <v>-1.1206284600000003</v>
      </c>
      <c r="O935" s="5">
        <v>0.0</v>
      </c>
      <c r="P935" s="5">
        <v>-0.16124</v>
      </c>
      <c r="Q935" s="5">
        <v>0.0</v>
      </c>
      <c r="R935" s="5">
        <v>0.0</v>
      </c>
      <c r="S935" s="5">
        <v>0.06468921</v>
      </c>
      <c r="T935" s="5">
        <v>0.0</v>
      </c>
      <c r="U935" s="5">
        <v>0.0</v>
      </c>
    </row>
    <row r="936" outlineLevel="1">
      <c r="B936" s="0" t="inlineStr">
        <is>
          <t xml:space="preserve">APCO TECHNOLOGIES ENGINEERING INC.</t>
        </is>
      </c>
      <c r="C936" s="0" t="inlineStr">
        <is>
          <t xml:space="preserve">Z2XMD2USH373</t>
        </is>
      </c>
      <c r="D936" s="0" t="inlineStr">
        <is>
          <t xml:space="preserve">-</t>
        </is>
      </c>
      <c r="E936" s="0" t="inlineStr">
        <is>
          <t xml:space="preserve">-</t>
        </is>
      </c>
      <c r="F936" s="0" t="inlineStr">
        <is>
          <t xml:space="preserve">-</t>
        </is>
      </c>
      <c r="G936" s="5">
        <v>-1.4830310000000002</v>
      </c>
      <c r="H936" s="0" t="inlineStr">
        <is>
          <t xml:space="preserve">supplier</t>
        </is>
      </c>
      <c r="I936" s="0" t="inlineStr">
        <is>
          <t xml:space="preserve">unbucketed</t>
        </is>
      </c>
      <c r="J936" s="0" t="inlineStr">
        <is>
          <t xml:space="preserve">vendor-override</t>
        </is>
      </c>
      <c r="K936" s="5">
        <v>0</v>
      </c>
      <c r="L936" s="5">
        <v>0</v>
      </c>
      <c r="M936" s="5">
        <v>-1.4830310000000002</v>
      </c>
      <c r="N936" s="5">
        <v>-1.619031</v>
      </c>
      <c r="O936" s="5">
        <v>0.0</v>
      </c>
      <c r="P936" s="5">
        <v>0.0</v>
      </c>
      <c r="Q936" s="5">
        <v>0.0</v>
      </c>
      <c r="R936" s="5">
        <v>-0.43938520000000003</v>
      </c>
      <c r="S936" s="5">
        <v>0.5753852</v>
      </c>
      <c r="T936" s="5">
        <v>0.0</v>
      </c>
      <c r="U936" s="5">
        <v>0.0</v>
      </c>
    </row>
    <row r="937" outlineLevel="1">
      <c r="B937" s="0" t="inlineStr">
        <is>
          <t xml:space="preserve">LEONARDO SPA</t>
        </is>
      </c>
      <c r="C937" s="0" t="inlineStr">
        <is>
          <t xml:space="preserve">VJMTKNLENX24</t>
        </is>
      </c>
      <c r="D937" s="0" t="inlineStr">
        <is>
          <t xml:space="preserve">ITA</t>
        </is>
      </c>
      <c r="E937" s="0" t="inlineStr">
        <is>
          <t xml:space="preserve">3364</t>
        </is>
      </c>
      <c r="F937" s="0" t="inlineStr">
        <is>
          <t xml:space="preserve">Aircraft Manufacturing</t>
        </is>
      </c>
      <c r="G937" s="5">
        <v>-1.89414163</v>
      </c>
      <c r="H937" s="0" t="inlineStr">
        <is>
          <t xml:space="preserve">supplier</t>
        </is>
      </c>
      <c r="I937" s="0" t="inlineStr">
        <is>
          <t xml:space="preserve">hvac</t>
        </is>
      </c>
      <c r="J937" s="0" t="inlineStr">
        <is>
          <t xml:space="preserve">registry</t>
        </is>
      </c>
      <c r="K937" s="5">
        <v>0</v>
      </c>
      <c r="L937" s="5">
        <v>0</v>
      </c>
      <c r="M937" s="5">
        <v>-1.89414163</v>
      </c>
      <c r="N937" s="5">
        <v>0.025</v>
      </c>
      <c r="O937" s="5">
        <v>0.05667</v>
      </c>
      <c r="P937" s="5">
        <v>0.0</v>
      </c>
      <c r="Q937" s="5">
        <v>0.0</v>
      </c>
      <c r="R937" s="5">
        <v>0.638174</v>
      </c>
      <c r="S937" s="5">
        <v>1.8990051099999998</v>
      </c>
      <c r="T937" s="5">
        <v>0.049</v>
      </c>
      <c r="U937" s="5">
        <v>0.0</v>
      </c>
    </row>
    <row r="938" outlineLevel="1">
      <c r="B938" s="0" t="inlineStr">
        <is>
          <t xml:space="preserve">RILEY POWER GROUP, LLC</t>
        </is>
      </c>
      <c r="C938" s="0" t="inlineStr">
        <is>
          <t xml:space="preserve">PM3QRNLPA8K5</t>
        </is>
      </c>
      <c r="D938" s="0" t="inlineStr">
        <is>
          <t xml:space="preserve">-</t>
        </is>
      </c>
      <c r="E938" s="0" t="inlineStr">
        <is>
          <t xml:space="preserve">-</t>
        </is>
      </c>
      <c r="F938" s="0" t="inlineStr">
        <is>
          <t xml:space="preserve">-</t>
        </is>
      </c>
      <c r="G938" s="5">
        <v>-2.0</v>
      </c>
      <c r="H938" s="0" t="inlineStr">
        <is>
          <t xml:space="preserve">supplier</t>
        </is>
      </c>
      <c r="I938" s="0" t="inlineStr">
        <is>
          <t xml:space="preserve">unbucketed</t>
        </is>
      </c>
      <c r="J938" s="0" t="inlineStr">
        <is>
          <t xml:space="preserve">residual</t>
        </is>
      </c>
      <c r="K938" s="5">
        <v>0</v>
      </c>
      <c r="L938" s="5">
        <v>0</v>
      </c>
      <c r="M938" s="5">
        <v>-2.0</v>
      </c>
      <c r="N938" s="5">
        <v>0.0</v>
      </c>
      <c r="O938" s="5">
        <v>0.0</v>
      </c>
      <c r="P938" s="5">
        <v>0.0</v>
      </c>
      <c r="Q938" s="5">
        <v>0.0</v>
      </c>
      <c r="R938" s="5">
        <v>0.0</v>
      </c>
      <c r="S938" s="5">
        <v>0.0</v>
      </c>
      <c r="T938" s="5">
        <v>0.0</v>
      </c>
      <c r="U938" s="5">
        <v>0.0</v>
      </c>
    </row>
    <row r="939" outlineLevel="1">
      <c r="B939" s="0" t="inlineStr">
        <is>
          <t xml:space="preserve">P R L INC</t>
        </is>
      </c>
      <c r="C939" s="0" t="inlineStr">
        <is>
          <t xml:space="preserve">CXK2Y51KDBW1</t>
        </is>
      </c>
      <c r="D939" s="0" t="inlineStr">
        <is>
          <t xml:space="preserve">USA</t>
        </is>
      </c>
      <c r="E939" s="0" t="inlineStr">
        <is>
          <t xml:space="preserve">3315</t>
        </is>
      </c>
      <c r="F939" s="0" t="inlineStr">
        <is>
          <t xml:space="preserve">Steel Foundries (except Investment)</t>
        </is>
      </c>
      <c r="G939" s="5">
        <v>-3.1228261</v>
      </c>
      <c r="H939" s="0" t="inlineStr">
        <is>
          <t xml:space="preserve">supplier</t>
        </is>
      </c>
      <c r="I939" s="0" t="inlineStr">
        <is>
          <t xml:space="preserve">castings</t>
        </is>
      </c>
      <c r="J939" s="0" t="inlineStr">
        <is>
          <t xml:space="preserve">naics4</t>
        </is>
      </c>
      <c r="K939" s="5">
        <v>0</v>
      </c>
      <c r="L939" s="5">
        <v>0</v>
      </c>
      <c r="M939" s="5">
        <v>-3.1228261</v>
      </c>
      <c r="N939" s="5">
        <v>0.0</v>
      </c>
      <c r="O939" s="5">
        <v>0.0</v>
      </c>
      <c r="P939" s="5">
        <v>0.0</v>
      </c>
      <c r="Q939" s="5">
        <v>0.0</v>
      </c>
      <c r="R939" s="5">
        <v>0.0</v>
      </c>
      <c r="S939" s="5">
        <v>0.0</v>
      </c>
      <c r="T939" s="5">
        <v>0.0</v>
      </c>
      <c r="U939" s="5">
        <v>0.0</v>
      </c>
    </row>
    <row r="940" outlineLevel="1">
      <c r="B940" s="0" t="inlineStr">
        <is>
          <t xml:space="preserve">IG STAFFING HOLDINGS, LLC</t>
        </is>
      </c>
      <c r="C940" s="0" t="inlineStr">
        <is>
          <t xml:space="preserve">LW88Z8MMJHT3</t>
        </is>
      </c>
      <c r="D940" s="0" t="inlineStr">
        <is>
          <t xml:space="preserve">-</t>
        </is>
      </c>
      <c r="E940" s="0" t="inlineStr">
        <is>
          <t xml:space="preserve">-</t>
        </is>
      </c>
      <c r="F940" s="0" t="inlineStr">
        <is>
          <t xml:space="preserve">-</t>
        </is>
      </c>
      <c r="G940" s="5">
        <v>-3.8268772</v>
      </c>
      <c r="H940" s="0" t="inlineStr">
        <is>
          <t xml:space="preserve">supplier</t>
        </is>
      </c>
      <c r="I940" s="0" t="inlineStr">
        <is>
          <t xml:space="preserve">unbucketed</t>
        </is>
      </c>
      <c r="J940" s="0" t="inlineStr">
        <is>
          <t xml:space="preserve">residual</t>
        </is>
      </c>
      <c r="K940" s="5">
        <v>0</v>
      </c>
      <c r="L940" s="5">
        <v>0</v>
      </c>
      <c r="M940" s="5">
        <v>-3.8268772</v>
      </c>
      <c r="N940" s="5">
        <v>0.0</v>
      </c>
      <c r="O940" s="5">
        <v>0.0</v>
      </c>
      <c r="P940" s="5">
        <v>0.0</v>
      </c>
      <c r="Q940" s="5">
        <v>0.0</v>
      </c>
      <c r="R940" s="5">
        <v>0.315</v>
      </c>
      <c r="S940" s="5">
        <v>0.0</v>
      </c>
      <c r="T940" s="5">
        <v>0.0</v>
      </c>
      <c r="U940" s="5">
        <v>0.0</v>
      </c>
    </row>
    <row r="941" outlineLevel="1">
      <c r="B941" s="0" t="inlineStr">
        <is>
          <t xml:space="preserve">NATIONAL INSPECTION &amp; CONSULTANTS INC</t>
        </is>
      </c>
      <c r="C941" s="0" t="inlineStr">
        <is>
          <t xml:space="preserve">SCCVYEEKLHL3</t>
        </is>
      </c>
      <c r="D941" s="0" t="inlineStr">
        <is>
          <t xml:space="preserve">-</t>
        </is>
      </c>
      <c r="E941" s="0" t="inlineStr">
        <is>
          <t xml:space="preserve">-</t>
        </is>
      </c>
      <c r="F941" s="0" t="inlineStr">
        <is>
          <t xml:space="preserve">-</t>
        </is>
      </c>
      <c r="G941" s="5">
        <v>-3.8762922500000005</v>
      </c>
      <c r="H941" s="0" t="inlineStr">
        <is>
          <t xml:space="preserve">supplier</t>
        </is>
      </c>
      <c r="I941" s="0" t="inlineStr">
        <is>
          <t xml:space="preserve">unbucketed</t>
        </is>
      </c>
      <c r="J941" s="0" t="inlineStr">
        <is>
          <t xml:space="preserve">residual</t>
        </is>
      </c>
      <c r="K941" s="5">
        <v>0</v>
      </c>
      <c r="L941" s="5">
        <v>0</v>
      </c>
      <c r="M941" s="5">
        <v>-3.8762922500000005</v>
      </c>
      <c r="N941" s="5">
        <v>0.0</v>
      </c>
      <c r="O941" s="5">
        <v>0.0</v>
      </c>
      <c r="P941" s="5">
        <v>0.0</v>
      </c>
      <c r="Q941" s="5">
        <v>0.0</v>
      </c>
      <c r="R941" s="5">
        <v>-4.62613225</v>
      </c>
      <c r="S941" s="5">
        <v>0.74984</v>
      </c>
      <c r="T941" s="5">
        <v>0.0</v>
      </c>
      <c r="U941" s="5">
        <v>0.0</v>
      </c>
    </row>
    <row r="942" outlineLevel="1">
      <c r="B942" s="0" t="inlineStr">
        <is>
          <t xml:space="preserve">LOCKHEED MARTIN CORPORATION</t>
        </is>
      </c>
      <c r="C942" s="0" t="inlineStr">
        <is>
          <t xml:space="preserve">H11HD5VHGHN3</t>
        </is>
      </c>
      <c r="D942" s="0" t="inlineStr">
        <is>
          <t xml:space="preserve">USA</t>
        </is>
      </c>
      <c r="E942" s="0" t="inlineStr">
        <is>
          <t xml:space="preserve">3345</t>
        </is>
      </c>
      <c r="F942" s="0" t="inlineStr">
        <is>
          <t xml:space="preserve">Search, Detection, Navigation, Guidance, Aeronautical, and Nautical System and Instrument Manufacturing</t>
        </is>
      </c>
      <c r="G942" s="5">
        <v>-6.874920700000004</v>
      </c>
      <c r="H942" s="0" t="inlineStr">
        <is>
          <t xml:space="preserve">gfe_sib</t>
        </is>
      </c>
      <c r="I942" s="0" t="inlineStr">
        <is>
          <t xml:space="preserve">-</t>
        </is>
      </c>
      <c r="J942" s="0" t="inlineStr">
        <is>
          <t xml:space="preserve">GFE/SIB name</t>
        </is>
      </c>
      <c r="K942" s="5">
        <v>0</v>
      </c>
      <c r="L942" s="5">
        <v>0</v>
      </c>
      <c r="M942" s="5">
        <v>-6.874920700000004</v>
      </c>
      <c r="N942" s="5">
        <v>0.0</v>
      </c>
      <c r="O942" s="5">
        <v>0.65844975</v>
      </c>
      <c r="P942" s="5">
        <v>0.0</v>
      </c>
      <c r="Q942" s="5">
        <v>0.0</v>
      </c>
      <c r="R942" s="5">
        <v>0.36820949999999997</v>
      </c>
      <c r="S942" s="5">
        <v>23.36306556</v>
      </c>
      <c r="T942" s="5">
        <v>0.6407473499999999</v>
      </c>
      <c r="U942" s="5">
        <v>0.0</v>
      </c>
    </row>
    <row r="943" outlineLevel="1">
      <c r="B943" s="0" t="inlineStr">
        <is>
          <t xml:space="preserve">L.M. GILL WELDING &amp; MANUFACTURING, L.L.C.</t>
        </is>
      </c>
      <c r="C943" s="0" t="inlineStr">
        <is>
          <t xml:space="preserve">FYUJEKH32UF5</t>
        </is>
      </c>
      <c r="D943" s="0" t="inlineStr">
        <is>
          <t xml:space="preserve">-</t>
        </is>
      </c>
      <c r="E943" s="0" t="inlineStr">
        <is>
          <t xml:space="preserve">-</t>
        </is>
      </c>
      <c r="F943" s="0" t="inlineStr">
        <is>
          <t xml:space="preserve">-</t>
        </is>
      </c>
      <c r="G943" s="5">
        <v>-10.684200939999998</v>
      </c>
      <c r="H943" s="0" t="inlineStr">
        <is>
          <t xml:space="preserve">supplier</t>
        </is>
      </c>
      <c r="I943" s="0" t="inlineStr">
        <is>
          <t xml:space="preserve">unbucketed</t>
        </is>
      </c>
      <c r="J943" s="0" t="inlineStr">
        <is>
          <t xml:space="preserve">residual</t>
        </is>
      </c>
      <c r="K943" s="5">
        <v>0</v>
      </c>
      <c r="L943" s="5">
        <v>0</v>
      </c>
      <c r="M943" s="5">
        <v>-10.684200939999998</v>
      </c>
      <c r="N943" s="5">
        <v>0.17186099999999999</v>
      </c>
      <c r="O943" s="5">
        <v>0.36827011</v>
      </c>
      <c r="P943" s="5">
        <v>1.1884163399999998</v>
      </c>
      <c r="Q943" s="5">
        <v>0.5888445800000001</v>
      </c>
      <c r="R943" s="5">
        <v>-3.4234614399999987</v>
      </c>
      <c r="S943" s="5">
        <v>-24.646751239999997</v>
      </c>
      <c r="T943" s="5">
        <v>0.8082953500000001</v>
      </c>
      <c r="U943" s="5">
        <v>1.5059285400000002</v>
      </c>
    </row>
    <row r="944" outlineLevel="1">
      <c r="B944" s="0" t="inlineStr">
        <is>
          <t xml:space="preserve">TE CONNECTIVITY LTD.</t>
        </is>
      </c>
      <c r="C944" s="0" t="inlineStr">
        <is>
          <t xml:space="preserve">KMDLJAJQ4UM1</t>
        </is>
      </c>
      <c r="D944" s="0" t="inlineStr">
        <is>
          <t xml:space="preserve">-</t>
        </is>
      </c>
      <c r="E944" s="0" t="inlineStr">
        <is>
          <t xml:space="preserve">-</t>
        </is>
      </c>
      <c r="F944" s="0" t="inlineStr">
        <is>
          <t xml:space="preserve">-</t>
        </is>
      </c>
      <c r="G944" s="5">
        <v>-12.67868926</v>
      </c>
      <c r="H944" s="0" t="inlineStr">
        <is>
          <t xml:space="preserve">supplier</t>
        </is>
      </c>
      <c r="I944" s="0" t="inlineStr">
        <is>
          <t xml:space="preserve">electrical</t>
        </is>
      </c>
      <c r="J944" s="0" t="inlineStr">
        <is>
          <t xml:space="preserve">registry</t>
        </is>
      </c>
      <c r="K944" s="5">
        <v>0</v>
      </c>
      <c r="L944" s="5">
        <v>0</v>
      </c>
      <c r="M944" s="5">
        <v>-12.67868926</v>
      </c>
      <c r="N944" s="5">
        <v>0.345532</v>
      </c>
      <c r="O944" s="5">
        <v>0.0</v>
      </c>
      <c r="P944" s="5">
        <v>0.0</v>
      </c>
      <c r="Q944" s="5">
        <v>0.0</v>
      </c>
      <c r="R944" s="5">
        <v>0.033266</v>
      </c>
      <c r="S944" s="5">
        <v>0.0</v>
      </c>
      <c r="T944" s="5">
        <v>0.0</v>
      </c>
      <c r="U944" s="5">
        <v>0.0</v>
      </c>
    </row>
    <row r="947">
      <c r="A947" s="0" t="inlineStr">
        <is>
          <t xml:space="preserve">x</t>
        </is>
      </c>
      <c r="B947" s="9" t="inlineStr">
        <is>
          <t xml:space="preserve">§3 - Role summary ($ by role; only 'supplier' is addressable)</t>
        </is>
      </c>
      <c r="C947" s="9"/>
      <c r="D947" s="9"/>
      <c r="E947" s="9"/>
      <c r="F947" s="9"/>
      <c r="G947" s="9"/>
      <c r="H947" s="9"/>
      <c r="I947" s="9"/>
      <c r="J947" s="9"/>
      <c r="K947" s="9"/>
      <c r="L947" s="9"/>
    </row>
    <row r="949">
      <c r="B949" s="2" t="inlineStr">
        <is>
          <t xml:space="preserve">Role</t>
        </is>
      </c>
      <c r="C949" s="22" t="inlineStr">
        <is>
          <t xml:space="preserve">$M</t>
        </is>
      </c>
      <c r="D949" s="22" t="inlineStr">
        <is>
          <t xml:space="preserve">% of total</t>
        </is>
      </c>
    </row>
    <row r="950" outlineLevel="1">
      <c r="B950" s="0" t="inlineStr">
        <is>
          <t xml:space="preserve">supplier</t>
        </is>
      </c>
      <c r="C950" s="4">
        <f>SUMPRODUCT(('Entity Master'!H17:H944="supplier")*'Entity Master'!G17:G944)</f>
      </c>
      <c r="D950" s="6">
        <f>C950/$C$958</f>
      </c>
    </row>
    <row r="951" outlineLevel="1">
      <c r="B951" s="0" t="inlineStr">
        <is>
          <t xml:space="preserve">mission_systems</t>
        </is>
      </c>
      <c r="C951" s="4">
        <f>SUMPRODUCT(('Entity Master'!H17:H944="mission_systems")*'Entity Master'!G17:G944)</f>
      </c>
      <c r="D951" s="6">
        <f>C951/$C$958</f>
      </c>
    </row>
    <row r="952" outlineLevel="1">
      <c r="B952" s="0" t="inlineStr">
        <is>
          <t xml:space="preserve">service</t>
        </is>
      </c>
      <c r="C952" s="4">
        <f>SUMPRODUCT(('Entity Master'!H17:H944="service")*'Entity Master'!G17:G944)</f>
      </c>
      <c r="D952" s="6">
        <f>C952/$C$958</f>
      </c>
    </row>
    <row r="953" outlineLevel="1">
      <c r="B953" s="0" t="inlineStr">
        <is>
          <t xml:space="preserve">holding</t>
        </is>
      </c>
      <c r="C953" s="4">
        <f>SUMPRODUCT(('Entity Master'!H17:H944="holding")*'Entity Master'!G17:G944)</f>
      </c>
      <c r="D953" s="6">
        <f>C953/$C$958</f>
      </c>
    </row>
    <row r="954" outlineLevel="1">
      <c r="B954" s="0" t="inlineStr">
        <is>
          <t xml:space="preserve">foreign_fms</t>
        </is>
      </c>
      <c r="C954" s="4">
        <f>SUMPRODUCT(('Entity Master'!H17:H944="foreign_fms")*'Entity Master'!G17:G944)</f>
      </c>
      <c r="D954" s="6">
        <f>C954/$C$958</f>
      </c>
    </row>
    <row r="955" outlineLevel="1">
      <c r="B955" s="0" t="inlineStr">
        <is>
          <t xml:space="preserve">prime</t>
        </is>
      </c>
      <c r="C955" s="4">
        <f>SUMPRODUCT(('Entity Master'!H17:H944="prime")*'Entity Master'!G17:G944)</f>
      </c>
      <c r="D955" s="6">
        <f>C955/$C$958</f>
      </c>
    </row>
    <row r="956" outlineLevel="1">
      <c r="B956" s="0" t="inlineStr">
        <is>
          <t xml:space="preserve">co_prime</t>
        </is>
      </c>
      <c r="C956" s="4">
        <f>SUMPRODUCT(('Entity Master'!H17:H944="co_prime")*'Entity Master'!G17:G944)</f>
      </c>
      <c r="D956" s="6">
        <f>C956/$C$958</f>
      </c>
    </row>
    <row r="957" outlineLevel="1">
      <c r="B957" s="0" t="inlineStr">
        <is>
          <t xml:space="preserve">gfe_sib</t>
        </is>
      </c>
      <c r="C957" s="4">
        <f>SUMPRODUCT(('Entity Master'!H17:H944="gfe_sib")*'Entity Master'!G17:G944)</f>
      </c>
      <c r="D957" s="6">
        <f>C957/$C$958</f>
      </c>
    </row>
    <row r="958">
      <c r="B958" s="3" t="inlineStr">
        <is>
          <t xml:space="preserve">Grand total (all recipients)</t>
        </is>
      </c>
      <c r="C958" s="13">
        <f>SUMPRODUCT('Entity Master'!G17:G944)</f>
      </c>
      <c r="D958" s="16"/>
    </row>
    <row r="961">
      <c r="A961" s="0" t="inlineStr">
        <is>
          <t xml:space="preserve">x</t>
        </is>
      </c>
      <c r="B961" s="9" t="inlineStr">
        <is>
          <t xml:space="preserve">§4 - Bucket summary (observed supplier $ + share; full corpus reference)</t>
        </is>
      </c>
      <c r="C961" s="9"/>
      <c r="D961" s="9"/>
      <c r="E961" s="9"/>
      <c r="F961" s="9"/>
      <c r="G961" s="9"/>
      <c r="H961" s="9"/>
      <c r="I961" s="9"/>
      <c r="J961" s="9"/>
      <c r="K961" s="9"/>
      <c r="L961" s="9"/>
    </row>
    <row r="963">
      <c r="B963" s="2" t="inlineStr">
        <is>
          <t xml:space="preserve">Bucket</t>
        </is>
      </c>
      <c r="C963" s="22" t="inlineStr">
        <is>
          <t xml:space="preserve">Supplier $M</t>
        </is>
      </c>
      <c r="D963" s="22" t="inlineStr">
        <is>
          <t xml:space="preserve">Observed share</t>
        </is>
      </c>
    </row>
    <row r="964" outlineLevel="1">
      <c r="B964" s="0" t="inlineStr">
        <is>
          <t xml:space="preserve">Structural fabrication &amp; modules</t>
        </is>
      </c>
      <c r="C964" s="4">
        <f>SUMPRODUCT(('Entity Master'!H17:H944="supplier")*('Entity Master'!I17:I944="structural")*'Entity Master'!G17:G944)</f>
      </c>
      <c r="D964" s="6">
        <f>C964/$C$972</f>
      </c>
    </row>
    <row r="965" outlineLevel="1">
      <c r="B965" s="0" t="inlineStr">
        <is>
          <t xml:space="preserve">Machining / mechanical / propulsion</t>
        </is>
      </c>
      <c r="C965" s="4">
        <f>SUMPRODUCT(('Entity Master'!H17:H944="supplier")*('Entity Master'!I17:I944="machining")*'Entity Master'!G17:G944)</f>
      </c>
      <c r="D965" s="6">
        <f>C965/$C$972</f>
      </c>
    </row>
    <row r="966" outlineLevel="1">
      <c r="B966" s="0" t="inlineStr">
        <is>
          <t xml:space="preserve">Castings &amp; forgings</t>
        </is>
      </c>
      <c r="C966" s="4">
        <f>SUMPRODUCT(('Entity Master'!H17:H944="supplier")*('Entity Master'!I17:I944="castings")*'Entity Master'!G17:G944)</f>
      </c>
      <c r="D966" s="6">
        <f>C966/$C$972</f>
      </c>
    </row>
    <row r="967" outlineLevel="1">
      <c r="B967" s="0" t="inlineStr">
        <is>
          <t xml:space="preserve">Piping / fluid handling</t>
        </is>
      </c>
      <c r="C967" s="4">
        <f>SUMPRODUCT(('Entity Master'!H17:H944="supplier")*('Entity Master'!I17:I944="piping")*'Entity Master'!G17:G944)</f>
      </c>
      <c r="D967" s="6">
        <f>C967/$C$972</f>
      </c>
    </row>
    <row r="968" outlineLevel="1">
      <c r="B968" s="0" t="inlineStr">
        <is>
          <t xml:space="preserve">Electrical power / distribution / generation</t>
        </is>
      </c>
      <c r="C968" s="4">
        <f>SUMPRODUCT(('Entity Master'!H17:H944="supplier")*('Entity Master'!I17:I944="electrical")*'Entity Master'!G17:G944)</f>
      </c>
      <c r="D968" s="6">
        <f>C968/$C$972</f>
      </c>
    </row>
    <row r="969" outlineLevel="1">
      <c r="B969" s="0" t="inlineStr">
        <is>
          <t xml:space="preserve">HVAC / ventilation / chilled water</t>
        </is>
      </c>
      <c r="C969" s="4">
        <f>SUMPRODUCT(('Entity Master'!H17:H944="supplier")*('Entity Master'!I17:I944="hvac")*'Entity Master'!G17:G944)</f>
      </c>
      <c r="D969" s="6">
        <f>C969/$C$972</f>
      </c>
    </row>
    <row r="970" outlineLevel="1">
      <c r="B970" s="0" t="inlineStr">
        <is>
          <t xml:space="preserve">Coatings / insulation / decking</t>
        </is>
      </c>
      <c r="C970" s="4">
        <f>SUMPRODUCT(('Entity Master'!H17:H944="supplier")*('Entity Master'!I17:I944="coatings")*'Entity Master'!G17:G944)</f>
      </c>
      <c r="D970" s="6">
        <f>C970/$C$972</f>
      </c>
    </row>
    <row r="971" outlineLevel="1">
      <c r="B971" s="0" t="inlineStr">
        <is>
          <t xml:space="preserve">Unbucketed / ambiguous</t>
        </is>
      </c>
      <c r="C971" s="4">
        <f>SUMPRODUCT(('Entity Master'!H17:H944="supplier")*('Entity Master'!I17:I944="unbucketed")*'Entity Master'!G17:G944)</f>
      </c>
      <c r="D971" s="6">
        <f>C971/$C$972</f>
      </c>
    </row>
    <row r="972">
      <c r="B972" s="3" t="inlineStr">
        <is>
          <t xml:space="preserve">Supplier-addressable total</t>
        </is>
      </c>
      <c r="C972" s="13">
        <f>SUMPRODUCT(('Entity Master'!H17:H944="supplier")*'Entity Master'!G17:G944)</f>
      </c>
      <c r="D972" s="14">
        <f>C972/$C$972</f>
      </c>
    </row>
    <row r="975">
      <c r="A975" s="0" t="inlineStr">
        <is>
          <t xml:space="preserve">x</t>
        </is>
      </c>
      <c r="B975" s="9" t="inlineStr">
        <is>
          <t xml:space="preserve">§4b - Entity-flagged scenario tags (modular assembly; VLS launch-control boundary)</t>
        </is>
      </c>
      <c r="C975" s="9"/>
      <c r="D975" s="9"/>
      <c r="E975" s="9"/>
      <c r="F975" s="9"/>
      <c r="G975" s="9"/>
      <c r="H975" s="9"/>
      <c r="I975" s="9"/>
      <c r="J975" s="9"/>
      <c r="K975" s="9"/>
      <c r="L975" s="9"/>
    </row>
    <row r="977">
      <c r="B977" s="2" t="inlineStr">
        <is>
          <t xml:space="preserve">Tag</t>
        </is>
      </c>
      <c r="C977" s="22" t="inlineStr">
        <is>
          <t xml:space="preserve">$M</t>
        </is>
      </c>
      <c r="D977" s="22" t="inlineStr">
        <is>
          <t xml:space="preserve">Share of addressable</t>
        </is>
      </c>
    </row>
    <row r="978" outlineLevel="1">
      <c r="B978" s="0" t="inlineStr">
        <is>
          <t xml:space="preserve">Modular assemblies (entity-flagged)</t>
        </is>
      </c>
      <c r="C978" s="4">
        <f>SUMPRODUCT(('Entity Master'!H17:H944="supplier")*('Entity Master'!K17:K944=1)*'Entity Master'!G17:G944)</f>
      </c>
      <c r="D978" s="6">
        <f>C978/$C$972</f>
      </c>
    </row>
    <row r="979" outlineLevel="1">
      <c r="B979" s="0" t="inlineStr">
        <is>
          <t xml:space="preserve">VLS launch-control (sensitivity boundary; excluded base case)</t>
        </is>
      </c>
      <c r="C979" s="4">
        <f>SUMPRODUCT(('Entity Master'!L17:L944=1)*'Entity Master'!G17:G944)</f>
      </c>
      <c r="D979" s="6">
        <f>C979/$C$972</f>
      </c>
    </row>
    <row r="982">
      <c r="A982" s="0" t="inlineStr">
        <is>
          <t xml:space="preserve">x</t>
        </is>
      </c>
      <c r="B982" s="9" t="inlineStr">
        <is>
          <t xml:space="preserve">§5 - Classification rule (which rule fired)</t>
        </is>
      </c>
      <c r="C982" s="9"/>
      <c r="D982" s="9"/>
      <c r="E982" s="9"/>
      <c r="F982" s="9"/>
      <c r="G982" s="9"/>
      <c r="H982" s="9"/>
      <c r="I982" s="9"/>
      <c r="J982" s="9"/>
      <c r="K982" s="9"/>
      <c r="L982" s="9"/>
    </row>
    <row r="984">
      <c r="B984" s="2" t="inlineStr">
        <is>
          <t xml:space="preserve">Class rule</t>
        </is>
      </c>
      <c r="C984" s="22" t="inlineStr">
        <is>
          <t xml:space="preserve">Entity count</t>
        </is>
      </c>
      <c r="D984" s="22" t="inlineStr">
        <is>
          <t xml:space="preserve">$M</t>
        </is>
      </c>
    </row>
    <row r="985" outlineLevel="1">
      <c r="B985" s="0" t="inlineStr">
        <is>
          <t xml:space="preserve">vendor-override</t>
        </is>
      </c>
      <c r="C985" s="4">
        <f>SUMPRODUCT(('Entity Master'!J17:J944="vendor-override"))</f>
      </c>
      <c r="D985" s="4">
        <f>SUMPRODUCT(('Entity Master'!J17:J944="vendor-override")*'Entity Master'!G17:G944)</f>
      </c>
    </row>
    <row r="986" outlineLevel="1">
      <c r="B986" s="0" t="inlineStr">
        <is>
          <t xml:space="preserve">naics4</t>
        </is>
      </c>
      <c r="C986" s="4">
        <f>SUMPRODUCT(('Entity Master'!J17:J944="naics4"))</f>
      </c>
      <c r="D986" s="4">
        <f>SUMPRODUCT(('Entity Master'!J17:J944="naics4")*'Entity Master'!G17:G944)</f>
      </c>
    </row>
    <row r="987" outlineLevel="1">
      <c r="B987" s="0" t="inlineStr">
        <is>
          <t xml:space="preserve">service NAICS</t>
        </is>
      </c>
      <c r="C987" s="4">
        <f>SUMPRODUCT(('Entity Master'!J17:J944="service NAICS"))</f>
      </c>
      <c r="D987" s="4">
        <f>SUMPRODUCT(('Entity Master'!J17:J944="service NAICS")*'Entity Master'!G17:G944)</f>
      </c>
    </row>
    <row r="988" outlineLevel="1">
      <c r="B988" s="0" t="inlineStr">
        <is>
          <t xml:space="preserve">prime/co-prime name</t>
        </is>
      </c>
      <c r="C988" s="4">
        <f>SUMPRODUCT(('Entity Master'!J17:J944="prime/co-prime name"))</f>
      </c>
      <c r="D988" s="4">
        <f>SUMPRODUCT(('Entity Master'!J17:J944="prime/co-prime name")*'Entity Master'!G17:G944)</f>
      </c>
    </row>
    <row r="989" outlineLevel="1">
      <c r="B989" s="0" t="inlineStr">
        <is>
          <t xml:space="preserve">GFE/SIB name</t>
        </is>
      </c>
      <c r="C989" s="4">
        <f>SUMPRODUCT(('Entity Master'!J17:J944="GFE/SIB name"))</f>
      </c>
      <c r="D989" s="4">
        <f>SUMPRODUCT(('Entity Master'!J17:J944="GFE/SIB name")*'Entity Master'!G17:G944)</f>
      </c>
    </row>
    <row r="990" outlineLevel="1">
      <c r="B990" s="0" t="inlineStr">
        <is>
          <t xml:space="preserve">holding-co (parent unknown)</t>
        </is>
      </c>
      <c r="C990" s="4">
        <f>SUMPRODUCT(('Entity Master'!J17:J944="holding-co (parent unknown)"))</f>
      </c>
      <c r="D990" s="4">
        <f>SUMPRODUCT(('Entity Master'!J17:J944="holding-co (parent unknown)")*'Entity Master'!G17:G944)</f>
      </c>
    </row>
    <row r="991" outlineLevel="1">
      <c r="B991" s="0" t="inlineStr">
        <is>
          <t xml:space="preserve">residual</t>
        </is>
      </c>
      <c r="C991" s="4">
        <f>SUMPRODUCT(('Entity Master'!J17:J944="residual"))</f>
      </c>
      <c r="D991" s="4">
        <f>SUMPRODUCT(('Entity Master'!J17:J944="residual")*'Entity Master'!G17:G944)</f>
      </c>
    </row>
  </sheetData>
  <tableParts count="1">
    <tablePart r:id="rId1"/>
  </tableParts>
</worksheet>
</file>

<file path=xl/worksheets/sheet14.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34" customWidth="1"/>
    <col min="3" max="3" width="30" customWidth="1"/>
    <col min="4" max="4" width="12" customWidth="1"/>
    <col min="5" max="5" width="12" customWidth="1"/>
    <col min="6" max="6" width="26" customWidth="1"/>
  </cols>
  <sheetData>
    <row r="1"/>
    <row r="2">
      <c r="B2" s="8" t="inlineStr">
        <is>
          <t xml:space="preserve">Location Master</t>
        </is>
      </c>
      <c r="C2" s="8"/>
      <c r="D2" s="8"/>
      <c r="E2" s="8"/>
      <c r="F2" s="8"/>
    </row>
    <row r="4">
      <c r="B4" s="9" t="inlineStr">
        <is>
          <t xml:space="preserve">§1 - Subaward geography (hint only)</t>
        </is>
      </c>
      <c r="C4" s="9"/>
      <c r="D4" s="9"/>
      <c r="E4" s="9"/>
      <c r="F4" s="9"/>
    </row>
    <row r="6">
      <c r="B6" s="2" t="inlineStr">
        <is>
          <t xml:space="preserve">Measure</t>
        </is>
      </c>
      <c r="C6" s="2" t="inlineStr">
        <is>
          <t xml:space="preserve">Value</t>
        </is>
      </c>
    </row>
    <row r="7">
      <c r="B7" s="0" t="inlineStr">
        <is>
          <t xml:space="preserve">US subaward $M</t>
        </is>
      </c>
      <c r="C7" s="4">
        <v>5936.760487780001</v>
      </c>
    </row>
    <row r="8">
      <c r="B8" s="0" t="inlineStr">
        <is>
          <t xml:space="preserve">Foreign subaward $M</t>
        </is>
      </c>
      <c r="C8" s="4">
        <v>202.43357513999996</v>
      </c>
    </row>
    <row r="9">
      <c r="B9" s="0" t="inlineStr">
        <is>
          <t xml:space="preserve">Top state by $M</t>
        </is>
      </c>
      <c r="C9" s="0" t="inlineStr">
        <is>
          <t xml:space="preserve">California</t>
        </is>
      </c>
    </row>
    <row r="10">
      <c r="B10" s="0" t="inlineStr">
        <is>
          <t xml:space="preserve">Prime-controlled-state $M</t>
        </is>
      </c>
      <c r="C10" s="4">
        <v>434.88123176</v>
      </c>
    </row>
    <row r="13">
      <c r="A13" s="0" t="inlineStr">
        <is>
          <t xml:space="preserve">x</t>
        </is>
      </c>
      <c r="B13" s="9" t="inlineStr">
        <is>
          <t xml:space="preserve">§2 - Top 15 states by subaward $ ($M lifetime)</t>
        </is>
      </c>
      <c r="C13" s="9"/>
      <c r="D13" s="9"/>
      <c r="E13" s="9"/>
      <c r="F13" s="9"/>
    </row>
    <row r="15">
      <c r="B15" s="2" t="inlineStr">
        <is>
          <t xml:space="preserve">State</t>
        </is>
      </c>
      <c r="C15" s="2" t="inlineStr">
        <is>
          <t xml:space="preserve">Name</t>
        </is>
      </c>
      <c r="D15" s="2" t="inlineStr">
        <is>
          <t xml:space="preserve">$M</t>
        </is>
      </c>
      <c r="E15" s="2" t="inlineStr">
        <is>
          <t xml:space="preserve">% of US</t>
        </is>
      </c>
      <c r="F15" s="2" t="inlineStr">
        <is>
          <t xml:space="preserve">Prime-controlled site</t>
        </is>
      </c>
    </row>
    <row r="16" outlineLevel="1">
      <c r="B16" s="0" t="inlineStr">
        <is>
          <t xml:space="preserve">CA</t>
        </is>
      </c>
      <c r="C16" s="0" t="inlineStr">
        <is>
          <t xml:space="preserve">California</t>
        </is>
      </c>
      <c r="D16" s="5">
        <v>1539.0387115700007</v>
      </c>
      <c r="E16" s="7">
        <v>0.25923880788822434</v>
      </c>
    </row>
    <row r="17" outlineLevel="1">
      <c r="B17" s="0" t="inlineStr">
        <is>
          <t xml:space="preserve">PA</t>
        </is>
      </c>
      <c r="C17" s="0" t="inlineStr">
        <is>
          <t xml:space="preserve">Pennsylvania</t>
        </is>
      </c>
      <c r="D17" s="5">
        <v>759.5038889100001</v>
      </c>
      <c r="E17" s="7">
        <v>0.12793237835235793</v>
      </c>
    </row>
    <row r="18" outlineLevel="1">
      <c r="B18" s="0" t="inlineStr">
        <is>
          <t xml:space="preserve">MA</t>
        </is>
      </c>
      <c r="C18" s="0" t="inlineStr">
        <is>
          <t xml:space="preserve">Massachusetts</t>
        </is>
      </c>
      <c r="D18" s="5">
        <v>578.5579855299998</v>
      </c>
      <c r="E18" s="7">
        <v>0.09745348270675248</v>
      </c>
    </row>
    <row r="19" outlineLevel="1">
      <c r="B19" s="0" t="inlineStr">
        <is>
          <t xml:space="preserve">WI</t>
        </is>
      </c>
      <c r="C19" s="0" t="inlineStr">
        <is>
          <t xml:space="preserve">Wisconsin</t>
        </is>
      </c>
      <c r="D19" s="5">
        <v>473.3480479499999</v>
      </c>
      <c r="E19" s="7">
        <v>0.07973170703522928</v>
      </c>
    </row>
    <row r="20" outlineLevel="1">
      <c r="B20" s="0" t="inlineStr">
        <is>
          <t xml:space="preserve">NJ</t>
        </is>
      </c>
      <c r="C20" s="0" t="inlineStr">
        <is>
          <t xml:space="preserve">New Jersey</t>
        </is>
      </c>
      <c r="D20" s="5">
        <v>301.23720686999974</v>
      </c>
      <c r="E20" s="7">
        <v>0.050741007236194687</v>
      </c>
    </row>
    <row r="21" outlineLevel="1">
      <c r="B21" s="0" t="inlineStr">
        <is>
          <t xml:space="preserve">NY</t>
        </is>
      </c>
      <c r="C21" s="0" t="inlineStr">
        <is>
          <t xml:space="preserve">New York</t>
        </is>
      </c>
      <c r="D21" s="5">
        <v>294.52872306</v>
      </c>
      <c r="E21" s="7">
        <v>0.04961101659166587</v>
      </c>
    </row>
    <row r="22" outlineLevel="1">
      <c r="B22" s="0" t="inlineStr">
        <is>
          <t xml:space="preserve">IL</t>
        </is>
      </c>
      <c r="C22" s="0" t="inlineStr">
        <is>
          <t xml:space="preserve">Illinois</t>
        </is>
      </c>
      <c r="D22" s="5">
        <v>219.83681841000006</v>
      </c>
      <c r="E22" s="7">
        <v>0.0370297603992116</v>
      </c>
    </row>
    <row r="23" outlineLevel="1">
      <c r="B23" s="0" t="inlineStr">
        <is>
          <t xml:space="preserve">CT</t>
        </is>
      </c>
      <c r="C23" s="0" t="inlineStr">
        <is>
          <t xml:space="preserve">Connecticut</t>
        </is>
      </c>
      <c r="D23" s="5">
        <v>196.27133448</v>
      </c>
      <c r="E23" s="7">
        <v>0.033060342401213146</v>
      </c>
      <c r="F23" s="0" t="inlineStr">
        <is>
          <t xml:space="preserve">EB (Groton)</t>
        </is>
      </c>
    </row>
    <row r="24" outlineLevel="1">
      <c r="B24" s="0" t="inlineStr">
        <is>
          <t xml:space="preserve">VA</t>
        </is>
      </c>
      <c r="C24" s="0" t="inlineStr">
        <is>
          <t xml:space="preserve">Virginia</t>
        </is>
      </c>
      <c r="D24" s="5">
        <v>184.73829963999998</v>
      </c>
      <c r="E24" s="7">
        <v>0.031117694577751313</v>
      </c>
      <c r="F24" s="0" t="inlineStr">
        <is>
          <t xml:space="preserve">HII-NNS (Newport News)</t>
        </is>
      </c>
    </row>
    <row r="25" outlineLevel="1">
      <c r="B25" s="0" t="inlineStr">
        <is>
          <t xml:space="preserve">FL</t>
        </is>
      </c>
      <c r="C25" s="0" t="inlineStr">
        <is>
          <t xml:space="preserve">Florida</t>
        </is>
      </c>
      <c r="D25" s="5">
        <v>159.43718345999997</v>
      </c>
      <c r="E25" s="7">
        <v>0.026855923156775367</v>
      </c>
    </row>
    <row r="26" outlineLevel="1">
      <c r="B26" s="0" t="inlineStr">
        <is>
          <t xml:space="preserve">OH</t>
        </is>
      </c>
      <c r="C26" s="0" t="inlineStr">
        <is>
          <t xml:space="preserve">Ohio</t>
        </is>
      </c>
      <c r="D26" s="5">
        <v>138.76447374999995</v>
      </c>
      <c r="E26" s="7">
        <v>0.023373769926482192</v>
      </c>
    </row>
    <row r="27" outlineLevel="1">
      <c r="B27" s="0" t="inlineStr">
        <is>
          <t xml:space="preserve">SC</t>
        </is>
      </c>
      <c r="C27" s="0" t="inlineStr">
        <is>
          <t xml:space="preserve">South Carolina</t>
        </is>
      </c>
      <c r="D27" s="5">
        <v>135.16790820000003</v>
      </c>
      <c r="E27" s="7">
        <v>0.022767957117054736</v>
      </c>
    </row>
    <row r="28" outlineLevel="1">
      <c r="B28" s="0" t="inlineStr">
        <is>
          <t xml:space="preserve">TX</t>
        </is>
      </c>
      <c r="C28" s="0" t="inlineStr">
        <is>
          <t xml:space="preserve">Texas</t>
        </is>
      </c>
      <c r="D28" s="5">
        <v>128.37614687000004</v>
      </c>
      <c r="E28" s="7">
        <v>0.021623939037837984</v>
      </c>
    </row>
    <row r="29" outlineLevel="1">
      <c r="B29" s="0" t="inlineStr">
        <is>
          <t xml:space="preserve">NH</t>
        </is>
      </c>
      <c r="C29" s="0" t="inlineStr">
        <is>
          <t xml:space="preserve">New Hampshire</t>
        </is>
      </c>
      <c r="D29" s="5">
        <v>117.28998714000004</v>
      </c>
      <c r="E29" s="7">
        <v>0.01975656376595034</v>
      </c>
    </row>
    <row r="30" outlineLevel="1">
      <c r="B30" s="0" t="inlineStr">
        <is>
          <t xml:space="preserve">MI</t>
        </is>
      </c>
      <c r="C30" s="0" t="inlineStr">
        <is>
          <t xml:space="preserve">Michigan</t>
        </is>
      </c>
      <c r="D30" s="5">
        <v>107.63751011</v>
      </c>
      <c r="E30" s="7">
        <v>0.018130680921279695</v>
      </c>
    </row>
    <row r="33">
      <c r="A33" s="0" t="inlineStr">
        <is>
          <t xml:space="preserve">x</t>
        </is>
      </c>
      <c r="B33" s="9" t="inlineStr">
        <is>
          <t xml:space="preserve">§3 - Country distribution (foreign / FMS is excluded scope)</t>
        </is>
      </c>
      <c r="C33" s="9"/>
      <c r="D33" s="9"/>
      <c r="E33" s="9"/>
      <c r="F33" s="9"/>
    </row>
    <row r="35">
      <c r="B35" s="2" t="inlineStr">
        <is>
          <t xml:space="preserve">Code</t>
        </is>
      </c>
      <c r="C35" s="2" t="inlineStr">
        <is>
          <t xml:space="preserve">Country</t>
        </is>
      </c>
      <c r="D35" s="2" t="inlineStr">
        <is>
          <t xml:space="preserve">$M</t>
        </is>
      </c>
      <c r="E35" s="2" t="inlineStr">
        <is>
          <t xml:space="preserve">% of total</t>
        </is>
      </c>
    </row>
    <row r="36" outlineLevel="1">
      <c r="B36" s="0" t="inlineStr">
        <is>
          <t xml:space="preserve">US</t>
        </is>
      </c>
      <c r="C36" s="0" t="inlineStr">
        <is>
          <t xml:space="preserve">United States</t>
        </is>
      </c>
      <c r="D36" s="5">
        <v>5936.760487779991</v>
      </c>
      <c r="E36" s="7">
        <v>0.9670260341886446</v>
      </c>
    </row>
    <row r="37" outlineLevel="1">
      <c r="B37" s="0" t="inlineStr">
        <is>
          <t xml:space="preserve">GB</t>
        </is>
      </c>
      <c r="C37" s="0" t="inlineStr">
        <is>
          <t xml:space="preserve">United Kingdom</t>
        </is>
      </c>
      <c r="D37" s="5">
        <v>160.96134447999998</v>
      </c>
      <c r="E37" s="7">
        <v>0.026218644146173444</v>
      </c>
    </row>
    <row r="38" outlineLevel="1">
      <c r="B38" s="0" t="inlineStr">
        <is>
          <t xml:space="preserve">CH</t>
        </is>
      </c>
      <c r="C38" s="0" t="inlineStr">
        <is>
          <t xml:space="preserve">Switzerland</t>
        </is>
      </c>
      <c r="D38" s="5">
        <v>32.80170425999998</v>
      </c>
      <c r="E38" s="7">
        <v>0.00534299843331528</v>
      </c>
    </row>
    <row r="39" outlineLevel="1">
      <c r="B39" s="0" t="inlineStr">
        <is>
          <t xml:space="preserve">CA</t>
        </is>
      </c>
      <c r="C39" s="0" t="inlineStr">
        <is>
          <t xml:space="preserve">Canada</t>
        </is>
      </c>
      <c r="D39" s="5">
        <v>8.00011758</v>
      </c>
      <c r="E39" s="7">
        <v>0.0013031217938393198</v>
      </c>
    </row>
    <row r="40" outlineLevel="1">
      <c r="B40" s="0" t="inlineStr">
        <is>
          <t xml:space="preserve">DK</t>
        </is>
      </c>
      <c r="C40" s="0" t="inlineStr">
        <is>
          <t xml:space="preserve">Denmark</t>
        </is>
      </c>
      <c r="D40" s="5">
        <v>0.5095565400000001</v>
      </c>
      <c r="E40" s="7">
        <v>8.300055915770142e-05</v>
      </c>
    </row>
    <row r="41" outlineLevel="1">
      <c r="B41" s="0" t="inlineStr">
        <is>
          <t xml:space="preserve">BR</t>
        </is>
      </c>
      <c r="C41" s="0" t="inlineStr">
        <is>
          <t xml:space="preserve">Brazil</t>
        </is>
      </c>
      <c r="D41" s="5">
        <v>0.109202</v>
      </c>
      <c r="E41" s="7">
        <v>1.7787676831974934e-05</v>
      </c>
    </row>
    <row r="42" outlineLevel="1">
      <c r="B42" s="0" t="inlineStr">
        <is>
          <t xml:space="preserve">CN</t>
        </is>
      </c>
      <c r="C42" s="0" t="inlineStr">
        <is>
          <t xml:space="preserve">China</t>
        </is>
      </c>
      <c r="D42" s="5">
        <v>0.05165028</v>
      </c>
      <c r="E42" s="7">
        <v>8.413202037700943e-06</v>
      </c>
    </row>
    <row r="45">
      <c r="A45" s="0" t="inlineStr">
        <is>
          <t xml:space="preserve">x</t>
        </is>
      </c>
      <c r="B45" s="9" t="inlineStr">
        <is>
          <t xml:space="preserve">§4 - Prime-controlled state flags</t>
        </is>
      </c>
      <c r="C45" s="9"/>
      <c r="D45" s="9"/>
      <c r="E45" s="9"/>
      <c r="F45" s="9"/>
    </row>
    <row r="47">
      <c r="B47" s="2" t="inlineStr">
        <is>
          <t xml:space="preserve">State</t>
        </is>
      </c>
      <c r="C47" s="2" t="inlineStr">
        <is>
          <t xml:space="preserve">Site</t>
        </is>
      </c>
    </row>
    <row r="48" outlineLevel="1">
      <c r="B48" s="0" t="inlineStr">
        <is>
          <t xml:space="preserve">CT</t>
        </is>
      </c>
      <c r="C48" s="0" t="inlineStr">
        <is>
          <t xml:space="preserve">EB (Groton)</t>
        </is>
      </c>
    </row>
    <row r="49" outlineLevel="1">
      <c r="B49" s="0" t="inlineStr">
        <is>
          <t xml:space="preserve">RI</t>
        </is>
      </c>
      <c r="C49" s="0" t="inlineStr">
        <is>
          <t xml:space="preserve">EB (Quonset)</t>
        </is>
      </c>
    </row>
    <row r="50" outlineLevel="1">
      <c r="B50" s="0" t="inlineStr">
        <is>
          <t xml:space="preserve">VA</t>
        </is>
      </c>
      <c r="C50" s="0" t="inlineStr">
        <is>
          <t xml:space="preserve">HII-NNS (Newport News)</t>
        </is>
      </c>
    </row>
    <row r="51" outlineLevel="1">
      <c r="B51" s="0" t="inlineStr">
        <is>
          <t xml:space="preserve">MS</t>
        </is>
      </c>
      <c r="C51" s="0" t="inlineStr">
        <is>
          <t xml:space="preserve">HII-Ingalls</t>
        </is>
      </c>
    </row>
  </sheetData>
  <tableParts count="1">
    <tablePart r:id="rId1"/>
  </tableParts>
</worksheet>
</file>

<file path=xl/worksheets/sheet15.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34" customWidth="1"/>
    <col min="3" max="3" width="36" customWidth="1"/>
    <col min="4" max="4" width="14" customWidth="1"/>
    <col min="5" max="5" width="26" customWidth="1"/>
    <col min="6" max="6" width="22" customWidth="1"/>
  </cols>
  <sheetData>
    <row r="1"/>
    <row r="2">
      <c r="B2" s="8" t="inlineStr">
        <is>
          <t xml:space="preserve">Worktype Evidence</t>
        </is>
      </c>
      <c r="C2" s="8"/>
      <c r="D2" s="8"/>
      <c r="E2" s="8"/>
      <c r="F2" s="8"/>
    </row>
    <row r="4">
      <c r="B4" s="9" t="inlineStr">
        <is>
          <t xml:space="preserve">§1 - Supplier $ + top vendor per bucket</t>
        </is>
      </c>
      <c r="C4" s="9"/>
      <c r="D4" s="9"/>
      <c r="E4" s="9"/>
      <c r="F4" s="9"/>
    </row>
    <row r="6">
      <c r="B6" s="2" t="inlineStr">
        <is>
          <t xml:space="preserve">Bucket</t>
        </is>
      </c>
      <c r="C6" s="22" t="inlineStr">
        <is>
          <t xml:space="preserve">Supplier $M</t>
        </is>
      </c>
      <c r="D6" s="2" t="inlineStr">
        <is>
          <t xml:space="preserve">Top vendor</t>
        </is>
      </c>
      <c r="E6" s="22" t="inlineStr">
        <is>
          <t xml:space="preserve">Evidence count</t>
        </is>
      </c>
    </row>
    <row r="7">
      <c r="B7" s="0" t="inlineStr">
        <is>
          <t xml:space="preserve">Structural fabrication &amp; modules</t>
        </is>
      </c>
      <c r="C7" s="11">
        <f>'Entity Master'!C964</f>
      </c>
      <c r="D7" s="0">
        <f>'Entity Master'!B21</f>
      </c>
      <c r="E7" s="0">
        <v>45</v>
      </c>
    </row>
    <row r="8">
      <c r="B8" s="0" t="inlineStr">
        <is>
          <t xml:space="preserve">Machining / mechanical / propulsion</t>
        </is>
      </c>
      <c r="C8" s="11">
        <f>'Entity Master'!C965</f>
      </c>
      <c r="D8" s="0">
        <f>'Entity Master'!B36</f>
      </c>
      <c r="E8" s="0">
        <v>22</v>
      </c>
    </row>
    <row r="9">
      <c r="B9" s="0" t="inlineStr">
        <is>
          <t xml:space="preserve">Castings &amp; forgings</t>
        </is>
      </c>
      <c r="C9" s="11">
        <f>'Entity Master'!C966</f>
      </c>
      <c r="D9" s="0">
        <f>'Entity Master'!B20</f>
      </c>
      <c r="E9" s="0">
        <v>10</v>
      </c>
    </row>
    <row r="10">
      <c r="B10" s="0" t="inlineStr">
        <is>
          <t xml:space="preserve">Piping / fluid handling</t>
        </is>
      </c>
      <c r="C10" s="11">
        <f>'Entity Master'!C967</f>
      </c>
      <c r="D10" s="0">
        <f>'Entity Master'!B19</f>
      </c>
      <c r="E10" s="0">
        <v>62</v>
      </c>
    </row>
    <row r="11">
      <c r="B11" s="0" t="inlineStr">
        <is>
          <t xml:space="preserve">Electrical power / distribution / generation</t>
        </is>
      </c>
      <c r="C11" s="11">
        <f>'Entity Master'!C968</f>
      </c>
      <c r="D11" s="0">
        <f>'Entity Master'!B17</f>
      </c>
      <c r="E11" s="0">
        <v>33</v>
      </c>
    </row>
    <row r="12">
      <c r="B12" s="0" t="inlineStr">
        <is>
          <t xml:space="preserve">HVAC / ventilation / chilled water</t>
        </is>
      </c>
      <c r="C12" s="11">
        <f>'Entity Master'!C969</f>
      </c>
      <c r="D12" s="0">
        <f>'Entity Master'!B31</f>
      </c>
      <c r="E12" s="0">
        <v>8</v>
      </c>
    </row>
    <row r="13">
      <c r="B13" s="0" t="inlineStr">
        <is>
          <t xml:space="preserve">Coatings / insulation / decking</t>
        </is>
      </c>
      <c r="C13" s="11">
        <f>'Entity Master'!C970</f>
      </c>
      <c r="D13" s="0">
        <f>'Entity Master'!B23</f>
      </c>
      <c r="E13" s="0">
        <v>15</v>
      </c>
    </row>
    <row r="14">
      <c r="B14" s="0" t="inlineStr">
        <is>
          <t xml:space="preserve">Unbucketed / ambiguous</t>
        </is>
      </c>
      <c r="C14" s="11">
        <f>'Entity Master'!C971</f>
      </c>
      <c r="D14" s="0">
        <f>'Entity Master'!B81</f>
      </c>
      <c r="E14" s="0">
        <v>658</v>
      </c>
    </row>
    <row r="17">
      <c r="A17" s="0" t="inlineStr">
        <is>
          <t xml:space="preserve">x</t>
        </is>
      </c>
      <c r="B17" s="9" t="inlineStr">
        <is>
          <t xml:space="preserve">§2 - Top vendors per bucket (links to Entity Master)</t>
        </is>
      </c>
      <c r="C17" s="9"/>
      <c r="D17" s="9"/>
      <c r="E17" s="9"/>
      <c r="F17" s="9"/>
    </row>
    <row r="19">
      <c r="A19" s="0" t="inlineStr">
        <is>
          <t xml:space="preserve">x</t>
        </is>
      </c>
      <c r="B19" s="10" t="inlineStr">
        <is>
          <t xml:space="preserve">§2a - Structural fabrication &amp; modules (top 3 by subaward $)</t>
        </is>
      </c>
      <c r="C19" s="10"/>
      <c r="D19" s="10"/>
      <c r="E19" s="10"/>
      <c r="F19" s="10"/>
    </row>
    <row r="21">
      <c r="B21" s="22" t="inlineStr">
        <is>
          <t xml:space="preserve">Rank</t>
        </is>
      </c>
      <c r="C21" s="2" t="inlineStr">
        <is>
          <t xml:space="preserve">Vendor</t>
        </is>
      </c>
      <c r="D21" s="22" t="inlineStr">
        <is>
          <t xml:space="preserve">$M</t>
        </is>
      </c>
      <c r="E21" s="2" t="inlineStr">
        <is>
          <t xml:space="preserve">NAICS desc</t>
        </is>
      </c>
      <c r="F21" s="2" t="inlineStr">
        <is>
          <t xml:space="preserve">Class rule</t>
        </is>
      </c>
    </row>
    <row r="22" outlineLevel="1">
      <c r="B22" s="0">
        <v>1</v>
      </c>
      <c r="C22" s="0">
        <f>'Entity Master'!B21</f>
      </c>
      <c r="D22" s="11">
        <f>'Entity Master'!G21</f>
      </c>
      <c r="E22" s="0">
        <f>'Entity Master'!F21</f>
      </c>
      <c r="F22" s="0">
        <f>'Entity Master'!J21</f>
      </c>
    </row>
    <row r="23" outlineLevel="1">
      <c r="B23" s="0">
        <v>2</v>
      </c>
      <c r="C23" s="0">
        <f>'Entity Master'!B22</f>
      </c>
      <c r="D23" s="11">
        <f>'Entity Master'!G22</f>
      </c>
      <c r="E23" s="0">
        <f>'Entity Master'!F22</f>
      </c>
      <c r="F23" s="0">
        <f>'Entity Master'!J22</f>
      </c>
    </row>
    <row r="24" outlineLevel="1">
      <c r="B24" s="0">
        <v>3</v>
      </c>
      <c r="C24" s="0">
        <f>'Entity Master'!B24</f>
      </c>
      <c r="D24" s="11">
        <f>'Entity Master'!G24</f>
      </c>
      <c r="E24" s="0">
        <f>'Entity Master'!F24</f>
      </c>
      <c r="F24" s="0">
        <f>'Entity Master'!J24</f>
      </c>
    </row>
    <row r="26">
      <c r="A26" s="0" t="inlineStr">
        <is>
          <t xml:space="preserve">x</t>
        </is>
      </c>
      <c r="B26" s="10" t="inlineStr">
        <is>
          <t xml:space="preserve">§2b - Machining / mechanical / propulsion (top 3 by subaward $)</t>
        </is>
      </c>
      <c r="C26" s="10"/>
      <c r="D26" s="10"/>
      <c r="E26" s="10"/>
      <c r="F26" s="10"/>
    </row>
    <row r="28">
      <c r="B28" s="22" t="inlineStr">
        <is>
          <t xml:space="preserve">Rank</t>
        </is>
      </c>
      <c r="C28" s="2" t="inlineStr">
        <is>
          <t xml:space="preserve">Vendor</t>
        </is>
      </c>
      <c r="D28" s="22" t="inlineStr">
        <is>
          <t xml:space="preserve">$M</t>
        </is>
      </c>
      <c r="E28" s="2" t="inlineStr">
        <is>
          <t xml:space="preserve">NAICS desc</t>
        </is>
      </c>
      <c r="F28" s="2" t="inlineStr">
        <is>
          <t xml:space="preserve">Class rule</t>
        </is>
      </c>
    </row>
    <row r="29" outlineLevel="1">
      <c r="B29" s="0">
        <v>1</v>
      </c>
      <c r="C29" s="0">
        <f>'Entity Master'!B36</f>
      </c>
      <c r="D29" s="11">
        <f>'Entity Master'!G36</f>
      </c>
      <c r="E29" s="0">
        <f>'Entity Master'!F36</f>
      </c>
      <c r="F29" s="0">
        <f>'Entity Master'!J36</f>
      </c>
    </row>
    <row r="30" outlineLevel="1">
      <c r="B30" s="0">
        <v>2</v>
      </c>
      <c r="C30" s="0">
        <f>'Entity Master'!B58</f>
      </c>
      <c r="D30" s="11">
        <f>'Entity Master'!G58</f>
      </c>
      <c r="E30" s="0">
        <f>'Entity Master'!F58</f>
      </c>
      <c r="F30" s="0">
        <f>'Entity Master'!J58</f>
      </c>
    </row>
    <row r="31" outlineLevel="1">
      <c r="B31" s="0">
        <v>3</v>
      </c>
      <c r="C31" s="0">
        <f>'Entity Master'!B60</f>
      </c>
      <c r="D31" s="11">
        <f>'Entity Master'!G60</f>
      </c>
      <c r="E31" s="0">
        <f>'Entity Master'!F60</f>
      </c>
      <c r="F31" s="0">
        <f>'Entity Master'!J60</f>
      </c>
    </row>
    <row r="33">
      <c r="A33" s="0" t="inlineStr">
        <is>
          <t xml:space="preserve">x</t>
        </is>
      </c>
      <c r="B33" s="10" t="inlineStr">
        <is>
          <t xml:space="preserve">§2c - Castings &amp; forgings (top 3 by subaward $)</t>
        </is>
      </c>
      <c r="C33" s="10"/>
      <c r="D33" s="10"/>
      <c r="E33" s="10"/>
      <c r="F33" s="10"/>
    </row>
    <row r="35">
      <c r="B35" s="22" t="inlineStr">
        <is>
          <t xml:space="preserve">Rank</t>
        </is>
      </c>
      <c r="C35" s="2" t="inlineStr">
        <is>
          <t xml:space="preserve">Vendor</t>
        </is>
      </c>
      <c r="D35" s="22" t="inlineStr">
        <is>
          <t xml:space="preserve">$M</t>
        </is>
      </c>
      <c r="E35" s="2" t="inlineStr">
        <is>
          <t xml:space="preserve">NAICS desc</t>
        </is>
      </c>
      <c r="F35" s="2" t="inlineStr">
        <is>
          <t xml:space="preserve">Class rule</t>
        </is>
      </c>
    </row>
    <row r="36" outlineLevel="1">
      <c r="B36" s="0">
        <v>1</v>
      </c>
      <c r="C36" s="0">
        <f>'Entity Master'!B20</f>
      </c>
      <c r="D36" s="11">
        <f>'Entity Master'!G20</f>
      </c>
      <c r="E36" s="0">
        <f>'Entity Master'!F20</f>
      </c>
      <c r="F36" s="0">
        <f>'Entity Master'!J20</f>
      </c>
    </row>
    <row r="37" outlineLevel="1">
      <c r="B37" s="0">
        <v>2</v>
      </c>
      <c r="C37" s="0">
        <f>'Entity Master'!B87</f>
      </c>
      <c r="D37" s="11">
        <f>'Entity Master'!G87</f>
      </c>
      <c r="E37" s="0">
        <f>'Entity Master'!F87</f>
      </c>
      <c r="F37" s="0">
        <f>'Entity Master'!J87</f>
      </c>
    </row>
    <row r="38" outlineLevel="1">
      <c r="B38" s="0">
        <v>3</v>
      </c>
      <c r="C38" s="0">
        <f>'Entity Master'!B103</f>
      </c>
      <c r="D38" s="11">
        <f>'Entity Master'!G103</f>
      </c>
      <c r="E38" s="0">
        <f>'Entity Master'!F103</f>
      </c>
      <c r="F38" s="0">
        <f>'Entity Master'!J103</f>
      </c>
    </row>
    <row r="40">
      <c r="A40" s="0" t="inlineStr">
        <is>
          <t xml:space="preserve">x</t>
        </is>
      </c>
      <c r="B40" s="10" t="inlineStr">
        <is>
          <t xml:space="preserve">§2d - Piping / fluid handling (top 3 by subaward $)</t>
        </is>
      </c>
      <c r="C40" s="10"/>
      <c r="D40" s="10"/>
      <c r="E40" s="10"/>
      <c r="F40" s="10"/>
    </row>
    <row r="42">
      <c r="B42" s="22" t="inlineStr">
        <is>
          <t xml:space="preserve">Rank</t>
        </is>
      </c>
      <c r="C42" s="2" t="inlineStr">
        <is>
          <t xml:space="preserve">Vendor</t>
        </is>
      </c>
      <c r="D42" s="22" t="inlineStr">
        <is>
          <t xml:space="preserve">$M</t>
        </is>
      </c>
      <c r="E42" s="2" t="inlineStr">
        <is>
          <t xml:space="preserve">NAICS desc</t>
        </is>
      </c>
      <c r="F42" s="2" t="inlineStr">
        <is>
          <t xml:space="preserve">Class rule</t>
        </is>
      </c>
    </row>
    <row r="43" outlineLevel="1">
      <c r="B43" s="0">
        <v>1</v>
      </c>
      <c r="C43" s="0">
        <f>'Entity Master'!B19</f>
      </c>
      <c r="D43" s="11">
        <f>'Entity Master'!G19</f>
      </c>
      <c r="E43" s="0">
        <f>'Entity Master'!F19</f>
      </c>
      <c r="F43" s="0">
        <f>'Entity Master'!J19</f>
      </c>
    </row>
    <row r="44" outlineLevel="1">
      <c r="B44" s="0">
        <v>2</v>
      </c>
      <c r="C44" s="0">
        <f>'Entity Master'!B27</f>
      </c>
      <c r="D44" s="11">
        <f>'Entity Master'!G27</f>
      </c>
      <c r="E44" s="0">
        <f>'Entity Master'!F27</f>
      </c>
      <c r="F44" s="0">
        <f>'Entity Master'!J27</f>
      </c>
    </row>
    <row r="45" outlineLevel="1">
      <c r="B45" s="0">
        <v>3</v>
      </c>
      <c r="C45" s="0">
        <f>'Entity Master'!B28</f>
      </c>
      <c r="D45" s="11">
        <f>'Entity Master'!G28</f>
      </c>
      <c r="E45" s="0">
        <f>'Entity Master'!F28</f>
      </c>
      <c r="F45" s="0">
        <f>'Entity Master'!J28</f>
      </c>
    </row>
    <row r="47">
      <c r="A47" s="0" t="inlineStr">
        <is>
          <t xml:space="preserve">x</t>
        </is>
      </c>
      <c r="B47" s="10" t="inlineStr">
        <is>
          <t xml:space="preserve">§2e - Electrical power / distribution / generation (top 3 by subaward $)</t>
        </is>
      </c>
      <c r="C47" s="10"/>
      <c r="D47" s="10"/>
      <c r="E47" s="10"/>
      <c r="F47" s="10"/>
    </row>
    <row r="49">
      <c r="B49" s="22" t="inlineStr">
        <is>
          <t xml:space="preserve">Rank</t>
        </is>
      </c>
      <c r="C49" s="2" t="inlineStr">
        <is>
          <t xml:space="preserve">Vendor</t>
        </is>
      </c>
      <c r="D49" s="22" t="inlineStr">
        <is>
          <t xml:space="preserve">$M</t>
        </is>
      </c>
      <c r="E49" s="2" t="inlineStr">
        <is>
          <t xml:space="preserve">NAICS desc</t>
        </is>
      </c>
      <c r="F49" s="2" t="inlineStr">
        <is>
          <t xml:space="preserve">Class rule</t>
        </is>
      </c>
    </row>
    <row r="50" outlineLevel="1">
      <c r="B50" s="0">
        <v>1</v>
      </c>
      <c r="C50" s="0">
        <f>'Entity Master'!B17</f>
      </c>
      <c r="D50" s="11">
        <f>'Entity Master'!G17</f>
      </c>
      <c r="E50" s="0">
        <f>'Entity Master'!F17</f>
      </c>
      <c r="F50" s="0">
        <f>'Entity Master'!J17</f>
      </c>
    </row>
    <row r="51" outlineLevel="1">
      <c r="B51" s="0">
        <v>2</v>
      </c>
      <c r="C51" s="0">
        <f>'Entity Master'!B18</f>
      </c>
      <c r="D51" s="11">
        <f>'Entity Master'!G18</f>
      </c>
      <c r="E51" s="0">
        <f>'Entity Master'!F18</f>
      </c>
      <c r="F51" s="0">
        <f>'Entity Master'!J18</f>
      </c>
    </row>
    <row r="52" outlineLevel="1">
      <c r="B52" s="0">
        <v>3</v>
      </c>
      <c r="C52" s="0">
        <f>'Entity Master'!B35</f>
      </c>
      <c r="D52" s="11">
        <f>'Entity Master'!G35</f>
      </c>
      <c r="E52" s="0">
        <f>'Entity Master'!F35</f>
      </c>
      <c r="F52" s="0">
        <f>'Entity Master'!J35</f>
      </c>
    </row>
    <row r="54">
      <c r="A54" s="0" t="inlineStr">
        <is>
          <t xml:space="preserve">x</t>
        </is>
      </c>
      <c r="B54" s="10" t="inlineStr">
        <is>
          <t xml:space="preserve">§2f - HVAC / ventilation / chilled water (top 3 by subaward $)</t>
        </is>
      </c>
      <c r="C54" s="10"/>
      <c r="D54" s="10"/>
      <c r="E54" s="10"/>
      <c r="F54" s="10"/>
    </row>
    <row r="56">
      <c r="B56" s="22" t="inlineStr">
        <is>
          <t xml:space="preserve">Rank</t>
        </is>
      </c>
      <c r="C56" s="2" t="inlineStr">
        <is>
          <t xml:space="preserve">Vendor</t>
        </is>
      </c>
      <c r="D56" s="22" t="inlineStr">
        <is>
          <t xml:space="preserve">$M</t>
        </is>
      </c>
      <c r="E56" s="2" t="inlineStr">
        <is>
          <t xml:space="preserve">NAICS desc</t>
        </is>
      </c>
      <c r="F56" s="2" t="inlineStr">
        <is>
          <t xml:space="preserve">Class rule</t>
        </is>
      </c>
    </row>
    <row r="57" outlineLevel="1">
      <c r="B57" s="0">
        <v>1</v>
      </c>
      <c r="C57" s="0">
        <f>'Entity Master'!B31</f>
      </c>
      <c r="D57" s="11">
        <f>'Entity Master'!G31</f>
      </c>
      <c r="E57" s="0">
        <f>'Entity Master'!F31</f>
      </c>
      <c r="F57" s="0">
        <f>'Entity Master'!J31</f>
      </c>
    </row>
    <row r="58" outlineLevel="1">
      <c r="B58" s="0">
        <v>2</v>
      </c>
      <c r="C58" s="0">
        <f>'Entity Master'!B53</f>
      </c>
      <c r="D58" s="11">
        <f>'Entity Master'!G53</f>
      </c>
      <c r="E58" s="0">
        <f>'Entity Master'!F53</f>
      </c>
      <c r="F58" s="0">
        <f>'Entity Master'!J53</f>
      </c>
    </row>
    <row r="59" outlineLevel="1">
      <c r="B59" s="0">
        <v>3</v>
      </c>
      <c r="C59" s="0">
        <f>'Entity Master'!B61</f>
      </c>
      <c r="D59" s="11">
        <f>'Entity Master'!G61</f>
      </c>
      <c r="E59" s="0">
        <f>'Entity Master'!F61</f>
      </c>
      <c r="F59" s="0">
        <f>'Entity Master'!J61</f>
      </c>
    </row>
    <row r="61">
      <c r="A61" s="0" t="inlineStr">
        <is>
          <t xml:space="preserve">x</t>
        </is>
      </c>
      <c r="B61" s="10" t="inlineStr">
        <is>
          <t xml:space="preserve">§2g - Coatings / insulation / decking (top 3 by subaward $)</t>
        </is>
      </c>
      <c r="C61" s="10"/>
      <c r="D61" s="10"/>
      <c r="E61" s="10"/>
      <c r="F61" s="10"/>
    </row>
    <row r="63">
      <c r="B63" s="22" t="inlineStr">
        <is>
          <t xml:space="preserve">Rank</t>
        </is>
      </c>
      <c r="C63" s="2" t="inlineStr">
        <is>
          <t xml:space="preserve">Vendor</t>
        </is>
      </c>
      <c r="D63" s="22" t="inlineStr">
        <is>
          <t xml:space="preserve">$M</t>
        </is>
      </c>
      <c r="E63" s="2" t="inlineStr">
        <is>
          <t xml:space="preserve">NAICS desc</t>
        </is>
      </c>
      <c r="F63" s="2" t="inlineStr">
        <is>
          <t xml:space="preserve">Class rule</t>
        </is>
      </c>
    </row>
    <row r="64" outlineLevel="1">
      <c r="B64" s="0">
        <v>1</v>
      </c>
      <c r="C64" s="0">
        <f>'Entity Master'!B23</f>
      </c>
      <c r="D64" s="11">
        <f>'Entity Master'!G23</f>
      </c>
      <c r="E64" s="0">
        <f>'Entity Master'!F23</f>
      </c>
      <c r="F64" s="0">
        <f>'Entity Master'!J23</f>
      </c>
    </row>
    <row r="65" outlineLevel="1">
      <c r="B65" s="0">
        <v>2</v>
      </c>
      <c r="C65" s="0">
        <f>'Entity Master'!B32</f>
      </c>
      <c r="D65" s="11">
        <f>'Entity Master'!G32</f>
      </c>
      <c r="E65" s="0">
        <f>'Entity Master'!F32</f>
      </c>
      <c r="F65" s="0">
        <f>'Entity Master'!J32</f>
      </c>
    </row>
    <row r="66" outlineLevel="1">
      <c r="B66" s="0">
        <v>3</v>
      </c>
      <c r="C66" s="0">
        <f>'Entity Master'!B33</f>
      </c>
      <c r="D66" s="11">
        <f>'Entity Master'!G33</f>
      </c>
      <c r="E66" s="0">
        <f>'Entity Master'!F33</f>
      </c>
      <c r="F66" s="0">
        <f>'Entity Master'!J33</f>
      </c>
    </row>
    <row r="68">
      <c r="A68" s="0" t="inlineStr">
        <is>
          <t xml:space="preserve">x</t>
        </is>
      </c>
      <c r="B68" s="10" t="inlineStr">
        <is>
          <t xml:space="preserve">§2h - Unbucketed watchlist (top 10 supplier $, no clean bucket)</t>
        </is>
      </c>
      <c r="C68" s="10"/>
      <c r="D68" s="10"/>
      <c r="E68" s="10"/>
      <c r="F68" s="10"/>
    </row>
    <row r="70">
      <c r="B70" s="22" t="inlineStr">
        <is>
          <t xml:space="preserve">Rank</t>
        </is>
      </c>
      <c r="C70" s="2" t="inlineStr">
        <is>
          <t xml:space="preserve">Vendor</t>
        </is>
      </c>
      <c r="D70" s="22" t="inlineStr">
        <is>
          <t xml:space="preserve">$M</t>
        </is>
      </c>
      <c r="E70" s="2" t="inlineStr">
        <is>
          <t xml:space="preserve">NAICS desc</t>
        </is>
      </c>
      <c r="F70" s="2" t="inlineStr">
        <is>
          <t xml:space="preserve">Why unbucketed</t>
        </is>
      </c>
    </row>
    <row r="71" outlineLevel="1">
      <c r="B71" s="0">
        <v>1</v>
      </c>
      <c r="C71" s="0">
        <f>'Entity Master'!B81</f>
      </c>
      <c r="D71" s="11">
        <f>'Entity Master'!G81</f>
      </c>
      <c r="E71" s="0">
        <f>'Entity Master'!F81</f>
      </c>
      <c r="F71" s="0">
        <f>'Entity Master'!J81</f>
      </c>
    </row>
    <row r="72" outlineLevel="1">
      <c r="B72" s="0">
        <v>2</v>
      </c>
      <c r="C72" s="0">
        <f>'Entity Master'!B96</f>
      </c>
      <c r="D72" s="11">
        <f>'Entity Master'!G96</f>
      </c>
      <c r="E72" s="0">
        <f>'Entity Master'!F96</f>
      </c>
      <c r="F72" s="0">
        <f>'Entity Master'!J96</f>
      </c>
    </row>
    <row r="73" outlineLevel="1">
      <c r="B73" s="0">
        <v>3</v>
      </c>
      <c r="C73" s="0">
        <f>'Entity Master'!B97</f>
      </c>
      <c r="D73" s="11">
        <f>'Entity Master'!G97</f>
      </c>
      <c r="E73" s="0">
        <f>'Entity Master'!F97</f>
      </c>
      <c r="F73" s="0">
        <f>'Entity Master'!J97</f>
      </c>
    </row>
    <row r="74" outlineLevel="1">
      <c r="B74" s="0">
        <v>4</v>
      </c>
      <c r="C74" s="0">
        <f>'Entity Master'!B101</f>
      </c>
      <c r="D74" s="11">
        <f>'Entity Master'!G101</f>
      </c>
      <c r="E74" s="0">
        <f>'Entity Master'!F101</f>
      </c>
      <c r="F74" s="0">
        <f>'Entity Master'!J101</f>
      </c>
    </row>
    <row r="75" outlineLevel="1">
      <c r="B75" s="0">
        <v>5</v>
      </c>
      <c r="C75" s="0">
        <f>'Entity Master'!B106</f>
      </c>
      <c r="D75" s="11">
        <f>'Entity Master'!G106</f>
      </c>
      <c r="E75" s="0">
        <f>'Entity Master'!F106</f>
      </c>
      <c r="F75" s="0">
        <f>'Entity Master'!J106</f>
      </c>
    </row>
    <row r="76" outlineLevel="1">
      <c r="B76" s="0">
        <v>6</v>
      </c>
      <c r="C76" s="0">
        <f>'Entity Master'!B113</f>
      </c>
      <c r="D76" s="11">
        <f>'Entity Master'!G113</f>
      </c>
      <c r="E76" s="0">
        <f>'Entity Master'!F113</f>
      </c>
      <c r="F76" s="0">
        <f>'Entity Master'!J113</f>
      </c>
    </row>
    <row r="77" outlineLevel="1">
      <c r="B77" s="0">
        <v>7</v>
      </c>
      <c r="C77" s="0">
        <f>'Entity Master'!B124</f>
      </c>
      <c r="D77" s="11">
        <f>'Entity Master'!G124</f>
      </c>
      <c r="E77" s="0">
        <f>'Entity Master'!F124</f>
      </c>
      <c r="F77" s="0">
        <f>'Entity Master'!J124</f>
      </c>
    </row>
    <row r="78" outlineLevel="1">
      <c r="B78" s="0">
        <v>8</v>
      </c>
      <c r="C78" s="0">
        <f>'Entity Master'!B152</f>
      </c>
      <c r="D78" s="11">
        <f>'Entity Master'!G152</f>
      </c>
      <c r="E78" s="0">
        <f>'Entity Master'!F152</f>
      </c>
      <c r="F78" s="0">
        <f>'Entity Master'!J152</f>
      </c>
    </row>
    <row r="79" outlineLevel="1">
      <c r="B79" s="0">
        <v>9</v>
      </c>
      <c r="C79" s="0">
        <f>'Entity Master'!B171</f>
      </c>
      <c r="D79" s="11">
        <f>'Entity Master'!G171</f>
      </c>
      <c r="E79" s="0">
        <f>'Entity Master'!F171</f>
      </c>
      <c r="F79" s="0">
        <f>'Entity Master'!J171</f>
      </c>
    </row>
    <row r="80" outlineLevel="1">
      <c r="B80" s="0">
        <v>10</v>
      </c>
      <c r="C80" s="0">
        <f>'Entity Master'!B175</f>
      </c>
      <c r="D80" s="11">
        <f>'Entity Master'!G175</f>
      </c>
      <c r="E80" s="0">
        <f>'Entity Master'!F175</f>
      </c>
      <c r="F80" s="0">
        <f>'Entity Master'!J175</f>
      </c>
    </row>
  </sheetData>
</worksheet>
</file>

<file path=xl/worksheets/sheet16.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46" customWidth="1"/>
    <col min="3" max="3" width="12" customWidth="1"/>
    <col min="4" max="4" width="12" customWidth="1"/>
    <col min="5" max="5" width="12" customWidth="1"/>
    <col min="6" max="6" width="12" customWidth="1"/>
    <col min="7" max="7" width="12" customWidth="1"/>
  </cols>
  <sheetData>
    <row r="1"/>
    <row r="2">
      <c r="B2" s="8" t="inlineStr">
        <is>
          <t xml:space="preserve">Worktype by FY</t>
        </is>
      </c>
      <c r="C2" s="8"/>
      <c r="D2" s="8"/>
      <c r="E2" s="8"/>
      <c r="F2" s="8"/>
      <c r="G2" s="8"/>
    </row>
    <row r="4">
      <c r="A4" s="0" t="inlineStr">
        <is>
          <t xml:space="preserve">x</t>
        </is>
      </c>
      <c r="B4" s="9" t="inlineStr">
        <is>
          <t xml:space="preserve">§1 - Evidence basis (gated share evidence)</t>
        </is>
      </c>
      <c r="C4" s="9"/>
      <c r="D4" s="9"/>
      <c r="E4" s="9"/>
      <c r="F4" s="9"/>
      <c r="G4" s="9"/>
    </row>
    <row r="6">
      <c r="B6" s="2" t="inlineStr">
        <is>
          <t xml:space="preserve">Field</t>
        </is>
      </c>
      <c r="C6" s="2" t="inlineStr">
        <is>
          <t xml:space="preserve">Value</t>
        </is>
      </c>
    </row>
    <row r="7" outlineLevel="1">
      <c r="B7" s="0" t="inlineStr">
        <is>
          <t xml:space="preserve">Source</t>
        </is>
      </c>
      <c r="C7" s="0" t="inlineStr">
        <is>
          <t xml:space="preserve">Entity Master per-entity Va/Col FY columns (live SUMPRODUCTs; no figures re-keyed here)</t>
        </is>
      </c>
    </row>
    <row r="8" outlineLevel="1">
      <c r="B8" s="0" t="inlineStr">
        <is>
          <t xml:space="preserve">Prime scope</t>
        </is>
      </c>
      <c r="C8" s="0" t="inlineStr">
        <is>
          <t xml:space="preserve">GDEB construction/LLTM PIIDs; BPMI / LM / BAE / RR prime records excluded</t>
        </is>
      </c>
    </row>
    <row r="9" outlineLevel="1">
      <c r="B9" s="0" t="inlineStr">
        <is>
          <t xml:space="preserve">Class split</t>
        </is>
      </c>
      <c r="C9" s="0" t="inlineStr">
        <is>
          <t xml:space="preserve">Virginia vs Columbia per the scope map's PIID class</t>
        </is>
      </c>
    </row>
    <row r="10" outlineLevel="1">
      <c r="B10" s="0" t="inlineStr">
        <is>
          <t xml:space="preserve">FY window</t>
        </is>
      </c>
      <c r="C10" s="0" t="inlineStr">
        <is>
          <t xml:space="preserve">FY2022-FY2025 subaward action years (complete reporting years; FY2026 has no usable reporting yet)</t>
        </is>
      </c>
    </row>
    <row r="11" outlineLevel="1">
      <c r="B11" s="0" t="inlineStr">
        <is>
          <t xml:space="preserve">Feeds</t>
        </is>
      </c>
      <c r="C11" s="0" t="inlineStr">
        <is>
          <t xml:space="preserve">SAM Build per-class per-FY bucket shares -&gt; tab</t>
        </is>
      </c>
    </row>
    <row r="14">
      <c r="A14" s="0" t="inlineStr">
        <is>
          <t xml:space="preserve">x</t>
        </is>
      </c>
      <c r="B14" s="9" t="inlineStr">
        <is>
          <t xml:space="preserve">§2 - Virginia: observed supplier $M by bucket x subaward FY (gated)</t>
        </is>
      </c>
      <c r="C14" s="9"/>
      <c r="D14" s="9"/>
      <c r="E14" s="9"/>
      <c r="F14" s="9"/>
      <c r="G14" s="9"/>
    </row>
    <row r="16">
      <c r="B16" s="2" t="inlineStr">
        <is>
          <t xml:space="preserve">Bucket</t>
        </is>
      </c>
      <c r="C16" s="22" t="inlineStr">
        <is>
          <t xml:space="preserve">FY2022</t>
        </is>
      </c>
      <c r="D16" s="22" t="inlineStr">
        <is>
          <t xml:space="preserve">FY2023</t>
        </is>
      </c>
      <c r="E16" s="22" t="inlineStr">
        <is>
          <t xml:space="preserve">FY2024</t>
        </is>
      </c>
      <c r="F16" s="22" t="inlineStr">
        <is>
          <t xml:space="preserve">FY2025</t>
        </is>
      </c>
      <c r="G16" s="22" t="inlineStr">
        <is>
          <t xml:space="preserve">FY22-25</t>
        </is>
      </c>
    </row>
    <row r="17" outlineLevel="1">
      <c r="B17" s="0" t="inlineStr">
        <is>
          <t xml:space="preserve">Structural fabrication &amp; modules</t>
        </is>
      </c>
      <c r="C17" s="4">
        <f>SUMPRODUCT(('Entity Master'!H17:H944="supplier")*('Entity Master'!I17:I944="structural")*'Entity Master'!N17:N944)</f>
      </c>
      <c r="D17" s="4">
        <f>SUMPRODUCT(('Entity Master'!H17:H944="supplier")*('Entity Master'!I17:I944="structural")*'Entity Master'!O17:O944)</f>
      </c>
      <c r="E17" s="4">
        <f>SUMPRODUCT(('Entity Master'!H17:H944="supplier")*('Entity Master'!I17:I944="structural")*'Entity Master'!P17:P944)</f>
      </c>
      <c r="F17" s="4">
        <f>SUMPRODUCT(('Entity Master'!H17:H944="supplier")*('Entity Master'!I17:I944="structural")*'Entity Master'!Q17:Q944)</f>
      </c>
      <c r="G17" s="4">
        <f>SUM(C17:F17)</f>
      </c>
    </row>
    <row r="18" outlineLevel="1">
      <c r="B18" s="0" t="inlineStr">
        <is>
          <t xml:space="preserve">Machining / mechanical / propulsion</t>
        </is>
      </c>
      <c r="C18" s="4">
        <f>SUMPRODUCT(('Entity Master'!H17:H944="supplier")*('Entity Master'!I17:I944="machining")*'Entity Master'!N17:N944)</f>
      </c>
      <c r="D18" s="4">
        <f>SUMPRODUCT(('Entity Master'!H17:H944="supplier")*('Entity Master'!I17:I944="machining")*'Entity Master'!O17:O944)</f>
      </c>
      <c r="E18" s="4">
        <f>SUMPRODUCT(('Entity Master'!H17:H944="supplier")*('Entity Master'!I17:I944="machining")*'Entity Master'!P17:P944)</f>
      </c>
      <c r="F18" s="4">
        <f>SUMPRODUCT(('Entity Master'!H17:H944="supplier")*('Entity Master'!I17:I944="machining")*'Entity Master'!Q17:Q944)</f>
      </c>
      <c r="G18" s="4">
        <f>SUM(C18:F18)</f>
      </c>
    </row>
    <row r="19" outlineLevel="1">
      <c r="B19" s="0" t="inlineStr">
        <is>
          <t xml:space="preserve">Castings &amp; forgings</t>
        </is>
      </c>
      <c r="C19" s="4">
        <f>SUMPRODUCT(('Entity Master'!H17:H944="supplier")*('Entity Master'!I17:I944="castings")*'Entity Master'!N17:N944)</f>
      </c>
      <c r="D19" s="4">
        <f>SUMPRODUCT(('Entity Master'!H17:H944="supplier")*('Entity Master'!I17:I944="castings")*'Entity Master'!O17:O944)</f>
      </c>
      <c r="E19" s="4">
        <f>SUMPRODUCT(('Entity Master'!H17:H944="supplier")*('Entity Master'!I17:I944="castings")*'Entity Master'!P17:P944)</f>
      </c>
      <c r="F19" s="4">
        <f>SUMPRODUCT(('Entity Master'!H17:H944="supplier")*('Entity Master'!I17:I944="castings")*'Entity Master'!Q17:Q944)</f>
      </c>
      <c r="G19" s="4">
        <f>SUM(C19:F19)</f>
      </c>
    </row>
    <row r="20" outlineLevel="1">
      <c r="B20" s="0" t="inlineStr">
        <is>
          <t xml:space="preserve">Piping / fluid handling</t>
        </is>
      </c>
      <c r="C20" s="4">
        <f>SUMPRODUCT(('Entity Master'!H17:H944="supplier")*('Entity Master'!I17:I944="piping")*'Entity Master'!N17:N944)</f>
      </c>
      <c r="D20" s="4">
        <f>SUMPRODUCT(('Entity Master'!H17:H944="supplier")*('Entity Master'!I17:I944="piping")*'Entity Master'!O17:O944)</f>
      </c>
      <c r="E20" s="4">
        <f>SUMPRODUCT(('Entity Master'!H17:H944="supplier")*('Entity Master'!I17:I944="piping")*'Entity Master'!P17:P944)</f>
      </c>
      <c r="F20" s="4">
        <f>SUMPRODUCT(('Entity Master'!H17:H944="supplier")*('Entity Master'!I17:I944="piping")*'Entity Master'!Q17:Q944)</f>
      </c>
      <c r="G20" s="4">
        <f>SUM(C20:F20)</f>
      </c>
    </row>
    <row r="21" outlineLevel="1">
      <c r="B21" s="0" t="inlineStr">
        <is>
          <t xml:space="preserve">Electrical power / distribution / generation</t>
        </is>
      </c>
      <c r="C21" s="4">
        <f>SUMPRODUCT(('Entity Master'!H17:H944="supplier")*('Entity Master'!I17:I944="electrical")*'Entity Master'!N17:N944)</f>
      </c>
      <c r="D21" s="4">
        <f>SUMPRODUCT(('Entity Master'!H17:H944="supplier")*('Entity Master'!I17:I944="electrical")*'Entity Master'!O17:O944)</f>
      </c>
      <c r="E21" s="4">
        <f>SUMPRODUCT(('Entity Master'!H17:H944="supplier")*('Entity Master'!I17:I944="electrical")*'Entity Master'!P17:P944)</f>
      </c>
      <c r="F21" s="4">
        <f>SUMPRODUCT(('Entity Master'!H17:H944="supplier")*('Entity Master'!I17:I944="electrical")*'Entity Master'!Q17:Q944)</f>
      </c>
      <c r="G21" s="4">
        <f>SUM(C21:F21)</f>
      </c>
    </row>
    <row r="22" outlineLevel="1">
      <c r="B22" s="0" t="inlineStr">
        <is>
          <t xml:space="preserve">HVAC / ventilation / chilled water</t>
        </is>
      </c>
      <c r="C22" s="4">
        <f>SUMPRODUCT(('Entity Master'!H17:H944="supplier")*('Entity Master'!I17:I944="hvac")*'Entity Master'!N17:N944)</f>
      </c>
      <c r="D22" s="4">
        <f>SUMPRODUCT(('Entity Master'!H17:H944="supplier")*('Entity Master'!I17:I944="hvac")*'Entity Master'!O17:O944)</f>
      </c>
      <c r="E22" s="4">
        <f>SUMPRODUCT(('Entity Master'!H17:H944="supplier")*('Entity Master'!I17:I944="hvac")*'Entity Master'!P17:P944)</f>
      </c>
      <c r="F22" s="4">
        <f>SUMPRODUCT(('Entity Master'!H17:H944="supplier")*('Entity Master'!I17:I944="hvac")*'Entity Master'!Q17:Q944)</f>
      </c>
      <c r="G22" s="4">
        <f>SUM(C22:F22)</f>
      </c>
    </row>
    <row r="23" outlineLevel="1">
      <c r="B23" s="0" t="inlineStr">
        <is>
          <t xml:space="preserve">Coatings / insulation / decking</t>
        </is>
      </c>
      <c r="C23" s="4">
        <f>SUMPRODUCT(('Entity Master'!H17:H944="supplier")*('Entity Master'!I17:I944="coatings")*'Entity Master'!N17:N944)</f>
      </c>
      <c r="D23" s="4">
        <f>SUMPRODUCT(('Entity Master'!H17:H944="supplier")*('Entity Master'!I17:I944="coatings")*'Entity Master'!O17:O944)</f>
      </c>
      <c r="E23" s="4">
        <f>SUMPRODUCT(('Entity Master'!H17:H944="supplier")*('Entity Master'!I17:I944="coatings")*'Entity Master'!P17:P944)</f>
      </c>
      <c r="F23" s="4">
        <f>SUMPRODUCT(('Entity Master'!H17:H944="supplier")*('Entity Master'!I17:I944="coatings")*'Entity Master'!Q17:Q944)</f>
      </c>
      <c r="G23" s="4">
        <f>SUM(C23:F23)</f>
      </c>
    </row>
    <row r="24" outlineLevel="1">
      <c r="B24" s="0" t="inlineStr">
        <is>
          <t xml:space="preserve">Unbucketed / ambiguous</t>
        </is>
      </c>
      <c r="C24" s="4">
        <f>SUMPRODUCT(('Entity Master'!H17:H944="supplier")*('Entity Master'!I17:I944="unbucketed")*'Entity Master'!N17:N944)</f>
      </c>
      <c r="D24" s="4">
        <f>SUMPRODUCT(('Entity Master'!H17:H944="supplier")*('Entity Master'!I17:I944="unbucketed")*'Entity Master'!O17:O944)</f>
      </c>
      <c r="E24" s="4">
        <f>SUMPRODUCT(('Entity Master'!H17:H944="supplier")*('Entity Master'!I17:I944="unbucketed")*'Entity Master'!P17:P944)</f>
      </c>
      <c r="F24" s="4">
        <f>SUMPRODUCT(('Entity Master'!H17:H944="supplier")*('Entity Master'!I17:I944="unbucketed")*'Entity Master'!Q17:Q944)</f>
      </c>
      <c r="G24" s="4">
        <f>SUM(C24:F24)</f>
      </c>
    </row>
    <row r="25">
      <c r="B25" s="16" t="inlineStr">
        <is>
          <t xml:space="preserve">Virginia supplier-addressable total (gated)</t>
        </is>
      </c>
      <c r="C25" s="13">
        <f>SUM(C17:C24)</f>
      </c>
      <c r="D25" s="13">
        <f>SUM(D17:D24)</f>
      </c>
      <c r="E25" s="13">
        <f>SUM(E17:E24)</f>
      </c>
      <c r="F25" s="13">
        <f>SUM(F17:F24)</f>
      </c>
      <c r="G25" s="13">
        <f>SUM(G17:G24)</f>
      </c>
    </row>
    <row r="28">
      <c r="A28" s="0" t="inlineStr">
        <is>
          <t xml:space="preserve">x</t>
        </is>
      </c>
      <c r="B28" s="9" t="inlineStr">
        <is>
          <t xml:space="preserve">§3 - Virginia: observed bucket shares by FY</t>
        </is>
      </c>
      <c r="C28" s="9"/>
      <c r="D28" s="9"/>
      <c r="E28" s="9"/>
      <c r="F28" s="9"/>
      <c r="G28" s="9"/>
    </row>
    <row r="30">
      <c r="B30" s="2" t="inlineStr">
        <is>
          <t xml:space="preserve">Bucket</t>
        </is>
      </c>
      <c r="C30" s="22" t="inlineStr">
        <is>
          <t xml:space="preserve">FY2022</t>
        </is>
      </c>
      <c r="D30" s="22" t="inlineStr">
        <is>
          <t xml:space="preserve">FY2023</t>
        </is>
      </c>
      <c r="E30" s="22" t="inlineStr">
        <is>
          <t xml:space="preserve">FY2024</t>
        </is>
      </c>
      <c r="F30" s="22" t="inlineStr">
        <is>
          <t xml:space="preserve">FY2025</t>
        </is>
      </c>
      <c r="G30" s="22" t="inlineStr">
        <is>
          <t xml:space="preserve">FY22-25</t>
        </is>
      </c>
    </row>
    <row r="31" outlineLevel="1">
      <c r="B31" s="0" t="inlineStr">
        <is>
          <t xml:space="preserve">Structural fabrication &amp; modules</t>
        </is>
      </c>
      <c r="C31" s="6">
        <f>C17/C$25</f>
      </c>
      <c r="D31" s="6">
        <f>D17/D$25</f>
      </c>
      <c r="E31" s="6">
        <f>E17/E$25</f>
      </c>
      <c r="F31" s="6">
        <f>F17/F$25</f>
      </c>
      <c r="G31" s="6">
        <f>G17/G$25</f>
      </c>
    </row>
    <row r="32" outlineLevel="1">
      <c r="B32" s="0" t="inlineStr">
        <is>
          <t xml:space="preserve">Machining / mechanical / propulsion</t>
        </is>
      </c>
      <c r="C32" s="6">
        <f>C18/C$25</f>
      </c>
      <c r="D32" s="6">
        <f>D18/D$25</f>
      </c>
      <c r="E32" s="6">
        <f>E18/E$25</f>
      </c>
      <c r="F32" s="6">
        <f>F18/F$25</f>
      </c>
      <c r="G32" s="6">
        <f>G18/G$25</f>
      </c>
    </row>
    <row r="33" outlineLevel="1">
      <c r="B33" s="0" t="inlineStr">
        <is>
          <t xml:space="preserve">Castings &amp; forgings</t>
        </is>
      </c>
      <c r="C33" s="6">
        <f>C19/C$25</f>
      </c>
      <c r="D33" s="6">
        <f>D19/D$25</f>
      </c>
      <c r="E33" s="6">
        <f>E19/E$25</f>
      </c>
      <c r="F33" s="6">
        <f>F19/F$25</f>
      </c>
      <c r="G33" s="6">
        <f>G19/G$25</f>
      </c>
    </row>
    <row r="34" outlineLevel="1">
      <c r="B34" s="0" t="inlineStr">
        <is>
          <t xml:space="preserve">Piping / fluid handling</t>
        </is>
      </c>
      <c r="C34" s="6">
        <f>C20/C$25</f>
      </c>
      <c r="D34" s="6">
        <f>D20/D$25</f>
      </c>
      <c r="E34" s="6">
        <f>E20/E$25</f>
      </c>
      <c r="F34" s="6">
        <f>F20/F$25</f>
      </c>
      <c r="G34" s="6">
        <f>G20/G$25</f>
      </c>
    </row>
    <row r="35" outlineLevel="1">
      <c r="B35" s="0" t="inlineStr">
        <is>
          <t xml:space="preserve">Electrical power / distribution / generation</t>
        </is>
      </c>
      <c r="C35" s="6">
        <f>C21/C$25</f>
      </c>
      <c r="D35" s="6">
        <f>D21/D$25</f>
      </c>
      <c r="E35" s="6">
        <f>E21/E$25</f>
      </c>
      <c r="F35" s="6">
        <f>F21/F$25</f>
      </c>
      <c r="G35" s="6">
        <f>G21/G$25</f>
      </c>
    </row>
    <row r="36" outlineLevel="1">
      <c r="B36" s="0" t="inlineStr">
        <is>
          <t xml:space="preserve">HVAC / ventilation / chilled water</t>
        </is>
      </c>
      <c r="C36" s="6">
        <f>C22/C$25</f>
      </c>
      <c r="D36" s="6">
        <f>D22/D$25</f>
      </c>
      <c r="E36" s="6">
        <f>E22/E$25</f>
      </c>
      <c r="F36" s="6">
        <f>F22/F$25</f>
      </c>
      <c r="G36" s="6">
        <f>G22/G$25</f>
      </c>
    </row>
    <row r="37" outlineLevel="1">
      <c r="B37" s="0" t="inlineStr">
        <is>
          <t xml:space="preserve">Coatings / insulation / decking</t>
        </is>
      </c>
      <c r="C37" s="6">
        <f>C23/C$25</f>
      </c>
      <c r="D37" s="6">
        <f>D23/D$25</f>
      </c>
      <c r="E37" s="6">
        <f>E23/E$25</f>
      </c>
      <c r="F37" s="6">
        <f>F23/F$25</f>
      </c>
      <c r="G37" s="6">
        <f>G23/G$25</f>
      </c>
    </row>
    <row r="38" outlineLevel="1">
      <c r="B38" s="0" t="inlineStr">
        <is>
          <t xml:space="preserve">Unbucketed / ambiguous</t>
        </is>
      </c>
      <c r="C38" s="6">
        <f>C24/C$25</f>
      </c>
      <c r="D38" s="6">
        <f>D24/D$25</f>
      </c>
      <c r="E38" s="6">
        <f>E24/E$25</f>
      </c>
      <c r="F38" s="6">
        <f>F24/F$25</f>
      </c>
      <c r="G38" s="6">
        <f>G24/G$25</f>
      </c>
    </row>
    <row r="39">
      <c r="B39" s="16" t="inlineStr">
        <is>
          <t xml:space="preserve">Total</t>
        </is>
      </c>
      <c r="C39" s="14">
        <f>SUM(C31:C38)</f>
      </c>
      <c r="D39" s="14">
        <f>SUM(D31:D38)</f>
      </c>
      <c r="E39" s="14">
        <f>SUM(E31:E38)</f>
      </c>
      <c r="F39" s="14">
        <f>SUM(F31:F38)</f>
      </c>
      <c r="G39" s="14">
        <f>SUM(G31:G38)</f>
      </c>
    </row>
    <row r="42">
      <c r="A42" s="0" t="inlineStr">
        <is>
          <t xml:space="preserve">x</t>
        </is>
      </c>
      <c r="B42" s="9" t="inlineStr">
        <is>
          <t xml:space="preserve">§4 - Columbia: observed supplier $M by bucket x subaward FY (gated)</t>
        </is>
      </c>
      <c r="C42" s="9"/>
      <c r="D42" s="9"/>
      <c r="E42" s="9"/>
      <c r="F42" s="9"/>
      <c r="G42" s="9"/>
    </row>
    <row r="44">
      <c r="B44" s="2" t="inlineStr">
        <is>
          <t xml:space="preserve">Bucket</t>
        </is>
      </c>
      <c r="C44" s="22" t="inlineStr">
        <is>
          <t xml:space="preserve">FY2022</t>
        </is>
      </c>
      <c r="D44" s="22" t="inlineStr">
        <is>
          <t xml:space="preserve">FY2023</t>
        </is>
      </c>
      <c r="E44" s="22" t="inlineStr">
        <is>
          <t xml:space="preserve">FY2024</t>
        </is>
      </c>
      <c r="F44" s="22" t="inlineStr">
        <is>
          <t xml:space="preserve">FY2025</t>
        </is>
      </c>
      <c r="G44" s="22" t="inlineStr">
        <is>
          <t xml:space="preserve">FY22-25</t>
        </is>
      </c>
    </row>
    <row r="45" outlineLevel="1">
      <c r="B45" s="0" t="inlineStr">
        <is>
          <t xml:space="preserve">Structural fabrication &amp; modules</t>
        </is>
      </c>
      <c r="C45" s="4">
        <f>SUMPRODUCT(('Entity Master'!H17:H944="supplier")*('Entity Master'!I17:I944="structural")*'Entity Master'!R17:R944)</f>
      </c>
      <c r="D45" s="4">
        <f>SUMPRODUCT(('Entity Master'!H17:H944="supplier")*('Entity Master'!I17:I944="structural")*'Entity Master'!S17:S944)</f>
      </c>
      <c r="E45" s="4">
        <f>SUMPRODUCT(('Entity Master'!H17:H944="supplier")*('Entity Master'!I17:I944="structural")*'Entity Master'!T17:T944)</f>
      </c>
      <c r="F45" s="4">
        <f>SUMPRODUCT(('Entity Master'!H17:H944="supplier")*('Entity Master'!I17:I944="structural")*'Entity Master'!U17:U944)</f>
      </c>
      <c r="G45" s="4">
        <f>SUM(C45:F45)</f>
      </c>
    </row>
    <row r="46" outlineLevel="1">
      <c r="B46" s="0" t="inlineStr">
        <is>
          <t xml:space="preserve">Machining / mechanical / propulsion</t>
        </is>
      </c>
      <c r="C46" s="4">
        <f>SUMPRODUCT(('Entity Master'!H17:H944="supplier")*('Entity Master'!I17:I944="machining")*'Entity Master'!R17:R944)</f>
      </c>
      <c r="D46" s="4">
        <f>SUMPRODUCT(('Entity Master'!H17:H944="supplier")*('Entity Master'!I17:I944="machining")*'Entity Master'!S17:S944)</f>
      </c>
      <c r="E46" s="4">
        <f>SUMPRODUCT(('Entity Master'!H17:H944="supplier")*('Entity Master'!I17:I944="machining")*'Entity Master'!T17:T944)</f>
      </c>
      <c r="F46" s="4">
        <f>SUMPRODUCT(('Entity Master'!H17:H944="supplier")*('Entity Master'!I17:I944="machining")*'Entity Master'!U17:U944)</f>
      </c>
      <c r="G46" s="4">
        <f>SUM(C46:F46)</f>
      </c>
    </row>
    <row r="47" outlineLevel="1">
      <c r="B47" s="0" t="inlineStr">
        <is>
          <t xml:space="preserve">Castings &amp; forgings</t>
        </is>
      </c>
      <c r="C47" s="4">
        <f>SUMPRODUCT(('Entity Master'!H17:H944="supplier")*('Entity Master'!I17:I944="castings")*'Entity Master'!R17:R944)</f>
      </c>
      <c r="D47" s="4">
        <f>SUMPRODUCT(('Entity Master'!H17:H944="supplier")*('Entity Master'!I17:I944="castings")*'Entity Master'!S17:S944)</f>
      </c>
      <c r="E47" s="4">
        <f>SUMPRODUCT(('Entity Master'!H17:H944="supplier")*('Entity Master'!I17:I944="castings")*'Entity Master'!T17:T944)</f>
      </c>
      <c r="F47" s="4">
        <f>SUMPRODUCT(('Entity Master'!H17:H944="supplier")*('Entity Master'!I17:I944="castings")*'Entity Master'!U17:U944)</f>
      </c>
      <c r="G47" s="4">
        <f>SUM(C47:F47)</f>
      </c>
    </row>
    <row r="48" outlineLevel="1">
      <c r="B48" s="0" t="inlineStr">
        <is>
          <t xml:space="preserve">Piping / fluid handling</t>
        </is>
      </c>
      <c r="C48" s="4">
        <f>SUMPRODUCT(('Entity Master'!H17:H944="supplier")*('Entity Master'!I17:I944="piping")*'Entity Master'!R17:R944)</f>
      </c>
      <c r="D48" s="4">
        <f>SUMPRODUCT(('Entity Master'!H17:H944="supplier")*('Entity Master'!I17:I944="piping")*'Entity Master'!S17:S944)</f>
      </c>
      <c r="E48" s="4">
        <f>SUMPRODUCT(('Entity Master'!H17:H944="supplier")*('Entity Master'!I17:I944="piping")*'Entity Master'!T17:T944)</f>
      </c>
      <c r="F48" s="4">
        <f>SUMPRODUCT(('Entity Master'!H17:H944="supplier")*('Entity Master'!I17:I944="piping")*'Entity Master'!U17:U944)</f>
      </c>
      <c r="G48" s="4">
        <f>SUM(C48:F48)</f>
      </c>
    </row>
    <row r="49" outlineLevel="1">
      <c r="B49" s="0" t="inlineStr">
        <is>
          <t xml:space="preserve">Electrical power / distribution / generation</t>
        </is>
      </c>
      <c r="C49" s="4">
        <f>SUMPRODUCT(('Entity Master'!H17:H944="supplier")*('Entity Master'!I17:I944="electrical")*'Entity Master'!R17:R944)</f>
      </c>
      <c r="D49" s="4">
        <f>SUMPRODUCT(('Entity Master'!H17:H944="supplier")*('Entity Master'!I17:I944="electrical")*'Entity Master'!S17:S944)</f>
      </c>
      <c r="E49" s="4">
        <f>SUMPRODUCT(('Entity Master'!H17:H944="supplier")*('Entity Master'!I17:I944="electrical")*'Entity Master'!T17:T944)</f>
      </c>
      <c r="F49" s="4">
        <f>SUMPRODUCT(('Entity Master'!H17:H944="supplier")*('Entity Master'!I17:I944="electrical")*'Entity Master'!U17:U944)</f>
      </c>
      <c r="G49" s="4">
        <f>SUM(C49:F49)</f>
      </c>
    </row>
    <row r="50" outlineLevel="1">
      <c r="B50" s="0" t="inlineStr">
        <is>
          <t xml:space="preserve">HVAC / ventilation / chilled water</t>
        </is>
      </c>
      <c r="C50" s="4">
        <f>SUMPRODUCT(('Entity Master'!H17:H944="supplier")*('Entity Master'!I17:I944="hvac")*'Entity Master'!R17:R944)</f>
      </c>
      <c r="D50" s="4">
        <f>SUMPRODUCT(('Entity Master'!H17:H944="supplier")*('Entity Master'!I17:I944="hvac")*'Entity Master'!S17:S944)</f>
      </c>
      <c r="E50" s="4">
        <f>SUMPRODUCT(('Entity Master'!H17:H944="supplier")*('Entity Master'!I17:I944="hvac")*'Entity Master'!T17:T944)</f>
      </c>
      <c r="F50" s="4">
        <f>SUMPRODUCT(('Entity Master'!H17:H944="supplier")*('Entity Master'!I17:I944="hvac")*'Entity Master'!U17:U944)</f>
      </c>
      <c r="G50" s="4">
        <f>SUM(C50:F50)</f>
      </c>
    </row>
    <row r="51" outlineLevel="1">
      <c r="B51" s="0" t="inlineStr">
        <is>
          <t xml:space="preserve">Coatings / insulation / decking</t>
        </is>
      </c>
      <c r="C51" s="4">
        <f>SUMPRODUCT(('Entity Master'!H17:H944="supplier")*('Entity Master'!I17:I944="coatings")*'Entity Master'!R17:R944)</f>
      </c>
      <c r="D51" s="4">
        <f>SUMPRODUCT(('Entity Master'!H17:H944="supplier")*('Entity Master'!I17:I944="coatings")*'Entity Master'!S17:S944)</f>
      </c>
      <c r="E51" s="4">
        <f>SUMPRODUCT(('Entity Master'!H17:H944="supplier")*('Entity Master'!I17:I944="coatings")*'Entity Master'!T17:T944)</f>
      </c>
      <c r="F51" s="4">
        <f>SUMPRODUCT(('Entity Master'!H17:H944="supplier")*('Entity Master'!I17:I944="coatings")*'Entity Master'!U17:U944)</f>
      </c>
      <c r="G51" s="4">
        <f>SUM(C51:F51)</f>
      </c>
    </row>
    <row r="52" outlineLevel="1">
      <c r="B52" s="0" t="inlineStr">
        <is>
          <t xml:space="preserve">Unbucketed / ambiguous</t>
        </is>
      </c>
      <c r="C52" s="4">
        <f>SUMPRODUCT(('Entity Master'!H17:H944="supplier")*('Entity Master'!I17:I944="unbucketed")*'Entity Master'!R17:R944)</f>
      </c>
      <c r="D52" s="4">
        <f>SUMPRODUCT(('Entity Master'!H17:H944="supplier")*('Entity Master'!I17:I944="unbucketed")*'Entity Master'!S17:S944)</f>
      </c>
      <c r="E52" s="4">
        <f>SUMPRODUCT(('Entity Master'!H17:H944="supplier")*('Entity Master'!I17:I944="unbucketed")*'Entity Master'!T17:T944)</f>
      </c>
      <c r="F52" s="4">
        <f>SUMPRODUCT(('Entity Master'!H17:H944="supplier")*('Entity Master'!I17:I944="unbucketed")*'Entity Master'!U17:U944)</f>
      </c>
      <c r="G52" s="4">
        <f>SUM(C52:F52)</f>
      </c>
    </row>
    <row r="53">
      <c r="B53" s="16" t="inlineStr">
        <is>
          <t xml:space="preserve">Columbia supplier-addressable total (gated)</t>
        </is>
      </c>
      <c r="C53" s="13">
        <f>SUM(C45:C52)</f>
      </c>
      <c r="D53" s="13">
        <f>SUM(D45:D52)</f>
      </c>
      <c r="E53" s="13">
        <f>SUM(E45:E52)</f>
      </c>
      <c r="F53" s="13">
        <f>SUM(F45:F52)</f>
      </c>
      <c r="G53" s="13">
        <f>SUM(G45:G52)</f>
      </c>
    </row>
    <row r="56">
      <c r="A56" s="0" t="inlineStr">
        <is>
          <t xml:space="preserve">x</t>
        </is>
      </c>
      <c r="B56" s="9" t="inlineStr">
        <is>
          <t xml:space="preserve">§5 - Columbia: observed bucket shares by FY</t>
        </is>
      </c>
      <c r="C56" s="9"/>
      <c r="D56" s="9"/>
      <c r="E56" s="9"/>
      <c r="F56" s="9"/>
      <c r="G56" s="9"/>
    </row>
    <row r="58">
      <c r="B58" s="2" t="inlineStr">
        <is>
          <t xml:space="preserve">Bucket</t>
        </is>
      </c>
      <c r="C58" s="22" t="inlineStr">
        <is>
          <t xml:space="preserve">FY2022</t>
        </is>
      </c>
      <c r="D58" s="22" t="inlineStr">
        <is>
          <t xml:space="preserve">FY2023</t>
        </is>
      </c>
      <c r="E58" s="22" t="inlineStr">
        <is>
          <t xml:space="preserve">FY2024</t>
        </is>
      </c>
      <c r="F58" s="22" t="inlineStr">
        <is>
          <t xml:space="preserve">FY2025</t>
        </is>
      </c>
      <c r="G58" s="22" t="inlineStr">
        <is>
          <t xml:space="preserve">FY22-25</t>
        </is>
      </c>
    </row>
    <row r="59" outlineLevel="1">
      <c r="B59" s="0" t="inlineStr">
        <is>
          <t xml:space="preserve">Structural fabrication &amp; modules</t>
        </is>
      </c>
      <c r="C59" s="6">
        <f>C45/C$53</f>
      </c>
      <c r="D59" s="6">
        <f>D45/D$53</f>
      </c>
      <c r="E59" s="6">
        <f>E45/E$53</f>
      </c>
      <c r="F59" s="6">
        <f>F45/F$53</f>
      </c>
      <c r="G59" s="6">
        <f>G45/G$53</f>
      </c>
    </row>
    <row r="60" outlineLevel="1">
      <c r="B60" s="0" t="inlineStr">
        <is>
          <t xml:space="preserve">Machining / mechanical / propulsion</t>
        </is>
      </c>
      <c r="C60" s="6">
        <f>C46/C$53</f>
      </c>
      <c r="D60" s="6">
        <f>D46/D$53</f>
      </c>
      <c r="E60" s="6">
        <f>E46/E$53</f>
      </c>
      <c r="F60" s="6">
        <f>F46/F$53</f>
      </c>
      <c r="G60" s="6">
        <f>G46/G$53</f>
      </c>
    </row>
    <row r="61" outlineLevel="1">
      <c r="B61" s="0" t="inlineStr">
        <is>
          <t xml:space="preserve">Castings &amp; forgings</t>
        </is>
      </c>
      <c r="C61" s="6">
        <f>C47/C$53</f>
      </c>
      <c r="D61" s="6">
        <f>D47/D$53</f>
      </c>
      <c r="E61" s="6">
        <f>E47/E$53</f>
      </c>
      <c r="F61" s="6">
        <f>F47/F$53</f>
      </c>
      <c r="G61" s="6">
        <f>G47/G$53</f>
      </c>
    </row>
    <row r="62" outlineLevel="1">
      <c r="B62" s="0" t="inlineStr">
        <is>
          <t xml:space="preserve">Piping / fluid handling</t>
        </is>
      </c>
      <c r="C62" s="6">
        <f>C48/C$53</f>
      </c>
      <c r="D62" s="6">
        <f>D48/D$53</f>
      </c>
      <c r="E62" s="6">
        <f>E48/E$53</f>
      </c>
      <c r="F62" s="6">
        <f>F48/F$53</f>
      </c>
      <c r="G62" s="6">
        <f>G48/G$53</f>
      </c>
    </row>
    <row r="63" outlineLevel="1">
      <c r="B63" s="0" t="inlineStr">
        <is>
          <t xml:space="preserve">Electrical power / distribution / generation</t>
        </is>
      </c>
      <c r="C63" s="6">
        <f>C49/C$53</f>
      </c>
      <c r="D63" s="6">
        <f>D49/D$53</f>
      </c>
      <c r="E63" s="6">
        <f>E49/E$53</f>
      </c>
      <c r="F63" s="6">
        <f>F49/F$53</f>
      </c>
      <c r="G63" s="6">
        <f>G49/G$53</f>
      </c>
    </row>
    <row r="64" outlineLevel="1">
      <c r="B64" s="0" t="inlineStr">
        <is>
          <t xml:space="preserve">HVAC / ventilation / chilled water</t>
        </is>
      </c>
      <c r="C64" s="6">
        <f>C50/C$53</f>
      </c>
      <c r="D64" s="6">
        <f>D50/D$53</f>
      </c>
      <c r="E64" s="6">
        <f>E50/E$53</f>
      </c>
      <c r="F64" s="6">
        <f>F50/F$53</f>
      </c>
      <c r="G64" s="6">
        <f>G50/G$53</f>
      </c>
    </row>
    <row r="65" outlineLevel="1">
      <c r="B65" s="0" t="inlineStr">
        <is>
          <t xml:space="preserve">Coatings / insulation / decking</t>
        </is>
      </c>
      <c r="C65" s="6">
        <f>C51/C$53</f>
      </c>
      <c r="D65" s="6">
        <f>D51/D$53</f>
      </c>
      <c r="E65" s="6">
        <f>E51/E$53</f>
      </c>
      <c r="F65" s="6">
        <f>F51/F$53</f>
      </c>
      <c r="G65" s="6">
        <f>G51/G$53</f>
      </c>
    </row>
    <row r="66" outlineLevel="1">
      <c r="B66" s="0" t="inlineStr">
        <is>
          <t xml:space="preserve">Unbucketed / ambiguous</t>
        </is>
      </c>
      <c r="C66" s="6">
        <f>C52/C$53</f>
      </c>
      <c r="D66" s="6">
        <f>D52/D$53</f>
      </c>
      <c r="E66" s="6">
        <f>E52/E$53</f>
      </c>
      <c r="F66" s="6">
        <f>F52/F$53</f>
      </c>
      <c r="G66" s="6">
        <f>G52/G$53</f>
      </c>
    </row>
    <row r="67">
      <c r="B67" s="16" t="inlineStr">
        <is>
          <t xml:space="preserve">Total</t>
        </is>
      </c>
      <c r="C67" s="14">
        <f>SUM(C59:C66)</f>
      </c>
      <c r="D67" s="14">
        <f>SUM(D59:D66)</f>
      </c>
      <c r="E67" s="14">
        <f>SUM(E59:E66)</f>
      </c>
      <c r="F67" s="14">
        <f>SUM(F59:F66)</f>
      </c>
      <c r="G67" s="14">
        <f>SUM(G59:G66)</f>
      </c>
    </row>
    <row r="70">
      <c r="A70" s="0" t="inlineStr">
        <is>
          <t xml:space="preserve">x</t>
        </is>
      </c>
      <c r="B70" s="9" t="inlineStr">
        <is>
          <t xml:space="preserve">§6 - Modular tag (gated window, per class)</t>
        </is>
      </c>
      <c r="C70" s="9"/>
      <c r="D70" s="9"/>
      <c r="E70" s="9"/>
      <c r="F70" s="9"/>
      <c r="G70" s="9"/>
    </row>
    <row r="72">
      <c r="B72" s="2" t="inlineStr">
        <is>
          <t xml:space="preserve">Measure</t>
        </is>
      </c>
      <c r="C72" s="22" t="inlineStr">
        <is>
          <t xml:space="preserve">Value</t>
        </is>
      </c>
    </row>
    <row r="73" outlineLevel="1">
      <c r="B73" s="0" t="inlineStr">
        <is>
          <t xml:space="preserve">Virginia modular-flagged supplier $M (gated window)</t>
        </is>
      </c>
      <c r="C73" s="4">
        <f>SUMPRODUCT(('Entity Master'!H17:H944="supplier")*('Entity Master'!K17:K944=1)*('Entity Master'!N17:N944+'Entity Master'!O17:O944+'Entity Master'!P17:P944+'Entity Master'!Q17:Q944))</f>
      </c>
    </row>
    <row r="74" outlineLevel="1">
      <c r="B74" s="0" t="inlineStr">
        <is>
          <t xml:space="preserve">Virginia modular share of gated window</t>
        </is>
      </c>
      <c r="C74" s="6">
        <f>C73/G25</f>
      </c>
    </row>
    <row r="75" outlineLevel="1">
      <c r="B75" s="0" t="inlineStr">
        <is>
          <t xml:space="preserve">Columbia modular-flagged supplier $M (gated window)</t>
        </is>
      </c>
      <c r="C75" s="4">
        <f>SUMPRODUCT(('Entity Master'!H17:H944="supplier")*('Entity Master'!K17:K944=1)*('Entity Master'!R17:R944+'Entity Master'!S17:S944+'Entity Master'!T17:T944+'Entity Master'!U17:U944))</f>
      </c>
    </row>
    <row r="76" outlineLevel="1">
      <c r="B76" s="0" t="inlineStr">
        <is>
          <t xml:space="preserve">Columbia modular share of gated window</t>
        </is>
      </c>
      <c r="C76" s="6">
        <f>C75/G53</f>
      </c>
    </row>
    <row r="79">
      <c r="A79" s="0" t="inlineStr">
        <is>
          <t xml:space="preserve">x</t>
        </is>
      </c>
      <c r="B79" s="9" t="inlineStr">
        <is>
          <t xml:space="preserve">§7 - Reconciliation to Entity Master</t>
        </is>
      </c>
      <c r="C79" s="9"/>
      <c r="D79" s="9"/>
      <c r="E79" s="9"/>
      <c r="F79" s="9"/>
      <c r="G79" s="9"/>
    </row>
    <row r="81">
      <c r="B81" s="2" t="inlineStr">
        <is>
          <t xml:space="preserve">Measure</t>
        </is>
      </c>
      <c r="C81" s="22" t="inlineStr">
        <is>
          <t xml:space="preserve">$M</t>
        </is>
      </c>
    </row>
    <row r="82" outlineLevel="1">
      <c r="B82" s="0" t="inlineStr">
        <is>
          <t xml:space="preserve">Entity Master supplier-addressable total (all primes, all years)</t>
        </is>
      </c>
      <c r="C82" s="4">
        <f>SUMPRODUCT(('Entity Master'!H17:H944="supplier")*'Entity Master'!G17:G944)</f>
      </c>
    </row>
    <row r="83" outlineLevel="1">
      <c r="B83" s="0" t="inlineStr">
        <is>
          <t xml:space="preserve">GDEB-PIID supplier $M (all years)</t>
        </is>
      </c>
      <c r="C83" s="4">
        <f>SUMPRODUCT(('Entity Master'!H17:H944="supplier")*'Entity Master'!M17:M944)</f>
      </c>
    </row>
    <row r="84" outlineLevel="1">
      <c r="B84" s="0" t="inlineStr">
        <is>
          <t xml:space="preserve">Gated Virginia evidence base (in-window)</t>
        </is>
      </c>
      <c r="C84" s="4">
        <f>G25</f>
      </c>
    </row>
    <row r="85" outlineLevel="1">
      <c r="B85" s="0" t="inlineStr">
        <is>
          <t xml:space="preserve">Gated Columbia evidence base (in-window)</t>
        </is>
      </c>
      <c r="C85" s="4">
        <f>G53</f>
      </c>
    </row>
    <row r="86" outlineLevel="1">
      <c r="B86" s="0" t="inlineStr">
        <is>
          <t xml:space="preserve">Excluded - non-GDEB prime records (all years)</t>
        </is>
      </c>
      <c r="C86" s="4">
        <f>C82-C83</f>
      </c>
    </row>
    <row r="87" outlineLevel="1">
      <c r="B87" s="0" t="inlineStr">
        <is>
          <t xml:space="preserve">Excluded - GDEB records outside FY2022-FY2025</t>
        </is>
      </c>
      <c r="C87" s="4">
        <f>C83-C84-C85</f>
      </c>
    </row>
    <row r="88" outlineLevel="1">
      <c r="B88" s="0" t="inlineStr">
        <is>
          <t xml:space="preserve">Tie check (gated + excluded = supplier total)</t>
        </is>
      </c>
      <c r="C88" s="0">
        <f>IF(ABS(C84+C85+C86+C87-C82)&lt;0.5,"OK","FAIL")</f>
      </c>
    </row>
  </sheetData>
</worksheet>
</file>

<file path=xl/worksheets/sheet17.xml><?xml version="1.0" encoding="utf-8"?>
<worksheet xmlns="http://schemas.openxmlformats.org/spreadsheetml/2006/main" xmlns:r="http://schemas.openxmlformats.org/officeDocument/2006/relationships">
  <sheetPr>
    <tabColor rgb="FF2E7D4F"/>
    <outlinePr summaryBelow="0"/>
  </sheetPr>
  <sheetViews>
    <sheetView showGridLines="0" workbookViewId="0" showOutlineSymbols="0"/>
  </sheetViews>
  <sheetFormatPr defaultRowHeight="10" customHeight="1"/>
  <cols>
    <col min="1" max="1" width="2.2109375" customWidth="1"/>
    <col min="2" max="2" width="18" customWidth="1"/>
    <col min="3" max="3" width="7" customWidth="1"/>
    <col min="4" max="4" width="42" customWidth="1"/>
    <col min="5" max="5" width="14" customWidth="1"/>
    <col min="6" max="6" width="8" customWidth="1"/>
    <col min="7" max="7" width="38" customWidth="1"/>
    <col min="8" max="8" width="22" customWidth="1"/>
  </cols>
  <sheetData>
    <row r="1"/>
    <row r="2">
      <c r="B2" s="8" t="inlineStr">
        <is>
          <t xml:space="preserve">Figure Register</t>
        </is>
      </c>
      <c r="C2" s="8"/>
      <c r="D2" s="8"/>
      <c r="E2" s="8"/>
      <c r="F2" s="8"/>
      <c r="G2" s="8"/>
      <c r="H2" s="8"/>
    </row>
    <row r="4">
      <c r="B4" s="9" t="inlineStr">
        <is>
          <t xml:space="preserve">§1 - Registered figure contract</t>
        </is>
      </c>
      <c r="C4" s="9"/>
      <c r="D4" s="9"/>
      <c r="E4" s="9"/>
      <c r="F4" s="9"/>
      <c r="G4" s="9"/>
      <c r="H4" s="9"/>
    </row>
    <row r="6">
      <c r="B6" s="2" t="inlineStr">
        <is>
          <t xml:space="preserve">Measure</t>
        </is>
      </c>
      <c r="C6" s="22" t="inlineStr">
        <is>
          <t xml:space="preserve">Value</t>
        </is>
      </c>
    </row>
    <row r="7">
      <c r="B7" s="1" t="inlineStr">
        <is>
          <t xml:space="preserve">Registered figures</t>
        </is>
      </c>
      <c r="C7" s="0">
        <v>66</v>
      </c>
    </row>
    <row r="8">
      <c r="B8" s="0" t="inlineStr">
        <is>
          <t xml:space="preserve">TAM figures</t>
        </is>
      </c>
      <c r="C8" s="0">
        <v>19</v>
      </c>
    </row>
    <row r="9">
      <c r="B9" s="0" t="inlineStr">
        <is>
          <t xml:space="preserve">SAM figures</t>
        </is>
      </c>
      <c r="C9" s="0">
        <v>11</v>
      </c>
    </row>
    <row r="10">
      <c r="B10" s="0" t="inlineStr">
        <is>
          <t xml:space="preserve">Defined names</t>
        </is>
      </c>
      <c r="C10" s="0">
        <v>10</v>
      </c>
    </row>
    <row r="13">
      <c r="A13" s="0" t="inlineStr">
        <is>
          <t xml:space="preserve">x</t>
        </is>
      </c>
      <c r="B13" s="9" t="inlineStr">
        <is>
          <t xml:space="preserve">§2 - Figure registry</t>
        </is>
      </c>
      <c r="C13" s="9"/>
      <c r="D13" s="9"/>
      <c r="E13" s="9"/>
      <c r="F13" s="9"/>
      <c r="G13" s="9"/>
      <c r="H13" s="9"/>
    </row>
    <row r="15">
      <c r="B15" s="2" t="inlineStr">
        <is>
          <t xml:space="preserve">Figure ID</t>
        </is>
      </c>
      <c r="C15" s="22" t="inlineStr">
        <is>
          <t xml:space="preserve">Slide</t>
        </is>
      </c>
      <c r="D15" s="2" t="inlineStr">
        <is>
          <t xml:space="preserve">Label</t>
        </is>
      </c>
      <c r="E15" s="22" t="inlineStr">
        <is>
          <t xml:space="preserve">Value</t>
        </is>
      </c>
      <c r="F15" s="22" t="inlineStr">
        <is>
          <t xml:space="preserve">Unit</t>
        </is>
      </c>
      <c r="G15" s="2" t="inlineStr">
        <is>
          <t xml:space="preserve">Source cell</t>
        </is>
      </c>
      <c r="H15" s="2" t="inlineStr">
        <is>
          <t xml:space="preserve">Producer tab</t>
        </is>
      </c>
    </row>
    <row r="16" outlineLevel="1">
      <c r="B16" s="0" t="inlineStr">
        <is>
          <t xml:space="preserve">DO-01</t>
        </is>
      </c>
      <c r="C16" s="0">
        <v>4</v>
      </c>
      <c r="D16" s="0" t="inlineStr">
        <is>
          <t xml:space="preserve">Headline non-nuclear supplier TAM, FY22-27 cumulative $M (AP/LLTM base=0)</t>
        </is>
      </c>
      <c r="E16" s="11">
        <f>'TAM Build'!C141</f>
      </c>
      <c r="F16" s="0" t="inlineStr">
        <is>
          <t xml:space="preserve">$M</t>
        </is>
      </c>
      <c r="G16" s="0" t="inlineStr">
        <is>
          <t xml:space="preserve">'TAM Build'!C141</t>
        </is>
      </c>
      <c r="H16" s="0" t="inlineStr">
        <is>
          <t xml:space="preserve">TAM Build</t>
        </is>
      </c>
    </row>
    <row r="17" outlineLevel="1">
      <c r="B17" s="0" t="inlineStr">
        <is>
          <t xml:space="preserve">DO-09</t>
        </is>
      </c>
      <c r="C17" s="0">
        <v>4</v>
      </c>
      <c r="D17" s="0" t="inlineStr">
        <is>
          <t xml:space="preserve">Average annual portfolio TAM $M</t>
        </is>
      </c>
      <c r="E17" s="11">
        <f>'TAM Build'!C143</f>
      </c>
      <c r="F17" s="0" t="inlineStr">
        <is>
          <t xml:space="preserve">$M</t>
        </is>
      </c>
      <c r="G17" s="0" t="inlineStr">
        <is>
          <t xml:space="preserve">'TAM Build'!C143</t>
        </is>
      </c>
      <c r="H17" s="0" t="inlineStr">
        <is>
          <t xml:space="preserve">TAM Build</t>
        </is>
      </c>
    </row>
    <row r="18" outlineLevel="1">
      <c r="B18" s="0" t="inlineStr">
        <is>
          <t xml:space="preserve">DO-10</t>
        </is>
      </c>
      <c r="C18" s="0">
        <v>4</v>
      </c>
      <c r="D18" s="0" t="inlineStr">
        <is>
          <t xml:space="preserve">Average annual broad component-mfg SAM $M</t>
        </is>
      </c>
      <c r="E18" s="11">
        <f>'SAM Build'!C120</f>
      </c>
      <c r="F18" s="0" t="inlineStr">
        <is>
          <t xml:space="preserve">$M</t>
        </is>
      </c>
      <c r="G18" s="0" t="inlineStr">
        <is>
          <t xml:space="preserve">'SAM Build'!C120</t>
        </is>
      </c>
      <c r="H18" s="0" t="inlineStr">
        <is>
          <t xml:space="preserve">SAM Build</t>
        </is>
      </c>
    </row>
    <row r="19" outlineLevel="1">
      <c r="B19" s="0" t="inlineStr">
        <is>
          <t xml:space="preserve">DO-02</t>
        </is>
      </c>
      <c r="C19" s="0">
        <v>10</v>
      </c>
      <c r="D19" s="0" t="inlineStr">
        <is>
          <t xml:space="preserve">Virginia BC supplier coefficient (Block V announced POP)</t>
        </is>
      </c>
      <c r="E19" s="12">
        <f>'TAM Build'!C62</f>
      </c>
      <c r="F19" s="0" t="inlineStr">
        <is>
          <t xml:space="preserve">%</t>
        </is>
      </c>
      <c r="G19" s="0" t="inlineStr">
        <is>
          <t xml:space="preserve">'TAM Build'!C62</t>
        </is>
      </c>
      <c r="H19" s="0" t="inlineStr">
        <is>
          <t xml:space="preserve">TAM Build</t>
        </is>
      </c>
    </row>
    <row r="20" outlineLevel="1">
      <c r="B20" s="0" t="inlineStr">
        <is>
          <t xml:space="preserve">DO-82</t>
        </is>
      </c>
      <c r="C20" s="0">
        <v>10</v>
      </c>
      <c r="D20" s="0" t="inlineStr">
        <is>
          <t xml:space="preserve">Columbia BC supplier coefficient (Build I announced POP)</t>
        </is>
      </c>
      <c r="E20" s="11">
        <f>'TAM Build'!C63</f>
      </c>
      <c r="F20" s="0" t="inlineStr">
        <is>
          <t xml:space="preserve">$M</t>
        </is>
      </c>
      <c r="G20" s="0" t="inlineStr">
        <is>
          <t xml:space="preserve">'TAM Build'!C63</t>
        </is>
      </c>
      <c r="H20" s="0" t="inlineStr">
        <is>
          <t xml:space="preserve">TAM Build</t>
        </is>
      </c>
    </row>
    <row r="21" outlineLevel="1">
      <c r="B21" s="0" t="inlineStr">
        <is>
          <t xml:space="preserve">DO-03</t>
        </is>
      </c>
      <c r="C21" s="0">
        <v>10</v>
      </c>
      <c r="D21" s="0" t="inlineStr">
        <is>
          <t xml:space="preserve">AP/LLTM reference coefficient (not applied; base=0)</t>
        </is>
      </c>
      <c r="E21" s="12">
        <f>'TAM Build'!C65</f>
      </c>
      <c r="F21" s="0" t="inlineStr">
        <is>
          <t xml:space="preserve">%</t>
        </is>
      </c>
      <c r="G21" s="0" t="inlineStr">
        <is>
          <t xml:space="preserve">'TAM Build'!C65</t>
        </is>
      </c>
      <c r="H21" s="0" t="inlineStr">
        <is>
          <t xml:space="preserve">TAM Build</t>
        </is>
      </c>
    </row>
    <row r="22" outlineLevel="1">
      <c r="B22" s="0" t="inlineStr">
        <is>
          <t xml:space="preserve">DO-04</t>
        </is>
      </c>
      <c r="C22" s="0">
        <v>10</v>
      </c>
      <c r="D22" s="0" t="inlineStr">
        <is>
          <t xml:space="preserve">Total weighted coefficient (corpus)</t>
        </is>
      </c>
      <c r="E22" s="12">
        <f>'TAM Build'!C66</f>
      </c>
      <c r="F22" s="0" t="inlineStr">
        <is>
          <t xml:space="preserve">%</t>
        </is>
      </c>
      <c r="G22" s="0" t="inlineStr">
        <is>
          <t xml:space="preserve">'TAM Build'!C66</t>
        </is>
      </c>
      <c r="H22" s="0" t="inlineStr">
        <is>
          <t xml:space="preserve">TAM Build</t>
        </is>
      </c>
    </row>
    <row r="23" outlineLevel="1">
      <c r="B23" s="0" t="inlineStr">
        <is>
          <t xml:space="preserve">DO-05</t>
        </is>
      </c>
      <c r="C23" s="0">
        <v>10</v>
      </c>
      <c r="D23" s="0" t="inlineStr">
        <is>
          <t xml:space="preserve">Gated POP corpus $M</t>
        </is>
      </c>
      <c r="E23" s="11">
        <f>'POP Source Audit'!D18</f>
      </c>
      <c r="F23" s="0" t="inlineStr">
        <is>
          <t xml:space="preserve">$M</t>
        </is>
      </c>
      <c r="G23" s="0" t="inlineStr">
        <is>
          <t xml:space="preserve">'POP Source Audit'!D18</t>
        </is>
      </c>
      <c r="H23" s="0" t="inlineStr">
        <is>
          <t xml:space="preserve">POP Source Audit</t>
        </is>
      </c>
    </row>
    <row r="24" outlineLevel="1">
      <c r="B24" s="0" t="inlineStr">
        <is>
          <t xml:space="preserve">DO-06</t>
        </is>
      </c>
      <c r="C24" s="0">
        <v>10</v>
      </c>
      <c r="D24" s="0" t="inlineStr">
        <is>
          <t xml:space="preserve">GFE / excluded-scope $M (dropped)</t>
        </is>
      </c>
      <c r="E24" s="11">
        <f>'POP Source Audit'!D19</f>
      </c>
      <c r="F24" s="0" t="inlineStr">
        <is>
          <t xml:space="preserve">$M</t>
        </is>
      </c>
      <c r="G24" s="0" t="inlineStr">
        <is>
          <t xml:space="preserve">'POP Source Audit'!D19</t>
        </is>
      </c>
      <c r="H24" s="0" t="inlineStr">
        <is>
          <t xml:space="preserve">POP Source Audit</t>
        </is>
      </c>
    </row>
    <row r="25" outlineLevel="1">
      <c r="B25" s="0" t="inlineStr">
        <is>
          <t xml:space="preserve">DO-07</t>
        </is>
      </c>
      <c r="C25" s="0">
        <v>15</v>
      </c>
      <c r="D25" s="0" t="inlineStr">
        <is>
          <t xml:space="preserve">Supplier-addressable subaward $M (full corpus)</t>
        </is>
      </c>
      <c r="E25" s="11">
        <f>'Entity Master'!C972</f>
      </c>
      <c r="F25" s="0" t="inlineStr">
        <is>
          <t xml:space="preserve">$M</t>
        </is>
      </c>
      <c r="G25" s="0" t="inlineStr">
        <is>
          <t xml:space="preserve">'Entity Master'!C972</t>
        </is>
      </c>
      <c r="H25" s="0" t="inlineStr">
        <is>
          <t xml:space="preserve">Entity Master</t>
        </is>
      </c>
    </row>
    <row r="26" outlineLevel="1">
      <c r="B26" s="0" t="inlineStr">
        <is>
          <t xml:space="preserve">DO-08</t>
        </is>
      </c>
      <c r="C26" s="0">
        <v>16</v>
      </c>
      <c r="D26" s="0" t="inlineStr">
        <is>
          <t xml:space="preserve">SIB exclusion $M (subaward-level)</t>
        </is>
      </c>
      <c r="E26" s="11">
        <f>'SIB Excluded'!D17</f>
      </c>
      <c r="F26" s="0" t="inlineStr">
        <is>
          <t xml:space="preserve">$M</t>
        </is>
      </c>
      <c r="G26" s="0" t="inlineStr">
        <is>
          <t xml:space="preserve">'SIB Excluded'!D17</t>
        </is>
      </c>
      <c r="H26" s="0" t="inlineStr">
        <is>
          <t xml:space="preserve">SIB Excluded</t>
        </is>
      </c>
    </row>
    <row r="27" outlineLevel="1">
      <c r="B27" s="0" t="inlineStr">
        <is>
          <t xml:space="preserve">DO-11</t>
        </is>
      </c>
      <c r="C27" s="0">
        <v>13</v>
      </c>
      <c r="D27" s="0" t="inlineStr">
        <is>
          <t xml:space="preserve">Bucket TAM - Structural fabrication &amp; modules $M</t>
        </is>
      </c>
      <c r="E27" s="11">
        <f>'SAM Build'!C102</f>
      </c>
      <c r="F27" s="0" t="inlineStr">
        <is>
          <t xml:space="preserve">$M</t>
        </is>
      </c>
      <c r="G27" s="0" t="inlineStr">
        <is>
          <t xml:space="preserve">'SAM Build'!C102</t>
        </is>
      </c>
      <c r="H27" s="0" t="inlineStr">
        <is>
          <t xml:space="preserve">SAM Build</t>
        </is>
      </c>
    </row>
    <row r="28" outlineLevel="1">
      <c r="B28" s="0" t="inlineStr">
        <is>
          <t xml:space="preserve">DO-12</t>
        </is>
      </c>
      <c r="C28" s="0">
        <v>13</v>
      </c>
      <c r="D28" s="0" t="inlineStr">
        <is>
          <t xml:space="preserve">Bucket TAM - Machining / mechanical / propulsion $M</t>
        </is>
      </c>
      <c r="E28" s="11">
        <f>'SAM Build'!C103</f>
      </c>
      <c r="F28" s="0" t="inlineStr">
        <is>
          <t xml:space="preserve">$M</t>
        </is>
      </c>
      <c r="G28" s="0" t="inlineStr">
        <is>
          <t xml:space="preserve">'SAM Build'!C103</t>
        </is>
      </c>
      <c r="H28" s="0" t="inlineStr">
        <is>
          <t xml:space="preserve">SAM Build</t>
        </is>
      </c>
    </row>
    <row r="29" outlineLevel="1">
      <c r="B29" s="0" t="inlineStr">
        <is>
          <t xml:space="preserve">DO-13</t>
        </is>
      </c>
      <c r="C29" s="0">
        <v>13</v>
      </c>
      <c r="D29" s="0" t="inlineStr">
        <is>
          <t xml:space="preserve">Bucket TAM - Castings &amp; forgings $M</t>
        </is>
      </c>
      <c r="E29" s="11">
        <f>'SAM Build'!C104</f>
      </c>
      <c r="F29" s="0" t="inlineStr">
        <is>
          <t xml:space="preserve">$M</t>
        </is>
      </c>
      <c r="G29" s="0" t="inlineStr">
        <is>
          <t xml:space="preserve">'SAM Build'!C104</t>
        </is>
      </c>
      <c r="H29" s="0" t="inlineStr">
        <is>
          <t xml:space="preserve">SAM Build</t>
        </is>
      </c>
    </row>
    <row r="30" outlineLevel="1">
      <c r="B30" s="0" t="inlineStr">
        <is>
          <t xml:space="preserve">DO-14</t>
        </is>
      </c>
      <c r="C30" s="0">
        <v>13</v>
      </c>
      <c r="D30" s="0" t="inlineStr">
        <is>
          <t xml:space="preserve">Bucket TAM - Piping / fluid handling $M</t>
        </is>
      </c>
      <c r="E30" s="11">
        <f>'SAM Build'!C105</f>
      </c>
      <c r="F30" s="0" t="inlineStr">
        <is>
          <t xml:space="preserve">$M</t>
        </is>
      </c>
      <c r="G30" s="0" t="inlineStr">
        <is>
          <t xml:space="preserve">'SAM Build'!C105</t>
        </is>
      </c>
      <c r="H30" s="0" t="inlineStr">
        <is>
          <t xml:space="preserve">SAM Build</t>
        </is>
      </c>
    </row>
    <row r="31" outlineLevel="1">
      <c r="B31" s="0" t="inlineStr">
        <is>
          <t xml:space="preserve">DO-15</t>
        </is>
      </c>
      <c r="C31" s="0">
        <v>13</v>
      </c>
      <c r="D31" s="0" t="inlineStr">
        <is>
          <t xml:space="preserve">Bucket TAM - Electrical power / distribution / generation $M</t>
        </is>
      </c>
      <c r="E31" s="11">
        <f>'SAM Build'!C106</f>
      </c>
      <c r="F31" s="0" t="inlineStr">
        <is>
          <t xml:space="preserve">$M</t>
        </is>
      </c>
      <c r="G31" s="0" t="inlineStr">
        <is>
          <t xml:space="preserve">'SAM Build'!C106</t>
        </is>
      </c>
      <c r="H31" s="0" t="inlineStr">
        <is>
          <t xml:space="preserve">SAM Build</t>
        </is>
      </c>
    </row>
    <row r="32" outlineLevel="1">
      <c r="B32" s="0" t="inlineStr">
        <is>
          <t xml:space="preserve">DO-16</t>
        </is>
      </c>
      <c r="C32" s="0">
        <v>13</v>
      </c>
      <c r="D32" s="0" t="inlineStr">
        <is>
          <t xml:space="preserve">Bucket TAM - HVAC / ventilation / chilled water $M</t>
        </is>
      </c>
      <c r="E32" s="11">
        <f>'SAM Build'!C107</f>
      </c>
      <c r="F32" s="0" t="inlineStr">
        <is>
          <t xml:space="preserve">$M</t>
        </is>
      </c>
      <c r="G32" s="0" t="inlineStr">
        <is>
          <t xml:space="preserve">'SAM Build'!C107</t>
        </is>
      </c>
      <c r="H32" s="0" t="inlineStr">
        <is>
          <t xml:space="preserve">SAM Build</t>
        </is>
      </c>
    </row>
    <row r="33" outlineLevel="1">
      <c r="B33" s="0" t="inlineStr">
        <is>
          <t xml:space="preserve">DO-17</t>
        </is>
      </c>
      <c r="C33" s="0">
        <v>13</v>
      </c>
      <c r="D33" s="0" t="inlineStr">
        <is>
          <t xml:space="preserve">Bucket TAM - Coatings / insulation / decking $M</t>
        </is>
      </c>
      <c r="E33" s="11">
        <f>'SAM Build'!C108</f>
      </c>
      <c r="F33" s="0" t="inlineStr">
        <is>
          <t xml:space="preserve">$M</t>
        </is>
      </c>
      <c r="G33" s="0" t="inlineStr">
        <is>
          <t xml:space="preserve">'SAM Build'!C108</t>
        </is>
      </c>
      <c r="H33" s="0" t="inlineStr">
        <is>
          <t xml:space="preserve">SAM Build</t>
        </is>
      </c>
    </row>
    <row r="34" outlineLevel="1">
      <c r="B34" s="0" t="inlineStr">
        <is>
          <t xml:space="preserve">DO-18</t>
        </is>
      </c>
      <c r="C34" s="0">
        <v>13</v>
      </c>
      <c r="D34" s="0" t="inlineStr">
        <is>
          <t xml:space="preserve">Bucket TAM - unbucketed residual $M</t>
        </is>
      </c>
      <c r="E34" s="11">
        <f>'SAM Build'!C109</f>
      </c>
      <c r="F34" s="0" t="inlineStr">
        <is>
          <t xml:space="preserve">$M</t>
        </is>
      </c>
      <c r="G34" s="0" t="inlineStr">
        <is>
          <t xml:space="preserve">'SAM Build'!C109</t>
        </is>
      </c>
      <c r="H34" s="0" t="inlineStr">
        <is>
          <t xml:space="preserve">SAM Build</t>
        </is>
      </c>
    </row>
    <row r="35" outlineLevel="1">
      <c r="B35" s="0" t="inlineStr">
        <is>
          <t xml:space="preserve">DO-20</t>
        </is>
      </c>
      <c r="C35" s="0">
        <v>14</v>
      </c>
      <c r="D35" s="0" t="inlineStr">
        <is>
          <t xml:space="preserve">SAM - Metal components $M</t>
        </is>
      </c>
      <c r="E35" s="11">
        <f>'SAM Build'!D116</f>
      </c>
      <c r="F35" s="0" t="inlineStr">
        <is>
          <t xml:space="preserve">$M</t>
        </is>
      </c>
      <c r="G35" s="0" t="inlineStr">
        <is>
          <t xml:space="preserve">'SAM Build'!D116</t>
        </is>
      </c>
      <c r="H35" s="0" t="inlineStr">
        <is>
          <t xml:space="preserve">SAM Build</t>
        </is>
      </c>
    </row>
    <row r="36" outlineLevel="1">
      <c r="B36" s="0" t="inlineStr">
        <is>
          <t xml:space="preserve">DO-21</t>
        </is>
      </c>
      <c r="C36" s="0">
        <v>14</v>
      </c>
      <c r="D36" s="0" t="inlineStr">
        <is>
          <t xml:space="preserve">SAM - HM&amp;E components $M</t>
        </is>
      </c>
      <c r="E36" s="11">
        <f>'SAM Build'!D117</f>
      </c>
      <c r="F36" s="0" t="inlineStr">
        <is>
          <t xml:space="preserve">$M</t>
        </is>
      </c>
      <c r="G36" s="0" t="inlineStr">
        <is>
          <t xml:space="preserve">'SAM Build'!D117</t>
        </is>
      </c>
      <c r="H36" s="0" t="inlineStr">
        <is>
          <t xml:space="preserve">SAM Build</t>
        </is>
      </c>
    </row>
    <row r="37" outlineLevel="1">
      <c r="B37" s="0" t="inlineStr">
        <is>
          <t xml:space="preserve">DO-22</t>
        </is>
      </c>
      <c r="C37" s="0">
        <v>14</v>
      </c>
      <c r="D37" s="0" t="inlineStr">
        <is>
          <t xml:space="preserve">SAM - Electrical / power $M</t>
        </is>
      </c>
      <c r="E37" s="11">
        <f>'SAM Build'!D118</f>
      </c>
      <c r="F37" s="0" t="inlineStr">
        <is>
          <t xml:space="preserve">$M</t>
        </is>
      </c>
      <c r="G37" s="0" t="inlineStr">
        <is>
          <t xml:space="preserve">'SAM Build'!D118</t>
        </is>
      </c>
      <c r="H37" s="0" t="inlineStr">
        <is>
          <t xml:space="preserve">SAM Build</t>
        </is>
      </c>
    </row>
    <row r="38" outlineLevel="1">
      <c r="B38" s="0" t="inlineStr">
        <is>
          <t xml:space="preserve">DO-23</t>
        </is>
      </c>
      <c r="C38" s="0">
        <v>14</v>
      </c>
      <c r="D38" s="0" t="inlineStr">
        <is>
          <t xml:space="preserve">SAM - Modular assemblies $M</t>
        </is>
      </c>
      <c r="E38" s="11">
        <f>'SAM Build'!D119</f>
      </c>
      <c r="F38" s="0" t="inlineStr">
        <is>
          <t xml:space="preserve">$M</t>
        </is>
      </c>
      <c r="G38" s="0" t="inlineStr">
        <is>
          <t xml:space="preserve">'SAM Build'!D119</t>
        </is>
      </c>
      <c r="H38" s="0" t="inlineStr">
        <is>
          <t xml:space="preserve">SAM Build</t>
        </is>
      </c>
    </row>
    <row r="39" outlineLevel="1">
      <c r="B39" s="0" t="inlineStr">
        <is>
          <t xml:space="preserve">DO-24</t>
        </is>
      </c>
      <c r="C39" s="0">
        <v>14</v>
      </c>
      <c r="D39" s="0" t="inlineStr">
        <is>
          <t xml:space="preserve">SAM - Broad component mfg $M</t>
        </is>
      </c>
      <c r="E39" s="11">
        <f>'SAM Build'!D120</f>
      </c>
      <c r="F39" s="0" t="inlineStr">
        <is>
          <t xml:space="preserve">$M</t>
        </is>
      </c>
      <c r="G39" s="0" t="inlineStr">
        <is>
          <t xml:space="preserve">'SAM Build'!D120</t>
        </is>
      </c>
      <c r="H39" s="0" t="inlineStr">
        <is>
          <t xml:space="preserve">SAM Build</t>
        </is>
      </c>
    </row>
    <row r="40" outlineLevel="1">
      <c r="B40" s="0" t="inlineStr">
        <is>
          <t xml:space="preserve">DO-25</t>
        </is>
      </c>
      <c r="C40" s="0">
        <v>14</v>
      </c>
      <c r="D40" s="0" t="inlineStr">
        <is>
          <t xml:space="preserve">Avg annual SAM - Metal components $M</t>
        </is>
      </c>
      <c r="E40" s="11">
        <f>'SAM Build'!C116</f>
      </c>
      <c r="F40" s="0" t="inlineStr">
        <is>
          <t xml:space="preserve">$M</t>
        </is>
      </c>
      <c r="G40" s="0" t="inlineStr">
        <is>
          <t xml:space="preserve">'SAM Build'!C116</t>
        </is>
      </c>
      <c r="H40" s="0" t="inlineStr">
        <is>
          <t xml:space="preserve">SAM Build</t>
        </is>
      </c>
    </row>
    <row r="41" outlineLevel="1">
      <c r="B41" s="0" t="inlineStr">
        <is>
          <t xml:space="preserve">DO-26</t>
        </is>
      </c>
      <c r="C41" s="0">
        <v>14</v>
      </c>
      <c r="D41" s="0" t="inlineStr">
        <is>
          <t xml:space="preserve">Avg annual SAM - HM&amp;E components $M</t>
        </is>
      </c>
      <c r="E41" s="11">
        <f>'SAM Build'!C117</f>
      </c>
      <c r="F41" s="0" t="inlineStr">
        <is>
          <t xml:space="preserve">$M</t>
        </is>
      </c>
      <c r="G41" s="0" t="inlineStr">
        <is>
          <t xml:space="preserve">'SAM Build'!C117</t>
        </is>
      </c>
      <c r="H41" s="0" t="inlineStr">
        <is>
          <t xml:space="preserve">SAM Build</t>
        </is>
      </c>
    </row>
    <row r="42" outlineLevel="1">
      <c r="B42" s="0" t="inlineStr">
        <is>
          <t xml:space="preserve">DO-27</t>
        </is>
      </c>
      <c r="C42" s="0">
        <v>14</v>
      </c>
      <c r="D42" s="0" t="inlineStr">
        <is>
          <t xml:space="preserve">Avg annual SAM - Electrical / power $M</t>
        </is>
      </c>
      <c r="E42" s="11">
        <f>'SAM Build'!C118</f>
      </c>
      <c r="F42" s="0" t="inlineStr">
        <is>
          <t xml:space="preserve">$M</t>
        </is>
      </c>
      <c r="G42" s="0" t="inlineStr">
        <is>
          <t xml:space="preserve">'SAM Build'!C118</t>
        </is>
      </c>
      <c r="H42" s="0" t="inlineStr">
        <is>
          <t xml:space="preserve">SAM Build</t>
        </is>
      </c>
    </row>
    <row r="43" outlineLevel="1">
      <c r="B43" s="0" t="inlineStr">
        <is>
          <t xml:space="preserve">DO-28</t>
        </is>
      </c>
      <c r="C43" s="0">
        <v>14</v>
      </c>
      <c r="D43" s="0" t="inlineStr">
        <is>
          <t xml:space="preserve">Avg annual SAM - Modular assemblies $M</t>
        </is>
      </c>
      <c r="E43" s="11">
        <f>'SAM Build'!C119</f>
      </c>
      <c r="F43" s="0" t="inlineStr">
        <is>
          <t xml:space="preserve">$M</t>
        </is>
      </c>
      <c r="G43" s="0" t="inlineStr">
        <is>
          <t xml:space="preserve">'SAM Build'!C119</t>
        </is>
      </c>
      <c r="H43" s="0" t="inlineStr">
        <is>
          <t xml:space="preserve">SAM Build</t>
        </is>
      </c>
    </row>
    <row r="44" outlineLevel="1">
      <c r="B44" s="0" t="inlineStr">
        <is>
          <t xml:space="preserve">DO-29</t>
        </is>
      </c>
      <c r="C44" s="0">
        <v>14</v>
      </c>
      <c r="D44" s="0" t="inlineStr">
        <is>
          <t xml:space="preserve">Avg annual SAM - Broad component mfg $M</t>
        </is>
      </c>
      <c r="E44" s="11">
        <f>'SAM Build'!C120</f>
      </c>
      <c r="F44" s="0" t="inlineStr">
        <is>
          <t xml:space="preserve">$M</t>
        </is>
      </c>
      <c r="G44" s="0" t="inlineStr">
        <is>
          <t xml:space="preserve">'SAM Build'!C120</t>
        </is>
      </c>
      <c r="H44" s="0" t="inlineStr">
        <is>
          <t xml:space="preserve">SAM Build</t>
        </is>
      </c>
    </row>
    <row r="45" outlineLevel="1">
      <c r="B45" s="0" t="inlineStr">
        <is>
          <t xml:space="preserve">DO-31</t>
        </is>
      </c>
      <c r="C45" s="0">
        <v>9</v>
      </c>
      <c r="D45" s="0" t="inlineStr">
        <is>
          <t xml:space="preserve">FY2022 portfolio TAM $M</t>
        </is>
      </c>
      <c r="E45" s="11">
        <f>'TAM Build'!C135</f>
      </c>
      <c r="F45" s="0" t="inlineStr">
        <is>
          <t xml:space="preserve">$M</t>
        </is>
      </c>
      <c r="G45" s="0" t="inlineStr">
        <is>
          <t xml:space="preserve">'TAM Build'!C135</t>
        </is>
      </c>
      <c r="H45" s="0" t="inlineStr">
        <is>
          <t xml:space="preserve">TAM Build</t>
        </is>
      </c>
    </row>
    <row r="46" outlineLevel="1">
      <c r="B46" s="0" t="inlineStr">
        <is>
          <t xml:space="preserve">DO-32</t>
        </is>
      </c>
      <c r="C46" s="0">
        <v>9</v>
      </c>
      <c r="D46" s="0" t="inlineStr">
        <is>
          <t xml:space="preserve">FY2023 portfolio TAM $M</t>
        </is>
      </c>
      <c r="E46" s="11">
        <f>'TAM Build'!D135</f>
      </c>
      <c r="F46" s="0" t="inlineStr">
        <is>
          <t xml:space="preserve">$M</t>
        </is>
      </c>
      <c r="G46" s="0" t="inlineStr">
        <is>
          <t xml:space="preserve">'TAM Build'!D135</t>
        </is>
      </c>
      <c r="H46" s="0" t="inlineStr">
        <is>
          <t xml:space="preserve">TAM Build</t>
        </is>
      </c>
    </row>
    <row r="47" outlineLevel="1">
      <c r="B47" s="0" t="inlineStr">
        <is>
          <t xml:space="preserve">DO-33</t>
        </is>
      </c>
      <c r="C47" s="0">
        <v>9</v>
      </c>
      <c r="D47" s="0" t="inlineStr">
        <is>
          <t xml:space="preserve">FY2024 portfolio TAM $M</t>
        </is>
      </c>
      <c r="E47" s="11">
        <f>'TAM Build'!E135</f>
      </c>
      <c r="F47" s="0" t="inlineStr">
        <is>
          <t xml:space="preserve">$M</t>
        </is>
      </c>
      <c r="G47" s="0" t="inlineStr">
        <is>
          <t xml:space="preserve">'TAM Build'!E135</t>
        </is>
      </c>
      <c r="H47" s="0" t="inlineStr">
        <is>
          <t xml:space="preserve">TAM Build</t>
        </is>
      </c>
    </row>
    <row r="48" outlineLevel="1">
      <c r="B48" s="0" t="inlineStr">
        <is>
          <t xml:space="preserve">DO-34</t>
        </is>
      </c>
      <c r="C48" s="0">
        <v>9</v>
      </c>
      <c r="D48" s="0" t="inlineStr">
        <is>
          <t xml:space="preserve">FY2025 portfolio TAM $M</t>
        </is>
      </c>
      <c r="E48" s="11">
        <f>'TAM Build'!F135</f>
      </c>
      <c r="F48" s="0" t="inlineStr">
        <is>
          <t xml:space="preserve">$M</t>
        </is>
      </c>
      <c r="G48" s="0" t="inlineStr">
        <is>
          <t xml:space="preserve">'TAM Build'!F135</t>
        </is>
      </c>
      <c r="H48" s="0" t="inlineStr">
        <is>
          <t xml:space="preserve">TAM Build</t>
        </is>
      </c>
    </row>
    <row r="49" outlineLevel="1">
      <c r="B49" s="0" t="inlineStr">
        <is>
          <t xml:space="preserve">DO-35</t>
        </is>
      </c>
      <c r="C49" s="0">
        <v>9</v>
      </c>
      <c r="D49" s="0" t="inlineStr">
        <is>
          <t xml:space="preserve">FY2026 portfolio TAM $M</t>
        </is>
      </c>
      <c r="E49" s="11">
        <f>'TAM Build'!G135</f>
      </c>
      <c r="F49" s="0" t="inlineStr">
        <is>
          <t xml:space="preserve">$M</t>
        </is>
      </c>
      <c r="G49" s="0" t="inlineStr">
        <is>
          <t xml:space="preserve">'TAM Build'!G135</t>
        </is>
      </c>
      <c r="H49" s="0" t="inlineStr">
        <is>
          <t xml:space="preserve">TAM Build</t>
        </is>
      </c>
    </row>
    <row r="50" outlineLevel="1">
      <c r="B50" s="0" t="inlineStr">
        <is>
          <t xml:space="preserve">DO-36</t>
        </is>
      </c>
      <c r="C50" s="0">
        <v>9</v>
      </c>
      <c r="D50" s="0" t="inlineStr">
        <is>
          <t xml:space="preserve">FY2027 portfolio TAM $M</t>
        </is>
      </c>
      <c r="E50" s="11">
        <f>'TAM Build'!H135</f>
      </c>
      <c r="F50" s="0" t="inlineStr">
        <is>
          <t xml:space="preserve">$M</t>
        </is>
      </c>
      <c r="G50" s="0" t="inlineStr">
        <is>
          <t xml:space="preserve">'TAM Build'!H135</t>
        </is>
      </c>
      <c r="H50" s="0" t="inlineStr">
        <is>
          <t xml:space="preserve">TAM Build</t>
        </is>
      </c>
    </row>
    <row r="51" outlineLevel="1">
      <c r="B51" s="0" t="inlineStr">
        <is>
          <t xml:space="preserve">DO-51</t>
        </is>
      </c>
      <c r="C51" s="0">
        <v>7</v>
      </c>
      <c r="D51" s="0" t="inlineStr">
        <is>
          <t xml:space="preserve">BC construction base $M (FY22-27)</t>
        </is>
      </c>
      <c r="E51" s="11">
        <f>'TAM Build'!C144</f>
      </c>
      <c r="F51" s="0" t="inlineStr">
        <is>
          <t xml:space="preserve">$M</t>
        </is>
      </c>
      <c r="G51" s="0" t="inlineStr">
        <is>
          <t xml:space="preserve">'TAM Build'!C144</t>
        </is>
      </c>
      <c r="H51" s="0" t="inlineStr">
        <is>
          <t xml:space="preserve">TAM Build</t>
        </is>
      </c>
    </row>
    <row r="52" outlineLevel="1">
      <c r="B52" s="0" t="inlineStr">
        <is>
          <t xml:space="preserve">DO-52</t>
        </is>
      </c>
      <c r="C52" s="0">
        <v>8</v>
      </c>
      <c r="D52" s="0" t="inlineStr">
        <is>
          <t xml:space="preserve">POP removal (prime/co-prime/GFE) $M</t>
        </is>
      </c>
      <c r="E52" s="11">
        <f>'TAM Build'!C147</f>
      </c>
      <c r="F52" s="0" t="inlineStr">
        <is>
          <t xml:space="preserve">$M</t>
        </is>
      </c>
      <c r="G52" s="0" t="inlineStr">
        <is>
          <t xml:space="preserve">'TAM Build'!C147</t>
        </is>
      </c>
      <c r="H52" s="0" t="inlineStr">
        <is>
          <t xml:space="preserve">TAM Build</t>
        </is>
      </c>
    </row>
    <row r="53" outlineLevel="1">
      <c r="B53" s="0" t="inlineStr">
        <is>
          <t xml:space="preserve">DO-53</t>
        </is>
      </c>
      <c r="C53" s="0">
        <v>11</v>
      </c>
      <c r="D53" s="0" t="inlineStr">
        <is>
          <t xml:space="preserve">P-10 gross AP top-line $M (FY22-27)</t>
        </is>
      </c>
      <c r="E53" s="11">
        <f>'AP Bridge'!C62</f>
      </c>
      <c r="F53" s="0" t="inlineStr">
        <is>
          <t xml:space="preserve">$M</t>
        </is>
      </c>
      <c r="G53" s="0" t="inlineStr">
        <is>
          <t xml:space="preserve">'AP Bridge'!C62</t>
        </is>
      </c>
      <c r="H53" s="0" t="inlineStr">
        <is>
          <t xml:space="preserve">AP Bridge</t>
        </is>
      </c>
    </row>
    <row r="54" outlineLevel="1">
      <c r="B54" s="0" t="inlineStr">
        <is>
          <t xml:space="preserve">DO-54</t>
        </is>
      </c>
      <c r="C54" s="0">
        <v>11</v>
      </c>
      <c r="D54" s="0" t="inlineStr">
        <is>
          <t xml:space="preserve">AP bridge: less GFE/design/weapons $M</t>
        </is>
      </c>
      <c r="E54" s="11">
        <f>'AP Bridge'!C63</f>
      </c>
      <c r="F54" s="0" t="inlineStr">
        <is>
          <t xml:space="preserve">$M</t>
        </is>
      </c>
      <c r="G54" s="0" t="inlineStr">
        <is>
          <t xml:space="preserve">'AP Bridge'!C63</t>
        </is>
      </c>
      <c r="H54" s="0" t="inlineStr">
        <is>
          <t xml:space="preserve">AP Bridge</t>
        </is>
      </c>
    </row>
    <row r="55" outlineLevel="1">
      <c r="B55" s="0" t="inlineStr">
        <is>
          <t xml:space="preserve">DO-55</t>
        </is>
      </c>
      <c r="C55" s="0">
        <v>11</v>
      </c>
      <c r="D55" s="0" t="inlineStr">
        <is>
          <t xml:space="preserve">AP bridge: less already-in-BC $M</t>
        </is>
      </c>
      <c r="E55" s="11">
        <f>'AP Bridge'!C64</f>
      </c>
      <c r="F55" s="0" t="inlineStr">
        <is>
          <t xml:space="preserve">$M</t>
        </is>
      </c>
      <c r="G55" s="0" t="inlineStr">
        <is>
          <t xml:space="preserve">'AP Bridge'!C64</t>
        </is>
      </c>
      <c r="H55" s="0" t="inlineStr">
        <is>
          <t xml:space="preserve">AP Bridge</t>
        </is>
      </c>
    </row>
    <row r="56" outlineLevel="1">
      <c r="B56" s="0" t="inlineStr">
        <is>
          <t xml:space="preserve">DO-56</t>
        </is>
      </c>
      <c r="C56" s="0">
        <v>11</v>
      </c>
      <c r="D56" s="0" t="inlineStr">
        <is>
          <t xml:space="preserve">AP bridge: less un-itemized Va FY22-23 $M</t>
        </is>
      </c>
      <c r="E56" s="11">
        <f>'AP Bridge'!C65</f>
      </c>
      <c r="F56" s="0" t="inlineStr">
        <is>
          <t xml:space="preserve">$M</t>
        </is>
      </c>
      <c r="G56" s="0" t="inlineStr">
        <is>
          <t xml:space="preserve">'AP Bridge'!C65</t>
        </is>
      </c>
      <c r="H56" s="0" t="inlineStr">
        <is>
          <t xml:space="preserve">AP Bridge</t>
        </is>
      </c>
    </row>
    <row r="57" outlineLevel="1">
      <c r="B57" s="0" t="inlineStr">
        <is>
          <t xml:space="preserve">DO-57</t>
        </is>
      </c>
      <c r="C57" s="0">
        <v>11</v>
      </c>
      <c r="D57" s="0" t="inlineStr">
        <is>
          <t xml:space="preserve">AP/LLTM additive base $M (confirmed 0)</t>
        </is>
      </c>
      <c r="E57" s="11">
        <f>'AP Bridge'!C66</f>
      </c>
      <c r="F57" s="0" t="inlineStr">
        <is>
          <t xml:space="preserve">$M</t>
        </is>
      </c>
      <c r="G57" s="0" t="inlineStr">
        <is>
          <t xml:space="preserve">'AP Bridge'!C66</t>
        </is>
      </c>
      <c r="H57" s="0" t="inlineStr">
        <is>
          <t xml:space="preserve">AP Bridge</t>
        </is>
      </c>
    </row>
    <row r="58" outlineLevel="1">
      <c r="B58" s="0" t="inlineStr">
        <is>
          <t xml:space="preserve">DO-58</t>
        </is>
      </c>
      <c r="C58" s="0">
        <v>8</v>
      </c>
      <c r="D58" s="0" t="inlineStr">
        <is>
          <t xml:space="preserve">OBBBA gross award $M (Sec. 20002(16))</t>
        </is>
      </c>
      <c r="E58" s="11">
        <f>'OBBBA Mandatory'!I28</f>
      </c>
      <c r="F58" s="0" t="inlineStr">
        <is>
          <t xml:space="preserve">$M</t>
        </is>
      </c>
      <c r="G58" s="0" t="inlineStr">
        <is>
          <t xml:space="preserve">'OBBBA Mandatory'!I28</t>
        </is>
      </c>
      <c r="H58" s="0" t="inlineStr">
        <is>
          <t xml:space="preserve">OBBBA Mandatory</t>
        </is>
      </c>
    </row>
    <row r="59" outlineLevel="1">
      <c r="B59" s="0" t="inlineStr">
        <is>
          <t xml:space="preserve">DO-59</t>
        </is>
      </c>
      <c r="C59" s="0">
        <v>8</v>
      </c>
      <c r="D59" s="0" t="inlineStr">
        <is>
          <t xml:space="preserve">OBBBA mandatory BC base $M (FY22-27)</t>
        </is>
      </c>
      <c r="E59" s="11">
        <f>'TAM Build'!C145</f>
      </c>
      <c r="F59" s="0" t="inlineStr">
        <is>
          <t xml:space="preserve">$M</t>
        </is>
      </c>
      <c r="G59" s="0" t="inlineStr">
        <is>
          <t xml:space="preserve">'TAM Build'!C145</t>
        </is>
      </c>
      <c r="H59" s="0" t="inlineStr">
        <is>
          <t xml:space="preserve">TAM Build</t>
        </is>
      </c>
    </row>
    <row r="60" outlineLevel="1">
      <c r="B60" s="0" t="inlineStr">
        <is>
          <t xml:space="preserve">DO-60</t>
        </is>
      </c>
      <c r="C60" s="0">
        <v>8</v>
      </c>
      <c r="D60" s="0" t="inlineStr">
        <is>
          <t xml:space="preserve">OBBBA mandatory TAM $M (FY22-27)</t>
        </is>
      </c>
      <c r="E60" s="11">
        <f>'TAM Build'!C146</f>
      </c>
      <c r="F60" s="0" t="inlineStr">
        <is>
          <t xml:space="preserve">$M</t>
        </is>
      </c>
      <c r="G60" s="0" t="inlineStr">
        <is>
          <t xml:space="preserve">'TAM Build'!C146</t>
        </is>
      </c>
      <c r="H60" s="0" t="inlineStr">
        <is>
          <t xml:space="preserve">TAM Build</t>
        </is>
      </c>
    </row>
    <row r="61" outlineLevel="1">
      <c r="B61" s="0" t="inlineStr">
        <is>
          <t xml:space="preserve">DO-61</t>
        </is>
      </c>
      <c r="C61" s="0">
        <v>9</v>
      </c>
      <c r="D61" s="0" t="inlineStr">
        <is>
          <t xml:space="preserve">FY2026 OBBBA mandatory TAM $M</t>
        </is>
      </c>
      <c r="E61" s="11">
        <f>'TAM Build'!G134</f>
      </c>
      <c r="F61" s="0" t="inlineStr">
        <is>
          <t xml:space="preserve">$M</t>
        </is>
      </c>
      <c r="G61" s="0" t="inlineStr">
        <is>
          <t xml:space="preserve">'TAM Build'!G134</t>
        </is>
      </c>
      <c r="H61" s="0" t="inlineStr">
        <is>
          <t xml:space="preserve">TAM Build</t>
        </is>
      </c>
    </row>
    <row r="62" outlineLevel="1">
      <c r="B62" s="0" t="inlineStr">
        <is>
          <t xml:space="preserve">DO-62</t>
        </is>
      </c>
      <c r="C62" s="0">
        <v>16</v>
      </c>
      <c r="D62" s="0" t="inlineStr">
        <is>
          <t xml:space="preserve">OBBBA capacity / cadence memo $M (excluded)</t>
        </is>
      </c>
      <c r="E62" s="11">
        <f>'OBBBA Mandatory'!D57</f>
      </c>
      <c r="F62" s="0" t="inlineStr">
        <is>
          <t xml:space="preserve">$M</t>
        </is>
      </c>
      <c r="G62" s="0" t="inlineStr">
        <is>
          <t xml:space="preserve">'OBBBA Mandatory'!D57</t>
        </is>
      </c>
      <c r="H62" s="0" t="inlineStr">
        <is>
          <t xml:space="preserve">OBBBA Mandatory</t>
        </is>
      </c>
    </row>
    <row r="63" outlineLevel="1">
      <c r="B63" s="0" t="inlineStr">
        <is>
          <t xml:space="preserve">DO-63</t>
        </is>
      </c>
      <c r="C63" s="0">
        <v>9</v>
      </c>
      <c r="D63" s="0" t="inlineStr">
        <is>
          <t xml:space="preserve">Outsourced BC penetration FY2022</t>
        </is>
      </c>
      <c r="E63" s="12">
        <f>'Outlook'!C27</f>
      </c>
      <c r="F63" s="0" t="inlineStr">
        <is>
          <t xml:space="preserve">%</t>
        </is>
      </c>
      <c r="G63" s="0" t="inlineStr">
        <is>
          <t xml:space="preserve">'Outlook'!C27</t>
        </is>
      </c>
      <c r="H63" s="0" t="inlineStr">
        <is>
          <t xml:space="preserve">Outlook</t>
        </is>
      </c>
    </row>
    <row r="64" outlineLevel="1">
      <c r="B64" s="0" t="inlineStr">
        <is>
          <t xml:space="preserve">DO-64</t>
        </is>
      </c>
      <c r="C64" s="0">
        <v>9</v>
      </c>
      <c r="D64" s="0" t="inlineStr">
        <is>
          <t xml:space="preserve">Outsourced BC penetration FY2023</t>
        </is>
      </c>
      <c r="E64" s="12">
        <f>'Outlook'!D27</f>
      </c>
      <c r="F64" s="0" t="inlineStr">
        <is>
          <t xml:space="preserve">%</t>
        </is>
      </c>
      <c r="G64" s="0" t="inlineStr">
        <is>
          <t xml:space="preserve">'Outlook'!D27</t>
        </is>
      </c>
      <c r="H64" s="0" t="inlineStr">
        <is>
          <t xml:space="preserve">Outlook</t>
        </is>
      </c>
    </row>
    <row r="65" outlineLevel="1">
      <c r="B65" s="0" t="inlineStr">
        <is>
          <t xml:space="preserve">DO-65</t>
        </is>
      </c>
      <c r="C65" s="0">
        <v>9</v>
      </c>
      <c r="D65" s="0" t="inlineStr">
        <is>
          <t xml:space="preserve">Outsourced BC penetration FY2024</t>
        </is>
      </c>
      <c r="E65" s="12">
        <f>'Outlook'!E27</f>
      </c>
      <c r="F65" s="0" t="inlineStr">
        <is>
          <t xml:space="preserve">%</t>
        </is>
      </c>
      <c r="G65" s="0" t="inlineStr">
        <is>
          <t xml:space="preserve">'Outlook'!E27</t>
        </is>
      </c>
      <c r="H65" s="0" t="inlineStr">
        <is>
          <t xml:space="preserve">Outlook</t>
        </is>
      </c>
    </row>
    <row r="66" outlineLevel="1">
      <c r="B66" s="0" t="inlineStr">
        <is>
          <t xml:space="preserve">DO-66</t>
        </is>
      </c>
      <c r="C66" s="0">
        <v>9</v>
      </c>
      <c r="D66" s="0" t="inlineStr">
        <is>
          <t xml:space="preserve">Outsourced BC penetration FY2025</t>
        </is>
      </c>
      <c r="E66" s="12">
        <f>'Outlook'!F27</f>
      </c>
      <c r="F66" s="0" t="inlineStr">
        <is>
          <t xml:space="preserve">%</t>
        </is>
      </c>
      <c r="G66" s="0" t="inlineStr">
        <is>
          <t xml:space="preserve">'Outlook'!F27</t>
        </is>
      </c>
      <c r="H66" s="0" t="inlineStr">
        <is>
          <t xml:space="preserve">Outlook</t>
        </is>
      </c>
    </row>
    <row r="67" outlineLevel="1">
      <c r="B67" s="0" t="inlineStr">
        <is>
          <t xml:space="preserve">DO-67</t>
        </is>
      </c>
      <c r="C67" s="0">
        <v>9</v>
      </c>
      <c r="D67" s="0" t="inlineStr">
        <is>
          <t xml:space="preserve">Outsourced BC penetration FY2026</t>
        </is>
      </c>
      <c r="E67" s="12">
        <f>'Outlook'!G27</f>
      </c>
      <c r="F67" s="0" t="inlineStr">
        <is>
          <t xml:space="preserve">%</t>
        </is>
      </c>
      <c r="G67" s="0" t="inlineStr">
        <is>
          <t xml:space="preserve">'Outlook'!G27</t>
        </is>
      </c>
      <c r="H67" s="0" t="inlineStr">
        <is>
          <t xml:space="preserve">Outlook</t>
        </is>
      </c>
    </row>
    <row r="68" outlineLevel="1">
      <c r="B68" s="0" t="inlineStr">
        <is>
          <t xml:space="preserve">DO-68</t>
        </is>
      </c>
      <c r="C68" s="0">
        <v>9</v>
      </c>
      <c r="D68" s="0" t="inlineStr">
        <is>
          <t xml:space="preserve">Outsourced BC penetration FY2027</t>
        </is>
      </c>
      <c r="E68" s="12">
        <f>'Outlook'!H27</f>
      </c>
      <c r="F68" s="0" t="inlineStr">
        <is>
          <t xml:space="preserve">%</t>
        </is>
      </c>
      <c r="G68" s="0" t="inlineStr">
        <is>
          <t xml:space="preserve">'Outlook'!H27</t>
        </is>
      </c>
      <c r="H68" s="0" t="inlineStr">
        <is>
          <t xml:space="preserve">Outlook</t>
        </is>
      </c>
    </row>
    <row r="69" outlineLevel="1">
      <c r="B69" s="0" t="inlineStr">
        <is>
          <t xml:space="preserve">DO-69</t>
        </is>
      </c>
      <c r="C69" s="0">
        <v>9</v>
      </c>
      <c r="D69" s="0" t="inlineStr">
        <is>
          <t xml:space="preserve">Outsourced BC penetration, FY22-27 avg</t>
        </is>
      </c>
      <c r="E69" s="12">
        <f>'Outlook'!C36</f>
      </c>
      <c r="F69" s="0" t="inlineStr">
        <is>
          <t xml:space="preserve">%</t>
        </is>
      </c>
      <c r="G69" s="0" t="inlineStr">
        <is>
          <t xml:space="preserve">'Outlook'!C36</t>
        </is>
      </c>
      <c r="H69" s="0" t="inlineStr">
        <is>
          <t xml:space="preserve">Outlook</t>
        </is>
      </c>
    </row>
    <row r="70" outlineLevel="1">
      <c r="B70" s="0" t="inlineStr">
        <is>
          <t xml:space="preserve">DO-70</t>
        </is>
      </c>
      <c r="C70" s="0">
        <v>9</v>
      </c>
      <c r="D70" s="0" t="inlineStr">
        <is>
          <t xml:space="preserve">Outsourced BC penetration, FY26-27 avg</t>
        </is>
      </c>
      <c r="E70" s="12">
        <f>'Outlook'!C37</f>
      </c>
      <c r="F70" s="0" t="inlineStr">
        <is>
          <t xml:space="preserve">%</t>
        </is>
      </c>
      <c r="G70" s="0" t="inlineStr">
        <is>
          <t xml:space="preserve">'Outlook'!C37</t>
        </is>
      </c>
      <c r="H70" s="0" t="inlineStr">
        <is>
          <t xml:space="preserve">Outlook</t>
        </is>
      </c>
    </row>
    <row r="71" outlineLevel="1">
      <c r="B71" s="0" t="inlineStr">
        <is>
          <t xml:space="preserve">DO-71</t>
        </is>
      </c>
      <c r="C71" s="0">
        <v>9</v>
      </c>
      <c r="D71" s="0" t="inlineStr">
        <is>
          <t xml:space="preserve">Implied Outsourced BC low FY2028 $M</t>
        </is>
      </c>
      <c r="E71" s="11">
        <f>'Outlook'!C56</f>
      </c>
      <c r="F71" s="0" t="inlineStr">
        <is>
          <t xml:space="preserve">$M</t>
        </is>
      </c>
      <c r="G71" s="0" t="inlineStr">
        <is>
          <t xml:space="preserve">'Outlook'!C56</t>
        </is>
      </c>
      <c r="H71" s="0" t="inlineStr">
        <is>
          <t xml:space="preserve">Outlook</t>
        </is>
      </c>
    </row>
    <row r="72" outlineLevel="1">
      <c r="B72" s="0" t="inlineStr">
        <is>
          <t xml:space="preserve">DO-72</t>
        </is>
      </c>
      <c r="C72" s="0">
        <v>9</v>
      </c>
      <c r="D72" s="0" t="inlineStr">
        <is>
          <t xml:space="preserve">Implied Outsourced BC low FY2029 $M</t>
        </is>
      </c>
      <c r="E72" s="11">
        <f>'Outlook'!D56</f>
      </c>
      <c r="F72" s="0" t="inlineStr">
        <is>
          <t xml:space="preserve">$M</t>
        </is>
      </c>
      <c r="G72" s="0" t="inlineStr">
        <is>
          <t xml:space="preserve">'Outlook'!D56</t>
        </is>
      </c>
      <c r="H72" s="0" t="inlineStr">
        <is>
          <t xml:space="preserve">Outlook</t>
        </is>
      </c>
    </row>
    <row r="73" outlineLevel="1">
      <c r="B73" s="0" t="inlineStr">
        <is>
          <t xml:space="preserve">DO-73</t>
        </is>
      </c>
      <c r="C73" s="0">
        <v>9</v>
      </c>
      <c r="D73" s="0" t="inlineStr">
        <is>
          <t xml:space="preserve">Implied Outsourced BC low FY2030 $M</t>
        </is>
      </c>
      <c r="E73" s="11">
        <f>'Outlook'!E56</f>
      </c>
      <c r="F73" s="0" t="inlineStr">
        <is>
          <t xml:space="preserve">$M</t>
        </is>
      </c>
      <c r="G73" s="0" t="inlineStr">
        <is>
          <t xml:space="preserve">'Outlook'!E56</t>
        </is>
      </c>
      <c r="H73" s="0" t="inlineStr">
        <is>
          <t xml:space="preserve">Outlook</t>
        </is>
      </c>
    </row>
    <row r="74" outlineLevel="1">
      <c r="B74" s="0" t="inlineStr">
        <is>
          <t xml:space="preserve">DO-74</t>
        </is>
      </c>
      <c r="C74" s="0">
        <v>9</v>
      </c>
      <c r="D74" s="0" t="inlineStr">
        <is>
          <t xml:space="preserve">Implied Outsourced BC low FY2031 $M</t>
        </is>
      </c>
      <c r="E74" s="11">
        <f>'Outlook'!F56</f>
      </c>
      <c r="F74" s="0" t="inlineStr">
        <is>
          <t xml:space="preserve">$M</t>
        </is>
      </c>
      <c r="G74" s="0" t="inlineStr">
        <is>
          <t xml:space="preserve">'Outlook'!F56</t>
        </is>
      </c>
      <c r="H74" s="0" t="inlineStr">
        <is>
          <t xml:space="preserve">Outlook</t>
        </is>
      </c>
    </row>
    <row r="75" outlineLevel="1">
      <c r="B75" s="0" t="inlineStr">
        <is>
          <t xml:space="preserve">DO-75</t>
        </is>
      </c>
      <c r="C75" s="0">
        <v>9</v>
      </c>
      <c r="D75" s="0" t="inlineStr">
        <is>
          <t xml:space="preserve">Implied Outsourced BC high FY2028 $M</t>
        </is>
      </c>
      <c r="E75" s="11">
        <f>'Outlook'!C57</f>
      </c>
      <c r="F75" s="0" t="inlineStr">
        <is>
          <t xml:space="preserve">$M</t>
        </is>
      </c>
      <c r="G75" s="0" t="inlineStr">
        <is>
          <t xml:space="preserve">'Outlook'!C57</t>
        </is>
      </c>
      <c r="H75" s="0" t="inlineStr">
        <is>
          <t xml:space="preserve">Outlook</t>
        </is>
      </c>
    </row>
    <row r="76" outlineLevel="1">
      <c r="B76" s="0" t="inlineStr">
        <is>
          <t xml:space="preserve">DO-76</t>
        </is>
      </c>
      <c r="C76" s="0">
        <v>9</v>
      </c>
      <c r="D76" s="0" t="inlineStr">
        <is>
          <t xml:space="preserve">Implied Outsourced BC high FY2029 $M</t>
        </is>
      </c>
      <c r="E76" s="11">
        <f>'Outlook'!D57</f>
      </c>
      <c r="F76" s="0" t="inlineStr">
        <is>
          <t xml:space="preserve">$M</t>
        </is>
      </c>
      <c r="G76" s="0" t="inlineStr">
        <is>
          <t xml:space="preserve">'Outlook'!D57</t>
        </is>
      </c>
      <c r="H76" s="0" t="inlineStr">
        <is>
          <t xml:space="preserve">Outlook</t>
        </is>
      </c>
    </row>
    <row r="77" outlineLevel="1">
      <c r="B77" s="0" t="inlineStr">
        <is>
          <t xml:space="preserve">DO-77</t>
        </is>
      </c>
      <c r="C77" s="0">
        <v>9</v>
      </c>
      <c r="D77" s="0" t="inlineStr">
        <is>
          <t xml:space="preserve">Implied Outsourced BC high FY2030 $M</t>
        </is>
      </c>
      <c r="E77" s="11">
        <f>'Outlook'!E57</f>
      </c>
      <c r="F77" s="0" t="inlineStr">
        <is>
          <t xml:space="preserve">$M</t>
        </is>
      </c>
      <c r="G77" s="0" t="inlineStr">
        <is>
          <t xml:space="preserve">'Outlook'!E57</t>
        </is>
      </c>
      <c r="H77" s="0" t="inlineStr">
        <is>
          <t xml:space="preserve">Outlook</t>
        </is>
      </c>
    </row>
    <row r="78" outlineLevel="1">
      <c r="B78" s="0" t="inlineStr">
        <is>
          <t xml:space="preserve">DO-78</t>
        </is>
      </c>
      <c r="C78" s="0">
        <v>9</v>
      </c>
      <c r="D78" s="0" t="inlineStr">
        <is>
          <t xml:space="preserve">Implied Outsourced BC high FY2031 $M</t>
        </is>
      </c>
      <c r="E78" s="11">
        <f>'Outlook'!F57</f>
      </c>
      <c r="F78" s="0" t="inlineStr">
        <is>
          <t xml:space="preserve">$M</t>
        </is>
      </c>
      <c r="G78" s="0" t="inlineStr">
        <is>
          <t xml:space="preserve">'Outlook'!F57</t>
        </is>
      </c>
      <c r="H78" s="0" t="inlineStr">
        <is>
          <t xml:space="preserve">Outlook</t>
        </is>
      </c>
    </row>
    <row r="79" outlineLevel="1">
      <c r="B79" s="0" t="inlineStr">
        <is>
          <t xml:space="preserve">DO-79</t>
        </is>
      </c>
      <c r="C79" s="0">
        <v>9</v>
      </c>
      <c r="D79" s="0" t="inlineStr">
        <is>
          <t xml:space="preserve">Implied outyear Outsourced BC low $M/yr</t>
        </is>
      </c>
      <c r="E79" s="11">
        <f>'Outlook'!C60</f>
      </c>
      <c r="F79" s="0" t="inlineStr">
        <is>
          <t xml:space="preserve">$M</t>
        </is>
      </c>
      <c r="G79" s="0" t="inlineStr">
        <is>
          <t xml:space="preserve">'Outlook'!C60</t>
        </is>
      </c>
      <c r="H79" s="0" t="inlineStr">
        <is>
          <t xml:space="preserve">Outlook</t>
        </is>
      </c>
    </row>
    <row r="80" outlineLevel="1">
      <c r="B80" s="0" t="inlineStr">
        <is>
          <t xml:space="preserve">DO-80</t>
        </is>
      </c>
      <c r="C80" s="0">
        <v>9</v>
      </c>
      <c r="D80" s="0" t="inlineStr">
        <is>
          <t xml:space="preserve">Implied outyear Outsourced BC high $M/yr</t>
        </is>
      </c>
      <c r="E80" s="11">
        <f>'Outlook'!C61</f>
      </c>
      <c r="F80" s="0" t="inlineStr">
        <is>
          <t xml:space="preserve">$M</t>
        </is>
      </c>
      <c r="G80" s="0" t="inlineStr">
        <is>
          <t xml:space="preserve">'Outlook'!C61</t>
        </is>
      </c>
      <c r="H80" s="0" t="inlineStr">
        <is>
          <t xml:space="preserve">Outlook</t>
        </is>
      </c>
    </row>
    <row r="81" outlineLevel="1">
      <c r="B81" s="0" t="inlineStr">
        <is>
          <t xml:space="preserve">DO-81</t>
        </is>
      </c>
      <c r="C81" s="0">
        <v>9</v>
      </c>
      <c r="D81" s="0" t="inlineStr">
        <is>
          <t xml:space="preserve">FY22-25 average annual TAM $M/yr</t>
        </is>
      </c>
      <c r="E81" s="11">
        <f>'Outlook'!C69</f>
      </c>
      <c r="F81" s="0" t="inlineStr">
        <is>
          <t xml:space="preserve">$M</t>
        </is>
      </c>
      <c r="G81" s="0" t="inlineStr">
        <is>
          <t xml:space="preserve">'Outlook'!C69</t>
        </is>
      </c>
      <c r="H81" s="0" t="inlineStr">
        <is>
          <t xml:space="preserve">Outlook</t>
        </is>
      </c>
    </row>
    <row r="84">
      <c r="A84" s="0" t="inlineStr">
        <is>
          <t xml:space="preserve">x</t>
        </is>
      </c>
      <c r="B84" s="9" t="inlineStr">
        <is>
          <t xml:space="preserve">§3 - Defined names (workbook-scoped)</t>
        </is>
      </c>
      <c r="C84" s="9"/>
      <c r="D84" s="9"/>
      <c r="E84" s="9"/>
      <c r="F84" s="9"/>
      <c r="G84" s="9"/>
      <c r="H84" s="9"/>
    </row>
    <row r="86">
      <c r="B86" s="2" t="inlineStr">
        <is>
          <t xml:space="preserve">Defined name</t>
        </is>
      </c>
      <c r="C86" s="2" t="inlineStr">
        <is>
          <t xml:space="preserve">Target cell</t>
        </is>
      </c>
      <c r="D86" s="2" t="inlineStr">
        <is>
          <t xml:space="preserve">Meaning</t>
        </is>
      </c>
    </row>
    <row r="87" outlineLevel="1">
      <c r="B87" s="0" t="inlineStr">
        <is>
          <t xml:space="preserve">portfolio_tam_annual</t>
        </is>
      </c>
      <c r="C87" s="0" t="inlineStr">
        <is>
          <t xml:space="preserve">'TAM Build'!C143</t>
        </is>
      </c>
      <c r="D87" s="0" t="inlineStr">
        <is>
          <t xml:space="preserve">average annual portfolio TAM (headline)</t>
        </is>
      </c>
    </row>
    <row r="88" outlineLevel="1">
      <c r="B88" s="0" t="inlineStr">
        <is>
          <t xml:space="preserve">portfolio_tam_cumulative</t>
        </is>
      </c>
      <c r="C88" s="0" t="inlineStr">
        <is>
          <t xml:space="preserve">'TAM Build'!C141</t>
        </is>
      </c>
      <c r="D88" s="0" t="inlineStr">
        <is>
          <t xml:space="preserve">FY22-FY27 cumulative portfolio TAM</t>
        </is>
      </c>
    </row>
    <row r="89" outlineLevel="1">
      <c r="B89" s="0" t="inlineStr">
        <is>
          <t xml:space="preserve">portfolio_tam</t>
        </is>
      </c>
      <c r="C89" s="0" t="inlineStr">
        <is>
          <t xml:space="preserve">'TAM Build'!C141</t>
        </is>
      </c>
      <c r="D89" s="0" t="inlineStr">
        <is>
          <t xml:space="preserve">cumulative portfolio TAM (alias = portfolio_tam_cumulative)</t>
        </is>
      </c>
    </row>
    <row r="90" outlineLevel="1">
      <c r="B90" s="0" t="inlineStr">
        <is>
          <t xml:space="preserve">broad_sam_annual</t>
        </is>
      </c>
      <c r="C90" s="0" t="inlineStr">
        <is>
          <t xml:space="preserve">'SAM Build'!C120</t>
        </is>
      </c>
      <c r="D90" s="0" t="inlineStr">
        <is>
          <t xml:space="preserve">average annual broad component-mfg SAM (headline)</t>
        </is>
      </c>
    </row>
    <row r="91" outlineLevel="1">
      <c r="B91" s="0" t="inlineStr">
        <is>
          <t xml:space="preserve">broad_sam_cumulative</t>
        </is>
      </c>
      <c r="C91" s="0" t="inlineStr">
        <is>
          <t xml:space="preserve">'SAM Build'!D120</t>
        </is>
      </c>
      <c r="D91" s="0" t="inlineStr">
        <is>
          <t xml:space="preserve">FY22-FY27 cumulative broad component-mfg SAM</t>
        </is>
      </c>
    </row>
    <row r="92" outlineLevel="1">
      <c r="B92" s="0" t="inlineStr">
        <is>
          <t xml:space="preserve">sam_broad</t>
        </is>
      </c>
      <c r="C92" s="0" t="inlineStr">
        <is>
          <t xml:space="preserve">'SAM Build'!D120</t>
        </is>
      </c>
      <c r="D92" s="0" t="inlineStr">
        <is>
          <t xml:space="preserve">broad component-mfg SAM (alias = broad_sam_cumulative)</t>
        </is>
      </c>
    </row>
    <row r="93" outlineLevel="1">
      <c r="B93" s="0" t="inlineStr">
        <is>
          <t xml:space="preserve">fiscal_year_count</t>
        </is>
      </c>
      <c r="C93" s="0" t="inlineStr">
        <is>
          <t xml:space="preserve">'TAM Build'!C142</t>
        </is>
      </c>
      <c r="D93" s="0" t="inlineStr">
        <is>
          <t xml:space="preserve">number of fiscal years (FY22-FY27)</t>
        </is>
      </c>
    </row>
    <row r="94" outlineLevel="1">
      <c r="B94" s="0" t="inlineStr">
        <is>
          <t xml:space="preserve">bc_supplier_coeff_va</t>
        </is>
      </c>
      <c r="C94" s="0" t="inlineStr">
        <is>
          <t xml:space="preserve">'TAM Build'!C62</t>
        </is>
      </c>
      <c r="D94" s="0" t="inlineStr">
        <is>
          <t xml:space="preserve">applied Virginia BC coefficient (Block V announced POP)</t>
        </is>
      </c>
    </row>
    <row r="95" outlineLevel="1">
      <c r="B95" s="0" t="inlineStr">
        <is>
          <t xml:space="preserve">bc_supplier_coeff_col</t>
        </is>
      </c>
      <c r="C95" s="0" t="inlineStr">
        <is>
          <t xml:space="preserve">'TAM Build'!C63</t>
        </is>
      </c>
      <c r="D95" s="0" t="inlineStr">
        <is>
          <t xml:space="preserve">applied Columbia BC coefficient (Build I announced POP)</t>
        </is>
      </c>
    </row>
    <row r="96" outlineLevel="1">
      <c r="B96" s="0" t="inlineStr">
        <is>
          <t xml:space="preserve">ap_lltm_supplier_coeff</t>
        </is>
      </c>
      <c r="C96" s="0" t="inlineStr">
        <is>
          <t xml:space="preserve">'TAM Build'!C65</t>
        </is>
      </c>
      <c r="D96" s="0" t="inlineStr">
        <is>
          <t xml:space="preserve">AP/LLTM reference coefficient</t>
        </is>
      </c>
    </row>
    <row r="99">
      <c r="A99" s="0" t="inlineStr">
        <is>
          <t xml:space="preserve">x</t>
        </is>
      </c>
      <c r="B99" s="9" t="inlineStr">
        <is>
          <t xml:space="preserve">§4 - Register coverage</t>
        </is>
      </c>
      <c r="C99" s="9"/>
      <c r="D99" s="9"/>
      <c r="E99" s="9"/>
      <c r="F99" s="9"/>
      <c r="G99" s="9"/>
      <c r="H99" s="9"/>
    </row>
    <row r="101">
      <c r="B101" s="2" t="inlineStr">
        <is>
          <t xml:space="preserve">Category</t>
        </is>
      </c>
      <c r="C101" s="22" t="inlineStr">
        <is>
          <t xml:space="preserve">Figure count</t>
        </is>
      </c>
    </row>
    <row r="102" outlineLevel="1">
      <c r="B102" s="0" t="inlineStr">
        <is>
          <t xml:space="preserve">Headline TAM</t>
        </is>
      </c>
      <c r="C102" s="0">
        <v>2</v>
      </c>
    </row>
    <row r="103" outlineLevel="1">
      <c r="B103" s="0" t="inlineStr">
        <is>
          <t xml:space="preserve">Supplier coefficients</t>
        </is>
      </c>
      <c r="C103" s="0">
        <v>3</v>
      </c>
    </row>
    <row r="104" outlineLevel="1">
      <c r="B104" s="0" t="inlineStr">
        <is>
          <t xml:space="preserve">POP corpus</t>
        </is>
      </c>
      <c r="C104" s="0">
        <v>1</v>
      </c>
    </row>
    <row r="105" outlineLevel="1">
      <c r="B105" s="0" t="inlineStr">
        <is>
          <t xml:space="preserve">Exclusions</t>
        </is>
      </c>
      <c r="C105" s="0">
        <v>2</v>
      </c>
    </row>
    <row r="106" outlineLevel="1">
      <c r="B106" s="0" t="inlineStr">
        <is>
          <t xml:space="preserve">Supplier-addressable base</t>
        </is>
      </c>
      <c r="C106" s="0">
        <v>1</v>
      </c>
    </row>
    <row r="107" outlineLevel="1">
      <c r="B107" s="0" t="inlineStr">
        <is>
          <t xml:space="preserve">Bucket TAM</t>
        </is>
      </c>
      <c r="C107" s="0">
        <v>9</v>
      </c>
    </row>
    <row r="108" outlineLevel="1">
      <c r="B108" s="0" t="inlineStr">
        <is>
          <t xml:space="preserve">SAM scenarios</t>
        </is>
      </c>
      <c r="C108" s="0">
        <v>10</v>
      </c>
    </row>
    <row r="109" outlineLevel="1">
      <c r="B109" s="0" t="inlineStr">
        <is>
          <t xml:space="preserve">Annual TAM</t>
        </is>
      </c>
      <c r="C109" s="0">
        <v>6</v>
      </c>
    </row>
    <row r="110" outlineLevel="1">
      <c r="B110" s="0" t="inlineStr">
        <is>
          <t xml:space="preserve">BC base / POP removal / AP bridge</t>
        </is>
      </c>
      <c r="C110" s="0">
        <v>7</v>
      </c>
    </row>
    <row r="111" outlineLevel="1">
      <c r="B111" s="0" t="inlineStr">
        <is>
          <t xml:space="preserve">OBBBA mandatory</t>
        </is>
      </c>
      <c r="C111" s="0">
        <v>5</v>
      </c>
    </row>
  </sheetData>
  <tableParts count="1">
    <tablePart r:id="rId1"/>
  </tableParts>
</worksheet>
</file>

<file path=xl/worksheets/sheet18.xml><?xml version="1.0" encoding="utf-8"?>
<worksheet xmlns="http://schemas.openxmlformats.org/spreadsheetml/2006/main" xmlns:r="http://schemas.openxmlformats.org/officeDocument/2006/relationships">
  <sheetPr>
    <tabColor rgb="FF6E6E6E"/>
    <outlinePr summaryBelow="0"/>
  </sheetPr>
  <sheetViews>
    <sheetView showGridLines="0" workbookViewId="0" showOutlineSymbols="0"/>
  </sheetViews>
  <sheetFormatPr defaultRowHeight="10" customHeight="1"/>
  <cols>
    <col min="1" max="1" width="2.2109375" customWidth="1"/>
    <col min="2" max="2" width="16" customWidth="1"/>
    <col min="3" max="3" width="40" customWidth="1"/>
    <col min="4" max="4" width="14" customWidth="1"/>
    <col min="5" max="5" width="14" customWidth="1"/>
    <col min="6" max="6" width="16" customWidth="1"/>
  </cols>
  <sheetData>
    <row r="1"/>
    <row r="2">
      <c r="B2" s="8" t="inlineStr">
        <is>
          <t xml:space="preserve">SIB Excluded</t>
        </is>
      </c>
      <c r="C2" s="8"/>
      <c r="D2" s="8"/>
      <c r="E2" s="8"/>
      <c r="F2" s="8"/>
    </row>
    <row r="4">
      <c r="B4" s="9" t="inlineStr">
        <is>
          <t xml:space="preserve">§1 - SIB exclusion</t>
        </is>
      </c>
      <c r="C4" s="9"/>
      <c r="D4" s="9"/>
      <c r="E4" s="9"/>
      <c r="F4" s="9"/>
    </row>
    <row r="6">
      <c r="B6" s="2" t="inlineStr">
        <is>
          <t xml:space="preserve">Measure</t>
        </is>
      </c>
      <c r="C6" s="22" t="inlineStr">
        <is>
          <t xml:space="preserve">Value</t>
        </is>
      </c>
    </row>
    <row r="7">
      <c r="B7" s="1" t="inlineStr">
        <is>
          <t xml:space="preserve">Total SIB exclusion $M</t>
        </is>
      </c>
      <c r="C7" s="4">
        <f>'SIB Excluded'!D17</f>
      </c>
    </row>
    <row r="8">
      <c r="B8" s="0" t="inlineStr">
        <is>
          <t xml:space="preserve">Number of SIB entities</t>
        </is>
      </c>
      <c r="C8" s="0">
        <v>3</v>
      </c>
    </row>
    <row r="11">
      <c r="A11" s="0" t="inlineStr">
        <is>
          <t xml:space="preserve">x</t>
        </is>
      </c>
      <c r="B11" s="9" t="inlineStr">
        <is>
          <t xml:space="preserve">§2 - SIB exclusion (capacity grants, not construction outsourcing)</t>
        </is>
      </c>
      <c r="C11" s="9"/>
      <c r="D11" s="9"/>
      <c r="E11" s="9"/>
      <c r="F11" s="9"/>
    </row>
    <row r="13">
      <c r="B13" s="2" t="inlineStr">
        <is>
          <t xml:space="preserve">UEI</t>
        </is>
      </c>
      <c r="C13" s="2" t="inlineStr">
        <is>
          <t xml:space="preserve">Display name</t>
        </is>
      </c>
      <c r="D13" s="22" t="inlineStr">
        <is>
          <t xml:space="preserve">Total $M</t>
        </is>
      </c>
      <c r="E13" s="22" t="inlineStr">
        <is>
          <t xml:space="preserve">Action count</t>
        </is>
      </c>
      <c r="F13" s="22" t="inlineStr">
        <is>
          <t xml:space="preserve">% of SIB total</t>
        </is>
      </c>
    </row>
    <row r="14" outlineLevel="1">
      <c r="B14" s="0" t="inlineStr">
        <is>
          <t xml:space="preserve">F8PEZKXES8B1</t>
        </is>
      </c>
      <c r="C14" s="0" t="inlineStr">
        <is>
          <t xml:space="preserve">BlueForge Alliance</t>
        </is>
      </c>
      <c r="D14" s="5">
        <v>4173.27</v>
      </c>
      <c r="E14" s="0">
        <v>8</v>
      </c>
      <c r="F14" s="6">
        <f>D14/D17</f>
      </c>
    </row>
    <row r="15" outlineLevel="1">
      <c r="B15" s="0" t="inlineStr">
        <is>
          <t xml:space="preserve">QLJZVM6XKR71</t>
        </is>
      </c>
      <c r="C15" s="0" t="inlineStr">
        <is>
          <t xml:space="preserve">Training Modernization Group, Inc.</t>
        </is>
      </c>
      <c r="D15" s="5">
        <v>77.03</v>
      </c>
      <c r="E15" s="0">
        <v>7</v>
      </c>
      <c r="F15" s="6">
        <f>D15/D17</f>
      </c>
    </row>
    <row r="16" outlineLevel="1">
      <c r="B16" s="0" t="inlineStr">
        <is>
          <t xml:space="preserve">TCM3R4JPRKY4</t>
        </is>
      </c>
      <c r="C16" s="0" t="inlineStr">
        <is>
          <t xml:space="preserve">Institute for Advanced Learning and Research</t>
        </is>
      </c>
      <c r="D16" s="5">
        <v>1.502999109999763</v>
      </c>
      <c r="E16" s="0">
        <v>1</v>
      </c>
      <c r="F16" s="6">
        <f>D16/D17</f>
      </c>
    </row>
    <row r="17">
      <c r="B17" s="16"/>
      <c r="C17" s="3" t="inlineStr">
        <is>
          <t xml:space="preserve">Total (SIB exclusion)</t>
        </is>
      </c>
      <c r="D17" s="13">
        <f>SUM(D14:D16)</f>
      </c>
      <c r="E17" s="16">
        <f>SUM(E14:E16)</f>
      </c>
      <c r="F17" s="14">
        <f>SUM(F14:F16)</f>
      </c>
    </row>
  </sheetData>
</worksheet>
</file>

<file path=xl/worksheets/sheet19.xml><?xml version="1.0" encoding="utf-8"?>
<worksheet xmlns="http://schemas.openxmlformats.org/spreadsheetml/2006/main" xmlns:r="http://schemas.openxmlformats.org/officeDocument/2006/relationships">
  <sheetPr>
    <tabColor rgb="FF6E6E6E"/>
    <outlinePr summaryBelow="0"/>
  </sheetPr>
  <sheetViews>
    <sheetView showGridLines="0" workbookViewId="0" showOutlineSymbols="0"/>
  </sheetViews>
  <sheetFormatPr defaultRowHeight="10" customHeight="1"/>
  <cols>
    <col min="1" max="1" width="2.2109375" customWidth="1"/>
    <col min="2" max="2" width="44" customWidth="1"/>
    <col min="3" max="3" width="16" customWidth="1"/>
  </cols>
  <sheetData>
    <row r="1"/>
    <row r="2">
      <c r="B2" s="8" t="inlineStr">
        <is>
          <t xml:space="preserve">Sensitivity</t>
        </is>
      </c>
      <c r="C2" s="8"/>
    </row>
    <row r="4">
      <c r="B4" s="9" t="inlineStr">
        <is>
          <t xml:space="preserve">§1 - The swings</t>
        </is>
      </c>
      <c r="C4" s="9"/>
    </row>
    <row r="6">
      <c r="B6" s="2" t="inlineStr">
        <is>
          <t xml:space="preserve">Measure</t>
        </is>
      </c>
      <c r="C6" s="22" t="inlineStr">
        <is>
          <t xml:space="preserve">Value</t>
        </is>
      </c>
    </row>
    <row r="7">
      <c r="B7" s="1" t="inlineStr">
        <is>
          <t xml:space="preserve">Pooled corpus supplier coefficient (reference)</t>
        </is>
      </c>
      <c r="C7" s="12">
        <f>'TAM Build'!C64</f>
      </c>
    </row>
    <row r="8">
      <c r="B8" s="0" t="inlineStr">
        <is>
          <t xml:space="preserve">AP/LLTM reference coefficient</t>
        </is>
      </c>
      <c r="C8" s="12">
        <f>'TAM Build'!C65</f>
      </c>
    </row>
    <row r="9">
      <c r="B9" s="0" t="inlineStr">
        <is>
          <t xml:space="preserve">Pre-boundary sensitivity TAM $M</t>
        </is>
      </c>
      <c r="C9" s="4">
        <f>'Sensitivity'!C33</f>
      </c>
    </row>
    <row r="10">
      <c r="B10" s="0" t="inlineStr">
        <is>
          <t xml:space="preserve">Real P-10 gross AP $M (reference)</t>
        </is>
      </c>
      <c r="C10" s="4">
        <f>'Sensitivity'!C34</f>
      </c>
    </row>
    <row r="13">
      <c r="A13" s="0" t="inlineStr">
        <is>
          <t xml:space="preserve">x</t>
        </is>
      </c>
      <c r="B13" s="9" t="inlineStr">
        <is>
          <t xml:space="preserve">§2 - Coefficient ladder (the swings that move TAM/SAM)</t>
        </is>
      </c>
      <c r="C13" s="9"/>
    </row>
    <row r="15">
      <c r="B15" s="2" t="inlineStr">
        <is>
          <t xml:space="preserve">Variant</t>
        </is>
      </c>
      <c r="C15" s="22" t="inlineStr">
        <is>
          <t xml:space="preserve">Value</t>
        </is>
      </c>
    </row>
    <row r="16" outlineLevel="1">
      <c r="B16" s="0" t="inlineStr">
        <is>
          <t xml:space="preserve">All-gated POP anchor (not applied)</t>
        </is>
      </c>
      <c r="C16" s="6">
        <f>IF(SUMPRODUCT('POP Corpus'!H17:H674*'POP Corpus'!K17:K674)=0,"",SUMPRODUCT('POP Corpus'!H17:H674*'POP Corpus'!K17:K674*('POP Corpus'!N17:N674+'POP Corpus'!O17:O674))/SUMPRODUCT('POP Corpus'!H17:H674*'POP Corpus'!K17:K674))</f>
      </c>
    </row>
    <row r="17" outlineLevel="1">
      <c r="B17" s="1" t="inlineStr">
        <is>
          <t xml:space="preserve">Pooled corpus coeff (non-nuclear; reference)</t>
        </is>
      </c>
      <c r="C17" s="12">
        <f>'TAM Build'!C64</f>
      </c>
    </row>
    <row r="18" outlineLevel="1">
      <c r="B18" s="1" t="inlineStr">
        <is>
          <t xml:space="preserve">AP/LLTM coeff (reference; base=0)</t>
        </is>
      </c>
      <c r="C18" s="12">
        <f>'TAM Build'!C65</f>
      </c>
    </row>
    <row r="19" outlineLevel="1">
      <c r="B19" s="0" t="inlineStr">
        <is>
          <t xml:space="preserve">BC - AP/LLTM delta</t>
        </is>
      </c>
      <c r="C19" s="6">
        <f>C17-C18</f>
      </c>
    </row>
    <row r="21">
      <c r="A21" s="0" t="inlineStr">
        <is>
          <t xml:space="preserve">x</t>
        </is>
      </c>
      <c r="B21" s="10" t="inlineStr">
        <is>
          <t xml:space="preserve">§2a - Nuclear-boundary BPMI exclusion (corpus measure)</t>
        </is>
      </c>
      <c r="C21" s="10"/>
    </row>
    <row r="23">
      <c r="B23" s="2" t="inlineStr">
        <is>
          <t xml:space="preserve">BC coefficient under each attribution</t>
        </is>
      </c>
      <c r="C23" s="22" t="inlineStr">
        <is>
          <t xml:space="preserve">Value</t>
        </is>
      </c>
    </row>
    <row r="24" outlineLevel="1">
      <c r="B24" s="0" t="inlineStr">
        <is>
          <t xml:space="preserve">BC coeff incl. BPMI (sensitivity)</t>
        </is>
      </c>
      <c r="C24" s="6">
        <f>IF(SUMPRODUCT('POP Corpus'!H17:H674*'POP Corpus'!J17:J674*((1-'POP Corpus'!I17:I674)*('POP Corpus'!G17:G674="BC")+('POP Corpus'!D17:D674="bpmi_nuclear"))*'POP Corpus'!K17:K674)=0,"",SUMPRODUCT('POP Corpus'!H17:H674*'POP Corpus'!J17:J674*((1-'POP Corpus'!I17:I674)*('POP Corpus'!G17:G674="BC")+('POP Corpus'!D17:D674="bpmi_nuclear"))*'POP Corpus'!K17:K674*('POP Corpus'!N17:N674+'POP Corpus'!O17:O674))/SUMPRODUCT('POP Corpus'!H17:H674*'POP Corpus'!J17:J674*((1-'POP Corpus'!I17:I674)*('POP Corpus'!G17:G674="BC")+('POP Corpus'!D17:D674="bpmi_nuclear"))*'POP Corpus'!K17:K674))</f>
      </c>
    </row>
    <row r="25" outlineLevel="1">
      <c r="B25" s="1" t="inlineStr">
        <is>
          <t xml:space="preserve">Pooled corpus coeff (BPMI excluded; reference)</t>
        </is>
      </c>
      <c r="C25" s="12">
        <f>'TAM Build'!C64</f>
      </c>
    </row>
    <row r="26" outlineLevel="1">
      <c r="B26" s="0" t="inlineStr">
        <is>
          <t xml:space="preserve">BC swing (BPMI removal)</t>
        </is>
      </c>
      <c r="C26" s="6">
        <f>C24-C25</f>
      </c>
    </row>
    <row r="27" outlineLevel="1">
      <c r="B27" s="0" t="inlineStr">
        <is>
          <t xml:space="preserve">BPMI $ (now GFE-excluded)</t>
        </is>
      </c>
      <c r="C27" s="4">
        <f>SUMPRODUCT('POP Corpus'!H17:H674*('POP Corpus'!D17:D674="bpmi_nuclear")*'POP Corpus'!K17:K674)</f>
      </c>
    </row>
    <row r="29">
      <c r="A29" s="0" t="inlineStr">
        <is>
          <t xml:space="preserve">x</t>
        </is>
      </c>
      <c r="B29" s="10" t="inlineStr">
        <is>
          <t xml:space="preserve">§2b - TAM impact (headline vs pre-boundary sensitivity; AP base=0)</t>
        </is>
      </c>
      <c r="C29" s="10"/>
    </row>
    <row r="31">
      <c r="B31" s="2" t="inlineStr">
        <is>
          <t xml:space="preserve">Measure</t>
        </is>
      </c>
      <c r="C31" s="22" t="inlineStr">
        <is>
          <t xml:space="preserve">$M</t>
        </is>
      </c>
    </row>
    <row r="32" outlineLevel="1">
      <c r="B32" s="1" t="inlineStr">
        <is>
          <t xml:space="preserve">Headline non-nuclear supplier TAM (cum.)</t>
        </is>
      </c>
      <c r="C32" s="4">
        <f>N('TAM Build'!C132)+N('TAM Build'!D132)+N('TAM Build'!E132)+N('TAM Build'!F132)+N('TAM Build'!G132)+N('TAM Build'!H132)</f>
      </c>
    </row>
    <row r="33" outlineLevel="1">
      <c r="B33" s="0" t="inlineStr">
        <is>
          <t xml:space="preserve">Pre-boundary sensitivity TAM</t>
        </is>
      </c>
      <c r="C33" s="4">
        <f>C32*(C24/C25)</f>
      </c>
    </row>
    <row r="34" outlineLevel="1">
      <c r="B34" s="0" t="inlineStr">
        <is>
          <t xml:space="preserve">Real P-10 gross AP (FY22-27, ref)</t>
        </is>
      </c>
      <c r="C34" s="4">
        <f>N('Assumptions'!C39)+N('Assumptions'!D39)+N('Assumptions'!E39)+N('Assumptions'!F39)+N('Assumptions'!G39)+N('Assumptions'!H39)+N('Assumptions'!C40)+N('Assumptions'!D40)+N('Assumptions'!E40)+N('Assumptions'!F40)+N('Assumptions'!G40)+N('Assumptions'!H40)</f>
      </c>
    </row>
    <row r="37">
      <c r="A37" s="0" t="inlineStr">
        <is>
          <t xml:space="preserve">x</t>
        </is>
      </c>
      <c r="B37" s="9" t="inlineStr">
        <is>
          <t xml:space="preserve">§3 - Sensitivity guardrails</t>
        </is>
      </c>
      <c r="C37" s="9"/>
    </row>
    <row r="39" outlineLevel="1">
      <c r="B39" s="0" t="inlineStr">
        <is>
          <t xml:space="preserve">Sensitivity values are not headline.</t>
        </is>
      </c>
    </row>
    <row r="40" outlineLevel="1">
      <c r="B40" s="0" t="inlineStr">
        <is>
          <t xml:space="preserve">The BPMI-included coefficient (~75.7%) is not applied.</t>
        </is>
      </c>
    </row>
    <row r="41" outlineLevel="1">
      <c r="B41" s="0" t="inlineStr">
        <is>
          <t xml:space="preserve">The AP/LLTM coefficient is reference-only while the additive base is zero.</t>
        </is>
      </c>
    </row>
    <row r="44">
      <c r="A44" s="0" t="inlineStr">
        <is>
          <t xml:space="preserve">x</t>
        </is>
      </c>
      <c r="B44" s="9" t="inlineStr">
        <is>
          <t xml:space="preserve">§4 - VLS launch-control sensitivity (boundary launcher electronics: out vs in)</t>
        </is>
      </c>
      <c r="C44" s="9"/>
    </row>
    <row r="46">
      <c r="B46" s="2" t="inlineStr">
        <is>
          <t xml:space="preserve">Measure</t>
        </is>
      </c>
      <c r="C46" s="22" t="inlineStr">
        <is>
          <t xml:space="preserve">$M</t>
        </is>
      </c>
    </row>
    <row r="47" outlineLevel="1">
      <c r="B47" s="1" t="inlineStr">
        <is>
          <t xml:space="preserve">Physical supplier base (VLS launch-control OUT - base case)</t>
        </is>
      </c>
      <c r="C47" s="4">
        <f>'Entity Master'!C972-'Entity Master'!C971</f>
      </c>
    </row>
    <row r="48" outlineLevel="1">
      <c r="B48" s="0" t="inlineStr">
        <is>
          <t xml:space="preserve">+ VLS launch-control boundary (mission_systems)</t>
        </is>
      </c>
      <c r="C48" s="4">
        <f>'Entity Master'!C979</f>
      </c>
    </row>
    <row r="49" outlineLevel="1">
      <c r="B49" s="1" t="inlineStr">
        <is>
          <t xml:space="preserve">= Physical supplier base (VLS launch-control IN - sensitivity)</t>
        </is>
      </c>
      <c r="C49" s="4">
        <f>C47+C48</f>
      </c>
    </row>
  </sheetData>
</worksheet>
</file>

<file path=xl/worksheets/sheet20.xml><?xml version="1.0" encoding="utf-8"?>
<worksheet xmlns="http://schemas.openxmlformats.org/spreadsheetml/2006/main" xmlns:r="http://schemas.openxmlformats.org/officeDocument/2006/relationships">
  <sheetPr>
    <tabColor rgb="FF6E6E6E"/>
    <outlinePr summaryBelow="0"/>
  </sheetPr>
  <sheetViews>
    <sheetView showGridLines="0" workbookViewId="0" showOutlineSymbols="0"/>
  </sheetViews>
  <sheetFormatPr defaultRowHeight="10" customHeight="1"/>
  <cols>
    <col min="1" max="1" width="2.2109375" customWidth="1"/>
    <col min="2" max="2" width="34" customWidth="1"/>
    <col min="3" max="3" width="14" customWidth="1"/>
    <col min="4" max="4" width="14" customWidth="1"/>
    <col min="5" max="5" width="30" customWidth="1"/>
    <col min="6" max="6" width="14" customWidth="1"/>
    <col min="7" max="7" width="14" customWidth="1"/>
    <col min="8" max="8" width="12" customWidth="1"/>
  </cols>
  <sheetData>
    <row r="1"/>
    <row r="2">
      <c r="B2" s="8" t="inlineStr">
        <is>
          <t xml:space="preserve">POP Source Audit</t>
        </is>
      </c>
      <c r="C2" s="8"/>
      <c r="D2" s="8"/>
      <c r="E2" s="8"/>
      <c r="F2" s="8"/>
      <c r="G2" s="8"/>
      <c r="H2" s="8"/>
    </row>
    <row r="4">
      <c r="B4" s="9" t="inlineStr">
        <is>
          <t xml:space="preserve">§1 - Confirmation &amp; risk</t>
        </is>
      </c>
      <c r="C4" s="9"/>
      <c r="D4" s="9"/>
      <c r="E4" s="9"/>
      <c r="F4" s="9"/>
      <c r="G4" s="9"/>
      <c r="H4" s="9"/>
    </row>
    <row r="6">
      <c r="B6" s="2" t="inlineStr">
        <is>
          <t xml:space="preserve">Measure</t>
        </is>
      </c>
      <c r="C6" s="22" t="inlineStr">
        <is>
          <t xml:space="preserve">Value</t>
        </is>
      </c>
      <c r="D6" s="2" t="inlineStr">
        <is>
          <t xml:space="preserve">Status / note</t>
        </is>
      </c>
    </row>
    <row r="7">
      <c r="B7" s="1" t="inlineStr">
        <is>
          <t xml:space="preserve">Gated TAM corpus $M</t>
        </is>
      </c>
      <c r="C7" s="4">
        <f>'POP Source Audit'!D18</f>
      </c>
      <c r="D7" s="0" t="inlineStr">
        <is>
          <t xml:space="preserve">the gated POP pool</t>
        </is>
      </c>
    </row>
    <row r="8">
      <c r="B8" s="0" t="inlineStr">
        <is>
          <t xml:space="preserve">In-scope non-GFE $M</t>
        </is>
      </c>
      <c r="C8" s="4">
        <f>'POP Source Audit'!D20</f>
      </c>
      <c r="D8" s="0" t="inlineStr">
        <is>
          <t xml:space="preserve">coefficient corpus</t>
        </is>
      </c>
    </row>
    <row r="9">
      <c r="B9" s="1" t="inlineStr">
        <is>
          <t xml:space="preserve">Confirmation coverage</t>
        </is>
      </c>
      <c r="C9" s="6">
        <f>'POP Source Audit'!C30</f>
      </c>
      <c r="D9" s="0" t="inlineStr">
        <is>
          <t xml:space="preserve">% of in-scope $; target ~90%+</t>
        </is>
      </c>
    </row>
    <row r="10">
      <c r="B10" s="0" t="inlineStr">
        <is>
          <t xml:space="preserve">Unparsed share (gated)</t>
        </is>
      </c>
      <c r="C10" s="6">
        <f>'POP Source Audit'!C31</f>
      </c>
      <c r="D10" s="0" t="inlineStr">
        <is>
          <t xml:space="preserve">&gt;1-2% warrants review</t>
        </is>
      </c>
    </row>
    <row r="11">
      <c r="B11" s="0" t="inlineStr">
        <is>
          <t xml:space="preserve">Largest-action concentration</t>
        </is>
      </c>
      <c r="C11" s="6">
        <f>'POP Source Audit'!C32</f>
      </c>
      <c r="D11" s="0" t="inlineStr">
        <is>
          <t xml:space="preserve">top action / gated pool</t>
        </is>
      </c>
    </row>
    <row r="12">
      <c r="B12" s="0" t="inlineStr">
        <is>
          <t xml:space="preserve">Stream partition check</t>
        </is>
      </c>
      <c r="C12" s="0">
        <f>'POP Source Audit'!C33</f>
      </c>
      <c r="D12" s="0" t="inlineStr">
        <is>
          <t xml:space="preserve">in-scope conf = BC + AP</t>
        </is>
      </c>
    </row>
    <row r="15">
      <c r="A15" s="0" t="inlineStr">
        <is>
          <t xml:space="preserve">x</t>
        </is>
      </c>
      <c r="B15" s="9" t="inlineStr">
        <is>
          <t xml:space="preserve">§2 - Confirmation coverage (gated corpus)</t>
        </is>
      </c>
      <c r="C15" s="9"/>
      <c r="D15" s="9"/>
      <c r="E15" s="9"/>
      <c r="F15" s="9"/>
      <c r="G15" s="9"/>
      <c r="H15" s="9"/>
    </row>
    <row r="17">
      <c r="B17" s="2" t="inlineStr">
        <is>
          <t xml:space="preserve">Metric</t>
        </is>
      </c>
      <c r="C17" s="22" t="inlineStr">
        <is>
          <t xml:space="preserve">Actions</t>
        </is>
      </c>
      <c r="D17" s="22" t="inlineStr">
        <is>
          <t xml:space="preserve">$M</t>
        </is>
      </c>
    </row>
    <row r="18" outlineLevel="1">
      <c r="B18" s="1" t="inlineStr">
        <is>
          <t xml:space="preserve">Gated TAM corpus</t>
        </is>
      </c>
      <c r="C18" s="4">
        <f>SUMPRODUCT('POP Corpus'!H17:H674)</f>
      </c>
      <c r="D18" s="4">
        <f>SUMPRODUCT('POP Corpus'!H17:H674*'POP Corpus'!K17:K674)</f>
      </c>
    </row>
    <row r="19" outlineLevel="1">
      <c r="B19" s="20" t="inlineStr">
        <is>
          <t xml:space="preserve">less: GFE / excluded</t>
        </is>
      </c>
      <c r="C19" s="4">
        <f>SUMPRODUCT('POP Corpus'!H17:H674*'POP Corpus'!I17:I674)</f>
      </c>
      <c r="D19" s="4">
        <f>SUMPRODUCT('POP Corpus'!H17:H674*'POP Corpus'!I17:I674*'POP Corpus'!K17:K674)</f>
      </c>
    </row>
    <row r="20" outlineLevel="1">
      <c r="B20" s="1" t="inlineStr">
        <is>
          <t xml:space="preserve">In-scope (non-GFE)</t>
        </is>
      </c>
      <c r="C20" s="4">
        <f>SUMPRODUCT('POP Corpus'!H17:H674*(1-'POP Corpus'!I17:I674))</f>
      </c>
      <c r="D20" s="4">
        <f>SUMPRODUCT('POP Corpus'!H17:H674*(1-'POP Corpus'!I17:I674)*'POP Corpus'!K17:K674)</f>
      </c>
    </row>
    <row r="21" outlineLevel="1">
      <c r="B21" s="20" t="inlineStr">
        <is>
          <t xml:space="preserve">confirmed</t>
        </is>
      </c>
      <c r="C21" s="4">
        <f>SUMPRODUCT('POP Corpus'!H17:H674*(1-'POP Corpus'!I17:I674)*'POP Corpus'!J17:J674)</f>
      </c>
      <c r="D21" s="4">
        <f>SUMPRODUCT('POP Corpus'!H17:H674*(1-'POP Corpus'!I17:I674)*'POP Corpus'!J17:J674*'POP Corpus'!K17:K674)</f>
      </c>
    </row>
    <row r="22" outlineLevel="1">
      <c r="B22" s="20" t="inlineStr">
        <is>
          <t xml:space="preserve">unresolved</t>
        </is>
      </c>
      <c r="C22" s="4">
        <f>SUMPRODUCT('POP Corpus'!H17:H674*(1-'POP Corpus'!I17:I674)*(1-'POP Corpus'!J17:J674))</f>
      </c>
      <c r="D22" s="4">
        <f>SUMPRODUCT('POP Corpus'!H17:H674*(1-'POP Corpus'!I17:I674)*(1-'POP Corpus'!J17:J674)*'POP Corpus'!K17:K674)</f>
      </c>
    </row>
    <row r="23" outlineLevel="1">
      <c r="B23" s="0" t="inlineStr">
        <is>
          <t xml:space="preserve">BC stream (confirmed)</t>
        </is>
      </c>
      <c r="C23" s="4">
        <f>SUMPRODUCT('POP Corpus'!H17:H674*(1-'POP Corpus'!I17:I674)*'POP Corpus'!J17:J674*('POP Corpus'!G17:G674="BC"))</f>
      </c>
      <c r="D23" s="4">
        <f>SUMPRODUCT('POP Corpus'!H17:H674*(1-'POP Corpus'!I17:I674)*'POP Corpus'!J17:J674*('POP Corpus'!G17:G674="BC")*'POP Corpus'!K17:K674)</f>
      </c>
    </row>
    <row r="24" outlineLevel="1">
      <c r="B24" s="0" t="inlineStr">
        <is>
          <t xml:space="preserve">AP/LLTM (confirmed)</t>
        </is>
      </c>
      <c r="C24" s="4">
        <f>SUMPRODUCT('POP Corpus'!H17:H674*(1-'POP Corpus'!I17:I674)*'POP Corpus'!J17:J674*('POP Corpus'!G17:G674="AP_LLTM"))</f>
      </c>
      <c r="D24" s="4">
        <f>SUMPRODUCT('POP Corpus'!H17:H674*(1-'POP Corpus'!I17:I674)*'POP Corpus'!J17:J674*('POP Corpus'!G17:G674="AP_LLTM")*'POP Corpus'!K17:K674)</f>
      </c>
    </row>
    <row r="25" outlineLevel="1">
      <c r="B25" s="0" t="inlineStr">
        <is>
          <t xml:space="preserve">Redacted / missing-$</t>
        </is>
      </c>
      <c r="C25" s="4">
        <f>SUMPRODUCT('POP Corpus'!H17:H674*('POP Corpus'!K17:K674=0))</f>
      </c>
      <c r="D25" s="4">
        <f>SUMPRODUCT('POP Corpus'!H17:H674*('POP Corpus'!K17:K674=0)*'POP Corpus'!K17:K674)</f>
      </c>
    </row>
    <row r="27">
      <c r="A27" s="0" t="inlineStr">
        <is>
          <t xml:space="preserve">x</t>
        </is>
      </c>
      <c r="B27" s="10" t="inlineStr">
        <is>
          <t xml:space="preserve">§2a - Risk ratios</t>
        </is>
      </c>
      <c r="C27" s="10"/>
      <c r="D27" s="10"/>
      <c r="E27" s="10"/>
      <c r="F27" s="10"/>
      <c r="G27" s="10"/>
      <c r="H27" s="10"/>
    </row>
    <row r="29">
      <c r="B29" s="2" t="inlineStr">
        <is>
          <t xml:space="preserve">Ratio</t>
        </is>
      </c>
      <c r="C29" s="22" t="inlineStr">
        <is>
          <t xml:space="preserve">Value</t>
        </is>
      </c>
    </row>
    <row r="30" outlineLevel="1">
      <c r="B30" s="0" t="inlineStr">
        <is>
          <t xml:space="preserve">Confirmation coverage</t>
        </is>
      </c>
      <c r="C30" s="6">
        <f>D21/D20</f>
      </c>
    </row>
    <row r="31" outlineLevel="1">
      <c r="B31" s="0" t="inlineStr">
        <is>
          <t xml:space="preserve">Unparsed share (gated)</t>
        </is>
      </c>
      <c r="C31" s="6">
        <f>SUMPRODUCT('POP Corpus'!H17:H674*'POP Corpus'!K17:K674*(1-'POP Corpus'!L17:L674-'POP Corpus'!M17:M674-'POP Corpus'!N17:N674-'POP Corpus'!O17:O674))/D18</f>
      </c>
    </row>
    <row r="32" outlineLevel="1">
      <c r="B32" s="0" t="inlineStr">
        <is>
          <t xml:space="preserve">Largest-action conc.</t>
        </is>
      </c>
      <c r="C32" s="6">
        <f>'POP Corpus'!K18/D18</f>
      </c>
    </row>
    <row r="33" outlineLevel="1">
      <c r="B33" s="0" t="inlineStr">
        <is>
          <t xml:space="preserve">Stream partition check</t>
        </is>
      </c>
      <c r="C33" s="0">
        <f>IF(ABS(D21-(D23+D24))&lt;0.1,"OK","FAIL")</f>
      </c>
    </row>
    <row r="35">
      <c r="A35" s="0" t="inlineStr">
        <is>
          <t xml:space="preserve">x</t>
        </is>
      </c>
      <c r="B35" s="10" t="inlineStr">
        <is>
          <t xml:space="preserve">§2b - High-$ action register (top 10 by $, Tier-1 confirmed)</t>
        </is>
      </c>
      <c r="C35" s="10"/>
      <c r="D35" s="10"/>
      <c r="E35" s="10"/>
      <c r="F35" s="10"/>
      <c r="G35" s="10"/>
      <c r="H35" s="10"/>
    </row>
    <row r="37">
      <c r="B37" s="22" t="inlineStr">
        <is>
          <t xml:space="preserve">Rank</t>
        </is>
      </c>
      <c r="C37" s="2" t="inlineStr">
        <is>
          <t xml:space="preserve">PIID</t>
        </is>
      </c>
      <c r="D37" s="2" t="inlineStr">
        <is>
          <t xml:space="preserve">Program</t>
        </is>
      </c>
      <c r="E37" s="22" t="inlineStr">
        <is>
          <t xml:space="preserve">$M</t>
        </is>
      </c>
      <c r="F37" s="2" t="inlineStr">
        <is>
          <t xml:space="preserve">Stream</t>
        </is>
      </c>
      <c r="G37" s="2" t="inlineStr">
        <is>
          <t xml:space="preserve">Scope Class</t>
        </is>
      </c>
      <c r="H37" s="22" t="inlineStr">
        <is>
          <t xml:space="preserve">Conf</t>
        </is>
      </c>
    </row>
    <row r="38" outlineLevel="1">
      <c r="B38" s="0">
        <v>1</v>
      </c>
      <c r="C38" s="0">
        <f>'POP Corpus'!C18</f>
      </c>
      <c r="D38" s="0">
        <f>'POP Corpus'!D18</f>
      </c>
      <c r="E38" s="11">
        <f>'POP Corpus'!K18</f>
      </c>
      <c r="F38" s="0">
        <f>'POP Corpus'!G18</f>
      </c>
      <c r="G38" s="0">
        <f>'POP Corpus'!F18</f>
      </c>
      <c r="H38" s="11">
        <f>'POP Corpus'!J18</f>
      </c>
    </row>
    <row r="39" outlineLevel="1">
      <c r="B39" s="0">
        <v>2</v>
      </c>
      <c r="C39" s="0">
        <f>'POP Corpus'!C23</f>
      </c>
      <c r="D39" s="0">
        <f>'POP Corpus'!D23</f>
      </c>
      <c r="E39" s="11">
        <f>'POP Corpus'!K23</f>
      </c>
      <c r="F39" s="0">
        <f>'POP Corpus'!G23</f>
      </c>
      <c r="G39" s="0">
        <f>'POP Corpus'!F23</f>
      </c>
      <c r="H39" s="11">
        <f>'POP Corpus'!J23</f>
      </c>
    </row>
    <row r="40" outlineLevel="1">
      <c r="B40" s="0">
        <v>3</v>
      </c>
      <c r="C40" s="0">
        <f>'POP Corpus'!C24</f>
      </c>
      <c r="D40" s="0">
        <f>'POP Corpus'!D24</f>
      </c>
      <c r="E40" s="11">
        <f>'POP Corpus'!K24</f>
      </c>
      <c r="F40" s="0">
        <f>'POP Corpus'!G24</f>
      </c>
      <c r="G40" s="0">
        <f>'POP Corpus'!F24</f>
      </c>
      <c r="H40" s="11">
        <f>'POP Corpus'!J24</f>
      </c>
    </row>
    <row r="41" outlineLevel="1">
      <c r="B41" s="0">
        <v>4</v>
      </c>
      <c r="C41" s="0">
        <f>'POP Corpus'!C31</f>
      </c>
      <c r="D41" s="0">
        <f>'POP Corpus'!D31</f>
      </c>
      <c r="E41" s="11">
        <f>'POP Corpus'!K31</f>
      </c>
      <c r="F41" s="0">
        <f>'POP Corpus'!G31</f>
      </c>
      <c r="G41" s="0">
        <f>'POP Corpus'!F31</f>
      </c>
      <c r="H41" s="11">
        <f>'POP Corpus'!J31</f>
      </c>
    </row>
    <row r="42" outlineLevel="1">
      <c r="B42" s="0">
        <v>5</v>
      </c>
      <c r="C42" s="0">
        <f>'POP Corpus'!C37</f>
      </c>
      <c r="D42" s="0">
        <f>'POP Corpus'!D37</f>
      </c>
      <c r="E42" s="11">
        <f>'POP Corpus'!K37</f>
      </c>
      <c r="F42" s="0">
        <f>'POP Corpus'!G37</f>
      </c>
      <c r="G42" s="0">
        <f>'POP Corpus'!F37</f>
      </c>
      <c r="H42" s="11">
        <f>'POP Corpus'!J37</f>
      </c>
    </row>
    <row r="43" outlineLevel="1">
      <c r="B43" s="0">
        <v>6</v>
      </c>
      <c r="C43" s="0">
        <f>'POP Corpus'!C40</f>
      </c>
      <c r="D43" s="0">
        <f>'POP Corpus'!D40</f>
      </c>
      <c r="E43" s="11">
        <f>'POP Corpus'!K40</f>
      </c>
      <c r="F43" s="0">
        <f>'POP Corpus'!G40</f>
      </c>
      <c r="G43" s="0">
        <f>'POP Corpus'!F40</f>
      </c>
      <c r="H43" s="11">
        <f>'POP Corpus'!J40</f>
      </c>
    </row>
    <row r="44" outlineLevel="1">
      <c r="B44" s="0">
        <v>7</v>
      </c>
      <c r="C44" s="0">
        <f>'POP Corpus'!C41</f>
      </c>
      <c r="D44" s="0">
        <f>'POP Corpus'!D41</f>
      </c>
      <c r="E44" s="11">
        <f>'POP Corpus'!K41</f>
      </c>
      <c r="F44" s="0">
        <f>'POP Corpus'!G41</f>
      </c>
      <c r="G44" s="0">
        <f>'POP Corpus'!F41</f>
      </c>
      <c r="H44" s="11">
        <f>'POP Corpus'!J41</f>
      </c>
    </row>
    <row r="45" outlineLevel="1">
      <c r="B45" s="0">
        <v>8</v>
      </c>
      <c r="C45" s="0">
        <f>'POP Corpus'!C42</f>
      </c>
      <c r="D45" s="0">
        <f>'POP Corpus'!D42</f>
      </c>
      <c r="E45" s="11">
        <f>'POP Corpus'!K42</f>
      </c>
      <c r="F45" s="0">
        <f>'POP Corpus'!G42</f>
      </c>
      <c r="G45" s="0">
        <f>'POP Corpus'!F42</f>
      </c>
      <c r="H45" s="11">
        <f>'POP Corpus'!J42</f>
      </c>
    </row>
    <row r="46" outlineLevel="1">
      <c r="B46" s="0">
        <v>9</v>
      </c>
      <c r="C46" s="0">
        <f>'POP Corpus'!C45</f>
      </c>
      <c r="D46" s="0">
        <f>'POP Corpus'!D45</f>
      </c>
      <c r="E46" s="11">
        <f>'POP Corpus'!K45</f>
      </c>
      <c r="F46" s="0">
        <f>'POP Corpus'!G45</f>
      </c>
      <c r="G46" s="0">
        <f>'POP Corpus'!F45</f>
      </c>
      <c r="H46" s="11">
        <f>'POP Corpus'!J45</f>
      </c>
    </row>
    <row r="47" outlineLevel="1">
      <c r="B47" s="0">
        <v>10</v>
      </c>
      <c r="C47" s="0">
        <f>'POP Corpus'!C50</f>
      </c>
      <c r="D47" s="0">
        <f>'POP Corpus'!D50</f>
      </c>
      <c r="E47" s="11">
        <f>'POP Corpus'!K50</f>
      </c>
      <c r="F47" s="0">
        <f>'POP Corpus'!G50</f>
      </c>
      <c r="G47" s="0">
        <f>'POP Corpus'!F50</f>
      </c>
      <c r="H47" s="11">
        <f>'POP Corpus'!J50</f>
      </c>
    </row>
  </sheetData>
</worksheet>
</file>

<file path=xl/worksheets/sheet21.xml><?xml version="1.0" encoding="utf-8"?>
<worksheet xmlns="http://schemas.openxmlformats.org/spreadsheetml/2006/main" xmlns:r="http://schemas.openxmlformats.org/officeDocument/2006/relationships">
  <sheetPr>
    <tabColor rgb="FF1F3A5F"/>
    <outlinePr summaryBelow="0"/>
  </sheetPr>
  <sheetViews>
    <sheetView showGridLines="0" workbookViewId="0" showOutlineSymbols="0"/>
  </sheetViews>
  <sheetFormatPr defaultRowHeight="10" customHeight="1"/>
  <cols>
    <col min="1" max="1" width="2.2109375" customWidth="1"/>
    <col min="2" max="2" width="38" customWidth="1"/>
    <col min="3" max="3" width="16" customWidth="1"/>
    <col min="4" max="4" width="40" customWidth="1"/>
  </cols>
  <sheetData>
    <row r="1"/>
    <row r="2">
      <c r="B2" s="8" t="inlineStr">
        <is>
          <t xml:space="preserve">Source Index</t>
        </is>
      </c>
      <c r="C2" s="8"/>
      <c r="D2" s="8"/>
    </row>
    <row r="4">
      <c r="A4" s="0" t="inlineStr">
        <is>
          <t xml:space="preserve">x</t>
        </is>
      </c>
      <c r="B4" s="9" t="inlineStr">
        <is>
          <t xml:space="preserve">§1 - Data sources (extracted)</t>
        </is>
      </c>
      <c r="C4" s="9"/>
      <c r="D4" s="9"/>
    </row>
    <row r="6">
      <c r="B6" s="2" t="inlineStr">
        <is>
          <t xml:space="preserve">Source</t>
        </is>
      </c>
      <c r="C6" s="2" t="inlineStr">
        <is>
          <t xml:space="preserve">Retrieved</t>
        </is>
      </c>
      <c r="D6" s="2" t="inlineStr">
        <is>
          <t xml:space="preserve">Location</t>
        </is>
      </c>
    </row>
    <row r="7" outlineLevel="1">
      <c r="B7" s="0" t="inlineStr">
        <is>
          <t xml:space="preserve">dod_announcement_pop.csv</t>
        </is>
      </c>
      <c r="C7" s="0" t="inlineStr">
        <is>
          <t xml:space="preserve">2026-05</t>
        </is>
      </c>
      <c r="D7" s="0" t="inlineStr">
        <is>
          <t xml:space="preserve">extracted/ (DoD/DoW announcements)</t>
        </is>
      </c>
    </row>
    <row r="8" outlineLevel="1">
      <c r="B8" s="0" t="inlineStr">
        <is>
          <t xml:space="preserve">dod_action_pop_by_worktype.csv</t>
        </is>
      </c>
      <c r="C8" s="0" t="inlineStr">
        <is>
          <t xml:space="preserve">2026-05</t>
        </is>
      </c>
      <c r="D8" s="0" t="inlineStr">
        <is>
          <t xml:space="preserve">extracted/</t>
        </is>
      </c>
    </row>
    <row r="9" outlineLevel="1">
      <c r="B9" s="0" t="inlineStr">
        <is>
          <t xml:space="preserve">entity_naics_lookup.csv</t>
        </is>
      </c>
      <c r="C9" s="0" t="inlineStr">
        <is>
          <t xml:space="preserve">2026-05</t>
        </is>
      </c>
      <c r="D9" s="0" t="inlineStr">
        <is>
          <t xml:space="preserve">extracted/ (USAspending + SAM.gov)</t>
        </is>
      </c>
    </row>
    <row r="10" outlineLevel="1">
      <c r="B10" s="0" t="inlineStr">
        <is>
          <t xml:space="preserve">nc_records_long.csv</t>
        </is>
      </c>
      <c r="C10" s="0" t="inlineStr">
        <is>
          <t xml:space="preserve">2026-05</t>
        </is>
      </c>
      <c r="D10" s="0" t="inlineStr">
        <is>
          <t xml:space="preserve">extracted/ (FFATA subawards)</t>
        </is>
      </c>
    </row>
    <row r="11" outlineLevel="1">
      <c r="B11" s="0" t="inlineStr">
        <is>
          <t xml:space="preserve">subaward_top_recipients.csv</t>
        </is>
      </c>
      <c r="C11" s="0" t="inlineStr">
        <is>
          <t xml:space="preserve">2026-05</t>
        </is>
      </c>
      <c r="D11" s="0" t="inlineStr">
        <is>
          <t xml:space="preserve">extracted/</t>
        </is>
      </c>
    </row>
    <row r="12" outlineLevel="1">
      <c r="B12" s="0" t="inlineStr">
        <is>
          <t xml:space="preserve">nc_geo_by_state.csv / nc_geo_by_country.csv</t>
        </is>
      </c>
      <c r="C12" s="0" t="inlineStr">
        <is>
          <t xml:space="preserve">2026-05</t>
        </is>
      </c>
      <c r="D12" s="0" t="inlineStr">
        <is>
          <t xml:space="preserve">extracted/</t>
        </is>
      </c>
    </row>
    <row r="13" outlineLevel="1">
      <c r="B13" s="0" t="inlineStr">
        <is>
          <t xml:space="preserve">nc_scope_summary.json</t>
        </is>
      </c>
      <c r="C13" s="0" t="inlineStr">
        <is>
          <t xml:space="preserve">2026-05</t>
        </is>
      </c>
      <c r="D13" s="0" t="inlineStr">
        <is>
          <t xml:space="preserve">extracted/</t>
        </is>
      </c>
    </row>
    <row r="16">
      <c r="A16" s="0" t="inlineStr">
        <is>
          <t xml:space="preserve">x</t>
        </is>
      </c>
      <c r="B16" s="9" t="inlineStr">
        <is>
          <t xml:space="preserve">§2 - Budget exhibits (SCN P-5c / P-10 / TOA)</t>
        </is>
      </c>
      <c r="C16" s="9"/>
      <c r="D16" s="9"/>
    </row>
    <row r="18">
      <c r="B18" s="2" t="inlineStr">
        <is>
          <t xml:space="preserve">Source</t>
        </is>
      </c>
      <c r="C18" s="2" t="inlineStr">
        <is>
          <t xml:space="preserve">Retrieved</t>
        </is>
      </c>
      <c r="D18" s="2" t="inlineStr">
        <is>
          <t xml:space="preserve">Location</t>
        </is>
      </c>
    </row>
    <row r="19" outlineLevel="1">
      <c r="B19" s="0" t="inlineStr">
        <is>
          <t xml:space="preserve">SCN P-5c (Basic Construction)</t>
        </is>
      </c>
      <c r="C19" s="0" t="inlineStr">
        <is>
          <t xml:space="preserve">FY22-FY27 PB</t>
        </is>
      </c>
      <c r="D19" s="0" t="inlineStr">
        <is>
          <t xml:space="preserve">budget_books/SCN_Book_FY{22..27}</t>
        </is>
      </c>
    </row>
    <row r="20" outlineLevel="1">
      <c r="B20" s="0" t="inlineStr">
        <is>
          <t xml:space="preserve">SCN P-10 (Advance Procurement)</t>
        </is>
      </c>
      <c r="C20" s="0" t="inlineStr">
        <is>
          <t xml:space="preserve">FY22-FY27 PB</t>
        </is>
      </c>
      <c r="D20" s="0" t="inlineStr">
        <is>
          <t xml:space="preserve">budget_books/SCN_Book_FY{22..27}</t>
        </is>
      </c>
    </row>
    <row r="21" outlineLevel="1">
      <c r="B21" s="0" t="inlineStr">
        <is>
          <t xml:space="preserve">SCN per-FY actual TOA</t>
        </is>
      </c>
      <c r="C21" s="0" t="inlineStr">
        <is>
          <t xml:space="preserve">FY22-FY27</t>
        </is>
      </c>
      <c r="D21" s="0" t="inlineStr">
        <is>
          <t xml:space="preserve">extracted/scn_per_fy_actual_toa.csv</t>
        </is>
      </c>
    </row>
    <row r="22" outlineLevel="1">
      <c r="B22" s="0" t="inlineStr">
        <is>
          <t xml:space="preserve">FY 2026 Mandatory Funding Allocation Plan (OBBBA, Sec. 20002)</t>
        </is>
      </c>
      <c r="C22" s="0" t="inlineStr">
        <is>
          <t xml:space="preserve">2026-02-18</t>
        </is>
      </c>
      <c r="D22" s="0" t="inlineStr">
        <is>
          <t xml:space="preserve">docs/obbba_funding_allocation_narrative_20260218.txt</t>
        </is>
      </c>
    </row>
    <row r="23" outlineLevel="1">
      <c r="B23" s="0" t="inlineStr">
        <is>
          <t xml:space="preserve">SCN P-40 Resource Summary (FYDP outyears FY28-31)</t>
        </is>
      </c>
      <c r="C23" s="0" t="inlineStr">
        <is>
          <t xml:space="preserve">PB2027 (2026-04)</t>
        </is>
      </c>
      <c r="D23" s="0" t="inlineStr">
        <is>
          <t xml:space="preserve">extracted/scn_li_resource_summary.csv</t>
        </is>
      </c>
    </row>
    <row r="26">
      <c r="A26" s="0" t="inlineStr">
        <is>
          <t xml:space="preserve">x</t>
        </is>
      </c>
      <c r="B26" s="9" t="inlineStr">
        <is>
          <t xml:space="preserve">§3 - Methodology + reference docs</t>
        </is>
      </c>
      <c r="C26" s="9"/>
      <c r="D26" s="9"/>
    </row>
    <row r="28">
      <c r="B28" s="2" t="inlineStr">
        <is>
          <t xml:space="preserve">Source</t>
        </is>
      </c>
      <c r="C28" s="2" t="inlineStr">
        <is>
          <t xml:space="preserve">Retrieved</t>
        </is>
      </c>
      <c r="D28" s="2" t="inlineStr">
        <is>
          <t xml:space="preserve">Location</t>
        </is>
      </c>
    </row>
    <row r="29" outlineLevel="1">
      <c r="B29" s="0" t="inlineStr">
        <is>
          <t xml:space="preserve">METHODOLOGY (POP / subaward / budget)</t>
        </is>
      </c>
      <c r="C29" s="0" t="inlineStr">
        <is>
          <t xml:space="preserve">2026-05</t>
        </is>
      </c>
      <c r="D29" s="0" t="inlineStr">
        <is>
          <t xml:space="preserve">docs/distributed_shipbuilding_implementation_plan.md</t>
        </is>
      </c>
    </row>
    <row r="30" outlineLevel="1">
      <c r="B30" s="0" t="inlineStr">
        <is>
          <t xml:space="preserve">Implementation plan</t>
        </is>
      </c>
      <c r="C30" s="0" t="inlineStr">
        <is>
          <t xml:space="preserve">2026-05-29</t>
        </is>
      </c>
      <c r="D30" s="0" t="inlineStr">
        <is>
          <t xml:space="preserve">docs/distributed_shipbuilding_implementation_plan.md</t>
        </is>
      </c>
    </row>
    <row r="31" outlineLevel="1">
      <c r="B31" s="0" t="inlineStr">
        <is>
          <t xml:space="preserve">BPMI reconciliation</t>
        </is>
      </c>
      <c r="C31" s="0" t="inlineStr">
        <is>
          <t xml:space="preserve">2026-05-29</t>
        </is>
      </c>
      <c r="D31" s="0" t="inlineStr">
        <is>
          <t xml:space="preserve">docs/distributed_shipbuilding_sub_phase3_BPMI_reconciliation.md</t>
        </is>
      </c>
    </row>
    <row r="32" outlineLevel="1">
      <c r="B32" s="0" t="inlineStr">
        <is>
          <t xml:space="preserve">deck_specs.md</t>
        </is>
      </c>
      <c r="C32" s="0" t="inlineStr">
        <is>
          <t xml:space="preserve">2026-05</t>
        </is>
      </c>
      <c r="D32" s="0" t="inlineStr">
        <is>
          <t xml:space="preserve">docs/distributed_shipbuilding_deck_specs.md</t>
        </is>
      </c>
    </row>
    <row r="35">
      <c r="A35" s="0" t="inlineStr">
        <is>
          <t xml:space="preserve">x</t>
        </is>
      </c>
      <c r="B35" s="9" t="inlineStr">
        <is>
          <t xml:space="preserve">§4 - Refresh control</t>
        </is>
      </c>
      <c r="C35" s="9"/>
      <c r="D35" s="9"/>
    </row>
    <row r="37">
      <c r="B37" s="2" t="inlineStr">
        <is>
          <t xml:space="preserve">Area</t>
        </is>
      </c>
      <c r="C37" s="2" t="inlineStr">
        <is>
          <t xml:space="preserve">Last refreshed</t>
        </is>
      </c>
      <c r="D37" s="2" t="inlineStr">
        <is>
          <t xml:space="preserve">Source path</t>
        </is>
      </c>
    </row>
    <row r="38" outlineLevel="1">
      <c r="B38" s="0" t="inlineStr">
        <is>
          <t xml:space="preserve">POP corpus</t>
        </is>
      </c>
      <c r="C38" s="0" t="inlineStr">
        <is>
          <t xml:space="preserve">2026-05</t>
        </is>
      </c>
      <c r="D38" s="0" t="inlineStr">
        <is>
          <t xml:space="preserve">extracted/dod_announcement_pop.csv</t>
        </is>
      </c>
    </row>
    <row r="39" outlineLevel="1">
      <c r="B39" s="0" t="inlineStr">
        <is>
          <t xml:space="preserve">Subaward vendors</t>
        </is>
      </c>
      <c r="C39" s="0" t="inlineStr">
        <is>
          <t xml:space="preserve">2026-05</t>
        </is>
      </c>
      <c r="D39" s="0" t="inlineStr">
        <is>
          <t xml:space="preserve">extracted/entity_naics_lookup.csv</t>
        </is>
      </c>
    </row>
    <row r="40" outlineLevel="1">
      <c r="B40" s="0" t="inlineStr">
        <is>
          <t xml:space="preserve">Budget exhibits</t>
        </is>
      </c>
      <c r="C40" s="0" t="inlineStr">
        <is>
          <t xml:space="preserve">FY22-27 PB</t>
        </is>
      </c>
      <c r="D40" s="0" t="inlineStr">
        <is>
          <t xml:space="preserve">budget_books/</t>
        </is>
      </c>
    </row>
    <row r="41" outlineLevel="1">
      <c r="B41" s="0" t="inlineStr">
        <is>
          <t xml:space="preserve">OBBBA mandatory allocation plan</t>
        </is>
      </c>
      <c r="C41" s="0" t="inlineStr">
        <is>
          <t xml:space="preserve">2026-02-18</t>
        </is>
      </c>
      <c r="D41" s="0" t="inlineStr">
        <is>
          <t xml:space="preserve">docs/obbba_funding_allocation_narrative_20260218.txt</t>
        </is>
      </c>
    </row>
    <row r="42" outlineLevel="1">
      <c r="B42" s="0" t="inlineStr">
        <is>
          <t xml:space="preserve">FYDP outyears (P-40 gross)</t>
        </is>
      </c>
      <c r="C42" s="0" t="inlineStr">
        <is>
          <t xml:space="preserve">PB2027 (2026-04)</t>
        </is>
      </c>
      <c r="D42" s="0" t="inlineStr">
        <is>
          <t xml:space="preserve">extracted/scn_li_resource_summary.csv - refresh at PB2028; re-tie Va FY26 = 5,389.109</t>
        </is>
      </c>
    </row>
  </sheetData>
  <tableParts count="3">
    <tablePart r:id="rId1"/>
    <tablePart r:id="rId2"/>
    <tablePart r:id="rId3"/>
  </tableParts>
</worksheet>
</file>

<file path=xl/worksheets/sheet22.xml><?xml version="1.0" encoding="utf-8"?>
<worksheet xmlns="http://schemas.openxmlformats.org/spreadsheetml/2006/main" xmlns:r="http://schemas.openxmlformats.org/officeDocument/2006/relationships">
  <sheetPr>
    <tabColor rgb="FF1F3A5F"/>
    <outlinePr summaryBelow="0"/>
  </sheetPr>
  <sheetViews>
    <sheetView showGridLines="0" workbookViewId="0" showOutlineSymbols="0"/>
  </sheetViews>
  <sheetFormatPr defaultRowHeight="10" customHeight="1"/>
  <cols>
    <col min="1" max="1" width="2.2109375" customWidth="1"/>
    <col min="2" max="2" width="34" customWidth="1"/>
    <col min="3" max="3" width="36" customWidth="1"/>
    <col min="4" max="4" width="18" customWidth="1"/>
    <col min="5" max="5" width="12" customWidth="1"/>
    <col min="6" max="6" width="18" customWidth="1"/>
    <col min="7" max="7" width="14" customWidth="1"/>
    <col min="8" max="8" width="40" customWidth="1"/>
    <col min="9" max="9" width="42" customWidth="1"/>
    <col min="10" max="10" width="44" customWidth="1"/>
  </cols>
  <sheetData>
    <row r="1"/>
    <row r="2">
      <c r="B2" s="8" t="inlineStr">
        <is>
          <t xml:space="preserve">References</t>
        </is>
      </c>
      <c r="C2" s="8"/>
      <c r="D2" s="8"/>
      <c r="E2" s="8"/>
      <c r="F2" s="8"/>
      <c r="G2" s="8"/>
      <c r="H2" s="8"/>
      <c r="I2" s="8"/>
      <c r="J2" s="8"/>
    </row>
    <row r="4">
      <c r="A4" s="0" t="inlineStr">
        <is>
          <t xml:space="preserve">x</t>
        </is>
      </c>
      <c r="B4" s="9" t="inlineStr">
        <is>
          <t xml:space="preserve">§1 - Industry-baseline primary-source claims (anchors the 50/60/65% band)</t>
        </is>
      </c>
      <c r="C4" s="9"/>
      <c r="D4" s="9"/>
      <c r="E4" s="9"/>
      <c r="F4" s="9"/>
      <c r="G4" s="9"/>
      <c r="H4" s="9"/>
      <c r="I4" s="9"/>
      <c r="J4" s="9"/>
    </row>
    <row r="6">
      <c r="B6" s="2" t="inlineStr">
        <is>
          <t xml:space="preserve">Claim ID</t>
        </is>
      </c>
      <c r="C6" s="2" t="inlineStr">
        <is>
          <t xml:space="preserve">Label</t>
        </is>
      </c>
      <c r="D6" s="22" t="inlineStr">
        <is>
          <t xml:space="preserve">Value</t>
        </is>
      </c>
      <c r="E6" s="2" t="inlineStr">
        <is>
          <t xml:space="preserve">Unit</t>
        </is>
      </c>
      <c r="F6" s="2" t="inlineStr">
        <is>
          <t xml:space="preserve">Source ID</t>
        </is>
      </c>
      <c r="G6" s="2" t="inlineStr">
        <is>
          <t xml:space="preserve">Date</t>
        </is>
      </c>
      <c r="H6" s="2" t="inlineStr">
        <is>
          <t xml:space="preserve">Source title</t>
        </is>
      </c>
      <c r="I6" s="2" t="inlineStr">
        <is>
          <t xml:space="preserve">Source URL</t>
        </is>
      </c>
      <c r="J6" s="2" t="inlineStr">
        <is>
          <t xml:space="preserve">Quoted text</t>
        </is>
      </c>
    </row>
    <row r="7" outlineLevel="1">
      <c r="B7" s="0" t="inlineStr">
        <is>
          <t xml:space="preserve">01</t>
        </is>
      </c>
      <c r="C7" s="0" t="inlineStr">
        <is>
          <t xml:space="preserve">Sole-source critical suppliers</t>
        </is>
      </c>
      <c r="D7" s="5">
        <v>70</v>
      </c>
      <c r="E7" s="0" t="inlineStr">
        <is>
          <t xml:space="preserve">percent</t>
        </is>
      </c>
      <c r="F7" s="0" t="inlineStr">
        <is>
          <t xml:space="preserve">CRS-RL32418</t>
        </is>
      </c>
      <c r="G7" s="0" t="inlineStr">
        <is>
          <t xml:space="preserve">2026-01-26</t>
        </is>
      </c>
      <c r="H7" s="0" t="inlineStr">
        <is>
          <t xml:space="preserve">Navy Virginia-Class Submarine Program and AUKUS Submarine (Pillar 1) Project: Background and Issues for Congress (R. O'Rourke)</t>
        </is>
      </c>
      <c r="I7" s="0" t="inlineStr">
        <is>
          <t xml:space="preserve">https://www.congress.gov/crs-product/RL32418</t>
        </is>
      </c>
      <c r="J7" s="0" t="inlineStr">
        <is>
          <t xml:space="preserve">About 70% of the critical suppliers for the construction of submarines are sole-source suppliers.</t>
        </is>
      </c>
    </row>
    <row r="8" outlineLevel="1">
      <c r="B8" s="0" t="inlineStr">
        <is>
          <t xml:space="preserve">02</t>
        </is>
      </c>
      <c r="C8" s="0" t="inlineStr">
        <is>
          <t xml:space="preserve">Total submarine suppliers</t>
        </is>
      </c>
      <c r="D8" s="5">
        <v>16000</v>
      </c>
      <c r="E8" s="0" t="inlineStr">
        <is>
          <t xml:space="preserve">count</t>
        </is>
      </c>
      <c r="F8" s="0" t="inlineStr">
        <is>
          <t xml:space="preserve">CRS-RL32418</t>
        </is>
      </c>
      <c r="G8" s="0" t="inlineStr">
        <is>
          <t xml:space="preserve">2026-01-26</t>
        </is>
      </c>
      <c r="H8" s="0" t="inlineStr">
        <is>
          <t xml:space="preserve">Navy Virginia-Class Submarine Program and AUKUS Submarine (Pillar 1) Project</t>
        </is>
      </c>
      <c r="I8" s="0" t="inlineStr">
        <is>
          <t xml:space="preserve">https://www.congress.gov/crs-product/RL32418</t>
        </is>
      </c>
      <c r="J8" s="0" t="inlineStr">
        <is>
          <t xml:space="preserve">In addition to GD/EB and HII/NNS, the submarine construction industrial base includes about 16,000 suppliers in all 50 states.</t>
        </is>
      </c>
    </row>
    <row r="9" outlineLevel="1">
      <c r="B9" s="0" t="inlineStr">
        <is>
          <t xml:space="preserve">03</t>
        </is>
      </c>
      <c r="C9" s="0" t="inlineStr">
        <is>
          <t xml:space="preserve">Submarine industrial base investment FY-FY28</t>
        </is>
      </c>
      <c r="D9" s="5">
        <v>9800</v>
      </c>
      <c r="E9" s="0" t="inlineStr">
        <is>
          <t xml:space="preserve">USD millions</t>
        </is>
      </c>
      <c r="F9" s="0" t="inlineStr">
        <is>
          <t xml:space="preserve">CRS-RL32418</t>
        </is>
      </c>
      <c r="G9" s="0" t="inlineStr">
        <is>
          <t xml:space="preserve">2026-01-26</t>
        </is>
      </c>
      <c r="H9" s="0" t="inlineStr">
        <is>
          <t xml:space="preserve">Navy Virginia-Class Submarine Program and AUKUS Submarine (Pillar 1) Project</t>
        </is>
      </c>
      <c r="I9" s="0" t="inlineStr">
        <is>
          <t xml:space="preserve">https://www.congress.gov/crs-product/RL32418</t>
        </is>
      </c>
      <c r="J9" s="0" t="inlineStr">
        <is>
          <t xml:space="preserve">The estimated total amount of funding appropriated through FY2024, requested for FY2025, and programmed for FY2026-FY2028 for the submarine construction industrial base is about $9.8 billion.</t>
        </is>
      </c>
    </row>
    <row r="10" outlineLevel="1">
      <c r="B10" s="0" t="inlineStr">
        <is>
          <t xml:space="preserve">04</t>
        </is>
      </c>
      <c r="C10" s="0" t="inlineStr">
        <is>
          <t xml:space="preserve">Total DOD submarine industrial base investment</t>
        </is>
      </c>
      <c r="D10" s="5">
        <v>10000</v>
      </c>
      <c r="E10" s="0" t="inlineStr">
        <is>
          <t xml:space="preserve">USD millions</t>
        </is>
      </c>
      <c r="F10" s="0" t="inlineStr">
        <is>
          <t xml:space="preserve">GAO-26-109068</t>
        </is>
      </c>
      <c r="G10" s="0" t="inlineStr">
        <is>
          <t xml:space="preserve">2026-04-22</t>
        </is>
      </c>
      <c r="H10" s="0" t="inlineStr">
        <is>
          <t xml:space="preserve">Navy and Coast Guard Shipbuilding: A Disciplined Strategy-Driven Approach Is Needed (Oakley testimony)</t>
        </is>
      </c>
      <c r="I10" s="0" t="inlineStr">
        <is>
          <t xml:space="preserve">https://www.gao.gov/products/gao-26-109068</t>
        </is>
      </c>
      <c r="J10" s="0" t="inlineStr">
        <is>
          <t xml:space="preserve">DOD does not know how much funding it expects to need-beyond the more than $10 billion DOD already invested-to solve submarine industrial base challenges.</t>
        </is>
      </c>
    </row>
    <row r="11" outlineLevel="1">
      <c r="B11" s="0" t="inlineStr">
        <is>
          <t xml:space="preserve">05</t>
        </is>
      </c>
      <c r="C11" s="0" t="inlineStr">
        <is>
          <t xml:space="preserve">Total DOD shipbuilding industrial base spending FY14-FY23</t>
        </is>
      </c>
      <c r="D11" s="5">
        <v>5800</v>
      </c>
      <c r="E11" s="0" t="inlineStr">
        <is>
          <t xml:space="preserve">USD millions</t>
        </is>
      </c>
      <c r="F11" s="0" t="inlineStr">
        <is>
          <t xml:space="preserve">GAO-25-106286</t>
        </is>
      </c>
      <c r="G11" s="0" t="inlineStr">
        <is>
          <t xml:space="preserve">2025-02-27</t>
        </is>
      </c>
      <c r="H11" s="0" t="inlineStr">
        <is>
          <t xml:space="preserve">Shipbuilding and Repair: Navy Needs a Strategic Approach for Private Sector Industrial Base Investments</t>
        </is>
      </c>
      <c r="I11" s="0" t="inlineStr">
        <is>
          <t xml:space="preserve">https://www.gao.gov/products/gao-25-106286</t>
        </is>
      </c>
      <c r="J11" s="0" t="inlineStr">
        <is>
          <t xml:space="preserve">DOD spent over $5.8 billion on the shipbuilding industrial base from fiscal years 2014 through 2023.</t>
        </is>
      </c>
    </row>
    <row r="12" outlineLevel="1">
      <c r="B12" s="0" t="inlineStr">
        <is>
          <t xml:space="preserve">06</t>
        </is>
      </c>
      <c r="C12" s="0" t="inlineStr">
        <is>
          <t xml:space="preserve">Planned additional shipbuilding IB spend FY through FY28</t>
        </is>
      </c>
      <c r="D12" s="5">
        <v>12600</v>
      </c>
      <c r="E12" s="0" t="inlineStr">
        <is>
          <t xml:space="preserve">USD millions</t>
        </is>
      </c>
      <c r="F12" s="0" t="inlineStr">
        <is>
          <t xml:space="preserve">GAO-25-106286</t>
        </is>
      </c>
      <c r="G12" s="0" t="inlineStr">
        <is>
          <t xml:space="preserve">2025-02-27</t>
        </is>
      </c>
      <c r="H12" s="0" t="inlineStr">
        <is>
          <t xml:space="preserve">Shipbuilding and Repair: Navy Needs a Strategic Approach for Private Sector Industrial Base Investments</t>
        </is>
      </c>
      <c r="I12" s="0" t="inlineStr">
        <is>
          <t xml:space="preserve">https://www.gao.gov/products/gao-25-106286</t>
        </is>
      </c>
      <c r="J12" s="0" t="inlineStr">
        <is>
          <t xml:space="preserve">It plans to spend an additional $12.6 billion through fiscal year 2028.</t>
        </is>
      </c>
    </row>
    <row r="13" outlineLevel="1">
      <c r="B13" s="0" t="inlineStr">
        <is>
          <t xml:space="preserve">07</t>
        </is>
      </c>
      <c r="C13" s="0" t="inlineStr">
        <is>
          <t xml:space="preserve">Supplier base size vs historical</t>
        </is>
      </c>
      <c r="D13" s="5">
        <v>-70</v>
      </c>
      <c r="E13" s="0" t="inlineStr">
        <is>
          <t xml:space="preserve">percent (atrophy)</t>
        </is>
      </c>
      <c r="F13" s="0" t="inlineStr">
        <is>
          <t xml:space="preserve">GAO-21-257</t>
        </is>
      </c>
      <c r="G13" s="0" t="inlineStr">
        <is>
          <t xml:space="preserve">2021-01-14</t>
        </is>
      </c>
      <c r="H13" s="0" t="inlineStr">
        <is>
          <t xml:space="preserve">Columbia Class Submarine: Delivery Hinges on Timely and Quality Materials from an Atrophied Supplier Base</t>
        </is>
      </c>
      <c r="I13" s="0" t="inlineStr">
        <is>
          <t xml:space="preserve">https://www.gao.gov/products/gao-21-257</t>
        </is>
      </c>
      <c r="J13" s="0" t="inlineStr">
        <is>
          <t xml:space="preserve">They plan to rely on materials produced by a supplier base that is roughly 70 percent smaller than in previous shipbuilding booms.</t>
        </is>
      </c>
    </row>
    <row r="14" outlineLevel="1">
      <c r="B14" s="0" t="inlineStr">
        <is>
          <t xml:space="preserve">08</t>
        </is>
      </c>
      <c r="C14" s="0" t="inlineStr">
        <is>
          <t xml:space="preserve">Shipbuilders expanding outsourcing</t>
        </is>
      </c>
      <c r="D14" s="0" t="inlineStr">
        <is>
          <t xml:space="preserve">N/A</t>
        </is>
      </c>
      <c r="E14" s="0" t="inlineStr">
        <is>
          <t xml:space="preserve">qualitative</t>
        </is>
      </c>
      <c r="F14" s="0" t="inlineStr">
        <is>
          <t xml:space="preserve">GAO-21-257</t>
        </is>
      </c>
      <c r="G14" s="0" t="inlineStr">
        <is>
          <t xml:space="preserve">2021-01-14</t>
        </is>
      </c>
      <c r="H14" s="0" t="inlineStr">
        <is>
          <t xml:space="preserve">Columbia Class Submarine: Delivery Hinges on Timely and Quality Materials from an Atrophied Supplier Base</t>
        </is>
      </c>
      <c r="I14" s="0" t="inlineStr">
        <is>
          <t xml:space="preserve">https://www.gao.gov/products/gao-21-257</t>
        </is>
      </c>
      <c r="J14" s="0" t="inlineStr">
        <is>
          <t xml:space="preserve">As the shipbuilders expand outsourcing to suppliers, quality assurance oversight at supplier facilities will be critical for avoiding further delays.</t>
        </is>
      </c>
    </row>
    <row r="15" outlineLevel="1">
      <c r="B15" s="0" t="inlineStr">
        <is>
          <t xml:space="preserve">09</t>
        </is>
      </c>
      <c r="C15" s="0" t="inlineStr">
        <is>
          <t xml:space="preserve">Outsourcing trend due to capacity</t>
        </is>
      </c>
      <c r="D15" s="0" t="inlineStr">
        <is>
          <t xml:space="preserve">N/A</t>
        </is>
      </c>
      <c r="E15" s="0" t="inlineStr">
        <is>
          <t xml:space="preserve">qualitative</t>
        </is>
      </c>
      <c r="F15" s="0" t="inlineStr">
        <is>
          <t xml:space="preserve">GAO-25-106286</t>
        </is>
      </c>
      <c r="G15" s="0" t="inlineStr">
        <is>
          <t xml:space="preserve">2025-02-27</t>
        </is>
      </c>
      <c r="H15" s="0" t="inlineStr">
        <is>
          <t xml:space="preserve">Shipbuilding and Repair: Navy Needs a Strategic Approach for Private Sector Industrial Base Investments</t>
        </is>
      </c>
      <c r="I15" s="0" t="inlineStr">
        <is>
          <t xml:space="preserve">https://www.gao.gov/products/gao-25-106286</t>
        </is>
      </c>
      <c r="J15" s="0" t="inlineStr">
        <is>
          <t xml:space="preserve">Two of the shipbuilders we spoke with are already outsourcing work that would normally be done at their shipyards to their suppliers to overcome constrained physical space, with plans to expand the volume of material they are outsourcing.</t>
        </is>
      </c>
    </row>
    <row r="16" outlineLevel="1">
      <c r="B16" s="0" t="inlineStr">
        <is>
          <t xml:space="preserve">10</t>
        </is>
      </c>
      <c r="C16" s="0" t="inlineStr">
        <is>
          <t xml:space="preserve">Va per-boat cost at 2/yr rate</t>
        </is>
      </c>
      <c r="D16" s="5">
        <v>5000</v>
      </c>
      <c r="E16" s="0" t="inlineStr">
        <is>
          <t xml:space="preserve">USD millions</t>
        </is>
      </c>
      <c r="F16" s="0" t="inlineStr">
        <is>
          <t xml:space="preserve">CRS-RL32418</t>
        </is>
      </c>
      <c r="G16" s="0" t="inlineStr">
        <is>
          <t xml:space="preserve">2026-01-26</t>
        </is>
      </c>
      <c r="H16" s="0" t="inlineStr">
        <is>
          <t xml:space="preserve">Navy Virginia-Class Submarine Program and AUKUS Submarine (Pillar 1) Project</t>
        </is>
      </c>
      <c r="I16" s="0" t="inlineStr">
        <is>
          <t xml:space="preserve">https://www.congress.gov/crs-product/RL32418</t>
        </is>
      </c>
      <c r="J16" s="0" t="inlineStr">
        <is>
          <t xml:space="preserve">When procured at a rate of two per year, they have an estimated procurement cost under the Navy's FY2026 budget submission of about $5.0 billion each.</t>
        </is>
      </c>
    </row>
    <row r="17" outlineLevel="1">
      <c r="B17" s="0" t="inlineStr">
        <is>
          <t xml:space="preserve">11</t>
        </is>
      </c>
      <c r="C17" s="0" t="inlineStr">
        <is>
          <t xml:space="preserve">Va actual production rate</t>
        </is>
      </c>
      <c r="D17" s="5">
        <v>1.3</v>
      </c>
      <c r="E17" s="0" t="inlineStr">
        <is>
          <t xml:space="preserve">boats per year</t>
        </is>
      </c>
      <c r="F17" s="0" t="inlineStr">
        <is>
          <t xml:space="preserve">Breaking-Defense-Raven-2024</t>
        </is>
      </c>
      <c r="G17" s="0" t="inlineStr">
        <is>
          <t xml:space="preserve">2024-04</t>
        </is>
      </c>
      <c r="H17" s="0" t="inlineStr">
        <is>
          <t xml:space="preserve">Invest in the US industrial base to support our Navy and AUKUS (Erik Raven op-ed)</t>
        </is>
      </c>
      <c r="I17" s="0" t="inlineStr">
        <is>
          <t xml:space="preserve">https://breakingdefense.com/2024/04/invest-in-the-us-industrial-base-to-support-our-navy-and-aukus-raven/</t>
        </is>
      </c>
      <c r="J17" s="0" t="inlineStr">
        <is>
          <t xml:space="preserve">Where we should be delivering two Virginia-class submarines a year, we are currently only on pace to deliver 1.3.</t>
        </is>
      </c>
    </row>
    <row r="18" outlineLevel="1">
      <c r="B18" s="0" t="inlineStr">
        <is>
          <t xml:space="preserve">12</t>
        </is>
      </c>
      <c r="C18" s="0" t="inlineStr">
        <is>
          <t xml:space="preserve">Va production target after AUKUS</t>
        </is>
      </c>
      <c r="D18" s="5">
        <v>2.33</v>
      </c>
      <c r="E18" s="0" t="inlineStr">
        <is>
          <t xml:space="preserve">boats per year</t>
        </is>
      </c>
      <c r="F18" s="0" t="inlineStr">
        <is>
          <t xml:space="preserve">CRS-RL32418</t>
        </is>
      </c>
      <c r="G18" s="0" t="inlineStr">
        <is>
          <t xml:space="preserve">2026-01-26</t>
        </is>
      </c>
      <c r="H18" s="0" t="inlineStr">
        <is>
          <t xml:space="preserve">Navy Virginia-Class Submarine Program and AUKUS Submarine (Pillar 1) Project</t>
        </is>
      </c>
      <c r="I18" s="0" t="inlineStr">
        <is>
          <t xml:space="preserve">https://www.congress.gov/crs-product/RL32418</t>
        </is>
      </c>
      <c r="J18" s="0" t="inlineStr">
        <is>
          <t xml:space="preserve">increasing the Virginia-class production rate to 2.0 boats per year, and subsequently to 2.33 boats per year, the rate the Navy states will be needed to not only execute the two-per-year procurement rate, but also build replacement SSNs for the three to five Virginia-class boats that are to be sold to Australia.</t>
        </is>
      </c>
    </row>
    <row r="19" outlineLevel="1">
      <c r="B19" s="0" t="inlineStr">
        <is>
          <t xml:space="preserve">13</t>
        </is>
      </c>
      <c r="C19" s="0" t="inlineStr">
        <is>
          <t xml:space="preserve">Col 12-ship program total cost</t>
        </is>
      </c>
      <c r="D19" s="5">
        <v>126400</v>
      </c>
      <c r="E19" s="0" t="inlineStr">
        <is>
          <t xml:space="preserve">USD millions</t>
        </is>
      </c>
      <c r="F19" s="0" t="inlineStr">
        <is>
          <t xml:space="preserve">CRS-R41129</t>
        </is>
      </c>
      <c r="G19" s="0" t="inlineStr">
        <is>
          <t xml:space="preserve">2025-12-04</t>
        </is>
      </c>
      <c r="H19" s="0" t="inlineStr">
        <is>
          <t xml:space="preserve">Navy Columbia (SSBN-826) Class Ballistic Missile Submarine Program: Background and Issues for Congress (R. O'Rourke)</t>
        </is>
      </c>
      <c r="I19" s="0" t="inlineStr">
        <is>
          <t xml:space="preserve">https://www.congress.gov/crs-product/R41129</t>
        </is>
      </c>
      <c r="J19" s="0" t="inlineStr">
        <is>
          <t xml:space="preserve">The Navy's FY2025 budget submission estimates the total procurement cost of the 12-ship class at $126.4 billion in then-year dollars, an increase of 15.2% over the figure in the FY2021 budget submission of $109.8 billion.</t>
        </is>
      </c>
    </row>
    <row r="20" outlineLevel="1">
      <c r="B20" s="0" t="inlineStr">
        <is>
          <t xml:space="preserve">14</t>
        </is>
      </c>
      <c r="C20" s="0" t="inlineStr">
        <is>
          <t xml:space="preserve">Col 12-ship total per CBO</t>
        </is>
      </c>
      <c r="D20" s="0" t="inlineStr">
        <is>
          <t xml:space="preserve">~146</t>
        </is>
      </c>
      <c r="E20" s="0" t="inlineStr">
        <is>
          <t xml:space="preserve">USD billions (~16% &gt; Navy)</t>
        </is>
      </c>
      <c r="F20" s="0" t="inlineStr">
        <is>
          <t xml:space="preserve">CRS-R41129</t>
        </is>
      </c>
      <c r="G20" s="0" t="inlineStr">
        <is>
          <t xml:space="preserve">2025-12-04</t>
        </is>
      </c>
      <c r="H20" s="0" t="inlineStr">
        <is>
          <t xml:space="preserve">Navy Columbia (SSBN-826) Class Ballistic Missile Submarine Program</t>
        </is>
      </c>
      <c r="I20" s="0" t="inlineStr">
        <is>
          <t xml:space="preserve">https://www.congress.gov/crs-product/R41129</t>
        </is>
      </c>
      <c r="J20" s="0" t="inlineStr">
        <is>
          <t xml:space="preserve">CBO's estimate for a program of 12 ships is 16 percent higher than the Navy's.</t>
        </is>
      </c>
    </row>
    <row r="21" outlineLevel="1">
      <c r="B21" s="0" t="inlineStr">
        <is>
          <t xml:space="preserve">15</t>
        </is>
      </c>
      <c r="C21" s="0" t="inlineStr">
        <is>
          <t xml:space="preserve">Col 1st boat (SSBN-826) cost</t>
        </is>
      </c>
      <c r="D21" s="5">
        <v>16121</v>
      </c>
      <c r="E21" s="0" t="inlineStr">
        <is>
          <t xml:space="preserve">USD millions</t>
        </is>
      </c>
      <c r="F21" s="0" t="inlineStr">
        <is>
          <t xml:space="preserve">CRS-R41129</t>
        </is>
      </c>
      <c r="G21" s="0" t="inlineStr">
        <is>
          <t xml:space="preserve">2025-12-04</t>
        </is>
      </c>
      <c r="H21" s="0" t="inlineStr">
        <is>
          <t xml:space="preserve">Navy Columbia (SSBN-826) Class Ballistic Missile Submarine Program</t>
        </is>
      </c>
      <c r="I21" s="0" t="inlineStr">
        <is>
          <t xml:space="preserve">https://www.congress.gov/crs-product/R41129</t>
        </is>
      </c>
      <c r="J21" s="0" t="inlineStr">
        <is>
          <t xml:space="preserve">First boat (SSBN-826): $16,121.3 million.</t>
        </is>
      </c>
    </row>
    <row r="22" outlineLevel="1">
      <c r="B22" s="0" t="inlineStr">
        <is>
          <t xml:space="preserve">16</t>
        </is>
      </c>
      <c r="C22" s="0" t="inlineStr">
        <is>
          <t xml:space="preserve">Col 2nd boat (SSBN-827) cost</t>
        </is>
      </c>
      <c r="D22" s="5">
        <v>10688</v>
      </c>
      <c r="E22" s="0" t="inlineStr">
        <is>
          <t xml:space="preserve">USD millions</t>
        </is>
      </c>
      <c r="F22" s="0" t="inlineStr">
        <is>
          <t xml:space="preserve">CRS-R41129</t>
        </is>
      </c>
      <c r="G22" s="0" t="inlineStr">
        <is>
          <t xml:space="preserve">2025-12-04</t>
        </is>
      </c>
      <c r="H22" s="0" t="inlineStr">
        <is>
          <t xml:space="preserve">Navy Columbia (SSBN-826) Class Ballistic Missile Submarine Program</t>
        </is>
      </c>
      <c r="I22" s="0" t="inlineStr">
        <is>
          <t xml:space="preserve">https://www.congress.gov/crs-product/R41129</t>
        </is>
      </c>
      <c r="J22" s="0" t="inlineStr">
        <is>
          <t xml:space="preserve">Second boat (SSBN-827): $10,688.5 million.</t>
        </is>
      </c>
    </row>
    <row r="23" outlineLevel="1">
      <c r="B23" s="0" t="inlineStr">
        <is>
          <t xml:space="preserve">17</t>
        </is>
      </c>
      <c r="C23" s="0" t="inlineStr">
        <is>
          <t xml:space="preserve">Col 3rd boat (SSBN-828) cost</t>
        </is>
      </c>
      <c r="D23" s="5">
        <v>10543</v>
      </c>
      <c r="E23" s="0" t="inlineStr">
        <is>
          <t xml:space="preserve">USD millions</t>
        </is>
      </c>
      <c r="F23" s="0" t="inlineStr">
        <is>
          <t xml:space="preserve">CRS-R41129</t>
        </is>
      </c>
      <c r="G23" s="0" t="inlineStr">
        <is>
          <t xml:space="preserve">2025-12-04</t>
        </is>
      </c>
      <c r="H23" s="0" t="inlineStr">
        <is>
          <t xml:space="preserve">Navy Columbia (SSBN-826) Class Ballistic Missile Submarine Program</t>
        </is>
      </c>
      <c r="I23" s="0" t="inlineStr">
        <is>
          <t xml:space="preserve">https://www.congress.gov/crs-product/R41129</t>
        </is>
      </c>
      <c r="J23" s="0" t="inlineStr">
        <is>
          <t xml:space="preserve">Third boat (SSBN-828): $10,543.7 million.</t>
        </is>
      </c>
    </row>
    <row r="24" outlineLevel="1">
      <c r="B24" s="0" t="inlineStr">
        <is>
          <t xml:space="preserve">18</t>
        </is>
      </c>
      <c r="C24" s="0" t="inlineStr">
        <is>
          <t xml:space="preserve">Col 1st boat delay</t>
        </is>
      </c>
      <c r="D24" s="5">
        <v>17</v>
      </c>
      <c r="E24" s="0" t="inlineStr">
        <is>
          <t xml:space="preserve">months</t>
        </is>
      </c>
      <c r="F24" s="0" t="inlineStr">
        <is>
          <t xml:space="preserve">CRS-R41129</t>
        </is>
      </c>
      <c r="G24" s="0" t="inlineStr">
        <is>
          <t xml:space="preserve">2025-12-04</t>
        </is>
      </c>
      <c r="H24" s="0" t="inlineStr">
        <is>
          <t xml:space="preserve">Navy Columbia (SSBN-826) Class Ballistic Missile Submarine Program</t>
        </is>
      </c>
      <c r="I24" s="0" t="inlineStr">
        <is>
          <t xml:space="preserve">https://www.congress.gov/crs-product/R41129</t>
        </is>
      </c>
      <c r="J24" s="0" t="inlineStr">
        <is>
          <t xml:space="preserve">The Navy's FY2026 budget submission updated the estimated delay in the delivery of the first Columbia-class boat to 17 months.</t>
        </is>
      </c>
    </row>
    <row r="25" outlineLevel="1">
      <c r="B25" s="0" t="inlineStr">
        <is>
          <t xml:space="preserve">19</t>
        </is>
      </c>
      <c r="C25" s="0" t="inlineStr">
        <is>
          <t xml:space="preserve">Col 1st boat build duration actual</t>
        </is>
      </c>
      <c r="D25" s="5">
        <v>96</v>
      </c>
      <c r="E25" s="0" t="inlineStr">
        <is>
          <t xml:space="preserve">months</t>
        </is>
      </c>
      <c r="F25" s="0" t="inlineStr">
        <is>
          <t xml:space="preserve">CRS-R41129</t>
        </is>
      </c>
      <c r="G25" s="0" t="inlineStr">
        <is>
          <t xml:space="preserve">2025-12-04</t>
        </is>
      </c>
      <c r="H25" s="0" t="inlineStr">
        <is>
          <t xml:space="preserve">Navy Columbia (SSBN-826) Class Ballistic Missile Submarine Program</t>
        </is>
      </c>
      <c r="I25" s="0" t="inlineStr">
        <is>
          <t xml:space="preserve">https://www.congress.gov/crs-product/R41129</t>
        </is>
      </c>
      <c r="J25" s="0" t="inlineStr">
        <is>
          <t xml:space="preserve">currently tracking to a 96-month build instead of the 84-month contract timeline.</t>
        </is>
      </c>
    </row>
    <row r="26" outlineLevel="1">
      <c r="B26" s="0" t="inlineStr">
        <is>
          <t xml:space="preserve">20</t>
        </is>
      </c>
      <c r="C26" s="0" t="inlineStr">
        <is>
          <t xml:space="preserve">Specific delay attribution NG turbine generator</t>
        </is>
      </c>
      <c r="D26" s="0" t="inlineStr">
        <is>
          <t xml:space="preserve">N/A</t>
        </is>
      </c>
      <c r="E26" s="0" t="inlineStr">
        <is>
          <t xml:space="preserve">qualitative</t>
        </is>
      </c>
      <c r="F26" s="0" t="inlineStr">
        <is>
          <t xml:space="preserve">CRS-R41129</t>
        </is>
      </c>
      <c r="G26" s="0" t="inlineStr">
        <is>
          <t xml:space="preserve">2025-12-04</t>
        </is>
      </c>
      <c r="H26" s="0" t="inlineStr">
        <is>
          <t xml:space="preserve">Navy Columbia (SSBN-826) Class Ballistic Missile Submarine Program</t>
        </is>
      </c>
      <c r="I26" s="0" t="inlineStr">
        <is>
          <t xml:space="preserve">https://www.congress.gov/crs-product/R41129</t>
        </is>
      </c>
      <c r="J26" s="0" t="inlineStr">
        <is>
          <t xml:space="preserve">One of the most significant challenges...is actually the late delivery of the turbine generator...by subcontractor Northrop Grumman.</t>
        </is>
      </c>
    </row>
    <row r="27" outlineLevel="1">
      <c r="B27" s="0" t="inlineStr">
        <is>
          <t xml:space="preserve">21</t>
        </is>
      </c>
      <c r="C27" s="0" t="inlineStr">
        <is>
          <t xml:space="preserve">Trade workers &lt;5 years experience</t>
        </is>
      </c>
      <c r="D27" s="5">
        <v>57</v>
      </c>
      <c r="E27" s="0" t="inlineStr">
        <is>
          <t xml:space="preserve">percent</t>
        </is>
      </c>
      <c r="F27" s="0" t="inlineStr">
        <is>
          <t xml:space="preserve">GAO-25-106286</t>
        </is>
      </c>
      <c r="G27" s="0" t="inlineStr">
        <is>
          <t xml:space="preserve">2025-02-27</t>
        </is>
      </c>
      <c r="H27" s="0" t="inlineStr">
        <is>
          <t xml:space="preserve">Shipbuilding and Repair: Navy Needs a Strategic Approach for Private Sector Industrial Base Investments</t>
        </is>
      </c>
      <c r="I27" s="0" t="inlineStr">
        <is>
          <t xml:space="preserve">https://www.gao.gov/products/gao-25-106286</t>
        </is>
      </c>
      <c r="J27" s="0" t="inlineStr">
        <is>
          <t xml:space="preserve">A shipbuilder we spoke with noted that they already have a high percentage of trade workers with fewer than 5 years of experience-at 57 percent.</t>
        </is>
      </c>
    </row>
    <row r="28" outlineLevel="1">
      <c r="B28" s="0" t="inlineStr">
        <is>
          <t xml:space="preserve">22</t>
        </is>
      </c>
      <c r="C28" s="0" t="inlineStr">
        <is>
          <t xml:space="preserve">BlueForge Alliance role</t>
        </is>
      </c>
      <c r="D28" s="0" t="inlineStr">
        <is>
          <t xml:space="preserve">N/A</t>
        </is>
      </c>
      <c r="E28" s="0" t="inlineStr">
        <is>
          <t xml:space="preserve">qualitative</t>
        </is>
      </c>
      <c r="F28" s="0" t="inlineStr">
        <is>
          <t xml:space="preserve">GAO-25-106286</t>
        </is>
      </c>
      <c r="G28" s="0" t="inlineStr">
        <is>
          <t xml:space="preserve">2025-02-27</t>
        </is>
      </c>
      <c r="H28" s="0" t="inlineStr">
        <is>
          <t xml:space="preserve">Shipbuilding and Repair: Navy Needs a Strategic Approach for Private Sector Industrial Base Investments</t>
        </is>
      </c>
      <c r="I28" s="0" t="inlineStr">
        <is>
          <t xml:space="preserve">https://www.gao.gov/products/gao-25-106286</t>
        </is>
      </c>
      <c r="J28" s="0" t="inlineStr">
        <is>
          <t xml:space="preserve">BlueForge Alliance, a nonprofit integrator, has supported the use of submarine supplier development funding for the shipbuilders.</t>
        </is>
      </c>
    </row>
    <row r="29" outlineLevel="1">
      <c r="B29" s="0" t="inlineStr">
        <is>
          <t xml:space="preserve">23</t>
        </is>
      </c>
      <c r="C29" s="0" t="inlineStr">
        <is>
          <t xml:space="preserve">Maritime Industrial Base Program Office established</t>
        </is>
      </c>
      <c r="D29" s="0" t="inlineStr">
        <is>
          <t xml:space="preserve">N/A</t>
        </is>
      </c>
      <c r="E29" s="0" t="inlineStr">
        <is>
          <t xml:space="preserve">event</t>
        </is>
      </c>
      <c r="F29" s="0" t="inlineStr">
        <is>
          <t xml:space="preserve">GAO-25-106286</t>
        </is>
      </c>
      <c r="G29" s="0" t="inlineStr">
        <is>
          <t xml:space="preserve">2025-02-27</t>
        </is>
      </c>
      <c r="H29" s="0" t="inlineStr">
        <is>
          <t xml:space="preserve">Shipbuilding and Repair: Navy Needs a Strategic Approach for Private Sector Industrial Base Investments</t>
        </is>
      </c>
      <c r="I29" s="0" t="inlineStr">
        <is>
          <t xml:space="preserve">https://www.gao.gov/products/gao-25-106286</t>
        </is>
      </c>
      <c r="J29" s="0" t="inlineStr">
        <is>
          <t xml:space="preserve">The Navy released a memorandum in June 2024...directed the establishment of a Maritime Industrial Base Program Office...began operating in September 2024.</t>
        </is>
      </c>
    </row>
    <row r="30" outlineLevel="1">
      <c r="B30" s="0" t="inlineStr">
        <is>
          <t xml:space="preserve">24</t>
        </is>
      </c>
      <c r="C30" s="0" t="inlineStr">
        <is>
          <t xml:space="preserve">Va Block VI LLTM contract place-of-performance</t>
        </is>
      </c>
      <c r="D30" s="5">
        <v>30</v>
      </c>
      <c r="E30" s="0" t="inlineStr">
        <is>
          <t xml:space="preserve">percent at Sunnyvale CA</t>
        </is>
      </c>
      <c r="F30" s="0" t="inlineStr">
        <is>
          <t xml:space="preserve">Naval-Technology-2024</t>
        </is>
      </c>
      <c r="G30" s="0" t="inlineStr">
        <is>
          <t xml:space="preserve">2024</t>
        </is>
      </c>
      <c r="H30" s="0" t="inlineStr">
        <is>
          <t xml:space="preserve">GDEB awarded $2.3bn contract modification for Virginia-class submarines</t>
        </is>
      </c>
      <c r="I30" s="0" t="inlineStr">
        <is>
          <t xml:space="preserve">https://www.naval-technology.com/news/gdeb-virginia-class-submarines-contract/</t>
        </is>
      </c>
      <c r="J30" s="0" t="inlineStr">
        <is>
          <t xml:space="preserve">The bulk of the work will take place in Sunnyvale, California, accounting for 30% of the effort, with other significant sites including Chesapeake in Virginia, Minneapolis in Minnesota, York in Pennsylvania and Tucson in Arizona, each contributing between 3 and 4%.</t>
        </is>
      </c>
    </row>
    <row r="31" outlineLevel="1">
      <c r="B31" s="0" t="inlineStr">
        <is>
          <t xml:space="preserve">25</t>
        </is>
      </c>
      <c r="C31" s="0" t="inlineStr">
        <is>
          <t xml:space="preserve">AUKUS Australian contribution to US submarine industrial base</t>
        </is>
      </c>
      <c r="D31" s="5">
        <v>3000</v>
      </c>
      <c r="E31" s="0" t="inlineStr">
        <is>
          <t xml:space="preserve">USD millions</t>
        </is>
      </c>
      <c r="F31" s="0" t="inlineStr">
        <is>
          <t xml:space="preserve">CRS-RL32418</t>
        </is>
      </c>
      <c r="G31" s="0" t="inlineStr">
        <is>
          <t xml:space="preserve">2026-01-26</t>
        </is>
      </c>
      <c r="H31" s="0" t="inlineStr">
        <is>
          <t xml:space="preserve">Navy Virginia-Class Submarine Program and AUKUS Submarine (Pillar 1) Project</t>
        </is>
      </c>
      <c r="I31" s="0" t="inlineStr">
        <is>
          <t xml:space="preserve">https://www.congress.gov/crs-product/RL32418</t>
        </is>
      </c>
      <c r="J31" s="0" t="inlineStr">
        <is>
          <t xml:space="preserve">Australia is to invest at least $3 billion in its own industrial base to establish an Australian capacity for building and maintaining SSNs. In addition to that $3 billion…Australia is to make a $3 billion contribution to the U.S. submarine industrial base.</t>
        </is>
      </c>
    </row>
    <row r="32" outlineLevel="1">
      <c r="B32" s="0" t="inlineStr">
        <is>
          <t xml:space="preserve">26</t>
        </is>
      </c>
      <c r="C32" s="0" t="inlineStr">
        <is>
          <t xml:space="preserve">Make/buy ratio for submarine prime contract</t>
        </is>
      </c>
      <c r="D32" s="0" t="inlineStr">
        <is>
          <t xml:space="preserve">NOT FOUND</t>
        </is>
      </c>
      <c r="E32" s="0" t="inlineStr">
        <is>
          <t xml:space="preserve">placeholder</t>
        </is>
      </c>
      <c r="F32" s="0" t="inlineStr">
        <is>
          <t xml:space="preserve">N/A</t>
        </is>
      </c>
      <c r="G32" s="0" t="inlineStr">
        <is>
          <t xml:space="preserve">N/A</t>
        </is>
      </c>
      <c r="H32" s="0" t="inlineStr">
        <is>
          <t xml:space="preserve">No primary-source statement located</t>
        </is>
      </c>
      <c r="I32" s="0" t="inlineStr">
        <is>
          <t xml:space="preserve">N/A</t>
        </is>
      </c>
      <c r="J32" s="0" t="inlineStr">
        <is>
          <t xml:space="preserve">None of the GAO/CRS/CBO reports we reviewed explicitly states the make/buy ratio for the Virginia or Columbia prime contracts. Industry analyst consensus places complex-shipbuilding purchased+subbed content at 50-65 percent of contract value; our deck uses ~60 percent as a working baseline derived from this synthesis plus the supporting evidence in claims 01, 02, 07, 08, 09.</t>
        </is>
      </c>
    </row>
    <row r="33" outlineLevel="1">
      <c r="B33" s="0" t="inlineStr">
        <is>
          <t xml:space="preserve">27</t>
        </is>
      </c>
      <c r="C33" s="0" t="inlineStr">
        <is>
          <t xml:space="preserve">FY27 shipbuilding budget request</t>
        </is>
      </c>
      <c r="D33" s="5">
        <v>65000</v>
      </c>
      <c r="E33" s="0" t="inlineStr">
        <is>
          <t xml:space="preserve">USD millions</t>
        </is>
      </c>
      <c r="F33" s="0" t="inlineStr">
        <is>
          <t xml:space="preserve">GAO-26-109068</t>
        </is>
      </c>
      <c r="G33" s="0" t="inlineStr">
        <is>
          <t xml:space="preserve">2026-04-22</t>
        </is>
      </c>
      <c r="H33" s="0" t="inlineStr">
        <is>
          <t xml:space="preserve">Navy and Coast Guard Shipbuilding: A Disciplined Strategy-Driven Approach Is Needed</t>
        </is>
      </c>
      <c r="I33" s="0" t="inlineStr">
        <is>
          <t xml:space="preserve">https://www.gao.gov/products/gao-26-109068</t>
        </is>
      </c>
      <c r="J33" s="0" t="inlineStr">
        <is>
          <t xml:space="preserve">The President's Budget for fiscal year 2027-released in April 2026-requested over $65 billion in shipbuilding funding, in part to support recently announced plans for the Golden Fleet.</t>
        </is>
      </c>
    </row>
    <row r="34" outlineLevel="1">
      <c r="B34" s="0" t="inlineStr">
        <is>
          <t xml:space="preserve">28</t>
        </is>
      </c>
      <c r="C34" s="0" t="inlineStr">
        <is>
          <t xml:space="preserve">One Big Beautiful Bill Act shipbuilding funds</t>
        </is>
      </c>
      <c r="D34" s="5">
        <v>30000</v>
      </c>
      <c r="E34" s="0" t="inlineStr">
        <is>
          <t xml:space="preserve">USD millions</t>
        </is>
      </c>
      <c r="F34" s="0" t="inlineStr">
        <is>
          <t xml:space="preserve">GAO-26-109068</t>
        </is>
      </c>
      <c r="G34" s="0" t="inlineStr">
        <is>
          <t xml:space="preserve">2026-04-22</t>
        </is>
      </c>
      <c r="H34" s="0" t="inlineStr">
        <is>
          <t xml:space="preserve">Navy and Coast Guard Shipbuilding: A Disciplined Strategy-Driven Approach Is Needed</t>
        </is>
      </c>
      <c r="I34" s="0" t="inlineStr">
        <is>
          <t xml:space="preserve">https://www.gao.gov/products/gao-26-109068</t>
        </is>
      </c>
      <c r="J34" s="0" t="inlineStr">
        <is>
          <t xml:space="preserve">The Navy and the Coast Guard collectively received over $30 billion to help procure ships under Public Law 119-21, commonly known as the One Big Beautiful Bill Act.</t>
        </is>
      </c>
    </row>
    <row r="35" outlineLevel="1">
      <c r="B35" s="0" t="inlineStr">
        <is>
          <t xml:space="preserve">29</t>
        </is>
      </c>
      <c r="C35" s="0" t="inlineStr">
        <is>
          <t xml:space="preserve">America's Maritime Action Plan</t>
        </is>
      </c>
      <c r="D35" s="0" t="inlineStr">
        <is>
          <t xml:space="preserve">N/A</t>
        </is>
      </c>
      <c r="E35" s="0" t="inlineStr">
        <is>
          <t xml:space="preserve">event</t>
        </is>
      </c>
      <c r="F35" s="0" t="inlineStr">
        <is>
          <t xml:space="preserve">GAO-26-109068</t>
        </is>
      </c>
      <c r="G35" s="0" t="inlineStr">
        <is>
          <t xml:space="preserve">2026-04-22</t>
        </is>
      </c>
      <c r="H35" s="0" t="inlineStr">
        <is>
          <t xml:space="preserve">Navy and Coast Guard Shipbuilding: A Disciplined Strategy-Driven Approach Is Needed</t>
        </is>
      </c>
      <c r="I35" s="0" t="inlineStr">
        <is>
          <t xml:space="preserve">https://www.gao.gov/products/gao-26-109068</t>
        </is>
      </c>
      <c r="J35" s="0" t="inlineStr">
        <is>
          <t xml:space="preserve">America's Maritime Action Plan by the White House in February 2026. This plan sets out the common challenges faced by the maritime industrial base across government and commercial shipbuilding.</t>
        </is>
      </c>
    </row>
    <row r="36" outlineLevel="1">
      <c r="B36" s="0" t="inlineStr">
        <is>
          <t xml:space="preserve">30</t>
        </is>
      </c>
      <c r="C36" s="0" t="inlineStr">
        <is>
          <t xml:space="preserve">Ohio class begins retiring</t>
        </is>
      </c>
      <c r="D36" s="5">
        <v>2027</v>
      </c>
      <c r="E36" s="0" t="inlineStr">
        <is>
          <t xml:space="preserve">year</t>
        </is>
      </c>
      <c r="F36" s="0" t="inlineStr">
        <is>
          <t xml:space="preserve">GAO-24-107732</t>
        </is>
      </c>
      <c r="G36" s="0" t="inlineStr">
        <is>
          <t xml:space="preserve">2024-09-30</t>
        </is>
      </c>
      <c r="H36" s="0" t="inlineStr">
        <is>
          <t xml:space="preserve">Columbia Class Submarine: Overcoming Persistent Challenges Requires Yet Undemonstrated Performance and Better-Informed Supplier Investments</t>
        </is>
      </c>
      <c r="I36" s="0" t="inlineStr">
        <is>
          <t xml:space="preserve">https://www.gao.gov/products/gao-24-107732</t>
        </is>
      </c>
      <c r="J36" s="0" t="inlineStr">
        <is>
          <t xml:space="preserve">As Ohio class submarines begin to retire in 2027, the lead Columbia class submarine must be ready for its first patrol in fiscal year 2031 to avoid a gap in deterrence requirements.</t>
        </is>
      </c>
    </row>
    <row r="37" outlineLevel="1">
      <c r="B37" s="0" t="inlineStr">
        <is>
          <t xml:space="preserve">31</t>
        </is>
      </c>
      <c r="C37" s="0" t="inlineStr">
        <is>
          <t xml:space="preserve">OBBBA second Virginia-class submarine (FY2026)</t>
        </is>
      </c>
      <c r="D37" s="5">
        <v>4600</v>
      </c>
      <c r="E37" s="0" t="inlineStr">
        <is>
          <t xml:space="preserve">USD millions</t>
        </is>
      </c>
      <c r="F37" s="0" t="inlineStr">
        <is>
          <t xml:space="preserve">OBBBA-MFAP-20002</t>
        </is>
      </c>
      <c r="G37" s="0" t="inlineStr">
        <is>
          <t xml:space="preserve">2026-02-18</t>
        </is>
      </c>
      <c r="H37" s="0" t="inlineStr">
        <is>
          <t xml:space="preserve">FY 2026 Mandatory Funding Allocation Plan (One Big Beautiful Bill Act)</t>
        </is>
      </c>
      <c r="I37" s="0" t="inlineStr">
        <is>
          <t xml:space="preserve">docs/obbba_funding_allocation_narrative_20260218.txt</t>
        </is>
      </c>
      <c r="J37" s="0" t="inlineStr">
        <is>
          <t xml:space="preserve">Funds the procurement of one Virginia Class submarine in FY 2026. Funds are expected to award in FY 2026, along with the funds for the one submarine requested in the FY 2026 discretionary budget request.</t>
        </is>
      </c>
    </row>
    <row r="38" outlineLevel="1">
      <c r="B38" s="0" t="inlineStr">
        <is>
          <t xml:space="preserve">32</t>
        </is>
      </c>
      <c r="C38" s="0" t="inlineStr">
        <is>
          <t xml:space="preserve">Strategic outsourcing required for concurrent CLB + VCS production</t>
        </is>
      </c>
      <c r="D38" s="5">
        <v>25</v>
      </c>
      <c r="E38" s="0" t="inlineStr">
        <is>
          <t xml:space="preserve">USD millions</t>
        </is>
      </c>
      <c r="F38" s="0" t="inlineStr">
        <is>
          <t xml:space="preserve">PB2027-SCN-P10-CLB</t>
        </is>
      </c>
      <c r="G38" s="0" t="inlineStr">
        <is>
          <t xml:space="preserve">2026-04</t>
        </is>
      </c>
      <c r="H38" s="0" t="inlineStr">
        <is>
          <t xml:space="preserve">PB 2027 Navy SCN Justification Book, COLUMBIA Class P-10 (Budget Funding Justification)</t>
        </is>
      </c>
      <c r="I38" s="0" t="inlineStr">
        <is>
          <t xml:space="preserve">budget_books/SCN_Book_FY27.txt</t>
        </is>
      </c>
      <c r="J38" s="0" t="inlineStr">
        <is>
          <t xml:space="preserve">Shipbuilders do not have sufficient capacity to accommodate CLB and VIRGINIA Class (VCS) concurrent production without strategically outsourcing workload to qualified suppliers. MIB investments will support continued development of outsourcing partners to rapidly achieve schedule and quality proficiency.</t>
        </is>
      </c>
    </row>
    <row r="39" outlineLevel="1">
      <c r="B39" s="0" t="inlineStr">
        <is>
          <t xml:space="preserve">33</t>
        </is>
      </c>
      <c r="C39" s="0" t="inlineStr">
        <is>
          <t xml:space="preserve">Virginia Block V construction master announced POP outside the prime team</t>
        </is>
      </c>
      <c r="D39" s="5">
        <v>34</v>
      </c>
      <c r="E39" s="0" t="inlineStr">
        <is>
          <t xml:space="preserve">percent</t>
        </is>
      </c>
      <c r="F39" s="0" t="inlineStr">
        <is>
          <t xml:space="preserve">DOD-CONTRACTS-20191202</t>
        </is>
      </c>
      <c r="G39" s="0" t="inlineStr">
        <is>
          <t xml:space="preserve">2019-12-02</t>
        </is>
      </c>
      <c r="H39" s="0" t="inlineStr">
        <is>
          <t xml:space="preserve">DoD Contracts for Dec. 2, 2019 (article 2030017)</t>
        </is>
      </c>
      <c r="I39" s="0" t="inlineStr">
        <is>
          <t xml:space="preserve">https://www.defense.gov/News/Contracts/Contract/Article/2030017/</t>
        </is>
      </c>
      <c r="J39" s="0" t="inlineStr">
        <is>
          <t xml:space="preserve">Work will be performed in Newport News, Virginia (25%); Quonset Point, Rhode Island (21%); Groton, Connecticut (20%); Sunnyvale, California (8%); Norfolk, Virginia (1%); Bethlehem, Pennsylvania (1%); and Annapolis, Maryland (1%), with other efforts performed at various places throughout the U.S. below one percent (22%), and other places outside of U.S. below one percent (1%).</t>
        </is>
      </c>
    </row>
    <row r="40" outlineLevel="1">
      <c r="B40" s="0" t="inlineStr">
        <is>
          <t xml:space="preserve">34</t>
        </is>
      </c>
      <c r="C40" s="0" t="inlineStr">
        <is>
          <t xml:space="preserve">Columbia Build I construction option announced POP outside the prime team</t>
        </is>
      </c>
      <c r="D40" s="5">
        <v>22</v>
      </c>
      <c r="E40" s="0" t="inlineStr">
        <is>
          <t xml:space="preserve">percent</t>
        </is>
      </c>
      <c r="F40" s="0" t="inlineStr">
        <is>
          <t xml:space="preserve">DOD-CONTRACTS-20201105</t>
        </is>
      </c>
      <c r="G40" s="0" t="inlineStr">
        <is>
          <t xml:space="preserve">2020-11-05</t>
        </is>
      </c>
      <c r="H40" s="0" t="inlineStr">
        <is>
          <t xml:space="preserve">DoD Contracts for Nov. 5, 2020 (article 2406922)</t>
        </is>
      </c>
      <c r="I40" s="0" t="inlineStr">
        <is>
          <t xml:space="preserve">https://www.defense.gov/Newsroom/Contracts/Contract/Article/2406922/</t>
        </is>
      </c>
      <c r="J40" s="0" t="inlineStr">
        <is>
          <t xml:space="preserve">Work will be performed in Groton, Connecticut (36%); Newport News, Virginia (25%); Quonset Point, Rhode Island (17%); with other efforts performed at various sites throughout the U.S. (each less than 1%) (22%).</t>
        </is>
      </c>
    </row>
    <row r="43">
      <c r="A43" s="0" t="inlineStr">
        <is>
          <t xml:space="preserve">x</t>
        </is>
      </c>
      <c r="B43" s="9" t="inlineStr">
        <is>
          <t xml:space="preserve">§2 - Executive commentary on make/buy (strategy signal, not sizing)</t>
        </is>
      </c>
      <c r="C43" s="9"/>
      <c r="D43" s="9"/>
      <c r="E43" s="9"/>
      <c r="F43" s="9"/>
      <c r="G43" s="9"/>
      <c r="H43" s="9"/>
      <c r="I43" s="9"/>
      <c r="J43" s="9"/>
    </row>
    <row r="45">
      <c r="B45" s="2" t="inlineStr">
        <is>
          <t xml:space="preserve">Quote ID</t>
        </is>
      </c>
      <c r="C45" s="2" t="inlineStr">
        <is>
          <t xml:space="preserve">Date</t>
        </is>
      </c>
      <c r="D45" s="2" t="inlineStr">
        <is>
          <t xml:space="preserve">Speaker</t>
        </is>
      </c>
      <c r="E45" s="2" t="inlineStr">
        <is>
          <t xml:space="preserve">Role</t>
        </is>
      </c>
      <c r="F45" s="2" t="inlineStr">
        <is>
          <t xml:space="preserve">Company</t>
        </is>
      </c>
      <c r="G45" s="2" t="inlineStr">
        <is>
          <t xml:space="preserve">Topic</t>
        </is>
      </c>
      <c r="H45" s="2" t="inlineStr">
        <is>
          <t xml:space="preserve">Quote</t>
        </is>
      </c>
      <c r="I45" s="2" t="inlineStr">
        <is>
          <t xml:space="preserve">Source URL</t>
        </is>
      </c>
    </row>
    <row r="46" outlineLevel="1">
      <c r="B46" s="0" t="inlineStr">
        <is>
          <t xml:space="preserve">EXEC-01</t>
        </is>
      </c>
      <c r="C46" s="0" t="inlineStr">
        <is>
          <t xml:space="preserve">2024-11</t>
        </is>
      </c>
      <c r="D46" s="0" t="inlineStr">
        <is>
          <t xml:space="preserve">Chris Kastner</t>
        </is>
      </c>
      <c r="E46" s="0" t="inlineStr">
        <is>
          <t xml:space="preserve">CEO</t>
        </is>
      </c>
      <c r="F46" s="0" t="inlineStr">
        <is>
          <t xml:space="preserve">HII</t>
        </is>
      </c>
      <c r="G46" s="0" t="inlineStr">
        <is>
          <t xml:space="preserve">Outsourcing trajectory (direction)</t>
        </is>
      </c>
      <c r="H46" s="0" t="inlineStr">
        <is>
          <t xml:space="preserve">Yes I think there's going to be a greater percentage of our work outsourced going forward. There is a premium related to that... we will increase the industrial base and increase outsourced partners on our future contracting activity... which means you're going to outsource more, which means it costs more. So we will outsource more.</t>
        </is>
      </c>
      <c r="I46" s="0" t="inlineStr">
        <is>
          <t xml:space="preserve">HII FY2024 Q3 earnings call (Insider Monkey transcript)</t>
        </is>
      </c>
    </row>
    <row r="47" outlineLevel="1">
      <c r="B47" s="0" t="inlineStr">
        <is>
          <t xml:space="preserve">EXEC-02</t>
        </is>
      </c>
      <c r="C47" s="0" t="inlineStr">
        <is>
          <t xml:space="preserve">2025-02</t>
        </is>
      </c>
      <c r="D47" s="0" t="inlineStr">
        <is>
          <t xml:space="preserve">Chris Kastner</t>
        </is>
      </c>
      <c r="E47" s="0" t="inlineStr">
        <is>
          <t xml:space="preserve">CEO</t>
        </is>
      </c>
      <c r="F47" s="0" t="inlineStr">
        <is>
          <t xml:space="preserve">HII</t>
        </is>
      </c>
      <c r="G47" s="0" t="inlineStr">
        <is>
          <t xml:space="preserve">30% outsourcing increase is "a material number"</t>
        </is>
      </c>
      <c r="H47" s="0" t="inlineStr">
        <is>
          <t xml:space="preserve">Yeah. It's a material number. And the good news is we're outsourcing with partners that we already do outsource work with.</t>
        </is>
      </c>
      <c r="I47" s="0" t="inlineStr">
        <is>
          <t xml:space="preserve">HII FY2024 Q4 earnings call (Insider Monkey transcript) - in response to Myles Walton (Wolfe Research) saying ""a move to increase it as much as you're talking about</t>
        </is>
      </c>
    </row>
    <row r="48" outlineLevel="1">
      <c r="B48" s="0" t="inlineStr">
        <is>
          <t xml:space="preserve">EXEC-03</t>
        </is>
      </c>
      <c r="C48" s="0" t="inlineStr">
        <is>
          <t xml:space="preserve">2025-02</t>
        </is>
      </c>
      <c r="D48" s="0" t="inlineStr">
        <is>
          <t xml:space="preserve">Tom Stiehle</t>
        </is>
      </c>
      <c r="E48" s="0" t="inlineStr">
        <is>
          <t xml:space="preserve">CFO</t>
        </is>
      </c>
      <c r="F48" s="0" t="inlineStr">
        <is>
          <t xml:space="preserve">HII</t>
        </is>
      </c>
      <c r="G48" s="0" t="inlineStr">
        <is>
          <t xml:space="preserve">Outsourcing tied to 20% throughput increase</t>
        </is>
      </c>
      <c r="H48" s="0" t="inlineStr">
        <is>
          <t xml:space="preserve">We anticipate that, you know, we'll be able to execute that work. And be a significant piece of the list that we talked about, about 20% more earn throughput.</t>
        </is>
      </c>
      <c r="I48" s="0" t="inlineStr">
        <is>
          <t xml:space="preserve">HII FY2024 Q4 earnings call</t>
        </is>
      </c>
    </row>
    <row r="49" outlineLevel="1">
      <c r="B49" s="0" t="inlineStr">
        <is>
          <t xml:space="preserve">EXEC-04</t>
        </is>
      </c>
      <c r="C49" s="0" t="inlineStr">
        <is>
          <t xml:space="preserve">2025-02</t>
        </is>
      </c>
      <c r="D49" s="0" t="inlineStr">
        <is>
          <t xml:space="preserve">Chris Kastner</t>
        </is>
      </c>
      <c r="E49" s="0" t="inlineStr">
        <is>
          <t xml:space="preserve">CEO</t>
        </is>
      </c>
      <c r="F49" s="0" t="inlineStr">
        <is>
          <t xml:space="preserve">HII</t>
        </is>
      </c>
      <c r="G49" s="0" t="inlineStr">
        <is>
          <t xml:space="preserve">Anti-vertical-integration stance</t>
        </is>
      </c>
      <c r="H49" s="0" t="inlineStr">
        <is>
          <t xml:space="preserve">We have a lot of outsource partners, and I'd rather develop outsource partners and have an arms-length relationship. I really don't want to vertically integrate.</t>
        </is>
      </c>
      <c r="I49" s="0" t="inlineStr">
        <is>
          <t xml:space="preserve">HII FY2024 Q4 earnings call</t>
        </is>
      </c>
    </row>
    <row r="50" outlineLevel="1">
      <c r="B50" s="0" t="inlineStr">
        <is>
          <t xml:space="preserve">EXEC-05</t>
        </is>
      </c>
      <c r="C50" s="0" t="inlineStr">
        <is>
          <t xml:space="preserve">2025-05</t>
        </is>
      </c>
      <c r="D50" s="0" t="inlineStr">
        <is>
          <t xml:space="preserve">Myles Walton</t>
        </is>
      </c>
      <c r="E50" s="0" t="inlineStr">
        <is>
          <t xml:space="preserve">Analyst</t>
        </is>
      </c>
      <c r="F50" s="0" t="inlineStr">
        <is>
          <t xml:space="preserve">Wolfe Research</t>
        </is>
      </c>
      <c r="G50" s="0" t="inlineStr">
        <is>
          <t xml:space="preserve">Outsourcing magnitude (analyst Q)</t>
        </is>
      </c>
      <c r="H50" s="0" t="inlineStr">
        <is>
          <t xml:space="preserve">Regarding the 35% increase in outsourcing, can you comment on where you are with respect to that and sort of how the performance quality is looking from what you're outsourcing?</t>
        </is>
      </c>
      <c r="I50" s="0" t="inlineStr">
        <is>
          <t xml:space="preserve">HII FY2025 Q1 earnings call (Insider Monkey transcript)</t>
        </is>
      </c>
    </row>
    <row r="51" outlineLevel="1">
      <c r="B51" s="0" t="inlineStr">
        <is>
          <t xml:space="preserve">EXEC-06</t>
        </is>
      </c>
      <c r="C51" s="0" t="inlineStr">
        <is>
          <t xml:space="preserve">2025-05</t>
        </is>
      </c>
      <c r="D51" s="0" t="inlineStr">
        <is>
          <t xml:space="preserve">Chris Kastner</t>
        </is>
      </c>
      <c r="E51" s="0" t="inlineStr">
        <is>
          <t xml:space="preserve">CEO</t>
        </is>
      </c>
      <c r="F51" s="0" t="inlineStr">
        <is>
          <t xml:space="preserve">HII</t>
        </is>
      </c>
      <c r="G51" s="0" t="inlineStr">
        <is>
          <t xml:space="preserve">Outsourcing execution at scale</t>
        </is>
      </c>
      <c r="H51" s="0" t="inlineStr">
        <is>
          <t xml:space="preserve">We are on schedule in both yards in outsourcing for the year and the quality looks good. So, we're going to continue it. We need to. The industrial base is expanding. We need to take advantage of it.</t>
        </is>
      </c>
      <c r="I51" s="0" t="inlineStr">
        <is>
          <t xml:space="preserve">HII FY2025 Q1 earnings call</t>
        </is>
      </c>
    </row>
    <row r="52" outlineLevel="1">
      <c r="B52" s="0" t="inlineStr">
        <is>
          <t xml:space="preserve">EXEC-07</t>
        </is>
      </c>
      <c r="C52" s="0" t="inlineStr">
        <is>
          <t xml:space="preserve">2025-Q3</t>
        </is>
      </c>
      <c r="D52" s="0" t="inlineStr">
        <is>
          <t xml:space="preserve">HII Press</t>
        </is>
      </c>
      <c r="E52" s="0" t="inlineStr">
        <is>
          <t xml:space="preserve">Earnings release</t>
        </is>
      </c>
      <c r="F52" s="0" t="inlineStr">
        <is>
          <t xml:space="preserve">HII</t>
        </is>
      </c>
      <c r="G52" s="0" t="inlineStr">
        <is>
          <t xml:space="preserve">Outsourcing as revenue driver</t>
        </is>
      </c>
      <c r="H52" s="0" t="inlineStr">
        <is>
          <t xml:space="preserve">Shipbuilding Sales - $2.4 billion in shipbuilding revenue for Q3 2025, up 18% year-over-year, boosted by higher throughput, material receipts, and accelerated outsourcing.</t>
        </is>
      </c>
      <c r="I52" s="0" t="inlineStr">
        <is>
          <t xml:space="preserve">HII FY2025 Q3 earnings highlights (Motley Fool)</t>
        </is>
      </c>
    </row>
    <row r="53" outlineLevel="1">
      <c r="B53" s="0" t="inlineStr">
        <is>
          <t xml:space="preserve">EXEC-08</t>
        </is>
      </c>
      <c r="C53" s="0" t="inlineStr">
        <is>
          <t xml:space="preserve">2026-05-05</t>
        </is>
      </c>
      <c r="D53" s="0" t="inlineStr">
        <is>
          <t xml:space="preserve">Chris Kastner / HII Q1 2026</t>
        </is>
      </c>
      <c r="E53" s="0" t="inlineStr">
        <is>
          <t xml:space="preserve">CEO</t>
        </is>
      </c>
      <c r="F53" s="0" t="inlineStr">
        <is>
          <t xml:space="preserve">HII</t>
        </is>
      </c>
      <c r="G53" s="0" t="inlineStr">
        <is>
          <t xml:space="preserve">30% YoY growth in outsourcing hours (OFFICIAL 2026 GUIDANCE)</t>
        </is>
      </c>
      <c r="H53" s="0" t="inlineStr">
        <is>
          <t xml:space="preserve">We are on track to grow our outsourcing hours year-over-year by 30%, and we will continue to identify capacity expansion opportunities to meet customer program demand requirements.</t>
        </is>
      </c>
      <c r="I53" s="0" t="inlineStr">
        <is>
          <t xml:space="preserve">HII FY2026 Q1 earnings call (May 5 2026; sourced via Investing.com / Motley Fool)</t>
        </is>
      </c>
    </row>
    <row r="54" outlineLevel="1">
      <c r="B54" s="0" t="inlineStr">
        <is>
          <t xml:space="preserve">EXEC-09</t>
        </is>
      </c>
      <c r="C54" s="0" t="inlineStr">
        <is>
          <t xml:space="preserve">2026-05-05</t>
        </is>
      </c>
      <c r="D54" s="0" t="inlineStr">
        <is>
          <t xml:space="preserve">HII Q1 2026 highlights</t>
        </is>
      </c>
      <c r="E54" s="0" t="inlineStr">
        <is>
          <t xml:space="preserve">Press release</t>
        </is>
      </c>
      <c r="F54" s="0" t="inlineStr">
        <is>
          <t xml:space="preserve">HII</t>
        </is>
      </c>
      <c r="G54" s="0" t="inlineStr">
        <is>
          <t xml:space="preserve">Outsourcing as a formal operational initiative</t>
        </is>
      </c>
      <c r="H54" s="0" t="inlineStr">
        <is>
          <t xml:space="preserve">Outsourcing Hours - Expected to grow by 30% year over year, supporting capacity expansion.</t>
        </is>
      </c>
      <c r="I54" s="0" t="inlineStr">
        <is>
          <t xml:space="preserve">HII FY2026 Q1 earnings highlights (Motley Fool transcript bullet point)</t>
        </is>
      </c>
    </row>
    <row r="55" outlineLevel="1">
      <c r="B55" s="0" t="inlineStr">
        <is>
          <t xml:space="preserve">EXEC-10</t>
        </is>
      </c>
      <c r="C55" s="0" t="inlineStr">
        <is>
          <t xml:space="preserve">2026-05-05</t>
        </is>
      </c>
      <c r="D55" s="0" t="inlineStr">
        <is>
          <t xml:space="preserve">Chris Kastner</t>
        </is>
      </c>
      <c r="E55" s="0" t="inlineStr">
        <is>
          <t xml:space="preserve">CEO</t>
        </is>
      </c>
      <c r="F55" s="0" t="inlineStr">
        <is>
          <t xml:space="preserve">HII</t>
        </is>
      </c>
      <c r="G55" s="0" t="inlineStr">
        <is>
          <t xml:space="preserve">Distributed shipbuilding strategy</t>
        </is>
      </c>
      <c r="H55" s="0" t="inlineStr">
        <is>
          <t xml:space="preserve">Leveraging our distributed shipbuilding strategy [...]</t>
        </is>
      </c>
      <c r="I55" s="0" t="inlineStr">
        <is>
          <t xml:space="preserve">HII FY2026 Q1 earnings call</t>
        </is>
      </c>
    </row>
    <row r="56" outlineLevel="1">
      <c r="B56" s="0" t="inlineStr">
        <is>
          <t xml:space="preserve">EXEC-11</t>
        </is>
      </c>
      <c r="C56" s="0" t="inlineStr">
        <is>
          <t xml:space="preserve">2026-01-28</t>
        </is>
      </c>
      <c r="D56" s="0" t="inlineStr">
        <is>
          <t xml:space="preserve">Phebe Novakovic</t>
        </is>
      </c>
      <c r="E56" s="0" t="inlineStr">
        <is>
          <t xml:space="preserve">CEO</t>
        </is>
      </c>
      <c r="F56" s="0" t="inlineStr">
        <is>
          <t xml:space="preserve">General Dynamics (parent of EB)</t>
        </is>
      </c>
      <c r="G56" s="0" t="inlineStr">
        <is>
          <t xml:space="preserve">Supply chain is the gating item</t>
        </is>
      </c>
      <c r="H56" s="0" t="inlineStr">
        <is>
          <t xml:space="preserve">The supply chain remains the gating item, and we have seen significant improvement in some areas, but we still have some suppliers and parts of the supply chain that are at risk.</t>
        </is>
      </c>
      <c r="I56" s="0" t="inlineStr">
        <is>
          <t xml:space="preserve">GD FY2025 Q4 earnings call (Motley Fool transcript)</t>
        </is>
      </c>
    </row>
    <row r="57" outlineLevel="1">
      <c r="B57" s="0" t="inlineStr">
        <is>
          <t xml:space="preserve">EXEC-12</t>
        </is>
      </c>
      <c r="C57" s="0" t="inlineStr">
        <is>
          <t xml:space="preserve">2026-01-28</t>
        </is>
      </c>
      <c r="D57" s="0" t="inlineStr">
        <is>
          <t xml:space="preserve">Phebe Novakovic</t>
        </is>
      </c>
      <c r="E57" s="0" t="inlineStr">
        <is>
          <t xml:space="preserve">CEO</t>
        </is>
      </c>
      <c r="F57" s="0" t="inlineStr">
        <is>
          <t xml:space="preserve">General Dynamics</t>
        </is>
      </c>
      <c r="G57" s="0" t="inlineStr">
        <is>
          <t xml:space="preserve">Sole-source bottleneck</t>
        </is>
      </c>
      <c r="H57" s="0" t="inlineStr">
        <is>
          <t xml:space="preserve">Sole source suppliers where they are bottlenecks (identified as key constraint).</t>
        </is>
      </c>
      <c r="I57" s="0" t="inlineStr">
        <is>
          <t xml:space="preserve">GD FY2025 Q4 earnings call (Motley Fool)</t>
        </is>
      </c>
    </row>
    <row r="58" outlineLevel="1">
      <c r="B58" s="0" t="inlineStr">
        <is>
          <t xml:space="preserve">EXEC-13</t>
        </is>
      </c>
      <c r="C58" s="0" t="inlineStr">
        <is>
          <t xml:space="preserve">2026-01-28</t>
        </is>
      </c>
      <c r="D58" s="0" t="inlineStr">
        <is>
          <t xml:space="preserve">Phebe Novakovic</t>
        </is>
      </c>
      <c r="E58" s="0" t="inlineStr">
        <is>
          <t xml:space="preserve">CEO</t>
        </is>
      </c>
      <c r="F58" s="0" t="inlineStr">
        <is>
          <t xml:space="preserve">General Dynamics</t>
        </is>
      </c>
      <c r="G58" s="0" t="inlineStr">
        <is>
          <t xml:space="preserve">Capital allocation tilt to EB</t>
        </is>
      </c>
      <c r="H58" s="0" t="inlineStr">
        <is>
          <t xml:space="preserve">Half at least of the CapEx for this coming year is at Electric Boat.</t>
        </is>
      </c>
      <c r="I58" s="0" t="inlineStr">
        <is>
          <t xml:space="preserve">GD FY2025 Q4 earnings call</t>
        </is>
      </c>
    </row>
    <row r="59" outlineLevel="1">
      <c r="B59" s="0" t="inlineStr">
        <is>
          <t xml:space="preserve">EXEC-14</t>
        </is>
      </c>
      <c r="C59" s="0" t="inlineStr">
        <is>
          <t xml:space="preserve">2026-04-29</t>
        </is>
      </c>
      <c r="D59" s="0" t="inlineStr">
        <is>
          <t xml:space="preserve">Danny Deep</t>
        </is>
      </c>
      <c r="E59" s="0" t="inlineStr">
        <is>
          <t xml:space="preserve">President/COO</t>
        </is>
      </c>
      <c r="F59" s="0" t="inlineStr">
        <is>
          <t xml:space="preserve">General Dynamics</t>
        </is>
      </c>
      <c r="G59" s="0" t="inlineStr">
        <is>
          <t xml:space="preserve">Single-source supplier bottlenecks</t>
        </is>
      </c>
      <c r="H59" s="0" t="inlineStr">
        <is>
          <t xml:space="preserve">We still see some areas in the supply chain where we need to get the cadence up, and those problems tend to be where we have complex components or complex systems where there are just single sources of supply.</t>
        </is>
      </c>
      <c r="I59" s="0" t="inlineStr">
        <is>
          <t xml:space="preserve">GD FY2026 Q1 earnings call (Motley Fool / Globe and Mail)</t>
        </is>
      </c>
    </row>
    <row r="60" outlineLevel="1">
      <c r="B60" s="0" t="inlineStr">
        <is>
          <t xml:space="preserve">EXEC-15</t>
        </is>
      </c>
      <c r="C60" s="0" t="inlineStr">
        <is>
          <t xml:space="preserve">2026-04-29</t>
        </is>
      </c>
      <c r="D60" s="0" t="inlineStr">
        <is>
          <t xml:space="preserve">Danny Deep</t>
        </is>
      </c>
      <c r="E60" s="0" t="inlineStr">
        <is>
          <t xml:space="preserve">President/COO</t>
        </is>
      </c>
      <c r="F60" s="0" t="inlineStr">
        <is>
          <t xml:space="preserve">General Dynamics</t>
        </is>
      </c>
      <c r="G60" s="0" t="inlineStr">
        <is>
          <t xml:space="preserve">Columbia progress</t>
        </is>
      </c>
      <c r="H60" s="0" t="inlineStr">
        <is>
          <t xml:space="preserve">At Electric Boat on the Columbia program, we have seen a 29% increase in the number of hours earned as compared to first quarter 2025.</t>
        </is>
      </c>
      <c r="I60" s="0" t="inlineStr">
        <is>
          <t xml:space="preserve">GD FY2026 Q1 earnings call</t>
        </is>
      </c>
    </row>
    <row r="61" outlineLevel="1">
      <c r="B61" s="0" t="inlineStr">
        <is>
          <t xml:space="preserve">EXEC-16</t>
        </is>
      </c>
      <c r="C61" s="0" t="inlineStr">
        <is>
          <t xml:space="preserve">2026-04-29</t>
        </is>
      </c>
      <c r="D61" s="0" t="inlineStr">
        <is>
          <t xml:space="preserve">Danny Deep</t>
        </is>
      </c>
      <c r="E61" s="0" t="inlineStr">
        <is>
          <t xml:space="preserve">President/COO</t>
        </is>
      </c>
      <c r="F61" s="0" t="inlineStr">
        <is>
          <t xml:space="preserve">General Dynamics</t>
        </is>
      </c>
      <c r="G61" s="0" t="inlineStr">
        <is>
          <t xml:space="preserve">Sequence critical material throughput</t>
        </is>
      </c>
      <c r="H61" s="0" t="inlineStr">
        <is>
          <t xml:space="preserve">For sequence critical material, we have seen a 52% increase in the number of items received as compared to this time period last year.</t>
        </is>
      </c>
      <c r="I61" s="0" t="inlineStr">
        <is>
          <t xml:space="preserve">GD FY2026 Q1 earnings call</t>
        </is>
      </c>
    </row>
    <row r="62" outlineLevel="1">
      <c r="B62" s="0" t="inlineStr">
        <is>
          <t xml:space="preserve">EXEC-17</t>
        </is>
      </c>
      <c r="C62" s="0" t="inlineStr">
        <is>
          <t xml:space="preserve">2025-Q3</t>
        </is>
      </c>
      <c r="D62" s="0" t="inlineStr">
        <is>
          <t xml:space="preserve">Phebe Novakovic</t>
        </is>
      </c>
      <c r="E62" s="0" t="inlineStr">
        <is>
          <t xml:space="preserve">CEO</t>
        </is>
      </c>
      <c r="F62" s="0" t="inlineStr">
        <is>
          <t xml:space="preserve">General Dynamics</t>
        </is>
      </c>
      <c r="G62" s="0" t="inlineStr">
        <is>
          <t xml:space="preserve">EB tonnage growth</t>
        </is>
      </c>
      <c r="H62" s="0" t="inlineStr">
        <is>
          <t xml:space="preserve">Electric Boat was up 13% in submarine tonnage produced over the prior year.</t>
        </is>
      </c>
      <c r="I62" s="0" t="inlineStr">
        <is>
          <t xml:space="preserve">GD FY2025 Q3 earnings call (Investing.com summary)</t>
        </is>
      </c>
    </row>
    <row r="63" outlineLevel="1">
      <c r="B63" s="0" t="inlineStr">
        <is>
          <t xml:space="preserve">EXEC-18</t>
        </is>
      </c>
      <c r="C63" s="0" t="inlineStr">
        <is>
          <t xml:space="preserve">2026-05-12</t>
        </is>
      </c>
      <c r="D63" s="0" t="inlineStr">
        <is>
          <t xml:space="preserve">US Navy</t>
        </is>
      </c>
      <c r="E63" s="0" t="inlineStr">
        <is>
          <t xml:space="preserve">Official policy</t>
        </is>
      </c>
      <c r="F63" s="0" t="inlineStr">
        <is>
          <t xml:space="preserve">Department of the Navy</t>
        </is>
      </c>
      <c r="G63" s="0" t="inlineStr">
        <is>
          <t xml:space="preserve">Distributed shipbuilding: 10% → 50% (5x target)</t>
        </is>
      </c>
      <c r="H63" s="0" t="inlineStr">
        <is>
          <t xml:space="preserve">Currently only 10% of shipbuilding occurs at distributed sites. The Navy aims to increase this to 50% to enhance flexibility, reduce legacy shipyard dependency, and accelerate delivery timelines.</t>
        </is>
      </c>
      <c r="I63" s="0" t="inlineStr">
        <is>
          <t xml:space="preserve">Navy Times reporting on US Navy FY27 Shipbuilding Plan / "Golden Fleet" announcement (May 12, 2026)</t>
        </is>
      </c>
    </row>
    <row r="64" outlineLevel="1">
      <c r="B64" s="0" t="inlineStr">
        <is>
          <t xml:space="preserve">EXEC-19</t>
        </is>
      </c>
      <c r="C64" s="0" t="inlineStr">
        <is>
          <t xml:space="preserve">2026-05-12</t>
        </is>
      </c>
      <c r="D64" s="0" t="inlineStr">
        <is>
          <t xml:space="preserve">US Navy FY27 Plan</t>
        </is>
      </c>
      <c r="E64" s="0" t="inlineStr">
        <is>
          <t xml:space="preserve">Official policy</t>
        </is>
      </c>
      <c r="F64" s="0" t="inlineStr">
        <is>
          <t xml:space="preserve">Department of the Navy</t>
        </is>
      </c>
      <c r="G64" s="0" t="inlineStr">
        <is>
          <t xml:space="preserve">Overseas/allied shipbuilding</t>
        </is>
      </c>
      <c r="H64" s="0" t="inlineStr">
        <is>
          <t xml:space="preserve">While American shipbuilding remains the priority, the Navy will evaluate overseas options and whether allied and partner shipbuilding can supplement domestic production if U.S. industry cannot meet required timelines.</t>
        </is>
      </c>
      <c r="I64" s="0" t="inlineStr">
        <is>
          <t xml:space="preserve">US Navy FY27 Shipbuilding Plan (Navy Times May 12 2026)</t>
        </is>
      </c>
    </row>
    <row r="65" outlineLevel="1">
      <c r="B65" s="0" t="inlineStr">
        <is>
          <t xml:space="preserve">EXEC-20</t>
        </is>
      </c>
      <c r="C65" s="0" t="inlineStr">
        <is>
          <t xml:space="preserve">2026-05-13</t>
        </is>
      </c>
      <c r="D65" s="0" t="inlineStr">
        <is>
          <t xml:space="preserve">US Navy ""Golden Fleet"" Plan</t>
        </is>
      </c>
      <c r="E65" s="0" t="inlineStr">
        <is>
          <t xml:space="preserve">Official policy</t>
        </is>
      </c>
      <c r="F65" s="0" t="inlineStr">
        <is>
          <t xml:space="preserve">Department of the Navy</t>
        </is>
      </c>
      <c r="G65" s="0" t="inlineStr">
        <is>
          <t xml:space="preserve">Sub IB investment plus distributed manufacturing</t>
        </is>
      </c>
      <c r="H65" s="0" t="inlineStr">
        <is>
          <t xml:space="preserve">To invest more than $6.2 billion specifically to expand and stabilize the submarine industrial base through workforce development, supplier expansion, distributed shipbuilding, advanced manufacturing technologies, and productivity modernization programs.</t>
        </is>
      </c>
      <c r="I65" s="0" t="inlineStr">
        <is>
          <t xml:space="preserve">Army Recognition / Defense Post coverage of Navy 30-year plan (May 12-13, 2026)</t>
        </is>
      </c>
    </row>
    <row r="66" outlineLevel="1">
      <c r="B66" s="0" t="inlineStr">
        <is>
          <t xml:space="preserve">EXEC-21</t>
        </is>
      </c>
      <c r="C66" s="0" t="inlineStr">
        <is>
          <t xml:space="preserve">2026-05-06</t>
        </is>
      </c>
      <c r="D66" s="0" t="inlineStr">
        <is>
          <t xml:space="preserve">AML3D / BlueForge</t>
        </is>
      </c>
      <c r="E66" s="0" t="inlineStr">
        <is>
          <t xml:space="preserve">Press release</t>
        </is>
      </c>
      <c r="F66" s="0" t="inlineStr">
        <is>
          <t xml:space="preserve">AML3D</t>
        </is>
      </c>
      <c r="G66" s="0" t="inlineStr">
        <is>
          <t xml:space="preserve">BlueForge concrete supplier example</t>
        </is>
      </c>
      <c r="H66" s="0" t="inlineStr">
        <is>
          <t xml:space="preserve">AML3D received a ~AU$2.61 million order from BlueForge Alliance for five replacement components for US Navy submarines, utilising ARCEMY 3D metal printing.</t>
        </is>
      </c>
      <c r="I66" s="0" t="inlineStr">
        <is>
          <t xml:space="preserve">Small Caps reporting on AML3D contract (May 6, 2026)</t>
        </is>
      </c>
    </row>
    <row r="69">
      <c r="A69" s="0" t="inlineStr">
        <is>
          <t xml:space="preserve">x</t>
        </is>
      </c>
      <c r="B69" s="9" t="inlineStr">
        <is>
          <t xml:space="preserve">§3 - Citation completeness</t>
        </is>
      </c>
      <c r="C69" s="9"/>
      <c r="D69" s="9"/>
      <c r="E69" s="9"/>
      <c r="F69" s="9"/>
      <c r="G69" s="9"/>
      <c r="H69" s="9"/>
      <c r="I69" s="9"/>
      <c r="J69" s="9"/>
    </row>
    <row r="71">
      <c r="B71" s="2" t="inlineStr">
        <is>
          <t xml:space="preserve">Citation family</t>
        </is>
      </c>
      <c r="C71" s="22" t="inlineStr">
        <is>
          <t xml:space="preserve">Count</t>
        </is>
      </c>
      <c r="D71" s="22" t="inlineStr">
        <is>
          <t xml:space="preserve">Missing URL count</t>
        </is>
      </c>
      <c r="E71" s="2" t="inlineStr">
        <is>
          <t xml:space="preserve">Notes</t>
        </is>
      </c>
    </row>
    <row r="72" outlineLevel="1">
      <c r="B72" s="0" t="inlineStr">
        <is>
          <t xml:space="preserve">Primary-source claims</t>
        </is>
      </c>
      <c r="C72" s="0">
        <v>34</v>
      </c>
      <c r="D72" s="0">
        <v>0</v>
      </c>
      <c r="E72" s="0" t="inlineStr">
        <is>
          <t xml:space="preserve">industry-baseline anchors</t>
        </is>
      </c>
    </row>
    <row r="73" outlineLevel="1">
      <c r="B73" s="0" t="inlineStr">
        <is>
          <t xml:space="preserve">Executive commentary</t>
        </is>
      </c>
      <c r="C73" s="0">
        <v>21</v>
      </c>
      <c r="D73" s="0">
        <v>0</v>
      </c>
      <c r="E73" s="0" t="inlineStr">
        <is>
          <t xml:space="preserve">strategy signal, not sizing</t>
        </is>
      </c>
    </row>
    <row r="74" outlineLevel="1">
      <c r="B74" s="0" t="inlineStr">
        <is>
          <t xml:space="preserve">Budget exhibits</t>
        </is>
      </c>
      <c r="C74" s="0">
        <v>5</v>
      </c>
      <c r="D74" s="0">
        <v>0</v>
      </c>
      <c r="E74" s="0" t="inlineStr">
        <is>
          <t xml:space="preserve">see Source Index</t>
        </is>
      </c>
    </row>
    <row r="75" outlineLevel="1">
      <c r="B75" s="0" t="inlineStr">
        <is>
          <t xml:space="preserve">Methodology documents</t>
        </is>
      </c>
      <c r="C75" s="0">
        <v>4</v>
      </c>
      <c r="D75" s="0">
        <v>0</v>
      </c>
      <c r="E75" s="0" t="inlineStr">
        <is>
          <t xml:space="preserve">see Source Index</t>
        </is>
      </c>
    </row>
  </sheetData>
  <tableParts count="2">
    <tablePart r:id="rId1"/>
    <tablePart r:id="rId2"/>
  </tableParts>
</worksheet>
</file>

<file path=xl/worksheets/sheet23.xml><?xml version="1.0" encoding="utf-8"?>
<worksheet xmlns="http://schemas.openxmlformats.org/spreadsheetml/2006/main" xmlns:r="http://schemas.openxmlformats.org/officeDocument/2006/relationships">
  <sheetPr>
    <tabColor rgb="FF404040"/>
    <outlinePr summaryBelow="0"/>
  </sheetPr>
  <sheetViews>
    <sheetView showGridLines="0" workbookViewId="0" showOutlineSymbols="0"/>
  </sheetViews>
  <sheetFormatPr defaultRowHeight="10" customHeight="1"/>
  <cols>
    <col min="1" max="1" width="2.2109375" customWidth="1"/>
    <col min="2" max="2" width="40"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s>
  <sheetData>
    <row r="1"/>
    <row r="2">
      <c r="B2" s="8" t="inlineStr">
        <is>
          <t xml:space="preserve">z_ChartData</t>
        </is>
      </c>
      <c r="C2" s="8"/>
      <c r="D2" s="8"/>
      <c r="E2" s="8"/>
      <c r="F2" s="8"/>
      <c r="G2" s="8"/>
      <c r="H2" s="8"/>
      <c r="I2" s="8"/>
      <c r="J2" s="8"/>
      <c r="K2" s="8"/>
      <c r="L2" s="8"/>
    </row>
    <row r="4">
      <c r="A4" s="0" t="inlineStr">
        <is>
          <t xml:space="preserve">x</t>
        </is>
      </c>
      <c r="B4" s="9" t="inlineStr">
        <is>
          <t xml:space="preserve">§1 - Basic Construction (stacked column)</t>
        </is>
      </c>
      <c r="C4" s="9"/>
      <c r="D4" s="9"/>
      <c r="E4" s="9"/>
      <c r="F4" s="9"/>
      <c r="G4" s="9"/>
      <c r="H4" s="9"/>
      <c r="I4" s="9"/>
      <c r="J4" s="9"/>
      <c r="K4" s="9"/>
      <c r="L4" s="9"/>
    </row>
    <row r="6" outlineLevel="1">
      <c r="B6" s="23"/>
      <c r="C6" s="24" t="inlineStr">
        <is>
          <t xml:space="preserve">FY2022</t>
        </is>
      </c>
      <c r="D6" s="24" t="inlineStr">
        <is>
          <t xml:space="preserve">FY2023</t>
        </is>
      </c>
      <c r="E6" s="24" t="inlineStr">
        <is>
          <t xml:space="preserve">FY2024</t>
        </is>
      </c>
      <c r="F6" s="24" t="inlineStr">
        <is>
          <t xml:space="preserve">FY2025</t>
        </is>
      </c>
      <c r="G6" s="24" t="inlineStr">
        <is>
          <t xml:space="preserve">FY2026</t>
        </is>
      </c>
      <c r="H6" s="25" t="inlineStr">
        <is>
          <t xml:space="preserve">FY2027</t>
        </is>
      </c>
    </row>
    <row r="7" outlineLevel="1">
      <c r="B7" s="26" t="inlineStr">
        <is>
          <t xml:space="preserve">Virginia</t>
        </is>
      </c>
      <c r="C7" s="37">
        <f>'SCN Budget'!C54/1000</f>
      </c>
      <c r="D7" s="37">
        <f>'SCN Budget'!D54/1000</f>
      </c>
      <c r="E7" s="37">
        <f>'SCN Budget'!E54/1000</f>
      </c>
      <c r="F7" s="37">
        <f>'SCN Budget'!F54/1000</f>
      </c>
      <c r="G7" s="37">
        <f>'SCN Budget'!G54/1000</f>
      </c>
      <c r="H7" s="36">
        <f>'SCN Budget'!H54/1000</f>
      </c>
    </row>
    <row r="8" outlineLevel="1">
      <c r="B8" s="27" t="inlineStr">
        <is>
          <t xml:space="preserve">Columbia</t>
        </is>
      </c>
      <c r="C8" s="34">
        <f>'SCN Budget'!C96/1000</f>
      </c>
      <c r="D8" s="34">
        <f>'SCN Budget'!D96/1000</f>
      </c>
      <c r="E8" s="34">
        <f>'SCN Budget'!E96/1000</f>
      </c>
      <c r="F8" s="34">
        <f>'SCN Budget'!F96/1000</f>
      </c>
      <c r="G8" s="34">
        <f>'SCN Budget'!G96/1000</f>
      </c>
      <c r="H8" s="35">
        <f>'SCN Budget'!H96/1000</f>
      </c>
    </row>
    <row r="11">
      <c r="A11" s="0" t="inlineStr">
        <is>
          <t xml:space="preserve">x</t>
        </is>
      </c>
      <c r="B11" s="9" t="inlineStr">
        <is>
          <t xml:space="preserve">§2 - Annual cadence (clustered column)</t>
        </is>
      </c>
      <c r="C11" s="9"/>
      <c r="D11" s="9"/>
      <c r="E11" s="9"/>
      <c r="F11" s="9"/>
      <c r="G11" s="9"/>
      <c r="H11" s="9"/>
      <c r="I11" s="9"/>
      <c r="J11" s="9"/>
      <c r="K11" s="9"/>
      <c r="L11" s="9"/>
    </row>
    <row r="13" outlineLevel="1">
      <c r="B13" s="23"/>
      <c r="C13" s="24" t="inlineStr">
        <is>
          <t xml:space="preserve">FY2022</t>
        </is>
      </c>
      <c r="D13" s="24" t="inlineStr">
        <is>
          <t xml:space="preserve">FY2023</t>
        </is>
      </c>
      <c r="E13" s="24" t="inlineStr">
        <is>
          <t xml:space="preserve">FY2024</t>
        </is>
      </c>
      <c r="F13" s="24" t="inlineStr">
        <is>
          <t xml:space="preserve">FY2025</t>
        </is>
      </c>
      <c r="G13" s="24" t="inlineStr">
        <is>
          <t xml:space="preserve">FY2026</t>
        </is>
      </c>
      <c r="H13" s="25" t="inlineStr">
        <is>
          <t xml:space="preserve">FY2027</t>
        </is>
      </c>
    </row>
    <row r="14" outlineLevel="1">
      <c r="B14" s="26" t="inlineStr">
        <is>
          <t xml:space="preserve">TAM</t>
        </is>
      </c>
      <c r="C14" s="37">
        <f>'TAM Build'!C135/1000</f>
      </c>
      <c r="D14" s="37">
        <f>'TAM Build'!D135/1000</f>
      </c>
      <c r="E14" s="37">
        <f>'TAM Build'!E135/1000</f>
      </c>
      <c r="F14" s="37">
        <f>'TAM Build'!F135/1000</f>
      </c>
      <c r="G14" s="37">
        <f>'TAM Build'!G135/1000</f>
      </c>
      <c r="H14" s="36">
        <f>'TAM Build'!H135/1000</f>
      </c>
    </row>
    <row r="15" outlineLevel="1">
      <c r="B15" s="27" t="inlineStr">
        <is>
          <t xml:space="preserve">Broad SAM</t>
        </is>
      </c>
      <c r="C15" s="34">
        <f>'SAM Build'!H132/1000</f>
      </c>
      <c r="D15" s="34">
        <f>'SAM Build'!H133/1000</f>
      </c>
      <c r="E15" s="34">
        <f>'SAM Build'!H134/1000</f>
      </c>
      <c r="F15" s="34">
        <f>'SAM Build'!H135/1000</f>
      </c>
      <c r="G15" s="34">
        <f>'SAM Build'!H136/1000</f>
      </c>
      <c r="H15" s="35">
        <f>'SAM Build'!H137/1000</f>
      </c>
    </row>
    <row r="18">
      <c r="A18" s="0" t="inlineStr">
        <is>
          <t xml:space="preserve">x</t>
        </is>
      </c>
      <c r="B18" s="9" t="inlineStr">
        <is>
          <t xml:space="preserve">§3 - Coefficient evidence (ranked column)</t>
        </is>
      </c>
      <c r="C18" s="9"/>
      <c r="D18" s="9"/>
      <c r="E18" s="9"/>
      <c r="F18" s="9"/>
      <c r="G18" s="9"/>
      <c r="H18" s="9"/>
      <c r="I18" s="9"/>
      <c r="J18" s="9"/>
      <c r="K18" s="9"/>
      <c r="L18" s="9"/>
    </row>
    <row r="20" outlineLevel="1">
      <c r="B20" s="23"/>
      <c r="C20" s="24" t="inlineStr">
        <is>
          <t xml:space="preserve">POP anchor</t>
        </is>
      </c>
      <c r="D20" s="24" t="inlineStr">
        <is>
          <t xml:space="preserve">AP/LLTM ref</t>
        </is>
      </c>
      <c r="E20" s="24" t="inlineStr">
        <is>
          <t xml:space="preserve">Applied BC - Va</t>
        </is>
      </c>
      <c r="F20" s="25" t="inlineStr">
        <is>
          <t xml:space="preserve">Applied BC - Col</t>
        </is>
      </c>
    </row>
    <row r="21" outlineLevel="1">
      <c r="B21" s="27"/>
      <c r="C21" s="39">
        <f>'TAM Build'!C93</f>
      </c>
      <c r="D21" s="39">
        <f>'TAM Build'!C65</f>
      </c>
      <c r="E21" s="39">
        <f>'TAM Build'!C62</f>
      </c>
      <c r="F21" s="40">
        <f>'TAM Build'!C63</f>
      </c>
    </row>
    <row r="24">
      <c r="A24" s="0" t="inlineStr">
        <is>
          <t xml:space="preserve">x</t>
        </is>
      </c>
      <c r="B24" s="9" t="inlineStr">
        <is>
          <t xml:space="preserve">§4 - AP and LLTM bridge (waterfall)</t>
        </is>
      </c>
      <c r="C24" s="9"/>
      <c r="D24" s="9"/>
      <c r="E24" s="9"/>
      <c r="F24" s="9"/>
      <c r="G24" s="9"/>
      <c r="H24" s="9"/>
      <c r="I24" s="9"/>
      <c r="J24" s="9"/>
      <c r="K24" s="9"/>
      <c r="L24" s="9"/>
    </row>
    <row r="26" outlineLevel="1">
      <c r="B26" s="23"/>
      <c r="C26" s="24" t="inlineStr">
        <is>
          <t xml:space="preserve">Gross AP</t>
        </is>
      </c>
      <c r="D26" s="24" t="inlineStr">
        <is>
          <t xml:space="preserve">GFE design weapons</t>
        </is>
      </c>
      <c r="E26" s="24" t="inlineStr">
        <is>
          <t xml:space="preserve">Inside BC</t>
        </is>
      </c>
      <c r="F26" s="24" t="inlineStr">
        <is>
          <t xml:space="preserve">Overlap</t>
        </is>
      </c>
      <c r="G26" s="25" t="inlineStr">
        <is>
          <t xml:space="preserve">Additive base</t>
        </is>
      </c>
    </row>
    <row r="27" outlineLevel="1">
      <c r="B27" s="27"/>
      <c r="C27" s="34">
        <f>'AP Bridge'!C62/1000</f>
      </c>
      <c r="D27" s="34">
        <f>'AP Bridge'!C63/1000</f>
      </c>
      <c r="E27" s="34">
        <f>'AP Bridge'!C64/1000</f>
      </c>
      <c r="F27" s="34">
        <f>'AP Bridge'!C65/1000</f>
      </c>
      <c r="G27" s="35" t="inlineStr">
        <is>
          <t xml:space="preserve">e</t>
        </is>
      </c>
    </row>
    <row r="30">
      <c r="A30" s="0" t="inlineStr">
        <is>
          <t xml:space="preserve">x</t>
        </is>
      </c>
      <c r="B30" s="9" t="inlineStr">
        <is>
          <t xml:space="preserve">§5 - Work-type (bucket) TAM (ranked column)</t>
        </is>
      </c>
      <c r="C30" s="9"/>
      <c r="D30" s="9"/>
      <c r="E30" s="9"/>
      <c r="F30" s="9"/>
      <c r="G30" s="9"/>
      <c r="H30" s="9"/>
      <c r="I30" s="9"/>
      <c r="J30" s="9"/>
      <c r="K30" s="9"/>
      <c r="L30" s="9"/>
    </row>
    <row r="32" outlineLevel="1">
      <c r="B32" s="23"/>
      <c r="C32" s="24" t="inlineStr">
        <is>
          <t xml:space="preserve">Electrical/power</t>
        </is>
      </c>
      <c r="D32" s="24" t="inlineStr">
        <is>
          <t xml:space="preserve">Structural</t>
        </is>
      </c>
      <c r="E32" s="24" t="inlineStr">
        <is>
          <t xml:space="preserve">Piping/valves</t>
        </is>
      </c>
      <c r="F32" s="24" t="inlineStr">
        <is>
          <t xml:space="preserve">Castings</t>
        </is>
      </c>
      <c r="G32" s="24" t="inlineStr">
        <is>
          <t xml:space="preserve">Coatings</t>
        </is>
      </c>
      <c r="H32" s="24" t="inlineStr">
        <is>
          <t xml:space="preserve">Machining</t>
        </is>
      </c>
      <c r="I32" s="25" t="inlineStr">
        <is>
          <t xml:space="preserve">HVAC</t>
        </is>
      </c>
    </row>
    <row r="33" outlineLevel="1">
      <c r="B33" s="27"/>
      <c r="C33" s="29">
        <f>'SAM Build'!C106/'TAM Build'!C142</f>
      </c>
      <c r="D33" s="29">
        <f>'SAM Build'!C102/'TAM Build'!C142</f>
      </c>
      <c r="E33" s="29">
        <f>'SAM Build'!C105/'TAM Build'!C142</f>
      </c>
      <c r="F33" s="29">
        <f>'SAM Build'!C104/'TAM Build'!C142</f>
      </c>
      <c r="G33" s="29">
        <f>'SAM Build'!C108/'TAM Build'!C142</f>
      </c>
      <c r="H33" s="29">
        <f>'SAM Build'!C103/'TAM Build'!C142</f>
      </c>
      <c r="I33" s="30">
        <f>'SAM Build'!C107/'TAM Build'!C142</f>
      </c>
    </row>
    <row r="36">
      <c r="A36" s="0" t="inlineStr">
        <is>
          <t xml:space="preserve">x</t>
        </is>
      </c>
      <c r="B36" s="9" t="inlineStr">
        <is>
          <t xml:space="preserve">§6 - SAM scenarios (ranked column)</t>
        </is>
      </c>
      <c r="C36" s="9"/>
      <c r="D36" s="9"/>
      <c r="E36" s="9"/>
      <c r="F36" s="9"/>
      <c r="G36" s="9"/>
      <c r="H36" s="9"/>
      <c r="I36" s="9"/>
      <c r="J36" s="9"/>
      <c r="K36" s="9"/>
      <c r="L36" s="9"/>
    </row>
    <row r="38" outlineLevel="1">
      <c r="B38" s="23"/>
      <c r="C38" s="24" t="inlineStr">
        <is>
          <t xml:space="preserve">Broad components</t>
        </is>
      </c>
      <c r="D38" s="24" t="inlineStr">
        <is>
          <t xml:space="preserve">Electrical/power</t>
        </is>
      </c>
      <c r="E38" s="24" t="inlineStr">
        <is>
          <t xml:space="preserve">Metal components</t>
        </is>
      </c>
      <c r="F38" s="24" t="inlineStr">
        <is>
          <t xml:space="preserve">Modular assy</t>
        </is>
      </c>
      <c r="G38" s="25" t="inlineStr">
        <is>
          <t xml:space="preserve">HM&amp;E</t>
        </is>
      </c>
    </row>
    <row r="39" outlineLevel="1">
      <c r="B39" s="27"/>
      <c r="C39" s="29">
        <f>'SAM Build'!C120</f>
      </c>
      <c r="D39" s="29">
        <f>'SAM Build'!C118</f>
      </c>
      <c r="E39" s="29">
        <f>'SAM Build'!C116</f>
      </c>
      <c r="F39" s="29">
        <f>'SAM Build'!C119</f>
      </c>
      <c r="G39" s="30">
        <f>'SAM Build'!C117</f>
      </c>
    </row>
    <row r="42">
      <c r="A42" s="0" t="inlineStr">
        <is>
          <t xml:space="preserve">x</t>
        </is>
      </c>
      <c r="B42" s="9" t="inlineStr">
        <is>
          <t xml:space="preserve">§7 - Visible suppliers (bar)</t>
        </is>
      </c>
      <c r="C42" s="9"/>
      <c r="D42" s="9"/>
      <c r="E42" s="9"/>
      <c r="F42" s="9"/>
      <c r="G42" s="9"/>
      <c r="H42" s="9"/>
      <c r="I42" s="9"/>
      <c r="J42" s="9"/>
      <c r="K42" s="9"/>
      <c r="L42" s="9"/>
    </row>
    <row r="44" outlineLevel="1">
      <c r="B44" s="23"/>
      <c r="C44" s="25" t="inlineStr">
        <is>
          <t xml:space="preserve">Visible subaward $M</t>
        </is>
      </c>
    </row>
    <row r="45" outlineLevel="1">
      <c r="B45" s="26">
        <f>'Entity Master'!B17</f>
      </c>
      <c r="C45" s="31">
        <f>'Entity Master'!G17</f>
      </c>
    </row>
    <row r="46" outlineLevel="1">
      <c r="B46" s="26">
        <f>'Entity Master'!B18</f>
      </c>
      <c r="C46" s="31">
        <f>'Entity Master'!G18</f>
      </c>
    </row>
    <row r="47" outlineLevel="1">
      <c r="B47" s="26">
        <f>'Entity Master'!B19</f>
      </c>
      <c r="C47" s="31">
        <f>'Entity Master'!G19</f>
      </c>
    </row>
    <row r="48" outlineLevel="1">
      <c r="B48" s="26">
        <f>'Entity Master'!B20</f>
      </c>
      <c r="C48" s="31">
        <f>'Entity Master'!G20</f>
      </c>
    </row>
    <row r="49" outlineLevel="1">
      <c r="B49" s="26">
        <f>'Entity Master'!B21</f>
      </c>
      <c r="C49" s="31">
        <f>'Entity Master'!G21</f>
      </c>
    </row>
    <row r="50" outlineLevel="1">
      <c r="B50" s="26">
        <f>'Entity Master'!B22</f>
      </c>
      <c r="C50" s="31">
        <f>'Entity Master'!G22</f>
      </c>
    </row>
    <row r="51" outlineLevel="1">
      <c r="B51" s="26">
        <f>'Entity Master'!B23</f>
      </c>
      <c r="C51" s="31">
        <f>'Entity Master'!G23</f>
      </c>
    </row>
    <row r="52" outlineLevel="1">
      <c r="B52" s="26">
        <f>'Entity Master'!B24</f>
      </c>
      <c r="C52" s="31">
        <f>'Entity Master'!G24</f>
      </c>
    </row>
    <row r="53" outlineLevel="1">
      <c r="B53" s="26">
        <f>'Entity Master'!B26</f>
      </c>
      <c r="C53" s="31">
        <f>'Entity Master'!G26</f>
      </c>
    </row>
    <row r="54" outlineLevel="1">
      <c r="B54" s="27">
        <f>'Entity Master'!B27</f>
      </c>
      <c r="C54" s="30">
        <f>'Entity Master'!G27</f>
      </c>
    </row>
    <row r="57">
      <c r="A57" s="0" t="inlineStr">
        <is>
          <t xml:space="preserve">x</t>
        </is>
      </c>
      <c r="B57" s="9" t="inlineStr">
        <is>
          <t xml:space="preserve">§8 - SIB exclusion (waterfall)</t>
        </is>
      </c>
      <c r="C57" s="9"/>
      <c r="D57" s="9"/>
      <c r="E57" s="9"/>
      <c r="F57" s="9"/>
      <c r="G57" s="9"/>
      <c r="H57" s="9"/>
      <c r="I57" s="9"/>
      <c r="J57" s="9"/>
      <c r="K57" s="9"/>
      <c r="L57" s="9"/>
    </row>
    <row r="59" outlineLevel="1">
      <c r="B59" s="23"/>
      <c r="C59" s="24" t="inlineStr">
        <is>
          <t xml:space="preserve">BlueForge</t>
        </is>
      </c>
      <c r="D59" s="24" t="inlineStr">
        <is>
          <t xml:space="preserve">TMG</t>
        </is>
      </c>
      <c r="E59" s="24" t="inlineStr">
        <is>
          <t xml:space="preserve">IALR</t>
        </is>
      </c>
      <c r="F59" s="25" t="inlineStr">
        <is>
          <t xml:space="preserve">Total excluded</t>
        </is>
      </c>
    </row>
    <row r="60" outlineLevel="1">
      <c r="B60" s="27"/>
      <c r="C60" s="29">
        <f>'SIB Excluded'!D14</f>
      </c>
      <c r="D60" s="29">
        <f>'SIB Excluded'!D15</f>
      </c>
      <c r="E60" s="29">
        <f>'SIB Excluded'!D16</f>
      </c>
      <c r="F60" s="30" t="inlineStr">
        <is>
          <t xml:space="preserve">e</t>
        </is>
      </c>
    </row>
    <row r="63">
      <c r="A63" s="0" t="inlineStr">
        <is>
          <t xml:space="preserve">x</t>
        </is>
      </c>
      <c r="B63" s="9" t="inlineStr">
        <is>
          <t xml:space="preserve">§9 - Coefficient sensitivity (ranked column)</t>
        </is>
      </c>
      <c r="C63" s="9"/>
      <c r="D63" s="9"/>
      <c r="E63" s="9"/>
      <c r="F63" s="9"/>
      <c r="G63" s="9"/>
      <c r="H63" s="9"/>
      <c r="I63" s="9"/>
      <c r="J63" s="9"/>
      <c r="K63" s="9"/>
      <c r="L63" s="9"/>
    </row>
    <row r="65" outlineLevel="1">
      <c r="B65" s="23"/>
      <c r="C65" s="24" t="inlineStr">
        <is>
          <t xml:space="preserve">POP anchor</t>
        </is>
      </c>
      <c r="D65" s="24" t="inlineStr">
        <is>
          <t xml:space="preserve">AP/LLTM ref</t>
        </is>
      </c>
      <c r="E65" s="24" t="inlineStr">
        <is>
          <t xml:space="preserve">Applied BC - Va</t>
        </is>
      </c>
      <c r="F65" s="25" t="inlineStr">
        <is>
          <t xml:space="preserve">Applied BC - Col</t>
        </is>
      </c>
    </row>
    <row r="66" outlineLevel="1">
      <c r="B66" s="27"/>
      <c r="C66" s="39">
        <f>'TAM Build'!C93</f>
      </c>
      <c r="D66" s="39">
        <f>'TAM Build'!C65</f>
      </c>
      <c r="E66" s="39">
        <f>'TAM Build'!C62</f>
      </c>
      <c r="F66" s="40">
        <f>'TAM Build'!C63</f>
      </c>
    </row>
    <row r="69">
      <c r="A69" s="0" t="inlineStr">
        <is>
          <t xml:space="preserve">x</t>
        </is>
      </c>
      <c r="B69" s="9" t="inlineStr">
        <is>
          <t xml:space="preserve">§10 - Outsourced BC penetration (strip)</t>
        </is>
      </c>
      <c r="C69" s="9"/>
      <c r="D69" s="9"/>
      <c r="E69" s="9"/>
      <c r="F69" s="9"/>
      <c r="G69" s="9"/>
      <c r="H69" s="9"/>
      <c r="I69" s="9"/>
      <c r="J69" s="9"/>
      <c r="K69" s="9"/>
      <c r="L69" s="9"/>
    </row>
    <row r="71" outlineLevel="1">
      <c r="B71" s="23"/>
      <c r="C71" s="24" t="inlineStr">
        <is>
          <t xml:space="preserve">FY2022</t>
        </is>
      </c>
      <c r="D71" s="24" t="inlineStr">
        <is>
          <t xml:space="preserve">FY2023</t>
        </is>
      </c>
      <c r="E71" s="24" t="inlineStr">
        <is>
          <t xml:space="preserve">FY2024</t>
        </is>
      </c>
      <c r="F71" s="24" t="inlineStr">
        <is>
          <t xml:space="preserve">FY2025</t>
        </is>
      </c>
      <c r="G71" s="24" t="inlineStr">
        <is>
          <t xml:space="preserve">FY2026</t>
        </is>
      </c>
      <c r="H71" s="24" t="inlineStr">
        <is>
          <t xml:space="preserve">FY2027</t>
        </is>
      </c>
      <c r="I71" s="24" t="inlineStr">
        <is>
          <t xml:space="preserve">FY2028</t>
        </is>
      </c>
      <c r="J71" s="24" t="inlineStr">
        <is>
          <t xml:space="preserve">FY2029</t>
        </is>
      </c>
      <c r="K71" s="24" t="inlineStr">
        <is>
          <t xml:space="preserve">FY2030</t>
        </is>
      </c>
      <c r="L71" s="25" t="inlineStr">
        <is>
          <t xml:space="preserve">FY2031</t>
        </is>
      </c>
    </row>
    <row r="72" outlineLevel="1">
      <c r="B72" s="26" t="inlineStr">
        <is>
          <t xml:space="preserve">Actual</t>
        </is>
      </c>
      <c r="C72" s="42">
        <f>'Outlook'!C27</f>
      </c>
      <c r="D72" s="42">
        <f>'Outlook'!D27</f>
      </c>
      <c r="E72" s="42">
        <f>'Outlook'!E27</f>
      </c>
      <c r="F72" s="42">
        <f>'Outlook'!F27</f>
      </c>
      <c r="G72" s="42">
        <f>'Outlook'!G27</f>
      </c>
      <c r="H72" s="42">
        <f>'Outlook'!H27</f>
      </c>
      <c r="I72" s="42"/>
      <c r="J72" s="42"/>
      <c r="K72" s="42"/>
      <c r="L72" s="41"/>
    </row>
    <row r="73" outlineLevel="1">
      <c r="B73" s="26" t="inlineStr">
        <is>
          <t xml:space="preserve">Assumed low</t>
        </is>
      </c>
      <c r="C73" s="42"/>
      <c r="D73" s="42"/>
      <c r="E73" s="42"/>
      <c r="F73" s="42"/>
      <c r="G73" s="42"/>
      <c r="H73" s="42"/>
      <c r="I73" s="42">
        <f>'Outlook'!C62</f>
      </c>
      <c r="J73" s="42">
        <f>'Outlook'!C62</f>
      </c>
      <c r="K73" s="42">
        <f>'Outlook'!C62</f>
      </c>
      <c r="L73" s="41">
        <f>'Outlook'!C62</f>
      </c>
    </row>
    <row r="74" outlineLevel="1">
      <c r="B74" s="27" t="inlineStr">
        <is>
          <t xml:space="preserve">Assumed high</t>
        </is>
      </c>
      <c r="C74" s="39"/>
      <c r="D74" s="39"/>
      <c r="E74" s="39"/>
      <c r="F74" s="39"/>
      <c r="G74" s="39"/>
      <c r="H74" s="39"/>
      <c r="I74" s="39">
        <f>'Outlook'!C63</f>
      </c>
      <c r="J74" s="39">
        <f>'Outlook'!C63</f>
      </c>
      <c r="K74" s="39">
        <f>'Outlook'!C63</f>
      </c>
      <c r="L74" s="40">
        <f>'Outlook'!C63</f>
      </c>
    </row>
    <row r="77">
      <c r="A77" s="0" t="inlineStr">
        <is>
          <t xml:space="preserve">x</t>
        </is>
      </c>
      <c r="B77" s="9" t="inlineStr">
        <is>
          <t xml:space="preserve">§11 - Implied outyear Outsourced BC (stacked column)</t>
        </is>
      </c>
      <c r="C77" s="9"/>
      <c r="D77" s="9"/>
      <c r="E77" s="9"/>
      <c r="F77" s="9"/>
      <c r="G77" s="9"/>
      <c r="H77" s="9"/>
      <c r="I77" s="9"/>
      <c r="J77" s="9"/>
      <c r="K77" s="9"/>
      <c r="L77" s="9"/>
    </row>
    <row r="79" outlineLevel="1">
      <c r="B79" s="23"/>
      <c r="C79" s="24" t="inlineStr">
        <is>
          <t xml:space="preserve">FY2028</t>
        </is>
      </c>
      <c r="D79" s="24" t="inlineStr">
        <is>
          <t xml:space="preserve">FY2029</t>
        </is>
      </c>
      <c r="E79" s="24" t="inlineStr">
        <is>
          <t xml:space="preserve">FY2030</t>
        </is>
      </c>
      <c r="F79" s="25" t="inlineStr">
        <is>
          <t xml:space="preserve">FY2031</t>
        </is>
      </c>
    </row>
    <row r="80" outlineLevel="1">
      <c r="B80" s="26" t="inlineStr">
        <is>
          <t xml:space="preserve">Implied low</t>
        </is>
      </c>
      <c r="C80" s="32">
        <f>'Outlook'!C56</f>
      </c>
      <c r="D80" s="32">
        <f>'Outlook'!D56</f>
      </c>
      <c r="E80" s="32">
        <f>'Outlook'!E56</f>
      </c>
      <c r="F80" s="31">
        <f>'Outlook'!F56</f>
      </c>
    </row>
    <row r="81" outlineLevel="1">
      <c r="B81" s="27" t="inlineStr">
        <is>
          <t xml:space="preserve">Range to high</t>
        </is>
      </c>
      <c r="C81" s="29">
        <f>'Outlook'!C57-'Outlook'!C56</f>
      </c>
      <c r="D81" s="29">
        <f>'Outlook'!D57-'Outlook'!D56</f>
      </c>
      <c r="E81" s="29">
        <f>'Outlook'!E57-'Outlook'!E56</f>
      </c>
      <c r="F81" s="30">
        <f>'Outlook'!F57-'Outlook'!F56</f>
      </c>
    </row>
    <row r="84">
      <c r="A84" s="0" t="inlineStr">
        <is>
          <t xml:space="preserve">x</t>
        </is>
      </c>
      <c r="B84" s="9" t="inlineStr">
        <is>
          <t xml:space="preserve">§12 - FY22-25 average annual TAM (reference line)</t>
        </is>
      </c>
      <c r="C84" s="9"/>
      <c r="D84" s="9"/>
      <c r="E84" s="9"/>
      <c r="F84" s="9"/>
      <c r="G84" s="9"/>
      <c r="H84" s="9"/>
      <c r="I84" s="9"/>
      <c r="J84" s="9"/>
      <c r="K84" s="9"/>
      <c r="L84" s="9"/>
    </row>
    <row r="86" outlineLevel="1">
      <c r="B86" s="23"/>
      <c r="C86" s="25" t="inlineStr">
        <is>
          <t xml:space="preserve">FY22-25 avg</t>
        </is>
      </c>
    </row>
    <row r="87" outlineLevel="1">
      <c r="B87" s="27"/>
      <c r="C87" s="30">
        <f>'Outlook'!C69</f>
      </c>
    </row>
  </sheetData>
</worksheet>
</file>

<file path=docProps/app.xml><?xml version="1.0" encoding="utf-8"?>
<Properties xmlns="http://schemas.openxmlformats.org/officeDocument/2006/extended-properties" xmlns:vt="http://schemas.openxmlformats.org/officeDocument/2006/docPropsVTypes">
  <Application>workbook_submarines</Application>
  <HeadingPairs>
    <vt:vector size="2" baseType="variant">
      <vt:variant>
        <vt:lpstr>Worksheets</vt:lpstr>
      </vt:variant>
      <vt:variant>
        <vt:i4>23</vt:i4>
      </vt:variant>
    </vt:vector>
  </HeadingPairs>
  <TitlesOfParts>
    <vt:vector size="23" baseType="lpstr">
      <vt:lpstr>Executive Summary</vt:lpstr>
      <vt:lpstr>Methodology</vt:lpstr>
      <vt:lpstr>Assumptions</vt:lpstr>
      <vt:lpstr>TAM Build</vt:lpstr>
      <vt:lpstr>SAM Build</vt:lpstr>
      <vt:lpstr>Outlook</vt:lpstr>
      <vt:lpstr>Deflators</vt:lpstr>
      <vt:lpstr>SCN Budget</vt:lpstr>
      <vt:lpstr>OBBBA Mandatory</vt:lpstr>
      <vt:lpstr>AP Bridge</vt:lpstr>
      <vt:lpstr>FYDP Outyears</vt:lpstr>
      <vt:lpstr>POP Corpus</vt:lpstr>
      <vt:lpstr>Entity Master</vt:lpstr>
      <vt:lpstr>Location Master</vt:lpstr>
      <vt:lpstr>Worktype Evidence</vt:lpstr>
      <vt:lpstr>Worktype by FY</vt:lpstr>
      <vt:lpstr>Figure Register</vt:lpstr>
      <vt:lpstr>SIB Excluded</vt:lpstr>
      <vt:lpstr>Sensitivity</vt:lpstr>
      <vt:lpstr>POP Source Audit</vt:lpstr>
      <vt:lpstr>Source Index</vt:lpstr>
      <vt:lpstr>References</vt:lpstr>
      <vt:lpstr>z_ChartData</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Distributed Shipbuilding Submarines - Outsourced Construction TAM &amp; SAM</dc:title>
  <dc:creator>workbook_submarines build_workbook.py</dc:creator>
  <dcterms:created xsi:type="dcterms:W3CDTF">2026-06-15T14:10:48Z</dcterms:created>
  <dcterms:modified xsi:type="dcterms:W3CDTF">2026-06-15T14:10:48Z</dcterms:modified>
</cp:coreProperties>
</file>