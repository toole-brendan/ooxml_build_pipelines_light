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6800"/>
  </bookViews>
  <sheets>
    <sheet name="Executive Summary" sheetId="1" r:id="rId1"/>
    <sheet name="Methodology" sheetId="2" r:id="rId2"/>
    <sheet name="Assumptions" sheetId="3" r:id="rId3"/>
    <sheet name="Scenarios" sheetId="4" r:id="rId4"/>
    <sheet name="TAM Build" sheetId="5" r:id="rId5"/>
    <sheet name="SAM Build" sheetId="6" r:id="rId6"/>
    <sheet name="Outlook" sheetId="7" r:id="rId7"/>
    <sheet name="Deflators" sheetId="8" r:id="rId8"/>
    <sheet name="SCN Budget" sheetId="9" r:id="rId9"/>
    <sheet name="OBBBA Mandatory" sheetId="10" r:id="rId10"/>
    <sheet name="Production Schedule" sheetId="11" r:id="rId11"/>
    <sheet name="AP Bridge" sheetId="12" r:id="rId12"/>
    <sheet name="FYDP Outyears" sheetId="13" r:id="rId13"/>
    <sheet name="POP Corpus" sheetId="14" r:id="rId14"/>
    <sheet name="Entity Master" sheetId="15" r:id="rId15"/>
    <sheet name="Location Master" sheetId="16" r:id="rId16"/>
    <sheet name="Vendors" sheetId="17" r:id="rId17"/>
    <sheet name="FPDS Primes" sheetId="18" r:id="rId18"/>
    <sheet name="Worktype Evidence" sheetId="19" r:id="rId19"/>
    <sheet name="Worktype by FY" sheetId="20" r:id="rId20"/>
    <sheet name="Figure Register" sheetId="21" r:id="rId21"/>
    <sheet name="Sensitivity" sheetId="22" r:id="rId22"/>
    <sheet name="Scope Exclusions" sheetId="23" r:id="rId23"/>
    <sheet name="POP Source Audit" sheetId="24" r:id="rId24"/>
    <sheet name="Source Index" sheetId="25" r:id="rId25"/>
    <sheet name="References" sheetId="26" r:id="rId26"/>
    <sheet name="z_ChartData" sheetId="27" r:id="rId27"/>
  </sheets>
  <definedNames>
    <definedName name="portfolio_tam_annual">'TAM Build'!$C$137</definedName>
    <definedName name="portfolio_tam_cumulative">'TAM Build'!$I$117</definedName>
    <definedName name="broad_sam_annual">'SAM Build'!$E$74</definedName>
    <definedName name="broad_sam_cumulative">'SAM Build'!$C$74</definedName>
    <definedName name="fiscal_year_count">'TAM Build'!$C$136</definedName>
    <definedName name="portfolio_tam">'TAM Build'!$I$117</definedName>
    <definedName name="portfolio_bc_tam">'TAM Build'!$I$115</definedName>
    <definedName name="portfolio_ap_tam">'TAM Build'!$I$116</definedName>
    <definedName name="bc_supplier_coeff">'TAM Build'!$C$44</definedName>
    <definedName name="sam_broad">'SAM Build'!$C$74</definedName>
  </definedNames>
  <calcPr calcId="191029" fullCalcOnLoad="1" forceFullCalc="1"/>
</workbook>
</file>

<file path=xl/comments2.xml><?xml version="1.0" encoding="utf-8"?>
<comments xmlns="http://schemas.openxmlformats.org/spreadsheetml/2006/main">
  <authors>
    <author>Model</author>
  </authors>
  <commentList>
    <comment ref="D7" authorId="0">
      <text>
        <r>
          <rPr>
            <sz val="8"/>
            <color indexed="81"/>
            <rFont val="Arial"/>
            <family val="2"/>
          </rPr>
          <t xml:space="preserve">Opportunity ceiling, not a forecast: non-GFE, non-MIB new-construction supplier $ away from BIW / Ingalls / GFE sites. ~$1,070M/yr (BC ~$897M + AP/LLTM ~$174M).</t>
        </r>
      </text>
    </comment>
    <comment ref="D8" authorId="0">
      <text>
        <r>
          <rPr>
            <sz val="8"/>
            <color indexed="81"/>
            <rFont val="Arial"/>
            <family val="2"/>
          </rPr>
          <t xml:space="preserve">Overlapping scenario cuts of TAM. Don't sum; broad = all seven buckets, excludes the ~21.1% unbucketed residual.</t>
        </r>
      </text>
    </comment>
    <comment ref="D10" authorId="0">
      <text>
        <r>
          <rPr>
            <sz val="8"/>
            <color indexed="81"/>
            <rFont val="Arial"/>
            <family val="2"/>
          </rPr>
          <t xml:space="preserve">Additive stream: the P-10 'Ship Construction EOQ' line (FY25 $41.5M + FY26 $1,000.0M then-year; PB2027 P-10, LI 2122) at a 1.00 supplier coefficient (EOQ = procurements of material items) = ~$1.04B (~$174M/yr). Congressional adds (shipyard infrastructure, wages) and terminal GFE excluded at the line level; haircuts on Sensitivity.</t>
        </r>
      </text>
    </comment>
    <comment ref="D15" authorId="0">
      <text>
        <r>
          <rPr>
            <sz val="8"/>
            <color indexed="81"/>
            <rFont val="Arial"/>
            <family val="2"/>
          </rPr>
          <t xml:space="preserve">Applied BC coefficient = 25.3% over the non-GFE BC corpus. Keep distinct: ~87% disclosed (an artifact - $-redacted MYP masters drop out), ~42% MYP-corrected outside-yards, 25.3% applied.</t>
        </r>
      </text>
    </comment>
  </commentList>
</comments>
</file>

<file path=xl/comments3.xml><?xml version="1.0" encoding="utf-8"?>
<comments xmlns="http://schemas.openxmlformats.org/spreadsheetml/2006/main">
  <authors>
    <author>Model</author>
  </authors>
  <commentList>
    <comment ref="B26" authorId="0">
      <text>
        <r>
          <rPr>
            <sz val="8"/>
            <color indexed="81"/>
            <rFont val="Arial"/>
            <family val="2"/>
          </rPr>
          <t xml:space="preserve">PB2027 SCN justification, Exhibit P-10 (Advance Procurement Requirements Analysis), LI 2122 DDG-51, Vol 1 p.243: FY2026 $1,750.0M = Ship Construction EOQ $1,000.0M + congressional adds excluded ($450.0M shipyard infrastructure, $300.0M wage enhancements); FY2025 $83.224M = EOQ $41.5M + NMT terminal GFE $41.7M excluded (PB2026 Vol 1 p.235).</t>
        </r>
      </text>
    </comment>
    <comment ref="B35" authorId="0">
      <text>
        <r>
          <rPr>
            <sz val="8"/>
            <color indexed="81"/>
            <rFont val="Arial"/>
            <family val="2"/>
          </rPr>
          <t xml:space="preserve">DoD announcement 2018-09-27 (defense.gov article 1647166, Wayback 20180928083950): BIW $3,904.7M, 4 ships FY19-22, 'Bath, Maine (61%)... other locations below 1% (collectively totaling 20%)'; Ingalls $5,104.7M, 6 ships FY18-22, 'Pascagoula, Mississippi (91%); Erie, Pennsylvania (1%); other locations below 1% (8%)'. Feeds the FY2022-vintage BC coefficient only; predates the POP-corpus window.</t>
        </r>
      </text>
    </comment>
    <comment ref="C42" authorId="0">
      <text>
        <r>
          <rPr>
            <sz val="8"/>
            <color indexed="81"/>
            <rFont val="Arial"/>
            <family val="2"/>
          </rPr>
          <t xml:space="preserve">1.00 by P-10 classification: the base is the 'Ship Construction EOQ' line only, which the exhibit defines as Economic Order Quantity procurements of material items (vendor-purchased); AWS EOQ, terminal GFE, and congressional adds are already excluded at the line level. Haircut cases at Sensitivity §4.</t>
        </r>
      </text>
    </comment>
    <comment ref="C61" authorId="0">
      <text>
        <r>
          <rPr>
            <sz val="8"/>
            <color indexed="81"/>
            <rFont val="Arial"/>
            <family val="2"/>
          </rPr>
          <t xml:space="preserve">Outlook upper bound = FY22-25 average penetration x (1 + this uplift). Basis: stated industry intent to grow outsourced manhours ~30% (HII statement; citation pending - swap in the source when confirmed).</t>
        </r>
      </text>
    </comment>
  </commentList>
</comments>
</file>

<file path=xl/styles.xml><?xml version="1.0" encoding="utf-8"?>
<styleSheet xmlns="http://schemas.openxmlformats.org/spreadsheetml/2006/main">
  <numFmts count="6">
    <numFmt numFmtId="164" formatCode="#,##0.0;-#,##0.0;&quot;-&quot;"/>
    <numFmt numFmtId="165" formatCode="0.0%;-0.0%;&quot;-&quot;"/>
    <numFmt numFmtId="166" formatCode="&quot;$&quot;#,##0&quot;M&quot;"/>
    <numFmt numFmtId="167" formatCode="&quot;$&quot;0.0&quot;B&quot;"/>
    <numFmt numFmtId="168" formatCode="#,##0;-#,##0;&quot;-&quot;"/>
    <numFmt numFmtId="169" formatCode="yyyy\-mm\-dd"/>
  </numFmts>
  <fonts count="10">
    <font>
      <sz val="8"/>
      <name val="Arial"/>
      <color rgb="FF000000"/>
    </font>
    <font>
      <sz val="8"/>
      <name val="Arial"/>
      <b/>
      <color rgb="FF000000"/>
    </font>
    <font>
      <sz val="8"/>
      <name val="Arial"/>
      <b/>
      <color rgb="FFFFFFFF"/>
    </font>
    <font>
      <sz val="8"/>
      <name val="Arial"/>
      <color rgb="FF0000FF"/>
    </font>
    <font>
      <sz val="8"/>
      <name val="Arial"/>
      <color rgb="FF008000"/>
    </font>
    <font>
      <sz val="8"/>
      <name val="Arial"/>
      <i/>
      <color rgb="FF000000"/>
    </font>
    <font>
      <sz val="8"/>
      <name val="Arial"/>
      <i/>
      <color rgb="FF0000FF"/>
    </font>
    <font>
      <sz val="8"/>
      <name val="Arial"/>
      <i/>
      <color rgb="FF008000"/>
    </font>
    <font>
      <sz val="8"/>
      <name val="Arial"/>
      <b/>
      <i/>
      <color rgb="FF000000"/>
    </font>
    <font>
      <sz val="8"/>
      <name val="Arial"/>
      <i/>
      <color rgb="FF808080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2F2F2"/>
      </patternFill>
    </fill>
    <fill>
      <patternFill patternType="solid">
        <fgColor rgb="FFFFFACD"/>
      </patternFill>
    </fill>
  </fills>
  <borders count="10">
    <border>
      <left/>
      <right/>
      <top/>
      <bottom/>
    </border>
    <border>
      <left/>
      <right/>
      <top/>
      <bottom style="thin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164" fontId="0" fillId="0" borderId="0" xfId="0" applyNumberFormat="1"/>
    <xf numFmtId="164" fontId="3" fillId="0" borderId="0" xfId="0" applyNumberFormat="1" applyFont="1"/>
    <xf numFmtId="165" fontId="5" fillId="0" borderId="0" xfId="0" applyNumberFormat="1" applyFont="1"/>
    <xf numFmtId="165" fontId="6" fillId="0" borderId="0" xfId="0" applyNumberFormat="1" applyFont="1"/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164" fontId="4" fillId="0" borderId="0" xfId="0" applyNumberFormat="1" applyFont="1"/>
    <xf numFmtId="165" fontId="7" fillId="0" borderId="0" xfId="0" applyNumberFormat="1" applyFont="1"/>
    <xf numFmtId="164" fontId="1" fillId="0" borderId="2" xfId="0" applyNumberFormat="1" applyFont="1" applyBorder="1"/>
    <xf numFmtId="165" fontId="8" fillId="0" borderId="2" xfId="0" applyNumberFormat="1" applyFont="1" applyBorder="1"/>
    <xf numFmtId="164" fontId="3" fillId="0" borderId="2" xfId="0" applyNumberFormat="1" applyFont="1" applyBorder="1"/>
    <xf numFmtId="0" fontId="0" fillId="0" borderId="2" xfId="0" applyBorder="1"/>
    <xf numFmtId="165" fontId="6" fillId="0" borderId="2" xfId="0" applyNumberFormat="1" applyFont="1" applyBorder="1"/>
    <xf numFmtId="164" fontId="4" fillId="0" borderId="2" xfId="0" applyNumberFormat="1" applyFont="1" applyBorder="1"/>
    <xf numFmtId="165" fontId="7" fillId="0" borderId="2" xfId="0" applyNumberFormat="1" applyFont="1" applyBorder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1" xfId="0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166" fontId="0" fillId="5" borderId="6" xfId="0" applyNumberFormat="1" applyFill="1" applyBorder="1"/>
    <xf numFmtId="166" fontId="0" fillId="5" borderId="1" xfId="0" applyNumberFormat="1" applyFill="1" applyBorder="1"/>
    <xf numFmtId="166" fontId="0" fillId="5" borderId="7" xfId="0" applyNumberFormat="1" applyFill="1" applyBorder="1"/>
    <xf numFmtId="166" fontId="0" fillId="5" borderId="9" xfId="0" applyNumberFormat="1" applyFill="1" applyBorder="1"/>
    <xf numFmtId="166" fontId="0" fillId="5" borderId="0" xfId="0" applyNumberFormat="1" applyFill="1"/>
    <xf numFmtId="167" fontId="0" fillId="5" borderId="6" xfId="0" applyNumberFormat="1" applyFill="1" applyBorder="1"/>
    <xf numFmtId="167" fontId="0" fillId="5" borderId="1" xfId="0" applyNumberFormat="1" applyFill="1" applyBorder="1"/>
    <xf numFmtId="167" fontId="0" fillId="5" borderId="7" xfId="0" applyNumberFormat="1" applyFill="1" applyBorder="1"/>
    <xf numFmtId="167" fontId="0" fillId="5" borderId="9" xfId="0" applyNumberFormat="1" applyFill="1" applyBorder="1"/>
    <xf numFmtId="167" fontId="0" fillId="5" borderId="0" xfId="0" applyNumberFormat="1" applyFill="1"/>
    <xf numFmtId="165" fontId="0" fillId="5" borderId="6" xfId="0" applyNumberFormat="1" applyFill="1" applyBorder="1"/>
    <xf numFmtId="165" fontId="0" fillId="5" borderId="1" xfId="0" applyNumberFormat="1" applyFill="1" applyBorder="1"/>
    <xf numFmtId="165" fontId="0" fillId="5" borderId="7" xfId="0" applyNumberFormat="1" applyFill="1" applyBorder="1"/>
    <xf numFmtId="165" fontId="0" fillId="5" borderId="9" xfId="0" applyNumberFormat="1" applyFill="1" applyBorder="1"/>
    <xf numFmtId="165" fontId="0" fillId="5" borderId="0" xfId="0" applyNumberFormat="1" applyFill="1"/>
    <xf numFmtId="0" fontId="9" fillId="0" borderId="0" xfId="0" applyFont="1" applyAlignment="1">
      <alignment horizontal="left" vertical="center"/>
    </xf>
    <xf numFmtId="168" fontId="0" fillId="0" borderId="0" xfId="0" applyNumberFormat="1"/>
    <xf numFmtId="168" fontId="3" fillId="0" borderId="0" xfId="0" applyNumberFormat="1" applyFont="1"/>
    <xf numFmtId="168" fontId="4" fillId="0" borderId="0" xfId="0" applyNumberFormat="1" applyFont="1"/>
    <xf numFmtId="168" fontId="1" fillId="0" borderId="2" xfId="0" applyNumberFormat="1" applyFont="1" applyBorder="1"/>
    <xf numFmtId="168" fontId="3" fillId="0" borderId="2" xfId="0" applyNumberFormat="1" applyFont="1" applyBorder="1"/>
    <xf numFmtId="168" fontId="4" fillId="0" borderId="2" xfId="0" applyNumberFormat="1" applyFont="1" applyBorder="1"/>
    <xf numFmtId="169" fontId="3" fillId="0" borderId="0" xfId="0" applyNumberFormat="1" applyFont="1"/>
    <xf numFmtId="169" fontId="3" fillId="0" borderId="2" xfId="0" applyNumberFormat="1" applyFont="1" applyBorder="1"/>
    <xf numFmtId="169" fontId="4" fillId="0" borderId="0" xfId="0" applyNumberFormat="1" applyFont="1"/>
    <xf numFmtId="169" fontId="4" fillId="0" borderId="2" xfId="0" applyNumberFormat="1" applyFont="1" applyBorder="1"/>
  </cellXfs>
  <cellStyles count="1">
    <cellStyle name="Normal" xfId="0" builtinId="0"/>
  </cellStyles>
  <dxfs count="1">
    <dxf/>
  </dxfs>
  <tableStyles count="1" defaultTableStyle="WorkbookCore_NoFormatTable" defaultPivotStyle="PivotStyleLight16">
    <tableStyle name="WorkbookCore_NoFormatTable" pivot="0" table="1" count="13">
      <tableStyleElement type="wholeTable" dxfId="0"/>
      <tableStyleElement type="headerRow" dxfId="0"/>
      <tableStyleElement type="totalRow" dxfId="0"/>
      <tableStyleElement type="firstColumn" dxfId="0"/>
      <tableStyleElement type="lastColumn" dxfId="0"/>
      <tableStyleElement type="firstHeaderCell" dxfId="0"/>
      <tableStyleElement type="lastHeaderCell" dxfId="0"/>
      <tableStyleElement type="firstTotalCell" dxfId="0"/>
      <tableStyleElement type="lastTotalCell" dxfId="0"/>
      <tableStyleElement type="firstRowStripe" dxfId="0" size="1"/>
      <tableStyleElement type="secondRowStripe" dxfId="0" size="1"/>
      <tableStyleElement type="firstColumnStripe" dxfId="0" size="1"/>
      <tableStyleElement type="secondColumnStripe" dxfId="0" size="1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bl_ddg_scenarios" displayName="tbl_ddg_scenarios" ref="B6:G13" totalsRowShown="0">
  <autoFilter ref="B6:G13"/>
  <tableColumns count="6">
    <tableColumn id="1" name="Bucket"/>
    <tableColumn id="2" name="Metal components"/>
    <tableColumn id="3" name="HM&amp;E components"/>
    <tableColumn id="4" name="Electrical / power"/>
    <tableColumn id="5" name="Modular assemblies"/>
    <tableColumn id="6" name="Broad component mfg"/>
  </tableColumns>
  <tableStyleInfo name="WorkbookCore_NoFormatTable" showFirstColumn="0" showLastColumn="0" showRowStripes="0" showColumnStripes="0"/>
</table>
</file>

<file path=xl/tables/table2.xml><?xml version="1.0" encoding="utf-8"?>
<table xmlns="http://schemas.openxmlformats.org/spreadsheetml/2006/main" id="2" name="tbl_ddg_production" displayName="tbl_ddg_production" ref="B6:G36" totalsRowShown="0">
  <autoFilter ref="B6:G36"/>
  <tableColumns count="6">
    <tableColumn id="1" name="Ship"/>
    <tableColumn id="2" name="Shipbuilder"/>
    <tableColumn id="3" name="FY"/>
    <tableColumn id="4" name="Contract award"/>
    <tableColumn id="5" name="Start construction"/>
    <tableColumn id="6" name="Delivery"/>
  </tableColumns>
  <tableStyleInfo name="WorkbookCore_NoFormatTable" showFirstColumn="0" showLastColumn="0" showRowStripes="0" showColumnStripes="0"/>
</table>
</file>

<file path=xl/tables/table3.xml><?xml version="1.0" encoding="utf-8"?>
<table xmlns="http://schemas.openxmlformats.org/spreadsheetml/2006/main" id="3" name="tbl_ddg_pop_parse" displayName="tbl_ddg_pop_parse" ref="B6:Q160" totalsRowShown="0">
  <autoFilter ref="B6:Q160"/>
  <tableColumns count="16">
    <tableColumn id="1" name="Date"/>
    <tableColumn id="2" name="PIID"/>
    <tableColumn id="3" name="Prime"/>
    <tableColumn id="4" name="Program"/>
    <tableColumn id="5" name="Work Type"/>
    <tableColumn id="6" name="Scope Class"/>
    <tableColumn id="7" name="Stream"/>
    <tableColumn id="8" name="Gate"/>
    <tableColumn id="9" name="GFE/Excl"/>
    <tableColumn id="10" name="Confirmed"/>
    <tableColumn id="11" name="MYP master"/>
    <tableColumn id="12" name="$M"/>
    <tableColumn id="13" name="BIW %"/>
    <tableColumn id="14" name="Ingalls %"/>
    <tableColumn id="15" name="Other US %"/>
    <tableColumn id="16" name="Foreign %"/>
  </tableColumns>
  <tableStyleInfo name="WorkbookCore_NoFormatTable" showFirstColumn="0" showLastColumn="0" showRowStripes="0" showColumnStripes="0"/>
</table>
</file>

<file path=xl/tables/table4.xml><?xml version="1.0" encoding="utf-8"?>
<table xmlns="http://schemas.openxmlformats.org/spreadsheetml/2006/main" id="4" name="tbl_ddg_entity_master" displayName="tbl_ddg_entity_master" ref="B6:Q2164" totalsRowShown="0">
  <autoFilter ref="B6:Q2164"/>
  <tableColumns count="16">
    <tableColumn id="1" name="Vendor"/>
    <tableColumn id="2" name="UEI"/>
    <tableColumn id="3" name="Country"/>
    <tableColumn id="4" name="NAICS-4"/>
    <tableColumn id="5" name="NAICS desc"/>
    <tableColumn id="6" name="$M"/>
    <tableColumn id="7" name="Role"/>
    <tableColumn id="8" name="Bucket"/>
    <tableColumn id="9" name="Arbiter"/>
    <tableColumn id="10" name="Modular"/>
    <tableColumn id="11" name="VLS"/>
    <tableColumn id="12" name="Yard $M"/>
    <tableColumn id="13" name="Yard FY22"/>
    <tableColumn id="14" name="Yard FY23"/>
    <tableColumn id="15" name="Yard FY24"/>
    <tableColumn id="16" name="Yard FY25"/>
  </tableColumns>
  <tableStyleInfo name="WorkbookCore_NoFormatTable" showFirstColumn="0" showLastColumn="0" showRowStripes="0" showColumnStripes="0"/>
</table>
</file>

<file path=xl/tables/table5.xml><?xml version="1.0" encoding="utf-8"?>
<table xmlns="http://schemas.openxmlformats.org/spreadsheetml/2006/main" id="5" name="tbl_ddg_top_vendors" displayName="tbl_ddg_top_vendors" ref="B6:G66" totalsRowShown="0">
  <autoFilter ref="B6:G66"/>
  <tableColumns count="6">
    <tableColumn id="1" name="#"/>
    <tableColumn id="2" name="Vendor"/>
    <tableColumn id="3" name="Foreign"/>
    <tableColumn id="4" name="$M lifetime"/>
    <tableColumn id="5" name="Records"/>
    <tableColumn id="6" name="PIIDs"/>
  </tableColumns>
  <tableStyleInfo name="WorkbookCore_NoFormatTable" showFirstColumn="0" showLastColumn="0" showRowStripes="0" showColumnStripes="0"/>
</table>
</file>

<file path=xl/tables/table6.xml><?xml version="1.0" encoding="utf-8"?>
<table xmlns="http://schemas.openxmlformats.org/spreadsheetml/2006/main" id="6" name="tbl_ddg_fpds_primes" displayName="tbl_ddg_fpds_primes" ref="B6:M15" totalsRowShown="0">
  <autoFilter ref="B6:M15"/>
  <tableColumns count="12">
    <tableColumn id="1" name="FY"/>
    <tableColumn id="2" name="GD-BIW"/>
    <tableColumn id="3" name="HII-Ingalls"/>
    <tableColumn id="4" name="Rolls-Royce"/>
    <tableColumn id="5" name="GE-Propulsion"/>
    <tableColumn id="6" name="LM-Aegis"/>
    <tableColumn id="7" name="Raytheon"/>
    <tableColumn id="8" name="BAE-Guns/VLS"/>
    <tableColumn id="9" name="NG"/>
    <tableColumn id="10" name="GD-MissionSys"/>
    <tableColumn id="11" name="DRS"/>
    <tableColumn id="12" name="L3Harris"/>
  </tableColumns>
  <tableStyleInfo name="WorkbookCore_NoFormatTable" showFirstColumn="0" showLastColumn="0" showRowStripes="0" showColumnStripes="0"/>
</table>
</file>

<file path=xl/tables/table7.xml><?xml version="1.0" encoding="utf-8"?>
<table xmlns="http://schemas.openxmlformats.org/spreadsheetml/2006/main" id="7" name="tbl_ddg_deck_figures" displayName="tbl_ddg_deck_figures" ref="B6:F72" totalsRowShown="0">
  <autoFilter ref="B6:F72"/>
  <tableColumns count="5">
    <tableColumn id="1" name="Figure ID"/>
    <tableColumn id="2" name="Slide"/>
    <tableColumn id="3" name="Label"/>
    <tableColumn id="4" name="Value"/>
    <tableColumn id="5" name="Source cell"/>
  </tableColumns>
  <tableStyleInfo name="WorkbookCore_NoFormatTable" showFirstColumn="0" showLastColumn="0" showRowStripes="0" showColumnStripes="0"/>
</table>
</file>

<file path=xl/tables/table8.xml><?xml version="1.0" encoding="utf-8"?>
<table xmlns="http://schemas.openxmlformats.org/spreadsheetml/2006/main" id="8" name="tbl_ddg_source_index" displayName="tbl_ddg_source_index" ref="B6:F24" totalsRowShown="0">
  <autoFilter ref="B6:F24"/>
  <tableColumns count="5">
    <tableColumn id="1" name="Dataset (extracted/)"/>
    <tableColumn id="2" name="Rows"/>
    <tableColumn id="3" name="Key fields"/>
    <tableColumn id="4" name="Consumed by (tab)"/>
    <tableColumn id="5" name="Retrieval"/>
  </tableColumns>
  <tableStyleInfo name="WorkbookCore_NoFormatTable" showFirstColumn="0" showLastColumn="0" showRowStripes="0" showColumnStripes="0"/>
</table>
</file>

<file path=xl/tables/table9.xml><?xml version="1.0" encoding="utf-8"?>
<table xmlns="http://schemas.openxmlformats.org/spreadsheetml/2006/main" id="9" name="tbl_ddg_references_primary" displayName="tbl_ddg_references_primary" ref="B6:G21" totalsRowShown="0">
  <autoFilter ref="B6:G21"/>
  <tableColumns count="6">
    <tableColumn id="1" name="Source ID"/>
    <tableColumn id="2" name="Document / dataset"/>
    <tableColumn id="3" name="Type"/>
    <tableColumn id="4" name="Date"/>
    <tableColumn id="5" name="Location / reference"/>
    <tableColumn id="6" name="Context note"/>
  </tableColumns>
  <tableStyleInfo name="WorkbookCore_NoFormatTable" showFirstColumn="0" showLastColumn="0" showRowStripes="0" showColumnStripes="0"/>
</table>
</file>

<file path=xl/tables/table10.xml><?xml version="1.0" encoding="utf-8"?>
<table xmlns="http://schemas.openxmlformats.org/spreadsheetml/2006/main" id="10" name="tbl_ddg_references_citations" displayName="tbl_ddg_references_citations" ref="B26:G36" totalsRowShown="0">
  <autoFilter ref="B26:G36"/>
  <tableColumns count="6">
    <tableColumn id="1" name="Source ID"/>
    <tableColumn id="2" name="Document / dataset"/>
    <tableColumn id="3" name="Type"/>
    <tableColumn id="4" name="Date"/>
    <tableColumn id="5" name="Location / reference"/>
    <tableColumn id="6" name="Context note"/>
  </tableColumns>
  <tableStyleInfo name="WorkbookCore_NoFormatTable" showFirstColumn="0" showLastColumn="0" showRowStripes="0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table" Target="../tables/table9.xml"/><Relationship Id="rId2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6A4C93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4" customWidth="1"/>
    <col min="3" max="3" width="18" customWidth="1"/>
    <col min="4" max="4" width="14" customWidth="1"/>
    <col min="5" max="5" width="20" customWidth="1"/>
    <col min="6" max="6" width="30" customWidth="1"/>
  </cols>
  <sheetData>
    <row r="1"/>
    <row r="2">
      <c r="B2" s="8" t="inlineStr">
        <is>
          <t xml:space="preserve">Executive Summary</t>
        </is>
      </c>
      <c r="C2" s="8"/>
      <c r="D2" s="8"/>
      <c r="E2" s="8"/>
      <c r="F2" s="8"/>
    </row>
    <row r="4">
      <c r="A4" s="0" t="inlineStr">
        <is>
          <t xml:space="preserve">x</t>
        </is>
      </c>
      <c r="B4" s="9" t="inlineStr">
        <is>
          <t xml:space="preserve">§1 - Key takeaways</t>
        </is>
      </c>
      <c r="C4" s="9"/>
      <c r="D4" s="9"/>
      <c r="E4" s="9"/>
      <c r="F4" s="9"/>
    </row>
    <row r="6">
      <c r="B6" s="2" t="inlineStr">
        <is>
          <t xml:space="preserve">Metric</t>
        </is>
      </c>
      <c r="C6" s="22" t="inlineStr">
        <is>
          <t xml:space="preserve">Value</t>
        </is>
      </c>
      <c r="D6" s="2" t="inlineStr">
        <is>
          <t xml:space="preserve">Source</t>
        </is>
      </c>
    </row>
    <row r="7" outlineLevel="1">
      <c r="B7" s="1" t="inlineStr">
        <is>
          <t xml:space="preserve">Average annual TAM $M/yr</t>
        </is>
      </c>
      <c r="C7" s="11">
        <f>'TAM Build'!C137</f>
      </c>
      <c r="D7" s="0" t="inlineStr">
        <is>
          <t xml:space="preserve">TAM Build</t>
        </is>
      </c>
    </row>
    <row r="8" outlineLevel="1">
      <c r="B8" s="1" t="inlineStr">
        <is>
          <t xml:space="preserve">Average annual broad component SAM $M/yr</t>
        </is>
      </c>
      <c r="C8" s="11">
        <f>'SAM Build'!E74</f>
      </c>
      <c r="D8" s="0" t="inlineStr">
        <is>
          <t xml:space="preserve">SAM Build</t>
        </is>
      </c>
    </row>
    <row r="9" outlineLevel="1">
      <c r="B9" s="0" t="inlineStr">
        <is>
          <t xml:space="preserve">Portfolio TAM $M</t>
        </is>
      </c>
      <c r="C9" s="11">
        <f>'TAM Build'!I117</f>
      </c>
      <c r="D9" s="0" t="inlineStr">
        <is>
          <t xml:space="preserve">TAM Build</t>
        </is>
      </c>
    </row>
    <row r="10" outlineLevel="1">
      <c r="B10" s="0" t="inlineStr">
        <is>
          <t xml:space="preserve">Broad component SAM $M</t>
        </is>
      </c>
      <c r="C10" s="11">
        <f>'SAM Build'!C74</f>
      </c>
      <c r="D10" s="0" t="inlineStr">
        <is>
          <t xml:space="preserve">SAM Build</t>
        </is>
      </c>
    </row>
    <row r="11" outlineLevel="1">
      <c r="B11" s="0" t="inlineStr">
        <is>
          <t xml:space="preserve">BC-stream TAM $M</t>
        </is>
      </c>
      <c r="C11" s="11">
        <f>'TAM Build'!I115</f>
      </c>
      <c r="D11" s="0" t="inlineStr">
        <is>
          <t xml:space="preserve">TAM Build</t>
        </is>
      </c>
    </row>
    <row r="12" outlineLevel="1">
      <c r="B12" s="0" t="inlineStr">
        <is>
          <t xml:space="preserve">AP/LLTM-stream TAM $M</t>
        </is>
      </c>
      <c r="C12" s="11">
        <f>'TAM Build'!I116</f>
      </c>
      <c r="D12" s="0" t="inlineStr">
        <is>
          <t xml:space="preserve">TAM Build</t>
        </is>
      </c>
    </row>
    <row r="13" outlineLevel="1">
      <c r="B13" s="0" t="inlineStr">
        <is>
          <t xml:space="preserve">BC supplier coefficient (FY23-27)</t>
        </is>
      </c>
      <c r="C13" s="12">
        <f>'TAM Build'!C44</f>
      </c>
      <c r="D13" s="0" t="inlineStr">
        <is>
          <t xml:space="preserve">TAM Build</t>
        </is>
      </c>
    </row>
    <row r="14" outlineLevel="1">
      <c r="B14" s="0" t="inlineStr">
        <is>
          <t xml:space="preserve">MYP-corrected outside-yards POP</t>
        </is>
      </c>
      <c r="C14" s="12">
        <f>'TAM Build'!C55</f>
      </c>
      <c r="D14" s="0" t="inlineStr">
        <is>
          <t xml:space="preserve">TAM Build</t>
        </is>
      </c>
    </row>
    <row r="15" outlineLevel="1">
      <c r="B15" s="0" t="inlineStr">
        <is>
          <t xml:space="preserve">Broad component SAM / TAM</t>
        </is>
      </c>
      <c r="C15" s="12">
        <f>'SAM Build'!D74</f>
      </c>
      <c r="D15" s="0" t="inlineStr">
        <is>
          <t xml:space="preserve">SAM Build</t>
        </is>
      </c>
    </row>
    <row r="16" outlineLevel="1">
      <c r="B16" s="0" t="inlineStr">
        <is>
          <t xml:space="preserve">Outsourced BC penetration, FY22-27</t>
        </is>
      </c>
      <c r="C16" s="12">
        <f>'Outlook'!C28</f>
      </c>
      <c r="D16" s="0" t="inlineStr">
        <is>
          <t xml:space="preserve">Outlook</t>
        </is>
      </c>
    </row>
    <row r="17" outlineLevel="1">
      <c r="B17" s="0" t="inlineStr">
        <is>
          <t xml:space="preserve">Implied outyear Outsourced BC, low $M/yr</t>
        </is>
      </c>
      <c r="C17" s="11">
        <f>'Outlook'!C44</f>
      </c>
      <c r="D17" s="0" t="inlineStr">
        <is>
          <t xml:space="preserve">Outlook</t>
        </is>
      </c>
    </row>
    <row r="18" outlineLevel="1">
      <c r="B18" s="0" t="inlineStr">
        <is>
          <t xml:space="preserve">Implied outyear Outsourced BC, high $M/yr</t>
        </is>
      </c>
      <c r="C18" s="11">
        <f>'Outlook'!C45</f>
      </c>
      <c r="D18" s="0" t="inlineStr">
        <is>
          <t xml:space="preserve">Outlook</t>
        </is>
      </c>
    </row>
    <row r="19" outlineLevel="1">
      <c r="B19" s="0" t="inlineStr">
        <is>
          <t xml:space="preserve">FY22-25 average annual TAM $M/yr</t>
        </is>
      </c>
      <c r="C19" s="11">
        <f>'Outlook'!C51</f>
      </c>
      <c r="D19" s="0" t="inlineStr">
        <is>
          <t xml:space="preserve">Outlook</t>
        </is>
      </c>
    </row>
    <row r="22">
      <c r="A22" s="0" t="inlineStr">
        <is>
          <t xml:space="preserve">x</t>
        </is>
      </c>
      <c r="B22" s="9" t="inlineStr">
        <is>
          <t xml:space="preserve">§2 - TAM bridge</t>
        </is>
      </c>
      <c r="C22" s="9"/>
      <c r="D22" s="9"/>
      <c r="E22" s="9"/>
      <c r="F22" s="9"/>
    </row>
    <row r="24">
      <c r="B24" s="2" t="inlineStr">
        <is>
          <t xml:space="preserve">Step</t>
        </is>
      </c>
      <c r="C24" s="22" t="inlineStr">
        <is>
          <t xml:space="preserve">$M / %</t>
        </is>
      </c>
      <c r="D24" s="2" t="inlineStr">
        <is>
          <t xml:space="preserve">Source</t>
        </is>
      </c>
    </row>
    <row r="25" outlineLevel="1">
      <c r="B25" s="0" t="inlineStr">
        <is>
          <t xml:space="preserve">BC construction base (FY22-27)</t>
        </is>
      </c>
      <c r="C25" s="11">
        <f>'TAM Build'!C145</f>
      </c>
      <c r="D25" s="0" t="inlineStr">
        <is>
          <t xml:space="preserve">TAM Build</t>
        </is>
      </c>
    </row>
    <row r="26" outlineLevel="1">
      <c r="B26" s="0" t="inlineStr">
        <is>
          <t xml:space="preserve">incl. OBBBA mandatory BC, FY26 (Sec. 20002(17), 2 ships)</t>
        </is>
      </c>
      <c r="C26" s="11">
        <f>'OBBBA Mandatory'!G29</f>
      </c>
      <c r="D26" s="0" t="inlineStr">
        <is>
          <t xml:space="preserve">OBBBA Mandatory</t>
        </is>
      </c>
    </row>
    <row r="27" outlineLevel="1">
      <c r="B27" s="0" t="inlineStr">
        <is>
          <t xml:space="preserve">x BC supplier coefficient</t>
        </is>
      </c>
      <c r="C27" s="12">
        <f>'TAM Build'!C44</f>
      </c>
      <c r="D27" s="0" t="inlineStr">
        <is>
          <t xml:space="preserve">TAM Build</t>
        </is>
      </c>
    </row>
    <row r="28" outlineLevel="1">
      <c r="B28" s="1" t="inlineStr">
        <is>
          <t xml:space="preserve">= BC-stream TAM</t>
        </is>
      </c>
      <c r="C28" s="11">
        <f>'TAM Build'!I115</f>
      </c>
      <c r="D28" s="0" t="inlineStr">
        <is>
          <t xml:space="preserve">TAM Build</t>
        </is>
      </c>
    </row>
    <row r="29" outlineLevel="1">
      <c r="B29" s="0" t="inlineStr">
        <is>
          <t xml:space="preserve">+ AP/LLTM-stream TAM</t>
        </is>
      </c>
      <c r="C29" s="11">
        <f>'TAM Build'!I116</f>
      </c>
      <c r="D29" s="0" t="inlineStr">
        <is>
          <t xml:space="preserve">TAM Build</t>
        </is>
      </c>
    </row>
    <row r="30" outlineLevel="1">
      <c r="B30" s="1" t="inlineStr">
        <is>
          <t xml:space="preserve">= Portfolio TAM</t>
        </is>
      </c>
      <c r="C30" s="11">
        <f>'TAM Build'!I117</f>
      </c>
      <c r="D30" s="0" t="inlineStr">
        <is>
          <t xml:space="preserve">TAM Build</t>
        </is>
      </c>
    </row>
    <row r="33">
      <c r="A33" s="0" t="inlineStr">
        <is>
          <t xml:space="preserve">x</t>
        </is>
      </c>
      <c r="B33" s="9" t="inlineStr">
        <is>
          <t xml:space="preserve">§3 - SAM scenarios</t>
        </is>
      </c>
      <c r="C33" s="9"/>
      <c r="D33" s="9"/>
      <c r="E33" s="9"/>
      <c r="F33" s="9"/>
    </row>
    <row r="35">
      <c r="B35" s="2" t="inlineStr">
        <is>
          <t xml:space="preserve">Scenario</t>
        </is>
      </c>
      <c r="C35" s="22" t="inlineStr">
        <is>
          <t xml:space="preserve">SAM $M</t>
        </is>
      </c>
      <c r="D35" s="22" t="inlineStr">
        <is>
          <t xml:space="preserve">% of TAM</t>
        </is>
      </c>
      <c r="E35" s="22" t="inlineStr">
        <is>
          <t xml:space="preserve">Avg annual SAM $M/yr</t>
        </is>
      </c>
      <c r="F35" s="2" t="inlineStr">
        <is>
          <t xml:space="preserve">Interpretation</t>
        </is>
      </c>
    </row>
    <row r="36" outlineLevel="1">
      <c r="B36" s="0" t="inlineStr">
        <is>
          <t xml:space="preserve">Metal components</t>
        </is>
      </c>
      <c r="C36" s="11">
        <f>'SAM Build'!C70</f>
      </c>
      <c r="D36" s="12">
        <f>'SAM Build'!D70</f>
      </c>
      <c r="E36" s="11">
        <f>'SAM Build'!E70</f>
      </c>
      <c r="F36" s="0" t="inlineStr">
        <is>
          <t xml:space="preserve">structural + castings + machining</t>
        </is>
      </c>
    </row>
    <row r="37" outlineLevel="1">
      <c r="B37" s="0" t="inlineStr">
        <is>
          <t xml:space="preserve">HM&amp;E components</t>
        </is>
      </c>
      <c r="C37" s="11">
        <f>'SAM Build'!C71</f>
      </c>
      <c r="D37" s="12">
        <f>'SAM Build'!D71</f>
      </c>
      <c r="E37" s="11">
        <f>'SAM Build'!E71</f>
      </c>
      <c r="F37" s="0" t="inlineStr">
        <is>
          <t xml:space="preserve">machining + piping + electrical + HVAC</t>
        </is>
      </c>
    </row>
    <row r="38" outlineLevel="1">
      <c r="B38" s="0" t="inlineStr">
        <is>
          <t xml:space="preserve">Electrical / power</t>
        </is>
      </c>
      <c r="C38" s="11">
        <f>'SAM Build'!C72</f>
      </c>
      <c r="D38" s="12">
        <f>'SAM Build'!D72</f>
      </c>
      <c r="E38" s="11">
        <f>'SAM Build'!E72</f>
      </c>
      <c r="F38" s="0" t="inlineStr">
        <is>
          <t xml:space="preserve">electrical power / distribution / generation only</t>
        </is>
      </c>
    </row>
    <row r="39" outlineLevel="1">
      <c r="B39" s="0" t="inlineStr">
        <is>
          <t xml:space="preserve">Modular assemblies</t>
        </is>
      </c>
      <c r="C39" s="11">
        <f>'SAM Build'!C73</f>
      </c>
      <c r="D39" s="12">
        <f>'SAM Build'!D73</f>
      </c>
      <c r="E39" s="11">
        <f>'SAM Build'!E73</f>
      </c>
      <c r="F39" s="0" t="inlineStr">
        <is>
          <t xml:space="preserve">entity-flagged modular assemblers (registry, not a bucket union)</t>
        </is>
      </c>
    </row>
    <row r="40" outlineLevel="1">
      <c r="B40" s="0" t="inlineStr">
        <is>
          <t xml:space="preserve">Broad component mfg</t>
        </is>
      </c>
      <c r="C40" s="11">
        <f>'SAM Build'!C74</f>
      </c>
      <c r="D40" s="12">
        <f>'SAM Build'!D74</f>
      </c>
      <c r="E40" s="11">
        <f>'SAM Build'!E74</f>
      </c>
      <c r="F40" s="0" t="inlineStr">
        <is>
          <t xml:space="preserve">all seven buckets</t>
        </is>
      </c>
    </row>
    <row r="43">
      <c r="A43" s="0" t="inlineStr">
        <is>
          <t xml:space="preserve">x</t>
        </is>
      </c>
      <c r="B43" s="9" t="inlineStr">
        <is>
          <t xml:space="preserve">§4 - Bucket allocation</t>
        </is>
      </c>
      <c r="C43" s="9"/>
      <c r="D43" s="9"/>
      <c r="E43" s="9"/>
      <c r="F43" s="9"/>
    </row>
    <row r="45">
      <c r="B45" s="2" t="inlineStr">
        <is>
          <t xml:space="preserve">Bucket</t>
        </is>
      </c>
      <c r="C45" s="22" t="inlineStr">
        <is>
          <t xml:space="preserve">Bucket TAM $M</t>
        </is>
      </c>
      <c r="D45" s="2" t="inlineStr">
        <is>
          <t xml:space="preserve">Source</t>
        </is>
      </c>
    </row>
    <row r="46" outlineLevel="1">
      <c r="B46" s="0" t="inlineStr">
        <is>
          <t xml:space="preserve">Structural fabrication &amp; modules</t>
        </is>
      </c>
      <c r="C46" s="11">
        <f>'SAM Build'!C54</f>
      </c>
      <c r="D46" s="0" t="inlineStr">
        <is>
          <t xml:space="preserve">SAM Build</t>
        </is>
      </c>
    </row>
    <row r="47" outlineLevel="1">
      <c r="B47" s="0" t="inlineStr">
        <is>
          <t xml:space="preserve">Machining / mechanical / propulsion</t>
        </is>
      </c>
      <c r="C47" s="11">
        <f>'SAM Build'!C55</f>
      </c>
      <c r="D47" s="0" t="inlineStr">
        <is>
          <t xml:space="preserve">SAM Build</t>
        </is>
      </c>
    </row>
    <row r="48" outlineLevel="1">
      <c r="B48" s="0" t="inlineStr">
        <is>
          <t xml:space="preserve">Castings &amp; forgings</t>
        </is>
      </c>
      <c r="C48" s="11">
        <f>'SAM Build'!C56</f>
      </c>
      <c r="D48" s="0" t="inlineStr">
        <is>
          <t xml:space="preserve">SAM Build</t>
        </is>
      </c>
    </row>
    <row r="49" outlineLevel="1">
      <c r="B49" s="0" t="inlineStr">
        <is>
          <t xml:space="preserve">Piping / fluid handling</t>
        </is>
      </c>
      <c r="C49" s="11">
        <f>'SAM Build'!C57</f>
      </c>
      <c r="D49" s="0" t="inlineStr">
        <is>
          <t xml:space="preserve">SAM Build</t>
        </is>
      </c>
    </row>
    <row r="50" outlineLevel="1">
      <c r="B50" s="0" t="inlineStr">
        <is>
          <t xml:space="preserve">Electrical power / distribution / generation</t>
        </is>
      </c>
      <c r="C50" s="11">
        <f>'SAM Build'!C58</f>
      </c>
      <c r="D50" s="0" t="inlineStr">
        <is>
          <t xml:space="preserve">SAM Build</t>
        </is>
      </c>
    </row>
    <row r="51" outlineLevel="1">
      <c r="B51" s="0" t="inlineStr">
        <is>
          <t xml:space="preserve">HVAC / ventilation / chilled water</t>
        </is>
      </c>
      <c r="C51" s="11">
        <f>'SAM Build'!C59</f>
      </c>
      <c r="D51" s="0" t="inlineStr">
        <is>
          <t xml:space="preserve">SAM Build</t>
        </is>
      </c>
    </row>
    <row r="52" outlineLevel="1">
      <c r="B52" s="0" t="inlineStr">
        <is>
          <t xml:space="preserve">Coatings / insulation / decking</t>
        </is>
      </c>
      <c r="C52" s="11">
        <f>'SAM Build'!C60</f>
      </c>
      <c r="D52" s="0" t="inlineStr">
        <is>
          <t xml:space="preserve">SAM Build</t>
        </is>
      </c>
    </row>
    <row r="53" outlineLevel="1">
      <c r="B53" s="0" t="inlineStr">
        <is>
          <t xml:space="preserve">Unbucketed residual (not in scenario SAM)</t>
        </is>
      </c>
      <c r="C53" s="11">
        <f>'SAM Build'!C61</f>
      </c>
      <c r="D53" s="0" t="inlineStr">
        <is>
          <t xml:space="preserve">SAM Build</t>
        </is>
      </c>
    </row>
    <row r="54">
      <c r="B54" s="3" t="inlineStr">
        <is>
          <t xml:space="preserve">Total (7 buckets + unbucketed = TAM)</t>
        </is>
      </c>
      <c r="C54" s="18">
        <f>'SAM Build'!C62</f>
      </c>
      <c r="D54" s="16" t="inlineStr">
        <is>
          <t xml:space="preserve">SAM Build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C6E6E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24" customWidth="1"/>
    <col min="3" max="3" width="44" customWidth="1"/>
    <col min="4" max="4" width="40" customWidth="1"/>
    <col min="5" max="5" width="22" customWidth="1"/>
  </cols>
  <sheetData>
    <row r="1"/>
    <row r="2">
      <c r="B2" s="8" t="inlineStr">
        <is>
          <t xml:space="preserve">Methodology</t>
        </is>
      </c>
      <c r="C2" s="8"/>
      <c r="D2" s="8"/>
      <c r="E2" s="8"/>
    </row>
    <row r="4">
      <c r="A4" s="0" t="inlineStr">
        <is>
          <t xml:space="preserve">x</t>
        </is>
      </c>
      <c r="B4" s="9" t="inlineStr">
        <is>
          <t xml:space="preserve">§1 - Definitions</t>
        </is>
      </c>
      <c r="C4" s="9"/>
      <c r="D4" s="9"/>
      <c r="E4" s="9"/>
    </row>
    <row r="6">
      <c r="B6" s="2" t="inlineStr">
        <is>
          <t xml:space="preserve">Term</t>
        </is>
      </c>
      <c r="C6" s="2" t="inlineStr">
        <is>
          <t xml:space="preserve">Definition</t>
        </is>
      </c>
      <c r="D6" s="2" t="inlineStr">
        <is>
          <t xml:space="preserve">Treatment</t>
        </is>
      </c>
    </row>
    <row r="7" outlineLevel="1">
      <c r="B7" s="1" t="inlineStr">
        <is>
          <t xml:space="preserve">TAM</t>
        </is>
      </c>
      <c r="C7" s="0" t="inlineStr">
        <is>
          <t xml:space="preserve">non-GFE, non-MIB new-construction supplier opportunity</t>
        </is>
      </c>
      <c r="D7" s="0" t="inlineStr">
        <is>
          <t xml:space="preserve">BC base x coeff + AP/LLTM base x coeff</t>
        </is>
      </c>
    </row>
    <row r="8" outlineLevel="1">
      <c r="B8" s="1" t="inlineStr">
        <is>
          <t xml:space="preserve">SAM</t>
        </is>
      </c>
      <c r="C8" s="0" t="inlineStr">
        <is>
          <t xml:space="preserve">portion of TAM in targeted work-type buckets</t>
        </is>
      </c>
      <c r="D8" s="0" t="inlineStr">
        <is>
          <t xml:space="preserve">scenario menu</t>
        </is>
      </c>
    </row>
    <row r="9" outlineLevel="1">
      <c r="B9" s="1" t="inlineStr">
        <is>
          <t xml:space="preserve">BC</t>
        </is>
      </c>
      <c r="C9" s="0" t="inlineStr">
        <is>
          <t xml:space="preserve">Basic Construction (P-5c)</t>
        </is>
      </c>
      <c r="D9" s="0" t="inlineStr">
        <is>
          <t xml:space="preserve">the headline TAM stream</t>
        </is>
      </c>
    </row>
    <row r="10" outlineLevel="1">
      <c r="B10" s="1" t="inlineStr">
        <is>
          <t xml:space="preserve">AP/LLTM/EOQ</t>
        </is>
      </c>
      <c r="C10" s="0" t="inlineStr">
        <is>
          <t xml:space="preserve">advance procurement / long-lead material / EOQ</t>
        </is>
      </c>
      <c r="D10" s="0" t="inlineStr">
        <is>
          <t xml:space="preserve">additive stream, supplier-addressable portion</t>
        </is>
      </c>
    </row>
    <row r="11" outlineLevel="1">
      <c r="B11" s="1" t="inlineStr">
        <is>
          <t xml:space="preserve">GFE</t>
        </is>
      </c>
      <c r="C11" s="0" t="inlineStr">
        <is>
          <t xml:space="preserve">government-furnished equipment / weapons</t>
        </is>
      </c>
      <c r="D11" s="0" t="inlineStr">
        <is>
          <t xml:space="preserve">excluded from TAM</t>
        </is>
      </c>
    </row>
    <row r="12" outlineLevel="1">
      <c r="B12" s="1" t="inlineStr">
        <is>
          <t xml:space="preserve">MIB</t>
        </is>
      </c>
      <c r="C12" s="0" t="inlineStr">
        <is>
          <t xml:space="preserve">maritime industrial base / capacity</t>
        </is>
      </c>
      <c r="D12" s="0" t="inlineStr">
        <is>
          <t xml:space="preserve">excluded</t>
        </is>
      </c>
    </row>
    <row r="13" outlineLevel="1">
      <c r="B13" s="1" t="inlineStr">
        <is>
          <t xml:space="preserve">POP</t>
        </is>
      </c>
      <c r="C13" s="0" t="inlineStr">
        <is>
          <t xml:space="preserve">place of performance</t>
        </is>
      </c>
      <c r="D13" s="0" t="inlineStr">
        <is>
          <t xml:space="preserve">drives the supplier coefficient</t>
        </is>
      </c>
    </row>
    <row r="14" outlineLevel="1">
      <c r="B14" s="1" t="inlineStr">
        <is>
          <t xml:space="preserve">Supplier coefficient</t>
        </is>
      </c>
      <c r="C14" s="0" t="inlineStr">
        <is>
          <t xml:space="preserve">$-weighted supplier+foreign POP share</t>
        </is>
      </c>
      <c r="D14" s="0" t="inlineStr">
        <is>
          <t xml:space="preserve">applied to each stream base</t>
        </is>
      </c>
    </row>
    <row r="15" outlineLevel="1">
      <c r="B15" s="1" t="inlineStr">
        <is>
          <t xml:space="preserve">MYP correction</t>
        </is>
      </c>
      <c r="C15" s="0" t="inlineStr">
        <is>
          <t xml:space="preserve">redacted MYP masters folded back at reconstructed POP</t>
        </is>
      </c>
      <c r="D15" s="0" t="inlineStr">
        <is>
          <t xml:space="preserve">corrects the BC coefficient</t>
        </is>
      </c>
    </row>
    <row r="16" outlineLevel="1">
      <c r="B16" s="1" t="inlineStr">
        <is>
          <t xml:space="preserve">Registry-led bucketing</t>
        </is>
      </c>
      <c r="C16" s="0" t="inlineStr">
        <is>
          <t xml:space="preserve">operating-entity UEI resolves role + bucket; NAICS-4 fallback</t>
        </is>
      </c>
      <c r="D16" s="0" t="inlineStr">
        <is>
          <t xml:space="preserve">primary signal (both books)</t>
        </is>
      </c>
    </row>
    <row r="17" outlineLevel="1">
      <c r="B17" s="1" t="inlineStr">
        <is>
          <t xml:space="preserve">Worktype share gate</t>
        </is>
      </c>
      <c r="C17" s="0" t="inlineStr">
        <is>
          <t xml:space="preserve">bucket shares measured on yard-PIID subawards, FY2022-25 window</t>
        </is>
      </c>
      <c r="D17" s="0" t="inlineStr">
        <is>
          <t xml:space="preserve">GFE-chain prime records excluded</t>
        </is>
      </c>
    </row>
    <row r="20">
      <c r="A20" s="0" t="inlineStr">
        <is>
          <t xml:space="preserve">x</t>
        </is>
      </c>
      <c r="B20" s="9" t="inlineStr">
        <is>
          <t xml:space="preserve">§2 - Formula framework</t>
        </is>
      </c>
      <c r="C20" s="9"/>
      <c r="D20" s="9"/>
      <c r="E20" s="9"/>
    </row>
    <row r="22">
      <c r="A22" s="0" t="inlineStr">
        <is>
          <t xml:space="preserve">x</t>
        </is>
      </c>
      <c r="B22" s="10" t="inlineStr">
        <is>
          <t xml:space="preserve">§2a - TAM framework</t>
        </is>
      </c>
      <c r="C22" s="10"/>
      <c r="D22" s="10"/>
      <c r="E22" s="10"/>
    </row>
    <row r="24">
      <c r="B24" s="0" t="inlineStr">
        <is>
          <t xml:space="preserve">TAM = BC base x BC supplier coefficient + AP/LLTM base x AP/LLTM supplier coefficient</t>
        </is>
      </c>
    </row>
    <row r="25">
      <c r="B25" s="0" t="inlineStr">
        <is>
          <t xml:space="preserve">Both streams contribute; the BC coefficient is MYP-corrected (see §2c).</t>
        </is>
      </c>
    </row>
    <row r="26">
      <c r="B26" s="2" t="inlineStr">
        <is>
          <t xml:space="preserve">Coefficient (live)</t>
        </is>
      </c>
      <c r="C26" s="22" t="inlineStr">
        <is>
          <t xml:space="preserve">Value</t>
        </is>
      </c>
    </row>
    <row r="27" outlineLevel="1">
      <c r="B27" s="0" t="inlineStr">
        <is>
          <t xml:space="preserve">Applied BC supplier coefficient</t>
        </is>
      </c>
      <c r="C27" s="12">
        <f>'TAM Build'!C44</f>
      </c>
    </row>
    <row r="28" outlineLevel="1">
      <c r="B28" s="0" t="inlineStr">
        <is>
          <t xml:space="preserve">AP/LLTM supplier coefficient</t>
        </is>
      </c>
      <c r="C28" s="12">
        <f>'TAM Build'!C46</f>
      </c>
    </row>
    <row r="30">
      <c r="A30" s="0" t="inlineStr">
        <is>
          <t xml:space="preserve">x</t>
        </is>
      </c>
      <c r="B30" s="10" t="inlineStr">
        <is>
          <t xml:space="preserve">§2b - SAM framework</t>
        </is>
      </c>
      <c r="C30" s="10"/>
      <c r="D30" s="10"/>
      <c r="E30" s="10"/>
    </row>
    <row r="32">
      <c r="B32" s="0" t="inlineStr">
        <is>
          <t xml:space="preserve">SAM scenario = SUMPRODUCT(bucket TAM, scenario inclusion flag)</t>
        </is>
      </c>
    </row>
    <row r="33">
      <c r="B33" s="0" t="inlineStr">
        <is>
          <t xml:space="preserve">Bucket shares are measured per subaward FY on gated evidence: yard construction PIIDs only (GFE / combat-system prime chains excluded), FY2022-FY2025 reporting years -&gt; Worktype by FY.</t>
        </is>
      </c>
    </row>
    <row r="34">
      <c r="B34" s="0" t="inlineStr">
        <is>
          <t xml:space="preserve">Annual TAM is allocated at each FY's own share vector; FY2026-27 use the FY22-25 window vector (no subaward reporting yet).</t>
        </is>
      </c>
    </row>
    <row r="36">
      <c r="A36" s="0" t="inlineStr">
        <is>
          <t xml:space="preserve">x</t>
        </is>
      </c>
      <c r="B36" s="10" t="inlineStr">
        <is>
          <t xml:space="preserve">§2c - MYP correction</t>
        </is>
      </c>
      <c r="C36" s="10"/>
      <c r="D36" s="10"/>
      <c r="E36" s="10"/>
    </row>
    <row r="38">
      <c r="B38" s="0" t="inlineStr">
        <is>
          <t xml:space="preserve">BC coefficient is measured on the non-GFE BC corpus, with the two $-redacted MYP masters folded back at their announced POP ($ reconstructed from FPDS + trade press).</t>
        </is>
      </c>
    </row>
    <row r="39">
      <c r="B39" s="2" t="inlineStr">
        <is>
          <t xml:space="preserve">POP figure</t>
        </is>
      </c>
      <c r="C39" s="2" t="inlineStr">
        <is>
          <t xml:space="preserve">Meaning</t>
        </is>
      </c>
    </row>
    <row r="40" outlineLevel="1">
      <c r="B40" s="0" t="inlineStr">
        <is>
          <t xml:space="preserve">~87% disclosed outside-yards</t>
        </is>
      </c>
      <c r="C40" s="0" t="inlineStr">
        <is>
          <t xml:space="preserve">redaction artifact; the $-redacted masters drop out of the denominator</t>
        </is>
      </c>
    </row>
    <row r="41" outlineLevel="1">
      <c r="B41" s="0" t="inlineStr">
        <is>
          <t xml:space="preserve">~42% MYP-corrected outside-yards</t>
        </is>
      </c>
      <c r="C41" s="0" t="inlineStr">
        <is>
          <t xml:space="preserve">the 0.42 anchor, with the masters folded back</t>
        </is>
      </c>
    </row>
    <row r="42" outlineLevel="1">
      <c r="B42" s="0" t="inlineStr">
        <is>
          <t xml:space="preserve">25.3% applied BC coefficient (FY23-27)</t>
        </is>
      </c>
      <c r="C42" s="0" t="inlineStr">
        <is>
          <t xml:space="preserve">over the non-GFE BC corpus - the value actually used</t>
        </is>
      </c>
    </row>
    <row r="43" outlineLevel="1">
      <c r="B43" s="0" t="inlineStr">
        <is>
          <t xml:space="preserve">22.0% FY2022-vintage BC coefficient</t>
        </is>
      </c>
      <c r="C43" s="0" t="inlineStr">
        <is>
          <t xml:space="preserve">FY18-22 masters' announced POP (2018-09-27 bulletin); applied to FY2022 only</t>
        </is>
      </c>
    </row>
    <row r="45">
      <c r="A45" s="0" t="inlineStr">
        <is>
          <t xml:space="preserve">x</t>
        </is>
      </c>
      <c r="B45" s="10" t="inlineStr">
        <is>
          <t xml:space="preserve">§2d - Penetration &amp; outyear outlook</t>
        </is>
      </c>
      <c r="C45" s="10"/>
      <c r="D45" s="10"/>
      <c r="E45" s="10"/>
    </row>
    <row r="47">
      <c r="B47" s="0" t="inlineStr">
        <is>
          <t xml:space="preserve">Penetration = Outsourced BC TAM (both streams) / total ship spend (P-5c Total Ship Estimate + OBBBA gross), constant FY2026 $.</t>
        </is>
      </c>
    </row>
    <row r="48">
      <c r="B48" s="0" t="inlineStr">
        <is>
          <t xml:space="preserve">Window averages are ratios of sums; implied FY28-31 Outsourced BC = PB2027 FYDP gross x penetration, low = FY22-25 average, high = low x (1 + stated outsourcing-intent uplift, Assumptions §7).</t>
        </is>
      </c>
    </row>
    <row r="49">
      <c r="B49" s="0" t="inlineStr">
        <is>
          <t xml:space="preserve">FYDP outyears are the PB2027 request, not appropriation; FY2030-FY2031 deflators are extrapolated (Deflators tab).</t>
        </is>
      </c>
    </row>
    <row r="52">
      <c r="A52" s="0" t="inlineStr">
        <is>
          <t xml:space="preserve">x</t>
        </is>
      </c>
      <c r="B52" s="10" t="inlineStr">
        <is>
          <t xml:space="preserve">§2e - Evidence basis by fiscal year</t>
        </is>
      </c>
      <c r="C52" s="10"/>
      <c r="D52" s="10"/>
      <c r="E52" s="10"/>
    </row>
    <row r="54">
      <c r="B54" s="2" t="inlineStr">
        <is>
          <t xml:space="preserve">FY</t>
        </is>
      </c>
      <c r="C54" s="2" t="inlineStr">
        <is>
          <t xml:space="preserve">Dollar basis</t>
        </is>
      </c>
      <c r="D54" s="2" t="inlineStr">
        <is>
          <t xml:space="preserve">Outsourced % basis</t>
        </is>
      </c>
    </row>
    <row r="55" outlineLevel="1">
      <c r="B55" s="0" t="inlineStr">
        <is>
          <t xml:space="preserve">2022</t>
        </is>
      </c>
      <c r="C55" s="0" t="inlineStr">
        <is>
          <t xml:space="preserve">Settled actuals (PB &gt;= FY+2 vintage rule)</t>
        </is>
      </c>
      <c r="D55" s="0" t="inlineStr">
        <is>
          <t xml:space="preserve">Announced POP of the FY18-22 MYP masters funding the FY22 ships (22.0%; CITE-10)</t>
        </is>
      </c>
    </row>
    <row r="56" outlineLevel="1">
      <c r="B56" s="0" t="inlineStr">
        <is>
          <t xml:space="preserve">2023-2025</t>
        </is>
      </c>
      <c r="C56" s="0" t="inlineStr">
        <is>
          <t xml:space="preserve">Settled actuals</t>
        </is>
      </c>
      <c r="D56" s="0" t="inlineStr">
        <is>
          <t xml:space="preserve">Announced POP of the FY23-27 MYP masters funding those ships (25.3% corpus coefficient; CITE-01)</t>
        </is>
      </c>
    </row>
    <row r="57" outlineLevel="1">
      <c r="B57" s="0" t="inlineStr">
        <is>
          <t xml:space="preserve">2026</t>
        </is>
      </c>
      <c r="C57" s="0" t="inlineStr">
        <is>
          <t xml:space="preserve">Enacted: PB2027 P-5c + OBBBA PL 119-21 mandatory</t>
        </is>
      </c>
      <c r="D57" s="0" t="inlineStr">
        <is>
          <t xml:space="preserve">Same 25.3% (FY26 ships are options under the FY23-27 masters); the OBBBA BC/GFE split (62.8%) is the one assumption layer</t>
        </is>
      </c>
    </row>
    <row r="58" outlineLevel="1">
      <c r="B58" s="0" t="inlineStr">
        <is>
          <t xml:space="preserve">2027</t>
        </is>
      </c>
      <c r="C58" s="0" t="inlineStr">
        <is>
          <t xml:space="preserve">PB2027 request - not yet appropriated</t>
        </is>
      </c>
      <c r="D58" s="0" t="inlineStr">
        <is>
          <t xml:space="preserve">Same 25.3% (the Ingalls master covers the FY27 ship); estimate until appropriation</t>
        </is>
      </c>
    </row>
    <row r="59" outlineLevel="1">
      <c r="B59" s="0" t="inlineStr">
        <is>
          <t xml:space="preserve">2028-2031</t>
        </is>
      </c>
      <c r="C59" s="0" t="inlineStr">
        <is>
          <t xml:space="preserve">PB2027 FYDP request (Outlook only; outside TAM)</t>
        </is>
      </c>
      <c r="D59" s="0" t="inlineStr">
        <is>
          <t xml:space="preserve">Penetration assumption, not announcement POP - styled as an estimate</t>
        </is>
      </c>
    </row>
    <row r="60">
      <c r="B60" s="0" t="inlineStr">
        <is>
          <t xml:space="preserve">Announced POP is the contract-level planned distribution ('Work will be performed in...'), not realized per-FY actuals.</t>
        </is>
      </c>
    </row>
    <row r="61">
      <c r="B61" s="0" t="inlineStr">
        <is>
          <t xml:space="preserve">The AP/LLTM stream (FY25-26 only) is budget-exhibit classification (P-10 Ship Construction EOQ, CITE-09), not announcement POP.</t>
        </is>
      </c>
    </row>
    <row r="64">
      <c r="A64" s="0" t="inlineStr">
        <is>
          <t xml:space="preserve">x</t>
        </is>
      </c>
      <c r="B64" s="9" t="inlineStr">
        <is>
          <t xml:space="preserve">§3 - Market-sizing flow</t>
        </is>
      </c>
      <c r="C64" s="9"/>
      <c r="D64" s="9"/>
      <c r="E64" s="9"/>
    </row>
    <row r="66">
      <c r="B66" s="2" t="inlineStr">
        <is>
          <t xml:space="preserve">Step</t>
        </is>
      </c>
      <c r="C66" s="2" t="inlineStr">
        <is>
          <t xml:space="preserve">Input</t>
        </is>
      </c>
      <c r="D66" s="2" t="inlineStr">
        <is>
          <t xml:space="preserve">Method</t>
        </is>
      </c>
      <c r="E66" s="2" t="inlineStr">
        <is>
          <t xml:space="preserve">Output tab</t>
        </is>
      </c>
    </row>
    <row r="67" outlineLevel="1">
      <c r="B67" s="0" t="inlineStr">
        <is>
          <t xml:space="preserve">Budget base</t>
        </is>
      </c>
      <c r="C67" s="0" t="inlineStr">
        <is>
          <t xml:space="preserve">SCN P-5c + P-10</t>
        </is>
      </c>
      <c r="D67" s="0" t="inlineStr">
        <is>
          <t xml:space="preserve">extract per class/FY</t>
        </is>
      </c>
      <c r="E67" s="0" t="inlineStr">
        <is>
          <t xml:space="preserve">SCN Budget / AP Bridge</t>
        </is>
      </c>
    </row>
    <row r="68" outlineLevel="1">
      <c r="B68" s="0" t="inlineStr">
        <is>
          <t xml:space="preserve">Add OBBBA mandatory BC (Sec. 20002(17))</t>
        </is>
      </c>
      <c r="C68" s="0" t="inlineStr">
        <is>
          <t xml:space="preserve">mandatory allocation plan</t>
        </is>
      </c>
      <c r="D68" s="0" t="inlineStr">
        <is>
          <t xml:space="preserve">gross x BC share</t>
        </is>
      </c>
      <c r="E68" s="0" t="inlineStr">
        <is>
          <t xml:space="preserve">OBBBA Mandatory</t>
        </is>
      </c>
    </row>
    <row r="69" outlineLevel="1">
      <c r="B69" s="0" t="inlineStr">
        <is>
          <t xml:space="preserve">Remove GFE / non-addressable / dup AP</t>
        </is>
      </c>
      <c r="C69" s="0" t="inlineStr">
        <is>
          <t xml:space="preserve">budget base</t>
        </is>
      </c>
      <c r="D69" s="0" t="inlineStr">
        <is>
          <t xml:space="preserve">exclusion rules</t>
        </is>
      </c>
      <c r="E69" s="0" t="inlineStr">
        <is>
          <t xml:space="preserve">TAM Build</t>
        </is>
      </c>
    </row>
    <row r="70" outlineLevel="1">
      <c r="B70" s="0" t="inlineStr">
        <is>
          <t xml:space="preserve">Apply POP supplier coefficient</t>
        </is>
      </c>
      <c r="C70" s="0" t="inlineStr">
        <is>
          <t xml:space="preserve">in-scope base</t>
        </is>
      </c>
      <c r="D70" s="0" t="inlineStr">
        <is>
          <t xml:space="preserve">POP $-weighted share</t>
        </is>
      </c>
      <c r="E70" s="0" t="inlineStr">
        <is>
          <t xml:space="preserve">TAM Build</t>
        </is>
      </c>
    </row>
    <row r="71" outlineLevel="1">
      <c r="B71" s="0" t="inlineStr">
        <is>
          <t xml:space="preserve">Portfolio TAM</t>
        </is>
      </c>
      <c r="C71" s="0" t="inlineStr">
        <is>
          <t xml:space="preserve">BC + AP/LLTM streams</t>
        </is>
      </c>
      <c r="D71" s="0" t="inlineStr">
        <is>
          <t xml:space="preserve">base x coefficient</t>
        </is>
      </c>
      <c r="E71" s="0" t="inlineStr">
        <is>
          <t xml:space="preserve">TAM Build</t>
        </is>
      </c>
    </row>
    <row r="72" outlineLevel="1">
      <c r="B72" s="0" t="inlineStr">
        <is>
          <t xml:space="preserve">Gate work-type share evidence</t>
        </is>
      </c>
      <c r="C72" s="0" t="inlineStr">
        <is>
          <t xml:space="preserve">FFATA subawards</t>
        </is>
      </c>
      <c r="D72" s="0" t="inlineStr">
        <is>
          <t xml:space="preserve">yard PIIDs, FY22-25 window</t>
        </is>
      </c>
      <c r="E72" s="0" t="inlineStr">
        <is>
          <t xml:space="preserve">Worktype by FY</t>
        </is>
      </c>
    </row>
    <row r="73" outlineLevel="1">
      <c r="B73" s="0" t="inlineStr">
        <is>
          <t xml:space="preserve">Allocate TAM into buckets</t>
        </is>
      </c>
      <c r="C73" s="0" t="inlineStr">
        <is>
          <t xml:space="preserve">annual TAM</t>
        </is>
      </c>
      <c r="D73" s="0" t="inlineStr">
        <is>
          <t xml:space="preserve">x per-FY modeled bucket share</t>
        </is>
      </c>
      <c r="E73" s="0" t="inlineStr">
        <is>
          <t xml:space="preserve">SAM Build</t>
        </is>
      </c>
    </row>
    <row r="74" outlineLevel="1">
      <c r="B74" s="0" t="inlineStr">
        <is>
          <t xml:space="preserve">Apply target scenario flags</t>
        </is>
      </c>
      <c r="C74" s="0" t="inlineStr">
        <is>
          <t xml:space="preserve">bucket TAM</t>
        </is>
      </c>
      <c r="D74" s="0" t="inlineStr">
        <is>
          <t xml:space="preserve">SUMPRODUCT with flags</t>
        </is>
      </c>
      <c r="E74" s="0" t="inlineStr">
        <is>
          <t xml:space="preserve">SAM Build</t>
        </is>
      </c>
    </row>
    <row r="75" outlineLevel="1">
      <c r="B75" s="0" t="inlineStr">
        <is>
          <t xml:space="preserve">SAM scenario output</t>
        </is>
      </c>
      <c r="C75" s="0" t="inlineStr">
        <is>
          <t xml:space="preserve">scenario selection</t>
        </is>
      </c>
      <c r="D75" s="0" t="inlineStr">
        <is>
          <t xml:space="preserve">scenario menu</t>
        </is>
      </c>
      <c r="E75" s="0" t="inlineStr">
        <is>
          <t xml:space="preserve">SAM Build</t>
        </is>
      </c>
    </row>
    <row r="76" outlineLevel="1">
      <c r="B76" s="0" t="inlineStr">
        <is>
          <t xml:space="preserve">Penetration &amp; outyear outlook</t>
        </is>
      </c>
      <c r="C76" s="0" t="inlineStr">
        <is>
          <t xml:space="preserve">TAM + ship spend + PB2027 FYDP gross</t>
        </is>
      </c>
      <c r="D76" s="0" t="inlineStr">
        <is>
          <t xml:space="preserve">TAM / spend; FYDP x penetration range</t>
        </is>
      </c>
      <c r="E76" s="0" t="inlineStr">
        <is>
          <t xml:space="preserve">Outlook</t>
        </is>
      </c>
    </row>
    <row r="79">
      <c r="A79" s="0" t="inlineStr">
        <is>
          <t xml:space="preserve">x</t>
        </is>
      </c>
      <c r="B79" s="9" t="inlineStr">
        <is>
          <t xml:space="preserve">§4 - Scope boundary</t>
        </is>
      </c>
      <c r="C79" s="9"/>
      <c r="D79" s="9"/>
      <c r="E79" s="9"/>
    </row>
    <row r="81">
      <c r="A81" s="0" t="inlineStr">
        <is>
          <t xml:space="preserve">x</t>
        </is>
      </c>
      <c r="B81" s="10" t="inlineStr">
        <is>
          <t xml:space="preserve">§4a - In TAM</t>
        </is>
      </c>
      <c r="C81" s="10"/>
      <c r="D81" s="10"/>
      <c r="E81" s="10"/>
    </row>
    <row r="83" outlineLevel="1">
      <c r="B83" s="0" t="inlineStr">
        <is>
          <t xml:space="preserve">Basic Construction, non-GFE</t>
        </is>
      </c>
    </row>
    <row r="84" outlineLevel="1">
      <c r="B84" s="0" t="inlineStr">
        <is>
          <t xml:space="preserve">Supplier-addressable component work, per award description</t>
        </is>
      </c>
    </row>
    <row r="85" outlineLevel="1">
      <c r="B85" s="0" t="inlineStr">
        <is>
          <t xml:space="preserve">Work away from prime / co-prime / GFE sites</t>
        </is>
      </c>
    </row>
    <row r="86" outlineLevel="1">
      <c r="B86" s="0" t="inlineStr">
        <is>
          <t xml:space="preserve">Eligible AP / LLTM / EOQ (additive only)</t>
        </is>
      </c>
    </row>
    <row r="87" outlineLevel="1">
      <c r="B87" s="0" t="inlineStr">
        <is>
          <t xml:space="preserve">OBBBA mandatory BC share (Sec. 20002(17): two FY2026 ships, DDG 147/149)</t>
        </is>
      </c>
    </row>
    <row r="89">
      <c r="A89" s="0" t="inlineStr">
        <is>
          <t xml:space="preserve">x</t>
        </is>
      </c>
      <c r="B89" s="10" t="inlineStr">
        <is>
          <t xml:space="preserve">§4b - Out of TAM</t>
        </is>
      </c>
      <c r="C89" s="10"/>
      <c r="D89" s="10"/>
      <c r="E89" s="10"/>
    </row>
    <row r="91" outlineLevel="1">
      <c r="B91" s="0" t="inlineStr">
        <is>
          <t xml:space="preserve">GFE / Aegis / SPY-6 / VLS / weapons / ordnance</t>
        </is>
      </c>
    </row>
    <row r="92" outlineLevel="1">
      <c r="B92" s="0" t="inlineStr">
        <is>
          <t xml:space="preserve">MIB / industrial-base capacity (incl. the other OBBBA Sec. 20002 lines)</t>
        </is>
      </c>
    </row>
    <row r="93" outlineLevel="1">
      <c r="B93" s="0" t="inlineStr">
        <is>
          <t xml:space="preserve">Sustainment / depot / design-only work</t>
        </is>
      </c>
    </row>
    <row r="94" outlineLevel="1">
      <c r="B94" s="0" t="inlineStr">
        <is>
          <t xml:space="preserve">Prime / co-prime final-assembly yard work (BIW, Ingalls)</t>
        </is>
      </c>
    </row>
    <row r="95" outlineLevel="1">
      <c r="B95" s="0" t="inlineStr">
        <is>
          <t xml:space="preserve">AP/LLTM already inside BC</t>
        </is>
      </c>
    </row>
    <row r="97">
      <c r="A97" s="0" t="inlineStr">
        <is>
          <t xml:space="preserve">x</t>
        </is>
      </c>
      <c r="B97" s="10" t="inlineStr">
        <is>
          <t xml:space="preserve">§4c - Mandatory (OBBBA) funding treatment</t>
        </is>
      </c>
      <c r="C97" s="10"/>
      <c r="D97" s="10"/>
      <c r="E97" s="10"/>
    </row>
    <row r="99" outlineLevel="1">
      <c r="B99" s="0" t="inlineStr">
        <is>
          <t xml:space="preserve">OBBBA Sec. 20002(17): $5.4B FY2026 mandatory funding for two DDG-51 destroyers (DDG 147/149) under the current MYP; the FY27 PB P-1 carries zero FY2026 discretionary quantity.</t>
        </is>
      </c>
    </row>
    <row r="100" outlineLevel="1">
      <c r="B100" s="0" t="inlineStr">
        <is>
          <t xml:space="preserve">The award covers basic construction and GFE with no breakout; the BC portion uses the P-5c BC/GFE cost structure (Assumptions knob) and the GFE share is excluded from TAM.</t>
        </is>
      </c>
    </row>
    <row r="101" outlineLevel="1">
      <c r="B101" s="0" t="inlineStr">
        <is>
          <t xml:space="preserve">Booked in FY2026 on budget-year basis (awards from Q2 FY2026; obligation authority through 2029-09-30); FY2027 is discretionary-only.</t>
        </is>
      </c>
    </row>
    <row r="104">
      <c r="A104" s="0" t="inlineStr">
        <is>
          <t xml:space="preserve">x</t>
        </is>
      </c>
      <c r="B104" s="9" t="inlineStr">
        <is>
          <t xml:space="preserve">§5 - Exclusion rules</t>
        </is>
      </c>
      <c r="C104" s="9"/>
      <c r="D104" s="9"/>
      <c r="E104" s="9"/>
    </row>
    <row r="106">
      <c r="B106" s="2" t="inlineStr">
        <is>
          <t xml:space="preserve">Exclusion category</t>
        </is>
      </c>
      <c r="C106" s="2" t="inlineStr">
        <is>
          <t xml:space="preserve">Treatment</t>
        </is>
      </c>
      <c r="D106" s="2" t="inlineStr">
        <is>
          <t xml:space="preserve">Rationale</t>
        </is>
      </c>
      <c r="E106" s="2" t="inlineStr">
        <is>
          <t xml:space="preserve">Evidence tab</t>
        </is>
      </c>
    </row>
    <row r="107" outlineLevel="1">
      <c r="B107" s="0" t="inlineStr">
        <is>
          <t xml:space="preserve">Mission systems</t>
        </is>
      </c>
      <c r="C107" s="0" t="inlineStr">
        <is>
          <t xml:space="preserve">exclude</t>
        </is>
      </c>
      <c r="D107" s="0" t="inlineStr">
        <is>
          <t xml:space="preserve">combat/electronics (VLS launch-control, radar, EW) - different market</t>
        </is>
      </c>
      <c r="E107" s="0" t="inlineStr">
        <is>
          <t xml:space="preserve">Entity Master</t>
        </is>
      </c>
    </row>
    <row r="108" outlineLevel="1">
      <c r="B108" s="0" t="inlineStr">
        <is>
          <t xml:space="preserve">GFE</t>
        </is>
      </c>
      <c r="C108" s="0" t="inlineStr">
        <is>
          <t xml:space="preserve">exclude</t>
        </is>
      </c>
      <c r="D108" s="0" t="inlineStr">
        <is>
          <t xml:space="preserve">Navy-directed equipment / weapons</t>
        </is>
      </c>
      <c r="E108" s="0" t="inlineStr">
        <is>
          <t xml:space="preserve">SCN Budget</t>
        </is>
      </c>
    </row>
    <row r="109" outlineLevel="1">
      <c r="B109" s="0" t="inlineStr">
        <is>
          <t xml:space="preserve">MIB</t>
        </is>
      </c>
      <c r="C109" s="0" t="inlineStr">
        <is>
          <t xml:space="preserve">exclude</t>
        </is>
      </c>
      <c r="D109" s="0" t="inlineStr">
        <is>
          <t xml:space="preserve">industrial-base capacity, not construction</t>
        </is>
      </c>
      <c r="E109" s="0" t="inlineStr">
        <is>
          <t xml:space="preserve">Scope Exclusions</t>
        </is>
      </c>
    </row>
    <row r="110" outlineLevel="1">
      <c r="B110" s="0" t="inlineStr">
        <is>
          <t xml:space="preserve">Prime yard</t>
        </is>
      </c>
      <c r="C110" s="0" t="inlineStr">
        <is>
          <t xml:space="preserve">exclude</t>
        </is>
      </c>
      <c r="D110" s="0" t="inlineStr">
        <is>
          <t xml:space="preserve">BIW final-assembly work, not addressable</t>
        </is>
      </c>
      <c r="E110" s="0" t="inlineStr">
        <is>
          <t xml:space="preserve">POP Corpus</t>
        </is>
      </c>
    </row>
    <row r="111" outlineLevel="1">
      <c r="B111" s="0" t="inlineStr">
        <is>
          <t xml:space="preserve">Co-prime yard</t>
        </is>
      </c>
      <c r="C111" s="0" t="inlineStr">
        <is>
          <t xml:space="preserve">exclude</t>
        </is>
      </c>
      <c r="D111" s="0" t="inlineStr">
        <is>
          <t xml:space="preserve">Ingalls site work, not addressable</t>
        </is>
      </c>
      <c r="E111" s="0" t="inlineStr">
        <is>
          <t xml:space="preserve">POP Corpus</t>
        </is>
      </c>
    </row>
    <row r="112" outlineLevel="1">
      <c r="B112" s="0" t="inlineStr">
        <is>
          <t xml:space="preserve">Foreign / FMS</t>
        </is>
      </c>
      <c r="C112" s="0" t="inlineStr">
        <is>
          <t xml:space="preserve">exclude</t>
        </is>
      </c>
      <c r="D112" s="0" t="inlineStr">
        <is>
          <t xml:space="preserve">foreign supplier / FMS, not US yard-side</t>
        </is>
      </c>
      <c r="E112" s="0" t="inlineStr">
        <is>
          <t xml:space="preserve">Entity Master</t>
        </is>
      </c>
    </row>
    <row r="113" outlineLevel="1">
      <c r="B113" s="0" t="inlineStr">
        <is>
          <t xml:space="preserve">Holding / IT / services</t>
        </is>
      </c>
      <c r="C113" s="0" t="inlineStr">
        <is>
          <t xml:space="preserve">exclude</t>
        </is>
      </c>
      <c r="D113" s="0" t="inlineStr">
        <is>
          <t xml:space="preserve">holding co (5511), IT resellers, eng services</t>
        </is>
      </c>
      <c r="E113" s="0" t="inlineStr">
        <is>
          <t xml:space="preserve">Entity Master</t>
        </is>
      </c>
    </row>
    <row r="114" outlineLevel="1">
      <c r="B114" s="0" t="inlineStr">
        <is>
          <t xml:space="preserve">Sustainment / depot</t>
        </is>
      </c>
      <c r="C114" s="0" t="inlineStr">
        <is>
          <t xml:space="preserve">exclude</t>
        </is>
      </c>
      <c r="D114" s="0" t="inlineStr">
        <is>
          <t xml:space="preserve">in-service, not new construction</t>
        </is>
      </c>
      <c r="E114" s="0" t="inlineStr">
        <is>
          <t xml:space="preserve">Scope Exclusions</t>
        </is>
      </c>
    </row>
    <row r="115" outlineLevel="1">
      <c r="B115" s="0" t="inlineStr">
        <is>
          <t xml:space="preserve">Design-only</t>
        </is>
      </c>
      <c r="C115" s="0" t="inlineStr">
        <is>
          <t xml:space="preserve">exclude</t>
        </is>
      </c>
      <c r="D115" s="0" t="inlineStr">
        <is>
          <t xml:space="preserve">engineering only, no hardware</t>
        </is>
      </c>
      <c r="E115" s="0" t="inlineStr">
        <is>
          <t xml:space="preserve">POP Corpus</t>
        </is>
      </c>
    </row>
    <row r="116" outlineLevel="1">
      <c r="B116" s="0" t="inlineStr">
        <is>
          <t xml:space="preserve">AP/LLTM already in BC</t>
        </is>
      </c>
      <c r="C116" s="0" t="inlineStr">
        <is>
          <t xml:space="preserve">exclude</t>
        </is>
      </c>
      <c r="D116" s="0" t="inlineStr">
        <is>
          <t xml:space="preserve">booked inside BC; no double-count</t>
        </is>
      </c>
      <c r="E116" s="0" t="inlineStr">
        <is>
          <t xml:space="preserve">AP Bridge</t>
        </is>
      </c>
    </row>
    <row r="117" outlineLevel="1">
      <c r="B117" s="0" t="inlineStr">
        <is>
          <t xml:space="preserve">Service / non-component</t>
        </is>
      </c>
      <c r="C117" s="0" t="inlineStr">
        <is>
          <t xml:space="preserve">exclude</t>
        </is>
      </c>
      <c r="D117" s="0" t="inlineStr">
        <is>
          <t xml:space="preserve">service NAICS, not manufacturing</t>
        </is>
      </c>
      <c r="E117" s="0" t="inlineStr">
        <is>
          <t xml:space="preserve">Entity Master</t>
        </is>
      </c>
    </row>
    <row r="119">
      <c r="A119" s="0" t="inlineStr">
        <is>
          <t xml:space="preserve">x</t>
        </is>
      </c>
      <c r="B119" s="10" t="inlineStr">
        <is>
          <t xml:space="preserve">§5a - Effect on the corpus (live)</t>
        </is>
      </c>
      <c r="C119" s="10"/>
      <c r="D119" s="10"/>
      <c r="E119" s="10"/>
    </row>
    <row r="121">
      <c r="B121" s="2" t="inlineStr">
        <is>
          <t xml:space="preserve">Measure</t>
        </is>
      </c>
      <c r="C121" s="22" t="inlineStr">
        <is>
          <t xml:space="preserve">$M</t>
        </is>
      </c>
    </row>
    <row r="122" outlineLevel="1">
      <c r="B122" s="0" t="inlineStr">
        <is>
          <t xml:space="preserve">Gated TAM corpus</t>
        </is>
      </c>
      <c r="C122" s="11">
        <f>'POP Source Audit'!D15</f>
      </c>
    </row>
    <row r="123" outlineLevel="1">
      <c r="B123" s="0" t="inlineStr">
        <is>
          <t xml:space="preserve">less: GFE / excluded scope</t>
        </is>
      </c>
      <c r="C123" s="11">
        <f>'POP Source Audit'!D16</f>
      </c>
    </row>
    <row r="125">
      <c r="A125" s="0" t="inlineStr">
        <is>
          <t xml:space="preserve">x</t>
        </is>
      </c>
      <c r="B125" s="10" t="inlineStr">
        <is>
          <t xml:space="preserve">§5b - Named contaminants</t>
        </is>
      </c>
      <c r="C125" s="10"/>
      <c r="D125" s="10"/>
      <c r="E125" s="10"/>
    </row>
    <row r="127">
      <c r="B127" s="2" t="inlineStr">
        <is>
          <t xml:space="preserve">Item</t>
        </is>
      </c>
      <c r="C127" s="2" t="inlineStr">
        <is>
          <t xml:space="preserve">Identifier</t>
        </is>
      </c>
      <c r="D127" s="2" t="inlineStr">
        <is>
          <t xml:space="preserve">Why excluded</t>
        </is>
      </c>
    </row>
    <row r="128" outlineLevel="1">
      <c r="B128" s="1" t="inlineStr">
        <is>
          <t xml:space="preserve">IVECO Mk110 gun</t>
        </is>
      </c>
      <c r="C128" s="0" t="inlineStr">
        <is>
          <t xml:space="preserve">M6785416C0006</t>
        </is>
      </c>
      <c r="D128" s="0" t="inlineStr">
        <is>
          <t xml:space="preserve">Marine Corps gun, not DDG (~$707M dropped)</t>
        </is>
      </c>
    </row>
    <row r="129" outlineLevel="1">
      <c r="B129" s="1" t="inlineStr">
        <is>
          <t xml:space="preserve">DDG-1000 / Zumwalt</t>
        </is>
      </c>
      <c r="C129" s="0" t="inlineStr">
        <is>
          <t xml:space="preserve">LI 2119</t>
        </is>
      </c>
      <c r="D129" s="0" t="inlineStr">
        <is>
          <t xml:space="preserve">out of class; closed, OPN modernization only</t>
        </is>
      </c>
    </row>
    <row r="130" outlineLevel="1">
      <c r="B130" s="1" t="inlineStr">
        <is>
          <t xml:space="preserve">Thales ESSM</t>
        </is>
      </c>
      <c r="C130" s="0" t="inlineStr">
        <is>
          <t xml:space="preserve">N0002415C5420</t>
        </is>
      </c>
      <c r="D130" s="0" t="inlineStr">
        <is>
          <t xml:space="preserve">NATO cost-share on a Raytheon PIID; WPN-funded (~$4.2B dropped)</t>
        </is>
      </c>
    </row>
    <row r="131" outlineLevel="1">
      <c r="B131" s="1" t="inlineStr">
        <is>
          <t xml:space="preserve">WPN/OPN weapons</t>
        </is>
      </c>
      <c r="C131" s="0" t="inlineStr">
        <is>
          <t xml:space="preserve">SM / ESSM / Tomahawk / CIWS</t>
        </is>
      </c>
      <c r="D131" s="0" t="inlineStr">
        <is>
          <t xml:space="preserve">different appropriation, not SCN</t>
        </is>
      </c>
    </row>
    <row r="134">
      <c r="A134" s="0" t="inlineStr">
        <is>
          <t xml:space="preserve">x</t>
        </is>
      </c>
      <c r="B134" s="9" t="inlineStr">
        <is>
          <t xml:space="preserve">§6 - Bucket taxonomy</t>
        </is>
      </c>
      <c r="C134" s="9"/>
      <c r="D134" s="9"/>
      <c r="E134" s="9"/>
    </row>
    <row r="136">
      <c r="B136" s="2" t="inlineStr">
        <is>
          <t xml:space="preserve">Bucket key</t>
        </is>
      </c>
      <c r="C136" s="2" t="inlineStr">
        <is>
          <t xml:space="preserve">Display name</t>
        </is>
      </c>
      <c r="D136" s="2" t="inlineStr">
        <is>
          <t xml:space="preserve">Definition</t>
        </is>
      </c>
      <c r="E136" s="2" t="inlineStr">
        <is>
          <t xml:space="preserve">Typical evidence</t>
        </is>
      </c>
    </row>
    <row r="137" outlineLevel="1">
      <c r="B137" s="0" t="inlineStr">
        <is>
          <t xml:space="preserve">structural</t>
        </is>
      </c>
      <c r="C137" s="0" t="inlineStr">
        <is>
          <t xml:space="preserve">Structural fabrication &amp; modules</t>
        </is>
      </c>
      <c r="D137" s="0" t="inlineStr">
        <is>
          <t xml:space="preserve">hull sections, fabricated structural metal, deckhouse, pre-outfit modules</t>
        </is>
      </c>
      <c r="E137" s="0" t="inlineStr">
        <is>
          <t xml:space="preserve">Worktype Evidence</t>
        </is>
      </c>
    </row>
    <row r="138" outlineLevel="1">
      <c r="B138" s="0" t="inlineStr">
        <is>
          <t xml:space="preserve">machining</t>
        </is>
      </c>
      <c r="C138" s="0" t="inlineStr">
        <is>
          <t xml:space="preserve">Machining / mechanical / propulsion</t>
        </is>
      </c>
      <c r="D138" s="0" t="inlineStr">
        <is>
          <t xml:space="preserve">machine shops, precision machining, mechanical power transmission, propulsion machinery</t>
        </is>
      </c>
      <c r="E138" s="0" t="inlineStr">
        <is>
          <t xml:space="preserve">Worktype Evidence</t>
        </is>
      </c>
    </row>
    <row r="139" outlineLevel="1">
      <c r="B139" s="0" t="inlineStr">
        <is>
          <t xml:space="preserve">castings</t>
        </is>
      </c>
      <c r="C139" s="0" t="inlineStr">
        <is>
          <t xml:space="preserve">Castings &amp; forgings</t>
        </is>
      </c>
      <c r="D139" s="0" t="inlineStr">
        <is>
          <t xml:space="preserve">iron/steel forging, steel foundries, cast components</t>
        </is>
      </c>
      <c r="E139" s="0" t="inlineStr">
        <is>
          <t xml:space="preserve">Worktype Evidence</t>
        </is>
      </c>
    </row>
    <row r="140" outlineLevel="1">
      <c r="B140" s="0" t="inlineStr">
        <is>
          <t xml:space="preserve">piping</t>
        </is>
      </c>
      <c r="C140" s="0" t="inlineStr">
        <is>
          <t xml:space="preserve">Piping / fluid handling</t>
        </is>
      </c>
      <c r="D140" s="0" t="inlineStr">
        <is>
          <t xml:space="preserve">industrial valves, pumps, manifolds, pipe &amp; fittings, hydraulics</t>
        </is>
      </c>
      <c r="E140" s="0" t="inlineStr">
        <is>
          <t xml:space="preserve">Worktype Evidence</t>
        </is>
      </c>
    </row>
    <row r="141" outlineLevel="1">
      <c r="B141" s="0" t="inlineStr">
        <is>
          <t xml:space="preserve">electrical</t>
        </is>
      </c>
      <c r="C141" s="0" t="inlineStr">
        <is>
          <t xml:space="preserve">Electrical power / distribution / generation</t>
        </is>
      </c>
      <c r="D141" s="0" t="inlineStr">
        <is>
          <t xml:space="preserve">switchgear, switchboards, transformers, generators/motors, ship power distribution</t>
        </is>
      </c>
      <c r="E141" s="0" t="inlineStr">
        <is>
          <t xml:space="preserve">Worktype Evidence</t>
        </is>
      </c>
    </row>
    <row r="142" outlineLevel="1">
      <c r="B142" s="0" t="inlineStr">
        <is>
          <t xml:space="preserve">hvac</t>
        </is>
      </c>
      <c r="C142" s="0" t="inlineStr">
        <is>
          <t xml:space="preserve">HVAC / ventilation / chilled water</t>
        </is>
      </c>
      <c r="D142" s="0" t="inlineStr">
        <is>
          <t xml:space="preserve">air-conditioning, chilled water, warm-air heating, shipboard ventilation</t>
        </is>
      </c>
      <c r="E142" s="0" t="inlineStr">
        <is>
          <t xml:space="preserve">Worktype Evidence</t>
        </is>
      </c>
    </row>
    <row r="143" outlineLevel="1">
      <c r="B143" s="0" t="inlineStr">
        <is>
          <t xml:space="preserve">coatings</t>
        </is>
      </c>
      <c r="C143" s="0" t="inlineStr">
        <is>
          <t xml:space="preserve">Coatings / insulation / decking</t>
        </is>
      </c>
      <c r="D143" s="0" t="inlineStr">
        <is>
          <t xml:space="preserve">coatings, paint, deck covering, insulation, rubber/synthetic/composites</t>
        </is>
      </c>
      <c r="E143" s="0" t="inlineStr">
        <is>
          <t xml:space="preserve">Worktype Evidence</t>
        </is>
      </c>
    </row>
    <row r="144" outlineLevel="1">
      <c r="B144" s="0" t="inlineStr">
        <is>
          <t xml:space="preserve">unbucketed</t>
        </is>
      </c>
      <c r="C144" s="0" t="inlineStr">
        <is>
          <t xml:space="preserve">Unbucketed / ambiguous</t>
        </is>
      </c>
      <c r="D144" s="0" t="inlineStr">
        <is>
          <t xml:space="preserve">parent-unknown or no clean description / NAICS</t>
        </is>
      </c>
      <c r="E144" s="0" t="inlineStr">
        <is>
          <t xml:space="preserve">Worktype Evidence</t>
        </is>
      </c>
    </row>
    <row r="146">
      <c r="A146" s="0" t="inlineStr">
        <is>
          <t xml:space="preserve">x</t>
        </is>
      </c>
      <c r="B146" s="10" t="inlineStr">
        <is>
          <t xml:space="preserve">§6a - Governing signal: operating-entity resolution (registry)</t>
        </is>
      </c>
      <c r="C146" s="10"/>
      <c r="D146" s="10"/>
      <c r="E146" s="10"/>
    </row>
    <row r="148">
      <c r="B148" s="2" t="inlineStr">
        <is>
          <t xml:space="preserve">Step</t>
        </is>
      </c>
      <c r="C148" s="2" t="inlineStr">
        <is>
          <t xml:space="preserve">Method</t>
        </is>
      </c>
    </row>
    <row r="149" outlineLevel="1">
      <c r="B149" s="0" t="inlineStr">
        <is>
          <t xml:space="preserve">Key</t>
        </is>
      </c>
      <c r="C149" s="0" t="inlineStr">
        <is>
          <t xml:space="preserve">each subaward's sub_entity_uei = the operating entity that received the dollars</t>
        </is>
      </c>
    </row>
    <row r="150" outlineLevel="1">
      <c r="B150" s="0" t="inlineStr">
        <is>
          <t xml:space="preserve">Resolve</t>
        </is>
      </c>
      <c r="C150" s="0" t="inlineStr">
        <is>
          <t xml:space="preserve">SAM Entity API -&gt; operating-entity legal name + primary NAICS</t>
        </is>
      </c>
    </row>
    <row r="151" outlineLevel="1">
      <c r="B151" s="0" t="inlineStr">
        <is>
          <t xml:space="preserve">Adjudicate</t>
        </is>
      </c>
      <c r="C151" s="0" t="inlineStr">
        <is>
          <t xml:space="preserve">evidence registry assigns role + bucket per entity (signed dollars)</t>
        </is>
      </c>
    </row>
    <row r="152" outlineLevel="1">
      <c r="B152" s="0" t="inlineStr">
        <is>
          <t xml:space="preserve">Why</t>
        </is>
      </c>
      <c r="C152" s="0" t="inlineStr">
        <is>
          <t xml:space="preserve">the prime's CLIN description and the parent brand are too coarse / misleading</t>
        </is>
      </c>
    </row>
    <row r="154">
      <c r="A154" s="0" t="inlineStr">
        <is>
          <t xml:space="preserve">x</t>
        </is>
      </c>
      <c r="B154" s="10" t="inlineStr">
        <is>
          <t xml:space="preserve">§6b - NAICS-4 -&gt; bucket (fallback for entities not in the registry)</t>
        </is>
      </c>
      <c r="C154" s="10"/>
      <c r="D154" s="10"/>
      <c r="E154" s="10"/>
    </row>
    <row r="156">
      <c r="B156" s="22" t="inlineStr">
        <is>
          <t xml:space="preserve">NAICS-4</t>
        </is>
      </c>
      <c r="C156" s="2" t="inlineStr">
        <is>
          <t xml:space="preserve">Bucket</t>
        </is>
      </c>
    </row>
    <row r="157" outlineLevel="1">
      <c r="B157" s="0" t="inlineStr">
        <is>
          <t xml:space="preserve">3252</t>
        </is>
      </c>
      <c r="C157" s="0" t="inlineStr">
        <is>
          <t xml:space="preserve">coatings</t>
        </is>
      </c>
    </row>
    <row r="158" outlineLevel="1">
      <c r="B158" s="0" t="inlineStr">
        <is>
          <t xml:space="preserve">3259</t>
        </is>
      </c>
      <c r="C158" s="0" t="inlineStr">
        <is>
          <t xml:space="preserve">coatings</t>
        </is>
      </c>
    </row>
    <row r="159" outlineLevel="1">
      <c r="B159" s="0" t="inlineStr">
        <is>
          <t xml:space="preserve">3262</t>
        </is>
      </c>
      <c r="C159" s="0" t="inlineStr">
        <is>
          <t xml:space="preserve">coatings</t>
        </is>
      </c>
    </row>
    <row r="160" outlineLevel="1">
      <c r="B160" s="0" t="inlineStr">
        <is>
          <t xml:space="preserve">3312</t>
        </is>
      </c>
      <c r="C160" s="0" t="inlineStr">
        <is>
          <t xml:space="preserve">castings</t>
        </is>
      </c>
    </row>
    <row r="161" outlineLevel="1">
      <c r="B161" s="0" t="inlineStr">
        <is>
          <t xml:space="preserve">3315</t>
        </is>
      </c>
      <c r="C161" s="0" t="inlineStr">
        <is>
          <t xml:space="preserve">castings</t>
        </is>
      </c>
    </row>
    <row r="162" outlineLevel="1">
      <c r="B162" s="0" t="inlineStr">
        <is>
          <t xml:space="preserve">3321</t>
        </is>
      </c>
      <c r="C162" s="0" t="inlineStr">
        <is>
          <t xml:space="preserve">castings</t>
        </is>
      </c>
    </row>
    <row r="163" outlineLevel="1">
      <c r="B163" s="0" t="inlineStr">
        <is>
          <t xml:space="preserve">3323</t>
        </is>
      </c>
      <c r="C163" s="0" t="inlineStr">
        <is>
          <t xml:space="preserve">structural</t>
        </is>
      </c>
    </row>
    <row r="164" outlineLevel="1">
      <c r="B164" s="0" t="inlineStr">
        <is>
          <t xml:space="preserve">3324</t>
        </is>
      </c>
      <c r="C164" s="0" t="inlineStr">
        <is>
          <t xml:space="preserve">structural</t>
        </is>
      </c>
    </row>
    <row r="165" outlineLevel="1">
      <c r="B165" s="0" t="inlineStr">
        <is>
          <t xml:space="preserve">3327</t>
        </is>
      </c>
      <c r="C165" s="0" t="inlineStr">
        <is>
          <t xml:space="preserve">machining</t>
        </is>
      </c>
    </row>
    <row r="166" outlineLevel="1">
      <c r="B166" s="0" t="inlineStr">
        <is>
          <t xml:space="preserve">3329</t>
        </is>
      </c>
      <c r="C166" s="0" t="inlineStr">
        <is>
          <t xml:space="preserve">piping</t>
        </is>
      </c>
    </row>
    <row r="167" outlineLevel="1">
      <c r="B167" s="0" t="inlineStr">
        <is>
          <t xml:space="preserve">3334</t>
        </is>
      </c>
      <c r="C167" s="0" t="inlineStr">
        <is>
          <t xml:space="preserve">hvac</t>
        </is>
      </c>
    </row>
    <row r="168" outlineLevel="1">
      <c r="B168" s="0" t="inlineStr">
        <is>
          <t xml:space="preserve">3336</t>
        </is>
      </c>
      <c r="C168" s="0" t="inlineStr">
        <is>
          <t xml:space="preserve">machining</t>
        </is>
      </c>
    </row>
    <row r="169" outlineLevel="1">
      <c r="B169" s="0" t="inlineStr">
        <is>
          <t xml:space="preserve">3339</t>
        </is>
      </c>
      <c r="C169" s="0" t="inlineStr">
        <is>
          <t xml:space="preserve">piping</t>
        </is>
      </c>
    </row>
    <row r="170" outlineLevel="1">
      <c r="B170" s="0" t="inlineStr">
        <is>
          <t xml:space="preserve">3353</t>
        </is>
      </c>
      <c r="C170" s="0" t="inlineStr">
        <is>
          <t xml:space="preserve">electrical</t>
        </is>
      </c>
    </row>
    <row r="171" outlineLevel="1">
      <c r="B171" s="0" t="inlineStr">
        <is>
          <t xml:space="preserve">3359</t>
        </is>
      </c>
      <c r="C171" s="0" t="inlineStr">
        <is>
          <t xml:space="preserve">electrical</t>
        </is>
      </c>
    </row>
    <row r="172" outlineLevel="1">
      <c r="B172" s="0" t="inlineStr">
        <is>
          <t xml:space="preserve">3366</t>
        </is>
      </c>
      <c r="C172" s="0" t="inlineStr">
        <is>
          <t xml:space="preserve">structural</t>
        </is>
      </c>
    </row>
    <row r="173" outlineLevel="1">
      <c r="B173" s="0" t="inlineStr">
        <is>
          <t xml:space="preserve">3369</t>
        </is>
      </c>
      <c r="C173" s="0" t="inlineStr">
        <is>
          <t xml:space="preserve">structural</t>
        </is>
      </c>
    </row>
    <row r="174" outlineLevel="1">
      <c r="B174" s="0" t="inlineStr">
        <is>
          <t xml:space="preserve">4235</t>
        </is>
      </c>
      <c r="C174" s="0" t="inlineStr">
        <is>
          <t xml:space="preserve">piping</t>
        </is>
      </c>
    </row>
    <row r="177">
      <c r="A177" s="0" t="inlineStr">
        <is>
          <t xml:space="preserve">x</t>
        </is>
      </c>
      <c r="B177" s="9" t="inlineStr">
        <is>
          <t xml:space="preserve">§7 - Classification precedence (first match wins)</t>
        </is>
      </c>
      <c r="C177" s="9"/>
      <c r="D177" s="9"/>
      <c r="E177" s="9"/>
    </row>
    <row r="179">
      <c r="B179" s="22" t="inlineStr">
        <is>
          <t xml:space="preserve">Priority</t>
        </is>
      </c>
      <c r="C179" s="2" t="inlineStr">
        <is>
          <t xml:space="preserve">Rule</t>
        </is>
      </c>
      <c r="D179" s="2" t="inlineStr">
        <is>
          <t xml:space="preserve">Result</t>
        </is>
      </c>
      <c r="E179" s="2" t="inlineStr">
        <is>
          <t xml:space="preserve">Example</t>
        </is>
      </c>
    </row>
    <row r="180" outlineLevel="1">
      <c r="B180" s="0" t="inlineStr">
        <is>
          <t xml:space="preserve">1</t>
        </is>
      </c>
      <c r="C180" s="0" t="inlineStr">
        <is>
          <t xml:space="preserve">Evidence registry (operating-entity UEI)</t>
        </is>
      </c>
      <c r="D180" s="0" t="inlineStr">
        <is>
          <t xml:space="preserve">role + bucket per registry</t>
        </is>
      </c>
      <c r="E180" s="0" t="inlineStr">
        <is>
          <t xml:space="preserve">Leonardo DRS Training&amp;Control -&gt; mission_systems</t>
        </is>
      </c>
    </row>
    <row r="181" outlineLevel="1">
      <c r="B181" s="0" t="inlineStr">
        <is>
          <t xml:space="preserve">2</t>
        </is>
      </c>
      <c r="C181" s="0" t="inlineStr">
        <is>
          <t xml:space="preserve">Prime / co-prime yard name</t>
        </is>
      </c>
      <c r="D181" s="0" t="inlineStr">
        <is>
          <t xml:space="preserve">role=prime/co_prime</t>
        </is>
      </c>
      <c r="E181" s="0" t="inlineStr">
        <is>
          <t xml:space="preserve">Bath Iron Works, HII Ingalls</t>
        </is>
      </c>
    </row>
    <row r="182" outlineLevel="1">
      <c r="B182" s="0" t="inlineStr">
        <is>
          <t xml:space="preserve">3</t>
        </is>
      </c>
      <c r="C182" s="0" t="inlineStr">
        <is>
          <t xml:space="preserve">GFE / Navy-directed name</t>
        </is>
      </c>
      <c r="D182" s="0" t="inlineStr">
        <is>
          <t xml:space="preserve">role=gfe_mib</t>
        </is>
      </c>
      <c r="E182" s="0" t="inlineStr">
        <is>
          <t xml:space="preserve">Lockheed Aegis, Raytheon SPY-6</t>
        </is>
      </c>
    </row>
    <row r="183" outlineLevel="1">
      <c r="B183" s="0" t="inlineStr">
        <is>
          <t xml:space="preserve">4</t>
        </is>
      </c>
      <c r="C183" s="0" t="inlineStr">
        <is>
          <t xml:space="preserve">Vendor-name override</t>
        </is>
      </c>
      <c r="D183" s="0" t="inlineStr">
        <is>
          <t xml:space="preserve">bucket per override</t>
        </is>
      </c>
      <c r="E183" s="0" t="inlineStr">
        <is>
          <t xml:space="preserve">Curtiss-Wright -&gt; piping</t>
        </is>
      </c>
    </row>
    <row r="184" outlineLevel="1">
      <c r="B184" s="0" t="inlineStr">
        <is>
          <t xml:space="preserve">5</t>
        </is>
      </c>
      <c r="C184" s="0" t="inlineStr">
        <is>
          <t xml:space="preserve">NAICS-4 crosswalk (no 3364/3344)</t>
        </is>
      </c>
      <c r="D184" s="0" t="inlineStr">
        <is>
          <t xml:space="preserve">role=supplier, bucket per NAICS</t>
        </is>
      </c>
      <c r="E184" s="0" t="inlineStr">
        <is>
          <t xml:space="preserve">3329 -&gt; piping</t>
        </is>
      </c>
    </row>
    <row r="185" outlineLevel="1">
      <c r="B185" s="0" t="inlineStr">
        <is>
          <t xml:space="preserve">6</t>
        </is>
      </c>
      <c r="C185" s="0" t="inlineStr">
        <is>
          <t xml:space="preserve">Service / non-component NAICS</t>
        </is>
      </c>
      <c r="D185" s="0" t="inlineStr">
        <is>
          <t xml:space="preserve">role=service</t>
        </is>
      </c>
      <c r="E185" s="0" t="inlineStr">
        <is>
          <t xml:space="preserve">5416 mgmt, 5413 eng</t>
        </is>
      </c>
    </row>
    <row r="186" outlineLevel="1">
      <c r="B186" s="0" t="inlineStr">
        <is>
          <t xml:space="preserve">7</t>
        </is>
      </c>
      <c r="C186" s="0" t="inlineStr">
        <is>
          <t xml:space="preserve">Holding (NAICS 5511)</t>
        </is>
      </c>
      <c r="D186" s="0" t="inlineStr">
        <is>
          <t xml:space="preserve">role=holding (excluded)</t>
        </is>
      </c>
      <c r="E186" s="0" t="inlineStr">
        <is>
          <t xml:space="preserve">parent-only holding co</t>
        </is>
      </c>
    </row>
    <row r="187" outlineLevel="1">
      <c r="B187" s="0" t="inlineStr">
        <is>
          <t xml:space="preserve">8</t>
        </is>
      </c>
      <c r="C187" s="0" t="inlineStr">
        <is>
          <t xml:space="preserve">Foreign-flagged, no NAICS</t>
        </is>
      </c>
      <c r="D187" s="0" t="inlineStr">
        <is>
          <t xml:space="preserve">role=foreign_fms (excluded)</t>
        </is>
      </c>
      <c r="E187" s="0" t="inlineStr">
        <is>
          <t xml:space="preserve">foreign supplier / FMS</t>
        </is>
      </c>
    </row>
    <row r="188" outlineLevel="1">
      <c r="B188" s="0" t="inlineStr">
        <is>
          <t xml:space="preserve">9</t>
        </is>
      </c>
      <c r="C188" s="0" t="inlineStr">
        <is>
          <t xml:space="preserve">Residual</t>
        </is>
      </c>
      <c r="D188" s="0" t="inlineStr">
        <is>
          <t xml:space="preserve">role=supplier, bucket=unbucketed</t>
        </is>
      </c>
      <c r="E188" s="0" t="inlineStr">
        <is>
          <t xml:space="preserve">blank NAICS, not in registry</t>
        </is>
      </c>
    </row>
  </sheetData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8860B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32" customWidth="1"/>
    <col min="3" max="3" width="18" customWidth="1"/>
    <col min="4" max="4" width="30" customWidth="1"/>
    <col min="5" max="5" width="13" customWidth="1"/>
    <col min="6" max="6" width="13" customWidth="1"/>
    <col min="7" max="7" width="13" customWidth="1"/>
    <col min="8" max="8" width="13" customWidth="1"/>
  </cols>
  <sheetData>
    <row r="1"/>
    <row r="2">
      <c r="B2" s="8" t="inlineStr">
        <is>
          <t xml:space="preserve">Assumptions</t>
        </is>
      </c>
      <c r="C2" s="8"/>
      <c r="D2" s="8"/>
      <c r="E2" s="8"/>
      <c r="F2" s="8"/>
      <c r="G2" s="8"/>
      <c r="H2" s="8"/>
    </row>
    <row r="4">
      <c r="A4" s="0" t="inlineStr">
        <is>
          <t xml:space="preserve">x</t>
        </is>
      </c>
      <c r="B4" s="9" t="inlineStr">
        <is>
          <t xml:space="preserve">§1 - Run settings</t>
        </is>
      </c>
      <c r="C4" s="9"/>
      <c r="D4" s="9"/>
      <c r="E4" s="9"/>
      <c r="F4" s="9"/>
      <c r="G4" s="9"/>
      <c r="H4" s="9"/>
    </row>
    <row r="6">
      <c r="B6" s="2" t="inlineStr">
        <is>
          <t xml:space="preserve">Setting</t>
        </is>
      </c>
      <c r="C6" s="2" t="inlineStr">
        <is>
          <t xml:space="preserve">Value</t>
        </is>
      </c>
    </row>
    <row r="7" outlineLevel="1">
      <c r="B7" s="0" t="inlineStr">
        <is>
          <t xml:space="preserve">Program</t>
        </is>
      </c>
      <c r="C7" s="0" t="inlineStr">
        <is>
          <t xml:space="preserve">DDG-51 Flight III</t>
        </is>
      </c>
    </row>
    <row r="8" outlineLevel="1">
      <c r="B8" s="0" t="inlineStr">
        <is>
          <t xml:space="preserve">FY range start</t>
        </is>
      </c>
      <c r="C8" s="0">
        <v>2022</v>
      </c>
    </row>
    <row r="9" outlineLevel="1">
      <c r="B9" s="0" t="inlineStr">
        <is>
          <t xml:space="preserve">FY range end</t>
        </is>
      </c>
      <c r="C9" s="0">
        <v>2027</v>
      </c>
    </row>
    <row r="10" outlineLevel="1">
      <c r="B10" s="0" t="inlineStr">
        <is>
          <t xml:space="preserve">Units</t>
        </is>
      </c>
      <c r="C10" s="0" t="inlineStr">
        <is>
          <t xml:space="preserve">Constant FY2026 $M (then-year source retained)</t>
        </is>
      </c>
    </row>
    <row r="11" outlineLevel="1">
      <c r="B11" s="0" t="inlineStr">
        <is>
          <t xml:space="preserve">Selected SAM scenario</t>
        </is>
      </c>
      <c r="C11" s="0" t="inlineStr">
        <is>
          <t xml:space="preserve">broad</t>
        </is>
      </c>
    </row>
    <row r="14">
      <c r="A14" s="0" t="inlineStr">
        <is>
          <t xml:space="preserve">x</t>
        </is>
      </c>
      <c r="B14" s="9" t="inlineStr">
        <is>
          <t xml:space="preserve">§2 - Stream toggles</t>
        </is>
      </c>
      <c r="C14" s="9"/>
      <c r="D14" s="9"/>
      <c r="E14" s="9"/>
      <c r="F14" s="9"/>
      <c r="G14" s="9"/>
      <c r="H14" s="9"/>
    </row>
    <row r="16">
      <c r="B16" s="2" t="inlineStr">
        <is>
          <t xml:space="preserve">Toggle</t>
        </is>
      </c>
      <c r="C16" s="22" t="inlineStr">
        <is>
          <t xml:space="preserve">Value</t>
        </is>
      </c>
    </row>
    <row r="17" outlineLevel="1">
      <c r="B17" s="0" t="inlineStr">
        <is>
          <t xml:space="preserve">Include BC stream</t>
        </is>
      </c>
      <c r="C17" s="5">
        <v>1</v>
      </c>
    </row>
    <row r="18" outlineLevel="1">
      <c r="B18" s="0" t="inlineStr">
        <is>
          <t xml:space="preserve">Include AP/LLTM stream</t>
        </is>
      </c>
      <c r="C18" s="5">
        <v>1</v>
      </c>
    </row>
    <row r="19" outlineLevel="1">
      <c r="B19" s="0" t="inlineStr">
        <is>
          <t xml:space="preserve">Include OBBBA mandatory (Sec. 20002(17)) in BC stream</t>
        </is>
      </c>
      <c r="C19" s="5">
        <v>1</v>
      </c>
    </row>
    <row r="22">
      <c r="A22" s="0" t="inlineStr">
        <is>
          <t xml:space="preserve">x</t>
        </is>
      </c>
      <c r="B22" s="9" t="inlineStr">
        <is>
          <t xml:space="preserve">§3 - AP/LLTM stream ($M, CY advance procurement)</t>
        </is>
      </c>
      <c r="C22" s="9"/>
      <c r="D22" s="9"/>
      <c r="E22" s="9"/>
      <c r="F22" s="9"/>
      <c r="G22" s="9"/>
      <c r="H22" s="9"/>
    </row>
    <row r="24">
      <c r="B24" s="2" t="inlineStr">
        <is>
          <t xml:space="preserve">Class</t>
        </is>
      </c>
      <c r="C24" s="22">
        <v>2022</v>
      </c>
      <c r="D24" s="22">
        <v>2023</v>
      </c>
      <c r="E24" s="22">
        <v>2024</v>
      </c>
      <c r="F24" s="22">
        <v>2025</v>
      </c>
      <c r="G24" s="22">
        <v>2026</v>
      </c>
      <c r="H24" s="22">
        <v>2027</v>
      </c>
    </row>
    <row r="25" outlineLevel="1">
      <c r="B25" s="1" t="inlineStr">
        <is>
          <t xml:space="preserve">DDG-51 (LI 2122), CY AP gross then-year $ (P-1)</t>
        </is>
      </c>
      <c r="C25" s="5">
        <v>0</v>
      </c>
      <c r="D25" s="5">
        <v>0</v>
      </c>
      <c r="E25" s="5">
        <v>0</v>
      </c>
      <c r="F25" s="5">
        <v>83.224</v>
      </c>
      <c r="G25" s="5">
        <v>1750.0</v>
      </c>
      <c r="H25" s="5">
        <v>0</v>
      </c>
    </row>
    <row r="26" outlineLevel="1">
      <c r="B26" s="0" t="inlineStr">
        <is>
          <t xml:space="preserve">of which Ship Construction EOQ, then-year $ (P-10)</t>
        </is>
      </c>
      <c r="C26" s="5">
        <v>0</v>
      </c>
      <c r="D26" s="5">
        <v>0</v>
      </c>
      <c r="E26" s="5">
        <v>0</v>
      </c>
      <c r="F26" s="5">
        <v>41.5</v>
      </c>
      <c r="G26" s="5">
        <v>1000.0</v>
      </c>
      <c r="H26" s="5">
        <v>0</v>
      </c>
    </row>
    <row r="27" outlineLevel="1">
      <c r="B27" s="1" t="inlineStr">
        <is>
          <t xml:space="preserve">Ship Construction EOQ, constant FY2026 $</t>
        </is>
      </c>
      <c r="C27" s="11">
        <f>C26*'Deflators'!D7</f>
      </c>
      <c r="D27" s="11">
        <f>D26*'Deflators'!D8</f>
      </c>
      <c r="E27" s="11">
        <f>E26*'Deflators'!D9</f>
      </c>
      <c r="F27" s="11">
        <f>F26*'Deflators'!D10</f>
      </c>
      <c r="G27" s="11">
        <f>G26*'Deflators'!D11</f>
      </c>
      <c r="H27" s="11">
        <f>H26*'Deflators'!D12</f>
      </c>
    </row>
    <row r="30">
      <c r="A30" s="0" t="inlineStr">
        <is>
          <t xml:space="preserve">x</t>
        </is>
      </c>
      <c r="B30" s="9" t="inlineStr">
        <is>
          <t xml:space="preserve">§4 - MYP masters (POP % as announced; FY23-27 $ reconstructed, FY18-22 $ as announced)</t>
        </is>
      </c>
      <c r="C30" s="9"/>
      <c r="D30" s="9"/>
      <c r="E30" s="9"/>
      <c r="F30" s="9"/>
      <c r="G30" s="9"/>
      <c r="H30" s="9"/>
    </row>
    <row r="32">
      <c r="B32" s="2" t="inlineStr">
        <is>
          <t xml:space="preserve">Master</t>
        </is>
      </c>
      <c r="C32" s="2" t="inlineStr">
        <is>
          <t xml:space="preserve">PIID</t>
        </is>
      </c>
      <c r="D32" s="22" t="inlineStr">
        <is>
          <t xml:space="preserve">Master $M</t>
        </is>
      </c>
      <c r="E32" s="22" t="inlineStr">
        <is>
          <t xml:space="preserve">BIW %</t>
        </is>
      </c>
      <c r="F32" s="22" t="inlineStr">
        <is>
          <t xml:space="preserve">Ingalls %</t>
        </is>
      </c>
      <c r="G32" s="22" t="inlineStr">
        <is>
          <t xml:space="preserve">Other-US %</t>
        </is>
      </c>
      <c r="H32" s="22" t="inlineStr">
        <is>
          <t xml:space="preserve">Foreign %</t>
        </is>
      </c>
    </row>
    <row r="33" outlineLevel="1">
      <c r="B33" s="1" t="inlineStr">
        <is>
          <t xml:space="preserve">BIW FY23-27 MYP master</t>
        </is>
      </c>
      <c r="C33" s="0" t="inlineStr">
        <is>
          <t xml:space="preserve">N00024-23-C-2305</t>
        </is>
      </c>
      <c r="D33" s="5">
        <v>6400</v>
      </c>
      <c r="E33" s="7">
        <v>0.69</v>
      </c>
      <c r="F33" s="7">
        <v>0.0</v>
      </c>
      <c r="G33" s="7">
        <v>0.31</v>
      </c>
      <c r="H33" s="7">
        <v>0.0</v>
      </c>
    </row>
    <row r="34" outlineLevel="1">
      <c r="B34" s="1" t="inlineStr">
        <is>
          <t xml:space="preserve">Ingalls FY23-27 MYP master</t>
        </is>
      </c>
      <c r="C34" s="0" t="inlineStr">
        <is>
          <t xml:space="preserve">N00024-23-C-2307</t>
        </is>
      </c>
      <c r="D34" s="5">
        <v>8180</v>
      </c>
      <c r="E34" s="7">
        <v>0.0</v>
      </c>
      <c r="F34" s="7">
        <v>0.77</v>
      </c>
      <c r="G34" s="7">
        <v>0.23</v>
      </c>
      <c r="H34" s="7">
        <v>0.0</v>
      </c>
    </row>
    <row r="35" outlineLevel="1">
      <c r="B35" s="1" t="inlineStr">
        <is>
          <t xml:space="preserve">BIW FY18-22 MYP master</t>
        </is>
      </c>
      <c r="C35" s="0" t="inlineStr">
        <is>
          <t xml:space="preserve">N00024-18-C-2305</t>
        </is>
      </c>
      <c r="D35" s="5">
        <v>3904.736</v>
      </c>
      <c r="E35" s="7">
        <v>0.61</v>
      </c>
      <c r="F35" s="7">
        <v>0.0</v>
      </c>
      <c r="G35" s="7">
        <v>0.39</v>
      </c>
      <c r="H35" s="7">
        <v>0.0</v>
      </c>
    </row>
    <row r="36" outlineLevel="1">
      <c r="B36" s="1" t="inlineStr">
        <is>
          <t xml:space="preserve">Ingalls FY18-22 MYP master</t>
        </is>
      </c>
      <c r="C36" s="0" t="inlineStr">
        <is>
          <t xml:space="preserve">N00024-18-C-2307</t>
        </is>
      </c>
      <c r="D36" s="5">
        <v>5104.669</v>
      </c>
      <c r="E36" s="7">
        <v>0.0</v>
      </c>
      <c r="F36" s="7">
        <v>0.91</v>
      </c>
      <c r="G36" s="7">
        <v>0.09</v>
      </c>
      <c r="H36" s="7">
        <v>0.0</v>
      </c>
    </row>
    <row r="39">
      <c r="A39" s="0" t="inlineStr">
        <is>
          <t xml:space="preserve">x</t>
        </is>
      </c>
      <c r="B39" s="9" t="inlineStr">
        <is>
          <t xml:space="preserve">§5 - AP/LLTM classification knobs</t>
        </is>
      </c>
      <c r="C39" s="9"/>
      <c r="D39" s="9"/>
      <c r="E39" s="9"/>
      <c r="F39" s="9"/>
      <c r="G39" s="9"/>
      <c r="H39" s="9"/>
    </row>
    <row r="41">
      <c r="B41" s="2" t="inlineStr">
        <is>
          <t xml:space="preserve">Knob</t>
        </is>
      </c>
      <c r="C41" s="22" t="inlineStr">
        <is>
          <t xml:space="preserve">Value</t>
        </is>
      </c>
    </row>
    <row r="42" outlineLevel="1">
      <c r="B42" s="0" t="inlineStr">
        <is>
          <t xml:space="preserve">AP/LLTM supplier coefficient</t>
        </is>
      </c>
      <c r="C42" s="7">
        <v>1.0</v>
      </c>
    </row>
    <row r="43" outlineLevel="1">
      <c r="B43" s="0" t="inlineStr">
        <is>
          <t xml:space="preserve">OBBBA BC share of award (BC vs GFE)</t>
        </is>
      </c>
      <c r="C43" s="7">
        <v>0.628</v>
      </c>
    </row>
    <row r="46">
      <c r="A46" s="0" t="inlineStr">
        <is>
          <t xml:space="preserve">x</t>
        </is>
      </c>
      <c r="B46" s="9" t="inlineStr">
        <is>
          <t xml:space="preserve">§6 - Bucket adjustments</t>
        </is>
      </c>
      <c r="C46" s="9"/>
      <c r="D46" s="9"/>
      <c r="E46" s="9"/>
      <c r="F46" s="9"/>
      <c r="G46" s="9"/>
      <c r="H46" s="9"/>
    </row>
    <row r="48">
      <c r="B48" s="2" t="inlineStr">
        <is>
          <t xml:space="preserve">Bucket</t>
        </is>
      </c>
      <c r="C48" s="22" t="inlineStr">
        <is>
          <t xml:space="preserve">Adjustment +/-</t>
        </is>
      </c>
    </row>
    <row r="49" outlineLevel="1">
      <c r="B49" s="0" t="inlineStr">
        <is>
          <t xml:space="preserve">Structural fabrication &amp; modules</t>
        </is>
      </c>
      <c r="C49" s="7">
        <v>0</v>
      </c>
    </row>
    <row r="50" outlineLevel="1">
      <c r="B50" s="0" t="inlineStr">
        <is>
          <t xml:space="preserve">Machining / mechanical / propulsion</t>
        </is>
      </c>
      <c r="C50" s="7">
        <v>0</v>
      </c>
    </row>
    <row r="51" outlineLevel="1">
      <c r="B51" s="0" t="inlineStr">
        <is>
          <t xml:space="preserve">Castings &amp; forgings</t>
        </is>
      </c>
      <c r="C51" s="7">
        <v>0</v>
      </c>
    </row>
    <row r="52" outlineLevel="1">
      <c r="B52" s="0" t="inlineStr">
        <is>
          <t xml:space="preserve">Piping / fluid handling</t>
        </is>
      </c>
      <c r="C52" s="7">
        <v>0</v>
      </c>
    </row>
    <row r="53" outlineLevel="1">
      <c r="B53" s="0" t="inlineStr">
        <is>
          <t xml:space="preserve">Electrical power / distribution / generation</t>
        </is>
      </c>
      <c r="C53" s="7">
        <v>0</v>
      </c>
    </row>
    <row r="54" outlineLevel="1">
      <c r="B54" s="0" t="inlineStr">
        <is>
          <t xml:space="preserve">HVAC / ventilation / chilled water</t>
        </is>
      </c>
      <c r="C54" s="7">
        <v>0</v>
      </c>
    </row>
    <row r="55" outlineLevel="1">
      <c r="B55" s="0" t="inlineStr">
        <is>
          <t xml:space="preserve">Coatings / insulation / decking</t>
        </is>
      </c>
      <c r="C55" s="7">
        <v>0</v>
      </c>
    </row>
    <row r="58">
      <c r="A58" s="0" t="inlineStr">
        <is>
          <t xml:space="preserve">x</t>
        </is>
      </c>
      <c r="B58" s="9" t="inlineStr">
        <is>
          <t xml:space="preserve">§7 - Outlook outyear penetration bounds</t>
        </is>
      </c>
      <c r="C58" s="9"/>
      <c r="D58" s="9"/>
      <c r="E58" s="9"/>
      <c r="F58" s="9"/>
      <c r="G58" s="9"/>
      <c r="H58" s="9"/>
    </row>
    <row r="60">
      <c r="B60" s="2" t="inlineStr">
        <is>
          <t xml:space="preserve">Knob</t>
        </is>
      </c>
      <c r="C60" s="22" t="inlineStr">
        <is>
          <t xml:space="preserve">Value</t>
        </is>
      </c>
    </row>
    <row r="61" outlineLevel="1">
      <c r="B61" s="0" t="inlineStr">
        <is>
          <t xml:space="preserve">Outsourcing intent uplift vs FY22-25 average</t>
        </is>
      </c>
      <c r="C61" s="7">
        <v>0.3</v>
      </c>
    </row>
  </sheetData>
  <dataValidations count="6">
    <dataValidation type="list" allowBlank="1" showInputMessage="1" showErrorMessage="1" sqref="C11">
      <formula1>"metal,hme,electrical,modular,broad"</formula1>
    </dataValidation>
    <dataValidation type="whole" operator="between" allowBlank="1" showErrorMessage="1" sqref="C17:C19">
      <formula1>0</formula1>
      <formula2>1</formula2>
    </dataValidation>
    <dataValidation type="decimal" operator="between" allowBlank="1" showErrorMessage="1" sqref="E33:H36">
      <formula1>0</formula1>
      <formula2>1</formula2>
    </dataValidation>
    <dataValidation type="decimal" operator="between" allowBlank="1" showErrorMessage="1" sqref="C42:C43">
      <formula1>0</formula1>
      <formula2>1</formula2>
    </dataValidation>
    <dataValidation type="decimal" operator="between" allowBlank="1" showErrorMessage="1" sqref="C49:C55">
      <formula1>-1</formula1>
      <formula2>1</formula2>
    </dataValidation>
    <dataValidation type="decimal" operator="between" allowBlank="1" showErrorMessage="1" sqref="C61">
      <formula1>0</formula1>
      <formula2>1</formula2>
    </dataValidation>
  </dataValidation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B8860B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26" customWidth="1"/>
    <col min="3" max="3" width="22" customWidth="1"/>
    <col min="4" max="4" width="16" customWidth="1"/>
    <col min="5" max="5" width="16" customWidth="1"/>
    <col min="6" max="6" width="16" customWidth="1"/>
    <col min="7" max="7" width="16" customWidth="1"/>
  </cols>
  <sheetData>
    <row r="1"/>
    <row r="2">
      <c r="B2" s="8" t="inlineStr">
        <is>
          <t xml:space="preserve">Scenarios</t>
        </is>
      </c>
      <c r="C2" s="8"/>
      <c r="D2" s="8"/>
      <c r="E2" s="8"/>
      <c r="F2" s="8"/>
      <c r="G2" s="8"/>
    </row>
    <row r="4">
      <c r="A4" s="0" t="inlineStr">
        <is>
          <t xml:space="preserve">x</t>
        </is>
      </c>
      <c r="B4" s="9" t="inlineStr">
        <is>
          <t xml:space="preserve">§1 - Scenario matrix (1 = scenario targets this bucket)</t>
        </is>
      </c>
      <c r="C4" s="9"/>
      <c r="D4" s="9"/>
      <c r="E4" s="9"/>
      <c r="F4" s="9"/>
      <c r="G4" s="9"/>
    </row>
    <row r="6">
      <c r="B6" s="2" t="inlineStr">
        <is>
          <t xml:space="preserve">Bucket</t>
        </is>
      </c>
      <c r="C6" s="22" t="inlineStr">
        <is>
          <t xml:space="preserve">Metal components</t>
        </is>
      </c>
      <c r="D6" s="22" t="inlineStr">
        <is>
          <t xml:space="preserve">HM&amp;E components</t>
        </is>
      </c>
      <c r="E6" s="22" t="inlineStr">
        <is>
          <t xml:space="preserve">Electrical / power</t>
        </is>
      </c>
      <c r="F6" s="22" t="inlineStr">
        <is>
          <t xml:space="preserve">Modular assemblies</t>
        </is>
      </c>
      <c r="G6" s="22" t="inlineStr">
        <is>
          <t xml:space="preserve">Broad component mfg</t>
        </is>
      </c>
    </row>
    <row r="7" outlineLevel="1">
      <c r="B7" s="0" t="inlineStr">
        <is>
          <t xml:space="preserve">Structural fabrication &amp; modules</t>
        </is>
      </c>
      <c r="C7" s="5">
        <v>1</v>
      </c>
      <c r="D7" s="5">
        <v>0</v>
      </c>
      <c r="E7" s="5">
        <v>0</v>
      </c>
      <c r="F7" s="5">
        <v>0</v>
      </c>
      <c r="G7" s="5">
        <v>1</v>
      </c>
    </row>
    <row r="8" outlineLevel="1">
      <c r="B8" s="0" t="inlineStr">
        <is>
          <t xml:space="preserve">Machining / mechanical / propulsion</t>
        </is>
      </c>
      <c r="C8" s="5">
        <v>1</v>
      </c>
      <c r="D8" s="5">
        <v>1</v>
      </c>
      <c r="E8" s="5">
        <v>0</v>
      </c>
      <c r="F8" s="5">
        <v>0</v>
      </c>
      <c r="G8" s="5">
        <v>1</v>
      </c>
    </row>
    <row r="9" outlineLevel="1">
      <c r="B9" s="0" t="inlineStr">
        <is>
          <t xml:space="preserve">Castings &amp; forgings</t>
        </is>
      </c>
      <c r="C9" s="5">
        <v>1</v>
      </c>
      <c r="D9" s="5">
        <v>0</v>
      </c>
      <c r="E9" s="5">
        <v>0</v>
      </c>
      <c r="F9" s="5">
        <v>0</v>
      </c>
      <c r="G9" s="5">
        <v>1</v>
      </c>
    </row>
    <row r="10" outlineLevel="1">
      <c r="B10" s="0" t="inlineStr">
        <is>
          <t xml:space="preserve">Piping / fluid handling</t>
        </is>
      </c>
      <c r="C10" s="5">
        <v>0</v>
      </c>
      <c r="D10" s="5">
        <v>1</v>
      </c>
      <c r="E10" s="5">
        <v>0</v>
      </c>
      <c r="F10" s="5">
        <v>0</v>
      </c>
      <c r="G10" s="5">
        <v>1</v>
      </c>
    </row>
    <row r="11" outlineLevel="1">
      <c r="B11" s="0" t="inlineStr">
        <is>
          <t xml:space="preserve">Electrical power / distribution / generation</t>
        </is>
      </c>
      <c r="C11" s="5">
        <v>0</v>
      </c>
      <c r="D11" s="5">
        <v>1</v>
      </c>
      <c r="E11" s="5">
        <v>1</v>
      </c>
      <c r="F11" s="5">
        <v>0</v>
      </c>
      <c r="G11" s="5">
        <v>1</v>
      </c>
    </row>
    <row r="12" outlineLevel="1">
      <c r="B12" s="0" t="inlineStr">
        <is>
          <t xml:space="preserve">HVAC / ventilation / chilled water</t>
        </is>
      </c>
      <c r="C12" s="5">
        <v>0</v>
      </c>
      <c r="D12" s="5">
        <v>1</v>
      </c>
      <c r="E12" s="5">
        <v>0</v>
      </c>
      <c r="F12" s="5">
        <v>0</v>
      </c>
      <c r="G12" s="5">
        <v>1</v>
      </c>
    </row>
    <row r="13" outlineLevel="1">
      <c r="B13" s="0" t="inlineStr">
        <is>
          <t xml:space="preserve">Coatings / insulation / decking</t>
        </is>
      </c>
      <c r="C13" s="5">
        <v>0</v>
      </c>
      <c r="D13" s="5">
        <v>0</v>
      </c>
      <c r="E13" s="5">
        <v>0</v>
      </c>
      <c r="F13" s="5">
        <v>0</v>
      </c>
      <c r="G13" s="5">
        <v>1</v>
      </c>
    </row>
    <row r="16">
      <c r="A16" s="0" t="inlineStr">
        <is>
          <t xml:space="preserve">x</t>
        </is>
      </c>
      <c r="B16" s="9" t="inlineStr">
        <is>
          <t xml:space="preserve">§2 - Scenario definitions</t>
        </is>
      </c>
      <c r="C16" s="9"/>
      <c r="D16" s="9"/>
      <c r="E16" s="9"/>
      <c r="F16" s="9"/>
      <c r="G16" s="9"/>
    </row>
    <row r="18">
      <c r="B18" s="2" t="inlineStr">
        <is>
          <t xml:space="preserve">Scenario</t>
        </is>
      </c>
      <c r="C18" s="2" t="inlineStr">
        <is>
          <t xml:space="preserve">Definition</t>
        </is>
      </c>
      <c r="D18" s="2"/>
      <c r="E18" s="2"/>
      <c r="F18" s="2"/>
    </row>
    <row r="19" outlineLevel="1">
      <c r="B19" s="1" t="inlineStr">
        <is>
          <t xml:space="preserve">Metal components</t>
        </is>
      </c>
      <c r="C19" s="0" t="inlineStr">
        <is>
          <t xml:space="preserve">structural fab, castings/forgings, and machined components</t>
        </is>
      </c>
    </row>
    <row r="20" outlineLevel="1">
      <c r="B20" s="1" t="inlineStr">
        <is>
          <t xml:space="preserve">HM&amp;E components</t>
        </is>
      </c>
      <c r="C20" s="0" t="inlineStr">
        <is>
          <t xml:space="preserve">hull/mechanical/electrical: piping/valves/pumps, HVAC, machining, ship power</t>
        </is>
      </c>
    </row>
    <row r="21" outlineLevel="1">
      <c r="B21" s="1" t="inlineStr">
        <is>
          <t xml:space="preserve">Electrical / power</t>
        </is>
      </c>
      <c r="C21" s="0" t="inlineStr">
        <is>
          <t xml:space="preserve">electrical power / distribution / generation only</t>
        </is>
      </c>
    </row>
    <row r="22" outlineLevel="1">
      <c r="B22" s="1" t="inlineStr">
        <is>
          <t xml:space="preserve">Modular assemblies</t>
        </is>
      </c>
      <c r="C22" s="0" t="inlineStr">
        <is>
          <t xml:space="preserve">entity-flagged modular-assembly suppliers (registry flag, not a bucket union)</t>
        </is>
      </c>
    </row>
    <row r="23" outlineLevel="1">
      <c r="B23" s="1" t="inlineStr">
        <is>
          <t xml:space="preserve">Broad component mfg</t>
        </is>
      </c>
      <c r="C23" s="0" t="inlineStr">
        <is>
          <t xml:space="preserve">all seven work-type buckets</t>
        </is>
      </c>
    </row>
    <row r="26">
      <c r="A26" s="0" t="inlineStr">
        <is>
          <t xml:space="preserve">x</t>
        </is>
      </c>
      <c r="B26" s="9" t="inlineStr">
        <is>
          <t xml:space="preserve">§3 - Selected scenario</t>
        </is>
      </c>
      <c r="C26" s="9"/>
      <c r="D26" s="9"/>
      <c r="E26" s="9"/>
      <c r="F26" s="9"/>
      <c r="G26" s="9"/>
    </row>
    <row r="28">
      <c r="B28" s="2" t="inlineStr">
        <is>
          <t xml:space="preserve">Field</t>
        </is>
      </c>
      <c r="C28" s="2" t="inlineStr">
        <is>
          <t xml:space="preserve">Value</t>
        </is>
      </c>
    </row>
    <row r="29" outlineLevel="1">
      <c r="B29" s="0" t="inlineStr">
        <is>
          <t xml:space="preserve">Selected SAM scenario</t>
        </is>
      </c>
      <c r="C29" s="0">
        <f>'Assumptions'!C11</f>
      </c>
    </row>
    <row r="32">
      <c r="A32" s="0" t="inlineStr">
        <is>
          <t xml:space="preserve">x</t>
        </is>
      </c>
      <c r="B32" s="9" t="inlineStr">
        <is>
          <t xml:space="preserve">§4 - Bucket count by scenario</t>
        </is>
      </c>
      <c r="C32" s="9"/>
      <c r="D32" s="9"/>
      <c r="E32" s="9"/>
      <c r="F32" s="9"/>
      <c r="G32" s="9"/>
    </row>
    <row r="34">
      <c r="B34" s="2" t="inlineStr">
        <is>
          <t xml:space="preserve">Scenario</t>
        </is>
      </c>
      <c r="C34" s="22" t="inlineStr">
        <is>
          <t xml:space="preserve"># buckets</t>
        </is>
      </c>
      <c r="D34" s="2"/>
    </row>
    <row r="35" outlineLevel="1">
      <c r="B35" s="0" t="inlineStr">
        <is>
          <t xml:space="preserve">Metal components</t>
        </is>
      </c>
      <c r="C35" s="0">
        <f>SUM(C7:C13)</f>
      </c>
    </row>
    <row r="36" outlineLevel="1">
      <c r="B36" s="0" t="inlineStr">
        <is>
          <t xml:space="preserve">HM&amp;E components</t>
        </is>
      </c>
      <c r="C36" s="0">
        <f>SUM(D7:D13)</f>
      </c>
    </row>
    <row r="37" outlineLevel="1">
      <c r="B37" s="0" t="inlineStr">
        <is>
          <t xml:space="preserve">Electrical / power</t>
        </is>
      </c>
      <c r="C37" s="0">
        <f>SUM(E7:E13)</f>
      </c>
    </row>
    <row r="38" outlineLevel="1">
      <c r="B38" s="0" t="inlineStr">
        <is>
          <t xml:space="preserve">Modular assemblies</t>
        </is>
      </c>
      <c r="C38" s="0">
        <f>SUM(F7:F13)</f>
      </c>
    </row>
    <row r="39" outlineLevel="1">
      <c r="B39" s="0" t="inlineStr">
        <is>
          <t xml:space="preserve">Broad component mfg</t>
        </is>
      </c>
      <c r="C39" s="0">
        <f>SUM(G7:G13)</f>
      </c>
    </row>
  </sheetData>
  <dataValidations count="1">
    <dataValidation type="whole" operator="between" allowBlank="1" showErrorMessage="1" sqref="C7:G13">
      <formula1>0</formula1>
      <formula2>1</formula2>
    </dataValidation>
  </dataValidation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4406B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38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/>
    <row r="2">
      <c r="B2" s="8" t="inlineStr">
        <is>
          <t xml:space="preserve">TAM Build</t>
        </is>
      </c>
      <c r="C2" s="8"/>
      <c r="D2" s="8"/>
      <c r="E2" s="8"/>
      <c r="F2" s="8"/>
      <c r="G2" s="8"/>
      <c r="H2" s="8"/>
      <c r="I2" s="8"/>
    </row>
    <row r="4">
      <c r="B4" s="9" t="inlineStr">
        <is>
          <t xml:space="preserve">§1 - Headline TAM</t>
        </is>
      </c>
      <c r="C4" s="9"/>
      <c r="D4" s="9"/>
      <c r="E4" s="9"/>
      <c r="F4" s="9"/>
      <c r="G4" s="9"/>
      <c r="H4" s="9"/>
      <c r="I4" s="9"/>
    </row>
    <row r="6">
      <c r="B6" s="2" t="inlineStr">
        <is>
          <t xml:space="preserve">Measure</t>
        </is>
      </c>
      <c r="C6" s="22" t="inlineStr">
        <is>
          <t xml:space="preserve">Value</t>
        </is>
      </c>
    </row>
    <row r="7">
      <c r="B7" s="1" t="inlineStr">
        <is>
          <t xml:space="preserve">Portfolio TAM (FY22-27, both streams) $M</t>
        </is>
      </c>
      <c r="C7" s="4">
        <f>'TAM Build'!I117</f>
      </c>
    </row>
    <row r="8">
      <c r="B8" s="0" t="inlineStr">
        <is>
          <t xml:space="preserve">BC-stream TAM $M</t>
        </is>
      </c>
      <c r="C8" s="4">
        <f>'TAM Build'!I115</f>
      </c>
    </row>
    <row r="9">
      <c r="B9" s="0" t="inlineStr">
        <is>
          <t xml:space="preserve">AP/LLTM-stream TAM $M</t>
        </is>
      </c>
      <c r="C9" s="4">
        <f>'TAM Build'!I116</f>
      </c>
    </row>
    <row r="10">
      <c r="B10" s="1" t="inlineStr">
        <is>
          <t xml:space="preserve">Average annual TAM $M/yr</t>
        </is>
      </c>
      <c r="C10" s="4">
        <f>'TAM Build'!C137</f>
      </c>
    </row>
    <row r="11">
      <c r="B11" s="0" t="inlineStr">
        <is>
          <t xml:space="preserve">Supplier TAM per in-window hull $M</t>
        </is>
      </c>
      <c r="C11" s="4">
        <f>'TAM Build'!C139</f>
      </c>
    </row>
    <row r="12">
      <c r="B12" s="0" t="inlineStr">
        <is>
          <t xml:space="preserve">BC TAM per in-window hull $M</t>
        </is>
      </c>
      <c r="C12" s="4">
        <f>'TAM Build'!C140</f>
      </c>
    </row>
    <row r="13">
      <c r="B13" s="0" t="inlineStr">
        <is>
          <t xml:space="preserve">Applied BC supplier coefficient (FY23-27)</t>
        </is>
      </c>
      <c r="C13" s="6">
        <f>'TAM Build'!C44</f>
      </c>
    </row>
    <row r="14">
      <c r="B14" s="0" t="inlineStr">
        <is>
          <t xml:space="preserve">AP/LLTM supplier coefficient</t>
        </is>
      </c>
      <c r="C14" s="6">
        <f>'TAM Build'!C46</f>
      </c>
    </row>
    <row r="17">
      <c r="A17" s="0" t="inlineStr">
        <is>
          <t xml:space="preserve">x</t>
        </is>
      </c>
      <c r="B17" s="9" t="inlineStr">
        <is>
          <t xml:space="preserve">§2 - Normalized budget (stream bases)</t>
        </is>
      </c>
      <c r="C17" s="9"/>
      <c r="D17" s="9"/>
      <c r="E17" s="9"/>
      <c r="F17" s="9"/>
      <c r="G17" s="9"/>
      <c r="H17" s="9"/>
      <c r="I17" s="9"/>
    </row>
    <row r="19">
      <c r="A19" s="0" t="inlineStr">
        <is>
          <t xml:space="preserve">x</t>
        </is>
      </c>
      <c r="B19" s="10" t="inlineStr">
        <is>
          <t xml:space="preserve">§2a - Stream include-in-TAM toggles (1 = include)</t>
        </is>
      </c>
      <c r="C19" s="10"/>
      <c r="D19" s="10"/>
      <c r="E19" s="10"/>
      <c r="F19" s="10"/>
      <c r="G19" s="10"/>
      <c r="H19" s="10"/>
      <c r="I19" s="10"/>
    </row>
    <row r="21">
      <c r="B21" s="2" t="inlineStr">
        <is>
          <t xml:space="preserve">Toggle</t>
        </is>
      </c>
      <c r="C21" s="22" t="inlineStr">
        <is>
          <t xml:space="preserve">Value</t>
        </is>
      </c>
    </row>
    <row r="22" outlineLevel="1">
      <c r="B22" s="0" t="inlineStr">
        <is>
          <t xml:space="preserve">Include BC stream</t>
        </is>
      </c>
      <c r="C22" s="11">
        <f>'Assumptions'!C17</f>
      </c>
    </row>
    <row r="23" outlineLevel="1">
      <c r="B23" s="0" t="inlineStr">
        <is>
          <t xml:space="preserve">Include AP/LLTM stream</t>
        </is>
      </c>
      <c r="C23" s="11">
        <f>'Assumptions'!C18</f>
      </c>
    </row>
    <row r="24" outlineLevel="1">
      <c r="B24" s="0" t="inlineStr">
        <is>
          <t xml:space="preserve">Include OBBBA mandatory (Sec. 20002(17))</t>
        </is>
      </c>
      <c r="C24" s="11">
        <f>'Assumptions'!C19</f>
      </c>
    </row>
    <row r="27">
      <c r="A27" s="0" t="inlineStr">
        <is>
          <t xml:space="preserve">x</t>
        </is>
      </c>
      <c r="B27" s="10" t="inlineStr">
        <is>
          <t xml:space="preserve">§2b - DDG-51 (LI 2122) stream bases ($M, FY22-FY27)</t>
        </is>
      </c>
      <c r="C27" s="10"/>
      <c r="D27" s="10"/>
      <c r="E27" s="10"/>
      <c r="F27" s="10"/>
      <c r="G27" s="10"/>
      <c r="H27" s="10"/>
      <c r="I27" s="10"/>
    </row>
    <row r="29">
      <c r="B29" s="2" t="inlineStr">
        <is>
          <t xml:space="preserve">Metric</t>
        </is>
      </c>
      <c r="C29" s="22">
        <v>2022</v>
      </c>
      <c r="D29" s="22">
        <v>2023</v>
      </c>
      <c r="E29" s="22">
        <v>2024</v>
      </c>
      <c r="F29" s="22">
        <v>2025</v>
      </c>
      <c r="G29" s="22">
        <v>2026</v>
      </c>
      <c r="H29" s="22">
        <v>2027</v>
      </c>
    </row>
    <row r="30" outlineLevel="1">
      <c r="B30" s="1" t="inlineStr">
        <is>
          <t xml:space="preserve">BC base (P-5c Basic Construction)</t>
        </is>
      </c>
      <c r="C30" s="11">
        <f>'SCN Budget'!C30</f>
      </c>
      <c r="D30" s="11">
        <f>'SCN Budget'!D30</f>
      </c>
      <c r="E30" s="11">
        <f>'SCN Budget'!E30</f>
      </c>
      <c r="F30" s="11">
        <f>'SCN Budget'!F30</f>
      </c>
      <c r="G30" s="11">
        <f>'SCN Budget'!G30</f>
      </c>
      <c r="H30" s="11">
        <f>'SCN Budget'!H30</f>
      </c>
    </row>
    <row r="31" outlineLevel="1">
      <c r="B31" s="1" t="inlineStr">
        <is>
          <t xml:space="preserve">OBBBA mandatory BC base (Sec. 20002(17))</t>
        </is>
      </c>
      <c r="C31" s="11">
        <f>'OBBBA Mandatory'!C29</f>
      </c>
      <c r="D31" s="11">
        <f>'OBBBA Mandatory'!D29</f>
      </c>
      <c r="E31" s="11">
        <f>'OBBBA Mandatory'!E29</f>
      </c>
      <c r="F31" s="11">
        <f>'OBBBA Mandatory'!F29</f>
      </c>
      <c r="G31" s="11">
        <f>'OBBBA Mandatory'!G29</f>
      </c>
      <c r="H31" s="11">
        <f>'OBBBA Mandatory'!H29</f>
      </c>
    </row>
    <row r="32" outlineLevel="1">
      <c r="B32" s="1" t="inlineStr">
        <is>
          <t xml:space="preserve">AP/LLTM base (P-10 Ship Construction EOQ)</t>
        </is>
      </c>
      <c r="C32" s="11">
        <f>'Assumptions'!C27</f>
      </c>
      <c r="D32" s="11">
        <f>'Assumptions'!D27</f>
      </c>
      <c r="E32" s="11">
        <f>'Assumptions'!E27</f>
      </c>
      <c r="F32" s="11">
        <f>'Assumptions'!F27</f>
      </c>
      <c r="G32" s="11">
        <f>'Assumptions'!G27</f>
      </c>
      <c r="H32" s="11">
        <f>'Assumptions'!H27</f>
      </c>
    </row>
    <row r="33" outlineLevel="1">
      <c r="B33" s="0" t="inlineStr">
        <is>
          <t xml:space="preserve">Less: prior-yr AP credit</t>
        </is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outlineLevel="1">
      <c r="B34" s="0" t="inlineStr">
        <is>
          <t xml:space="preserve">BC base in TAM (P-5c + OBBBA mandatory)</t>
        </is>
      </c>
      <c r="C34" s="4">
        <f>IF(N(C30)+N(C31)=0,"",'Assumptions'!C17*N(C30)+'Assumptions'!C19*N(C31))</f>
      </c>
      <c r="D34" s="4">
        <f>IF(N(D30)+N(D31)=0,"",'Assumptions'!C17*N(D30)+'Assumptions'!C19*N(D31))</f>
      </c>
      <c r="E34" s="4">
        <f>IF(N(E30)+N(E31)=0,"",'Assumptions'!C17*N(E30)+'Assumptions'!C19*N(E31))</f>
      </c>
      <c r="F34" s="4">
        <f>IF(N(F30)+N(F31)=0,"",'Assumptions'!C17*N(F30)+'Assumptions'!C19*N(F31))</f>
      </c>
      <c r="G34" s="4">
        <f>IF(N(G30)+N(G31)=0,"",'Assumptions'!C17*N(G30)+'Assumptions'!C19*N(G31))</f>
      </c>
      <c r="H34" s="4">
        <f>IF(N(H30)+N(H31)=0,"",'Assumptions'!C17*N(H30)+'Assumptions'!C19*N(H31))</f>
      </c>
    </row>
    <row r="35" outlineLevel="1">
      <c r="B35" s="0" t="inlineStr">
        <is>
          <t xml:space="preserve">AP/LLTM base in TAM (EOQ less PY credit)</t>
        </is>
      </c>
      <c r="C35" s="4">
        <f>IF(C32=0,"",'Assumptions'!C18*(C32-C33))</f>
      </c>
      <c r="D35" s="4">
        <f>IF(D32=0,"",'Assumptions'!C18*(D32-D33))</f>
      </c>
      <c r="E35" s="4">
        <f>IF(E32=0,"",'Assumptions'!C18*(E32-E33))</f>
      </c>
      <c r="F35" s="4">
        <f>IF(F32=0,"",'Assumptions'!C18*(F32-F33))</f>
      </c>
      <c r="G35" s="4">
        <f>IF(G32=0,"",'Assumptions'!C18*(G32-G33))</f>
      </c>
      <c r="H35" s="4">
        <f>IF(H32=0,"",'Assumptions'!C18*(H32-H33))</f>
      </c>
    </row>
    <row r="36" outlineLevel="1">
      <c r="B36" s="1" t="inlineStr">
        <is>
          <t xml:space="preserve">TAM base (BC + AP/LLTM)</t>
        </is>
      </c>
      <c r="C36" s="4">
        <f>N(C34)+N(C35)</f>
      </c>
      <c r="D36" s="4">
        <f>N(D34)+N(D35)</f>
      </c>
      <c r="E36" s="4">
        <f>N(E34)+N(E35)</f>
      </c>
      <c r="F36" s="4">
        <f>N(F34)+N(F35)</f>
      </c>
      <c r="G36" s="4">
        <f>N(G34)+N(G35)</f>
      </c>
      <c r="H36" s="4">
        <f>N(H34)+N(H35)</f>
      </c>
    </row>
    <row r="39">
      <c r="A39" s="0" t="inlineStr">
        <is>
          <t xml:space="preserve">x</t>
        </is>
      </c>
      <c r="B39" s="9" t="inlineStr">
        <is>
          <t xml:space="preserve">§3 - Supplier coefficients</t>
        </is>
      </c>
      <c r="C39" s="9"/>
      <c r="D39" s="9"/>
      <c r="E39" s="9"/>
      <c r="F39" s="9"/>
      <c r="G39" s="9"/>
      <c r="H39" s="9"/>
      <c r="I39" s="9"/>
    </row>
    <row r="41">
      <c r="A41" s="0" t="inlineStr">
        <is>
          <t xml:space="preserve">x</t>
        </is>
      </c>
      <c r="B41" s="10" t="inlineStr">
        <is>
          <t xml:space="preserve">§3a - Per-stream supplier coefficients (feed TAM; $-weighted, gated, non-GFE)</t>
        </is>
      </c>
      <c r="C41" s="10"/>
      <c r="D41" s="10"/>
      <c r="E41" s="10"/>
      <c r="F41" s="10"/>
      <c r="G41" s="10"/>
      <c r="H41" s="10"/>
      <c r="I41" s="10"/>
    </row>
    <row r="43">
      <c r="B43" s="2" t="inlineStr">
        <is>
          <t xml:space="preserve">Coefficient</t>
        </is>
      </c>
      <c r="C43" s="22" t="inlineStr">
        <is>
          <t xml:space="preserve">Value</t>
        </is>
      </c>
    </row>
    <row r="44" outlineLevel="1">
      <c r="B44" s="1" t="inlineStr">
        <is>
          <t xml:space="preserve">BC stream coefficient (MYP-corrected; applied FY23-27)</t>
        </is>
      </c>
      <c r="C44" s="6">
        <f>IF(SUMPRODUCT('POP Corpus'!I7:I160*(1-'POP Corpus'!J7:J160)*'POP Corpus'!K7:K160*('POP Corpus'!H7:H160="BC")*'POP Corpus'!M7:M160)=0,"",SUMPRODUCT('POP Corpus'!I7:I160*(1-'POP Corpus'!J7:J160)*'POP Corpus'!K7:K160*('POP Corpus'!H7:H160="BC")*'POP Corpus'!M7:M160*('POP Corpus'!P7:P160+'POP Corpus'!Q7:Q160))/SUMPRODUCT('POP Corpus'!I7:I160*(1-'POP Corpus'!J7:J160)*'POP Corpus'!K7:K160*('POP Corpus'!H7:H160="BC")*'POP Corpus'!M7:M160))</f>
      </c>
    </row>
    <row r="45" outlineLevel="1">
      <c r="B45" s="1" t="inlineStr">
        <is>
          <t xml:space="preserve">BC coefficient, FY2022 vintage (FY18-22 masters)</t>
        </is>
      </c>
      <c r="C45" s="6">
        <f>(N('Assumptions'!D35)*(N('Assumptions'!G35)+N('Assumptions'!H35))+N('Assumptions'!D36)*(N('Assumptions'!G36)+N('Assumptions'!H36)))/(N('Assumptions'!D35)+N('Assumptions'!D36))</f>
      </c>
    </row>
    <row r="46" outlineLevel="1">
      <c r="B46" s="1" t="inlineStr">
        <is>
          <t xml:space="preserve">AP/LLTM stream coefficient (assumption)</t>
        </is>
      </c>
      <c r="C46" s="12">
        <f>'Assumptions'!C42</f>
      </c>
    </row>
    <row r="47" outlineLevel="1">
      <c r="B47" s="0" t="inlineStr">
        <is>
          <t xml:space="preserve">Total weighted (corpus, display)</t>
        </is>
      </c>
      <c r="C47" s="6">
        <f>IF(SUMPRODUCT('POP Corpus'!I7:I160*(1-'POP Corpus'!J7:J160)*'POP Corpus'!K7:K160*'POP Corpus'!M7:M160)=0,"",SUMPRODUCT('POP Corpus'!I7:I160*(1-'POP Corpus'!J7:J160)*'POP Corpus'!K7:K160*'POP Corpus'!M7:M160*('POP Corpus'!P7:P160+'POP Corpus'!Q7:Q160))/SUMPRODUCT('POP Corpus'!I7:I160*(1-'POP Corpus'!J7:J160)*'POP Corpus'!K7:K160*'POP Corpus'!M7:M160))</f>
      </c>
    </row>
    <row r="48" outlineLevel="1">
      <c r="B48" s="0" t="inlineStr">
        <is>
          <t xml:space="preserve">BC stream, disclosed-only (masters excluded)</t>
        </is>
      </c>
      <c r="C48" s="6">
        <f>IF(SUMPRODUCT('POP Corpus'!I7:I160*(1-'POP Corpus'!J7:J160)*'POP Corpus'!K7:K160*('POP Corpus'!H7:H160="BC")*(1-'POP Corpus'!L7:L160)*'POP Corpus'!M7:M160)=0,"",SUMPRODUCT('POP Corpus'!I7:I160*(1-'POP Corpus'!J7:J160)*'POP Corpus'!K7:K160*('POP Corpus'!H7:H160="BC")*(1-'POP Corpus'!L7:L160)*'POP Corpus'!M7:M160*('POP Corpus'!P7:P160+'POP Corpus'!Q7:Q160))/SUMPRODUCT('POP Corpus'!I7:I160*(1-'POP Corpus'!J7:J160)*'POP Corpus'!K7:K160*('POP Corpus'!H7:H160="BC")*(1-'POP Corpus'!L7:L160)*'POP Corpus'!M7:M160))</f>
      </c>
    </row>
    <row r="51">
      <c r="A51" s="0" t="inlineStr">
        <is>
          <t xml:space="preserve">x</t>
        </is>
      </c>
      <c r="B51" s="10" t="inlineStr">
        <is>
          <t xml:space="preserve">§3b - MYP correction - outside-yards POP</t>
        </is>
      </c>
      <c r="C51" s="10"/>
      <c r="D51" s="10"/>
      <c r="E51" s="10"/>
      <c r="F51" s="10"/>
      <c r="G51" s="10"/>
      <c r="H51" s="10"/>
      <c r="I51" s="10"/>
    </row>
    <row r="53">
      <c r="B53" s="2" t="inlineStr">
        <is>
          <t xml:space="preserve">Measure</t>
        </is>
      </c>
      <c r="C53" s="22" t="inlineStr">
        <is>
          <t xml:space="preserve">Value</t>
        </is>
      </c>
    </row>
    <row r="54" outlineLevel="1">
      <c r="B54" s="1" t="inlineStr">
        <is>
          <t xml:space="preserve">Outside-yards, disclosed-only (artifact)</t>
        </is>
      </c>
      <c r="C54" s="6">
        <f>IF(SUMPRODUCT('POP Corpus'!I7:I160*(1-'POP Corpus'!L7:L160)*'POP Corpus'!M7:M160)=0,"",SUMPRODUCT('POP Corpus'!I7:I160*(1-'POP Corpus'!L7:L160)*'POP Corpus'!M7:M160*('POP Corpus'!P7:P160+'POP Corpus'!Q7:Q160))/SUMPRODUCT('POP Corpus'!I7:I160*(1-'POP Corpus'!L7:L160)*'POP Corpus'!M7:M160))</f>
      </c>
    </row>
    <row r="55" outlineLevel="1">
      <c r="B55" s="1" t="inlineStr">
        <is>
          <t xml:space="preserve">Outside-yards, MYP-corrected</t>
        </is>
      </c>
      <c r="C55" s="6">
        <f>IF(SUMPRODUCT('POP Corpus'!I7:I160*'POP Corpus'!M7:M160)=0,"",SUMPRODUCT('POP Corpus'!I7:I160*'POP Corpus'!M7:M160*('POP Corpus'!P7:P160+'POP Corpus'!Q7:Q160))/SUMPRODUCT('POP Corpus'!I7:I160*'POP Corpus'!M7:M160))</f>
      </c>
    </row>
    <row r="56" outlineLevel="1">
      <c r="B56" s="0" t="inlineStr">
        <is>
          <t xml:space="preserve">Swing (disclosed - corrected)</t>
        </is>
      </c>
      <c r="C56" s="6">
        <f>C54-C55</f>
      </c>
    </row>
    <row r="59">
      <c r="A59" s="0" t="inlineStr">
        <is>
          <t xml:space="preserve">x</t>
        </is>
      </c>
      <c r="B59" s="10" t="inlineStr">
        <is>
          <t xml:space="preserve">§3c - All-gated POP shares (dollar-weighted, MYP-corrected)</t>
        </is>
      </c>
      <c r="C59" s="10"/>
      <c r="D59" s="10"/>
      <c r="E59" s="10"/>
      <c r="F59" s="10"/>
      <c r="G59" s="10"/>
      <c r="H59" s="10"/>
      <c r="I59" s="10"/>
    </row>
    <row r="61">
      <c r="B61" s="2" t="inlineStr">
        <is>
          <t xml:space="preserve">POP class</t>
        </is>
      </c>
      <c r="C61" s="22" t="inlineStr">
        <is>
          <t xml:space="preserve">Share</t>
        </is>
      </c>
    </row>
    <row r="62" outlineLevel="1">
      <c r="B62" s="0" t="inlineStr">
        <is>
          <t xml:space="preserve">BIW site %</t>
        </is>
      </c>
      <c r="C62" s="6">
        <f>IF(SUMPRODUCT('POP Corpus'!I7:I160*'POP Corpus'!M7:M160)=0,"",SUMPRODUCT('POP Corpus'!I7:I160*'POP Corpus'!M7:M160*'POP Corpus'!N7:N160)/SUMPRODUCT('POP Corpus'!I7:I160*'POP Corpus'!M7:M160))</f>
      </c>
    </row>
    <row r="63" outlineLevel="1">
      <c r="B63" s="0" t="inlineStr">
        <is>
          <t xml:space="preserve">Ingalls site %</t>
        </is>
      </c>
      <c r="C63" s="6">
        <f>IF(SUMPRODUCT('POP Corpus'!I7:I160*'POP Corpus'!M7:M160)=0,"",SUMPRODUCT('POP Corpus'!I7:I160*'POP Corpus'!M7:M160*'POP Corpus'!O7:O160)/SUMPRODUCT('POP Corpus'!I7:I160*'POP Corpus'!M7:M160))</f>
      </c>
    </row>
    <row r="64" outlineLevel="1">
      <c r="B64" s="0" t="inlineStr">
        <is>
          <t xml:space="preserve">Other-US supplier %</t>
        </is>
      </c>
      <c r="C64" s="6">
        <f>IF(SUMPRODUCT('POP Corpus'!I7:I160*'POP Corpus'!M7:M160)=0,"",SUMPRODUCT('POP Corpus'!I7:I160*'POP Corpus'!M7:M160*'POP Corpus'!P7:P160)/SUMPRODUCT('POP Corpus'!I7:I160*'POP Corpus'!M7:M160))</f>
      </c>
    </row>
    <row r="65" outlineLevel="1">
      <c r="B65" s="0" t="inlineStr">
        <is>
          <t xml:space="preserve">Foreign %</t>
        </is>
      </c>
      <c r="C65" s="6">
        <f>IF(SUMPRODUCT('POP Corpus'!I7:I160*'POP Corpus'!M7:M160)=0,"",SUMPRODUCT('POP Corpus'!I7:I160*'POP Corpus'!M7:M160*'POP Corpus'!Q7:Q160)/SUMPRODUCT('POP Corpus'!I7:I160*'POP Corpus'!M7:M160))</f>
      </c>
    </row>
    <row r="66" outlineLevel="1">
      <c r="B66" s="0" t="inlineStr">
        <is>
          <t xml:space="preserve">Unparsed %</t>
        </is>
      </c>
      <c r="C66" s="6">
        <f>1-C62-C63-C64-C65</f>
      </c>
    </row>
    <row r="69">
      <c r="A69" s="0" t="inlineStr">
        <is>
          <t xml:space="preserve">x</t>
        </is>
      </c>
      <c r="B69" s="10" t="inlineStr">
        <is>
          <t xml:space="preserve">§3d - Distributed-production view (appendix - broader than commercial TAM)</t>
        </is>
      </c>
      <c r="C69" s="10"/>
      <c r="D69" s="10"/>
      <c r="E69" s="10"/>
      <c r="F69" s="10"/>
      <c r="G69" s="10"/>
      <c r="H69" s="10"/>
      <c r="I69" s="10"/>
    </row>
    <row r="71">
      <c r="B71" s="2" t="inlineStr">
        <is>
          <t xml:space="preserve">Coefficient</t>
        </is>
      </c>
      <c r="C71" s="22" t="inlineStr">
        <is>
          <t xml:space="preserve">Value</t>
        </is>
      </c>
    </row>
    <row r="72" outlineLevel="1">
      <c r="B72" s="1" t="inlineStr">
        <is>
          <t xml:space="preserve">Distributed (away from BIW)</t>
        </is>
      </c>
      <c r="C72" s="6">
        <f>C63+C64+C65</f>
      </c>
    </row>
    <row r="73" outlineLevel="1">
      <c r="B73" s="1" t="inlineStr">
        <is>
          <t xml:space="preserve">Outside both yards (other + foreign)</t>
        </is>
      </c>
      <c r="C73" s="6">
        <f>C64+C65</f>
      </c>
    </row>
    <row r="76">
      <c r="A76" s="0" t="inlineStr">
        <is>
          <t xml:space="preserve">x</t>
        </is>
      </c>
      <c r="B76" s="10" t="inlineStr">
        <is>
          <t xml:space="preserve">§3e - Anchor regression - MYP-corrected outside-yards near ~42%</t>
        </is>
      </c>
      <c r="C76" s="10"/>
      <c r="D76" s="10"/>
      <c r="E76" s="10"/>
      <c r="F76" s="10"/>
      <c r="G76" s="10"/>
      <c r="H76" s="10"/>
      <c r="I76" s="10"/>
    </row>
    <row r="78">
      <c r="B78" s="2" t="inlineStr">
        <is>
          <t xml:space="preserve">Check</t>
        </is>
      </c>
      <c r="C78" s="22" t="inlineStr">
        <is>
          <t xml:space="preserve">Value</t>
        </is>
      </c>
    </row>
    <row r="79" outlineLevel="1">
      <c r="B79" s="0" t="inlineStr">
        <is>
          <t xml:space="preserve">Target (methodology)</t>
        </is>
      </c>
      <c r="C79" s="7">
        <v>0.42</v>
      </c>
    </row>
    <row r="80" outlineLevel="1">
      <c r="B80" s="0" t="inlineStr">
        <is>
          <t xml:space="preserve">Computed corrected outside-yards</t>
        </is>
      </c>
      <c r="C80" s="6">
        <f>C55</f>
      </c>
    </row>
    <row r="81" outlineLevel="1">
      <c r="B81" s="0" t="inlineStr">
        <is>
          <t xml:space="preserve">Delta</t>
        </is>
      </c>
      <c r="C81" s="6">
        <f>C80-C79</f>
      </c>
    </row>
    <row r="82" outlineLevel="1">
      <c r="B82" s="0" t="inlineStr">
        <is>
          <t xml:space="preserve">Anchor OK?</t>
        </is>
      </c>
      <c r="C82" s="0">
        <f>IF(ABS(C81)&lt;0.05,"OK","REVIEW")</f>
      </c>
    </row>
    <row r="85">
      <c r="A85" s="0" t="inlineStr">
        <is>
          <t xml:space="preserve">x</t>
        </is>
      </c>
      <c r="B85" s="9" t="inlineStr">
        <is>
          <t xml:space="preserve">§4 - MYP correction</t>
        </is>
      </c>
      <c r="C85" s="9"/>
      <c r="D85" s="9"/>
      <c r="E85" s="9"/>
      <c r="F85" s="9"/>
      <c r="G85" s="9"/>
      <c r="H85" s="9"/>
      <c r="I85" s="9"/>
    </row>
    <row r="87">
      <c r="A87" s="0" t="inlineStr">
        <is>
          <t xml:space="preserve">x</t>
        </is>
      </c>
      <c r="B87" s="10" t="inlineStr">
        <is>
          <t xml:space="preserve">§4a - MYP master awards ($-redacted; announced POP)</t>
        </is>
      </c>
      <c r="C87" s="10"/>
      <c r="D87" s="10"/>
      <c r="E87" s="10"/>
      <c r="F87" s="10"/>
      <c r="G87" s="10"/>
      <c r="H87" s="10"/>
      <c r="I87" s="10"/>
    </row>
    <row r="89">
      <c r="B89" s="2" t="inlineStr">
        <is>
          <t xml:space="preserve">Master</t>
        </is>
      </c>
      <c r="C89" s="2" t="inlineStr">
        <is>
          <t xml:space="preserve">PIID</t>
        </is>
      </c>
      <c r="D89" s="22" t="inlineStr">
        <is>
          <t xml:space="preserve">Master $M</t>
        </is>
      </c>
      <c r="E89" s="22" t="inlineStr">
        <is>
          <t xml:space="preserve">BIW %</t>
        </is>
      </c>
      <c r="F89" s="22" t="inlineStr">
        <is>
          <t xml:space="preserve">Ingalls %</t>
        </is>
      </c>
      <c r="G89" s="22" t="inlineStr">
        <is>
          <t xml:space="preserve">Other-US + Foreign %</t>
        </is>
      </c>
    </row>
    <row r="90" outlineLevel="1">
      <c r="B90" s="1" t="inlineStr">
        <is>
          <t xml:space="preserve">BIW MYP</t>
        </is>
      </c>
      <c r="C90" s="0" t="inlineStr">
        <is>
          <t xml:space="preserve">N00024-23-C-2305</t>
        </is>
      </c>
      <c r="D90" s="11">
        <f>'Assumptions'!D33</f>
      </c>
      <c r="E90" s="12">
        <f>'Assumptions'!E33</f>
      </c>
      <c r="F90" s="12">
        <f>'Assumptions'!F33</f>
      </c>
      <c r="G90" s="6">
        <f>N('Assumptions'!G33)+N('Assumptions'!H33)</f>
      </c>
    </row>
    <row r="91" outlineLevel="1">
      <c r="B91" s="1" t="inlineStr">
        <is>
          <t xml:space="preserve">Ingalls MYP</t>
        </is>
      </c>
      <c r="C91" s="0" t="inlineStr">
        <is>
          <t xml:space="preserve">N00024-23-C-2307</t>
        </is>
      </c>
      <c r="D91" s="11">
        <f>'Assumptions'!D34</f>
      </c>
      <c r="E91" s="12">
        <f>'Assumptions'!E34</f>
      </c>
      <c r="F91" s="12">
        <f>'Assumptions'!F34</f>
      </c>
      <c r="G91" s="6">
        <f>N('Assumptions'!G34)+N('Assumptions'!H34)</f>
      </c>
    </row>
    <row r="92" outlineLevel="1">
      <c r="B92" s="1" t="inlineStr">
        <is>
          <t xml:space="preserve">Combined master $M</t>
        </is>
      </c>
      <c r="D92" s="4">
        <f>N('Assumptions'!D33)+N('Assumptions'!D34)</f>
      </c>
    </row>
    <row r="95">
      <c r="A95" s="0" t="inlineStr">
        <is>
          <t xml:space="preserve">x</t>
        </is>
      </c>
      <c r="B95" s="10" t="inlineStr">
        <is>
          <t xml:space="preserve">§4b - Outside-yards POP - disclosed artifact vs MYP-corrected</t>
        </is>
      </c>
      <c r="C95" s="10"/>
      <c r="D95" s="10"/>
      <c r="E95" s="10"/>
      <c r="F95" s="10"/>
      <c r="G95" s="10"/>
      <c r="H95" s="10"/>
      <c r="I95" s="10"/>
    </row>
    <row r="97">
      <c r="B97" s="2" t="inlineStr">
        <is>
          <t xml:space="preserve">Measure</t>
        </is>
      </c>
      <c r="C97" s="22" t="inlineStr">
        <is>
          <t xml:space="preserve">Value</t>
        </is>
      </c>
    </row>
    <row r="98" outlineLevel="1">
      <c r="B98" s="1" t="inlineStr">
        <is>
          <t xml:space="preserve">Disclosed-only (artifact)</t>
        </is>
      </c>
      <c r="C98" s="6">
        <f>'TAM Build'!C54</f>
      </c>
    </row>
    <row r="99" outlineLevel="1">
      <c r="B99" s="1" t="inlineStr">
        <is>
          <t xml:space="preserve">MYP-corrected</t>
        </is>
      </c>
      <c r="C99" s="6">
        <f>'TAM Build'!C55</f>
      </c>
    </row>
    <row r="100" outlineLevel="1">
      <c r="B100" s="0" t="inlineStr">
        <is>
          <t xml:space="preserve">Swing (artifact - corrected)</t>
        </is>
      </c>
      <c r="C100" s="6">
        <f>C98-C99</f>
      </c>
    </row>
    <row r="103">
      <c r="A103" s="0" t="inlineStr">
        <is>
          <t xml:space="preserve">x</t>
        </is>
      </c>
      <c r="B103" s="10" t="inlineStr">
        <is>
          <t xml:space="preserve">§4c - Guardrail</t>
        </is>
      </c>
      <c r="C103" s="10"/>
      <c r="D103" s="10"/>
      <c r="E103" s="10"/>
      <c r="F103" s="10"/>
      <c r="G103" s="10"/>
      <c r="H103" s="10"/>
      <c r="I103" s="10"/>
    </row>
    <row r="105" outlineLevel="1">
      <c r="B105" s="0" t="inlineStr">
        <is>
          <t xml:space="preserve">Travel the POP-coefficient numbers together: disclosed artifact -&gt; MYP-corrected outside-yards -&gt; applied BC coefficient.</t>
        </is>
      </c>
    </row>
    <row r="106" outlineLevel="1">
      <c r="B106" s="0" t="inlineStr">
        <is>
          <t xml:space="preserve">Recovery basis: FPDS obligatedAmount + trade-press totals (USNI / Defense Daily).</t>
        </is>
      </c>
    </row>
    <row r="107" outlineLevel="1">
      <c r="B107" s="0" t="inlineStr">
        <is>
          <t xml:space="preserve">Per-hull allocation within a master PIID is not disclosed; the masters carry the bulletins' announced contract-level POP split.</t>
        </is>
      </c>
    </row>
    <row r="110">
      <c r="A110" s="0" t="inlineStr">
        <is>
          <t xml:space="preserve">x</t>
        </is>
      </c>
      <c r="B110" s="9" t="inlineStr">
        <is>
          <t xml:space="preserve">§5 - TAM by fiscal year</t>
        </is>
      </c>
      <c r="C110" s="9"/>
      <c r="D110" s="9"/>
      <c r="E110" s="9"/>
      <c r="F110" s="9"/>
      <c r="G110" s="9"/>
      <c r="H110" s="9"/>
      <c r="I110" s="9"/>
    </row>
    <row r="112">
      <c r="A112" s="0" t="inlineStr">
        <is>
          <t xml:space="preserve">x</t>
        </is>
      </c>
      <c r="B112" s="10" t="inlineStr">
        <is>
          <t xml:space="preserve">§5a - TAM by FY ($M)</t>
        </is>
      </c>
      <c r="C112" s="10"/>
      <c r="D112" s="10"/>
      <c r="E112" s="10"/>
      <c r="F112" s="10"/>
      <c r="G112" s="10"/>
      <c r="H112" s="10"/>
      <c r="I112" s="10"/>
    </row>
    <row r="114">
      <c r="B114" s="2" t="inlineStr">
        <is>
          <t xml:space="preserve">Stream</t>
        </is>
      </c>
      <c r="C114" s="22">
        <v>2022</v>
      </c>
      <c r="D114" s="22">
        <v>2023</v>
      </c>
      <c r="E114" s="22">
        <v>2024</v>
      </c>
      <c r="F114" s="22">
        <v>2025</v>
      </c>
      <c r="G114" s="22">
        <v>2026</v>
      </c>
      <c r="H114" s="22">
        <v>2027</v>
      </c>
      <c r="I114" s="22" t="inlineStr">
        <is>
          <t xml:space="preserve">FY22-27</t>
        </is>
      </c>
    </row>
    <row r="115" outlineLevel="1">
      <c r="B115" s="20" t="inlineStr">
        <is>
          <t xml:space="preserve">BC stream (vintage-matched MYP-corrected coeff)</t>
        </is>
      </c>
      <c r="C115" s="4">
        <f>IF(N('TAM Build'!C34)=0,"",N('TAM Build'!C34)*N('TAM Build'!C45))</f>
      </c>
      <c r="D115" s="4">
        <f>IF(N('TAM Build'!D34)=0,"",N('TAM Build'!D34)*N('TAM Build'!C44))</f>
      </c>
      <c r="E115" s="4">
        <f>IF(N('TAM Build'!E34)=0,"",N('TAM Build'!E34)*N('TAM Build'!C44))</f>
      </c>
      <c r="F115" s="4">
        <f>IF(N('TAM Build'!F34)=0,"",N('TAM Build'!F34)*N('TAM Build'!C44))</f>
      </c>
      <c r="G115" s="4">
        <f>IF(N('TAM Build'!G34)=0,"",N('TAM Build'!G34)*N('TAM Build'!C44))</f>
      </c>
      <c r="H115" s="4">
        <f>IF(N('TAM Build'!H34)=0,"",N('TAM Build'!H34)*N('TAM Build'!C44))</f>
      </c>
      <c r="I115" s="4">
        <f>SUM(C115:H115)</f>
      </c>
    </row>
    <row r="116" outlineLevel="1">
      <c r="B116" s="20" t="inlineStr">
        <is>
          <t xml:space="preserve">AP/LLTM stream (P-10 EOQ x coeff)</t>
        </is>
      </c>
      <c r="C116" s="4">
        <f>IF(N('TAM Build'!C35)=0,"",N('TAM Build'!C35)*N('TAM Build'!C46))</f>
      </c>
      <c r="D116" s="4">
        <f>IF(N('TAM Build'!D35)=0,"",N('TAM Build'!D35)*N('TAM Build'!C46))</f>
      </c>
      <c r="E116" s="4">
        <f>IF(N('TAM Build'!E35)=0,"",N('TAM Build'!E35)*N('TAM Build'!C46))</f>
      </c>
      <c r="F116" s="4">
        <f>IF(N('TAM Build'!F35)=0,"",N('TAM Build'!F35)*N('TAM Build'!C46))</f>
      </c>
      <c r="G116" s="4">
        <f>IF(N('TAM Build'!G35)=0,"",N('TAM Build'!G35)*N('TAM Build'!C46))</f>
      </c>
      <c r="H116" s="4">
        <f>IF(N('TAM Build'!H35)=0,"",N('TAM Build'!H35)*N('TAM Build'!C46))</f>
      </c>
      <c r="I116" s="4">
        <f>SUM(C116:H116)</f>
      </c>
    </row>
    <row r="117">
      <c r="B117" s="3" t="inlineStr">
        <is>
          <t xml:space="preserve">TAM (BC + AP/LLTM)</t>
        </is>
      </c>
      <c r="C117" s="13">
        <f>N(C115)+N(C116)</f>
      </c>
      <c r="D117" s="13">
        <f>N(D115)+N(D116)</f>
      </c>
      <c r="E117" s="13">
        <f>N(E115)+N(E116)</f>
      </c>
      <c r="F117" s="13">
        <f>N(F115)+N(F116)</f>
      </c>
      <c r="G117" s="13">
        <f>N(G115)+N(G116)</f>
      </c>
      <c r="H117" s="13">
        <f>N(H115)+N(H116)</f>
      </c>
      <c r="I117" s="13">
        <f>SUM(C117:H117)</f>
      </c>
    </row>
    <row r="120">
      <c r="A120" s="0" t="inlineStr">
        <is>
          <t xml:space="preserve">x</t>
        </is>
      </c>
      <c r="B120" s="10" t="inlineStr">
        <is>
          <t xml:space="preserve">§5b - Coefficients applied (live links to §3)</t>
        </is>
      </c>
      <c r="C120" s="10"/>
      <c r="D120" s="10"/>
      <c r="E120" s="10"/>
      <c r="F120" s="10"/>
      <c r="G120" s="10"/>
      <c r="H120" s="10"/>
      <c r="I120" s="10"/>
    </row>
    <row r="122">
      <c r="B122" s="2" t="inlineStr">
        <is>
          <t xml:space="preserve">Coefficient</t>
        </is>
      </c>
      <c r="C122" s="22" t="inlineStr">
        <is>
          <t xml:space="preserve">Value</t>
        </is>
      </c>
    </row>
    <row r="123" outlineLevel="1">
      <c r="B123" s="0" t="inlineStr">
        <is>
          <t xml:space="preserve">BC supplier coefficient (FY23-27)</t>
        </is>
      </c>
      <c r="C123" s="6">
        <f>'TAM Build'!C44</f>
      </c>
    </row>
    <row r="124" outlineLevel="1">
      <c r="B124" s="0" t="inlineStr">
        <is>
          <t xml:space="preserve">BC supplier coefficient, FY2022 vintage</t>
        </is>
      </c>
      <c r="C124" s="6">
        <f>'TAM Build'!C45</f>
      </c>
    </row>
    <row r="125" outlineLevel="1">
      <c r="B125" s="0" t="inlineStr">
        <is>
          <t xml:space="preserve">AP/LLTM supplier coefficient</t>
        </is>
      </c>
      <c r="C125" s="6">
        <f>'TAM Build'!C46</f>
      </c>
    </row>
    <row r="128">
      <c r="B128" s="10" t="inlineStr">
        <is>
          <t xml:space="preserve">§5c - Portfolio TAM (DDG-51, FY22-FY27)</t>
        </is>
      </c>
      <c r="C128" s="10"/>
      <c r="D128" s="10"/>
      <c r="E128" s="10"/>
      <c r="F128" s="10"/>
      <c r="G128" s="10"/>
      <c r="H128" s="10"/>
      <c r="I128" s="10"/>
    </row>
    <row r="130">
      <c r="B130" s="3" t="inlineStr">
        <is>
          <t xml:space="preserve">Portfolio TAM ($M)</t>
        </is>
      </c>
      <c r="C130" s="13">
        <f>I117</f>
      </c>
    </row>
    <row r="133">
      <c r="A133" s="0" t="inlineStr">
        <is>
          <t xml:space="preserve">x</t>
        </is>
      </c>
      <c r="B133" s="10" t="inlineStr">
        <is>
          <t xml:space="preserve">§5d - Average-annual and per-hull views (FY22-FY27)</t>
        </is>
      </c>
      <c r="C133" s="10"/>
      <c r="D133" s="10"/>
      <c r="E133" s="10"/>
      <c r="F133" s="10"/>
      <c r="G133" s="10"/>
      <c r="H133" s="10"/>
      <c r="I133" s="10"/>
    </row>
    <row r="135">
      <c r="B135" s="2" t="inlineStr">
        <is>
          <t xml:space="preserve">View</t>
        </is>
      </c>
      <c r="C135" s="22" t="inlineStr">
        <is>
          <t xml:space="preserve">Value</t>
        </is>
      </c>
    </row>
    <row r="136" outlineLevel="1">
      <c r="B136" s="0" t="inlineStr">
        <is>
          <t xml:space="preserve">Years in window (n)</t>
        </is>
      </c>
      <c r="C136" s="0">
        <v>6</v>
      </c>
    </row>
    <row r="137" outlineLevel="1">
      <c r="B137" s="1" t="inlineStr">
        <is>
          <t xml:space="preserve">Average annual TAM ($M/yr)</t>
        </is>
      </c>
      <c r="C137" s="4">
        <f>I117/C136</f>
      </c>
    </row>
    <row r="138" outlineLevel="1">
      <c r="B138" s="0" t="inlineStr">
        <is>
          <t xml:space="preserve">In-window hulls (award FY22-27)</t>
        </is>
      </c>
      <c r="C138" s="0">
        <v>13</v>
      </c>
    </row>
    <row r="139" outlineLevel="1">
      <c r="B139" s="1" t="inlineStr">
        <is>
          <t xml:space="preserve">Supplier TAM per hull ($M)</t>
        </is>
      </c>
      <c r="C139" s="4">
        <f>I117/C138</f>
      </c>
    </row>
    <row r="140" outlineLevel="1">
      <c r="B140" s="0" t="inlineStr">
        <is>
          <t xml:space="preserve">BC TAM per hull ($M)</t>
        </is>
      </c>
      <c r="C140" s="4">
        <f>I115/C138</f>
      </c>
    </row>
    <row r="143">
      <c r="A143" s="0" t="inlineStr">
        <is>
          <t xml:space="preserve">x</t>
        </is>
      </c>
      <c r="B143" s="10" t="inlineStr">
        <is>
          <t xml:space="preserve">§5e - TAM bridge components (BC base to supplier TAM)</t>
        </is>
      </c>
      <c r="C143" s="10"/>
      <c r="D143" s="10"/>
      <c r="E143" s="10"/>
      <c r="F143" s="10"/>
      <c r="G143" s="10"/>
      <c r="H143" s="10"/>
      <c r="I143" s="10"/>
    </row>
    <row r="145" outlineLevel="1">
      <c r="B145" s="1" t="inlineStr">
        <is>
          <t xml:space="preserve">BC construction base ($M)</t>
        </is>
      </c>
      <c r="C145" s="4">
        <f>N('TAM Build'!C34)+N('TAM Build'!D34)+N('TAM Build'!E34)+N('TAM Build'!F34)+N('TAM Build'!G34)+N('TAM Build'!H34)</f>
      </c>
    </row>
    <row r="146" outlineLevel="1">
      <c r="B146" s="0" t="inlineStr">
        <is>
          <t xml:space="preserve">POP removal: prime, co-prime, GFE ($M)</t>
        </is>
      </c>
      <c r="C146" s="4">
        <f>C145-I115</f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4406B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4" customWidth="1"/>
    <col min="3" max="3" width="14" customWidth="1"/>
    <col min="4" max="4" width="12" customWidth="1"/>
    <col min="5" max="5" width="12" customWidth="1"/>
    <col min="6" max="6" width="12" customWidth="1"/>
    <col min="7" max="7" width="12" customWidth="1"/>
    <col min="8" max="8" width="14" customWidth="1"/>
    <col min="9" max="9" width="13" customWidth="1"/>
  </cols>
  <sheetData>
    <row r="1"/>
    <row r="2">
      <c r="B2" s="8" t="inlineStr">
        <is>
          <t xml:space="preserve">SAM Build</t>
        </is>
      </c>
      <c r="C2" s="8"/>
      <c r="D2" s="8"/>
      <c r="E2" s="8"/>
      <c r="F2" s="8"/>
      <c r="G2" s="8"/>
      <c r="H2" s="8"/>
      <c r="I2" s="8"/>
    </row>
    <row r="4">
      <c r="B4" s="9" t="inlineStr">
        <is>
          <t xml:space="preserve">§1 - SAM scenario menu</t>
        </is>
      </c>
      <c r="C4" s="9"/>
      <c r="D4" s="9"/>
      <c r="E4" s="9"/>
      <c r="F4" s="9"/>
      <c r="G4" s="9"/>
      <c r="H4" s="9"/>
      <c r="I4" s="9"/>
    </row>
    <row r="6">
      <c r="B6" s="2" t="inlineStr">
        <is>
          <t xml:space="preserve">Scenario</t>
        </is>
      </c>
      <c r="C6" s="22" t="inlineStr">
        <is>
          <t xml:space="preserve">SAM $M</t>
        </is>
      </c>
      <c r="D6" s="22" t="inlineStr">
        <is>
          <t xml:space="preserve">% of TAM</t>
        </is>
      </c>
      <c r="E6" s="22" t="inlineStr">
        <is>
          <t xml:space="preserve">SAM $M/yr</t>
        </is>
      </c>
    </row>
    <row r="7">
      <c r="B7" s="0" t="inlineStr">
        <is>
          <t xml:space="preserve">Metal components</t>
        </is>
      </c>
      <c r="C7" s="4">
        <f>'SAM Build'!C70</f>
      </c>
      <c r="D7" s="6">
        <f>'SAM Build'!D70</f>
      </c>
      <c r="E7" s="4">
        <f>'SAM Build'!E70</f>
      </c>
    </row>
    <row r="8">
      <c r="B8" s="0" t="inlineStr">
        <is>
          <t xml:space="preserve">HM&amp;E components</t>
        </is>
      </c>
      <c r="C8" s="4">
        <f>'SAM Build'!C71</f>
      </c>
      <c r="D8" s="6">
        <f>'SAM Build'!D71</f>
      </c>
      <c r="E8" s="4">
        <f>'SAM Build'!E71</f>
      </c>
    </row>
    <row r="9">
      <c r="B9" s="0" t="inlineStr">
        <is>
          <t xml:space="preserve">Electrical / power</t>
        </is>
      </c>
      <c r="C9" s="4">
        <f>'SAM Build'!C72</f>
      </c>
      <c r="D9" s="6">
        <f>'SAM Build'!D72</f>
      </c>
      <c r="E9" s="4">
        <f>'SAM Build'!E72</f>
      </c>
    </row>
    <row r="10">
      <c r="B10" s="0" t="inlineStr">
        <is>
          <t xml:space="preserve">Modular assemblies</t>
        </is>
      </c>
      <c r="C10" s="4">
        <f>'SAM Build'!C73</f>
      </c>
      <c r="D10" s="6">
        <f>'SAM Build'!D73</f>
      </c>
      <c r="E10" s="4">
        <f>'SAM Build'!E73</f>
      </c>
    </row>
    <row r="11">
      <c r="B11" s="0" t="inlineStr">
        <is>
          <t xml:space="preserve">Broad component mfg</t>
        </is>
      </c>
      <c r="C11" s="4">
        <f>'SAM Build'!C74</f>
      </c>
      <c r="D11" s="6">
        <f>'SAM Build'!D74</f>
      </c>
      <c r="E11" s="4">
        <f>'SAM Build'!E74</f>
      </c>
    </row>
    <row r="14">
      <c r="A14" s="0" t="inlineStr">
        <is>
          <t xml:space="preserve">x</t>
        </is>
      </c>
      <c r="B14" s="9" t="inlineStr">
        <is>
          <t xml:space="preserve">§2 - Supplier-addressable shares (gated evidence)</t>
        </is>
      </c>
      <c r="C14" s="9"/>
      <c r="D14" s="9"/>
      <c r="E14" s="9"/>
      <c r="F14" s="9"/>
      <c r="G14" s="9"/>
      <c r="H14" s="9"/>
      <c r="I14" s="9"/>
    </row>
    <row r="16">
      <c r="A16" s="0" t="inlineStr">
        <is>
          <t xml:space="preserve">x</t>
        </is>
      </c>
      <c r="B16" s="10" t="inlineStr">
        <is>
          <t xml:space="preserve">§2a - Modeled shares by FY (= Worktype by FY observed + Inputs adjustment)</t>
        </is>
      </c>
      <c r="C16" s="10"/>
      <c r="D16" s="10"/>
      <c r="E16" s="10"/>
      <c r="F16" s="10"/>
      <c r="G16" s="10"/>
      <c r="H16" s="10"/>
      <c r="I16" s="10"/>
    </row>
    <row r="18">
      <c r="B18" s="2" t="inlineStr">
        <is>
          <t xml:space="preserve">Bucket</t>
        </is>
      </c>
      <c r="C18" s="22" t="inlineStr">
        <is>
          <t xml:space="preserve">Adj +/- (Inputs)</t>
        </is>
      </c>
      <c r="D18" s="22" t="inlineStr">
        <is>
          <t xml:space="preserve">FY2022</t>
        </is>
      </c>
      <c r="E18" s="22" t="inlineStr">
        <is>
          <t xml:space="preserve">FY2023</t>
        </is>
      </c>
      <c r="F18" s="22" t="inlineStr">
        <is>
          <t xml:space="preserve">FY2024</t>
        </is>
      </c>
      <c r="G18" s="22" t="inlineStr">
        <is>
          <t xml:space="preserve">FY2025</t>
        </is>
      </c>
      <c r="H18" s="22" t="inlineStr">
        <is>
          <t xml:space="preserve">FY26-27 (window)</t>
        </is>
      </c>
    </row>
    <row r="19" outlineLevel="1">
      <c r="B19" s="20" t="inlineStr">
        <is>
          <t xml:space="preserve">Structural fabrication &amp; modules</t>
        </is>
      </c>
      <c r="C19" s="12">
        <f>'Assumptions'!C49</f>
      </c>
      <c r="D19" s="6">
        <f>N('Worktype by FY'!C30)+$C19</f>
      </c>
      <c r="E19" s="6">
        <f>N('Worktype by FY'!D30)+$C19</f>
      </c>
      <c r="F19" s="6">
        <f>N('Worktype by FY'!E30)+$C19</f>
      </c>
      <c r="G19" s="6">
        <f>N('Worktype by FY'!F30)+$C19</f>
      </c>
      <c r="H19" s="6">
        <f>N('Worktype by FY'!G30)+$C19</f>
      </c>
    </row>
    <row r="20" outlineLevel="1">
      <c r="B20" s="20" t="inlineStr">
        <is>
          <t xml:space="preserve">Machining / mechanical / propulsion</t>
        </is>
      </c>
      <c r="C20" s="12">
        <f>'Assumptions'!C50</f>
      </c>
      <c r="D20" s="6">
        <f>N('Worktype by FY'!C31)+$C20</f>
      </c>
      <c r="E20" s="6">
        <f>N('Worktype by FY'!D31)+$C20</f>
      </c>
      <c r="F20" s="6">
        <f>N('Worktype by FY'!E31)+$C20</f>
      </c>
      <c r="G20" s="6">
        <f>N('Worktype by FY'!F31)+$C20</f>
      </c>
      <c r="H20" s="6">
        <f>N('Worktype by FY'!G31)+$C20</f>
      </c>
    </row>
    <row r="21" outlineLevel="1">
      <c r="B21" s="20" t="inlineStr">
        <is>
          <t xml:space="preserve">Castings &amp; forgings</t>
        </is>
      </c>
      <c r="C21" s="12">
        <f>'Assumptions'!C51</f>
      </c>
      <c r="D21" s="6">
        <f>N('Worktype by FY'!C32)+$C21</f>
      </c>
      <c r="E21" s="6">
        <f>N('Worktype by FY'!D32)+$C21</f>
      </c>
      <c r="F21" s="6">
        <f>N('Worktype by FY'!E32)+$C21</f>
      </c>
      <c r="G21" s="6">
        <f>N('Worktype by FY'!F32)+$C21</f>
      </c>
      <c r="H21" s="6">
        <f>N('Worktype by FY'!G32)+$C21</f>
      </c>
    </row>
    <row r="22" outlineLevel="1">
      <c r="B22" s="20" t="inlineStr">
        <is>
          <t xml:space="preserve">Piping / fluid handling</t>
        </is>
      </c>
      <c r="C22" s="12">
        <f>'Assumptions'!C52</f>
      </c>
      <c r="D22" s="6">
        <f>N('Worktype by FY'!C33)+$C22</f>
      </c>
      <c r="E22" s="6">
        <f>N('Worktype by FY'!D33)+$C22</f>
      </c>
      <c r="F22" s="6">
        <f>N('Worktype by FY'!E33)+$C22</f>
      </c>
      <c r="G22" s="6">
        <f>N('Worktype by FY'!F33)+$C22</f>
      </c>
      <c r="H22" s="6">
        <f>N('Worktype by FY'!G33)+$C22</f>
      </c>
    </row>
    <row r="23" outlineLevel="1">
      <c r="B23" s="20" t="inlineStr">
        <is>
          <t xml:space="preserve">Electrical power / distribution / generation</t>
        </is>
      </c>
      <c r="C23" s="12">
        <f>'Assumptions'!C53</f>
      </c>
      <c r="D23" s="6">
        <f>N('Worktype by FY'!C34)+$C23</f>
      </c>
      <c r="E23" s="6">
        <f>N('Worktype by FY'!D34)+$C23</f>
      </c>
      <c r="F23" s="6">
        <f>N('Worktype by FY'!E34)+$C23</f>
      </c>
      <c r="G23" s="6">
        <f>N('Worktype by FY'!F34)+$C23</f>
      </c>
      <c r="H23" s="6">
        <f>N('Worktype by FY'!G34)+$C23</f>
      </c>
    </row>
    <row r="24" outlineLevel="1">
      <c r="B24" s="20" t="inlineStr">
        <is>
          <t xml:space="preserve">HVAC / ventilation / chilled water</t>
        </is>
      </c>
      <c r="C24" s="12">
        <f>'Assumptions'!C54</f>
      </c>
      <c r="D24" s="6">
        <f>N('Worktype by FY'!C35)+$C24</f>
      </c>
      <c r="E24" s="6">
        <f>N('Worktype by FY'!D35)+$C24</f>
      </c>
      <c r="F24" s="6">
        <f>N('Worktype by FY'!E35)+$C24</f>
      </c>
      <c r="G24" s="6">
        <f>N('Worktype by FY'!F35)+$C24</f>
      </c>
      <c r="H24" s="6">
        <f>N('Worktype by FY'!G35)+$C24</f>
      </c>
    </row>
    <row r="25" outlineLevel="1">
      <c r="B25" s="20" t="inlineStr">
        <is>
          <t xml:space="preserve">Coatings / insulation / decking</t>
        </is>
      </c>
      <c r="C25" s="12">
        <f>'Assumptions'!C55</f>
      </c>
      <c r="D25" s="6">
        <f>N('Worktype by FY'!C36)+$C25</f>
      </c>
      <c r="E25" s="6">
        <f>N('Worktype by FY'!D36)+$C25</f>
      </c>
      <c r="F25" s="6">
        <f>N('Worktype by FY'!E36)+$C25</f>
      </c>
      <c r="G25" s="6">
        <f>N('Worktype by FY'!F36)+$C25</f>
      </c>
      <c r="H25" s="6">
        <f>N('Worktype by FY'!G36)+$C25</f>
      </c>
    </row>
    <row r="26" outlineLevel="1">
      <c r="B26" s="20" t="inlineStr">
        <is>
          <t xml:space="preserve">Unbucketed / ambiguous (not in scenario SAM)</t>
        </is>
      </c>
      <c r="D26" s="6">
        <f>1-SUM(D19:D25)</f>
      </c>
      <c r="E26" s="6">
        <f>1-SUM(E19:E25)</f>
      </c>
      <c r="F26" s="6">
        <f>1-SUM(F19:F25)</f>
      </c>
      <c r="G26" s="6">
        <f>1-SUM(G19:G25)</f>
      </c>
      <c r="H26" s="6">
        <f>1-SUM(H19:H25)</f>
      </c>
    </row>
    <row r="27">
      <c r="B27" s="3" t="inlineStr">
        <is>
          <t xml:space="preserve">Total modeled share</t>
        </is>
      </c>
      <c r="C27" s="16"/>
      <c r="D27" s="14">
        <f>SUM(D19:D26)</f>
      </c>
      <c r="E27" s="14">
        <f>SUM(E19:E26)</f>
      </c>
      <c r="F27" s="14">
        <f>SUM(F19:F26)</f>
      </c>
      <c r="G27" s="14">
        <f>SUM(G19:G26)</f>
      </c>
      <c r="H27" s="14">
        <f>SUM(H19:H26)</f>
      </c>
    </row>
    <row r="30">
      <c r="A30" s="0" t="inlineStr">
        <is>
          <t xml:space="preserve">x</t>
        </is>
      </c>
      <c r="B30" s="10" t="inlineStr">
        <is>
          <t xml:space="preserve">§2b - Excluded from the addressable base (full corpus audit - not supplier-addressable)</t>
        </is>
      </c>
      <c r="C30" s="10"/>
      <c r="D30" s="10"/>
      <c r="E30" s="10"/>
      <c r="F30" s="10"/>
      <c r="G30" s="10"/>
      <c r="H30" s="10"/>
      <c r="I30" s="10"/>
    </row>
    <row r="32">
      <c r="B32" s="2" t="inlineStr">
        <is>
          <t xml:space="preserve">Role</t>
        </is>
      </c>
      <c r="C32" s="22" t="inlineStr">
        <is>
          <t xml:space="preserve">$M</t>
        </is>
      </c>
      <c r="D32" s="2"/>
      <c r="E32" s="2"/>
      <c r="F32" s="2"/>
    </row>
    <row r="33" outlineLevel="1">
      <c r="B33" s="20" t="inlineStr">
        <is>
          <t xml:space="preserve">Supplier (addressable, full corpus)</t>
        </is>
      </c>
      <c r="C33" s="4">
        <f>SUMPRODUCT(('Entity Master'!H7:H2164="supplier")*'Entity Master'!G7:G2164)</f>
      </c>
    </row>
    <row r="34" outlineLevel="1">
      <c r="B34" s="20" t="inlineStr">
        <is>
          <t xml:space="preserve">Mission systems (combat/electronics - VLS, radar, EW)</t>
        </is>
      </c>
      <c r="C34" s="4">
        <f>SUMPRODUCT(('Entity Master'!H7:H2164="mission_systems")*'Entity Master'!G7:G2164)</f>
      </c>
    </row>
    <row r="35" outlineLevel="1">
      <c r="B35" s="20" t="inlineStr">
        <is>
          <t xml:space="preserve">Service / non-component / IT</t>
        </is>
      </c>
      <c r="C35" s="4">
        <f>SUMPRODUCT(('Entity Master'!H7:H2164="service")*'Entity Master'!G7:G2164)</f>
      </c>
    </row>
    <row r="36" outlineLevel="1">
      <c r="B36" s="20" t="inlineStr">
        <is>
          <t xml:space="preserve">Holding / parent unknown</t>
        </is>
      </c>
      <c r="C36" s="4">
        <f>SUMPRODUCT(('Entity Master'!H7:H2164="holding")*'Entity Master'!G7:G2164)</f>
      </c>
    </row>
    <row r="37" outlineLevel="1">
      <c r="B37" s="20" t="inlineStr">
        <is>
          <t xml:space="preserve">Foreign / FMS</t>
        </is>
      </c>
      <c r="C37" s="4">
        <f>SUMPRODUCT(('Entity Master'!H7:H2164="foreign_fms")*'Entity Master'!G7:G2164)</f>
      </c>
    </row>
    <row r="38" outlineLevel="1">
      <c r="B38" s="20" t="inlineStr">
        <is>
          <t xml:space="preserve">Prime yard (Bath Iron Works)</t>
        </is>
      </c>
      <c r="C38" s="4">
        <f>SUMPRODUCT(('Entity Master'!H7:H2164="prime")*'Entity Master'!G7:G2164)</f>
      </c>
    </row>
    <row r="39" outlineLevel="1">
      <c r="B39" s="20" t="inlineStr">
        <is>
          <t xml:space="preserve">Co-prime yard (HII Ingalls)</t>
        </is>
      </c>
      <c r="C39" s="4">
        <f>SUMPRODUCT(('Entity Master'!H7:H2164="co_prime")*'Entity Master'!G7:G2164)</f>
      </c>
    </row>
    <row r="40" outlineLevel="1">
      <c r="B40" s="20" t="inlineStr">
        <is>
          <t xml:space="preserve">GFE / Navy-directed (Aegis/SPY-6/weapons)</t>
        </is>
      </c>
      <c r="C40" s="4">
        <f>SUMPRODUCT(('Entity Master'!H7:H2164="gfe_mib")*'Entity Master'!G7:G2164)</f>
      </c>
    </row>
    <row r="41">
      <c r="B41" s="3" t="inlineStr">
        <is>
          <t xml:space="preserve">Grand total (all recipients)</t>
        </is>
      </c>
      <c r="C41" s="13">
        <f>SUMPRODUCT('Entity Master'!G7:G2164)</f>
      </c>
      <c r="D41" s="16"/>
      <c r="E41" s="16"/>
      <c r="F41" s="16"/>
    </row>
    <row r="44">
      <c r="A44" s="0" t="inlineStr">
        <is>
          <t xml:space="preserve">x</t>
        </is>
      </c>
      <c r="B44" s="9" t="inlineStr">
        <is>
          <t xml:space="preserve">§3 - Bucket allocation</t>
        </is>
      </c>
      <c r="C44" s="9"/>
      <c r="D44" s="9"/>
      <c r="E44" s="9"/>
      <c r="F44" s="9"/>
      <c r="G44" s="9"/>
      <c r="H44" s="9"/>
      <c r="I44" s="9"/>
    </row>
    <row r="46">
      <c r="A46" s="0" t="inlineStr">
        <is>
          <t xml:space="preserve">x</t>
        </is>
      </c>
      <c r="B46" s="10" t="inlineStr">
        <is>
          <t xml:space="preserve">§3a - Portfolio TAM basis (cumulative FY22-FY27)</t>
        </is>
      </c>
      <c r="C46" s="10"/>
      <c r="D46" s="10"/>
      <c r="E46" s="10"/>
      <c r="F46" s="10"/>
      <c r="G46" s="10"/>
      <c r="H46" s="10"/>
      <c r="I46" s="10"/>
    </row>
    <row r="48" outlineLevel="1">
      <c r="B48" s="1" t="inlineStr">
        <is>
          <t xml:space="preserve">Portfolio TAM (DDG-51, both streams), FY22-27</t>
        </is>
      </c>
      <c r="C48" s="11">
        <f>'TAM Build'!I117</f>
      </c>
    </row>
    <row r="51">
      <c r="A51" s="0" t="inlineStr">
        <is>
          <t xml:space="preserve">x</t>
        </is>
      </c>
      <c r="B51" s="10" t="inlineStr">
        <is>
          <t xml:space="preserve">§3b - TAM by work-type bucket (annual TAM x per-FY modeled share)</t>
        </is>
      </c>
      <c r="C51" s="10"/>
      <c r="D51" s="10"/>
      <c r="E51" s="10"/>
      <c r="F51" s="10"/>
      <c r="G51" s="10"/>
      <c r="H51" s="10"/>
      <c r="I51" s="10"/>
    </row>
    <row r="53">
      <c r="B53" s="2" t="inlineStr">
        <is>
          <t xml:space="preserve">Bucket</t>
        </is>
      </c>
      <c r="C53" s="22" t="inlineStr">
        <is>
          <t xml:space="preserve">Bucket TAM $M</t>
        </is>
      </c>
      <c r="D53" s="22" t="inlineStr">
        <is>
          <t xml:space="preserve">Effective share</t>
        </is>
      </c>
    </row>
    <row r="54" outlineLevel="1">
      <c r="B54" s="20" t="inlineStr">
        <is>
          <t xml:space="preserve">Structural fabrication &amp; modules</t>
        </is>
      </c>
      <c r="C54" s="4">
        <f>N('TAM Build'!C117)*D19+N('TAM Build'!D117)*E19+N('TAM Build'!E117)*F19+N('TAM Build'!F117)*G19+(N('TAM Build'!G117)+N('TAM Build'!H117))*H19</f>
      </c>
      <c r="D54" s="6">
        <f>C54/$C$48</f>
      </c>
    </row>
    <row r="55" outlineLevel="1">
      <c r="B55" s="20" t="inlineStr">
        <is>
          <t xml:space="preserve">Machining / mechanical / propulsion</t>
        </is>
      </c>
      <c r="C55" s="4">
        <f>N('TAM Build'!C117)*D20+N('TAM Build'!D117)*E20+N('TAM Build'!E117)*F20+N('TAM Build'!F117)*G20+(N('TAM Build'!G117)+N('TAM Build'!H117))*H20</f>
      </c>
      <c r="D55" s="6">
        <f>C55/$C$48</f>
      </c>
    </row>
    <row r="56" outlineLevel="1">
      <c r="B56" s="20" t="inlineStr">
        <is>
          <t xml:space="preserve">Castings &amp; forgings</t>
        </is>
      </c>
      <c r="C56" s="4">
        <f>N('TAM Build'!C117)*D21+N('TAM Build'!D117)*E21+N('TAM Build'!E117)*F21+N('TAM Build'!F117)*G21+(N('TAM Build'!G117)+N('TAM Build'!H117))*H21</f>
      </c>
      <c r="D56" s="6">
        <f>C56/$C$48</f>
      </c>
    </row>
    <row r="57" outlineLevel="1">
      <c r="B57" s="20" t="inlineStr">
        <is>
          <t xml:space="preserve">Piping / fluid handling</t>
        </is>
      </c>
      <c r="C57" s="4">
        <f>N('TAM Build'!C117)*D22+N('TAM Build'!D117)*E22+N('TAM Build'!E117)*F22+N('TAM Build'!F117)*G22+(N('TAM Build'!G117)+N('TAM Build'!H117))*H22</f>
      </c>
      <c r="D57" s="6">
        <f>C57/$C$48</f>
      </c>
    </row>
    <row r="58" outlineLevel="1">
      <c r="B58" s="20" t="inlineStr">
        <is>
          <t xml:space="preserve">Electrical power / distribution / generation</t>
        </is>
      </c>
      <c r="C58" s="4">
        <f>N('TAM Build'!C117)*D23+N('TAM Build'!D117)*E23+N('TAM Build'!E117)*F23+N('TAM Build'!F117)*G23+(N('TAM Build'!G117)+N('TAM Build'!H117))*H23</f>
      </c>
      <c r="D58" s="6">
        <f>C58/$C$48</f>
      </c>
    </row>
    <row r="59" outlineLevel="1">
      <c r="B59" s="20" t="inlineStr">
        <is>
          <t xml:space="preserve">HVAC / ventilation / chilled water</t>
        </is>
      </c>
      <c r="C59" s="4">
        <f>N('TAM Build'!C117)*D24+N('TAM Build'!D117)*E24+N('TAM Build'!E117)*F24+N('TAM Build'!F117)*G24+(N('TAM Build'!G117)+N('TAM Build'!H117))*H24</f>
      </c>
      <c r="D59" s="6">
        <f>C59/$C$48</f>
      </c>
    </row>
    <row r="60" outlineLevel="1">
      <c r="B60" s="20" t="inlineStr">
        <is>
          <t xml:space="preserve">Coatings / insulation / decking</t>
        </is>
      </c>
      <c r="C60" s="4">
        <f>N('TAM Build'!C117)*D25+N('TAM Build'!D117)*E25+N('TAM Build'!E117)*F25+N('TAM Build'!F117)*G25+(N('TAM Build'!G117)+N('TAM Build'!H117))*H25</f>
      </c>
      <c r="D60" s="6">
        <f>C60/$C$48</f>
      </c>
    </row>
    <row r="61" outlineLevel="1">
      <c r="B61" s="20" t="inlineStr">
        <is>
          <t xml:space="preserve">Unbucketed / ambiguous (not in scenario SAM)</t>
        </is>
      </c>
      <c r="C61" s="4">
        <f>N('TAM Build'!C117)*D26+N('TAM Build'!D117)*E26+N('TAM Build'!E117)*F26+N('TAM Build'!F117)*G26+(N('TAM Build'!G117)+N('TAM Build'!H117))*H26</f>
      </c>
      <c r="D61" s="6">
        <f>C61/$C$48</f>
      </c>
    </row>
    <row r="62">
      <c r="B62" s="3" t="inlineStr">
        <is>
          <t xml:space="preserve">Total (7 buckets + unbucketed = TAM)</t>
        </is>
      </c>
      <c r="C62" s="13">
        <f>SUM(C54:C61)</f>
      </c>
      <c r="D62" s="14">
        <f>SUM(D54:D61)</f>
      </c>
    </row>
    <row r="65">
      <c r="A65" s="0" t="inlineStr">
        <is>
          <t xml:space="preserve">x</t>
        </is>
      </c>
      <c r="B65" s="9" t="inlineStr">
        <is>
          <t xml:space="preserve">§4 - Scenario calculation</t>
        </is>
      </c>
      <c r="C65" s="9"/>
      <c r="D65" s="9"/>
      <c r="E65" s="9"/>
      <c r="F65" s="9"/>
      <c r="G65" s="9"/>
      <c r="H65" s="9"/>
      <c r="I65" s="9"/>
    </row>
    <row r="67">
      <c r="A67" s="0" t="inlineStr">
        <is>
          <t xml:space="preserve">x</t>
        </is>
      </c>
      <c r="B67" s="10" t="inlineStr">
        <is>
          <t xml:space="preserve">§4a - SAM by leadership scenario (subset of TAM)</t>
        </is>
      </c>
      <c r="C67" s="10"/>
      <c r="D67" s="10"/>
      <c r="E67" s="10"/>
      <c r="F67" s="10"/>
      <c r="G67" s="10"/>
      <c r="H67" s="10"/>
      <c r="I67" s="10"/>
    </row>
    <row r="69">
      <c r="B69" s="2" t="inlineStr">
        <is>
          <t xml:space="preserve">Scenario</t>
        </is>
      </c>
      <c r="C69" s="22" t="inlineStr">
        <is>
          <t xml:space="preserve">SAM $M</t>
        </is>
      </c>
      <c r="D69" s="22" t="inlineStr">
        <is>
          <t xml:space="preserve">% of TAM</t>
        </is>
      </c>
      <c r="E69" s="22" t="inlineStr">
        <is>
          <t xml:space="preserve">SAM $M/yr</t>
        </is>
      </c>
    </row>
    <row r="70" outlineLevel="1">
      <c r="B70" s="0" t="inlineStr">
        <is>
          <t xml:space="preserve">Metal components</t>
        </is>
      </c>
      <c r="C70" s="4">
        <f>SUMPRODUCT('SAM Build'!C54:C60,'Scenarios'!C7:C13)</f>
      </c>
      <c r="D70" s="6">
        <f>C70/'SAM Build'!C48</f>
      </c>
      <c r="E70" s="4">
        <f>C70/'TAM Build'!C136</f>
      </c>
    </row>
    <row r="71" outlineLevel="1">
      <c r="B71" s="0" t="inlineStr">
        <is>
          <t xml:space="preserve">HM&amp;E components</t>
        </is>
      </c>
      <c r="C71" s="4">
        <f>SUMPRODUCT('SAM Build'!C54:C60,'Scenarios'!D7:D13)</f>
      </c>
      <c r="D71" s="6">
        <f>C71/'SAM Build'!C48</f>
      </c>
      <c r="E71" s="4">
        <f>C71/'TAM Build'!C136</f>
      </c>
    </row>
    <row r="72" outlineLevel="1">
      <c r="B72" s="0" t="inlineStr">
        <is>
          <t xml:space="preserve">Electrical / power</t>
        </is>
      </c>
      <c r="C72" s="4">
        <f>SUMPRODUCT('SAM Build'!C54:C60,'Scenarios'!E7:E13)</f>
      </c>
      <c r="D72" s="6">
        <f>C72/'SAM Build'!C48</f>
      </c>
      <c r="E72" s="4">
        <f>C72/'TAM Build'!C136</f>
      </c>
    </row>
    <row r="73" outlineLevel="1">
      <c r="B73" s="0" t="inlineStr">
        <is>
          <t xml:space="preserve">Modular assemblies</t>
        </is>
      </c>
      <c r="C73" s="4">
        <f>'SAM Build'!C48*N('Worktype by FY'!C45)</f>
      </c>
      <c r="D73" s="6">
        <f>C73/'SAM Build'!C48</f>
      </c>
      <c r="E73" s="4">
        <f>C73/'TAM Build'!C136</f>
      </c>
    </row>
    <row r="74" outlineLevel="1">
      <c r="B74" s="0" t="inlineStr">
        <is>
          <t xml:space="preserve">Broad component mfg</t>
        </is>
      </c>
      <c r="C74" s="4">
        <f>SUMPRODUCT('SAM Build'!C54:C60,'Scenarios'!G7:G13)</f>
      </c>
      <c r="D74" s="6">
        <f>C74/'SAM Build'!C48</f>
      </c>
      <c r="E74" s="4">
        <f>C74/'TAM Build'!C136</f>
      </c>
    </row>
    <row r="77">
      <c r="A77" s="0" t="inlineStr">
        <is>
          <t xml:space="preserve">x</t>
        </is>
      </c>
      <c r="B77" s="10" t="inlineStr">
        <is>
          <t xml:space="preserve">§4b - Residual explanation</t>
        </is>
      </c>
      <c r="C77" s="10"/>
      <c r="D77" s="10"/>
      <c r="E77" s="10"/>
      <c r="F77" s="10"/>
      <c r="G77" s="10"/>
      <c r="H77" s="10"/>
      <c r="I77" s="10"/>
    </row>
    <row r="79" outlineLevel="1">
      <c r="B79" s="0" t="inlineStr">
        <is>
          <t xml:space="preserve">Broad SAM = TAM - unbucketed residual.</t>
        </is>
      </c>
    </row>
    <row r="82">
      <c r="A82" s="0" t="inlineStr">
        <is>
          <t xml:space="preserve">x</t>
        </is>
      </c>
      <c r="B82" s="9" t="inlineStr">
        <is>
          <t xml:space="preserve">§5 - Annual SAM by fiscal year</t>
        </is>
      </c>
      <c r="C82" s="9"/>
      <c r="D82" s="9"/>
      <c r="E82" s="9"/>
      <c r="F82" s="9"/>
      <c r="G82" s="9"/>
      <c r="H82" s="9"/>
      <c r="I82" s="9"/>
    </row>
    <row r="84">
      <c r="B84" s="2" t="inlineStr">
        <is>
          <t xml:space="preserve">Scenario</t>
        </is>
      </c>
      <c r="C84" s="22" t="inlineStr">
        <is>
          <t xml:space="preserve">FY2022</t>
        </is>
      </c>
      <c r="D84" s="22" t="inlineStr">
        <is>
          <t xml:space="preserve">FY2023</t>
        </is>
      </c>
      <c r="E84" s="22" t="inlineStr">
        <is>
          <t xml:space="preserve">FY2024</t>
        </is>
      </c>
      <c r="F84" s="22" t="inlineStr">
        <is>
          <t xml:space="preserve">FY2025</t>
        </is>
      </c>
      <c r="G84" s="22" t="inlineStr">
        <is>
          <t xml:space="preserve">FY2026</t>
        </is>
      </c>
      <c r="H84" s="22" t="inlineStr">
        <is>
          <t xml:space="preserve">FY2027</t>
        </is>
      </c>
      <c r="I84" s="22" t="inlineStr">
        <is>
          <t xml:space="preserve">FY22-27</t>
        </is>
      </c>
    </row>
    <row r="85" outlineLevel="1">
      <c r="B85" s="0" t="inlineStr">
        <is>
          <t xml:space="preserve">Metal components</t>
        </is>
      </c>
      <c r="C85" s="4">
        <f>'TAM Build'!C117*SUMPRODUCT('SAM Build'!D19:D25,'Scenarios'!C7:C13)</f>
      </c>
      <c r="D85" s="4">
        <f>'TAM Build'!D117*SUMPRODUCT('SAM Build'!E19:E25,'Scenarios'!C7:C13)</f>
      </c>
      <c r="E85" s="4">
        <f>'TAM Build'!E117*SUMPRODUCT('SAM Build'!F19:F25,'Scenarios'!C7:C13)</f>
      </c>
      <c r="F85" s="4">
        <f>'TAM Build'!F117*SUMPRODUCT('SAM Build'!G19:G25,'Scenarios'!C7:C13)</f>
      </c>
      <c r="G85" s="4">
        <f>'TAM Build'!G117*SUMPRODUCT('SAM Build'!H19:H25,'Scenarios'!C7:C13)</f>
      </c>
      <c r="H85" s="4">
        <f>'TAM Build'!H117*SUMPRODUCT('SAM Build'!H19:H25,'Scenarios'!C7:C13)</f>
      </c>
      <c r="I85" s="4">
        <f>SUM(C85:H85)</f>
      </c>
    </row>
    <row r="86" outlineLevel="1">
      <c r="B86" s="0" t="inlineStr">
        <is>
          <t xml:space="preserve">HM&amp;E components</t>
        </is>
      </c>
      <c r="C86" s="4">
        <f>'TAM Build'!C117*SUMPRODUCT('SAM Build'!D19:D25,'Scenarios'!D7:D13)</f>
      </c>
      <c r="D86" s="4">
        <f>'TAM Build'!D117*SUMPRODUCT('SAM Build'!E19:E25,'Scenarios'!D7:D13)</f>
      </c>
      <c r="E86" s="4">
        <f>'TAM Build'!E117*SUMPRODUCT('SAM Build'!F19:F25,'Scenarios'!D7:D13)</f>
      </c>
      <c r="F86" s="4">
        <f>'TAM Build'!F117*SUMPRODUCT('SAM Build'!G19:G25,'Scenarios'!D7:D13)</f>
      </c>
      <c r="G86" s="4">
        <f>'TAM Build'!G117*SUMPRODUCT('SAM Build'!H19:H25,'Scenarios'!D7:D13)</f>
      </c>
      <c r="H86" s="4">
        <f>'TAM Build'!H117*SUMPRODUCT('SAM Build'!H19:H25,'Scenarios'!D7:D13)</f>
      </c>
      <c r="I86" s="4">
        <f>SUM(C86:H86)</f>
      </c>
    </row>
    <row r="87" outlineLevel="1">
      <c r="B87" s="0" t="inlineStr">
        <is>
          <t xml:space="preserve">Electrical / power</t>
        </is>
      </c>
      <c r="C87" s="4">
        <f>'TAM Build'!C117*SUMPRODUCT('SAM Build'!D19:D25,'Scenarios'!E7:E13)</f>
      </c>
      <c r="D87" s="4">
        <f>'TAM Build'!D117*SUMPRODUCT('SAM Build'!E19:E25,'Scenarios'!E7:E13)</f>
      </c>
      <c r="E87" s="4">
        <f>'TAM Build'!E117*SUMPRODUCT('SAM Build'!F19:F25,'Scenarios'!E7:E13)</f>
      </c>
      <c r="F87" s="4">
        <f>'TAM Build'!F117*SUMPRODUCT('SAM Build'!G19:G25,'Scenarios'!E7:E13)</f>
      </c>
      <c r="G87" s="4">
        <f>'TAM Build'!G117*SUMPRODUCT('SAM Build'!H19:H25,'Scenarios'!E7:E13)</f>
      </c>
      <c r="H87" s="4">
        <f>'TAM Build'!H117*SUMPRODUCT('SAM Build'!H19:H25,'Scenarios'!E7:E13)</f>
      </c>
      <c r="I87" s="4">
        <f>SUM(C87:H87)</f>
      </c>
    </row>
    <row r="88" outlineLevel="1">
      <c r="B88" s="0" t="inlineStr">
        <is>
          <t xml:space="preserve">Modular assemblies</t>
        </is>
      </c>
      <c r="C88" s="4">
        <f>'TAM Build'!C117*N('Worktype by FY'!C45)</f>
      </c>
      <c r="D88" s="4">
        <f>'TAM Build'!D117*N('Worktype by FY'!C45)</f>
      </c>
      <c r="E88" s="4">
        <f>'TAM Build'!E117*N('Worktype by FY'!C45)</f>
      </c>
      <c r="F88" s="4">
        <f>'TAM Build'!F117*N('Worktype by FY'!C45)</f>
      </c>
      <c r="G88" s="4">
        <f>'TAM Build'!G117*N('Worktype by FY'!C45)</f>
      </c>
      <c r="H88" s="4">
        <f>'TAM Build'!H117*N('Worktype by FY'!C45)</f>
      </c>
      <c r="I88" s="4">
        <f>SUM(C88:H88)</f>
      </c>
    </row>
    <row r="89" outlineLevel="1">
      <c r="B89" s="0" t="inlineStr">
        <is>
          <t xml:space="preserve">Broad component mfg</t>
        </is>
      </c>
      <c r="C89" s="4">
        <f>'TAM Build'!C117*SUMPRODUCT('SAM Build'!D19:D25,'Scenarios'!G7:G13)</f>
      </c>
      <c r="D89" s="4">
        <f>'TAM Build'!D117*SUMPRODUCT('SAM Build'!E19:E25,'Scenarios'!G7:G13)</f>
      </c>
      <c r="E89" s="4">
        <f>'TAM Build'!E117*SUMPRODUCT('SAM Build'!F19:F25,'Scenarios'!G7:G13)</f>
      </c>
      <c r="F89" s="4">
        <f>'TAM Build'!F117*SUMPRODUCT('SAM Build'!G19:G25,'Scenarios'!G7:G13)</f>
      </c>
      <c r="G89" s="4">
        <f>'TAM Build'!G117*SUMPRODUCT('SAM Build'!H19:H25,'Scenarios'!G7:G13)</f>
      </c>
      <c r="H89" s="4">
        <f>'TAM Build'!H117*SUMPRODUCT('SAM Build'!H19:H25,'Scenarios'!G7:G13)</f>
      </c>
      <c r="I89" s="4">
        <f>SUM(C89:H89)</f>
      </c>
    </row>
    <row r="92">
      <c r="A92" s="0" t="inlineStr">
        <is>
          <t xml:space="preserve">x</t>
        </is>
      </c>
      <c r="B92" s="10" t="inlineStr">
        <is>
          <t xml:space="preserve">§5b - Annual tie-out (per-FY annual broad SAM sums to cumulative broad SAM)</t>
        </is>
      </c>
      <c r="C92" s="10"/>
      <c r="D92" s="10"/>
      <c r="E92" s="10"/>
      <c r="F92" s="10"/>
      <c r="G92" s="10"/>
      <c r="H92" s="10"/>
      <c r="I92" s="10"/>
    </row>
    <row r="94">
      <c r="B94" s="2" t="inlineStr">
        <is>
          <t xml:space="preserve">Check</t>
        </is>
      </c>
      <c r="C94" s="22" t="inlineStr">
        <is>
          <t xml:space="preserve">Value</t>
        </is>
      </c>
    </row>
    <row r="95" outlineLevel="1">
      <c r="B95" s="0" t="inlineStr">
        <is>
          <t xml:space="preserve">Annual broad SAM FY22-27 (sum)</t>
        </is>
      </c>
      <c r="C95" s="4">
        <f>I89</f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34406B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</cols>
  <sheetData>
    <row r="1"/>
    <row r="2">
      <c r="B2" s="8" t="inlineStr">
        <is>
          <t xml:space="preserve">Outlook</t>
        </is>
      </c>
      <c r="C2" s="8"/>
      <c r="D2" s="8"/>
      <c r="E2" s="8"/>
      <c r="F2" s="8"/>
      <c r="G2" s="8"/>
      <c r="H2" s="8"/>
    </row>
    <row r="4">
      <c r="B4" s="9" t="inlineStr">
        <is>
          <t xml:space="preserve">§1 - Penetration &amp; outyear outlook</t>
        </is>
      </c>
      <c r="C4" s="9"/>
      <c r="D4" s="9"/>
      <c r="E4" s="9"/>
      <c r="F4" s="9"/>
      <c r="G4" s="9"/>
      <c r="H4" s="9"/>
    </row>
    <row r="6">
      <c r="B6" s="2" t="inlineStr">
        <is>
          <t xml:space="preserve">Measure</t>
        </is>
      </c>
      <c r="C6" s="22" t="inlineStr">
        <is>
          <t xml:space="preserve">Value</t>
        </is>
      </c>
    </row>
    <row r="7">
      <c r="B7" s="1" t="inlineStr">
        <is>
          <t xml:space="preserve">Outsourced BC penetration, FY22-25 (outyear low)</t>
        </is>
      </c>
      <c r="C7" s="6">
        <f>C27</f>
      </c>
    </row>
    <row r="8">
      <c r="B8" s="1" t="inlineStr">
        <is>
          <t xml:space="preserve">Outsourced BC penetration, FY22-27</t>
        </is>
      </c>
      <c r="C8" s="6">
        <f>C28</f>
      </c>
    </row>
    <row r="9">
      <c r="B9" s="0" t="inlineStr">
        <is>
          <t xml:space="preserve">Implied outyear Outsourced BC, low $M/yr</t>
        </is>
      </c>
      <c r="C9" s="4">
        <f>C44</f>
      </c>
    </row>
    <row r="10">
      <c r="B10" s="0" t="inlineStr">
        <is>
          <t xml:space="preserve">Implied outyear Outsourced BC, high $M/yr</t>
        </is>
      </c>
      <c r="C10" s="4">
        <f>C45</f>
      </c>
    </row>
    <row r="11">
      <c r="B11" s="0" t="inlineStr">
        <is>
          <t xml:space="preserve">FY22-25 average annual TAM $M/yr</t>
        </is>
      </c>
      <c r="C11" s="4">
        <f>C51</f>
      </c>
    </row>
    <row r="14">
      <c r="A14" s="0" t="inlineStr">
        <is>
          <t xml:space="preserve">x</t>
        </is>
      </c>
      <c r="B14" s="9" t="inlineStr">
        <is>
          <t xml:space="preserve">§2 - Outsourced BC penetration by FY (constant FY2026 $)</t>
        </is>
      </c>
      <c r="C14" s="9"/>
      <c r="D14" s="9"/>
      <c r="E14" s="9"/>
      <c r="F14" s="9"/>
      <c r="G14" s="9"/>
      <c r="H14" s="9"/>
    </row>
    <row r="16">
      <c r="B16" s="2" t="inlineStr">
        <is>
          <t xml:space="preserve">Metric</t>
        </is>
      </c>
      <c r="C16" s="22">
        <v>2022</v>
      </c>
      <c r="D16" s="22">
        <v>2023</v>
      </c>
      <c r="E16" s="22">
        <v>2024</v>
      </c>
      <c r="F16" s="22">
        <v>2025</v>
      </c>
      <c r="G16" s="22">
        <v>2026</v>
      </c>
      <c r="H16" s="22">
        <v>2027</v>
      </c>
    </row>
    <row r="17" outlineLevel="1">
      <c r="B17" s="1" t="inlineStr">
        <is>
          <t xml:space="preserve">Outsourced BC TAM, all streams ($M)</t>
        </is>
      </c>
      <c r="C17" s="11">
        <f>N('TAM Build'!C117)</f>
      </c>
      <c r="D17" s="11">
        <f>N('TAM Build'!D117)</f>
      </c>
      <c r="E17" s="11">
        <f>N('TAM Build'!E117)</f>
      </c>
      <c r="F17" s="11">
        <f>N('TAM Build'!F117)</f>
      </c>
      <c r="G17" s="11">
        <f>N('TAM Build'!G117)</f>
      </c>
      <c r="H17" s="11">
        <f>N('TAM Build'!H117)</f>
      </c>
    </row>
    <row r="18" outlineLevel="1">
      <c r="B18" s="0" t="inlineStr">
        <is>
          <t xml:space="preserve">Total ship spend: P-5c Total Ship Estimate ($M)</t>
        </is>
      </c>
      <c r="C18" s="11">
        <f>'SCN Budget'!C22</f>
      </c>
      <c r="D18" s="11">
        <f>'SCN Budget'!D22</f>
      </c>
      <c r="E18" s="11">
        <f>'SCN Budget'!E22</f>
      </c>
      <c r="F18" s="11">
        <f>'SCN Budget'!F22</f>
      </c>
      <c r="G18" s="11">
        <f>'SCN Budget'!G22</f>
      </c>
      <c r="H18" s="11">
        <f>'SCN Budget'!H22</f>
      </c>
    </row>
    <row r="19" outlineLevel="1">
      <c r="B19" s="0" t="inlineStr">
        <is>
          <t xml:space="preserve">plus OBBBA gross award ($M; toggle-gated)</t>
        </is>
      </c>
      <c r="C19" s="11">
        <f>N('OBBBA Mandatory'!C23)*'Assumptions'!C19</f>
      </c>
      <c r="D19" s="11">
        <f>N('OBBBA Mandatory'!D23)*'Assumptions'!C19</f>
      </c>
      <c r="E19" s="11">
        <f>N('OBBBA Mandatory'!E23)*'Assumptions'!C19</f>
      </c>
      <c r="F19" s="11">
        <f>N('OBBBA Mandatory'!F23)*'Assumptions'!C19</f>
      </c>
      <c r="G19" s="11">
        <f>N('OBBBA Mandatory'!G23)*'Assumptions'!C19</f>
      </c>
      <c r="H19" s="11">
        <f>N('OBBBA Mandatory'!H23)*'Assumptions'!C19</f>
      </c>
    </row>
    <row r="20">
      <c r="B20" s="3" t="inlineStr">
        <is>
          <t xml:space="preserve">Total ship spend incl. OBBBA ($M)</t>
        </is>
      </c>
      <c r="C20" s="13">
        <f>C18+N(C19)</f>
      </c>
      <c r="D20" s="13">
        <f>D18+N(D19)</f>
      </c>
      <c r="E20" s="13">
        <f>E18+N(E19)</f>
      </c>
      <c r="F20" s="13">
        <f>F18+N(F19)</f>
      </c>
      <c r="G20" s="13">
        <f>G18+N(G19)</f>
      </c>
      <c r="H20" s="13">
        <f>H18+N(H19)</f>
      </c>
    </row>
    <row r="21" outlineLevel="1">
      <c r="B21" s="1" t="inlineStr">
        <is>
          <t xml:space="preserve">Penetration: TAM / total ship spend</t>
        </is>
      </c>
      <c r="C21" s="6">
        <f>IF(C20=0,"",C17/C20)</f>
      </c>
      <c r="D21" s="6">
        <f>IF(D20=0,"",D17/D20)</f>
      </c>
      <c r="E21" s="6">
        <f>IF(E20=0,"",E17/E20)</f>
      </c>
      <c r="F21" s="6">
        <f>IF(F20=0,"",F17/F20)</f>
      </c>
      <c r="G21" s="6">
        <f>IF(G20=0,"",G17/G20)</f>
      </c>
      <c r="H21" s="6">
        <f>IF(H20=0,"",H17/H20)</f>
      </c>
    </row>
    <row r="24">
      <c r="A24" s="0" t="inlineStr">
        <is>
          <t xml:space="preserve">x</t>
        </is>
      </c>
      <c r="B24" s="9" t="inlineStr">
        <is>
          <t xml:space="preserve">§3 - Window-average penetration (ratio of sums) + outyear assumptions</t>
        </is>
      </c>
      <c r="C24" s="9"/>
      <c r="D24" s="9"/>
      <c r="E24" s="9"/>
      <c r="F24" s="9"/>
      <c r="G24" s="9"/>
      <c r="H24" s="9"/>
    </row>
    <row r="26">
      <c r="B26" s="2" t="inlineStr">
        <is>
          <t xml:space="preserve">Measure</t>
        </is>
      </c>
      <c r="C26" s="22" t="inlineStr">
        <is>
          <t xml:space="preserve">Value</t>
        </is>
      </c>
    </row>
    <row r="27" outlineLevel="1">
      <c r="B27" s="1" t="inlineStr">
        <is>
          <t xml:space="preserve">FY22-25 average (sum TAM / sum spend; complete historical years)</t>
        </is>
      </c>
      <c r="C27" s="6">
        <f>SUM(C17:F17)/SUM(C20:F20)</f>
      </c>
    </row>
    <row r="28" outlineLevel="1">
      <c r="B28" s="0" t="inlineStr">
        <is>
          <t xml:space="preserve">FY22-27 average (sum TAM / sum spend; memo)</t>
        </is>
      </c>
      <c r="C28" s="6">
        <f>SUM(C17:H17)/SUM(C20:H20)</f>
      </c>
    </row>
    <row r="29" outlineLevel="1">
      <c r="B29" s="0" t="inlineStr">
        <is>
          <t xml:space="preserve">FY26-27 average (sum TAM / sum spend; memo)</t>
        </is>
      </c>
      <c r="C29" s="6">
        <f>SUM(G17:H17)/SUM(G20:H20)</f>
      </c>
    </row>
    <row r="30" outlineLevel="1">
      <c r="B30" s="0" t="inlineStr">
        <is>
          <t xml:space="preserve">Outsourcing intent uplift (Assumptions §7)</t>
        </is>
      </c>
      <c r="C30" s="12">
        <f>'Assumptions'!C61</f>
      </c>
    </row>
    <row r="31" outlineLevel="1">
      <c r="B31" s="1" t="inlineStr">
        <is>
          <t xml:space="preserve">Outyear assumption, low (= FY22-25 average)</t>
        </is>
      </c>
      <c r="C31" s="6">
        <f>C27</f>
      </c>
    </row>
    <row r="32" outlineLevel="1">
      <c r="B32" s="1" t="inlineStr">
        <is>
          <t xml:space="preserve">Outyear assumption, high (= low x (1 + intent uplift))</t>
        </is>
      </c>
      <c r="C32" s="6">
        <f>C31*(1+C30)</f>
      </c>
    </row>
    <row r="33" outlineLevel="1">
      <c r="B33" s="0" t="inlineStr">
        <is>
          <t xml:space="preserve">Window average = sum of TAM / sum of spend over the window, not the mean of annual ratios.</t>
        </is>
      </c>
    </row>
    <row r="36">
      <c r="A36" s="0" t="inlineStr">
        <is>
          <t xml:space="preserve">x</t>
        </is>
      </c>
      <c r="B36" s="9" t="inlineStr">
        <is>
          <t xml:space="preserve">§4 - Implied outyear Outsourced BC (FY2028-FY2031)</t>
        </is>
      </c>
      <c r="C36" s="9"/>
      <c r="D36" s="9"/>
      <c r="E36" s="9"/>
      <c r="F36" s="9"/>
      <c r="G36" s="9"/>
      <c r="H36" s="9"/>
    </row>
    <row r="38">
      <c r="B38" s="2" t="inlineStr">
        <is>
          <t xml:space="preserve">Metric</t>
        </is>
      </c>
      <c r="C38" s="22">
        <v>2028</v>
      </c>
      <c r="D38" s="22">
        <v>2029</v>
      </c>
      <c r="E38" s="22">
        <v>2030</v>
      </c>
      <c r="F38" s="22">
        <v>2031</v>
      </c>
    </row>
    <row r="39" outlineLevel="1">
      <c r="B39" s="1" t="inlineStr">
        <is>
          <t xml:space="preserve">FYDP gross (PB2027 request), constant FY2026 $M</t>
        </is>
      </c>
      <c r="C39" s="11">
        <f>'FYDP Outyears'!F23</f>
      </c>
      <c r="D39" s="11">
        <f>'FYDP Outyears'!G23</f>
      </c>
      <c r="E39" s="11">
        <f>'FYDP Outyears'!H23</f>
      </c>
      <c r="F39" s="11">
        <f>'FYDP Outyears'!I23</f>
      </c>
    </row>
    <row r="40" outlineLevel="1">
      <c r="B40" s="1" t="inlineStr">
        <is>
          <t xml:space="preserve">Implied Outsourced BC, low ($M)</t>
        </is>
      </c>
      <c r="C40" s="4">
        <f>C39*$C$31</f>
      </c>
      <c r="D40" s="4">
        <f>D39*$C$31</f>
      </c>
      <c r="E40" s="4">
        <f>E39*$C$31</f>
      </c>
      <c r="F40" s="4">
        <f>F39*$C$31</f>
      </c>
    </row>
    <row r="41" outlineLevel="1">
      <c r="B41" s="1" t="inlineStr">
        <is>
          <t xml:space="preserve">Implied Outsourced BC, high ($M)</t>
        </is>
      </c>
      <c r="C41" s="4">
        <f>C39*$C$32</f>
      </c>
      <c r="D41" s="4">
        <f>D39*$C$32</f>
      </c>
      <c r="E41" s="4">
        <f>E39*$C$32</f>
      </c>
      <c r="F41" s="4">
        <f>F39*$C$32</f>
      </c>
    </row>
    <row r="42" outlineLevel="1">
      <c r="B42" s="0" t="inlineStr">
        <is>
          <t xml:space="preserve">Range, high - low ($M)</t>
        </is>
      </c>
      <c r="C42" s="4">
        <f>C41-C40</f>
      </c>
      <c r="D42" s="4">
        <f>D41-D40</f>
      </c>
      <c r="E42" s="4">
        <f>E41-E40</f>
      </c>
      <c r="F42" s="4">
        <f>F41-F40</f>
      </c>
    </row>
    <row r="44" outlineLevel="1">
      <c r="B44" s="0" t="inlineStr">
        <is>
          <t xml:space="preserve">Implied low, FY28-31 average ($M/yr)</t>
        </is>
      </c>
      <c r="C44" s="4">
        <f>SUM(C40:F40)/4</f>
      </c>
    </row>
    <row r="45" outlineLevel="1">
      <c r="B45" s="0" t="inlineStr">
        <is>
          <t xml:space="preserve">Implied high, FY28-31 average ($M/yr)</t>
        </is>
      </c>
      <c r="C45" s="4">
        <f>SUM(C41:F41)/4</f>
      </c>
    </row>
    <row r="48">
      <c r="A48" s="0" t="inlineStr">
        <is>
          <t xml:space="preserve">x</t>
        </is>
      </c>
      <c r="B48" s="9" t="inlineStr">
        <is>
          <t xml:space="preserve">§5 - FY22-25 average annual TAM</t>
        </is>
      </c>
      <c r="C48" s="9"/>
      <c r="D48" s="9"/>
      <c r="E48" s="9"/>
      <c r="F48" s="9"/>
      <c r="G48" s="9"/>
      <c r="H48" s="9"/>
    </row>
    <row r="50">
      <c r="B50" s="2" t="inlineStr">
        <is>
          <t xml:space="preserve">Measure</t>
        </is>
      </c>
      <c r="C50" s="22" t="inlineStr">
        <is>
          <t xml:space="preserve">Value</t>
        </is>
      </c>
    </row>
    <row r="51" outlineLevel="1">
      <c r="B51" s="1" t="inlineStr">
        <is>
          <t xml:space="preserve">Average annual TAM, FY22-25 ($M/yr)</t>
        </is>
      </c>
      <c r="C51" s="4">
        <f>(N('TAM Build'!C117)+N('TAM Build'!D117)+N('TAM Build'!E117)+N('TAM Build'!F117))/4</f>
      </c>
    </row>
    <row r="54">
      <c r="A54" s="0" t="inlineStr">
        <is>
          <t xml:space="preserve">x</t>
        </is>
      </c>
      <c r="B54" s="9" t="inlineStr">
        <is>
          <t xml:space="preserve">§6 - Checks</t>
        </is>
      </c>
      <c r="C54" s="9"/>
      <c r="D54" s="9"/>
      <c r="E54" s="9"/>
      <c r="F54" s="9"/>
      <c r="G54" s="9"/>
      <c r="H54" s="9"/>
    </row>
    <row r="56">
      <c r="B56" s="2" t="inlineStr">
        <is>
          <t xml:space="preserve">Check</t>
        </is>
      </c>
      <c r="C56" s="2" t="inlineStr">
        <is>
          <t xml:space="preserve">Status</t>
        </is>
      </c>
    </row>
    <row r="57" outlineLevel="1">
      <c r="B57" s="0" t="inlineStr">
        <is>
          <t xml:space="preserve">FY27 FYDP gross ties to SCN Budget FY27 TSE (constant)</t>
        </is>
      </c>
      <c r="C57" s="0">
        <f>IF(ABS(N('FYDP Outyears'!E23)-N('SCN Budget'!H22))&lt;1,"OK","FAIL")</f>
      </c>
    </row>
    <row r="58" outlineLevel="1">
      <c r="B58" s="0" t="inlineStr">
        <is>
          <t xml:space="preserve">Penetration at or below 100% each FY</t>
        </is>
      </c>
      <c r="C58" s="0">
        <f>IF(COUNTIF(C21:H21,"&gt;1")=0,"OK","REVIEW")</f>
      </c>
    </row>
    <row r="59" outlineLevel="1">
      <c r="B59" s="0" t="inlineStr">
        <is>
          <t xml:space="preserve">Low assumption at or below high</t>
        </is>
      </c>
      <c r="C59" s="0">
        <f>IF(C31&lt;=C32,"OK","FAIL")</f>
      </c>
    </row>
    <row r="60" outlineLevel="1">
      <c r="B60" s="0" t="inlineStr">
        <is>
          <t xml:space="preserve">FY2026 reads above 100% only with the OBBBA stream toggled off (AP/LLTM TAM over the ~$306M discretionary-only TSE).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7B1F3A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10" customWidth="1"/>
    <col min="3" max="3" width="44" customWidth="1"/>
    <col min="4" max="4" width="30" customWidth="1"/>
    <col min="5" max="5" width="28" customWidth="1"/>
  </cols>
  <sheetData>
    <row r="1"/>
    <row r="2">
      <c r="B2" s="8" t="inlineStr">
        <is>
          <t xml:space="preserve">Deflators</t>
        </is>
      </c>
      <c r="C2" s="8"/>
      <c r="D2" s="8"/>
      <c r="E2" s="8"/>
    </row>
    <row r="4">
      <c r="A4" s="0" t="inlineStr">
        <is>
          <t xml:space="preserve">x</t>
        </is>
      </c>
      <c r="B4" s="9" t="inlineStr">
        <is>
          <t xml:space="preserve">§1 - DoD price deflators (Green Book Procurement TOA, rebased FY2026)</t>
        </is>
      </c>
      <c r="C4" s="9"/>
      <c r="D4" s="9"/>
      <c r="E4" s="9"/>
    </row>
    <row r="6">
      <c r="B6" s="2" t="inlineStr">
        <is>
          <t xml:space="preserve">FY</t>
        </is>
      </c>
      <c r="C6" s="22" t="inlineStr">
        <is>
          <t xml:space="preserve">Procurement deflator (FY2025=100)</t>
        </is>
      </c>
      <c r="D6" s="22" t="inlineStr">
        <is>
          <t xml:space="preserve">Factor to constant FY2026 $</t>
        </is>
      </c>
      <c r="E6" s="2" t="inlineStr">
        <is>
          <t xml:space="preserve">Basis</t>
        </is>
      </c>
    </row>
    <row r="7" outlineLevel="1">
      <c r="B7" s="1" t="inlineStr">
        <is>
          <t xml:space="preserve">FY2022</t>
        </is>
      </c>
      <c r="C7" s="5">
        <v>93.13</v>
      </c>
      <c r="D7" s="4" t="inlineStr">
        <is>
          <t xml:space="preserve">1.10</t>
        </is>
      </c>
      <c r="E7" s="0" t="inlineStr">
        <is>
          <t xml:space="preserve">Green Book Table 5-4</t>
        </is>
      </c>
    </row>
    <row r="8" outlineLevel="1">
      <c r="B8" s="1" t="inlineStr">
        <is>
          <t xml:space="preserve">FY2023</t>
        </is>
      </c>
      <c r="C8" s="5">
        <v>95.77</v>
      </c>
      <c r="D8" s="4" t="inlineStr">
        <is>
          <t xml:space="preserve">1.07</t>
        </is>
      </c>
      <c r="E8" s="0" t="inlineStr">
        <is>
          <t xml:space="preserve">Green Book Table 5-4</t>
        </is>
      </c>
    </row>
    <row r="9" outlineLevel="1">
      <c r="B9" s="1" t="inlineStr">
        <is>
          <t xml:space="preserve">FY2024</t>
        </is>
      </c>
      <c r="C9" s="5">
        <v>97.92</v>
      </c>
      <c r="D9" s="4" t="inlineStr">
        <is>
          <t xml:space="preserve">1.04</t>
        </is>
      </c>
      <c r="E9" s="0" t="inlineStr">
        <is>
          <t xml:space="preserve">Green Book Table 5-4</t>
        </is>
      </c>
    </row>
    <row r="10" outlineLevel="1">
      <c r="B10" s="1" t="inlineStr">
        <is>
          <t xml:space="preserve">FY2025</t>
        </is>
      </c>
      <c r="C10" s="5">
        <v>100.0</v>
      </c>
      <c r="D10" s="4" t="inlineStr">
        <is>
          <t xml:space="preserve">1.02</t>
        </is>
      </c>
      <c r="E10" s="0" t="inlineStr">
        <is>
          <t xml:space="preserve">Green Book Table 5-4</t>
        </is>
      </c>
    </row>
    <row r="11" outlineLevel="1">
      <c r="B11" s="1" t="inlineStr">
        <is>
          <t xml:space="preserve">FY2026</t>
        </is>
      </c>
      <c r="C11" s="5">
        <v>102.1</v>
      </c>
      <c r="D11" s="4" t="inlineStr">
        <is>
          <t xml:space="preserve">1.00</t>
        </is>
      </c>
      <c r="E11" s="0" t="inlineStr">
        <is>
          <t xml:space="preserve">Green Book Table 5-4</t>
        </is>
      </c>
    </row>
    <row r="12" outlineLevel="1">
      <c r="B12" s="1" t="inlineStr">
        <is>
          <t xml:space="preserve">FY2027</t>
        </is>
      </c>
      <c r="C12" s="5">
        <v>104.24</v>
      </c>
      <c r="D12" s="4" t="inlineStr">
        <is>
          <t xml:space="preserve">0.98</t>
        </is>
      </c>
      <c r="E12" s="0" t="inlineStr">
        <is>
          <t xml:space="preserve">Green Book Table 5-4</t>
        </is>
      </c>
    </row>
    <row r="13" outlineLevel="1">
      <c r="B13" s="1" t="inlineStr">
        <is>
          <t xml:space="preserve">FY2028</t>
        </is>
      </c>
      <c r="C13" s="5">
        <v>106.43</v>
      </c>
      <c r="D13" s="4" t="inlineStr">
        <is>
          <t xml:space="preserve">0.96</t>
        </is>
      </c>
      <c r="E13" s="0" t="inlineStr">
        <is>
          <t xml:space="preserve">Green Book Table 5-4</t>
        </is>
      </c>
    </row>
    <row r="14" outlineLevel="1">
      <c r="B14" s="1" t="inlineStr">
        <is>
          <t xml:space="preserve">FY2029</t>
        </is>
      </c>
      <c r="C14" s="5">
        <v>108.67</v>
      </c>
      <c r="D14" s="4" t="inlineStr">
        <is>
          <t xml:space="preserve">0.94</t>
        </is>
      </c>
      <c r="E14" s="0" t="inlineStr">
        <is>
          <t xml:space="preserve">Green Book Table 5-4</t>
        </is>
      </c>
    </row>
    <row r="15" outlineLevel="1">
      <c r="B15" s="1" t="inlineStr">
        <is>
          <t xml:space="preserve">FY2030</t>
        </is>
      </c>
      <c r="C15" s="5">
        <v>110.95</v>
      </c>
      <c r="D15" s="4" t="inlineStr">
        <is>
          <t xml:space="preserve">0.92</t>
        </is>
      </c>
      <c r="E15" s="0" t="inlineStr">
        <is>
          <t xml:space="preserve">Extrapolated @ 2.1%/yr</t>
        </is>
      </c>
    </row>
    <row r="16" outlineLevel="1">
      <c r="B16" s="1" t="inlineStr">
        <is>
          <t xml:space="preserve">FY2031</t>
        </is>
      </c>
      <c r="C16" s="5">
        <v>113.28</v>
      </c>
      <c r="D16" s="4" t="inlineStr">
        <is>
          <t xml:space="preserve">0.90</t>
        </is>
      </c>
      <c r="E16" s="0" t="inlineStr">
        <is>
          <t xml:space="preserve">Extrapolated @ 2.1%/yr</t>
        </is>
      </c>
    </row>
    <row r="19">
      <c r="A19" s="0" t="inlineStr">
        <is>
          <t xml:space="preserve">x</t>
        </is>
      </c>
      <c r="B19" s="9" t="inlineStr">
        <is>
          <t xml:space="preserve">§2 - Sources</t>
        </is>
      </c>
      <c r="C19" s="9"/>
      <c r="D19" s="9"/>
      <c r="E19" s="9"/>
    </row>
    <row r="21">
      <c r="B21" s="2" t="inlineStr">
        <is>
          <t xml:space="preserve">Series</t>
        </is>
      </c>
      <c r="C21" s="2" t="inlineStr">
        <is>
          <t xml:space="preserve">Source</t>
        </is>
      </c>
    </row>
    <row r="22" outlineLevel="1">
      <c r="B22" s="1" t="inlineStr">
        <is>
          <t xml:space="preserve">Green Book Procurement TOA</t>
        </is>
      </c>
      <c r="C22" s="0" t="inlineStr">
        <is>
          <t xml:space="preserve">OSD National Defense Budget Estimates for FY2025 (Green Book), Table 5-4 Procurement TOA, FY2025=100 (pp. 58-59 / PDF pp. 65-66); rebased to FY2026=1.000</t>
        </is>
      </c>
    </row>
    <row r="23" outlineLevel="1">
      <c r="B23" s="1" t="inlineStr">
        <is>
          <t xml:space="preserve">FY2030-FY2031 outyears</t>
        </is>
      </c>
      <c r="C23" s="0" t="inlineStr">
        <is>
          <t xml:space="preserve">FY2030-FY2031 extrapolated at 2.1%/yr (Green Book Table 5-3 steady-state purchases inflation); Table 5-4 ends at FY2029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7B1F3A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4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</cols>
  <sheetData>
    <row r="1"/>
    <row r="2">
      <c r="B2" s="8" t="inlineStr">
        <is>
          <t xml:space="preserve">SCN Budget</t>
        </is>
      </c>
      <c r="C2" s="8"/>
      <c r="D2" s="8"/>
      <c r="E2" s="8"/>
      <c r="F2" s="8"/>
      <c r="G2" s="8"/>
      <c r="H2" s="8"/>
    </row>
    <row r="4">
      <c r="A4" s="0" t="inlineStr">
        <is>
          <t xml:space="preserve">x</t>
        </is>
      </c>
      <c r="B4" s="9" t="inlineStr">
        <is>
          <t xml:space="preserve">§1 - Cost categories (DDG-51 LI 2122, $M per FY)</t>
        </is>
      </c>
      <c r="C4" s="9"/>
      <c r="D4" s="9"/>
      <c r="E4" s="9"/>
      <c r="F4" s="9"/>
      <c r="G4" s="9"/>
      <c r="H4" s="9"/>
    </row>
    <row r="6">
      <c r="B6" s="2" t="inlineStr">
        <is>
          <t xml:space="preserve">Metric</t>
        </is>
      </c>
      <c r="C6" s="22">
        <v>2022</v>
      </c>
      <c r="D6" s="22">
        <v>2023</v>
      </c>
      <c r="E6" s="22">
        <v>2024</v>
      </c>
      <c r="F6" s="22">
        <v>2025</v>
      </c>
      <c r="G6" s="22">
        <v>2026</v>
      </c>
      <c r="H6" s="22">
        <v>2027</v>
      </c>
    </row>
    <row r="7" outlineLevel="1">
      <c r="B7" s="1" t="inlineStr">
        <is>
          <t xml:space="preserve">Total Ship Estimate</t>
        </is>
      </c>
      <c r="C7" s="5">
        <v>4072.882</v>
      </c>
      <c r="D7" s="5">
        <v>7949.54</v>
      </c>
      <c r="E7" s="5">
        <v>5492.33</v>
      </c>
      <c r="F7" s="5">
        <v>7858.814</v>
      </c>
      <c r="G7" s="5">
        <v>306.125</v>
      </c>
      <c r="H7" s="5">
        <v>4256.914</v>
      </c>
    </row>
    <row r="8" outlineLevel="1">
      <c r="B8" s="1" t="inlineStr">
        <is>
          <t xml:space="preserve">Plans Costs</t>
        </is>
      </c>
      <c r="C8" s="5">
        <v>86.682</v>
      </c>
      <c r="D8" s="5">
        <v>92.152</v>
      </c>
      <c r="E8" s="5">
        <v>82.697</v>
      </c>
      <c r="F8" s="5">
        <v>83.596</v>
      </c>
      <c r="G8" s="5"/>
      <c r="H8" s="5">
        <v>87.927</v>
      </c>
    </row>
    <row r="9" outlineLevel="1">
      <c r="B9" s="1" t="inlineStr">
        <is>
          <t xml:space="preserve">Electronics</t>
        </is>
      </c>
      <c r="C9" s="5">
        <v>546.096</v>
      </c>
      <c r="D9" s="5">
        <v>949.051</v>
      </c>
      <c r="E9" s="5">
        <v>619.811</v>
      </c>
      <c r="F9" s="5">
        <v>950.971</v>
      </c>
      <c r="G9" s="5">
        <v>23.521</v>
      </c>
      <c r="H9" s="5">
        <v>414.741</v>
      </c>
    </row>
    <row r="10" outlineLevel="1">
      <c r="B10" s="1" t="inlineStr">
        <is>
          <t xml:space="preserve">Ordnance</t>
        </is>
      </c>
      <c r="C10" s="5">
        <v>1161.682</v>
      </c>
      <c r="D10" s="5">
        <v>1835.479</v>
      </c>
      <c r="E10" s="5">
        <v>1187.455</v>
      </c>
      <c r="F10" s="5">
        <v>1816.641</v>
      </c>
      <c r="G10" s="5"/>
      <c r="H10" s="5">
        <v>784.486</v>
      </c>
    </row>
    <row r="11" outlineLevel="1">
      <c r="B11" s="1" t="inlineStr">
        <is>
          <t xml:space="preserve">Hull, Mechanical, Electrical (HM&amp;E; missing pre-FY24)</t>
        </is>
      </c>
      <c r="C11" s="5">
        <v>164.03</v>
      </c>
      <c r="D11" s="5">
        <v>295.732</v>
      </c>
      <c r="E11" s="5">
        <v>100.673</v>
      </c>
      <c r="F11" s="5">
        <v>154.029</v>
      </c>
      <c r="G11" s="5"/>
      <c r="H11" s="5">
        <v>66.009</v>
      </c>
    </row>
    <row r="12" outlineLevel="1">
      <c r="B12" s="1" t="inlineStr">
        <is>
          <t xml:space="preserve">Other Cost</t>
        </is>
      </c>
      <c r="C12" s="5">
        <v>76.985</v>
      </c>
      <c r="D12" s="5">
        <v>82.196</v>
      </c>
      <c r="E12" s="5">
        <v>87.684</v>
      </c>
      <c r="F12" s="5">
        <v>88.492</v>
      </c>
      <c r="G12" s="5"/>
      <c r="H12" s="5">
        <v>89.974</v>
      </c>
    </row>
    <row r="13" outlineLevel="1">
      <c r="B13" s="1" t="inlineStr">
        <is>
          <t xml:space="preserve">GFE Sum (Electronics + Ordnance)</t>
        </is>
      </c>
      <c r="C13" s="5">
        <v>1707.778</v>
      </c>
      <c r="D13" s="5">
        <v>2784.53</v>
      </c>
      <c r="E13" s="5">
        <v>1807.266</v>
      </c>
      <c r="F13" s="5">
        <v>2767.612</v>
      </c>
      <c r="G13" s="5">
        <v>23.521</v>
      </c>
      <c r="H13" s="5">
        <v>1199.227</v>
      </c>
    </row>
    <row r="14" outlineLevel="1">
      <c r="B14" s="1" t="inlineStr">
        <is>
          <t xml:space="preserve">Change Orders</t>
        </is>
      </c>
      <c r="C14" s="5">
        <v>77.417</v>
      </c>
      <c r="D14" s="5">
        <v>136.767</v>
      </c>
      <c r="E14" s="5">
        <v>91.552</v>
      </c>
      <c r="F14" s="5">
        <v>136.872</v>
      </c>
      <c r="G14" s="5"/>
      <c r="H14" s="5">
        <v>94.222</v>
      </c>
    </row>
    <row r="15" outlineLevel="1">
      <c r="B15" s="1" t="inlineStr">
        <is>
          <t xml:space="preserve">Basic Construction (BC base -&gt; TAM Build)</t>
        </is>
      </c>
      <c r="C15" s="5">
        <v>1959.99</v>
      </c>
      <c r="D15" s="5">
        <v>4558.163</v>
      </c>
      <c r="E15" s="5">
        <v>3322.458</v>
      </c>
      <c r="F15" s="5">
        <v>4628.213</v>
      </c>
      <c r="G15" s="5">
        <v>282.604</v>
      </c>
      <c r="H15" s="5">
        <v>2719.555</v>
      </c>
    </row>
    <row r="16" outlineLevel="1">
      <c r="B16" s="0" t="inlineStr">
        <is>
          <t xml:space="preserve">FY2026 is discretionary-only; the two FY2026 ships (DDG 147/149) are funded via OBBBA Sec. 20002(17) (see OBBBA Mandatory tab).</t>
        </is>
      </c>
    </row>
    <row r="19">
      <c r="A19" s="0" t="inlineStr">
        <is>
          <t xml:space="preserve">x</t>
        </is>
      </c>
      <c r="B19" s="10" t="inlineStr">
        <is>
          <t xml:space="preserve">§1b - Constant FY2026 $M (then-year x deflator)</t>
        </is>
      </c>
      <c r="C19" s="10"/>
      <c r="D19" s="10"/>
      <c r="E19" s="10"/>
      <c r="F19" s="10"/>
      <c r="G19" s="10"/>
      <c r="H19" s="10"/>
    </row>
    <row r="21">
      <c r="B21" s="2" t="inlineStr">
        <is>
          <t xml:space="preserve">Metric</t>
        </is>
      </c>
      <c r="C21" s="22">
        <v>2022</v>
      </c>
      <c r="D21" s="22">
        <v>2023</v>
      </c>
      <c r="E21" s="22">
        <v>2024</v>
      </c>
      <c r="F21" s="22">
        <v>2025</v>
      </c>
      <c r="G21" s="22">
        <v>2026</v>
      </c>
      <c r="H21" s="22">
        <v>2027</v>
      </c>
    </row>
    <row r="22" outlineLevel="1">
      <c r="B22" s="1" t="inlineStr">
        <is>
          <t xml:space="preserve">Total Ship Estimate</t>
        </is>
      </c>
      <c r="C22" s="11">
        <f>C7*'Deflators'!D7</f>
      </c>
      <c r="D22" s="11">
        <f>D7*'Deflators'!D8</f>
      </c>
      <c r="E22" s="11">
        <f>E7*'Deflators'!D9</f>
      </c>
      <c r="F22" s="11">
        <f>F7*'Deflators'!D10</f>
      </c>
      <c r="G22" s="11">
        <f>G7*'Deflators'!D11</f>
      </c>
      <c r="H22" s="11">
        <f>H7*'Deflators'!D12</f>
      </c>
    </row>
    <row r="23" outlineLevel="1">
      <c r="B23" s="1" t="inlineStr">
        <is>
          <t xml:space="preserve">Plans Costs</t>
        </is>
      </c>
      <c r="C23" s="11">
        <f>C8*'Deflators'!D7</f>
      </c>
      <c r="D23" s="11">
        <f>D8*'Deflators'!D8</f>
      </c>
      <c r="E23" s="11">
        <f>E8*'Deflators'!D9</f>
      </c>
      <c r="F23" s="11">
        <f>F8*'Deflators'!D10</f>
      </c>
      <c r="G23" s="11">
        <f>G8*'Deflators'!D11</f>
      </c>
      <c r="H23" s="11">
        <f>H8*'Deflators'!D12</f>
      </c>
    </row>
    <row r="24" outlineLevel="1">
      <c r="B24" s="1" t="inlineStr">
        <is>
          <t xml:space="preserve">Electronics</t>
        </is>
      </c>
      <c r="C24" s="11">
        <f>C9*'Deflators'!D7</f>
      </c>
      <c r="D24" s="11">
        <f>D9*'Deflators'!D8</f>
      </c>
      <c r="E24" s="11">
        <f>E9*'Deflators'!D9</f>
      </c>
      <c r="F24" s="11">
        <f>F9*'Deflators'!D10</f>
      </c>
      <c r="G24" s="11">
        <f>G9*'Deflators'!D11</f>
      </c>
      <c r="H24" s="11">
        <f>H9*'Deflators'!D12</f>
      </c>
    </row>
    <row r="25" outlineLevel="1">
      <c r="B25" s="1" t="inlineStr">
        <is>
          <t xml:space="preserve">Ordnance</t>
        </is>
      </c>
      <c r="C25" s="11">
        <f>C10*'Deflators'!D7</f>
      </c>
      <c r="D25" s="11">
        <f>D10*'Deflators'!D8</f>
      </c>
      <c r="E25" s="11">
        <f>E10*'Deflators'!D9</f>
      </c>
      <c r="F25" s="11">
        <f>F10*'Deflators'!D10</f>
      </c>
      <c r="G25" s="11">
        <f>G10*'Deflators'!D11</f>
      </c>
      <c r="H25" s="11">
        <f>H10*'Deflators'!D12</f>
      </c>
    </row>
    <row r="26" outlineLevel="1">
      <c r="B26" s="1" t="inlineStr">
        <is>
          <t xml:space="preserve">Hull, Mechanical, Electrical (HM&amp;E)</t>
        </is>
      </c>
      <c r="C26" s="11">
        <f>C11*'Deflators'!D7</f>
      </c>
      <c r="D26" s="11">
        <f>D11*'Deflators'!D8</f>
      </c>
      <c r="E26" s="11">
        <f>E11*'Deflators'!D9</f>
      </c>
      <c r="F26" s="11">
        <f>F11*'Deflators'!D10</f>
      </c>
      <c r="G26" s="11">
        <f>G11*'Deflators'!D11</f>
      </c>
      <c r="H26" s="11">
        <f>H11*'Deflators'!D12</f>
      </c>
    </row>
    <row r="27" outlineLevel="1">
      <c r="B27" s="1" t="inlineStr">
        <is>
          <t xml:space="preserve">Other Cost</t>
        </is>
      </c>
      <c r="C27" s="11">
        <f>C12*'Deflators'!D7</f>
      </c>
      <c r="D27" s="11">
        <f>D12*'Deflators'!D8</f>
      </c>
      <c r="E27" s="11">
        <f>E12*'Deflators'!D9</f>
      </c>
      <c r="F27" s="11">
        <f>F12*'Deflators'!D10</f>
      </c>
      <c r="G27" s="11">
        <f>G12*'Deflators'!D11</f>
      </c>
      <c r="H27" s="11">
        <f>H12*'Deflators'!D12</f>
      </c>
    </row>
    <row r="28" outlineLevel="1">
      <c r="B28" s="1" t="inlineStr">
        <is>
          <t xml:space="preserve">GFE Sum (Electronics + Ordnance)</t>
        </is>
      </c>
      <c r="C28" s="11">
        <f>C13*'Deflators'!D7</f>
      </c>
      <c r="D28" s="11">
        <f>D13*'Deflators'!D8</f>
      </c>
      <c r="E28" s="11">
        <f>E13*'Deflators'!D9</f>
      </c>
      <c r="F28" s="11">
        <f>F13*'Deflators'!D10</f>
      </c>
      <c r="G28" s="11">
        <f>G13*'Deflators'!D11</f>
      </c>
      <c r="H28" s="11">
        <f>H13*'Deflators'!D12</f>
      </c>
    </row>
    <row r="29" outlineLevel="1">
      <c r="B29" s="1" t="inlineStr">
        <is>
          <t xml:space="preserve">Change Orders</t>
        </is>
      </c>
      <c r="C29" s="11">
        <f>C14*'Deflators'!D7</f>
      </c>
      <c r="D29" s="11">
        <f>D14*'Deflators'!D8</f>
      </c>
      <c r="E29" s="11">
        <f>E14*'Deflators'!D9</f>
      </c>
      <c r="F29" s="11">
        <f>F14*'Deflators'!D10</f>
      </c>
      <c r="G29" s="11">
        <f>G14*'Deflators'!D11</f>
      </c>
      <c r="H29" s="11">
        <f>H14*'Deflators'!D12</f>
      </c>
    </row>
    <row r="30" outlineLevel="1">
      <c r="B30" s="1" t="inlineStr">
        <is>
          <t xml:space="preserve">Basic Construction (BC base -&gt; TAM Build)</t>
        </is>
      </c>
      <c r="C30" s="11">
        <f>C15*'Deflators'!D7</f>
      </c>
      <c r="D30" s="11">
        <f>D15*'Deflators'!D8</f>
      </c>
      <c r="E30" s="11">
        <f>E15*'Deflators'!D9</f>
      </c>
      <c r="F30" s="11">
        <f>F15*'Deflators'!D10</f>
      </c>
      <c r="G30" s="11">
        <f>G15*'Deflators'!D11</f>
      </c>
      <c r="H30" s="11">
        <f>H15*'Deflators'!D12</f>
      </c>
    </row>
    <row r="33">
      <c r="A33" s="0" t="inlineStr">
        <is>
          <t xml:space="preserve">x</t>
        </is>
      </c>
      <c r="B33" s="9" t="inlineStr">
        <is>
          <t xml:space="preserve">§2 - Derived ratios</t>
        </is>
      </c>
      <c r="C33" s="9"/>
      <c r="D33" s="9"/>
      <c r="E33" s="9"/>
      <c r="F33" s="9"/>
      <c r="G33" s="9"/>
      <c r="H33" s="9"/>
    </row>
    <row r="35">
      <c r="B35" s="2" t="inlineStr">
        <is>
          <t xml:space="preserve">Ratio</t>
        </is>
      </c>
      <c r="C35" s="22">
        <v>2022</v>
      </c>
      <c r="D35" s="22">
        <v>2023</v>
      </c>
      <c r="E35" s="22">
        <v>2024</v>
      </c>
      <c r="F35" s="22">
        <v>2025</v>
      </c>
      <c r="G35" s="22">
        <v>2026</v>
      </c>
      <c r="H35" s="22">
        <v>2027</v>
      </c>
    </row>
    <row r="36" outlineLevel="1">
      <c r="B36" s="1" t="inlineStr">
        <is>
          <t xml:space="preserve">BC % of Total</t>
        </is>
      </c>
      <c r="C36" s="6">
        <f>IF(C22=0,"",C30/C22)</f>
      </c>
      <c r="D36" s="6">
        <f>IF(D22=0,"",D30/D22)</f>
      </c>
      <c r="E36" s="6">
        <f>IF(E22=0,"",E30/E22)</f>
      </c>
      <c r="F36" s="6">
        <f>IF(F22=0,"",F30/F22)</f>
      </c>
      <c r="G36" s="6">
        <f>IF(G22=0,"",G30/G22)</f>
      </c>
      <c r="H36" s="6">
        <f>IF(H22=0,"",H30/H22)</f>
      </c>
    </row>
    <row r="37" outlineLevel="1">
      <c r="B37" s="1" t="inlineStr">
        <is>
          <t xml:space="preserve">GFE % of Total</t>
        </is>
      </c>
      <c r="C37" s="6">
        <f>IF(C22=0,"",C28/C22)</f>
      </c>
      <c r="D37" s="6">
        <f>IF(D22=0,"",D28/D22)</f>
      </c>
      <c r="E37" s="6">
        <f>IF(E22=0,"",E28/E22)</f>
      </c>
      <c r="F37" s="6">
        <f>IF(F22=0,"",F28/F22)</f>
      </c>
      <c r="G37" s="6">
        <f>IF(G22=0,"",G28/G22)</f>
      </c>
      <c r="H37" s="6">
        <f>IF(H22=0,"",H28/H22)</f>
      </c>
    </row>
    <row r="40">
      <c r="A40" s="0" t="inlineStr">
        <is>
          <t xml:space="preserve">x</t>
        </is>
      </c>
      <c r="B40" s="9" t="inlineStr">
        <is>
          <t xml:space="preserve">§3 - Portfolio cost funnel (FY2022-FY2027 cumulative, $M)</t>
        </is>
      </c>
      <c r="C40" s="9"/>
      <c r="D40" s="9"/>
      <c r="E40" s="9"/>
      <c r="F40" s="9"/>
      <c r="G40" s="9"/>
      <c r="H40" s="9"/>
    </row>
    <row r="42">
      <c r="B42" s="2" t="inlineStr">
        <is>
          <t xml:space="preserve">Metric</t>
        </is>
      </c>
      <c r="C42" s="22" t="inlineStr">
        <is>
          <t xml:space="preserve">FY2022-FY2027</t>
        </is>
      </c>
    </row>
    <row r="43" outlineLevel="1">
      <c r="B43" s="1" t="inlineStr">
        <is>
          <t xml:space="preserve">Total ship estimate</t>
        </is>
      </c>
      <c r="C43" s="4">
        <f>SUM(C22:H22)</f>
      </c>
    </row>
    <row r="44" outlineLevel="1">
      <c r="B44" s="0" t="inlineStr">
        <is>
          <t xml:space="preserve">Less GFE / directed equipment</t>
        </is>
      </c>
      <c r="C44" s="4">
        <f>SUM(C28:H28)</f>
      </c>
    </row>
    <row r="45" outlineLevel="1">
      <c r="B45" s="0" t="inlineStr">
        <is>
          <t xml:space="preserve">Less other non-BC categories</t>
        </is>
      </c>
      <c r="C45" s="4">
        <f>C43-C44-SUM(C30:H30)</f>
      </c>
    </row>
    <row r="46" outlineLevel="1">
      <c r="B46" s="1" t="inlineStr">
        <is>
          <t xml:space="preserve">Basic Construction base</t>
        </is>
      </c>
      <c r="C46" s="4">
        <f>SUM(C30:H30)</f>
      </c>
    </row>
    <row r="47" outlineLevel="1">
      <c r="B47" s="0" t="inlineStr">
        <is>
          <t xml:space="preserve">BC % of Total</t>
        </is>
      </c>
      <c r="C47" s="6">
        <f>IF(C43=0,"",C46/C43)</f>
      </c>
    </row>
    <row r="48" outlineLevel="1">
      <c r="B48" s="0" t="inlineStr">
        <is>
          <t xml:space="preserve">GFE % of Total</t>
        </is>
      </c>
      <c r="C48" s="6">
        <f>IF(C43=0,"",C44/C43)</f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7B1F3A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4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</cols>
  <sheetData>
    <row r="1"/>
    <row r="2">
      <c r="B2" s="8" t="inlineStr">
        <is>
          <t xml:space="preserve">OBBBA Mandatory</t>
        </is>
      </c>
      <c r="C2" s="8"/>
      <c r="D2" s="8"/>
      <c r="E2" s="8"/>
      <c r="F2" s="8"/>
      <c r="G2" s="8"/>
      <c r="H2" s="8"/>
    </row>
    <row r="4">
      <c r="A4" s="0" t="inlineStr">
        <is>
          <t xml:space="preserve">x</t>
        </is>
      </c>
      <c r="B4" s="9" t="inlineStr">
        <is>
          <t xml:space="preserve">§1 - Source line (OBBBA Sec. 20002, line 17)</t>
        </is>
      </c>
      <c r="C4" s="9"/>
      <c r="D4" s="9"/>
      <c r="E4" s="9"/>
      <c r="F4" s="9"/>
      <c r="G4" s="9"/>
      <c r="H4" s="9"/>
    </row>
    <row r="6">
      <c r="B6" s="2" t="inlineStr">
        <is>
          <t xml:space="preserve">Field</t>
        </is>
      </c>
      <c r="C6" s="2" t="inlineStr">
        <is>
          <t xml:space="preserve">Value</t>
        </is>
      </c>
    </row>
    <row r="7" outlineLevel="1">
      <c r="B7" s="0" t="inlineStr">
        <is>
          <t xml:space="preserve">Authority</t>
        </is>
      </c>
      <c r="C7" s="0" t="inlineStr">
        <is>
          <t xml:space="preserve">PL 119-21 Title II (OBBBA), Sec. 20002 Shipbuilding, line 17</t>
        </is>
      </c>
    </row>
    <row r="8" outlineLevel="1">
      <c r="B8" s="0" t="inlineStr">
        <is>
          <t xml:space="preserve">Title</t>
        </is>
      </c>
      <c r="C8" s="0" t="inlineStr">
        <is>
          <t xml:space="preserve">Two additional Guided Missile Destroyer (DDG) ships</t>
        </is>
      </c>
    </row>
    <row r="9" outlineLevel="1">
      <c r="B9" s="0" t="inlineStr">
        <is>
          <t xml:space="preserve">Program</t>
        </is>
      </c>
      <c r="C9" s="0" t="inlineStr">
        <is>
          <t xml:space="preserve">DDG-51 Arleigh Burke (LI 2122) - DDG 147 / DDG 149</t>
        </is>
      </c>
    </row>
    <row r="10" outlineLevel="1">
      <c r="B10" s="0" t="inlineStr">
        <is>
          <t xml:space="preserve">Funding type</t>
        </is>
      </c>
      <c r="C10" s="0" t="inlineStr">
        <is>
          <t xml:space="preserve">Mandatory appropriation (reconciliation)</t>
        </is>
      </c>
    </row>
    <row r="11" outlineLevel="1">
      <c r="B11" s="0" t="inlineStr">
        <is>
          <t xml:space="preserve">Scope</t>
        </is>
      </c>
      <c r="C11" s="0" t="inlineStr">
        <is>
          <t xml:space="preserve">Basic construction and government furnished equipment (no source breakout)</t>
        </is>
      </c>
    </row>
    <row r="12" outlineLevel="1">
      <c r="B12" s="0" t="inlineStr">
        <is>
          <t xml:space="preserve">Award timing</t>
        </is>
      </c>
      <c r="C12" s="0" t="inlineStr">
        <is>
          <t xml:space="preserve">Starting Q2 FY2026, under the current MYP contract</t>
        </is>
      </c>
    </row>
    <row r="13" outlineLevel="1">
      <c r="B13" s="0" t="inlineStr">
        <is>
          <t xml:space="preserve">Obligation availability</t>
        </is>
      </c>
      <c r="C13" s="0" t="inlineStr">
        <is>
          <t xml:space="preserve">Through 2029-09-30</t>
        </is>
      </c>
    </row>
    <row r="14" outlineLevel="1">
      <c r="B14" s="0" t="inlineStr">
        <is>
          <t xml:space="preserve">Booking basis</t>
        </is>
      </c>
      <c r="C14" s="0" t="inlineStr">
        <is>
          <t xml:space="preserve">Budget-year (all in FY2026)</t>
        </is>
      </c>
    </row>
    <row r="16">
      <c r="B16" s="2" t="inlineStr">
        <is>
          <t xml:space="preserve">Metric</t>
        </is>
      </c>
      <c r="C16" s="22">
        <v>2022</v>
      </c>
      <c r="D16" s="22">
        <v>2023</v>
      </c>
      <c r="E16" s="22">
        <v>2024</v>
      </c>
      <c r="F16" s="22">
        <v>2025</v>
      </c>
      <c r="G16" s="22">
        <v>2026</v>
      </c>
      <c r="H16" s="22">
        <v>2027</v>
      </c>
    </row>
    <row r="17" outlineLevel="1">
      <c r="B17" s="1" t="inlineStr">
        <is>
          <t xml:space="preserve">Sec. 20002(17) award, then-year $M</t>
        </is>
      </c>
      <c r="C17" s="5">
        <v>0</v>
      </c>
      <c r="D17" s="5">
        <v>0</v>
      </c>
      <c r="E17" s="5">
        <v>0</v>
      </c>
      <c r="F17" s="5">
        <v>0</v>
      </c>
      <c r="G17" s="5">
        <v>5400.0</v>
      </c>
      <c r="H17" s="5">
        <v>0</v>
      </c>
    </row>
    <row r="20">
      <c r="A20" s="0" t="inlineStr">
        <is>
          <t xml:space="preserve">x</t>
        </is>
      </c>
      <c r="B20" s="10" t="inlineStr">
        <is>
          <t xml:space="preserve">§1b - Constant FY2026 $M (then-year x deflator)</t>
        </is>
      </c>
      <c r="C20" s="10"/>
      <c r="D20" s="10"/>
      <c r="E20" s="10"/>
      <c r="F20" s="10"/>
      <c r="G20" s="10"/>
      <c r="H20" s="10"/>
    </row>
    <row r="22">
      <c r="B22" s="2" t="inlineStr">
        <is>
          <t xml:space="preserve">Metric</t>
        </is>
      </c>
      <c r="C22" s="22">
        <v>2022</v>
      </c>
      <c r="D22" s="22">
        <v>2023</v>
      </c>
      <c r="E22" s="22">
        <v>2024</v>
      </c>
      <c r="F22" s="22">
        <v>2025</v>
      </c>
      <c r="G22" s="22">
        <v>2026</v>
      </c>
      <c r="H22" s="22">
        <v>2027</v>
      </c>
    </row>
    <row r="23" outlineLevel="1">
      <c r="B23" s="1" t="inlineStr">
        <is>
          <t xml:space="preserve">Sec. 20002(17) award, constant FY2026 $M</t>
        </is>
      </c>
      <c r="C23" s="11">
        <f>C17*'Deflators'!D7</f>
      </c>
      <c r="D23" s="11">
        <f>D17*'Deflators'!D8</f>
      </c>
      <c r="E23" s="11">
        <f>E17*'Deflators'!D9</f>
      </c>
      <c r="F23" s="11">
        <f>F17*'Deflators'!D10</f>
      </c>
      <c r="G23" s="11">
        <f>G17*'Deflators'!D11</f>
      </c>
      <c r="H23" s="11">
        <f>H17*'Deflators'!D12</f>
      </c>
    </row>
    <row r="26">
      <c r="A26" s="0" t="inlineStr">
        <is>
          <t xml:space="preserve">x</t>
        </is>
      </c>
      <c r="B26" s="9" t="inlineStr">
        <is>
          <t xml:space="preserve">§2 - BC/GFE bridge</t>
        </is>
      </c>
      <c r="C26" s="9"/>
      <c r="D26" s="9"/>
      <c r="E26" s="9"/>
      <c r="F26" s="9"/>
      <c r="G26" s="9"/>
      <c r="H26" s="9"/>
    </row>
    <row r="28">
      <c r="B28" s="2" t="inlineStr">
        <is>
          <t xml:space="preserve">Metric</t>
        </is>
      </c>
      <c r="C28" s="22">
        <v>2022</v>
      </c>
      <c r="D28" s="22">
        <v>2023</v>
      </c>
      <c r="E28" s="22">
        <v>2024</v>
      </c>
      <c r="F28" s="22">
        <v>2025</v>
      </c>
      <c r="G28" s="22">
        <v>2026</v>
      </c>
      <c r="H28" s="22">
        <v>2027</v>
      </c>
    </row>
    <row r="29" outlineLevel="1">
      <c r="B29" s="1" t="inlineStr">
        <is>
          <t xml:space="preserve">OBBBA BC base ($M, constant FY2026)</t>
        </is>
      </c>
      <c r="C29" s="4">
        <f>IF(C23=0,"",C23*'Assumptions'!C43)</f>
      </c>
      <c r="D29" s="4">
        <f>IF(D23=0,"",D23*'Assumptions'!C43)</f>
      </c>
      <c r="E29" s="4">
        <f>IF(E23=0,"",E23*'Assumptions'!C43)</f>
      </c>
      <c r="F29" s="4">
        <f>IF(F23=0,"",F23*'Assumptions'!C43)</f>
      </c>
      <c r="G29" s="4">
        <f>IF(G23=0,"",G23*'Assumptions'!C43)</f>
      </c>
      <c r="H29" s="4">
        <f>IF(H23=0,"",H23*'Assumptions'!C43)</f>
      </c>
    </row>
    <row r="30" outlineLevel="1">
      <c r="B30" s="0" t="inlineStr">
        <is>
          <t xml:space="preserve">GFE / non-BC remainder ($M; excluded from TAM)</t>
        </is>
      </c>
      <c r="C30" s="4">
        <f>IF(C23=0,"",C23-N(C29))</f>
      </c>
      <c r="D30" s="4">
        <f>IF(D23=0,"",D23-N(D29))</f>
      </c>
      <c r="E30" s="4">
        <f>IF(E23=0,"",E23-N(E29))</f>
      </c>
      <c r="F30" s="4">
        <f>IF(F23=0,"",F23-N(F29))</f>
      </c>
      <c r="G30" s="4">
        <f>IF(G23=0,"",G23-N(G29))</f>
      </c>
      <c r="H30" s="4">
        <f>IF(H23=0,"",H23-N(H29))</f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7B1F3A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26" customWidth="1"/>
    <col min="3" max="3" width="18" customWidth="1"/>
    <col min="4" max="4" width="8" customWidth="1"/>
    <col min="5" max="5" width="20" customWidth="1"/>
    <col min="6" max="6" width="20" customWidth="1"/>
    <col min="7" max="7" width="16" customWidth="1"/>
  </cols>
  <sheetData>
    <row r="1"/>
    <row r="2">
      <c r="B2" s="8" t="inlineStr">
        <is>
          <t xml:space="preserve">Production Schedule</t>
        </is>
      </c>
      <c r="C2" s="8"/>
      <c r="D2" s="8"/>
      <c r="E2" s="8"/>
      <c r="F2" s="8"/>
      <c r="G2" s="8"/>
    </row>
    <row r="4">
      <c r="A4" s="0" t="inlineStr">
        <is>
          <t xml:space="preserve">x</t>
        </is>
      </c>
      <c r="B4" s="9" t="inlineStr">
        <is>
          <t xml:space="preserve">§1 - Hull schedule (hull -&gt; yard -&gt; FY)</t>
        </is>
      </c>
      <c r="C4" s="9"/>
      <c r="D4" s="9"/>
      <c r="E4" s="9"/>
      <c r="F4" s="9"/>
      <c r="G4" s="9"/>
    </row>
    <row r="6">
      <c r="B6" s="2" t="inlineStr">
        <is>
          <t xml:space="preserve">Ship</t>
        </is>
      </c>
      <c r="C6" s="2" t="inlineStr">
        <is>
          <t xml:space="preserve">Shipbuilder</t>
        </is>
      </c>
      <c r="D6" s="2" t="inlineStr">
        <is>
          <t xml:space="preserve">FY</t>
        </is>
      </c>
      <c r="E6" s="2" t="inlineStr">
        <is>
          <t xml:space="preserve">Contract award</t>
        </is>
      </c>
      <c r="F6" s="2" t="inlineStr">
        <is>
          <t xml:space="preserve">Start construction</t>
        </is>
      </c>
      <c r="G6" s="2" t="inlineStr">
        <is>
          <t xml:space="preserve">Delivery</t>
        </is>
      </c>
    </row>
    <row r="7" outlineLevel="1">
      <c r="B7" s="0" t="inlineStr">
        <is>
          <t xml:space="preserve">DDG 127</t>
        </is>
      </c>
      <c r="C7" s="0" t="inlineStr">
        <is>
          <t xml:space="preserve">Bath Iron Works</t>
        </is>
      </c>
      <c r="D7" s="0" t="inlineStr">
        <is>
          <t xml:space="preserve">2016</t>
        </is>
      </c>
      <c r="E7" s="0" t="inlineStr">
        <is>
          <t xml:space="preserve">Sep 2017</t>
        </is>
      </c>
      <c r="F7" s="0" t="inlineStr">
        <is>
          <t xml:space="preserve">Apr 2019</t>
        </is>
      </c>
      <c r="G7" s="0" t="inlineStr">
        <is>
          <t xml:space="preserve">Sep 2026</t>
        </is>
      </c>
    </row>
    <row r="8" outlineLevel="1">
      <c r="B8" s="0" t="inlineStr">
        <is>
          <t xml:space="preserve">DDG 126</t>
        </is>
      </c>
      <c r="C8" s="0" t="inlineStr">
        <is>
          <t xml:space="preserve">Bath Iron Works</t>
        </is>
      </c>
      <c r="D8" s="0" t="inlineStr">
        <is>
          <t xml:space="preserve">2017</t>
        </is>
      </c>
      <c r="E8" s="0" t="inlineStr">
        <is>
          <t xml:space="preserve">Jun 2013</t>
        </is>
      </c>
      <c r="F8" s="0" t="inlineStr">
        <is>
          <t xml:space="preserve">Mar 2020</t>
        </is>
      </c>
      <c r="G8" s="0" t="inlineStr">
        <is>
          <t xml:space="preserve">Sep 2027</t>
        </is>
      </c>
    </row>
    <row r="9" outlineLevel="1">
      <c r="B9" s="0" t="inlineStr">
        <is>
          <t xml:space="preserve">DDG 129</t>
        </is>
      </c>
      <c r="C9" s="0" t="inlineStr">
        <is>
          <t xml:space="preserve">Huntington Ingalls Industries</t>
        </is>
      </c>
      <c r="D9" s="0" t="inlineStr">
        <is>
          <t xml:space="preserve">2018</t>
        </is>
      </c>
      <c r="E9" s="0" t="inlineStr">
        <is>
          <t xml:space="preserve">Sep 2018</t>
        </is>
      </c>
      <c r="F9" s="0" t="inlineStr">
        <is>
          <t xml:space="preserve">Jan 2021</t>
        </is>
      </c>
      <c r="G9" s="0" t="inlineStr">
        <is>
          <t xml:space="preserve">Aug 2027</t>
        </is>
      </c>
    </row>
    <row r="10" outlineLevel="1">
      <c r="B10" s="0" t="inlineStr">
        <is>
          <t xml:space="preserve">DDG 130</t>
        </is>
      </c>
      <c r="C10" s="0" t="inlineStr">
        <is>
          <t xml:space="preserve">Bath Iron Works</t>
        </is>
      </c>
      <c r="D10" s="0" t="inlineStr">
        <is>
          <t xml:space="preserve">2019</t>
        </is>
      </c>
      <c r="E10" s="0" t="inlineStr">
        <is>
          <t xml:space="preserve">Sep 2018</t>
        </is>
      </c>
      <c r="F10" s="0" t="inlineStr">
        <is>
          <t xml:space="preserve">May 2021</t>
        </is>
      </c>
      <c r="G10" s="0" t="inlineStr">
        <is>
          <t xml:space="preserve">Nov 2028</t>
        </is>
      </c>
    </row>
    <row r="11" outlineLevel="1">
      <c r="B11" s="0" t="inlineStr">
        <is>
          <t xml:space="preserve">DDG 131</t>
        </is>
      </c>
      <c r="C11" s="0" t="inlineStr">
        <is>
          <t xml:space="preserve">Huntington Ingalls Industries</t>
        </is>
      </c>
      <c r="D11" s="0" t="inlineStr">
        <is>
          <t xml:space="preserve">2019</t>
        </is>
      </c>
      <c r="E11" s="0" t="inlineStr">
        <is>
          <t xml:space="preserve">Sep 2018</t>
        </is>
      </c>
      <c r="F11" s="0" t="inlineStr">
        <is>
          <t xml:space="preserve">Nov 2021</t>
        </is>
      </c>
      <c r="G11" s="0" t="inlineStr">
        <is>
          <t xml:space="preserve">Nov 2028</t>
        </is>
      </c>
    </row>
    <row r="12" outlineLevel="1">
      <c r="B12" s="0" t="inlineStr">
        <is>
          <t xml:space="preserve">DDG 132</t>
        </is>
      </c>
      <c r="C12" s="0" t="inlineStr">
        <is>
          <t xml:space="preserve">Bath Iron Works</t>
        </is>
      </c>
      <c r="D12" s="0" t="inlineStr">
        <is>
          <t xml:space="preserve">2019</t>
        </is>
      </c>
      <c r="E12" s="0" t="inlineStr">
        <is>
          <t xml:space="preserve">Dec 2018</t>
        </is>
      </c>
      <c r="F12" s="0" t="inlineStr">
        <is>
          <t xml:space="preserve">Feb 2022</t>
        </is>
      </c>
      <c r="G12" s="0" t="inlineStr">
        <is>
          <t xml:space="preserve">Sep 2029</t>
        </is>
      </c>
    </row>
    <row r="13" outlineLevel="1">
      <c r="B13" s="0" t="inlineStr">
        <is>
          <t xml:space="preserve">DDG 133</t>
        </is>
      </c>
      <c r="C13" s="0" t="inlineStr">
        <is>
          <t xml:space="preserve">Huntington Ingalls Industries</t>
        </is>
      </c>
      <c r="D13" s="0" t="inlineStr">
        <is>
          <t xml:space="preserve">2020</t>
        </is>
      </c>
      <c r="E13" s="0" t="inlineStr">
        <is>
          <t xml:space="preserve">Sep 2018</t>
        </is>
      </c>
      <c r="F13" s="0" t="inlineStr">
        <is>
          <t xml:space="preserve">Dec 2022</t>
        </is>
      </c>
      <c r="G13" s="0" t="inlineStr">
        <is>
          <t xml:space="preserve">Feb 2030</t>
        </is>
      </c>
    </row>
    <row r="14" outlineLevel="1">
      <c r="B14" s="0" t="inlineStr">
        <is>
          <t xml:space="preserve">DDG 134</t>
        </is>
      </c>
      <c r="C14" s="0" t="inlineStr">
        <is>
          <t xml:space="preserve">Bath Iron Works</t>
        </is>
      </c>
      <c r="D14" s="0" t="inlineStr">
        <is>
          <t xml:space="preserve">2020</t>
        </is>
      </c>
      <c r="E14" s="0" t="inlineStr">
        <is>
          <t xml:space="preserve">Sep 2018</t>
        </is>
      </c>
      <c r="F14" s="0" t="inlineStr">
        <is>
          <t xml:space="preserve">Nov 2023</t>
        </is>
      </c>
      <c r="G14" s="0" t="inlineStr">
        <is>
          <t xml:space="preserve">Oct 2030</t>
        </is>
      </c>
    </row>
    <row r="15" outlineLevel="1">
      <c r="B15" s="0" t="inlineStr">
        <is>
          <t xml:space="preserve">DDG 135</t>
        </is>
      </c>
      <c r="C15" s="0" t="inlineStr">
        <is>
          <t xml:space="preserve">Huntington Ingalls Industries</t>
        </is>
      </c>
      <c r="D15" s="0" t="inlineStr">
        <is>
          <t xml:space="preserve">2020</t>
        </is>
      </c>
      <c r="E15" s="0" t="inlineStr">
        <is>
          <t xml:space="preserve">Jun 2020</t>
        </is>
      </c>
      <c r="F15" s="0" t="inlineStr">
        <is>
          <t xml:space="preserve">Nov 2023</t>
        </is>
      </c>
      <c r="G15" s="0" t="inlineStr">
        <is>
          <t xml:space="preserve">Feb 2031</t>
        </is>
      </c>
    </row>
    <row r="16" outlineLevel="1">
      <c r="B16" s="0" t="inlineStr">
        <is>
          <t xml:space="preserve">DDG 136</t>
        </is>
      </c>
      <c r="C16" s="0" t="inlineStr">
        <is>
          <t xml:space="preserve">Bath Iron Works</t>
        </is>
      </c>
      <c r="D16" s="0" t="inlineStr">
        <is>
          <t xml:space="preserve">2021</t>
        </is>
      </c>
      <c r="E16" s="0" t="inlineStr">
        <is>
          <t xml:space="preserve">Sep 2018</t>
        </is>
      </c>
      <c r="F16" s="0" t="inlineStr">
        <is>
          <t xml:space="preserve">Apr 2024</t>
        </is>
      </c>
      <c r="G16" s="0" t="inlineStr">
        <is>
          <t xml:space="preserve">Jun 2031</t>
        </is>
      </c>
    </row>
    <row r="17" outlineLevel="1">
      <c r="B17" s="0" t="inlineStr">
        <is>
          <t xml:space="preserve">DDG 137</t>
        </is>
      </c>
      <c r="C17" s="0" t="inlineStr">
        <is>
          <t xml:space="preserve">Huntington Ingalls Industries</t>
        </is>
      </c>
      <c r="D17" s="0" t="inlineStr">
        <is>
          <t xml:space="preserve">2021</t>
        </is>
      </c>
      <c r="E17" s="0" t="inlineStr">
        <is>
          <t xml:space="preserve">Sep 2018</t>
        </is>
      </c>
      <c r="F17" s="0" t="inlineStr">
        <is>
          <t xml:space="preserve">Mar 2026</t>
        </is>
      </c>
      <c r="G17" s="0" t="inlineStr">
        <is>
          <t xml:space="preserve">Feb 2032</t>
        </is>
      </c>
    </row>
    <row r="18" outlineLevel="1">
      <c r="B18" s="0" t="inlineStr">
        <is>
          <t xml:space="preserve">DDG 138</t>
        </is>
      </c>
      <c r="C18" s="0" t="inlineStr">
        <is>
          <t xml:space="preserve">Bath Iron Works</t>
        </is>
      </c>
      <c r="D18" s="0" t="inlineStr">
        <is>
          <t xml:space="preserve">2022</t>
        </is>
      </c>
      <c r="E18" s="0" t="inlineStr">
        <is>
          <t xml:space="preserve">Sep 2018</t>
        </is>
      </c>
      <c r="F18" s="0" t="inlineStr">
        <is>
          <t xml:space="preserve">Mar 2025</t>
        </is>
      </c>
      <c r="G18" s="0" t="inlineStr">
        <is>
          <t xml:space="preserve">Oct 2032</t>
        </is>
      </c>
    </row>
    <row r="19" outlineLevel="1">
      <c r="B19" s="0" t="inlineStr">
        <is>
          <t xml:space="preserve">DDG 139</t>
        </is>
      </c>
      <c r="C19" s="0" t="inlineStr">
        <is>
          <t xml:space="preserve">Huntington Ingalls Industries</t>
        </is>
      </c>
      <c r="D19" s="0" t="inlineStr">
        <is>
          <t xml:space="preserve">2022</t>
        </is>
      </c>
      <c r="E19" s="0" t="inlineStr">
        <is>
          <t xml:space="preserve">Sep 2018</t>
        </is>
      </c>
      <c r="F19" s="0" t="inlineStr">
        <is>
          <t xml:space="preserve">Sep 2027</t>
        </is>
      </c>
      <c r="G19" s="0" t="inlineStr">
        <is>
          <t xml:space="preserve">Aug 2033</t>
        </is>
      </c>
    </row>
    <row r="20" outlineLevel="1">
      <c r="B20" s="0" t="inlineStr">
        <is>
          <t xml:space="preserve">DDG 140</t>
        </is>
      </c>
      <c r="C20" s="0" t="inlineStr">
        <is>
          <t xml:space="preserve">Bath Iron Works</t>
        </is>
      </c>
      <c r="D20" s="0" t="inlineStr">
        <is>
          <t xml:space="preserve">2023</t>
        </is>
      </c>
      <c r="E20" s="0" t="inlineStr">
        <is>
          <t xml:space="preserve">Aug 2023</t>
        </is>
      </c>
      <c r="F20" s="0" t="inlineStr">
        <is>
          <t xml:space="preserve">Jul 2026</t>
        </is>
      </c>
      <c r="G20" s="0" t="inlineStr">
        <is>
          <t xml:space="preserve">Dec 2033</t>
        </is>
      </c>
    </row>
    <row r="21" outlineLevel="1">
      <c r="B21" s="0" t="inlineStr">
        <is>
          <t xml:space="preserve">DDG 141</t>
        </is>
      </c>
      <c r="C21" s="0" t="inlineStr">
        <is>
          <t xml:space="preserve">Huntington Ingalls Industries</t>
        </is>
      </c>
      <c r="D21" s="0" t="inlineStr">
        <is>
          <t xml:space="preserve">2023</t>
        </is>
      </c>
      <c r="E21" s="0" t="inlineStr">
        <is>
          <t xml:space="preserve">Aug 2023</t>
        </is>
      </c>
      <c r="F21" s="0" t="inlineStr">
        <is>
          <t xml:space="preserve">Sep 2028</t>
        </is>
      </c>
      <c r="G21" s="0" t="inlineStr">
        <is>
          <t xml:space="preserve">Aug 2034</t>
        </is>
      </c>
    </row>
    <row r="22" outlineLevel="1">
      <c r="B22" s="0" t="inlineStr">
        <is>
          <t xml:space="preserve">DDG 142</t>
        </is>
      </c>
      <c r="C22" s="0" t="inlineStr">
        <is>
          <t xml:space="preserve">Huntington Ingalls Industries</t>
        </is>
      </c>
      <c r="D22" s="0" t="inlineStr">
        <is>
          <t xml:space="preserve">2023</t>
        </is>
      </c>
      <c r="E22" s="0" t="inlineStr">
        <is>
          <t xml:space="preserve">Aug 2023</t>
        </is>
      </c>
      <c r="F22" s="0" t="inlineStr">
        <is>
          <t xml:space="preserve">Sep 2029</t>
        </is>
      </c>
      <c r="G22" s="0" t="inlineStr">
        <is>
          <t xml:space="preserve">Aug 2035</t>
        </is>
      </c>
    </row>
    <row r="23" outlineLevel="1">
      <c r="B23" s="0" t="inlineStr">
        <is>
          <t xml:space="preserve">DDG 143</t>
        </is>
      </c>
      <c r="C23" s="0" t="inlineStr">
        <is>
          <t xml:space="preserve">Huntington Ingalls Industries</t>
        </is>
      </c>
      <c r="D23" s="0" t="inlineStr">
        <is>
          <t xml:space="preserve">2024</t>
        </is>
      </c>
      <c r="E23" s="0" t="inlineStr">
        <is>
          <t xml:space="preserve">Aug 2023</t>
        </is>
      </c>
      <c r="F23" s="0" t="inlineStr">
        <is>
          <t xml:space="preserve">Sep 2030</t>
        </is>
      </c>
      <c r="G23" s="0" t="inlineStr">
        <is>
          <t xml:space="preserve">Aug 2036</t>
        </is>
      </c>
    </row>
    <row r="24" outlineLevel="1">
      <c r="B24" s="0" t="inlineStr">
        <is>
          <t xml:space="preserve">DDG 144</t>
        </is>
      </c>
      <c r="C24" s="0" t="inlineStr">
        <is>
          <t xml:space="preserve">Bath Iron Works</t>
        </is>
      </c>
      <c r="D24" s="0" t="inlineStr">
        <is>
          <t xml:space="preserve">2024</t>
        </is>
      </c>
      <c r="E24" s="0" t="inlineStr">
        <is>
          <t xml:space="preserve">Aug 2023</t>
        </is>
      </c>
      <c r="F24" s="0" t="inlineStr">
        <is>
          <t xml:space="preserve">Aug 2027</t>
        </is>
      </c>
      <c r="G24" s="0" t="inlineStr">
        <is>
          <t xml:space="preserve">Jan 2035</t>
        </is>
      </c>
    </row>
    <row r="25" outlineLevel="1">
      <c r="B25" s="0" t="inlineStr">
        <is>
          <t xml:space="preserve">DDG 145</t>
        </is>
      </c>
      <c r="C25" s="0" t="inlineStr">
        <is>
          <t xml:space="preserve">Huntington Ingalls Industries</t>
        </is>
      </c>
      <c r="D25" s="0" t="inlineStr">
        <is>
          <t xml:space="preserve">2025</t>
        </is>
      </c>
      <c r="E25" s="0" t="inlineStr">
        <is>
          <t xml:space="preserve">Aug 2023</t>
        </is>
      </c>
      <c r="F25" s="0" t="inlineStr">
        <is>
          <t xml:space="preserve">Sep 2031</t>
        </is>
      </c>
      <c r="G25" s="0" t="inlineStr">
        <is>
          <t xml:space="preserve">Aug 2037</t>
        </is>
      </c>
    </row>
    <row r="26" outlineLevel="1">
      <c r="B26" s="0" t="inlineStr">
        <is>
          <t xml:space="preserve">DDG 146</t>
        </is>
      </c>
      <c r="C26" s="0" t="inlineStr">
        <is>
          <t xml:space="preserve">Huntington Ingalls Industries</t>
        </is>
      </c>
      <c r="D26" s="0" t="inlineStr">
        <is>
          <t xml:space="preserve">2025</t>
        </is>
      </c>
      <c r="E26" s="0" t="inlineStr">
        <is>
          <t xml:space="preserve">Aug 2023</t>
        </is>
      </c>
      <c r="F26" s="0" t="inlineStr">
        <is>
          <t xml:space="preserve">Sep 2032</t>
        </is>
      </c>
      <c r="G26" s="0" t="inlineStr">
        <is>
          <t xml:space="preserve">Aug 2038</t>
        </is>
      </c>
    </row>
    <row r="27" outlineLevel="1">
      <c r="B27" s="0" t="inlineStr">
        <is>
          <t xml:space="preserve">DDG 148</t>
        </is>
      </c>
      <c r="C27" s="0" t="inlineStr">
        <is>
          <t xml:space="preserve">Bath Iron Works</t>
        </is>
      </c>
      <c r="D27" s="0" t="inlineStr">
        <is>
          <t xml:space="preserve">2025</t>
        </is>
      </c>
      <c r="E27" s="0" t="inlineStr">
        <is>
          <t xml:space="preserve">Jul 2025</t>
        </is>
      </c>
      <c r="F27" s="0" t="inlineStr">
        <is>
          <t xml:space="preserve">Aug 2028</t>
        </is>
      </c>
      <c r="G27" s="0" t="inlineStr">
        <is>
          <t xml:space="preserve">Nov 2035</t>
        </is>
      </c>
    </row>
    <row r="28" outlineLevel="1">
      <c r="B28" s="0" t="inlineStr">
        <is>
          <t xml:space="preserve">DDG 147</t>
        </is>
      </c>
      <c r="C28" s="0" t="inlineStr">
        <is>
          <t xml:space="preserve">Huntington Ingalls Industries</t>
        </is>
      </c>
      <c r="D28" s="0" t="inlineStr">
        <is>
          <t xml:space="preserve">2026</t>
        </is>
      </c>
      <c r="E28" s="0" t="inlineStr">
        <is>
          <t xml:space="preserve">Aug 2023</t>
        </is>
      </c>
      <c r="F28" s="0" t="inlineStr">
        <is>
          <t xml:space="preserve">Sep 2033</t>
        </is>
      </c>
      <c r="G28" s="0" t="inlineStr">
        <is>
          <t xml:space="preserve">Aug 2039</t>
        </is>
      </c>
    </row>
    <row r="29" outlineLevel="1">
      <c r="B29" s="0" t="inlineStr">
        <is>
          <t xml:space="preserve">DDG 149</t>
        </is>
      </c>
      <c r="C29" s="0" t="inlineStr">
        <is>
          <t xml:space="preserve">Bath Iron Works</t>
        </is>
      </c>
      <c r="D29" s="0" t="inlineStr">
        <is>
          <t xml:space="preserve">2026</t>
        </is>
      </c>
      <c r="E29" s="0" t="inlineStr">
        <is>
          <t xml:space="preserve">Aug 2023</t>
        </is>
      </c>
      <c r="F29" s="0" t="inlineStr">
        <is>
          <t xml:space="preserve">Aug 2029</t>
        </is>
      </c>
      <c r="G29" s="0" t="inlineStr">
        <is>
          <t xml:space="preserve">Sep 2036</t>
        </is>
      </c>
    </row>
    <row r="30" outlineLevel="1">
      <c r="B30" s="0" t="inlineStr">
        <is>
          <t xml:space="preserve">DDG 150</t>
        </is>
      </c>
      <c r="C30" s="0" t="inlineStr">
        <is>
          <t xml:space="preserve">Huntington Ingalls Industries</t>
        </is>
      </c>
      <c r="D30" s="0" t="inlineStr">
        <is>
          <t xml:space="preserve">2027</t>
        </is>
      </c>
      <c r="E30" s="0" t="inlineStr">
        <is>
          <t xml:space="preserve">Aug 2023</t>
        </is>
      </c>
      <c r="F30" s="0" t="inlineStr">
        <is>
          <t xml:space="preserve">Sep 2034</t>
        </is>
      </c>
      <c r="G30" s="0" t="inlineStr">
        <is>
          <t xml:space="preserve">Aug 2040</t>
        </is>
      </c>
    </row>
    <row r="31" outlineLevel="1">
      <c r="B31" s="0" t="inlineStr">
        <is>
          <t xml:space="preserve">DDG 151</t>
        </is>
      </c>
      <c r="C31" s="0" t="inlineStr">
        <is>
          <t xml:space="preserve">TBD</t>
        </is>
      </c>
      <c r="D31" s="0" t="inlineStr">
        <is>
          <t xml:space="preserve">2028</t>
        </is>
      </c>
      <c r="E31" s="0" t="inlineStr">
        <is>
          <t xml:space="preserve">Sep 2028</t>
        </is>
      </c>
      <c r="F31" s="0" t="inlineStr">
        <is>
          <t xml:space="preserve">Aug 2036</t>
        </is>
      </c>
      <c r="G31" s="0" t="inlineStr">
        <is>
          <t xml:space="preserve">Aug 2041</t>
        </is>
      </c>
    </row>
    <row r="32" outlineLevel="1">
      <c r="B32" s="0" t="inlineStr">
        <is>
          <t xml:space="preserve">DDG 152</t>
        </is>
      </c>
      <c r="C32" s="0" t="inlineStr">
        <is>
          <t xml:space="preserve">TBD</t>
        </is>
      </c>
      <c r="D32" s="0" t="inlineStr">
        <is>
          <t xml:space="preserve">2029</t>
        </is>
      </c>
      <c r="E32" s="0" t="inlineStr">
        <is>
          <t xml:space="preserve">Sep 2028</t>
        </is>
      </c>
      <c r="F32" s="0" t="inlineStr">
        <is>
          <t xml:space="preserve">Aug 2037</t>
        </is>
      </c>
      <c r="G32" s="0" t="inlineStr">
        <is>
          <t xml:space="preserve">Aug 2042</t>
        </is>
      </c>
    </row>
    <row r="33" outlineLevel="1">
      <c r="B33" s="0" t="inlineStr">
        <is>
          <t xml:space="preserve">DDG 153</t>
        </is>
      </c>
      <c r="C33" s="0" t="inlineStr">
        <is>
          <t xml:space="preserve">TBD</t>
        </is>
      </c>
      <c r="D33" s="0" t="inlineStr">
        <is>
          <t xml:space="preserve">2030</t>
        </is>
      </c>
      <c r="E33" s="0" t="inlineStr">
        <is>
          <t xml:space="preserve">Sep 2028</t>
        </is>
      </c>
      <c r="F33" s="0" t="inlineStr">
        <is>
          <t xml:space="preserve">Aug 2038</t>
        </is>
      </c>
      <c r="G33" s="0" t="inlineStr">
        <is>
          <t xml:space="preserve">Aug 2043</t>
        </is>
      </c>
    </row>
    <row r="34" outlineLevel="1">
      <c r="B34" s="0" t="inlineStr">
        <is>
          <t xml:space="preserve">DDG 154</t>
        </is>
      </c>
      <c r="C34" s="0" t="inlineStr">
        <is>
          <t xml:space="preserve">TBD</t>
        </is>
      </c>
      <c r="D34" s="0" t="inlineStr">
        <is>
          <t xml:space="preserve">2030</t>
        </is>
      </c>
      <c r="E34" s="0" t="inlineStr">
        <is>
          <t xml:space="preserve">Sep 2028</t>
        </is>
      </c>
      <c r="F34" s="0" t="inlineStr">
        <is>
          <t xml:space="preserve">Aug 2038</t>
        </is>
      </c>
      <c r="G34" s="0" t="inlineStr">
        <is>
          <t xml:space="preserve">Aug 2043</t>
        </is>
      </c>
    </row>
    <row r="35" outlineLevel="1">
      <c r="B35" s="0" t="inlineStr">
        <is>
          <t xml:space="preserve">DDG 155</t>
        </is>
      </c>
      <c r="C35" s="0" t="inlineStr">
        <is>
          <t xml:space="preserve">TBD</t>
        </is>
      </c>
      <c r="D35" s="0" t="inlineStr">
        <is>
          <t xml:space="preserve">2031</t>
        </is>
      </c>
      <c r="E35" s="0" t="inlineStr">
        <is>
          <t xml:space="preserve">Sep 2028</t>
        </is>
      </c>
      <c r="F35" s="0" t="inlineStr">
        <is>
          <t xml:space="preserve">Aug 2039</t>
        </is>
      </c>
      <c r="G35" s="0" t="inlineStr">
        <is>
          <t xml:space="preserve">Aug 2044</t>
        </is>
      </c>
    </row>
    <row r="36" outlineLevel="1">
      <c r="B36" s="0" t="inlineStr">
        <is>
          <t xml:space="preserve">DDG 156</t>
        </is>
      </c>
      <c r="C36" s="0" t="inlineStr">
        <is>
          <t xml:space="preserve">TBD</t>
        </is>
      </c>
      <c r="D36" s="0" t="inlineStr">
        <is>
          <t xml:space="preserve">2031</t>
        </is>
      </c>
      <c r="E36" s="0" t="inlineStr">
        <is>
          <t xml:space="preserve">Sep 2028</t>
        </is>
      </c>
      <c r="F36" s="0" t="inlineStr">
        <is>
          <t xml:space="preserve">Aug 2039</t>
        </is>
      </c>
      <c r="G36" s="0" t="inlineStr">
        <is>
          <t xml:space="preserve">Aug 2044</t>
        </is>
      </c>
    </row>
    <row r="39">
      <c r="A39" s="0" t="inlineStr">
        <is>
          <t xml:space="preserve">x</t>
        </is>
      </c>
      <c r="B39" s="9" t="inlineStr">
        <is>
          <t xml:space="preserve">§2 - Hull count by yard</t>
        </is>
      </c>
      <c r="C39" s="9"/>
      <c r="D39" s="9"/>
      <c r="E39" s="9"/>
      <c r="F39" s="9"/>
      <c r="G39" s="9"/>
    </row>
    <row r="41">
      <c r="B41" s="2" t="inlineStr">
        <is>
          <t xml:space="preserve">Yard</t>
        </is>
      </c>
      <c r="C41" s="2" t="inlineStr">
        <is>
          <t xml:space="preserve">Hulls</t>
        </is>
      </c>
      <c r="D41" s="2"/>
      <c r="E41" s="2"/>
      <c r="F41" s="2"/>
      <c r="G41" s="2"/>
    </row>
    <row r="42" outlineLevel="1">
      <c r="B42" s="0" t="inlineStr">
        <is>
          <t xml:space="preserve">Huntington Ingalls Industries</t>
        </is>
      </c>
      <c r="C42" s="0" t="inlineStr">
        <is>
          <t xml:space="preserve">13</t>
        </is>
      </c>
    </row>
    <row r="43" outlineLevel="1">
      <c r="B43" s="0" t="inlineStr">
        <is>
          <t xml:space="preserve">Bath Iron Works</t>
        </is>
      </c>
      <c r="C43" s="0" t="inlineStr">
        <is>
          <t xml:space="preserve">11</t>
        </is>
      </c>
    </row>
    <row r="44" outlineLevel="1">
      <c r="B44" s="0" t="inlineStr">
        <is>
          <t xml:space="preserve">TBD</t>
        </is>
      </c>
      <c r="C44" s="0" t="inlineStr">
        <is>
          <t xml:space="preserve">6</t>
        </is>
      </c>
    </row>
    <row r="47">
      <c r="A47" s="0" t="inlineStr">
        <is>
          <t xml:space="preserve">x</t>
        </is>
      </c>
      <c r="B47" s="9" t="inlineStr">
        <is>
          <t xml:space="preserve">§3 - Model window</t>
        </is>
      </c>
      <c r="C47" s="9"/>
      <c r="D47" s="9"/>
      <c r="E47" s="9"/>
      <c r="F47" s="9"/>
      <c r="G47" s="9"/>
    </row>
    <row r="49">
      <c r="B49" s="2" t="inlineStr">
        <is>
          <t xml:space="preserve">Measure</t>
        </is>
      </c>
      <c r="C49" s="22" t="inlineStr">
        <is>
          <t xml:space="preserve">Value</t>
        </is>
      </c>
    </row>
    <row r="50" outlineLevel="1">
      <c r="B50" s="0" t="inlineStr">
        <is>
          <t xml:space="preserve">Hulls in schedule (all FY)</t>
        </is>
      </c>
      <c r="C50" s="0">
        <v>30</v>
      </c>
    </row>
    <row r="51" outlineLevel="1">
      <c r="B51" s="1" t="inlineStr">
        <is>
          <t xml:space="preserve">In-window hulls (award FY22-27)</t>
        </is>
      </c>
      <c r="C51" s="0">
        <v>13</v>
      </c>
    </row>
    <row r="52" outlineLevel="1">
      <c r="B52" s="0" t="inlineStr">
        <is>
          <t xml:space="preserve">FY2026 award hulls (DDG 147, DDG 149): funded by OBBBA Sec. 20002(17) mandatory appropriation.</t>
        </is>
      </c>
    </row>
  </sheetData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7B1F3A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0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1" customWidth="1"/>
    <col min="10" max="10" width="11" customWidth="1"/>
    <col min="11" max="11" width="11" customWidth="1"/>
    <col min="12" max="12" width="11" customWidth="1"/>
  </cols>
  <sheetData>
    <row r="1"/>
    <row r="2">
      <c r="B2" s="8" t="inlineStr">
        <is>
          <t xml:space="preserve">AP Bridge</t>
        </is>
      </c>
      <c r="C2" s="8"/>
      <c r="D2" s="8"/>
      <c r="E2" s="8"/>
      <c r="F2" s="8"/>
      <c r="G2" s="8"/>
      <c r="H2" s="8"/>
      <c r="I2" s="8"/>
      <c r="J2" s="8"/>
      <c r="K2" s="8"/>
      <c r="L2" s="8"/>
    </row>
    <row r="4">
      <c r="A4" s="0" t="inlineStr">
        <is>
          <t xml:space="preserve">x</t>
        </is>
      </c>
      <c r="B4" s="9" t="inlineStr">
        <is>
          <t xml:space="preserve">§1 - Resource summary ($M, FY27 PB; P-1/P-10 view)</t>
        </is>
      </c>
      <c r="C4" s="9"/>
      <c r="D4" s="9"/>
      <c r="E4" s="9"/>
      <c r="F4" s="9"/>
      <c r="G4" s="9"/>
      <c r="H4" s="9"/>
      <c r="I4" s="9"/>
      <c r="J4" s="9"/>
      <c r="K4" s="9"/>
      <c r="L4" s="9"/>
    </row>
    <row r="6">
      <c r="B6" s="2" t="inlineStr">
        <is>
          <t xml:space="preserve">Row Label</t>
        </is>
      </c>
      <c r="C6" s="22" t="inlineStr">
        <is>
          <t xml:space="preserve">Prior</t>
        </is>
      </c>
      <c r="D6" s="22" t="inlineStr">
        <is>
          <t xml:space="preserve">FY25</t>
        </is>
      </c>
      <c r="E6" s="22" t="inlineStr">
        <is>
          <t xml:space="preserve">FY26</t>
        </is>
      </c>
      <c r="F6" s="22" t="inlineStr">
        <is>
          <t xml:space="preserve">FY27</t>
        </is>
      </c>
      <c r="G6" s="22" t="inlineStr">
        <is>
          <t xml:space="preserve">FY28</t>
        </is>
      </c>
      <c r="H6" s="22" t="inlineStr">
        <is>
          <t xml:space="preserve">FY29</t>
        </is>
      </c>
      <c r="I6" s="22" t="inlineStr">
        <is>
          <t xml:space="preserve">FY30</t>
        </is>
      </c>
      <c r="J6" s="22" t="inlineStr">
        <is>
          <t xml:space="preserve">FY31</t>
        </is>
      </c>
      <c r="K6" s="22" t="inlineStr">
        <is>
          <t xml:space="preserve">ToCompl</t>
        </is>
      </c>
      <c r="L6" s="22" t="inlineStr">
        <is>
          <t xml:space="preserve">Total</t>
        </is>
      </c>
    </row>
    <row r="7" outlineLevel="1">
      <c r="B7" s="1" t="inlineStr">
        <is>
          <t xml:space="preserve">Gross / Weapon System Cost</t>
        </is>
      </c>
      <c r="C7" s="5">
        <v>117822.879</v>
      </c>
      <c r="D7" s="5">
        <v>7858.814</v>
      </c>
      <c r="E7" s="5">
        <v>306.125</v>
      </c>
      <c r="F7" s="5">
        <v>4256.914</v>
      </c>
      <c r="G7" s="5">
        <v>4026.201</v>
      </c>
      <c r="H7" s="5">
        <v>4209.44</v>
      </c>
      <c r="I7" s="5">
        <v>6613.151</v>
      </c>
      <c r="J7" s="5">
        <v>6964.218</v>
      </c>
      <c r="K7" s="5">
        <v>15080.837</v>
      </c>
      <c r="L7" s="5">
        <v>167138.579</v>
      </c>
    </row>
    <row r="8" outlineLevel="1">
      <c r="B8" s="1" t="inlineStr">
        <is>
          <t xml:space="preserve">Plus CY Advance Procurement (AP)</t>
        </is>
      </c>
      <c r="C8" s="5">
        <v>3340.411</v>
      </c>
      <c r="D8" s="5">
        <v>83.224</v>
      </c>
      <c r="E8" s="5">
        <v>1750.0</v>
      </c>
      <c r="F8" s="5"/>
      <c r="G8" s="5">
        <v>1758.004</v>
      </c>
      <c r="H8" s="5"/>
      <c r="I8" s="5"/>
      <c r="J8" s="5"/>
      <c r="K8" s="5"/>
      <c r="L8" s="5">
        <v>6931.639</v>
      </c>
    </row>
    <row r="9" outlineLevel="1">
      <c r="B9" s="1" t="inlineStr">
        <is>
          <t xml:space="preserve">Plus EOQ (Economic Order Qty)</t>
        </is>
      </c>
      <c r="C9" s="5">
        <v>3826.3</v>
      </c>
      <c r="D9" s="5"/>
      <c r="E9" s="5"/>
      <c r="F9" s="5"/>
      <c r="G9" s="5"/>
      <c r="H9" s="5"/>
      <c r="I9" s="5"/>
      <c r="J9" s="5"/>
      <c r="K9" s="5"/>
      <c r="L9" s="5">
        <v>3826.3</v>
      </c>
    </row>
    <row r="10" outlineLevel="1">
      <c r="B10" s="1" t="inlineStr">
        <is>
          <t xml:space="preserve">Less PY Advance Procurement</t>
        </is>
      </c>
      <c r="C10" s="5">
        <v>2910.85</v>
      </c>
      <c r="D10" s="5">
        <v>2.659</v>
      </c>
      <c r="E10" s="5">
        <v>65.021</v>
      </c>
      <c r="F10" s="5">
        <v>1023.521</v>
      </c>
      <c r="G10" s="5"/>
      <c r="H10" s="5">
        <v>502.271</v>
      </c>
      <c r="I10" s="5">
        <v>502.271</v>
      </c>
      <c r="J10" s="5">
        <v>502.305</v>
      </c>
      <c r="K10" s="5">
        <v>1001.157</v>
      </c>
      <c r="L10" s="5">
        <v>6510.055</v>
      </c>
    </row>
    <row r="11" outlineLevel="1">
      <c r="B11" s="1" t="inlineStr">
        <is>
          <t xml:space="preserve">Less EOQ</t>
        </is>
      </c>
      <c r="C11" s="5">
        <v>2150.761</v>
      </c>
      <c r="D11" s="5">
        <v>1587.636</v>
      </c>
      <c r="E11" s="5">
        <v>230.331</v>
      </c>
      <c r="F11" s="5">
        <v>279.155</v>
      </c>
      <c r="G11" s="5"/>
      <c r="H11" s="5"/>
      <c r="I11" s="5"/>
      <c r="J11" s="5"/>
      <c r="K11" s="5"/>
      <c r="L11" s="5">
        <v>4247.883</v>
      </c>
    </row>
    <row r="12" outlineLevel="1">
      <c r="B12" s="1" t="inlineStr">
        <is>
          <t xml:space="preserve">Net Procurement (P-1)</t>
        </is>
      </c>
      <c r="C12" s="5">
        <v>106913.494</v>
      </c>
      <c r="D12" s="5">
        <v>6268.519</v>
      </c>
      <c r="E12" s="5">
        <v>10.773</v>
      </c>
      <c r="F12" s="5">
        <v>2954.238</v>
      </c>
      <c r="G12" s="5">
        <v>4026.201</v>
      </c>
      <c r="H12" s="5">
        <v>3707.169</v>
      </c>
      <c r="I12" s="5">
        <v>6110.88</v>
      </c>
      <c r="J12" s="5">
        <v>6461.913</v>
      </c>
      <c r="K12" s="5">
        <v>14079.68</v>
      </c>
      <c r="L12" s="5">
        <v>150532.867</v>
      </c>
    </row>
    <row r="13" outlineLevel="1">
      <c r="B13" s="1" t="inlineStr">
        <is>
          <t xml:space="preserve">Total Obligation Authority (TOA)</t>
        </is>
      </c>
      <c r="C13" s="5">
        <v>116656.338</v>
      </c>
      <c r="D13" s="5">
        <v>8268.628</v>
      </c>
      <c r="E13" s="5">
        <v>1942.268</v>
      </c>
      <c r="F13" s="5">
        <v>3132.462</v>
      </c>
      <c r="G13" s="5">
        <v>6124.325</v>
      </c>
      <c r="H13" s="5">
        <v>3993.544</v>
      </c>
      <c r="I13" s="5">
        <v>6375.629</v>
      </c>
      <c r="J13" s="5">
        <v>6565.705</v>
      </c>
      <c r="K13" s="5">
        <v>14079.68</v>
      </c>
      <c r="L13" s="5">
        <v>167138.579</v>
      </c>
    </row>
    <row r="16">
      <c r="A16" s="0" t="inlineStr">
        <is>
          <t xml:space="preserve">x</t>
        </is>
      </c>
      <c r="B16" s="9" t="inlineStr">
        <is>
          <t xml:space="preserve">§2 - TAM-base derivation</t>
        </is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8">
      <c r="B18" s="2" t="inlineStr">
        <is>
          <t xml:space="preserve">Step</t>
        </is>
      </c>
      <c r="C18" s="22" t="inlineStr">
        <is>
          <t xml:space="preserve">Value $M (basis per row)</t>
        </is>
      </c>
    </row>
    <row r="19" outlineLevel="1">
      <c r="B19" s="1" t="inlineStr">
        <is>
          <t xml:space="preserve">CY Advance Procurement gross, in-window (then-year)</t>
        </is>
      </c>
      <c r="C19" s="4">
        <f>N('Assumptions'!C25)+N('Assumptions'!D25)+N('Assumptions'!E25)+N('Assumptions'!F25)+N('Assumptions'!G25)+N('Assumptions'!H25)</f>
      </c>
    </row>
    <row r="20" outlineLevel="1">
      <c r="B20" s="20" t="inlineStr">
        <is>
          <t xml:space="preserve">of which Ship Construction EOQ = AP/LLTM base (P-10; constant FY2026)</t>
        </is>
      </c>
      <c r="C20" s="4">
        <f>N('Assumptions'!C27)+N('Assumptions'!D27)+N('Assumptions'!E27)+N('Assumptions'!F27)+N('Assumptions'!G27)+N('Assumptions'!H27)</f>
      </c>
    </row>
    <row r="21">
      <c r="B21" s="3" t="inlineStr">
        <is>
          <t xml:space="preserve">x AP/LLTM supplier coeff = AP/LLTM stream TAM</t>
        </is>
      </c>
      <c r="C21" s="13">
        <f>C20*'Assumptions'!C42</f>
      </c>
    </row>
    <row r="24">
      <c r="A24" s="0" t="inlineStr">
        <is>
          <t xml:space="preserve">x</t>
        </is>
      </c>
      <c r="B24" s="9" t="inlineStr">
        <is>
          <t xml:space="preserve">§3 - Line-level classification (DDG P-10 structure)</t>
        </is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6">
      <c r="B26" s="2" t="inlineStr">
        <is>
          <t xml:space="preserve">AP / EOQ line</t>
        </is>
      </c>
      <c r="C26" s="2" t="inlineStr">
        <is>
          <t xml:space="preserve">TAM treatment</t>
        </is>
      </c>
      <c r="D26" s="2" t="inlineStr">
        <is>
          <t xml:space="preserve">Rationale</t>
        </is>
      </c>
    </row>
    <row r="27" outlineLevel="1">
      <c r="B27" s="0" t="inlineStr">
        <is>
          <t xml:space="preserve">Ship Construction EOQ</t>
        </is>
      </c>
      <c r="C27" s="1" t="inlineStr">
        <is>
          <t xml:space="preserve">INCLUDE</t>
        </is>
      </c>
      <c r="D27" s="0" t="inlineStr">
        <is>
          <t xml:space="preserve">P-10 EOQ procurements of material items (vendor-purchased); included in full</t>
        </is>
      </c>
    </row>
    <row r="28" outlineLevel="1">
      <c r="B28" s="0" t="inlineStr">
        <is>
          <t xml:space="preserve">AWS EOQ (Aegis Weapon System)</t>
        </is>
      </c>
      <c r="C28" s="1" t="inlineStr">
        <is>
          <t xml:space="preserve">EXCLUDE</t>
        </is>
      </c>
      <c r="D28" s="0" t="inlineStr">
        <is>
          <t xml:space="preserve">GFE-controlled combat system (default out)</t>
        </is>
      </c>
    </row>
    <row r="29" outlineLevel="1">
      <c r="B29" s="0" t="inlineStr">
        <is>
          <t xml:space="preserve">Other GFE (CBSP / NMT terminals)</t>
        </is>
      </c>
      <c r="C29" s="1" t="inlineStr">
        <is>
          <t xml:space="preserve">EXCLUDE</t>
        </is>
      </c>
      <c r="D29" s="0" t="inlineStr">
        <is>
          <t xml:space="preserve">Navy-furnished equipment</t>
        </is>
      </c>
    </row>
    <row r="30" outlineLevel="1">
      <c r="B30" s="0" t="inlineStr">
        <is>
          <t xml:space="preserve">Congressional adds: shipyard infrastructure / wage enhancements</t>
        </is>
      </c>
      <c r="C30" s="1" t="inlineStr">
        <is>
          <t xml:space="preserve">EXCLUDE</t>
        </is>
      </c>
      <c r="D30" s="0" t="inlineStr">
        <is>
          <t xml:space="preserve">FY26 $450.0M + $300.0M; yard capex and wages, not ship material</t>
        </is>
      </c>
    </row>
    <row r="31" outlineLevel="1">
      <c r="B31" s="0" t="inlineStr">
        <is>
          <t xml:space="preserve">VLS / weapons / ordnance AP</t>
        </is>
      </c>
      <c r="C31" s="1" t="inlineStr">
        <is>
          <t xml:space="preserve">EXCLUDE</t>
        </is>
      </c>
      <c r="D31" s="0" t="inlineStr">
        <is>
          <t xml:space="preserve">WPN/OPN appropriation; not SCN ship construction</t>
        </is>
      </c>
    </row>
    <row r="32" outlineLevel="1">
      <c r="B32" s="0" t="inlineStr">
        <is>
          <t xml:space="preserve">Power Conversion Modules</t>
        </is>
      </c>
      <c r="C32" s="1" t="inlineStr">
        <is>
          <t xml:space="preserve">IN BC ALREADY</t>
        </is>
      </c>
      <c r="D32" s="0" t="inlineStr">
        <is>
          <t xml:space="preserve">moved GFE -&gt; Basic Construction in FY23 (no re-add)</t>
        </is>
      </c>
    </row>
    <row r="35">
      <c r="A35" s="0" t="inlineStr">
        <is>
          <t xml:space="preserve">x</t>
        </is>
      </c>
      <c r="B35" s="9" t="inlineStr">
        <is>
          <t xml:space="preserve">§4 - Caveats</t>
        </is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7" outlineLevel="1">
      <c r="B37" s="0" t="inlineStr">
        <is>
          <t xml:space="preserve">AP/LLTM base = the P-10 'Ship Construction EOQ' line per FY (Inputs §3, cited); AWS EOQ, terminal GFE, and congressional adds are excluded at the line level.</t>
        </is>
      </c>
    </row>
    <row r="38" outlineLevel="1">
      <c r="B38" s="0" t="inlineStr">
        <is>
          <t xml:space="preserve">No double-count: P-5c BC is net of prior-yr AP, so CY AP is additive (PY-AP-credit in TAM stream bases = 0).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7B1F3A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6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</cols>
  <sheetData>
    <row r="1"/>
    <row r="2">
      <c r="B2" s="8" t="inlineStr">
        <is>
          <t xml:space="preserve">FYDP Outyears</t>
        </is>
      </c>
      <c r="C2" s="8"/>
      <c r="D2" s="8"/>
      <c r="E2" s="8"/>
      <c r="F2" s="8"/>
      <c r="G2" s="8"/>
      <c r="H2" s="8"/>
      <c r="I2" s="8"/>
    </row>
    <row r="4">
      <c r="A4" s="0" t="inlineStr">
        <is>
          <t xml:space="preserve">x</t>
        </is>
      </c>
      <c r="B4" s="9" t="inlineStr">
        <is>
          <t xml:space="preserve">§1 - Source exhibit (P-40 Resource Summary, PB2027)</t>
        </is>
      </c>
      <c r="C4" s="9"/>
      <c r="D4" s="9"/>
      <c r="E4" s="9"/>
      <c r="F4" s="9"/>
      <c r="G4" s="9"/>
      <c r="H4" s="9"/>
      <c r="I4" s="9"/>
    </row>
    <row r="6">
      <c r="B6" s="2" t="inlineStr">
        <is>
          <t xml:space="preserve">Field</t>
        </is>
      </c>
      <c r="C6" s="2" t="inlineStr">
        <is>
          <t xml:space="preserve">Value</t>
        </is>
      </c>
    </row>
    <row r="7" outlineLevel="1">
      <c r="B7" s="0" t="inlineStr">
        <is>
          <t xml:space="preserve">Exhibit</t>
        </is>
      </c>
      <c r="C7" s="0" t="inlineStr">
        <is>
          <t xml:space="preserve">PB 2027 Navy, Exhibit P-40 (1611N Shipbuilding and Conversion, Navy)</t>
        </is>
      </c>
    </row>
    <row r="8" outlineLevel="1">
      <c r="B8" s="0" t="inlineStr">
        <is>
          <t xml:space="preserve">Program</t>
        </is>
      </c>
      <c r="C8" s="0" t="inlineStr">
        <is>
          <t xml:space="preserve">DDG-51 Arleigh Burke (LI 2122), P-1 line 13</t>
        </is>
      </c>
    </row>
    <row r="9" outlineLevel="1">
      <c r="B9" s="0" t="inlineStr">
        <is>
          <t xml:space="preserve">Vintage</t>
        </is>
      </c>
      <c r="C9" s="0" t="inlineStr">
        <is>
          <t xml:space="preserve">PB2027 (April 2026); FY2028-FY2031 are the budget request, not appropriation</t>
        </is>
      </c>
    </row>
    <row r="10" outlineLevel="1">
      <c r="B10" s="0" t="inlineStr">
        <is>
          <t xml:space="preserve">Columns</t>
        </is>
      </c>
      <c r="C10" s="0" t="inlineStr">
        <is>
          <t xml:space="preserve">FY2027 = FY 2027 Total (Base + OOC); FY2028-FY2031 = FYDP outyears</t>
        </is>
      </c>
    </row>
    <row r="11" outlineLevel="1">
      <c r="B11" s="0" t="inlineStr">
        <is>
          <t xml:space="preserve">Refresh</t>
        </is>
      </c>
      <c r="C11" s="0" t="inlineStr">
        <is>
          <t xml:space="preserve">At PB2028: re-tie FY2027 gross to SCN Budget and re-base the outyears</t>
        </is>
      </c>
    </row>
    <row r="13">
      <c r="B13" s="2" t="inlineStr">
        <is>
          <t xml:space="preserve">Metric</t>
        </is>
      </c>
      <c r="C13" s="22">
        <v>2025</v>
      </c>
      <c r="D13" s="22">
        <v>2026</v>
      </c>
      <c r="E13" s="22">
        <v>2027</v>
      </c>
      <c r="F13" s="22">
        <v>2028</v>
      </c>
      <c r="G13" s="22">
        <v>2029</v>
      </c>
      <c r="H13" s="22">
        <v>2030</v>
      </c>
      <c r="I13" s="22">
        <v>2031</v>
      </c>
    </row>
    <row r="14" outlineLevel="1">
      <c r="B14" s="1" t="inlineStr">
        <is>
          <t xml:space="preserve">Gross / Weapon System Cost, then-year $M</t>
        </is>
      </c>
      <c r="C14" s="5">
        <v>7858.814</v>
      </c>
      <c r="D14" s="5">
        <v>306.125</v>
      </c>
      <c r="E14" s="5">
        <v>4256.914</v>
      </c>
      <c r="F14" s="5">
        <v>4026.201</v>
      </c>
      <c r="G14" s="5">
        <v>4209.44</v>
      </c>
      <c r="H14" s="5">
        <v>6613.151</v>
      </c>
      <c r="I14" s="5">
        <v>6964.218</v>
      </c>
    </row>
    <row r="15" outlineLevel="1">
      <c r="B15" s="0" t="inlineStr">
        <is>
          <t xml:space="preserve">Procurement quantity (ships)</t>
        </is>
      </c>
      <c r="C15" s="5">
        <v>3.0</v>
      </c>
      <c r="D15" s="5"/>
      <c r="E15" s="5">
        <v>1.0</v>
      </c>
      <c r="F15" s="5">
        <v>1.0</v>
      </c>
      <c r="G15" s="5">
        <v>1.0</v>
      </c>
      <c r="H15" s="5">
        <v>2.0</v>
      </c>
      <c r="I15" s="5">
        <v>2.0</v>
      </c>
    </row>
    <row r="16" outlineLevel="1">
      <c r="B16" s="0" t="inlineStr">
        <is>
          <t xml:space="preserve">Net Procurement (P-1), then-year $M (memo)</t>
        </is>
      </c>
      <c r="C16" s="5">
        <v>6268.519</v>
      </c>
      <c r="D16" s="5">
        <v>10.773</v>
      </c>
      <c r="E16" s="5">
        <v>2954.238</v>
      </c>
      <c r="F16" s="5">
        <v>4026.201</v>
      </c>
      <c r="G16" s="5">
        <v>3707.169</v>
      </c>
      <c r="H16" s="5">
        <v>6110.88</v>
      </c>
      <c r="I16" s="5">
        <v>6461.913</v>
      </c>
    </row>
    <row r="17" outlineLevel="1">
      <c r="B17" s="0" t="inlineStr">
        <is>
          <t xml:space="preserve">Total Obligation Authority, then-year $M (memo)</t>
        </is>
      </c>
      <c r="C17" s="5">
        <v>8268.628</v>
      </c>
      <c r="D17" s="5">
        <v>1942.268</v>
      </c>
      <c r="E17" s="5">
        <v>3132.462</v>
      </c>
      <c r="F17" s="5">
        <v>6124.325</v>
      </c>
      <c r="G17" s="5">
        <v>3993.544</v>
      </c>
      <c r="H17" s="5">
        <v>6375.629</v>
      </c>
      <c r="I17" s="5">
        <v>6565.705</v>
      </c>
    </row>
    <row r="20">
      <c r="A20" s="0" t="inlineStr">
        <is>
          <t xml:space="preserve">x</t>
        </is>
      </c>
      <c r="B20" s="9" t="inlineStr">
        <is>
          <t xml:space="preserve">§2 - Constant FY2026 $M (then-year x deflator)</t>
        </is>
      </c>
      <c r="C20" s="9"/>
      <c r="D20" s="9"/>
      <c r="E20" s="9"/>
      <c r="F20" s="9"/>
      <c r="G20" s="9"/>
      <c r="H20" s="9"/>
      <c r="I20" s="9"/>
    </row>
    <row r="22">
      <c r="B22" s="2" t="inlineStr">
        <is>
          <t xml:space="preserve">Metric</t>
        </is>
      </c>
      <c r="C22" s="22">
        <v>2025</v>
      </c>
      <c r="D22" s="22">
        <v>2026</v>
      </c>
      <c r="E22" s="22">
        <v>2027</v>
      </c>
      <c r="F22" s="22">
        <v>2028</v>
      </c>
      <c r="G22" s="22">
        <v>2029</v>
      </c>
      <c r="H22" s="22">
        <v>2030</v>
      </c>
      <c r="I22" s="22">
        <v>2031</v>
      </c>
    </row>
    <row r="23" outlineLevel="1">
      <c r="B23" s="1" t="inlineStr">
        <is>
          <t xml:space="preserve">Gross / Weapon System Cost, constant FY2026 $M</t>
        </is>
      </c>
      <c r="C23" s="11">
        <f>C14*'Deflators'!D10</f>
      </c>
      <c r="D23" s="11">
        <f>D14*'Deflators'!D11</f>
      </c>
      <c r="E23" s="11">
        <f>E14*'Deflators'!D12</f>
      </c>
      <c r="F23" s="11">
        <f>F14*'Deflators'!D13</f>
      </c>
      <c r="G23" s="11">
        <f>G14*'Deflators'!D14</f>
      </c>
      <c r="H23" s="11">
        <f>H14*'Deflators'!D15</f>
      </c>
      <c r="I23" s="11">
        <f>I14*'Deflators'!D16</f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7B1F3A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12" customWidth="1"/>
    <col min="3" max="3" width="18" customWidth="1"/>
    <col min="4" max="4" width="20" customWidth="1"/>
    <col min="5" max="5" width="18" customWidth="1"/>
    <col min="6" max="6" width="18" customWidth="1"/>
    <col min="7" max="7" width="14" customWidth="1"/>
    <col min="8" max="8" width="8" customWidth="1"/>
    <col min="9" max="9" width="7" customWidth="1"/>
    <col min="10" max="10" width="9" customWidth="1"/>
    <col min="11" max="11" width="11" customWidth="1"/>
    <col min="12" max="12" width="11" customWidth="1"/>
    <col min="13" max="13" width="11" customWidth="1"/>
    <col min="14" max="14" width="9" customWidth="1"/>
    <col min="15" max="15" width="10" customWidth="1"/>
    <col min="16" max="16" width="10" customWidth="1"/>
    <col min="17" max="17" width="10" customWidth="1"/>
  </cols>
  <sheetData>
    <row r="1"/>
    <row r="2">
      <c r="B2" s="8" t="inlineStr">
        <is>
          <t xml:space="preserve">POP Corpus</t>
        </is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4">
      <c r="A4" s="0" t="inlineStr">
        <is>
          <t xml:space="preserve">x</t>
        </is>
      </c>
      <c r="B4" s="9" t="inlineStr">
        <is>
          <t xml:space="preserve">§1 - POP corpus (gated award place-of-performance)</t>
        </is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6">
      <c r="B6" s="2" t="inlineStr">
        <is>
          <t xml:space="preserve">Date</t>
        </is>
      </c>
      <c r="C6" s="2" t="inlineStr">
        <is>
          <t xml:space="preserve">PIID</t>
        </is>
      </c>
      <c r="D6" s="2" t="inlineStr">
        <is>
          <t xml:space="preserve">Prime</t>
        </is>
      </c>
      <c r="E6" s="2" t="inlineStr">
        <is>
          <t xml:space="preserve">Program</t>
        </is>
      </c>
      <c r="F6" s="2" t="inlineStr">
        <is>
          <t xml:space="preserve">Work Type</t>
        </is>
      </c>
      <c r="G6" s="2" t="inlineStr">
        <is>
          <t xml:space="preserve">Scope Class</t>
        </is>
      </c>
      <c r="H6" s="2" t="inlineStr">
        <is>
          <t xml:space="preserve">Stream</t>
        </is>
      </c>
      <c r="I6" s="22" t="inlineStr">
        <is>
          <t xml:space="preserve">Gate</t>
        </is>
      </c>
      <c r="J6" s="22" t="inlineStr">
        <is>
          <t xml:space="preserve">GFE/Excl</t>
        </is>
      </c>
      <c r="K6" s="22" t="inlineStr">
        <is>
          <t xml:space="preserve">Confirmed</t>
        </is>
      </c>
      <c r="L6" s="22" t="inlineStr">
        <is>
          <t xml:space="preserve">MYP master</t>
        </is>
      </c>
      <c r="M6" s="22" t="inlineStr">
        <is>
          <t xml:space="preserve">$M</t>
        </is>
      </c>
      <c r="N6" s="22" t="inlineStr">
        <is>
          <t xml:space="preserve">BIW %</t>
        </is>
      </c>
      <c r="O6" s="22" t="inlineStr">
        <is>
          <t xml:space="preserve">Ingalls %</t>
        </is>
      </c>
      <c r="P6" s="22" t="inlineStr">
        <is>
          <t xml:space="preserve">Other US %</t>
        </is>
      </c>
      <c r="Q6" s="22" t="inlineStr">
        <is>
          <t xml:space="preserve">Foreign %</t>
        </is>
      </c>
    </row>
    <row r="7" outlineLevel="1">
      <c r="B7" s="0" t="inlineStr">
        <is>
          <t xml:space="preserve">(MYP master)</t>
        </is>
      </c>
      <c r="C7" s="0" t="inlineStr">
        <is>
          <t xml:space="preserve">N00024-23-C-2305</t>
        </is>
      </c>
      <c r="D7" s="0" t="inlineStr">
        <is>
          <t xml:space="preserve">Bath Iron Works</t>
        </is>
      </c>
      <c r="E7" s="0" t="inlineStr">
        <is>
          <t xml:space="preserve">ddg51</t>
        </is>
      </c>
      <c r="F7" s="0" t="inlineStr">
        <is>
          <t xml:space="preserve">construction</t>
        </is>
      </c>
      <c r="G7" s="0" t="inlineStr">
        <is>
          <t xml:space="preserve">INCLUDE_BC</t>
        </is>
      </c>
      <c r="H7" s="0" t="inlineStr">
        <is>
          <t xml:space="preserve">BC</t>
        </is>
      </c>
      <c r="I7" s="5">
        <v>1</v>
      </c>
      <c r="J7" s="5">
        <v>0</v>
      </c>
      <c r="K7" s="5">
        <v>1</v>
      </c>
      <c r="L7" s="5">
        <v>1</v>
      </c>
      <c r="M7" s="11">
        <f>'Assumptions'!D33</f>
      </c>
      <c r="N7" s="12">
        <f>'Assumptions'!E33</f>
      </c>
      <c r="O7" s="12">
        <f>'Assumptions'!F33</f>
      </c>
      <c r="P7" s="12">
        <f>'Assumptions'!G33</f>
      </c>
      <c r="Q7" s="12">
        <f>'Assumptions'!H33</f>
      </c>
    </row>
    <row r="8" outlineLevel="1">
      <c r="B8" s="0" t="inlineStr">
        <is>
          <t xml:space="preserve">(MYP master)</t>
        </is>
      </c>
      <c r="C8" s="0" t="inlineStr">
        <is>
          <t xml:space="preserve">N00024-23-C-2307</t>
        </is>
      </c>
      <c r="D8" s="0" t="inlineStr">
        <is>
          <t xml:space="preserve">Huntington Ingalls Industries</t>
        </is>
      </c>
      <c r="E8" s="0" t="inlineStr">
        <is>
          <t xml:space="preserve">ddg51</t>
        </is>
      </c>
      <c r="F8" s="0" t="inlineStr">
        <is>
          <t xml:space="preserve">construction</t>
        </is>
      </c>
      <c r="G8" s="0" t="inlineStr">
        <is>
          <t xml:space="preserve">INCLUDE_BC</t>
        </is>
      </c>
      <c r="H8" s="0" t="inlineStr">
        <is>
          <t xml:space="preserve">BC</t>
        </is>
      </c>
      <c r="I8" s="5">
        <v>1</v>
      </c>
      <c r="J8" s="5">
        <v>0</v>
      </c>
      <c r="K8" s="5">
        <v>1</v>
      </c>
      <c r="L8" s="5">
        <v>1</v>
      </c>
      <c r="M8" s="11">
        <f>'Assumptions'!D34</f>
      </c>
      <c r="N8" s="12">
        <f>'Assumptions'!E34</f>
      </c>
      <c r="O8" s="12">
        <f>'Assumptions'!F34</f>
      </c>
      <c r="P8" s="12">
        <f>'Assumptions'!G34</f>
      </c>
      <c r="Q8" s="12">
        <f>'Assumptions'!H34</f>
      </c>
    </row>
    <row r="9" outlineLevel="1">
      <c r="B9" s="0" t="inlineStr">
        <is>
          <t xml:space="preserve">2024-06-07</t>
        </is>
      </c>
      <c r="C9" s="0" t="inlineStr">
        <is>
          <t xml:space="preserve">-</t>
        </is>
      </c>
      <c r="D9" s="0" t="inlineStr">
        <is>
          <t xml:space="preserve">Raytheon Missiles &amp; Defense</t>
        </is>
      </c>
      <c r="E9" s="0" t="inlineStr">
        <is>
          <t xml:space="preserve">ddg_gfe_radar</t>
        </is>
      </c>
      <c r="F9" s="0" t="inlineStr">
        <is>
          <t xml:space="preserve">component_procurement</t>
        </is>
      </c>
      <c r="G9" s="0" t="inlineStr">
        <is>
          <t xml:space="preserve">EXCLUDE_GFE</t>
        </is>
      </c>
      <c r="H9" s="0" t="inlineStr">
        <is>
          <t xml:space="preserve">BC</t>
        </is>
      </c>
      <c r="I9" s="5">
        <v>1</v>
      </c>
      <c r="J9" s="5">
        <v>1</v>
      </c>
      <c r="K9" s="5">
        <v>1</v>
      </c>
      <c r="L9" s="5">
        <v>0</v>
      </c>
      <c r="M9" s="5">
        <v>677.715433</v>
      </c>
      <c r="N9" s="7">
        <v>0.0</v>
      </c>
      <c r="O9" s="7">
        <v>0.0</v>
      </c>
      <c r="P9" s="7">
        <v>0.81</v>
      </c>
      <c r="Q9" s="7">
        <v>0.0</v>
      </c>
    </row>
    <row r="10" outlineLevel="1">
      <c r="B10" s="0" t="inlineStr">
        <is>
          <t xml:space="preserve">2025-06-06</t>
        </is>
      </c>
      <c r="C10" s="0" t="inlineStr">
        <is>
          <t xml:space="preserve">N00024-22-C-5500</t>
        </is>
      </c>
      <c r="D10" s="0" t="inlineStr">
        <is>
          <t xml:space="preserve">Raytheon Missiles &amp; Defense</t>
        </is>
      </c>
      <c r="E10" s="0" t="inlineStr">
        <is>
          <t xml:space="preserve">ddg_gfe_radar</t>
        </is>
      </c>
      <c r="F10" s="0" t="inlineStr">
        <is>
          <t xml:space="preserve">component_procurement</t>
        </is>
      </c>
      <c r="G10" s="0" t="inlineStr">
        <is>
          <t xml:space="preserve">EXCLUDE_GFE</t>
        </is>
      </c>
      <c r="H10" s="0" t="inlineStr">
        <is>
          <t xml:space="preserve">BC</t>
        </is>
      </c>
      <c r="I10" s="5">
        <v>1</v>
      </c>
      <c r="J10" s="5">
        <v>1</v>
      </c>
      <c r="K10" s="5">
        <v>1</v>
      </c>
      <c r="L10" s="5">
        <v>0</v>
      </c>
      <c r="M10" s="5">
        <v>646.519738</v>
      </c>
      <c r="N10" s="7">
        <v>0.0</v>
      </c>
      <c r="O10" s="7">
        <v>0.0</v>
      </c>
      <c r="P10" s="7">
        <v>0.81</v>
      </c>
      <c r="Q10" s="7">
        <v>0.0</v>
      </c>
    </row>
    <row r="11" outlineLevel="1">
      <c r="B11" s="0" t="inlineStr">
        <is>
          <t xml:space="preserve">2025-12-30</t>
        </is>
      </c>
      <c r="C11" s="0" t="inlineStr">
        <is>
          <t xml:space="preserve">N00024-23-C-5123</t>
        </is>
      </c>
      <c r="D11" s="0" t="inlineStr">
        <is>
          <t xml:space="preserve">Lockheed Martin Rotary and Mission Systems</t>
        </is>
      </c>
      <c r="E11" s="0" t="inlineStr">
        <is>
          <t xml:space="preserve">ddg_gfe_aegis</t>
        </is>
      </c>
      <c r="F11" s="0" t="inlineStr">
        <is>
          <t xml:space="preserve">component_procurement</t>
        </is>
      </c>
      <c r="G11" s="0" t="inlineStr">
        <is>
          <t xml:space="preserve">EXCLUDE_GFE</t>
        </is>
      </c>
      <c r="H11" s="0" t="inlineStr">
        <is>
          <t xml:space="preserve">BC</t>
        </is>
      </c>
      <c r="I11" s="5">
        <v>1</v>
      </c>
      <c r="J11" s="5">
        <v>1</v>
      </c>
      <c r="K11" s="5">
        <v>1</v>
      </c>
      <c r="L11" s="5">
        <v>0</v>
      </c>
      <c r="M11" s="5">
        <v>297.491836</v>
      </c>
      <c r="N11" s="7">
        <v>0.0</v>
      </c>
      <c r="O11" s="7">
        <v>0.0</v>
      </c>
      <c r="P11" s="7">
        <v>1.0</v>
      </c>
      <c r="Q11" s="7">
        <v>0.0</v>
      </c>
    </row>
    <row r="12" outlineLevel="1">
      <c r="B12" s="0" t="inlineStr">
        <is>
          <t xml:space="preserve">2026-04-22</t>
        </is>
      </c>
      <c r="C12" s="0" t="inlineStr">
        <is>
          <t xml:space="preserve">N00024-24-C-4212</t>
        </is>
      </c>
      <c r="D12" s="0" t="inlineStr">
        <is>
          <t xml:space="preserve">-</t>
        </is>
      </c>
      <c r="E12" s="0" t="inlineStr">
        <is>
          <t xml:space="preserve">ddg51</t>
        </is>
      </c>
      <c r="F12" s="0" t="inlineStr">
        <is>
          <t xml:space="preserve">construction</t>
        </is>
      </c>
      <c r="G12" s="0" t="inlineStr">
        <is>
          <t xml:space="preserve">INCLUDE_BC</t>
        </is>
      </c>
      <c r="H12" s="0" t="inlineStr">
        <is>
          <t xml:space="preserve">BC</t>
        </is>
      </c>
      <c r="I12" s="5">
        <v>1</v>
      </c>
      <c r="J12" s="5">
        <v>0</v>
      </c>
      <c r="K12" s="5">
        <v>1</v>
      </c>
      <c r="L12" s="5">
        <v>0</v>
      </c>
      <c r="M12" s="5">
        <v>230.495111</v>
      </c>
      <c r="N12" s="7">
        <v>1.0</v>
      </c>
      <c r="O12" s="7">
        <v>0.0</v>
      </c>
      <c r="P12" s="7">
        <v>0.0</v>
      </c>
      <c r="Q12" s="7">
        <v>0.0</v>
      </c>
    </row>
    <row r="13" outlineLevel="1">
      <c r="B13" s="0" t="inlineStr">
        <is>
          <t xml:space="preserve">2025-05-14</t>
        </is>
      </c>
      <c r="C13" s="0" t="inlineStr">
        <is>
          <t xml:space="preserve">N00024-24-C-4212</t>
        </is>
      </c>
      <c r="D13" s="0" t="inlineStr">
        <is>
          <t xml:space="preserve">-</t>
        </is>
      </c>
      <c r="E13" s="0" t="inlineStr">
        <is>
          <t xml:space="preserve">ddg51</t>
        </is>
      </c>
      <c r="F13" s="0" t="inlineStr">
        <is>
          <t xml:space="preserve">construction</t>
        </is>
      </c>
      <c r="G13" s="0" t="inlineStr">
        <is>
          <t xml:space="preserve">INCLUDE_BC</t>
        </is>
      </c>
      <c r="H13" s="0" t="inlineStr">
        <is>
          <t xml:space="preserve">BC</t>
        </is>
      </c>
      <c r="I13" s="5">
        <v>1</v>
      </c>
      <c r="J13" s="5">
        <v>0</v>
      </c>
      <c r="K13" s="5">
        <v>1</v>
      </c>
      <c r="L13" s="5">
        <v>0</v>
      </c>
      <c r="M13" s="5">
        <v>216.493753</v>
      </c>
      <c r="N13" s="7">
        <v>1.0</v>
      </c>
      <c r="O13" s="7">
        <v>0.0</v>
      </c>
      <c r="P13" s="7">
        <v>0.0</v>
      </c>
      <c r="Q13" s="7">
        <v>0.0</v>
      </c>
    </row>
    <row r="14" outlineLevel="1">
      <c r="B14" s="0" t="inlineStr">
        <is>
          <t xml:space="preserve">2024-06-14</t>
        </is>
      </c>
      <c r="C14" s="0" t="inlineStr">
        <is>
          <t xml:space="preserve">N00024-24-C-4212</t>
        </is>
      </c>
      <c r="D14" s="0" t="inlineStr">
        <is>
          <t xml:space="preserve">-</t>
        </is>
      </c>
      <c r="E14" s="0" t="inlineStr">
        <is>
          <t xml:space="preserve">ddg51</t>
        </is>
      </c>
      <c r="F14" s="0" t="inlineStr">
        <is>
          <t xml:space="preserve">construction</t>
        </is>
      </c>
      <c r="G14" s="0" t="inlineStr">
        <is>
          <t xml:space="preserve">INCLUDE_BC</t>
        </is>
      </c>
      <c r="H14" s="0" t="inlineStr">
        <is>
          <t xml:space="preserve">BC</t>
        </is>
      </c>
      <c r="I14" s="5">
        <v>1</v>
      </c>
      <c r="J14" s="5">
        <v>0</v>
      </c>
      <c r="K14" s="5">
        <v>1</v>
      </c>
      <c r="L14" s="5">
        <v>0</v>
      </c>
      <c r="M14" s="5">
        <v>202.73309</v>
      </c>
      <c r="N14" s="7">
        <v>1.0</v>
      </c>
      <c r="O14" s="7">
        <v>0.0</v>
      </c>
      <c r="P14" s="7">
        <v>0.0</v>
      </c>
      <c r="Q14" s="7">
        <v>0.0</v>
      </c>
    </row>
    <row r="15" outlineLevel="1">
      <c r="B15" s="0" t="inlineStr">
        <is>
          <t xml:space="preserve">2024-07-12</t>
        </is>
      </c>
      <c r="C15" s="0" t="inlineStr">
        <is>
          <t xml:space="preserve">N00024-18-C-5218</t>
        </is>
      </c>
      <c r="D15" s="0" t="inlineStr">
        <is>
          <t xml:space="preserve">Lockheed Martin Rotary and Mission Systems</t>
        </is>
      </c>
      <c r="E15" s="0" t="inlineStr">
        <is>
          <t xml:space="preserve">ddg_gfe_aegis</t>
        </is>
      </c>
      <c r="F15" s="0" t="inlineStr">
        <is>
          <t xml:space="preserve">component_procurement</t>
        </is>
      </c>
      <c r="G15" s="0" t="inlineStr">
        <is>
          <t xml:space="preserve">EXCLUDE_GFE</t>
        </is>
      </c>
      <c r="H15" s="0" t="inlineStr">
        <is>
          <t xml:space="preserve">BC</t>
        </is>
      </c>
      <c r="I15" s="5">
        <v>1</v>
      </c>
      <c r="J15" s="5">
        <v>1</v>
      </c>
      <c r="K15" s="5">
        <v>1</v>
      </c>
      <c r="L15" s="5">
        <v>0</v>
      </c>
      <c r="M15" s="5">
        <v>180.49647</v>
      </c>
      <c r="N15" s="7">
        <v>0.0</v>
      </c>
      <c r="O15" s="7">
        <v>0.0</v>
      </c>
      <c r="P15" s="7">
        <v>1.0</v>
      </c>
      <c r="Q15" s="7">
        <v>0.0</v>
      </c>
    </row>
    <row r="16" outlineLevel="1">
      <c r="B16" s="0" t="inlineStr">
        <is>
          <t xml:space="preserve">2023-12-22</t>
        </is>
      </c>
      <c r="C16" s="0" t="inlineStr">
        <is>
          <t xml:space="preserve">-</t>
        </is>
      </c>
      <c r="D16" s="0" t="inlineStr">
        <is>
          <t xml:space="preserve">Lockheed Martin Rotary and Mission Systems</t>
        </is>
      </c>
      <c r="E16" s="0" t="inlineStr">
        <is>
          <t xml:space="preserve">ddg_gfe_aegis</t>
        </is>
      </c>
      <c r="F16" s="0" t="inlineStr">
        <is>
          <t xml:space="preserve">component_procurement</t>
        </is>
      </c>
      <c r="G16" s="0" t="inlineStr">
        <is>
          <t xml:space="preserve">EXCLUDE_GFE</t>
        </is>
      </c>
      <c r="H16" s="0" t="inlineStr">
        <is>
          <t xml:space="preserve">BC</t>
        </is>
      </c>
      <c r="I16" s="5">
        <v>1</v>
      </c>
      <c r="J16" s="5">
        <v>1</v>
      </c>
      <c r="K16" s="5">
        <v>1</v>
      </c>
      <c r="L16" s="5">
        <v>0</v>
      </c>
      <c r="M16" s="5">
        <v>141.510746</v>
      </c>
      <c r="N16" s="7">
        <v>0.0</v>
      </c>
      <c r="O16" s="7">
        <v>0.0</v>
      </c>
      <c r="P16" s="7">
        <v>1.0</v>
      </c>
      <c r="Q16" s="7">
        <v>0.0</v>
      </c>
    </row>
    <row r="17" outlineLevel="1">
      <c r="B17" s="0" t="inlineStr">
        <is>
          <t xml:space="preserve">2023-03-31</t>
        </is>
      </c>
      <c r="C17" s="0" t="inlineStr">
        <is>
          <t xml:space="preserve">-</t>
        </is>
      </c>
      <c r="D17" s="0" t="inlineStr">
        <is>
          <t xml:space="preserve">BAE Systems Land &amp; Armaments L.P.</t>
        </is>
      </c>
      <c r="E17" s="0" t="inlineStr">
        <is>
          <t xml:space="preserve">ddg_gfe_vls</t>
        </is>
      </c>
      <c r="F17" s="0" t="inlineStr">
        <is>
          <t xml:space="preserve">component_procurement</t>
        </is>
      </c>
      <c r="G17" s="0" t="inlineStr">
        <is>
          <t xml:space="preserve">EXCLUDE_GFE</t>
        </is>
      </c>
      <c r="H17" s="0" t="inlineStr">
        <is>
          <t xml:space="preserve">BC</t>
        </is>
      </c>
      <c r="I17" s="5">
        <v>1</v>
      </c>
      <c r="J17" s="5">
        <v>1</v>
      </c>
      <c r="K17" s="5">
        <v>1</v>
      </c>
      <c r="L17" s="5">
        <v>0</v>
      </c>
      <c r="M17" s="5">
        <v>132.485525</v>
      </c>
      <c r="N17" s="7">
        <v>0.0</v>
      </c>
      <c r="O17" s="7">
        <v>0.0</v>
      </c>
      <c r="P17" s="7">
        <v>1.0</v>
      </c>
      <c r="Q17" s="7">
        <v>0.0</v>
      </c>
    </row>
    <row r="18" outlineLevel="1">
      <c r="B18" s="0" t="inlineStr">
        <is>
          <t xml:space="preserve">2024-04-11</t>
        </is>
      </c>
      <c r="C18" s="0" t="inlineStr">
        <is>
          <t xml:space="preserve">-</t>
        </is>
      </c>
      <c r="D18" s="0" t="inlineStr">
        <is>
          <t xml:space="preserve">-</t>
        </is>
      </c>
      <c r="E18" s="0" t="inlineStr">
        <is>
          <t xml:space="preserve">ddg_gfe_aegis</t>
        </is>
      </c>
      <c r="F18" s="0" t="inlineStr">
        <is>
          <t xml:space="preserve">component_procurement</t>
        </is>
      </c>
      <c r="G18" s="0" t="inlineStr">
        <is>
          <t xml:space="preserve">EXCLUDE_GFE</t>
        </is>
      </c>
      <c r="H18" s="0" t="inlineStr">
        <is>
          <t xml:space="preserve">BC</t>
        </is>
      </c>
      <c r="I18" s="5">
        <v>1</v>
      </c>
      <c r="J18" s="5">
        <v>1</v>
      </c>
      <c r="K18" s="5">
        <v>1</v>
      </c>
      <c r="L18" s="5">
        <v>0</v>
      </c>
      <c r="M18" s="5">
        <v>126.989166</v>
      </c>
      <c r="N18" s="7">
        <v>0.0</v>
      </c>
      <c r="O18" s="7">
        <v>0.0</v>
      </c>
      <c r="P18" s="7">
        <v>1.0</v>
      </c>
      <c r="Q18" s="7">
        <v>0.0</v>
      </c>
    </row>
    <row r="19" outlineLevel="1">
      <c r="B19" s="0" t="inlineStr">
        <is>
          <t xml:space="preserve">2025-12-11</t>
        </is>
      </c>
      <c r="C19" s="0" t="inlineStr">
        <is>
          <t xml:space="preserve">N00024-23-C-5101</t>
        </is>
      </c>
      <c r="D19" s="0" t="inlineStr">
        <is>
          <t xml:space="preserve">-</t>
        </is>
      </c>
      <c r="E19" s="0" t="inlineStr">
        <is>
          <t xml:space="preserve">ddg_gfe_aegis</t>
        </is>
      </c>
      <c r="F19" s="0" t="inlineStr">
        <is>
          <t xml:space="preserve">component_procurement</t>
        </is>
      </c>
      <c r="G19" s="0" t="inlineStr">
        <is>
          <t xml:space="preserve">EXCLUDE_GFE</t>
        </is>
      </c>
      <c r="H19" s="0" t="inlineStr">
        <is>
          <t xml:space="preserve">BC</t>
        </is>
      </c>
      <c r="I19" s="5">
        <v>1</v>
      </c>
      <c r="J19" s="5">
        <v>1</v>
      </c>
      <c r="K19" s="5">
        <v>1</v>
      </c>
      <c r="L19" s="5">
        <v>0</v>
      </c>
      <c r="M19" s="5">
        <v>104.623274</v>
      </c>
      <c r="N19" s="7">
        <v>0.0</v>
      </c>
      <c r="O19" s="7">
        <v>0.0</v>
      </c>
      <c r="P19" s="7">
        <v>1.0</v>
      </c>
      <c r="Q19" s="7">
        <v>0.0</v>
      </c>
    </row>
    <row r="20" outlineLevel="1">
      <c r="B20" s="0" t="inlineStr">
        <is>
          <t xml:space="preserve">2024-01-09</t>
        </is>
      </c>
      <c r="C20" s="0" t="inlineStr">
        <is>
          <t xml:space="preserve">N00024-24-C-5131</t>
        </is>
      </c>
      <c r="D20" s="0" t="inlineStr">
        <is>
          <t xml:space="preserve">-</t>
        </is>
      </c>
      <c r="E20" s="0" t="inlineStr">
        <is>
          <t xml:space="preserve">ddg_gfe_aegis</t>
        </is>
      </c>
      <c r="F20" s="0" t="inlineStr">
        <is>
          <t xml:space="preserve">component_procurement</t>
        </is>
      </c>
      <c r="G20" s="0" t="inlineStr">
        <is>
          <t xml:space="preserve">EXCLUDE_GFE</t>
        </is>
      </c>
      <c r="H20" s="0" t="inlineStr">
        <is>
          <t xml:space="preserve">BC</t>
        </is>
      </c>
      <c r="I20" s="5">
        <v>1</v>
      </c>
      <c r="J20" s="5">
        <v>1</v>
      </c>
      <c r="K20" s="5">
        <v>1</v>
      </c>
      <c r="L20" s="5">
        <v>0</v>
      </c>
      <c r="M20" s="5">
        <v>101.508183</v>
      </c>
      <c r="N20" s="7">
        <v>0.0</v>
      </c>
      <c r="O20" s="7">
        <v>0.0</v>
      </c>
      <c r="P20" s="7">
        <v>0.0</v>
      </c>
      <c r="Q20" s="7">
        <v>0.0</v>
      </c>
    </row>
    <row r="21" outlineLevel="1">
      <c r="B21" s="0" t="inlineStr">
        <is>
          <t xml:space="preserve">2023-10-20</t>
        </is>
      </c>
      <c r="C21" s="0" t="inlineStr">
        <is>
          <t xml:space="preserve">-</t>
        </is>
      </c>
      <c r="D21" s="0" t="inlineStr">
        <is>
          <t xml:space="preserve">Raytheon Co.</t>
        </is>
      </c>
      <c r="E21" s="0" t="inlineStr">
        <is>
          <t xml:space="preserve">ddg_gfe_combat_systems</t>
        </is>
      </c>
      <c r="F21" s="0" t="inlineStr">
        <is>
          <t xml:space="preserve">component_procurement</t>
        </is>
      </c>
      <c r="G21" s="0" t="inlineStr">
        <is>
          <t xml:space="preserve">EXCLUDE_GFE</t>
        </is>
      </c>
      <c r="H21" s="0" t="inlineStr">
        <is>
          <t xml:space="preserve">BC</t>
        </is>
      </c>
      <c r="I21" s="5">
        <v>1</v>
      </c>
      <c r="J21" s="5">
        <v>1</v>
      </c>
      <c r="K21" s="5">
        <v>1</v>
      </c>
      <c r="L21" s="5">
        <v>0</v>
      </c>
      <c r="M21" s="5">
        <v>96.333349</v>
      </c>
      <c r="N21" s="7">
        <v>0.0</v>
      </c>
      <c r="O21" s="7">
        <v>0.0</v>
      </c>
      <c r="P21" s="7">
        <v>1.0</v>
      </c>
      <c r="Q21" s="7">
        <v>0.0</v>
      </c>
    </row>
    <row r="22" outlineLevel="1">
      <c r="B22" s="0" t="inlineStr">
        <is>
          <t xml:space="preserve">2025-12-29</t>
        </is>
      </c>
      <c r="C22" s="0" t="inlineStr">
        <is>
          <t xml:space="preserve">N00024-23-C-5123</t>
        </is>
      </c>
      <c r="D22" s="0" t="inlineStr">
        <is>
          <t xml:space="preserve">Lockheed Martin Rotary and Mission Systems</t>
        </is>
      </c>
      <c r="E22" s="0" t="inlineStr">
        <is>
          <t xml:space="preserve">ddg_gfe_aegis</t>
        </is>
      </c>
      <c r="F22" s="0" t="inlineStr">
        <is>
          <t xml:space="preserve">component_procurement</t>
        </is>
      </c>
      <c r="G22" s="0" t="inlineStr">
        <is>
          <t xml:space="preserve">EXCLUDE_GFE</t>
        </is>
      </c>
      <c r="H22" s="0" t="inlineStr">
        <is>
          <t xml:space="preserve">BC</t>
        </is>
      </c>
      <c r="I22" s="5">
        <v>1</v>
      </c>
      <c r="J22" s="5">
        <v>1</v>
      </c>
      <c r="K22" s="5">
        <v>1</v>
      </c>
      <c r="L22" s="5">
        <v>0</v>
      </c>
      <c r="M22" s="5">
        <v>92.783864</v>
      </c>
      <c r="N22" s="7">
        <v>0.0</v>
      </c>
      <c r="O22" s="7">
        <v>0.0</v>
      </c>
      <c r="P22" s="7">
        <v>1.0</v>
      </c>
      <c r="Q22" s="7">
        <v>0.0</v>
      </c>
    </row>
    <row r="23" outlineLevel="1">
      <c r="B23" s="0" t="inlineStr">
        <is>
          <t xml:space="preserve">2025-01-21</t>
        </is>
      </c>
      <c r="C23" s="0" t="inlineStr">
        <is>
          <t xml:space="preserve">-</t>
        </is>
      </c>
      <c r="D23" s="0" t="inlineStr">
        <is>
          <t xml:space="preserve">Lockheed Martin Rotary and Mission Systems</t>
        </is>
      </c>
      <c r="E23" s="0" t="inlineStr">
        <is>
          <t xml:space="preserve">ddg_gfe_aegis</t>
        </is>
      </c>
      <c r="F23" s="0" t="inlineStr">
        <is>
          <t xml:space="preserve">component_procurement</t>
        </is>
      </c>
      <c r="G23" s="0" t="inlineStr">
        <is>
          <t xml:space="preserve">EXCLUDE_GFE</t>
        </is>
      </c>
      <c r="H23" s="0" t="inlineStr">
        <is>
          <t xml:space="preserve">BC</t>
        </is>
      </c>
      <c r="I23" s="5">
        <v>1</v>
      </c>
      <c r="J23" s="5">
        <v>1</v>
      </c>
      <c r="K23" s="5">
        <v>1</v>
      </c>
      <c r="L23" s="5">
        <v>0</v>
      </c>
      <c r="M23" s="5">
        <v>92.674215</v>
      </c>
      <c r="N23" s="7">
        <v>0.0</v>
      </c>
      <c r="O23" s="7">
        <v>0.0</v>
      </c>
      <c r="P23" s="7">
        <v>1.0</v>
      </c>
      <c r="Q23" s="7">
        <v>0.0</v>
      </c>
    </row>
    <row r="24" outlineLevel="1">
      <c r="B24" s="0" t="inlineStr">
        <is>
          <t xml:space="preserve">2025-07-01</t>
        </is>
      </c>
      <c r="C24" s="0" t="inlineStr">
        <is>
          <t xml:space="preserve">N00024-23-C-5123</t>
        </is>
      </c>
      <c r="D24" s="0" t="inlineStr">
        <is>
          <t xml:space="preserve">Lockheed Martin Rotary and Mission Systems</t>
        </is>
      </c>
      <c r="E24" s="0" t="inlineStr">
        <is>
          <t xml:space="preserve">ddg_gfe_aegis</t>
        </is>
      </c>
      <c r="F24" s="0" t="inlineStr">
        <is>
          <t xml:space="preserve">component_procurement</t>
        </is>
      </c>
      <c r="G24" s="0" t="inlineStr">
        <is>
          <t xml:space="preserve">EXCLUDE_GFE</t>
        </is>
      </c>
      <c r="H24" s="0" t="inlineStr">
        <is>
          <t xml:space="preserve">BC</t>
        </is>
      </c>
      <c r="I24" s="5">
        <v>1</v>
      </c>
      <c r="J24" s="5">
        <v>1</v>
      </c>
      <c r="K24" s="5">
        <v>1</v>
      </c>
      <c r="L24" s="5">
        <v>0</v>
      </c>
      <c r="M24" s="5">
        <v>92.188802</v>
      </c>
      <c r="N24" s="7">
        <v>0.0</v>
      </c>
      <c r="O24" s="7">
        <v>0.0</v>
      </c>
      <c r="P24" s="7">
        <v>1.0</v>
      </c>
      <c r="Q24" s="7">
        <v>0.0</v>
      </c>
    </row>
    <row r="25" outlineLevel="1">
      <c r="B25" s="0" t="inlineStr">
        <is>
          <t xml:space="preserve">2024-01-25</t>
        </is>
      </c>
      <c r="C25" s="0" t="inlineStr">
        <is>
          <t xml:space="preserve">N00024-23-C-5325</t>
        </is>
      </c>
      <c r="D25" s="0" t="inlineStr">
        <is>
          <t xml:space="preserve">Lockheed Martin Rotary and Mission Systems</t>
        </is>
      </c>
      <c r="E25" s="0" t="inlineStr">
        <is>
          <t xml:space="preserve">ddg_gfe_aegis</t>
        </is>
      </c>
      <c r="F25" s="0" t="inlineStr">
        <is>
          <t xml:space="preserve">component_procurement</t>
        </is>
      </c>
      <c r="G25" s="0" t="inlineStr">
        <is>
          <t xml:space="preserve">EXCLUDE_GFE</t>
        </is>
      </c>
      <c r="H25" s="0" t="inlineStr">
        <is>
          <t xml:space="preserve">BC</t>
        </is>
      </c>
      <c r="I25" s="5">
        <v>1</v>
      </c>
      <c r="J25" s="5">
        <v>1</v>
      </c>
      <c r="K25" s="5">
        <v>1</v>
      </c>
      <c r="L25" s="5">
        <v>0</v>
      </c>
      <c r="M25" s="5">
        <v>90.27148</v>
      </c>
      <c r="N25" s="7">
        <v>0.0</v>
      </c>
      <c r="O25" s="7">
        <v>0.0</v>
      </c>
      <c r="P25" s="7">
        <v>0.77</v>
      </c>
      <c r="Q25" s="7">
        <v>0.0</v>
      </c>
    </row>
    <row r="26" outlineLevel="1">
      <c r="B26" s="0" t="inlineStr">
        <is>
          <t xml:space="preserve">2025-01-14</t>
        </is>
      </c>
      <c r="C26" s="0" t="inlineStr">
        <is>
          <t xml:space="preserve">N00024-24-C-5131</t>
        </is>
      </c>
      <c r="D26" s="0" t="inlineStr">
        <is>
          <t xml:space="preserve">Lockheed Martin Rotary and Mission Systems</t>
        </is>
      </c>
      <c r="E26" s="0" t="inlineStr">
        <is>
          <t xml:space="preserve">ddg_gfe_aegis</t>
        </is>
      </c>
      <c r="F26" s="0" t="inlineStr">
        <is>
          <t xml:space="preserve">component_procurement</t>
        </is>
      </c>
      <c r="G26" s="0" t="inlineStr">
        <is>
          <t xml:space="preserve">EXCLUDE_GFE</t>
        </is>
      </c>
      <c r="H26" s="0" t="inlineStr">
        <is>
          <t xml:space="preserve">BC</t>
        </is>
      </c>
      <c r="I26" s="5">
        <v>1</v>
      </c>
      <c r="J26" s="5">
        <v>1</v>
      </c>
      <c r="K26" s="5">
        <v>1</v>
      </c>
      <c r="L26" s="5">
        <v>0</v>
      </c>
      <c r="M26" s="5">
        <v>82.292467</v>
      </c>
      <c r="N26" s="7">
        <v>0.0</v>
      </c>
      <c r="O26" s="7">
        <v>0.0</v>
      </c>
      <c r="P26" s="7">
        <v>1.0</v>
      </c>
      <c r="Q26" s="7">
        <v>0.0</v>
      </c>
    </row>
    <row r="27" outlineLevel="1">
      <c r="B27" s="0" t="inlineStr">
        <is>
          <t xml:space="preserve">2024-07-12</t>
        </is>
      </c>
      <c r="C27" s="0" t="inlineStr">
        <is>
          <t xml:space="preserve">N00024-24-C-5324</t>
        </is>
      </c>
      <c r="D27" s="0" t="inlineStr">
        <is>
          <t xml:space="preserve">BAE Systems Land &amp; Armaments L.P.</t>
        </is>
      </c>
      <c r="E27" s="0" t="inlineStr">
        <is>
          <t xml:space="preserve">ddg_gfe_vls</t>
        </is>
      </c>
      <c r="F27" s="0" t="inlineStr">
        <is>
          <t xml:space="preserve">component_procurement</t>
        </is>
      </c>
      <c r="G27" s="0" t="inlineStr">
        <is>
          <t xml:space="preserve">EXCLUDE_GFE</t>
        </is>
      </c>
      <c r="H27" s="0" t="inlineStr">
        <is>
          <t xml:space="preserve">BC</t>
        </is>
      </c>
      <c r="I27" s="5">
        <v>1</v>
      </c>
      <c r="J27" s="5">
        <v>1</v>
      </c>
      <c r="K27" s="5">
        <v>1</v>
      </c>
      <c r="L27" s="5">
        <v>0</v>
      </c>
      <c r="M27" s="5">
        <v>78.845434</v>
      </c>
      <c r="N27" s="7">
        <v>0.0</v>
      </c>
      <c r="O27" s="7">
        <v>0.0</v>
      </c>
      <c r="P27" s="7">
        <v>1.0</v>
      </c>
      <c r="Q27" s="7">
        <v>0.0</v>
      </c>
    </row>
    <row r="28" outlineLevel="1">
      <c r="B28" s="0" t="inlineStr">
        <is>
          <t xml:space="preserve">2025-06-30</t>
        </is>
      </c>
      <c r="C28" s="0" t="inlineStr">
        <is>
          <t xml:space="preserve">N00024-18-C-5218</t>
        </is>
      </c>
      <c r="D28" s="0" t="inlineStr">
        <is>
          <t xml:space="preserve">Lockheed Martin Rotary and Mission Systems</t>
        </is>
      </c>
      <c r="E28" s="0" t="inlineStr">
        <is>
          <t xml:space="preserve">ddg_gfe_aegis</t>
        </is>
      </c>
      <c r="F28" s="0" t="inlineStr">
        <is>
          <t xml:space="preserve">component_procurement</t>
        </is>
      </c>
      <c r="G28" s="0" t="inlineStr">
        <is>
          <t xml:space="preserve">EXCLUDE_GFE</t>
        </is>
      </c>
      <c r="H28" s="0" t="inlineStr">
        <is>
          <t xml:space="preserve">BC</t>
        </is>
      </c>
      <c r="I28" s="5">
        <v>1</v>
      </c>
      <c r="J28" s="5">
        <v>1</v>
      </c>
      <c r="K28" s="5">
        <v>1</v>
      </c>
      <c r="L28" s="5">
        <v>0</v>
      </c>
      <c r="M28" s="5">
        <v>78.471591</v>
      </c>
      <c r="N28" s="7">
        <v>0.0</v>
      </c>
      <c r="O28" s="7">
        <v>0.0</v>
      </c>
      <c r="P28" s="7">
        <v>1.0</v>
      </c>
      <c r="Q28" s="7">
        <v>0.0</v>
      </c>
    </row>
    <row r="29" outlineLevel="1">
      <c r="B29" s="0" t="inlineStr">
        <is>
          <t xml:space="preserve">2026-02-20</t>
        </is>
      </c>
      <c r="C29" s="0" t="inlineStr">
        <is>
          <t xml:space="preserve">N00024-26-C-5203</t>
        </is>
      </c>
      <c r="D29" s="0" t="inlineStr">
        <is>
          <t xml:space="preserve">-</t>
        </is>
      </c>
      <c r="E29" s="0" t="inlineStr">
        <is>
          <t xml:space="preserve">ddg_gfe_aegis</t>
        </is>
      </c>
      <c r="F29" s="0" t="inlineStr">
        <is>
          <t xml:space="preserve">component_procurement</t>
        </is>
      </c>
      <c r="G29" s="0" t="inlineStr">
        <is>
          <t xml:space="preserve">EXCLUDE_GFE</t>
        </is>
      </c>
      <c r="H29" s="0" t="inlineStr">
        <is>
          <t xml:space="preserve">BC</t>
        </is>
      </c>
      <c r="I29" s="5">
        <v>1</v>
      </c>
      <c r="J29" s="5">
        <v>1</v>
      </c>
      <c r="K29" s="5">
        <v>1</v>
      </c>
      <c r="L29" s="5">
        <v>0</v>
      </c>
      <c r="M29" s="5">
        <v>78.429802</v>
      </c>
      <c r="N29" s="7">
        <v>0.0</v>
      </c>
      <c r="O29" s="7">
        <v>0.0</v>
      </c>
      <c r="P29" s="7">
        <v>1.0</v>
      </c>
      <c r="Q29" s="7">
        <v>0.0</v>
      </c>
    </row>
    <row r="30" outlineLevel="1">
      <c r="B30" s="0" t="inlineStr">
        <is>
          <t xml:space="preserve">2024-12-13</t>
        </is>
      </c>
      <c r="C30" s="0" t="inlineStr">
        <is>
          <t xml:space="preserve">-</t>
        </is>
      </c>
      <c r="D30" s="0" t="inlineStr">
        <is>
          <t xml:space="preserve">Lockheed Martin Rotary and Mission Systems</t>
        </is>
      </c>
      <c r="E30" s="0" t="inlineStr">
        <is>
          <t xml:space="preserve">ddg_gfe_aegis</t>
        </is>
      </c>
      <c r="F30" s="0" t="inlineStr">
        <is>
          <t xml:space="preserve">component_procurement</t>
        </is>
      </c>
      <c r="G30" s="0" t="inlineStr">
        <is>
          <t xml:space="preserve">EXCLUDE_GFE</t>
        </is>
      </c>
      <c r="H30" s="0" t="inlineStr">
        <is>
          <t xml:space="preserve">BC</t>
        </is>
      </c>
      <c r="I30" s="5">
        <v>1</v>
      </c>
      <c r="J30" s="5">
        <v>1</v>
      </c>
      <c r="K30" s="5">
        <v>1</v>
      </c>
      <c r="L30" s="5">
        <v>0</v>
      </c>
      <c r="M30" s="5">
        <v>73.102951</v>
      </c>
      <c r="N30" s="7">
        <v>0.0</v>
      </c>
      <c r="O30" s="7">
        <v>0.0</v>
      </c>
      <c r="P30" s="7">
        <v>0.77</v>
      </c>
      <c r="Q30" s="7">
        <v>0.0</v>
      </c>
    </row>
    <row r="31" outlineLevel="1">
      <c r="B31" s="0" t="inlineStr">
        <is>
          <t xml:space="preserve">2025-01-08</t>
        </is>
      </c>
      <c r="C31" s="0" t="inlineStr">
        <is>
          <t xml:space="preserve">N00024-18-C-5218</t>
        </is>
      </c>
      <c r="D31" s="0" t="inlineStr">
        <is>
          <t xml:space="preserve">Lockheed Martin Rotary and Mission Systems</t>
        </is>
      </c>
      <c r="E31" s="0" t="inlineStr">
        <is>
          <t xml:space="preserve">ddg_gfe_aegis</t>
        </is>
      </c>
      <c r="F31" s="0" t="inlineStr">
        <is>
          <t xml:space="preserve">component_procurement</t>
        </is>
      </c>
      <c r="G31" s="0" t="inlineStr">
        <is>
          <t xml:space="preserve">EXCLUDE_GFE</t>
        </is>
      </c>
      <c r="H31" s="0" t="inlineStr">
        <is>
          <t xml:space="preserve">BC</t>
        </is>
      </c>
      <c r="I31" s="5">
        <v>1</v>
      </c>
      <c r="J31" s="5">
        <v>1</v>
      </c>
      <c r="K31" s="5">
        <v>1</v>
      </c>
      <c r="L31" s="5">
        <v>0</v>
      </c>
      <c r="M31" s="5">
        <v>70.971132</v>
      </c>
      <c r="N31" s="7">
        <v>0.0</v>
      </c>
      <c r="O31" s="7">
        <v>0.0</v>
      </c>
      <c r="P31" s="7">
        <v>1.0</v>
      </c>
      <c r="Q31" s="7">
        <v>0.0</v>
      </c>
    </row>
    <row r="32" outlineLevel="1">
      <c r="B32" s="0" t="inlineStr">
        <is>
          <t xml:space="preserve">2023-09-01</t>
        </is>
      </c>
      <c r="C32" s="0" t="inlineStr">
        <is>
          <t xml:space="preserve">-</t>
        </is>
      </c>
      <c r="D32" s="0" t="inlineStr">
        <is>
          <t xml:space="preserve">-</t>
        </is>
      </c>
      <c r="E32" s="0" t="inlineStr">
        <is>
          <t xml:space="preserve">ddg_gfe_aegis</t>
        </is>
      </c>
      <c r="F32" s="0" t="inlineStr">
        <is>
          <t xml:space="preserve">component_procurement</t>
        </is>
      </c>
      <c r="G32" s="0" t="inlineStr">
        <is>
          <t xml:space="preserve">EXCLUDE_GFE</t>
        </is>
      </c>
      <c r="H32" s="0" t="inlineStr">
        <is>
          <t xml:space="preserve">BC</t>
        </is>
      </c>
      <c r="I32" s="5">
        <v>1</v>
      </c>
      <c r="J32" s="5">
        <v>1</v>
      </c>
      <c r="K32" s="5">
        <v>1</v>
      </c>
      <c r="L32" s="5">
        <v>0</v>
      </c>
      <c r="M32" s="5">
        <v>67.811401</v>
      </c>
      <c r="N32" s="7">
        <v>0.09</v>
      </c>
      <c r="O32" s="7">
        <v>0.09</v>
      </c>
      <c r="P32" s="7">
        <v>0.74</v>
      </c>
      <c r="Q32" s="7">
        <v>0.0</v>
      </c>
    </row>
    <row r="33" outlineLevel="1">
      <c r="B33" s="0" t="inlineStr">
        <is>
          <t xml:space="preserve">2025-04-04</t>
        </is>
      </c>
      <c r="C33" s="0" t="inlineStr">
        <is>
          <t xml:space="preserve">-</t>
        </is>
      </c>
      <c r="D33" s="0" t="inlineStr">
        <is>
          <t xml:space="preserve">-</t>
        </is>
      </c>
      <c r="E33" s="0" t="inlineStr">
        <is>
          <t xml:space="preserve">ddg_gfe_propulsion</t>
        </is>
      </c>
      <c r="F33" s="0" t="inlineStr">
        <is>
          <t xml:space="preserve">component_procurement</t>
        </is>
      </c>
      <c r="G33" s="0" t="inlineStr">
        <is>
          <t xml:space="preserve">EXCLUDE_GFE</t>
        </is>
      </c>
      <c r="H33" s="0" t="inlineStr">
        <is>
          <t xml:space="preserve">BC</t>
        </is>
      </c>
      <c r="I33" s="5">
        <v>1</v>
      </c>
      <c r="J33" s="5">
        <v>1</v>
      </c>
      <c r="K33" s="5">
        <v>1</v>
      </c>
      <c r="L33" s="5">
        <v>0</v>
      </c>
      <c r="M33" s="5">
        <v>67.589498</v>
      </c>
      <c r="N33" s="7">
        <v>0.0</v>
      </c>
      <c r="O33" s="7">
        <v>0.0</v>
      </c>
      <c r="P33" s="7">
        <v>0.0</v>
      </c>
      <c r="Q33" s="7">
        <v>0.0</v>
      </c>
    </row>
    <row r="34" outlineLevel="1">
      <c r="B34" s="0" t="inlineStr">
        <is>
          <t xml:space="preserve">2023-09-21</t>
        </is>
      </c>
      <c r="C34" s="0" t="inlineStr">
        <is>
          <t xml:space="preserve">-</t>
        </is>
      </c>
      <c r="D34" s="0" t="inlineStr">
        <is>
          <t xml:space="preserve">L3 Technologies Inc.</t>
        </is>
      </c>
      <c r="E34" s="0" t="inlineStr">
        <is>
          <t xml:space="preserve">ddg_gfe_combat_systems</t>
        </is>
      </c>
      <c r="F34" s="0" t="inlineStr">
        <is>
          <t xml:space="preserve">component_procurement</t>
        </is>
      </c>
      <c r="G34" s="0" t="inlineStr">
        <is>
          <t xml:space="preserve">EXCLUDE_GFE</t>
        </is>
      </c>
      <c r="H34" s="0" t="inlineStr">
        <is>
          <t xml:space="preserve">BC</t>
        </is>
      </c>
      <c r="I34" s="5">
        <v>1</v>
      </c>
      <c r="J34" s="5">
        <v>1</v>
      </c>
      <c r="K34" s="5">
        <v>1</v>
      </c>
      <c r="L34" s="5">
        <v>0</v>
      </c>
      <c r="M34" s="5">
        <v>67.428655</v>
      </c>
      <c r="N34" s="7">
        <v>0.0</v>
      </c>
      <c r="O34" s="7">
        <v>0.0</v>
      </c>
      <c r="P34" s="7">
        <v>1.0</v>
      </c>
      <c r="Q34" s="7">
        <v>0.0</v>
      </c>
    </row>
    <row r="35" outlineLevel="1">
      <c r="B35" s="0" t="inlineStr">
        <is>
          <t xml:space="preserve">2024-09-03</t>
        </is>
      </c>
      <c r="C35" s="0" t="inlineStr">
        <is>
          <t xml:space="preserve">N00024-15-C-5151</t>
        </is>
      </c>
      <c r="D35" s="0" t="inlineStr">
        <is>
          <t xml:space="preserve">Lockheed Martin Rotary and Mission Systems</t>
        </is>
      </c>
      <c r="E35" s="0" t="inlineStr">
        <is>
          <t xml:space="preserve">ddg_gfe_aegis</t>
        </is>
      </c>
      <c r="F35" s="0" t="inlineStr">
        <is>
          <t xml:space="preserve">component_procurement</t>
        </is>
      </c>
      <c r="G35" s="0" t="inlineStr">
        <is>
          <t xml:space="preserve">EXCLUDE_GFE</t>
        </is>
      </c>
      <c r="H35" s="0" t="inlineStr">
        <is>
          <t xml:space="preserve">BC</t>
        </is>
      </c>
      <c r="I35" s="5">
        <v>1</v>
      </c>
      <c r="J35" s="5">
        <v>1</v>
      </c>
      <c r="K35" s="5">
        <v>1</v>
      </c>
      <c r="L35" s="5">
        <v>0</v>
      </c>
      <c r="M35" s="5">
        <v>66.633889</v>
      </c>
      <c r="N35" s="7">
        <v>0.1</v>
      </c>
      <c r="O35" s="7">
        <v>0.09</v>
      </c>
      <c r="P35" s="7">
        <v>0.81</v>
      </c>
      <c r="Q35" s="7">
        <v>0.0</v>
      </c>
    </row>
    <row r="36" outlineLevel="1">
      <c r="B36" s="0" t="inlineStr">
        <is>
          <t xml:space="preserve">2025-12-02</t>
        </is>
      </c>
      <c r="C36" s="0" t="inlineStr">
        <is>
          <t xml:space="preserve">N00024-19-C-5603</t>
        </is>
      </c>
      <c r="D36" s="0" t="inlineStr">
        <is>
          <t xml:space="preserve">-</t>
        </is>
      </c>
      <c r="E36" s="0" t="inlineStr">
        <is>
          <t xml:space="preserve">ddg_gfe_aegis</t>
        </is>
      </c>
      <c r="F36" s="0" t="inlineStr">
        <is>
          <t xml:space="preserve">component_procurement</t>
        </is>
      </c>
      <c r="G36" s="0" t="inlineStr">
        <is>
          <t xml:space="preserve">EXCLUDE_GFE</t>
        </is>
      </c>
      <c r="H36" s="0" t="inlineStr">
        <is>
          <t xml:space="preserve">BC</t>
        </is>
      </c>
      <c r="I36" s="5">
        <v>1</v>
      </c>
      <c r="J36" s="5">
        <v>1</v>
      </c>
      <c r="K36" s="5">
        <v>1</v>
      </c>
      <c r="L36" s="5">
        <v>0</v>
      </c>
      <c r="M36" s="5">
        <v>64.131178</v>
      </c>
      <c r="N36" s="7">
        <v>0.0</v>
      </c>
      <c r="O36" s="7">
        <v>0.0</v>
      </c>
      <c r="P36" s="7">
        <v>1.0</v>
      </c>
      <c r="Q36" s="7">
        <v>0.0</v>
      </c>
    </row>
    <row r="37" outlineLevel="1">
      <c r="B37" s="0" t="inlineStr">
        <is>
          <t xml:space="preserve">2023-09-18</t>
        </is>
      </c>
      <c r="C37" s="0" t="inlineStr">
        <is>
          <t xml:space="preserve">N00024-23-C-5101</t>
        </is>
      </c>
      <c r="D37" s="0" t="inlineStr">
        <is>
          <t xml:space="preserve">Lockheed Martin Rotary and Mission Systems</t>
        </is>
      </c>
      <c r="E37" s="0" t="inlineStr">
        <is>
          <t xml:space="preserve">ddg_gfe_aegis</t>
        </is>
      </c>
      <c r="F37" s="0" t="inlineStr">
        <is>
          <t xml:space="preserve">component_procurement</t>
        </is>
      </c>
      <c r="G37" s="0" t="inlineStr">
        <is>
          <t xml:space="preserve">EXCLUDE_GFE</t>
        </is>
      </c>
      <c r="H37" s="0" t="inlineStr">
        <is>
          <t xml:space="preserve">BC</t>
        </is>
      </c>
      <c r="I37" s="5">
        <v>1</v>
      </c>
      <c r="J37" s="5">
        <v>1</v>
      </c>
      <c r="K37" s="5">
        <v>1</v>
      </c>
      <c r="L37" s="5">
        <v>0</v>
      </c>
      <c r="M37" s="5">
        <v>63.820154</v>
      </c>
      <c r="N37" s="7">
        <v>0.0</v>
      </c>
      <c r="O37" s="7">
        <v>0.0</v>
      </c>
      <c r="P37" s="7">
        <v>0.97</v>
      </c>
      <c r="Q37" s="7">
        <v>0.0</v>
      </c>
    </row>
    <row r="38" outlineLevel="1">
      <c r="B38" s="0" t="inlineStr">
        <is>
          <t xml:space="preserve">2024-12-13</t>
        </is>
      </c>
      <c r="C38" s="0" t="inlineStr">
        <is>
          <t xml:space="preserve">-</t>
        </is>
      </c>
      <c r="D38" s="0" t="inlineStr">
        <is>
          <t xml:space="preserve">-</t>
        </is>
      </c>
      <c r="E38" s="0" t="inlineStr">
        <is>
          <t xml:space="preserve">ddg_gfe_aegis</t>
        </is>
      </c>
      <c r="F38" s="0" t="inlineStr">
        <is>
          <t xml:space="preserve">component_procurement</t>
        </is>
      </c>
      <c r="G38" s="0" t="inlineStr">
        <is>
          <t xml:space="preserve">EXCLUDE_GFE</t>
        </is>
      </c>
      <c r="H38" s="0" t="inlineStr">
        <is>
          <t xml:space="preserve">BC</t>
        </is>
      </c>
      <c r="I38" s="5">
        <v>1</v>
      </c>
      <c r="J38" s="5">
        <v>1</v>
      </c>
      <c r="K38" s="5">
        <v>1</v>
      </c>
      <c r="L38" s="5">
        <v>0</v>
      </c>
      <c r="M38" s="5">
        <v>63.075265</v>
      </c>
      <c r="N38" s="7">
        <v>0.0</v>
      </c>
      <c r="O38" s="7">
        <v>0.0</v>
      </c>
      <c r="P38" s="7">
        <v>1.0</v>
      </c>
      <c r="Q38" s="7">
        <v>0.0</v>
      </c>
    </row>
    <row r="39" outlineLevel="1">
      <c r="B39" s="0" t="inlineStr">
        <is>
          <t xml:space="preserve">2024-01-04</t>
        </is>
      </c>
      <c r="C39" s="0" t="inlineStr">
        <is>
          <t xml:space="preserve">N00024-19-C-5603</t>
        </is>
      </c>
      <c r="D39" s="0" t="inlineStr">
        <is>
          <t xml:space="preserve">-</t>
        </is>
      </c>
      <c r="E39" s="0" t="inlineStr">
        <is>
          <t xml:space="preserve">ddg_gfe_aegis</t>
        </is>
      </c>
      <c r="F39" s="0" t="inlineStr">
        <is>
          <t xml:space="preserve">component_procurement</t>
        </is>
      </c>
      <c r="G39" s="0" t="inlineStr">
        <is>
          <t xml:space="preserve">EXCLUDE_GFE</t>
        </is>
      </c>
      <c r="H39" s="0" t="inlineStr">
        <is>
          <t xml:space="preserve">BC</t>
        </is>
      </c>
      <c r="I39" s="5">
        <v>1</v>
      </c>
      <c r="J39" s="5">
        <v>1</v>
      </c>
      <c r="K39" s="5">
        <v>1</v>
      </c>
      <c r="L39" s="5">
        <v>0</v>
      </c>
      <c r="M39" s="5">
        <v>61.763178</v>
      </c>
      <c r="N39" s="7">
        <v>0.0</v>
      </c>
      <c r="O39" s="7">
        <v>0.0</v>
      </c>
      <c r="P39" s="7">
        <v>1.0</v>
      </c>
      <c r="Q39" s="7">
        <v>0.0</v>
      </c>
    </row>
    <row r="40" outlineLevel="1">
      <c r="B40" s="0" t="inlineStr">
        <is>
          <t xml:space="preserve">2024-10-21</t>
        </is>
      </c>
      <c r="C40" s="0" t="inlineStr">
        <is>
          <t xml:space="preserve">N00024-25-C-5314</t>
        </is>
      </c>
      <c r="D40" s="0" t="inlineStr">
        <is>
          <t xml:space="preserve">Stark Aerospace Inc.</t>
        </is>
      </c>
      <c r="E40" s="0" t="inlineStr">
        <is>
          <t xml:space="preserve">ddg_gfe_vls</t>
        </is>
      </c>
      <c r="F40" s="0" t="inlineStr">
        <is>
          <t xml:space="preserve">component_procurement</t>
        </is>
      </c>
      <c r="G40" s="0" t="inlineStr">
        <is>
          <t xml:space="preserve">EXCLUDE_GFE</t>
        </is>
      </c>
      <c r="H40" s="0" t="inlineStr">
        <is>
          <t xml:space="preserve">BC</t>
        </is>
      </c>
      <c r="I40" s="5">
        <v>1</v>
      </c>
      <c r="J40" s="5">
        <v>1</v>
      </c>
      <c r="K40" s="5">
        <v>1</v>
      </c>
      <c r="L40" s="5">
        <v>0</v>
      </c>
      <c r="M40" s="5">
        <v>61.45423</v>
      </c>
      <c r="N40" s="7">
        <v>0.0</v>
      </c>
      <c r="O40" s="7">
        <v>0.0</v>
      </c>
      <c r="P40" s="7">
        <v>1.0</v>
      </c>
      <c r="Q40" s="7">
        <v>0.0</v>
      </c>
    </row>
    <row r="41" outlineLevel="1">
      <c r="B41" s="0" t="inlineStr">
        <is>
          <t xml:space="preserve">2023-09-06</t>
        </is>
      </c>
      <c r="C41" s="0" t="inlineStr">
        <is>
          <t xml:space="preserve">N00024-23-C-2305</t>
        </is>
      </c>
      <c r="D41" s="0" t="inlineStr">
        <is>
          <t xml:space="preserve">-</t>
        </is>
      </c>
      <c r="E41" s="0" t="inlineStr">
        <is>
          <t xml:space="preserve">ddg51</t>
        </is>
      </c>
      <c r="F41" s="0" t="inlineStr">
        <is>
          <t xml:space="preserve">construction</t>
        </is>
      </c>
      <c r="G41" s="0" t="inlineStr">
        <is>
          <t xml:space="preserve">INCLUDE_BC</t>
        </is>
      </c>
      <c r="H41" s="0" t="inlineStr">
        <is>
          <t xml:space="preserve">BC</t>
        </is>
      </c>
      <c r="I41" s="5">
        <v>1</v>
      </c>
      <c r="J41" s="5">
        <v>0</v>
      </c>
      <c r="K41" s="5">
        <v>1</v>
      </c>
      <c r="L41" s="5">
        <v>0</v>
      </c>
      <c r="M41" s="5">
        <v>61.08845</v>
      </c>
      <c r="N41" s="7">
        <v>0.0</v>
      </c>
      <c r="O41" s="7">
        <v>0.0</v>
      </c>
      <c r="P41" s="7">
        <v>0.0</v>
      </c>
      <c r="Q41" s="7">
        <v>0.0</v>
      </c>
    </row>
    <row r="42" outlineLevel="1">
      <c r="B42" s="0" t="inlineStr">
        <is>
          <t xml:space="preserve">2024-08-19</t>
        </is>
      </c>
      <c r="C42" s="0" t="inlineStr">
        <is>
          <t xml:space="preserve">N00024-20-C-5392</t>
        </is>
      </c>
      <c r="D42" s="0" t="inlineStr">
        <is>
          <t xml:space="preserve">Lockheed Martin Rotary and Mission Systems</t>
        </is>
      </c>
      <c r="E42" s="0" t="inlineStr">
        <is>
          <t xml:space="preserve">ddg_gfe_aegis</t>
        </is>
      </c>
      <c r="F42" s="0" t="inlineStr">
        <is>
          <t xml:space="preserve">component_procurement</t>
        </is>
      </c>
      <c r="G42" s="0" t="inlineStr">
        <is>
          <t xml:space="preserve">EXCLUDE_GFE</t>
        </is>
      </c>
      <c r="H42" s="0" t="inlineStr">
        <is>
          <t xml:space="preserve">BC</t>
        </is>
      </c>
      <c r="I42" s="5">
        <v>1</v>
      </c>
      <c r="J42" s="5">
        <v>1</v>
      </c>
      <c r="K42" s="5">
        <v>1</v>
      </c>
      <c r="L42" s="5">
        <v>0</v>
      </c>
      <c r="M42" s="5">
        <v>61.0</v>
      </c>
      <c r="N42" s="7">
        <v>0.0</v>
      </c>
      <c r="O42" s="7">
        <v>0.0</v>
      </c>
      <c r="P42" s="7">
        <v>1.0</v>
      </c>
      <c r="Q42" s="7">
        <v>0.0</v>
      </c>
    </row>
    <row r="43" outlineLevel="1">
      <c r="B43" s="0" t="inlineStr">
        <is>
          <t xml:space="preserve">2026-03-09</t>
        </is>
      </c>
      <c r="C43" s="0" t="inlineStr">
        <is>
          <t xml:space="preserve">N00104-26-D-0001</t>
        </is>
      </c>
      <c r="D43" s="0" t="inlineStr">
        <is>
          <t xml:space="preserve">-</t>
        </is>
      </c>
      <c r="E43" s="0" t="inlineStr">
        <is>
          <t xml:space="preserve">ddg_gfe_aegis</t>
        </is>
      </c>
      <c r="F43" s="0" t="inlineStr">
        <is>
          <t xml:space="preserve">component_procurement</t>
        </is>
      </c>
      <c r="G43" s="0" t="inlineStr">
        <is>
          <t xml:space="preserve">EXCLUDE_GFE</t>
        </is>
      </c>
      <c r="H43" s="0" t="inlineStr">
        <is>
          <t xml:space="preserve">BC</t>
        </is>
      </c>
      <c r="I43" s="5">
        <v>1</v>
      </c>
      <c r="J43" s="5">
        <v>1</v>
      </c>
      <c r="K43" s="5">
        <v>1</v>
      </c>
      <c r="L43" s="5">
        <v>0</v>
      </c>
      <c r="M43" s="5">
        <v>60.643363</v>
      </c>
      <c r="N43" s="7">
        <v>0.0</v>
      </c>
      <c r="O43" s="7">
        <v>0.0</v>
      </c>
      <c r="P43" s="7">
        <v>0.0</v>
      </c>
      <c r="Q43" s="7">
        <v>0.0</v>
      </c>
    </row>
    <row r="44" outlineLevel="1">
      <c r="B44" s="0" t="inlineStr">
        <is>
          <t xml:space="preserve">2023-12-06</t>
        </is>
      </c>
      <c r="C44" s="0" t="inlineStr">
        <is>
          <t xml:space="preserve">-</t>
        </is>
      </c>
      <c r="D44" s="0" t="inlineStr">
        <is>
          <t xml:space="preserve">Lockheed Martin Rotary and Mission Systems</t>
        </is>
      </c>
      <c r="E44" s="0" t="inlineStr">
        <is>
          <t xml:space="preserve">ddg_gfe_aegis</t>
        </is>
      </c>
      <c r="F44" s="0" t="inlineStr">
        <is>
          <t xml:space="preserve">component_procurement</t>
        </is>
      </c>
      <c r="G44" s="0" t="inlineStr">
        <is>
          <t xml:space="preserve">EXCLUDE_GFE</t>
        </is>
      </c>
      <c r="H44" s="0" t="inlineStr">
        <is>
          <t xml:space="preserve">BC</t>
        </is>
      </c>
      <c r="I44" s="5">
        <v>1</v>
      </c>
      <c r="J44" s="5">
        <v>1</v>
      </c>
      <c r="K44" s="5">
        <v>1</v>
      </c>
      <c r="L44" s="5">
        <v>0</v>
      </c>
      <c r="M44" s="5">
        <v>60.299575</v>
      </c>
      <c r="N44" s="7">
        <v>0.0</v>
      </c>
      <c r="O44" s="7">
        <v>0.0</v>
      </c>
      <c r="P44" s="7">
        <v>1.0</v>
      </c>
      <c r="Q44" s="7">
        <v>0.0</v>
      </c>
    </row>
    <row r="45" outlineLevel="1">
      <c r="B45" s="0" t="inlineStr">
        <is>
          <t xml:space="preserve">2025-12-30</t>
        </is>
      </c>
      <c r="C45" s="0" t="inlineStr">
        <is>
          <t xml:space="preserve">N00024-20-C-5392</t>
        </is>
      </c>
      <c r="D45" s="0" t="inlineStr">
        <is>
          <t xml:space="preserve">Lockheed Martin Rotary and Mission Systems</t>
        </is>
      </c>
      <c r="E45" s="0" t="inlineStr">
        <is>
          <t xml:space="preserve">ddg_gfe_aegis</t>
        </is>
      </c>
      <c r="F45" s="0" t="inlineStr">
        <is>
          <t xml:space="preserve">component_procurement</t>
        </is>
      </c>
      <c r="G45" s="0" t="inlineStr">
        <is>
          <t xml:space="preserve">EXCLUDE_GFE</t>
        </is>
      </c>
      <c r="H45" s="0" t="inlineStr">
        <is>
          <t xml:space="preserve">BC</t>
        </is>
      </c>
      <c r="I45" s="5">
        <v>1</v>
      </c>
      <c r="J45" s="5">
        <v>1</v>
      </c>
      <c r="K45" s="5">
        <v>1</v>
      </c>
      <c r="L45" s="5">
        <v>0</v>
      </c>
      <c r="M45" s="5">
        <v>60.06831</v>
      </c>
      <c r="N45" s="7">
        <v>0.0</v>
      </c>
      <c r="O45" s="7">
        <v>0.0</v>
      </c>
      <c r="P45" s="7">
        <v>0.9</v>
      </c>
      <c r="Q45" s="7">
        <v>0.0</v>
      </c>
    </row>
    <row r="46" outlineLevel="1">
      <c r="B46" s="0" t="inlineStr">
        <is>
          <t xml:space="preserve">2023-11-17</t>
        </is>
      </c>
      <c r="C46" s="0" t="inlineStr">
        <is>
          <t xml:space="preserve">N00024-24-C-2313</t>
        </is>
      </c>
      <c r="D46" s="0" t="inlineStr">
        <is>
          <t xml:space="preserve">-</t>
        </is>
      </c>
      <c r="E46" s="0" t="inlineStr">
        <is>
          <t xml:space="preserve">ddg51</t>
        </is>
      </c>
      <c r="F46" s="0" t="inlineStr">
        <is>
          <t xml:space="preserve">construction</t>
        </is>
      </c>
      <c r="G46" s="0" t="inlineStr">
        <is>
          <t xml:space="preserve">INCLUDE_BC</t>
        </is>
      </c>
      <c r="H46" s="0" t="inlineStr">
        <is>
          <t xml:space="preserve">BC</t>
        </is>
      </c>
      <c r="I46" s="5">
        <v>1</v>
      </c>
      <c r="J46" s="5">
        <v>0</v>
      </c>
      <c r="K46" s="5">
        <v>1</v>
      </c>
      <c r="L46" s="5">
        <v>0</v>
      </c>
      <c r="M46" s="5">
        <v>58.891505</v>
      </c>
      <c r="N46" s="7">
        <v>0.99</v>
      </c>
      <c r="O46" s="7">
        <v>0.0</v>
      </c>
      <c r="P46" s="7">
        <v>0.0</v>
      </c>
      <c r="Q46" s="7">
        <v>0.0</v>
      </c>
    </row>
    <row r="47" outlineLevel="1">
      <c r="B47" s="0" t="inlineStr">
        <is>
          <t xml:space="preserve">2026-01-15</t>
        </is>
      </c>
      <c r="C47" s="0" t="inlineStr">
        <is>
          <t xml:space="preserve">N00024-24-C-5131</t>
        </is>
      </c>
      <c r="D47" s="0" t="inlineStr">
        <is>
          <t xml:space="preserve">Lockheed Martin Rotary and Mission Systems</t>
        </is>
      </c>
      <c r="E47" s="0" t="inlineStr">
        <is>
          <t xml:space="preserve">ddg_gfe_aegis</t>
        </is>
      </c>
      <c r="F47" s="0" t="inlineStr">
        <is>
          <t xml:space="preserve">component_procurement</t>
        </is>
      </c>
      <c r="G47" s="0" t="inlineStr">
        <is>
          <t xml:space="preserve">EXCLUDE_GFE</t>
        </is>
      </c>
      <c r="H47" s="0" t="inlineStr">
        <is>
          <t xml:space="preserve">BC</t>
        </is>
      </c>
      <c r="I47" s="5">
        <v>1</v>
      </c>
      <c r="J47" s="5">
        <v>1</v>
      </c>
      <c r="K47" s="5">
        <v>1</v>
      </c>
      <c r="L47" s="5">
        <v>0</v>
      </c>
      <c r="M47" s="5">
        <v>57.379638</v>
      </c>
      <c r="N47" s="7">
        <v>0.0</v>
      </c>
      <c r="O47" s="7">
        <v>0.0</v>
      </c>
      <c r="P47" s="7">
        <v>1.0</v>
      </c>
      <c r="Q47" s="7">
        <v>0.0</v>
      </c>
    </row>
    <row r="48" outlineLevel="1">
      <c r="B48" s="0" t="inlineStr">
        <is>
          <t xml:space="preserve">2022-09-30</t>
        </is>
      </c>
      <c r="C48" s="0" t="inlineStr">
        <is>
          <t xml:space="preserve">-</t>
        </is>
      </c>
      <c r="D48" s="0" t="inlineStr">
        <is>
          <t xml:space="preserve">-</t>
        </is>
      </c>
      <c r="E48" s="0" t="inlineStr">
        <is>
          <t xml:space="preserve">ddg_gfe_aegis</t>
        </is>
      </c>
      <c r="F48" s="0" t="inlineStr">
        <is>
          <t xml:space="preserve">component_procurement</t>
        </is>
      </c>
      <c r="G48" s="0" t="inlineStr">
        <is>
          <t xml:space="preserve">EXCLUDE_GFE</t>
        </is>
      </c>
      <c r="H48" s="0" t="inlineStr">
        <is>
          <t xml:space="preserve">BC</t>
        </is>
      </c>
      <c r="I48" s="5">
        <v>1</v>
      </c>
      <c r="J48" s="5">
        <v>1</v>
      </c>
      <c r="K48" s="5">
        <v>1</v>
      </c>
      <c r="L48" s="5">
        <v>0</v>
      </c>
      <c r="M48" s="5">
        <v>56.911091</v>
      </c>
      <c r="N48" s="7">
        <v>0.0</v>
      </c>
      <c r="O48" s="7">
        <v>0.0</v>
      </c>
      <c r="P48" s="7">
        <v>1.0</v>
      </c>
      <c r="Q48" s="7">
        <v>0.0</v>
      </c>
    </row>
    <row r="49" outlineLevel="1">
      <c r="B49" s="0" t="inlineStr">
        <is>
          <t xml:space="preserve">2025-11-12</t>
        </is>
      </c>
      <c r="C49" s="0" t="inlineStr">
        <is>
          <t xml:space="preserve">N00024-22-C-5500</t>
        </is>
      </c>
      <c r="D49" s="0" t="inlineStr">
        <is>
          <t xml:space="preserve">-</t>
        </is>
      </c>
      <c r="E49" s="0" t="inlineStr">
        <is>
          <t xml:space="preserve">ddg_gfe_radar</t>
        </is>
      </c>
      <c r="F49" s="0" t="inlineStr">
        <is>
          <t xml:space="preserve">component_procurement</t>
        </is>
      </c>
      <c r="G49" s="0" t="inlineStr">
        <is>
          <t xml:space="preserve">EXCLUDE_GFE</t>
        </is>
      </c>
      <c r="H49" s="0" t="inlineStr">
        <is>
          <t xml:space="preserve">BC</t>
        </is>
      </c>
      <c r="I49" s="5">
        <v>1</v>
      </c>
      <c r="J49" s="5">
        <v>1</v>
      </c>
      <c r="K49" s="5">
        <v>1</v>
      </c>
      <c r="L49" s="5">
        <v>0</v>
      </c>
      <c r="M49" s="5">
        <v>53.793482</v>
      </c>
      <c r="N49" s="7">
        <v>0.0</v>
      </c>
      <c r="O49" s="7">
        <v>0.0</v>
      </c>
      <c r="P49" s="7">
        <v>1.0</v>
      </c>
      <c r="Q49" s="7">
        <v>0.0</v>
      </c>
    </row>
    <row r="50" outlineLevel="1">
      <c r="B50" s="0" t="inlineStr">
        <is>
          <t xml:space="preserve">2025-08-21</t>
        </is>
      </c>
      <c r="C50" s="0" t="inlineStr">
        <is>
          <t xml:space="preserve">N00024-22-C-5500</t>
        </is>
      </c>
      <c r="D50" s="0" t="inlineStr">
        <is>
          <t xml:space="preserve">Raytheon Missiles &amp; Defense</t>
        </is>
      </c>
      <c r="E50" s="0" t="inlineStr">
        <is>
          <t xml:space="preserve">ddg_gfe_radar</t>
        </is>
      </c>
      <c r="F50" s="0" t="inlineStr">
        <is>
          <t xml:space="preserve">component_procurement</t>
        </is>
      </c>
      <c r="G50" s="0" t="inlineStr">
        <is>
          <t xml:space="preserve">EXCLUDE_GFE</t>
        </is>
      </c>
      <c r="H50" s="0" t="inlineStr">
        <is>
          <t xml:space="preserve">BC</t>
        </is>
      </c>
      <c r="I50" s="5">
        <v>1</v>
      </c>
      <c r="J50" s="5">
        <v>1</v>
      </c>
      <c r="K50" s="5">
        <v>1</v>
      </c>
      <c r="L50" s="5">
        <v>0</v>
      </c>
      <c r="M50" s="5">
        <v>52.981009</v>
      </c>
      <c r="N50" s="7">
        <v>0.0</v>
      </c>
      <c r="O50" s="7">
        <v>0.0</v>
      </c>
      <c r="P50" s="7">
        <v>0.81</v>
      </c>
      <c r="Q50" s="7">
        <v>0.0</v>
      </c>
    </row>
    <row r="51" outlineLevel="1">
      <c r="B51" s="0" t="inlineStr">
        <is>
          <t xml:space="preserve">2025-09-03</t>
        </is>
      </c>
      <c r="C51" s="0" t="inlineStr">
        <is>
          <t xml:space="preserve">N00024-15-C-5151</t>
        </is>
      </c>
      <c r="D51" s="0" t="inlineStr">
        <is>
          <t xml:space="preserve">-</t>
        </is>
      </c>
      <c r="E51" s="0" t="inlineStr">
        <is>
          <t xml:space="preserve">ddg_gfe_aegis</t>
        </is>
      </c>
      <c r="F51" s="0" t="inlineStr">
        <is>
          <t xml:space="preserve">component_procurement</t>
        </is>
      </c>
      <c r="G51" s="0" t="inlineStr">
        <is>
          <t xml:space="preserve">EXCLUDE_GFE</t>
        </is>
      </c>
      <c r="H51" s="0" t="inlineStr">
        <is>
          <t xml:space="preserve">BC</t>
        </is>
      </c>
      <c r="I51" s="5">
        <v>1</v>
      </c>
      <c r="J51" s="5">
        <v>1</v>
      </c>
      <c r="K51" s="5">
        <v>1</v>
      </c>
      <c r="L51" s="5">
        <v>0</v>
      </c>
      <c r="M51" s="5">
        <v>52.966176</v>
      </c>
      <c r="N51" s="7">
        <v>0.1</v>
      </c>
      <c r="O51" s="7">
        <v>0.09</v>
      </c>
      <c r="P51" s="7">
        <v>0.81</v>
      </c>
      <c r="Q51" s="7">
        <v>0.0</v>
      </c>
    </row>
    <row r="52" outlineLevel="1">
      <c r="B52" s="0" t="inlineStr">
        <is>
          <t xml:space="preserve">2024-06-28</t>
        </is>
      </c>
      <c r="C52" s="0" t="inlineStr">
        <is>
          <t xml:space="preserve">N00024-23-C-5325</t>
        </is>
      </c>
      <c r="D52" s="0" t="inlineStr">
        <is>
          <t xml:space="preserve">Lockheed Martin Rotary and Mission Systems</t>
        </is>
      </c>
      <c r="E52" s="0" t="inlineStr">
        <is>
          <t xml:space="preserve">ddg_gfe_aegis</t>
        </is>
      </c>
      <c r="F52" s="0" t="inlineStr">
        <is>
          <t xml:space="preserve">component_procurement</t>
        </is>
      </c>
      <c r="G52" s="0" t="inlineStr">
        <is>
          <t xml:space="preserve">EXCLUDE_GFE</t>
        </is>
      </c>
      <c r="H52" s="0" t="inlineStr">
        <is>
          <t xml:space="preserve">BC</t>
        </is>
      </c>
      <c r="I52" s="5">
        <v>1</v>
      </c>
      <c r="J52" s="5">
        <v>1</v>
      </c>
      <c r="K52" s="5">
        <v>1</v>
      </c>
      <c r="L52" s="5">
        <v>0</v>
      </c>
      <c r="M52" s="5">
        <v>50.462612</v>
      </c>
      <c r="N52" s="7">
        <v>0.0</v>
      </c>
      <c r="O52" s="7">
        <v>0.0</v>
      </c>
      <c r="P52" s="7">
        <v>0.77</v>
      </c>
      <c r="Q52" s="7">
        <v>0.0</v>
      </c>
    </row>
    <row r="53" outlineLevel="1">
      <c r="B53" s="0" t="inlineStr">
        <is>
          <t xml:space="preserve">2025-07-10</t>
        </is>
      </c>
      <c r="C53" s="0" t="inlineStr">
        <is>
          <t xml:space="preserve">N00024-24-C-5324</t>
        </is>
      </c>
      <c r="D53" s="0" t="inlineStr">
        <is>
          <t xml:space="preserve">BAE Systems Land &amp; Armaments L.P</t>
        </is>
      </c>
      <c r="E53" s="0" t="inlineStr">
        <is>
          <t xml:space="preserve">ddg_gfe_vls</t>
        </is>
      </c>
      <c r="F53" s="0" t="inlineStr">
        <is>
          <t xml:space="preserve">component_procurement</t>
        </is>
      </c>
      <c r="G53" s="0" t="inlineStr">
        <is>
          <t xml:space="preserve">EXCLUDE_GFE</t>
        </is>
      </c>
      <c r="H53" s="0" t="inlineStr">
        <is>
          <t xml:space="preserve">BC</t>
        </is>
      </c>
      <c r="I53" s="5">
        <v>1</v>
      </c>
      <c r="J53" s="5">
        <v>1</v>
      </c>
      <c r="K53" s="5">
        <v>1</v>
      </c>
      <c r="L53" s="5">
        <v>0</v>
      </c>
      <c r="M53" s="5">
        <v>48.035288</v>
      </c>
      <c r="N53" s="7">
        <v>0.0</v>
      </c>
      <c r="O53" s="7">
        <v>0.0</v>
      </c>
      <c r="P53" s="7">
        <v>1.0</v>
      </c>
      <c r="Q53" s="7">
        <v>0.0</v>
      </c>
    </row>
    <row r="54" outlineLevel="1">
      <c r="B54" s="0" t="inlineStr">
        <is>
          <t xml:space="preserve">2024-07-31</t>
        </is>
      </c>
      <c r="C54" s="0" t="inlineStr">
        <is>
          <t xml:space="preserve">N00024-24-F-5322</t>
        </is>
      </c>
      <c r="D54" s="0" t="inlineStr">
        <is>
          <t xml:space="preserve">BAE Systems Land &amp; Armaments L.P.</t>
        </is>
      </c>
      <c r="E54" s="0" t="inlineStr">
        <is>
          <t xml:space="preserve">ddg_gfe_guns</t>
        </is>
      </c>
      <c r="F54" s="0" t="inlineStr">
        <is>
          <t xml:space="preserve">component_procurement</t>
        </is>
      </c>
      <c r="G54" s="0" t="inlineStr">
        <is>
          <t xml:space="preserve">EXCLUDE_GFE</t>
        </is>
      </c>
      <c r="H54" s="0" t="inlineStr">
        <is>
          <t xml:space="preserve">BC</t>
        </is>
      </c>
      <c r="I54" s="5">
        <v>1</v>
      </c>
      <c r="J54" s="5">
        <v>1</v>
      </c>
      <c r="K54" s="5">
        <v>1</v>
      </c>
      <c r="L54" s="5">
        <v>0</v>
      </c>
      <c r="M54" s="5">
        <v>47.0</v>
      </c>
      <c r="N54" s="7">
        <v>0.0</v>
      </c>
      <c r="O54" s="7">
        <v>0.0</v>
      </c>
      <c r="P54" s="7">
        <v>1.0</v>
      </c>
      <c r="Q54" s="7">
        <v>0.0</v>
      </c>
    </row>
    <row r="55" outlineLevel="1">
      <c r="B55" s="0" t="inlineStr">
        <is>
          <t xml:space="preserve">2024-03-27</t>
        </is>
      </c>
      <c r="C55" s="0" t="inlineStr">
        <is>
          <t xml:space="preserve">N00024-23-C-5101</t>
        </is>
      </c>
      <c r="D55" s="0" t="inlineStr">
        <is>
          <t xml:space="preserve">Lockheed Martin Rotary and Mission Systems</t>
        </is>
      </c>
      <c r="E55" s="0" t="inlineStr">
        <is>
          <t xml:space="preserve">ddg_gfe_aegis</t>
        </is>
      </c>
      <c r="F55" s="0" t="inlineStr">
        <is>
          <t xml:space="preserve">component_procurement</t>
        </is>
      </c>
      <c r="G55" s="0" t="inlineStr">
        <is>
          <t xml:space="preserve">EXCLUDE_GFE</t>
        </is>
      </c>
      <c r="H55" s="0" t="inlineStr">
        <is>
          <t xml:space="preserve">BC</t>
        </is>
      </c>
      <c r="I55" s="5">
        <v>1</v>
      </c>
      <c r="J55" s="5">
        <v>1</v>
      </c>
      <c r="K55" s="5">
        <v>1</v>
      </c>
      <c r="L55" s="5">
        <v>0</v>
      </c>
      <c r="M55" s="5">
        <v>46.882249</v>
      </c>
      <c r="N55" s="7">
        <v>0.0</v>
      </c>
      <c r="O55" s="7">
        <v>0.0</v>
      </c>
      <c r="P55" s="7">
        <v>1.0</v>
      </c>
      <c r="Q55" s="7">
        <v>0.0</v>
      </c>
    </row>
    <row r="56" outlineLevel="1">
      <c r="B56" s="0" t="inlineStr">
        <is>
          <t xml:space="preserve">2024-02-20</t>
        </is>
      </c>
      <c r="C56" s="0" t="inlineStr">
        <is>
          <t xml:space="preserve">-</t>
        </is>
      </c>
      <c r="D56" s="0" t="inlineStr">
        <is>
          <t xml:space="preserve">-</t>
        </is>
      </c>
      <c r="E56" s="0" t="inlineStr">
        <is>
          <t xml:space="preserve">ddg_gfe_aegis</t>
        </is>
      </c>
      <c r="F56" s="0" t="inlineStr">
        <is>
          <t xml:space="preserve">component_procurement</t>
        </is>
      </c>
      <c r="G56" s="0" t="inlineStr">
        <is>
          <t xml:space="preserve">EXCLUDE_GFE</t>
        </is>
      </c>
      <c r="H56" s="0" t="inlineStr">
        <is>
          <t xml:space="preserve">BC</t>
        </is>
      </c>
      <c r="I56" s="5">
        <v>1</v>
      </c>
      <c r="J56" s="5">
        <v>1</v>
      </c>
      <c r="K56" s="5">
        <v>1</v>
      </c>
      <c r="L56" s="5">
        <v>0</v>
      </c>
      <c r="M56" s="5">
        <v>46.578579</v>
      </c>
      <c r="N56" s="7">
        <v>0.0</v>
      </c>
      <c r="O56" s="7">
        <v>0.0</v>
      </c>
      <c r="P56" s="7">
        <v>0.0</v>
      </c>
      <c r="Q56" s="7">
        <v>0.0</v>
      </c>
    </row>
    <row r="57" outlineLevel="1">
      <c r="B57" s="0" t="inlineStr">
        <is>
          <t xml:space="preserve">2024-02-29</t>
        </is>
      </c>
      <c r="C57" s="0" t="inlineStr">
        <is>
          <t xml:space="preserve">N64498-24-D-4006</t>
        </is>
      </c>
      <c r="D57" s="0" t="inlineStr">
        <is>
          <t xml:space="preserve">-</t>
        </is>
      </c>
      <c r="E57" s="0" t="inlineStr">
        <is>
          <t xml:space="preserve">ddg_gfe_propulsion</t>
        </is>
      </c>
      <c r="F57" s="0" t="inlineStr">
        <is>
          <t xml:space="preserve">component_procurement</t>
        </is>
      </c>
      <c r="G57" s="0" t="inlineStr">
        <is>
          <t xml:space="preserve">EXCLUDE_GFE</t>
        </is>
      </c>
      <c r="H57" s="0" t="inlineStr">
        <is>
          <t xml:space="preserve">BC</t>
        </is>
      </c>
      <c r="I57" s="5">
        <v>1</v>
      </c>
      <c r="J57" s="5">
        <v>1</v>
      </c>
      <c r="K57" s="5">
        <v>1</v>
      </c>
      <c r="L57" s="5">
        <v>0</v>
      </c>
      <c r="M57" s="5">
        <v>45.643682</v>
      </c>
      <c r="N57" s="7">
        <v>0.0</v>
      </c>
      <c r="O57" s="7">
        <v>0.0</v>
      </c>
      <c r="P57" s="7">
        <v>0.0</v>
      </c>
      <c r="Q57" s="7">
        <v>0.0</v>
      </c>
    </row>
    <row r="58" outlineLevel="1">
      <c r="B58" s="0" t="inlineStr">
        <is>
          <t xml:space="preserve">2024-05-31</t>
        </is>
      </c>
      <c r="C58" s="0" t="inlineStr">
        <is>
          <t xml:space="preserve">N00024-23-C-5123</t>
        </is>
      </c>
      <c r="D58" s="0" t="inlineStr">
        <is>
          <t xml:space="preserve">Lockheed Martin Rotary and Mission Systems</t>
        </is>
      </c>
      <c r="E58" s="0" t="inlineStr">
        <is>
          <t xml:space="preserve">ddg_gfe_aegis</t>
        </is>
      </c>
      <c r="F58" s="0" t="inlineStr">
        <is>
          <t xml:space="preserve">component_procurement</t>
        </is>
      </c>
      <c r="G58" s="0" t="inlineStr">
        <is>
          <t xml:space="preserve">EXCLUDE_GFE</t>
        </is>
      </c>
      <c r="H58" s="0" t="inlineStr">
        <is>
          <t xml:space="preserve">BC</t>
        </is>
      </c>
      <c r="I58" s="5">
        <v>1</v>
      </c>
      <c r="J58" s="5">
        <v>1</v>
      </c>
      <c r="K58" s="5">
        <v>1</v>
      </c>
      <c r="L58" s="5">
        <v>0</v>
      </c>
      <c r="M58" s="5">
        <v>44.896319</v>
      </c>
      <c r="N58" s="7">
        <v>0.0</v>
      </c>
      <c r="O58" s="7">
        <v>0.0</v>
      </c>
      <c r="P58" s="7">
        <v>1.0</v>
      </c>
      <c r="Q58" s="7">
        <v>0.0</v>
      </c>
    </row>
    <row r="59" outlineLevel="1">
      <c r="B59" s="0" t="inlineStr">
        <is>
          <t xml:space="preserve">2024-03-21</t>
        </is>
      </c>
      <c r="C59" s="0" t="inlineStr">
        <is>
          <t xml:space="preserve">N00024-19-C-4452</t>
        </is>
      </c>
      <c r="D59" s="0" t="inlineStr">
        <is>
          <t xml:space="preserve">General Dynamics Bath Iron Works</t>
        </is>
      </c>
      <c r="E59" s="0" t="inlineStr">
        <is>
          <t xml:space="preserve">ddg51</t>
        </is>
      </c>
      <c r="F59" s="0" t="inlineStr">
        <is>
          <t xml:space="preserve">construction</t>
        </is>
      </c>
      <c r="G59" s="0" t="inlineStr">
        <is>
          <t xml:space="preserve">INCLUDE_BC</t>
        </is>
      </c>
      <c r="H59" s="0" t="inlineStr">
        <is>
          <t xml:space="preserve">BC</t>
        </is>
      </c>
      <c r="I59" s="5">
        <v>1</v>
      </c>
      <c r="J59" s="5">
        <v>0</v>
      </c>
      <c r="K59" s="5">
        <v>1</v>
      </c>
      <c r="L59" s="5">
        <v>0</v>
      </c>
      <c r="M59" s="5">
        <v>44.492212</v>
      </c>
      <c r="N59" s="7">
        <v>1.0</v>
      </c>
      <c r="O59" s="7">
        <v>0.0</v>
      </c>
      <c r="P59" s="7">
        <v>0.0</v>
      </c>
      <c r="Q59" s="7">
        <v>0.0</v>
      </c>
    </row>
    <row r="60" outlineLevel="1">
      <c r="B60" s="0" t="inlineStr">
        <is>
          <t xml:space="preserve">2024-02-20</t>
        </is>
      </c>
      <c r="C60" s="0" t="inlineStr">
        <is>
          <t xml:space="preserve">N00024-22-G-5311</t>
        </is>
      </c>
      <c r="D60" s="0" t="inlineStr">
        <is>
          <t xml:space="preserve">Raytheon Missiles and Defense</t>
        </is>
      </c>
      <c r="E60" s="0" t="inlineStr">
        <is>
          <t xml:space="preserve">ddg_gfe_aegis</t>
        </is>
      </c>
      <c r="F60" s="0" t="inlineStr">
        <is>
          <t xml:space="preserve">component_procurement</t>
        </is>
      </c>
      <c r="G60" s="0" t="inlineStr">
        <is>
          <t xml:space="preserve">EXCLUDE_GFE</t>
        </is>
      </c>
      <c r="H60" s="0" t="inlineStr">
        <is>
          <t xml:space="preserve">BC</t>
        </is>
      </c>
      <c r="I60" s="5">
        <v>1</v>
      </c>
      <c r="J60" s="5">
        <v>1</v>
      </c>
      <c r="K60" s="5">
        <v>1</v>
      </c>
      <c r="L60" s="5">
        <v>0</v>
      </c>
      <c r="M60" s="5">
        <v>38.151861</v>
      </c>
      <c r="N60" s="7">
        <v>0.0</v>
      </c>
      <c r="O60" s="7">
        <v>0.0</v>
      </c>
      <c r="P60" s="7">
        <v>1.0</v>
      </c>
      <c r="Q60" s="7">
        <v>0.0</v>
      </c>
    </row>
    <row r="61" outlineLevel="1">
      <c r="B61" s="0" t="inlineStr">
        <is>
          <t xml:space="preserve">2026-04-10</t>
        </is>
      </c>
      <c r="C61" s="0" t="inlineStr">
        <is>
          <t xml:space="preserve">N00024-15-C-5151</t>
        </is>
      </c>
      <c r="D61" s="0" t="inlineStr">
        <is>
          <t xml:space="preserve">-</t>
        </is>
      </c>
      <c r="E61" s="0" t="inlineStr">
        <is>
          <t xml:space="preserve">ddg_gfe_aegis</t>
        </is>
      </c>
      <c r="F61" s="0" t="inlineStr">
        <is>
          <t xml:space="preserve">component_procurement</t>
        </is>
      </c>
      <c r="G61" s="0" t="inlineStr">
        <is>
          <t xml:space="preserve">EXCLUDE_GFE</t>
        </is>
      </c>
      <c r="H61" s="0" t="inlineStr">
        <is>
          <t xml:space="preserve">BC</t>
        </is>
      </c>
      <c r="I61" s="5">
        <v>1</v>
      </c>
      <c r="J61" s="5">
        <v>1</v>
      </c>
      <c r="K61" s="5">
        <v>1</v>
      </c>
      <c r="L61" s="5">
        <v>0</v>
      </c>
      <c r="M61" s="5">
        <v>36.43922</v>
      </c>
      <c r="N61" s="7">
        <v>0.1</v>
      </c>
      <c r="O61" s="7">
        <v>0.09</v>
      </c>
      <c r="P61" s="7">
        <v>0.81</v>
      </c>
      <c r="Q61" s="7">
        <v>0.0</v>
      </c>
    </row>
    <row r="62" outlineLevel="1">
      <c r="B62" s="0" t="inlineStr">
        <is>
          <t xml:space="preserve">2025-12-05</t>
        </is>
      </c>
      <c r="C62" s="0" t="inlineStr">
        <is>
          <t xml:space="preserve">N00024-24-C-2312</t>
        </is>
      </c>
      <c r="D62" s="0" t="inlineStr">
        <is>
          <t xml:space="preserve">Huntington Ingalls Inc.</t>
        </is>
      </c>
      <c r="E62" s="0" t="inlineStr">
        <is>
          <t xml:space="preserve">ddg51</t>
        </is>
      </c>
      <c r="F62" s="0" t="inlineStr">
        <is>
          <t xml:space="preserve">construction</t>
        </is>
      </c>
      <c r="G62" s="0" t="inlineStr">
        <is>
          <t xml:space="preserve">INCLUDE_BC</t>
        </is>
      </c>
      <c r="H62" s="0" t="inlineStr">
        <is>
          <t xml:space="preserve">BC</t>
        </is>
      </c>
      <c r="I62" s="5">
        <v>1</v>
      </c>
      <c r="J62" s="5">
        <v>0</v>
      </c>
      <c r="K62" s="5">
        <v>1</v>
      </c>
      <c r="L62" s="5">
        <v>0</v>
      </c>
      <c r="M62" s="5">
        <v>36.38761</v>
      </c>
      <c r="N62" s="7">
        <v>0.0</v>
      </c>
      <c r="O62" s="7">
        <v>0.98</v>
      </c>
      <c r="P62" s="7">
        <v>0.0</v>
      </c>
      <c r="Q62" s="7">
        <v>0.0</v>
      </c>
    </row>
    <row r="63" outlineLevel="1">
      <c r="B63" s="0" t="inlineStr">
        <is>
          <t xml:space="preserve">2025-09-29</t>
        </is>
      </c>
      <c r="C63" s="0" t="inlineStr">
        <is>
          <t xml:space="preserve">N00024-13-C-5116</t>
        </is>
      </c>
      <c r="D63" s="0" t="inlineStr">
        <is>
          <t xml:space="preserve">Lockheed Martin Rotary and Mission Systems</t>
        </is>
      </c>
      <c r="E63" s="0" t="inlineStr">
        <is>
          <t xml:space="preserve">ddg_gfe_aegis</t>
        </is>
      </c>
      <c r="F63" s="0" t="inlineStr">
        <is>
          <t xml:space="preserve">component_procurement</t>
        </is>
      </c>
      <c r="G63" s="0" t="inlineStr">
        <is>
          <t xml:space="preserve">EXCLUDE_GFE</t>
        </is>
      </c>
      <c r="H63" s="0" t="inlineStr">
        <is>
          <t xml:space="preserve">BC</t>
        </is>
      </c>
      <c r="I63" s="5">
        <v>1</v>
      </c>
      <c r="J63" s="5">
        <v>1</v>
      </c>
      <c r="K63" s="5">
        <v>1</v>
      </c>
      <c r="L63" s="5">
        <v>0</v>
      </c>
      <c r="M63" s="5">
        <v>35.517687</v>
      </c>
      <c r="N63" s="7">
        <v>0.0</v>
      </c>
      <c r="O63" s="7">
        <v>0.0</v>
      </c>
      <c r="P63" s="7">
        <v>0.0</v>
      </c>
      <c r="Q63" s="7">
        <v>0.0</v>
      </c>
    </row>
    <row r="64" outlineLevel="1">
      <c r="B64" s="0" t="inlineStr">
        <is>
          <t xml:space="preserve">2024-03-04</t>
        </is>
      </c>
      <c r="C64" s="0" t="inlineStr">
        <is>
          <t xml:space="preserve">N00024-24-C-5131</t>
        </is>
      </c>
      <c r="D64" s="0" t="inlineStr">
        <is>
          <t xml:space="preserve">-</t>
        </is>
      </c>
      <c r="E64" s="0" t="inlineStr">
        <is>
          <t xml:space="preserve">ddg_gfe_aegis</t>
        </is>
      </c>
      <c r="F64" s="0" t="inlineStr">
        <is>
          <t xml:space="preserve">component_procurement</t>
        </is>
      </c>
      <c r="G64" s="0" t="inlineStr">
        <is>
          <t xml:space="preserve">EXCLUDE_GFE</t>
        </is>
      </c>
      <c r="H64" s="0" t="inlineStr">
        <is>
          <t xml:space="preserve">BC</t>
        </is>
      </c>
      <c r="I64" s="5">
        <v>1</v>
      </c>
      <c r="J64" s="5">
        <v>1</v>
      </c>
      <c r="K64" s="5">
        <v>1</v>
      </c>
      <c r="L64" s="5">
        <v>0</v>
      </c>
      <c r="M64" s="5">
        <v>34.142015</v>
      </c>
      <c r="N64" s="7">
        <v>0.0</v>
      </c>
      <c r="O64" s="7">
        <v>0.0</v>
      </c>
      <c r="P64" s="7">
        <v>1.0</v>
      </c>
      <c r="Q64" s="7">
        <v>0.0</v>
      </c>
    </row>
    <row r="65" outlineLevel="1">
      <c r="B65" s="0" t="inlineStr">
        <is>
          <t xml:space="preserve">2025-03-31</t>
        </is>
      </c>
      <c r="C65" s="0" t="inlineStr">
        <is>
          <t xml:space="preserve">N00024-23-C-5101</t>
        </is>
      </c>
      <c r="D65" s="0" t="inlineStr">
        <is>
          <t xml:space="preserve">Lockheed Martin Rotary and Mission Systems</t>
        </is>
      </c>
      <c r="E65" s="0" t="inlineStr">
        <is>
          <t xml:space="preserve">ddg_gfe_aegis</t>
        </is>
      </c>
      <c r="F65" s="0" t="inlineStr">
        <is>
          <t xml:space="preserve">component_procurement</t>
        </is>
      </c>
      <c r="G65" s="0" t="inlineStr">
        <is>
          <t xml:space="preserve">EXCLUDE_GFE</t>
        </is>
      </c>
      <c r="H65" s="0" t="inlineStr">
        <is>
          <t xml:space="preserve">BC</t>
        </is>
      </c>
      <c r="I65" s="5">
        <v>1</v>
      </c>
      <c r="J65" s="5">
        <v>1</v>
      </c>
      <c r="K65" s="5">
        <v>1</v>
      </c>
      <c r="L65" s="5">
        <v>0</v>
      </c>
      <c r="M65" s="5">
        <v>34.004309</v>
      </c>
      <c r="N65" s="7">
        <v>0.0</v>
      </c>
      <c r="O65" s="7">
        <v>0.0</v>
      </c>
      <c r="P65" s="7">
        <v>1.0</v>
      </c>
      <c r="Q65" s="7">
        <v>0.0</v>
      </c>
    </row>
    <row r="66" outlineLevel="1">
      <c r="B66" s="0" t="inlineStr">
        <is>
          <t xml:space="preserve">2023-11-17</t>
        </is>
      </c>
      <c r="C66" s="0" t="inlineStr">
        <is>
          <t xml:space="preserve">N00024-23-C-5123</t>
        </is>
      </c>
      <c r="D66" s="0" t="inlineStr">
        <is>
          <t xml:space="preserve">Lockheed Martin Rotary and Mission Systems</t>
        </is>
      </c>
      <c r="E66" s="0" t="inlineStr">
        <is>
          <t xml:space="preserve">ddg_gfe_aegis</t>
        </is>
      </c>
      <c r="F66" s="0" t="inlineStr">
        <is>
          <t xml:space="preserve">component_procurement</t>
        </is>
      </c>
      <c r="G66" s="0" t="inlineStr">
        <is>
          <t xml:space="preserve">EXCLUDE_GFE</t>
        </is>
      </c>
      <c r="H66" s="0" t="inlineStr">
        <is>
          <t xml:space="preserve">BC</t>
        </is>
      </c>
      <c r="I66" s="5">
        <v>1</v>
      </c>
      <c r="J66" s="5">
        <v>1</v>
      </c>
      <c r="K66" s="5">
        <v>1</v>
      </c>
      <c r="L66" s="5">
        <v>0</v>
      </c>
      <c r="M66" s="5">
        <v>30.478466</v>
      </c>
      <c r="N66" s="7">
        <v>0.0</v>
      </c>
      <c r="O66" s="7">
        <v>0.0</v>
      </c>
      <c r="P66" s="7">
        <v>1.0</v>
      </c>
      <c r="Q66" s="7">
        <v>0.0</v>
      </c>
    </row>
    <row r="67" outlineLevel="1">
      <c r="B67" s="0" t="inlineStr">
        <is>
          <t xml:space="preserve">2024-09-19</t>
        </is>
      </c>
      <c r="C67" s="0" t="inlineStr">
        <is>
          <t xml:space="preserve">N00024-20-C-5101</t>
        </is>
      </c>
      <c r="D67" s="0" t="inlineStr">
        <is>
          <t xml:space="preserve">Lockheed Martin Rotary and Mission Systems</t>
        </is>
      </c>
      <c r="E67" s="0" t="inlineStr">
        <is>
          <t xml:space="preserve">ddg_gfe_aegis</t>
        </is>
      </c>
      <c r="F67" s="0" t="inlineStr">
        <is>
          <t xml:space="preserve">component_procurement</t>
        </is>
      </c>
      <c r="G67" s="0" t="inlineStr">
        <is>
          <t xml:space="preserve">EXCLUDE_GFE</t>
        </is>
      </c>
      <c r="H67" s="0" t="inlineStr">
        <is>
          <t xml:space="preserve">BC</t>
        </is>
      </c>
      <c r="I67" s="5">
        <v>1</v>
      </c>
      <c r="J67" s="5">
        <v>1</v>
      </c>
      <c r="K67" s="5">
        <v>1</v>
      </c>
      <c r="L67" s="5">
        <v>0</v>
      </c>
      <c r="M67" s="5">
        <v>30.208</v>
      </c>
      <c r="N67" s="7">
        <v>0.0</v>
      </c>
      <c r="O67" s="7">
        <v>0.0</v>
      </c>
      <c r="P67" s="7">
        <v>1.0</v>
      </c>
      <c r="Q67" s="7">
        <v>0.0</v>
      </c>
    </row>
    <row r="68" outlineLevel="1">
      <c r="B68" s="0" t="inlineStr">
        <is>
          <t xml:space="preserve">2025-07-03</t>
        </is>
      </c>
      <c r="C68" s="0" t="inlineStr">
        <is>
          <t xml:space="preserve">N00024-19-C-5102</t>
        </is>
      </c>
      <c r="D68" s="0" t="inlineStr">
        <is>
          <t xml:space="preserve">-</t>
        </is>
      </c>
      <c r="E68" s="0" t="inlineStr">
        <is>
          <t xml:space="preserve">ddg_gfe_aegis</t>
        </is>
      </c>
      <c r="F68" s="0" t="inlineStr">
        <is>
          <t xml:space="preserve">component_procurement</t>
        </is>
      </c>
      <c r="G68" s="0" t="inlineStr">
        <is>
          <t xml:space="preserve">EXCLUDE_GFE</t>
        </is>
      </c>
      <c r="H68" s="0" t="inlineStr">
        <is>
          <t xml:space="preserve">BC</t>
        </is>
      </c>
      <c r="I68" s="5">
        <v>1</v>
      </c>
      <c r="J68" s="5">
        <v>1</v>
      </c>
      <c r="K68" s="5">
        <v>1</v>
      </c>
      <c r="L68" s="5">
        <v>0</v>
      </c>
      <c r="M68" s="5">
        <v>28.643657</v>
      </c>
      <c r="N68" s="7">
        <v>0.0</v>
      </c>
      <c r="O68" s="7">
        <v>0.0</v>
      </c>
      <c r="P68" s="7">
        <v>1.0</v>
      </c>
      <c r="Q68" s="7">
        <v>0.0</v>
      </c>
    </row>
    <row r="69" outlineLevel="1">
      <c r="B69" s="0" t="inlineStr">
        <is>
          <t xml:space="preserve">2024-06-28</t>
        </is>
      </c>
      <c r="C69" s="0" t="inlineStr">
        <is>
          <t xml:space="preserve">N00024-23-F-5100</t>
        </is>
      </c>
      <c r="D69" s="0" t="inlineStr">
        <is>
          <t xml:space="preserve">-</t>
        </is>
      </c>
      <c r="E69" s="0" t="inlineStr">
        <is>
          <t xml:space="preserve">ddg_gfe_aegis</t>
        </is>
      </c>
      <c r="F69" s="0" t="inlineStr">
        <is>
          <t xml:space="preserve">component_procurement</t>
        </is>
      </c>
      <c r="G69" s="0" t="inlineStr">
        <is>
          <t xml:space="preserve">EXCLUDE_GFE</t>
        </is>
      </c>
      <c r="H69" s="0" t="inlineStr">
        <is>
          <t xml:space="preserve">BC</t>
        </is>
      </c>
      <c r="I69" s="5">
        <v>1</v>
      </c>
      <c r="J69" s="5">
        <v>1</v>
      </c>
      <c r="K69" s="5">
        <v>1</v>
      </c>
      <c r="L69" s="5">
        <v>0</v>
      </c>
      <c r="M69" s="5">
        <v>28.329633</v>
      </c>
      <c r="N69" s="7">
        <v>0.0</v>
      </c>
      <c r="O69" s="7">
        <v>0.0</v>
      </c>
      <c r="P69" s="7">
        <v>1.0</v>
      </c>
      <c r="Q69" s="7">
        <v>0.0</v>
      </c>
    </row>
    <row r="70" outlineLevel="1">
      <c r="B70" s="0" t="inlineStr">
        <is>
          <t xml:space="preserve">2023-09-14</t>
        </is>
      </c>
      <c r="C70" s="0" t="inlineStr">
        <is>
          <t xml:space="preserve">-</t>
        </is>
      </c>
      <c r="D70" s="0" t="inlineStr">
        <is>
          <t xml:space="preserve">Communication &amp; Power Industries (Econco division)</t>
        </is>
      </c>
      <c r="E70" s="0" t="inlineStr">
        <is>
          <t xml:space="preserve">ddg_gfe_aegis</t>
        </is>
      </c>
      <c r="F70" s="0" t="inlineStr">
        <is>
          <t xml:space="preserve">component_procurement</t>
        </is>
      </c>
      <c r="G70" s="0" t="inlineStr">
        <is>
          <t xml:space="preserve">EXCLUDE_GFE</t>
        </is>
      </c>
      <c r="H70" s="0" t="inlineStr">
        <is>
          <t xml:space="preserve">BC</t>
        </is>
      </c>
      <c r="I70" s="5">
        <v>1</v>
      </c>
      <c r="J70" s="5">
        <v>1</v>
      </c>
      <c r="K70" s="5">
        <v>1</v>
      </c>
      <c r="L70" s="5">
        <v>0</v>
      </c>
      <c r="M70" s="5">
        <v>28.152432</v>
      </c>
      <c r="N70" s="7">
        <v>0.0</v>
      </c>
      <c r="O70" s="7">
        <v>0.0</v>
      </c>
      <c r="P70" s="7">
        <v>0.0</v>
      </c>
      <c r="Q70" s="7">
        <v>0.0</v>
      </c>
    </row>
    <row r="71" outlineLevel="1">
      <c r="B71" s="0" t="inlineStr">
        <is>
          <t xml:space="preserve">2024-05-06</t>
        </is>
      </c>
      <c r="C71" s="0" t="inlineStr">
        <is>
          <t xml:space="preserve">-</t>
        </is>
      </c>
      <c r="D71" s="0" t="inlineStr">
        <is>
          <t xml:space="preserve">-</t>
        </is>
      </c>
      <c r="E71" s="0" t="inlineStr">
        <is>
          <t xml:space="preserve">ddg_gfe_aegis</t>
        </is>
      </c>
      <c r="F71" s="0" t="inlineStr">
        <is>
          <t xml:space="preserve">component_procurement</t>
        </is>
      </c>
      <c r="G71" s="0" t="inlineStr">
        <is>
          <t xml:space="preserve">EXCLUDE_GFE</t>
        </is>
      </c>
      <c r="H71" s="0" t="inlineStr">
        <is>
          <t xml:space="preserve">BC</t>
        </is>
      </c>
      <c r="I71" s="5">
        <v>1</v>
      </c>
      <c r="J71" s="5">
        <v>1</v>
      </c>
      <c r="K71" s="5">
        <v>1</v>
      </c>
      <c r="L71" s="5">
        <v>0</v>
      </c>
      <c r="M71" s="5">
        <v>27.555755</v>
      </c>
      <c r="N71" s="7">
        <v>0.0</v>
      </c>
      <c r="O71" s="7">
        <v>0.0</v>
      </c>
      <c r="P71" s="7">
        <v>0.0</v>
      </c>
      <c r="Q71" s="7">
        <v>0.0</v>
      </c>
    </row>
    <row r="72" outlineLevel="1">
      <c r="B72" s="0" t="inlineStr">
        <is>
          <t xml:space="preserve">2024-08-28</t>
        </is>
      </c>
      <c r="C72" s="0" t="inlineStr">
        <is>
          <t xml:space="preserve">-</t>
        </is>
      </c>
      <c r="D72" s="0" t="inlineStr">
        <is>
          <t xml:space="preserve">-</t>
        </is>
      </c>
      <c r="E72" s="0" t="inlineStr">
        <is>
          <t xml:space="preserve">ddg_gfe_vls</t>
        </is>
      </c>
      <c r="F72" s="0" t="inlineStr">
        <is>
          <t xml:space="preserve">component_procurement</t>
        </is>
      </c>
      <c r="G72" s="0" t="inlineStr">
        <is>
          <t xml:space="preserve">EXCLUDE_GFE</t>
        </is>
      </c>
      <c r="H72" s="0" t="inlineStr">
        <is>
          <t xml:space="preserve">BC</t>
        </is>
      </c>
      <c r="I72" s="5">
        <v>1</v>
      </c>
      <c r="J72" s="5">
        <v>1</v>
      </c>
      <c r="K72" s="5">
        <v>1</v>
      </c>
      <c r="L72" s="5">
        <v>0</v>
      </c>
      <c r="M72" s="5">
        <v>27.000584</v>
      </c>
      <c r="N72" s="7">
        <v>0.0</v>
      </c>
      <c r="O72" s="7">
        <v>0.0</v>
      </c>
      <c r="P72" s="7">
        <v>1.0</v>
      </c>
      <c r="Q72" s="7">
        <v>0.0</v>
      </c>
    </row>
    <row r="73" outlineLevel="1">
      <c r="B73" s="0" t="inlineStr">
        <is>
          <t xml:space="preserve">2023-09-22</t>
        </is>
      </c>
      <c r="C73" s="0" t="inlineStr">
        <is>
          <t xml:space="preserve">-</t>
        </is>
      </c>
      <c r="D73" s="0" t="inlineStr">
        <is>
          <t xml:space="preserve">-</t>
        </is>
      </c>
      <c r="E73" s="0" t="inlineStr">
        <is>
          <t xml:space="preserve">ddg_gfe_aegis</t>
        </is>
      </c>
      <c r="F73" s="0" t="inlineStr">
        <is>
          <t xml:space="preserve">component_procurement</t>
        </is>
      </c>
      <c r="G73" s="0" t="inlineStr">
        <is>
          <t xml:space="preserve">EXCLUDE_GFE</t>
        </is>
      </c>
      <c r="H73" s="0" t="inlineStr">
        <is>
          <t xml:space="preserve">BC</t>
        </is>
      </c>
      <c r="I73" s="5">
        <v>1</v>
      </c>
      <c r="J73" s="5">
        <v>1</v>
      </c>
      <c r="K73" s="5">
        <v>1</v>
      </c>
      <c r="L73" s="5">
        <v>0</v>
      </c>
      <c r="M73" s="5">
        <v>26.924626</v>
      </c>
      <c r="N73" s="7">
        <v>0.0</v>
      </c>
      <c r="O73" s="7">
        <v>0.0</v>
      </c>
      <c r="P73" s="7">
        <v>1.0</v>
      </c>
      <c r="Q73" s="7">
        <v>0.0</v>
      </c>
    </row>
    <row r="74" outlineLevel="1">
      <c r="B74" s="0" t="inlineStr">
        <is>
          <t xml:space="preserve">2025-07-09</t>
        </is>
      </c>
      <c r="C74" s="0" t="inlineStr">
        <is>
          <t xml:space="preserve">-</t>
        </is>
      </c>
      <c r="D74" s="0" t="inlineStr">
        <is>
          <t xml:space="preserve">DRS Laurel Technologies</t>
        </is>
      </c>
      <c r="E74" s="0" t="inlineStr">
        <is>
          <t xml:space="preserve">ddg_gfe_vls</t>
        </is>
      </c>
      <c r="F74" s="0" t="inlineStr">
        <is>
          <t xml:space="preserve">component_procurement</t>
        </is>
      </c>
      <c r="G74" s="0" t="inlineStr">
        <is>
          <t xml:space="preserve">EXCLUDE_GFE</t>
        </is>
      </c>
      <c r="H74" s="0" t="inlineStr">
        <is>
          <t xml:space="preserve">BC</t>
        </is>
      </c>
      <c r="I74" s="5">
        <v>1</v>
      </c>
      <c r="J74" s="5">
        <v>1</v>
      </c>
      <c r="K74" s="5">
        <v>1</v>
      </c>
      <c r="L74" s="5">
        <v>0</v>
      </c>
      <c r="M74" s="5">
        <v>26.63147</v>
      </c>
      <c r="N74" s="7">
        <v>0.0</v>
      </c>
      <c r="O74" s="7">
        <v>0.0</v>
      </c>
      <c r="P74" s="7">
        <v>1.0</v>
      </c>
      <c r="Q74" s="7">
        <v>0.0</v>
      </c>
    </row>
    <row r="75" outlineLevel="1">
      <c r="B75" s="0" t="inlineStr">
        <is>
          <t xml:space="preserve">2024-07-31</t>
        </is>
      </c>
      <c r="C75" s="0" t="inlineStr">
        <is>
          <t xml:space="preserve">-</t>
        </is>
      </c>
      <c r="D75" s="0" t="inlineStr">
        <is>
          <t xml:space="preserve">BAE Systems Land &amp; Armaments L.P.</t>
        </is>
      </c>
      <c r="E75" s="0" t="inlineStr">
        <is>
          <t xml:space="preserve">ddg_gfe_guns</t>
        </is>
      </c>
      <c r="F75" s="0" t="inlineStr">
        <is>
          <t xml:space="preserve">component_procurement</t>
        </is>
      </c>
      <c r="G75" s="0" t="inlineStr">
        <is>
          <t xml:space="preserve">EXCLUDE_GFE</t>
        </is>
      </c>
      <c r="H75" s="0" t="inlineStr">
        <is>
          <t xml:space="preserve">BC</t>
        </is>
      </c>
      <c r="I75" s="5">
        <v>1</v>
      </c>
      <c r="J75" s="5">
        <v>1</v>
      </c>
      <c r="K75" s="5">
        <v>1</v>
      </c>
      <c r="L75" s="5">
        <v>0</v>
      </c>
      <c r="M75" s="5">
        <v>26.329545</v>
      </c>
      <c r="N75" s="7">
        <v>0.0</v>
      </c>
      <c r="O75" s="7">
        <v>0.0</v>
      </c>
      <c r="P75" s="7">
        <v>1.0</v>
      </c>
      <c r="Q75" s="7">
        <v>0.0</v>
      </c>
    </row>
    <row r="76" outlineLevel="1">
      <c r="B76" s="0" t="inlineStr">
        <is>
          <t xml:space="preserve">2023-11-17</t>
        </is>
      </c>
      <c r="C76" s="0" t="inlineStr">
        <is>
          <t xml:space="preserve">N00024-24-C-2312</t>
        </is>
      </c>
      <c r="D76" s="0" t="inlineStr">
        <is>
          <t xml:space="preserve">Huntington Ingalls Inc.</t>
        </is>
      </c>
      <c r="E76" s="0" t="inlineStr">
        <is>
          <t xml:space="preserve">ddg51</t>
        </is>
      </c>
      <c r="F76" s="0" t="inlineStr">
        <is>
          <t xml:space="preserve">construction</t>
        </is>
      </c>
      <c r="G76" s="0" t="inlineStr">
        <is>
          <t xml:space="preserve">INCLUDE_BC</t>
        </is>
      </c>
      <c r="H76" s="0" t="inlineStr">
        <is>
          <t xml:space="preserve">BC</t>
        </is>
      </c>
      <c r="I76" s="5">
        <v>1</v>
      </c>
      <c r="J76" s="5">
        <v>0</v>
      </c>
      <c r="K76" s="5">
        <v>1</v>
      </c>
      <c r="L76" s="5">
        <v>0</v>
      </c>
      <c r="M76" s="5">
        <v>25.781609</v>
      </c>
      <c r="N76" s="7">
        <v>0.0</v>
      </c>
      <c r="O76" s="7">
        <v>0.98</v>
      </c>
      <c r="P76" s="7">
        <v>0.0</v>
      </c>
      <c r="Q76" s="7">
        <v>0.0</v>
      </c>
    </row>
    <row r="77" outlineLevel="1">
      <c r="B77" s="0" t="inlineStr">
        <is>
          <t xml:space="preserve">2024-08-16</t>
        </is>
      </c>
      <c r="C77" s="0" t="inlineStr">
        <is>
          <t xml:space="preserve">-</t>
        </is>
      </c>
      <c r="D77" s="0" t="inlineStr">
        <is>
          <t xml:space="preserve">-</t>
        </is>
      </c>
      <c r="E77" s="0" t="inlineStr">
        <is>
          <t xml:space="preserve">ddg_gfe_vls</t>
        </is>
      </c>
      <c r="F77" s="0" t="inlineStr">
        <is>
          <t xml:space="preserve">component_procurement</t>
        </is>
      </c>
      <c r="G77" s="0" t="inlineStr">
        <is>
          <t xml:space="preserve">EXCLUDE_GFE</t>
        </is>
      </c>
      <c r="H77" s="0" t="inlineStr">
        <is>
          <t xml:space="preserve">BC</t>
        </is>
      </c>
      <c r="I77" s="5">
        <v>1</v>
      </c>
      <c r="J77" s="5">
        <v>1</v>
      </c>
      <c r="K77" s="5">
        <v>1</v>
      </c>
      <c r="L77" s="5">
        <v>0</v>
      </c>
      <c r="M77" s="5">
        <v>25.688451</v>
      </c>
      <c r="N77" s="7">
        <v>0.0</v>
      </c>
      <c r="O77" s="7">
        <v>0.0</v>
      </c>
      <c r="P77" s="7">
        <v>1.0</v>
      </c>
      <c r="Q77" s="7">
        <v>0.0</v>
      </c>
    </row>
    <row r="78" outlineLevel="1">
      <c r="B78" s="0" t="inlineStr">
        <is>
          <t xml:space="preserve">2024-08-23</t>
        </is>
      </c>
      <c r="C78" s="0" t="inlineStr">
        <is>
          <t xml:space="preserve">N00024-23-C-5123</t>
        </is>
      </c>
      <c r="D78" s="0" t="inlineStr">
        <is>
          <t xml:space="preserve">-</t>
        </is>
      </c>
      <c r="E78" s="0" t="inlineStr">
        <is>
          <t xml:space="preserve">ddg_gfe_aegis</t>
        </is>
      </c>
      <c r="F78" s="0" t="inlineStr">
        <is>
          <t xml:space="preserve">component_procurement</t>
        </is>
      </c>
      <c r="G78" s="0" t="inlineStr">
        <is>
          <t xml:space="preserve">EXCLUDE_GFE</t>
        </is>
      </c>
      <c r="H78" s="0" t="inlineStr">
        <is>
          <t xml:space="preserve">BC</t>
        </is>
      </c>
      <c r="I78" s="5">
        <v>1</v>
      </c>
      <c r="J78" s="5">
        <v>1</v>
      </c>
      <c r="K78" s="5">
        <v>1</v>
      </c>
      <c r="L78" s="5">
        <v>0</v>
      </c>
      <c r="M78" s="5">
        <v>24.995517</v>
      </c>
      <c r="N78" s="7">
        <v>0.0</v>
      </c>
      <c r="O78" s="7">
        <v>0.0</v>
      </c>
      <c r="P78" s="7">
        <v>0.0</v>
      </c>
      <c r="Q78" s="7">
        <v>0.0</v>
      </c>
    </row>
    <row r="79" outlineLevel="1">
      <c r="B79" s="0" t="inlineStr">
        <is>
          <t xml:space="preserve">2025-02-03</t>
        </is>
      </c>
      <c r="C79" s="0" t="inlineStr">
        <is>
          <t xml:space="preserve">-</t>
        </is>
      </c>
      <c r="D79" s="0" t="inlineStr">
        <is>
          <t xml:space="preserve">Lockheed Martin Rotary and Mission Systems</t>
        </is>
      </c>
      <c r="E79" s="0" t="inlineStr">
        <is>
          <t xml:space="preserve">ddg_gfe_aegis</t>
        </is>
      </c>
      <c r="F79" s="0" t="inlineStr">
        <is>
          <t xml:space="preserve">component_procurement</t>
        </is>
      </c>
      <c r="G79" s="0" t="inlineStr">
        <is>
          <t xml:space="preserve">EXCLUDE_GFE</t>
        </is>
      </c>
      <c r="H79" s="0" t="inlineStr">
        <is>
          <t xml:space="preserve">BC</t>
        </is>
      </c>
      <c r="I79" s="5">
        <v>1</v>
      </c>
      <c r="J79" s="5">
        <v>1</v>
      </c>
      <c r="K79" s="5">
        <v>1</v>
      </c>
      <c r="L79" s="5">
        <v>0</v>
      </c>
      <c r="M79" s="5">
        <v>24.980584</v>
      </c>
      <c r="N79" s="7">
        <v>0.0</v>
      </c>
      <c r="O79" s="7">
        <v>0.0</v>
      </c>
      <c r="P79" s="7">
        <v>1.0</v>
      </c>
      <c r="Q79" s="7">
        <v>0.0</v>
      </c>
    </row>
    <row r="80" outlineLevel="1">
      <c r="B80" s="0" t="inlineStr">
        <is>
          <t xml:space="preserve">2024-09-23</t>
        </is>
      </c>
      <c r="C80" s="0" t="inlineStr">
        <is>
          <t xml:space="preserve">N00024-20-C-5203</t>
        </is>
      </c>
      <c r="D80" s="0" t="inlineStr">
        <is>
          <t xml:space="preserve">-</t>
        </is>
      </c>
      <c r="E80" s="0" t="inlineStr">
        <is>
          <t xml:space="preserve">ddg_gfe_combat_systems</t>
        </is>
      </c>
      <c r="F80" s="0" t="inlineStr">
        <is>
          <t xml:space="preserve">component_procurement</t>
        </is>
      </c>
      <c r="G80" s="0" t="inlineStr">
        <is>
          <t xml:space="preserve">EXCLUDE_GFE</t>
        </is>
      </c>
      <c r="H80" s="0" t="inlineStr">
        <is>
          <t xml:space="preserve">BC</t>
        </is>
      </c>
      <c r="I80" s="5">
        <v>1</v>
      </c>
      <c r="J80" s="5">
        <v>1</v>
      </c>
      <c r="K80" s="5">
        <v>1</v>
      </c>
      <c r="L80" s="5">
        <v>0</v>
      </c>
      <c r="M80" s="5">
        <v>24.800621</v>
      </c>
      <c r="N80" s="7">
        <v>0.0</v>
      </c>
      <c r="O80" s="7">
        <v>0.0</v>
      </c>
      <c r="P80" s="7">
        <v>1.0</v>
      </c>
      <c r="Q80" s="7">
        <v>0.0</v>
      </c>
    </row>
    <row r="81" outlineLevel="1">
      <c r="B81" s="0" t="inlineStr">
        <is>
          <t xml:space="preserve">2025-04-09</t>
        </is>
      </c>
      <c r="C81" s="0" t="inlineStr">
        <is>
          <t xml:space="preserve">-</t>
        </is>
      </c>
      <c r="D81" s="0" t="inlineStr">
        <is>
          <t xml:space="preserve">-</t>
        </is>
      </c>
      <c r="E81" s="0" t="inlineStr">
        <is>
          <t xml:space="preserve">ddg_gfe_aegis</t>
        </is>
      </c>
      <c r="F81" s="0" t="inlineStr">
        <is>
          <t xml:space="preserve">component_procurement</t>
        </is>
      </c>
      <c r="G81" s="0" t="inlineStr">
        <is>
          <t xml:space="preserve">EXCLUDE_GFE</t>
        </is>
      </c>
      <c r="H81" s="0" t="inlineStr">
        <is>
          <t xml:space="preserve">BC</t>
        </is>
      </c>
      <c r="I81" s="5">
        <v>1</v>
      </c>
      <c r="J81" s="5">
        <v>1</v>
      </c>
      <c r="K81" s="5">
        <v>1</v>
      </c>
      <c r="L81" s="5">
        <v>0</v>
      </c>
      <c r="M81" s="5">
        <v>23.825884</v>
      </c>
      <c r="N81" s="7">
        <v>0.0</v>
      </c>
      <c r="O81" s="7">
        <v>0.0</v>
      </c>
      <c r="P81" s="7">
        <v>1.0</v>
      </c>
      <c r="Q81" s="7">
        <v>0.0</v>
      </c>
    </row>
    <row r="82" outlineLevel="1">
      <c r="B82" s="0" t="inlineStr">
        <is>
          <t xml:space="preserve">2024-05-13</t>
        </is>
      </c>
      <c r="C82" s="0" t="inlineStr">
        <is>
          <t xml:space="preserve">N00024-17-C-4109</t>
        </is>
      </c>
      <c r="D82" s="0" t="inlineStr">
        <is>
          <t xml:space="preserve">DRS Laurel Technologies</t>
        </is>
      </c>
      <c r="E82" s="0" t="inlineStr">
        <is>
          <t xml:space="preserve">ddg51</t>
        </is>
      </c>
      <c r="F82" s="0" t="inlineStr">
        <is>
          <t xml:space="preserve">construction</t>
        </is>
      </c>
      <c r="G82" s="0" t="inlineStr">
        <is>
          <t xml:space="preserve">INCLUDE_BC</t>
        </is>
      </c>
      <c r="H82" s="0" t="inlineStr">
        <is>
          <t xml:space="preserve">BC</t>
        </is>
      </c>
      <c r="I82" s="5">
        <v>1</v>
      </c>
      <c r="J82" s="5">
        <v>0</v>
      </c>
      <c r="K82" s="5">
        <v>1</v>
      </c>
      <c r="L82" s="5">
        <v>0</v>
      </c>
      <c r="M82" s="5">
        <v>23.802296</v>
      </c>
      <c r="N82" s="7">
        <v>0.0</v>
      </c>
      <c r="O82" s="7">
        <v>0.0</v>
      </c>
      <c r="P82" s="7">
        <v>1.0</v>
      </c>
      <c r="Q82" s="7">
        <v>0.0</v>
      </c>
    </row>
    <row r="83" outlineLevel="1">
      <c r="B83" s="0" t="inlineStr">
        <is>
          <t xml:space="preserve">2024-09-30</t>
        </is>
      </c>
      <c r="C83" s="0" t="inlineStr">
        <is>
          <t xml:space="preserve">-</t>
        </is>
      </c>
      <c r="D83" s="0" t="inlineStr">
        <is>
          <t xml:space="preserve">BAE Systems Land &amp; Armaments L.P.</t>
        </is>
      </c>
      <c r="E83" s="0" t="inlineStr">
        <is>
          <t xml:space="preserve">ddg_gfe_guns</t>
        </is>
      </c>
      <c r="F83" s="0" t="inlineStr">
        <is>
          <t xml:space="preserve">component_procurement</t>
        </is>
      </c>
      <c r="G83" s="0" t="inlineStr">
        <is>
          <t xml:space="preserve">EXCLUDE_GFE</t>
        </is>
      </c>
      <c r="H83" s="0" t="inlineStr">
        <is>
          <t xml:space="preserve">BC</t>
        </is>
      </c>
      <c r="I83" s="5">
        <v>1</v>
      </c>
      <c r="J83" s="5">
        <v>1</v>
      </c>
      <c r="K83" s="5">
        <v>1</v>
      </c>
      <c r="L83" s="5">
        <v>0</v>
      </c>
      <c r="M83" s="5">
        <v>23.5</v>
      </c>
      <c r="N83" s="7">
        <v>0.0</v>
      </c>
      <c r="O83" s="7">
        <v>0.0</v>
      </c>
      <c r="P83" s="7">
        <v>1.0</v>
      </c>
      <c r="Q83" s="7">
        <v>0.0</v>
      </c>
    </row>
    <row r="84" outlineLevel="1">
      <c r="B84" s="0" t="inlineStr">
        <is>
          <t xml:space="preserve">2025-05-21</t>
        </is>
      </c>
      <c r="C84" s="0" t="inlineStr">
        <is>
          <t xml:space="preserve">-</t>
        </is>
      </c>
      <c r="D84" s="0" t="inlineStr">
        <is>
          <t xml:space="preserve">-</t>
        </is>
      </c>
      <c r="E84" s="0" t="inlineStr">
        <is>
          <t xml:space="preserve">ddg_gfe_aegis</t>
        </is>
      </c>
      <c r="F84" s="0" t="inlineStr">
        <is>
          <t xml:space="preserve">component_procurement</t>
        </is>
      </c>
      <c r="G84" s="0" t="inlineStr">
        <is>
          <t xml:space="preserve">EXCLUDE_GFE</t>
        </is>
      </c>
      <c r="H84" s="0" t="inlineStr">
        <is>
          <t xml:space="preserve">BC</t>
        </is>
      </c>
      <c r="I84" s="5">
        <v>1</v>
      </c>
      <c r="J84" s="5">
        <v>1</v>
      </c>
      <c r="K84" s="5">
        <v>1</v>
      </c>
      <c r="L84" s="5">
        <v>0</v>
      </c>
      <c r="M84" s="5">
        <v>23.4555</v>
      </c>
      <c r="N84" s="7">
        <v>0.0</v>
      </c>
      <c r="O84" s="7">
        <v>0.0</v>
      </c>
      <c r="P84" s="7">
        <v>1.0</v>
      </c>
      <c r="Q84" s="7">
        <v>0.0</v>
      </c>
    </row>
    <row r="85" outlineLevel="1">
      <c r="B85" s="0" t="inlineStr">
        <is>
          <t xml:space="preserve">2022-11-18</t>
        </is>
      </c>
      <c r="C85" s="0" t="inlineStr">
        <is>
          <t xml:space="preserve">-</t>
        </is>
      </c>
      <c r="D85" s="0" t="inlineStr">
        <is>
          <t xml:space="preserve">Raytheon Missiles and Defense</t>
        </is>
      </c>
      <c r="E85" s="0" t="inlineStr">
        <is>
          <t xml:space="preserve">ddg_gfe_aegis</t>
        </is>
      </c>
      <c r="F85" s="0" t="inlineStr">
        <is>
          <t xml:space="preserve">component_procurement</t>
        </is>
      </c>
      <c r="G85" s="0" t="inlineStr">
        <is>
          <t xml:space="preserve">EXCLUDE_GFE</t>
        </is>
      </c>
      <c r="H85" s="0" t="inlineStr">
        <is>
          <t xml:space="preserve">BC</t>
        </is>
      </c>
      <c r="I85" s="5">
        <v>1</v>
      </c>
      <c r="J85" s="5">
        <v>1</v>
      </c>
      <c r="K85" s="5">
        <v>1</v>
      </c>
      <c r="L85" s="5">
        <v>0</v>
      </c>
      <c r="M85" s="5">
        <v>23.345867</v>
      </c>
      <c r="N85" s="7">
        <v>0.0</v>
      </c>
      <c r="O85" s="7">
        <v>0.0</v>
      </c>
      <c r="P85" s="7">
        <v>1.0</v>
      </c>
      <c r="Q85" s="7">
        <v>0.0</v>
      </c>
    </row>
    <row r="86" outlineLevel="1">
      <c r="B86" s="0" t="inlineStr">
        <is>
          <t xml:space="preserve">2022-12-02</t>
        </is>
      </c>
      <c r="C86" s="0" t="inlineStr">
        <is>
          <t xml:space="preserve">N00024-23-F-5135</t>
        </is>
      </c>
      <c r="D86" s="0" t="inlineStr">
        <is>
          <t xml:space="preserve">-</t>
        </is>
      </c>
      <c r="E86" s="0" t="inlineStr">
        <is>
          <t xml:space="preserve">ddg_gfe_aegis</t>
        </is>
      </c>
      <c r="F86" s="0" t="inlineStr">
        <is>
          <t xml:space="preserve">component_procurement</t>
        </is>
      </c>
      <c r="G86" s="0" t="inlineStr">
        <is>
          <t xml:space="preserve">EXCLUDE_GFE</t>
        </is>
      </c>
      <c r="H86" s="0" t="inlineStr">
        <is>
          <t xml:space="preserve">BC</t>
        </is>
      </c>
      <c r="I86" s="5">
        <v>1</v>
      </c>
      <c r="J86" s="5">
        <v>1</v>
      </c>
      <c r="K86" s="5">
        <v>1</v>
      </c>
      <c r="L86" s="5">
        <v>0</v>
      </c>
      <c r="M86" s="5">
        <v>22.947125</v>
      </c>
      <c r="N86" s="7">
        <v>0.0</v>
      </c>
      <c r="O86" s="7">
        <v>0.0</v>
      </c>
      <c r="P86" s="7">
        <v>1.0</v>
      </c>
      <c r="Q86" s="7">
        <v>0.0</v>
      </c>
    </row>
    <row r="87" outlineLevel="1">
      <c r="B87" s="0" t="inlineStr">
        <is>
          <t xml:space="preserve">2025-04-29</t>
        </is>
      </c>
      <c r="C87" s="0" t="inlineStr">
        <is>
          <t xml:space="preserve">-</t>
        </is>
      </c>
      <c r="D87" s="0" t="inlineStr">
        <is>
          <t xml:space="preserve">Lockheed Martin Rotary and Mission Systems</t>
        </is>
      </c>
      <c r="E87" s="0" t="inlineStr">
        <is>
          <t xml:space="preserve">ddg_gfe_aegis</t>
        </is>
      </c>
      <c r="F87" s="0" t="inlineStr">
        <is>
          <t xml:space="preserve">component_procurement</t>
        </is>
      </c>
      <c r="G87" s="0" t="inlineStr">
        <is>
          <t xml:space="preserve">EXCLUDE_GFE</t>
        </is>
      </c>
      <c r="H87" s="0" t="inlineStr">
        <is>
          <t xml:space="preserve">BC</t>
        </is>
      </c>
      <c r="I87" s="5">
        <v>1</v>
      </c>
      <c r="J87" s="5">
        <v>1</v>
      </c>
      <c r="K87" s="5">
        <v>1</v>
      </c>
      <c r="L87" s="5">
        <v>0</v>
      </c>
      <c r="M87" s="5">
        <v>22.520919</v>
      </c>
      <c r="N87" s="7">
        <v>0.0</v>
      </c>
      <c r="O87" s="7">
        <v>0.0</v>
      </c>
      <c r="P87" s="7">
        <v>1.0</v>
      </c>
      <c r="Q87" s="7">
        <v>0.0</v>
      </c>
    </row>
    <row r="88" outlineLevel="1">
      <c r="B88" s="0" t="inlineStr">
        <is>
          <t xml:space="preserve">2024-09-30</t>
        </is>
      </c>
      <c r="C88" s="0" t="inlineStr">
        <is>
          <t xml:space="preserve">N00024-24-F-5322</t>
        </is>
      </c>
      <c r="D88" s="0" t="inlineStr">
        <is>
          <t xml:space="preserve">-</t>
        </is>
      </c>
      <c r="E88" s="0" t="inlineStr">
        <is>
          <t xml:space="preserve">ddg_gfe_propulsion</t>
        </is>
      </c>
      <c r="F88" s="0" t="inlineStr">
        <is>
          <t xml:space="preserve">component_procurement</t>
        </is>
      </c>
      <c r="G88" s="0" t="inlineStr">
        <is>
          <t xml:space="preserve">EXCLUDE_GFE</t>
        </is>
      </c>
      <c r="H88" s="0" t="inlineStr">
        <is>
          <t xml:space="preserve">BC</t>
        </is>
      </c>
      <c r="I88" s="5">
        <v>1</v>
      </c>
      <c r="J88" s="5">
        <v>1</v>
      </c>
      <c r="K88" s="5">
        <v>1</v>
      </c>
      <c r="L88" s="5">
        <v>0</v>
      </c>
      <c r="M88" s="5">
        <v>21.529705</v>
      </c>
      <c r="N88" s="7">
        <v>0.0</v>
      </c>
      <c r="O88" s="7">
        <v>0.0</v>
      </c>
      <c r="P88" s="7">
        <v>0.0</v>
      </c>
      <c r="Q88" s="7">
        <v>0.0</v>
      </c>
    </row>
    <row r="89" outlineLevel="1">
      <c r="B89" s="0" t="inlineStr">
        <is>
          <t xml:space="preserve">2024-03-07</t>
        </is>
      </c>
      <c r="C89" s="0" t="inlineStr">
        <is>
          <t xml:space="preserve">-</t>
        </is>
      </c>
      <c r="D89" s="0" t="inlineStr">
        <is>
          <t xml:space="preserve">Triman Industries Inc.</t>
        </is>
      </c>
      <c r="E89" s="0" t="inlineStr">
        <is>
          <t xml:space="preserve">ddg_gfe_aegis</t>
        </is>
      </c>
      <c r="F89" s="0" t="inlineStr">
        <is>
          <t xml:space="preserve">component_procurement</t>
        </is>
      </c>
      <c r="G89" s="0" t="inlineStr">
        <is>
          <t xml:space="preserve">EXCLUDE_GFE</t>
        </is>
      </c>
      <c r="H89" s="0" t="inlineStr">
        <is>
          <t xml:space="preserve">BC</t>
        </is>
      </c>
      <c r="I89" s="5">
        <v>1</v>
      </c>
      <c r="J89" s="5">
        <v>1</v>
      </c>
      <c r="K89" s="5">
        <v>1</v>
      </c>
      <c r="L89" s="5">
        <v>0</v>
      </c>
      <c r="M89" s="5">
        <v>21.521228</v>
      </c>
      <c r="N89" s="7">
        <v>0.0</v>
      </c>
      <c r="O89" s="7">
        <v>0.0</v>
      </c>
      <c r="P89" s="7">
        <v>0.0</v>
      </c>
      <c r="Q89" s="7">
        <v>0.0</v>
      </c>
    </row>
    <row r="90" outlineLevel="1">
      <c r="B90" s="0" t="inlineStr">
        <is>
          <t xml:space="preserve">2024-03-29</t>
        </is>
      </c>
      <c r="C90" s="0" t="inlineStr">
        <is>
          <t xml:space="preserve">N00024-23-F-5100</t>
        </is>
      </c>
      <c r="D90" s="0" t="inlineStr">
        <is>
          <t xml:space="preserve">-</t>
        </is>
      </c>
      <c r="E90" s="0" t="inlineStr">
        <is>
          <t xml:space="preserve">ddg_gfe_aegis</t>
        </is>
      </c>
      <c r="F90" s="0" t="inlineStr">
        <is>
          <t xml:space="preserve">component_procurement</t>
        </is>
      </c>
      <c r="G90" s="0" t="inlineStr">
        <is>
          <t xml:space="preserve">EXCLUDE_GFE</t>
        </is>
      </c>
      <c r="H90" s="0" t="inlineStr">
        <is>
          <t xml:space="preserve">BC</t>
        </is>
      </c>
      <c r="I90" s="5">
        <v>1</v>
      </c>
      <c r="J90" s="5">
        <v>1</v>
      </c>
      <c r="K90" s="5">
        <v>1</v>
      </c>
      <c r="L90" s="5">
        <v>0</v>
      </c>
      <c r="M90" s="5">
        <v>21.457275</v>
      </c>
      <c r="N90" s="7">
        <v>0.0</v>
      </c>
      <c r="O90" s="7">
        <v>0.0</v>
      </c>
      <c r="P90" s="7">
        <v>1.0</v>
      </c>
      <c r="Q90" s="7">
        <v>0.0</v>
      </c>
    </row>
    <row r="91" outlineLevel="1">
      <c r="B91" s="0" t="inlineStr">
        <is>
          <t xml:space="preserve">2023-05-31</t>
        </is>
      </c>
      <c r="C91" s="0" t="inlineStr">
        <is>
          <t xml:space="preserve">-</t>
        </is>
      </c>
      <c r="D91" s="0" t="inlineStr">
        <is>
          <t xml:space="preserve">Raytheon Co.</t>
        </is>
      </c>
      <c r="E91" s="0" t="inlineStr">
        <is>
          <t xml:space="preserve">ddg_gfe_combat_systems</t>
        </is>
      </c>
      <c r="F91" s="0" t="inlineStr">
        <is>
          <t xml:space="preserve">component_procurement</t>
        </is>
      </c>
      <c r="G91" s="0" t="inlineStr">
        <is>
          <t xml:space="preserve">EXCLUDE_GFE</t>
        </is>
      </c>
      <c r="H91" s="0" t="inlineStr">
        <is>
          <t xml:space="preserve">BC</t>
        </is>
      </c>
      <c r="I91" s="5">
        <v>1</v>
      </c>
      <c r="J91" s="5">
        <v>1</v>
      </c>
      <c r="K91" s="5">
        <v>1</v>
      </c>
      <c r="L91" s="5">
        <v>0</v>
      </c>
      <c r="M91" s="5">
        <v>19.186754</v>
      </c>
      <c r="N91" s="7">
        <v>0.0</v>
      </c>
      <c r="O91" s="7">
        <v>0.0</v>
      </c>
      <c r="P91" s="7">
        <v>1.0</v>
      </c>
      <c r="Q91" s="7">
        <v>0.0</v>
      </c>
    </row>
    <row r="92" outlineLevel="1">
      <c r="B92" s="0" t="inlineStr">
        <is>
          <t xml:space="preserve">2024-05-01</t>
        </is>
      </c>
      <c r="C92" s="0" t="inlineStr">
        <is>
          <t xml:space="preserve">-</t>
        </is>
      </c>
      <c r="D92" s="0" t="inlineStr">
        <is>
          <t xml:space="preserve">DRS Laurel Technologies</t>
        </is>
      </c>
      <c r="E92" s="0" t="inlineStr">
        <is>
          <t xml:space="preserve">ddg_gfe_vls</t>
        </is>
      </c>
      <c r="F92" s="0" t="inlineStr">
        <is>
          <t xml:space="preserve">component_procurement</t>
        </is>
      </c>
      <c r="G92" s="0" t="inlineStr">
        <is>
          <t xml:space="preserve">EXCLUDE_GFE</t>
        </is>
      </c>
      <c r="H92" s="0" t="inlineStr">
        <is>
          <t xml:space="preserve">BC</t>
        </is>
      </c>
      <c r="I92" s="5">
        <v>1</v>
      </c>
      <c r="J92" s="5">
        <v>1</v>
      </c>
      <c r="K92" s="5">
        <v>1</v>
      </c>
      <c r="L92" s="5">
        <v>0</v>
      </c>
      <c r="M92" s="5">
        <v>18.996848</v>
      </c>
      <c r="N92" s="7">
        <v>0.0</v>
      </c>
      <c r="O92" s="7">
        <v>0.0</v>
      </c>
      <c r="P92" s="7">
        <v>1.0</v>
      </c>
      <c r="Q92" s="7">
        <v>0.0</v>
      </c>
    </row>
    <row r="93" outlineLevel="1">
      <c r="B93" s="0" t="inlineStr">
        <is>
          <t xml:space="preserve">2024-06-28</t>
        </is>
      </c>
      <c r="C93" s="0" t="inlineStr">
        <is>
          <t xml:space="preserve">-</t>
        </is>
      </c>
      <c r="D93" s="0" t="inlineStr">
        <is>
          <t xml:space="preserve">Laurel Technologies Partnership</t>
        </is>
      </c>
      <c r="E93" s="0" t="inlineStr">
        <is>
          <t xml:space="preserve">ddg_gfe_vls</t>
        </is>
      </c>
      <c r="F93" s="0" t="inlineStr">
        <is>
          <t xml:space="preserve">component_procurement</t>
        </is>
      </c>
      <c r="G93" s="0" t="inlineStr">
        <is>
          <t xml:space="preserve">EXCLUDE_GFE</t>
        </is>
      </c>
      <c r="H93" s="0" t="inlineStr">
        <is>
          <t xml:space="preserve">BC</t>
        </is>
      </c>
      <c r="I93" s="5">
        <v>1</v>
      </c>
      <c r="J93" s="5">
        <v>1</v>
      </c>
      <c r="K93" s="5">
        <v>1</v>
      </c>
      <c r="L93" s="5">
        <v>0</v>
      </c>
      <c r="M93" s="5">
        <v>18.955631</v>
      </c>
      <c r="N93" s="7">
        <v>0.0</v>
      </c>
      <c r="O93" s="7">
        <v>0.0</v>
      </c>
      <c r="P93" s="7">
        <v>1.0</v>
      </c>
      <c r="Q93" s="7">
        <v>0.0</v>
      </c>
    </row>
    <row r="94" outlineLevel="1">
      <c r="B94" s="0" t="inlineStr">
        <is>
          <t xml:space="preserve">2026-04-06</t>
        </is>
      </c>
      <c r="C94" s="0" t="inlineStr">
        <is>
          <t xml:space="preserve">N64498-26-D-1002</t>
        </is>
      </c>
      <c r="D94" s="0" t="inlineStr">
        <is>
          <t xml:space="preserve">Component Repair Technologies Inc.</t>
        </is>
      </c>
      <c r="E94" s="0" t="inlineStr">
        <is>
          <t xml:space="preserve">ddg_gfe_propulsion</t>
        </is>
      </c>
      <c r="F94" s="0" t="inlineStr">
        <is>
          <t xml:space="preserve">component_procurement</t>
        </is>
      </c>
      <c r="G94" s="0" t="inlineStr">
        <is>
          <t xml:space="preserve">EXCLUDE_GFE</t>
        </is>
      </c>
      <c r="H94" s="0" t="inlineStr">
        <is>
          <t xml:space="preserve">BC</t>
        </is>
      </c>
      <c r="I94" s="5">
        <v>1</v>
      </c>
      <c r="J94" s="5">
        <v>1</v>
      </c>
      <c r="K94" s="5">
        <v>1</v>
      </c>
      <c r="L94" s="5">
        <v>0</v>
      </c>
      <c r="M94" s="5">
        <v>18.850639</v>
      </c>
      <c r="N94" s="7">
        <v>0.0</v>
      </c>
      <c r="O94" s="7">
        <v>0.0</v>
      </c>
      <c r="P94" s="7">
        <v>1.0</v>
      </c>
      <c r="Q94" s="7">
        <v>0.0</v>
      </c>
    </row>
    <row r="95" outlineLevel="1">
      <c r="B95" s="0" t="inlineStr">
        <is>
          <t xml:space="preserve">2025-08-08</t>
        </is>
      </c>
      <c r="C95" s="0" t="inlineStr">
        <is>
          <t xml:space="preserve">N00024-23-C-5101</t>
        </is>
      </c>
      <c r="D95" s="0" t="inlineStr">
        <is>
          <t xml:space="preserve">-</t>
        </is>
      </c>
      <c r="E95" s="0" t="inlineStr">
        <is>
          <t xml:space="preserve">ddg_gfe_aegis</t>
        </is>
      </c>
      <c r="F95" s="0" t="inlineStr">
        <is>
          <t xml:space="preserve">component_procurement</t>
        </is>
      </c>
      <c r="G95" s="0" t="inlineStr">
        <is>
          <t xml:space="preserve">EXCLUDE_GFE</t>
        </is>
      </c>
      <c r="H95" s="0" t="inlineStr">
        <is>
          <t xml:space="preserve">BC</t>
        </is>
      </c>
      <c r="I95" s="5">
        <v>1</v>
      </c>
      <c r="J95" s="5">
        <v>1</v>
      </c>
      <c r="K95" s="5">
        <v>1</v>
      </c>
      <c r="L95" s="5">
        <v>0</v>
      </c>
      <c r="M95" s="5">
        <v>18.601447</v>
      </c>
      <c r="N95" s="7">
        <v>0.0</v>
      </c>
      <c r="O95" s="7">
        <v>0.0</v>
      </c>
      <c r="P95" s="7">
        <v>0.0</v>
      </c>
      <c r="Q95" s="7">
        <v>0.0</v>
      </c>
    </row>
    <row r="96" outlineLevel="1">
      <c r="B96" s="0" t="inlineStr">
        <is>
          <t xml:space="preserve">2025-04-28</t>
        </is>
      </c>
      <c r="C96" s="0" t="inlineStr">
        <is>
          <t xml:space="preserve">N00024-21-C-5393</t>
        </is>
      </c>
      <c r="D96" s="0" t="inlineStr">
        <is>
          <t xml:space="preserve">BAE Systems Land &amp; Armaments L.P</t>
        </is>
      </c>
      <c r="E96" s="0" t="inlineStr">
        <is>
          <t xml:space="preserve">ddg_gfe_vls</t>
        </is>
      </c>
      <c r="F96" s="0" t="inlineStr">
        <is>
          <t xml:space="preserve">component_procurement</t>
        </is>
      </c>
      <c r="G96" s="0" t="inlineStr">
        <is>
          <t xml:space="preserve">EXCLUDE_GFE</t>
        </is>
      </c>
      <c r="H96" s="0" t="inlineStr">
        <is>
          <t xml:space="preserve">BC</t>
        </is>
      </c>
      <c r="I96" s="5">
        <v>1</v>
      </c>
      <c r="J96" s="5">
        <v>1</v>
      </c>
      <c r="K96" s="5">
        <v>1</v>
      </c>
      <c r="L96" s="5">
        <v>0</v>
      </c>
      <c r="M96" s="5">
        <v>18.419651</v>
      </c>
      <c r="N96" s="7">
        <v>0.06</v>
      </c>
      <c r="O96" s="7">
        <v>0.06</v>
      </c>
      <c r="P96" s="7">
        <v>0.52</v>
      </c>
      <c r="Q96" s="7">
        <v>0.0</v>
      </c>
    </row>
    <row r="97" outlineLevel="1">
      <c r="B97" s="0" t="inlineStr">
        <is>
          <t xml:space="preserve">2025-09-11</t>
        </is>
      </c>
      <c r="C97" s="0" t="inlineStr">
        <is>
          <t xml:space="preserve">-</t>
        </is>
      </c>
      <c r="D97" s="0" t="inlineStr">
        <is>
          <t xml:space="preserve">-</t>
        </is>
      </c>
      <c r="E97" s="0" t="inlineStr">
        <is>
          <t xml:space="preserve">ddg_gfe_aegis</t>
        </is>
      </c>
      <c r="F97" s="0" t="inlineStr">
        <is>
          <t xml:space="preserve">component_procurement</t>
        </is>
      </c>
      <c r="G97" s="0" t="inlineStr">
        <is>
          <t xml:space="preserve">EXCLUDE_GFE</t>
        </is>
      </c>
      <c r="H97" s="0" t="inlineStr">
        <is>
          <t xml:space="preserve">BC</t>
        </is>
      </c>
      <c r="I97" s="5">
        <v>1</v>
      </c>
      <c r="J97" s="5">
        <v>1</v>
      </c>
      <c r="K97" s="5">
        <v>1</v>
      </c>
      <c r="L97" s="5">
        <v>0</v>
      </c>
      <c r="M97" s="5">
        <v>18.31575</v>
      </c>
      <c r="N97" s="7">
        <v>0.0</v>
      </c>
      <c r="O97" s="7">
        <v>0.0</v>
      </c>
      <c r="P97" s="7">
        <v>1.0</v>
      </c>
      <c r="Q97" s="7">
        <v>0.0</v>
      </c>
    </row>
    <row r="98" outlineLevel="1">
      <c r="B98" s="0" t="inlineStr">
        <is>
          <t xml:space="preserve">2025-09-15</t>
        </is>
      </c>
      <c r="C98" s="0" t="inlineStr">
        <is>
          <t xml:space="preserve">-</t>
        </is>
      </c>
      <c r="D98" s="0" t="inlineStr">
        <is>
          <t xml:space="preserve">-</t>
        </is>
      </c>
      <c r="E98" s="0" t="inlineStr">
        <is>
          <t xml:space="preserve">ddg_gfe_aegis</t>
        </is>
      </c>
      <c r="F98" s="0" t="inlineStr">
        <is>
          <t xml:space="preserve">component_procurement</t>
        </is>
      </c>
      <c r="G98" s="0" t="inlineStr">
        <is>
          <t xml:space="preserve">EXCLUDE_GFE</t>
        </is>
      </c>
      <c r="H98" s="0" t="inlineStr">
        <is>
          <t xml:space="preserve">BC</t>
        </is>
      </c>
      <c r="I98" s="5">
        <v>1</v>
      </c>
      <c r="J98" s="5">
        <v>1</v>
      </c>
      <c r="K98" s="5">
        <v>1</v>
      </c>
      <c r="L98" s="5">
        <v>0</v>
      </c>
      <c r="M98" s="5">
        <v>18.31575</v>
      </c>
      <c r="N98" s="7">
        <v>0.0</v>
      </c>
      <c r="O98" s="7">
        <v>0.0</v>
      </c>
      <c r="P98" s="7">
        <v>1.0</v>
      </c>
      <c r="Q98" s="7">
        <v>0.0</v>
      </c>
    </row>
    <row r="99" outlineLevel="1">
      <c r="B99" s="0" t="inlineStr">
        <is>
          <t xml:space="preserve">2024-05-30</t>
        </is>
      </c>
      <c r="C99" s="0" t="inlineStr">
        <is>
          <t xml:space="preserve">-</t>
        </is>
      </c>
      <c r="D99" s="0" t="inlineStr">
        <is>
          <t xml:space="preserve">General Electric (GE)</t>
        </is>
      </c>
      <c r="E99" s="0" t="inlineStr">
        <is>
          <t xml:space="preserve">ddg_gfe_propulsion</t>
        </is>
      </c>
      <c r="F99" s="0" t="inlineStr">
        <is>
          <t xml:space="preserve">component_procurement</t>
        </is>
      </c>
      <c r="G99" s="0" t="inlineStr">
        <is>
          <t xml:space="preserve">EXCLUDE_GFE</t>
        </is>
      </c>
      <c r="H99" s="0" t="inlineStr">
        <is>
          <t xml:space="preserve">BC</t>
        </is>
      </c>
      <c r="I99" s="5">
        <v>1</v>
      </c>
      <c r="J99" s="5">
        <v>1</v>
      </c>
      <c r="K99" s="5">
        <v>1</v>
      </c>
      <c r="L99" s="5">
        <v>0</v>
      </c>
      <c r="M99" s="5">
        <v>18.0</v>
      </c>
      <c r="N99" s="7">
        <v>0.0</v>
      </c>
      <c r="O99" s="7">
        <v>0.0</v>
      </c>
      <c r="P99" s="7">
        <v>1.0</v>
      </c>
      <c r="Q99" s="7">
        <v>0.0</v>
      </c>
    </row>
    <row r="100" outlineLevel="1">
      <c r="B100" s="0" t="inlineStr">
        <is>
          <t xml:space="preserve">2024-09-24</t>
        </is>
      </c>
      <c r="C100" s="0" t="inlineStr">
        <is>
          <t xml:space="preserve">-</t>
        </is>
      </c>
      <c r="D100" s="0" t="inlineStr">
        <is>
          <t xml:space="preserve">-</t>
        </is>
      </c>
      <c r="E100" s="0" t="inlineStr">
        <is>
          <t xml:space="preserve">ddg_gfe_radar</t>
        </is>
      </c>
      <c r="F100" s="0" t="inlineStr">
        <is>
          <t xml:space="preserve">component_procurement</t>
        </is>
      </c>
      <c r="G100" s="0" t="inlineStr">
        <is>
          <t xml:space="preserve">EXCLUDE_GFE</t>
        </is>
      </c>
      <c r="H100" s="0" t="inlineStr">
        <is>
          <t xml:space="preserve">BC</t>
        </is>
      </c>
      <c r="I100" s="5">
        <v>1</v>
      </c>
      <c r="J100" s="5">
        <v>1</v>
      </c>
      <c r="K100" s="5">
        <v>1</v>
      </c>
      <c r="L100" s="5">
        <v>0</v>
      </c>
      <c r="M100" s="5">
        <v>17.996</v>
      </c>
      <c r="N100" s="7">
        <v>0.0</v>
      </c>
      <c r="O100" s="7">
        <v>0.0</v>
      </c>
      <c r="P100" s="7">
        <v>1.0</v>
      </c>
      <c r="Q100" s="7">
        <v>0.0</v>
      </c>
    </row>
    <row r="101" outlineLevel="1">
      <c r="B101" s="0" t="inlineStr">
        <is>
          <t xml:space="preserve">2026-03-19</t>
        </is>
      </c>
      <c r="C101" s="0" t="inlineStr">
        <is>
          <t xml:space="preserve">N00024-23-C-5123</t>
        </is>
      </c>
      <c r="D101" s="0" t="inlineStr">
        <is>
          <t xml:space="preserve">Lockheed Martin Rotary and Mission Systems</t>
        </is>
      </c>
      <c r="E101" s="0" t="inlineStr">
        <is>
          <t xml:space="preserve">ddg_gfe_aegis</t>
        </is>
      </c>
      <c r="F101" s="0" t="inlineStr">
        <is>
          <t xml:space="preserve">component_procurement</t>
        </is>
      </c>
      <c r="G101" s="0" t="inlineStr">
        <is>
          <t xml:space="preserve">EXCLUDE_GFE</t>
        </is>
      </c>
      <c r="H101" s="0" t="inlineStr">
        <is>
          <t xml:space="preserve">BC</t>
        </is>
      </c>
      <c r="I101" s="5">
        <v>1</v>
      </c>
      <c r="J101" s="5">
        <v>1</v>
      </c>
      <c r="K101" s="5">
        <v>1</v>
      </c>
      <c r="L101" s="5">
        <v>0</v>
      </c>
      <c r="M101" s="5">
        <v>16.921471</v>
      </c>
      <c r="N101" s="7">
        <v>0.0</v>
      </c>
      <c r="O101" s="7">
        <v>0.0</v>
      </c>
      <c r="P101" s="7">
        <v>1.0</v>
      </c>
      <c r="Q101" s="7">
        <v>0.0</v>
      </c>
    </row>
    <row r="102" outlineLevel="1">
      <c r="B102" s="0" t="inlineStr">
        <is>
          <t xml:space="preserve">2024-09-27</t>
        </is>
      </c>
      <c r="C102" s="0" t="inlineStr">
        <is>
          <t xml:space="preserve">-</t>
        </is>
      </c>
      <c r="D102" s="0" t="inlineStr">
        <is>
          <t xml:space="preserve">Raytheon Missiles &amp; Defense</t>
        </is>
      </c>
      <c r="E102" s="0" t="inlineStr">
        <is>
          <t xml:space="preserve">ddg_gfe_radar</t>
        </is>
      </c>
      <c r="F102" s="0" t="inlineStr">
        <is>
          <t xml:space="preserve">component_procurement</t>
        </is>
      </c>
      <c r="G102" s="0" t="inlineStr">
        <is>
          <t xml:space="preserve">EXCLUDE_GFE</t>
        </is>
      </c>
      <c r="H102" s="0" t="inlineStr">
        <is>
          <t xml:space="preserve">BC</t>
        </is>
      </c>
      <c r="I102" s="5">
        <v>1</v>
      </c>
      <c r="J102" s="5">
        <v>1</v>
      </c>
      <c r="K102" s="5">
        <v>1</v>
      </c>
      <c r="L102" s="5">
        <v>0</v>
      </c>
      <c r="M102" s="5">
        <v>16.199197</v>
      </c>
      <c r="N102" s="7">
        <v>0.0</v>
      </c>
      <c r="O102" s="7">
        <v>0.0</v>
      </c>
      <c r="P102" s="7">
        <v>0.93</v>
      </c>
      <c r="Q102" s="7">
        <v>0.0</v>
      </c>
    </row>
    <row r="103" outlineLevel="1">
      <c r="B103" s="0" t="inlineStr">
        <is>
          <t xml:space="preserve">2024-09-27</t>
        </is>
      </c>
      <c r="C103" s="0" t="inlineStr">
        <is>
          <t xml:space="preserve">-</t>
        </is>
      </c>
      <c r="D103" s="0" t="inlineStr">
        <is>
          <t xml:space="preserve">General Dynamics Information Technology Inc.</t>
        </is>
      </c>
      <c r="E103" s="0" t="inlineStr">
        <is>
          <t xml:space="preserve">ddg_gfe_vls</t>
        </is>
      </c>
      <c r="F103" s="0" t="inlineStr">
        <is>
          <t xml:space="preserve">component_procurement</t>
        </is>
      </c>
      <c r="G103" s="0" t="inlineStr">
        <is>
          <t xml:space="preserve">EXCLUDE_GFE</t>
        </is>
      </c>
      <c r="H103" s="0" t="inlineStr">
        <is>
          <t xml:space="preserve">BC</t>
        </is>
      </c>
      <c r="I103" s="5">
        <v>1</v>
      </c>
      <c r="J103" s="5">
        <v>1</v>
      </c>
      <c r="K103" s="5">
        <v>1</v>
      </c>
      <c r="L103" s="5">
        <v>0</v>
      </c>
      <c r="M103" s="5">
        <v>16.166621</v>
      </c>
      <c r="N103" s="7">
        <v>0.0</v>
      </c>
      <c r="O103" s="7">
        <v>0.0</v>
      </c>
      <c r="P103" s="7">
        <v>0.85</v>
      </c>
      <c r="Q103" s="7">
        <v>0.0</v>
      </c>
    </row>
    <row r="104" outlineLevel="1">
      <c r="B104" s="0" t="inlineStr">
        <is>
          <t xml:space="preserve">2022-12-12</t>
        </is>
      </c>
      <c r="C104" s="0" t="inlineStr">
        <is>
          <t xml:space="preserve">-</t>
        </is>
      </c>
      <c r="D104" s="0" t="inlineStr">
        <is>
          <t xml:space="preserve">-</t>
        </is>
      </c>
      <c r="E104" s="0" t="inlineStr">
        <is>
          <t xml:space="preserve">ddg_gfe_aegis</t>
        </is>
      </c>
      <c r="F104" s="0" t="inlineStr">
        <is>
          <t xml:space="preserve">component_procurement</t>
        </is>
      </c>
      <c r="G104" s="0" t="inlineStr">
        <is>
          <t xml:space="preserve">EXCLUDE_GFE</t>
        </is>
      </c>
      <c r="H104" s="0" t="inlineStr">
        <is>
          <t xml:space="preserve">BC</t>
        </is>
      </c>
      <c r="I104" s="5">
        <v>1</v>
      </c>
      <c r="J104" s="5">
        <v>1</v>
      </c>
      <c r="K104" s="5">
        <v>1</v>
      </c>
      <c r="L104" s="5">
        <v>0</v>
      </c>
      <c r="M104" s="5">
        <v>14.931368</v>
      </c>
      <c r="N104" s="7">
        <v>0.0</v>
      </c>
      <c r="O104" s="7">
        <v>0.0</v>
      </c>
      <c r="P104" s="7">
        <v>1.0</v>
      </c>
      <c r="Q104" s="7">
        <v>0.0</v>
      </c>
    </row>
    <row r="105" outlineLevel="1">
      <c r="B105" s="0" t="inlineStr">
        <is>
          <t xml:space="preserve">2024-09-27</t>
        </is>
      </c>
      <c r="C105" s="0" t="inlineStr">
        <is>
          <t xml:space="preserve">-</t>
        </is>
      </c>
      <c r="D105" s="0" t="inlineStr">
        <is>
          <t xml:space="preserve">L3 Technologies Inc.</t>
        </is>
      </c>
      <c r="E105" s="0" t="inlineStr">
        <is>
          <t xml:space="preserve">ddg_gfe_combat_systems</t>
        </is>
      </c>
      <c r="F105" s="0" t="inlineStr">
        <is>
          <t xml:space="preserve">component_procurement</t>
        </is>
      </c>
      <c r="G105" s="0" t="inlineStr">
        <is>
          <t xml:space="preserve">EXCLUDE_GFE</t>
        </is>
      </c>
      <c r="H105" s="0" t="inlineStr">
        <is>
          <t xml:space="preserve">BC</t>
        </is>
      </c>
      <c r="I105" s="5">
        <v>1</v>
      </c>
      <c r="J105" s="5">
        <v>1</v>
      </c>
      <c r="K105" s="5">
        <v>1</v>
      </c>
      <c r="L105" s="5">
        <v>0</v>
      </c>
      <c r="M105" s="5">
        <v>14.565198</v>
      </c>
      <c r="N105" s="7">
        <v>0.0</v>
      </c>
      <c r="O105" s="7">
        <v>0.0</v>
      </c>
      <c r="P105" s="7">
        <v>1.0</v>
      </c>
      <c r="Q105" s="7">
        <v>0.0</v>
      </c>
    </row>
    <row r="106" outlineLevel="1">
      <c r="B106" s="0" t="inlineStr">
        <is>
          <t xml:space="preserve">2025-03-14</t>
        </is>
      </c>
      <c r="C106" s="0" t="inlineStr">
        <is>
          <t xml:space="preserve">N00024-15-C-5151</t>
        </is>
      </c>
      <c r="D106" s="0" t="inlineStr">
        <is>
          <t xml:space="preserve">Lockheed Martin Rotary and Mission Systems</t>
        </is>
      </c>
      <c r="E106" s="0" t="inlineStr">
        <is>
          <t xml:space="preserve">ddg_gfe_aegis</t>
        </is>
      </c>
      <c r="F106" s="0" t="inlineStr">
        <is>
          <t xml:space="preserve">component_procurement</t>
        </is>
      </c>
      <c r="G106" s="0" t="inlineStr">
        <is>
          <t xml:space="preserve">EXCLUDE_GFE</t>
        </is>
      </c>
      <c r="H106" s="0" t="inlineStr">
        <is>
          <t xml:space="preserve">BC</t>
        </is>
      </c>
      <c r="I106" s="5">
        <v>1</v>
      </c>
      <c r="J106" s="5">
        <v>1</v>
      </c>
      <c r="K106" s="5">
        <v>1</v>
      </c>
      <c r="L106" s="5">
        <v>0</v>
      </c>
      <c r="M106" s="5">
        <v>13.907941</v>
      </c>
      <c r="N106" s="7">
        <v>0.1</v>
      </c>
      <c r="O106" s="7">
        <v>0.09</v>
      </c>
      <c r="P106" s="7">
        <v>0.81</v>
      </c>
      <c r="Q106" s="7">
        <v>0.0</v>
      </c>
    </row>
    <row r="107" outlineLevel="1">
      <c r="B107" s="0" t="inlineStr">
        <is>
          <t xml:space="preserve">2024-09-03</t>
        </is>
      </c>
      <c r="C107" s="0" t="inlineStr">
        <is>
          <t xml:space="preserve">N00024-24-C-2321</t>
        </is>
      </c>
      <c r="D107" s="0" t="inlineStr">
        <is>
          <t xml:space="preserve">BAE Systems Jacksonville Ship Repair LLC</t>
        </is>
      </c>
      <c r="E107" s="0" t="inlineStr">
        <is>
          <t xml:space="preserve">ddg51</t>
        </is>
      </c>
      <c r="F107" s="0" t="inlineStr">
        <is>
          <t xml:space="preserve">construction</t>
        </is>
      </c>
      <c r="G107" s="0" t="inlineStr">
        <is>
          <t xml:space="preserve">INCLUDE_BC</t>
        </is>
      </c>
      <c r="H107" s="0" t="inlineStr">
        <is>
          <t xml:space="preserve">BC</t>
        </is>
      </c>
      <c r="I107" s="5">
        <v>1</v>
      </c>
      <c r="J107" s="5">
        <v>0</v>
      </c>
      <c r="K107" s="5">
        <v>1</v>
      </c>
      <c r="L107" s="5">
        <v>0</v>
      </c>
      <c r="M107" s="5">
        <v>13.820527</v>
      </c>
      <c r="N107" s="7">
        <v>0.0</v>
      </c>
      <c r="O107" s="7">
        <v>0.0</v>
      </c>
      <c r="P107" s="7">
        <v>1.0</v>
      </c>
      <c r="Q107" s="7">
        <v>0.0</v>
      </c>
    </row>
    <row r="108" outlineLevel="1">
      <c r="B108" s="0" t="inlineStr">
        <is>
          <t xml:space="preserve">2023-09-29</t>
        </is>
      </c>
      <c r="C108" s="0" t="inlineStr">
        <is>
          <t xml:space="preserve">-</t>
        </is>
      </c>
      <c r="D108" s="0" t="inlineStr">
        <is>
          <t xml:space="preserve">General Dynamics Information Technology Inc.</t>
        </is>
      </c>
      <c r="E108" s="0" t="inlineStr">
        <is>
          <t xml:space="preserve">ddg_gfe_vls</t>
        </is>
      </c>
      <c r="F108" s="0" t="inlineStr">
        <is>
          <t xml:space="preserve">component_procurement</t>
        </is>
      </c>
      <c r="G108" s="0" t="inlineStr">
        <is>
          <t xml:space="preserve">EXCLUDE_GFE</t>
        </is>
      </c>
      <c r="H108" s="0" t="inlineStr">
        <is>
          <t xml:space="preserve">BC</t>
        </is>
      </c>
      <c r="I108" s="5">
        <v>1</v>
      </c>
      <c r="J108" s="5">
        <v>1</v>
      </c>
      <c r="K108" s="5">
        <v>1</v>
      </c>
      <c r="L108" s="5">
        <v>0</v>
      </c>
      <c r="M108" s="5">
        <v>13.753992</v>
      </c>
      <c r="N108" s="7">
        <v>0.0</v>
      </c>
      <c r="O108" s="7">
        <v>0.0</v>
      </c>
      <c r="P108" s="7">
        <v>0.81</v>
      </c>
      <c r="Q108" s="7">
        <v>0.0</v>
      </c>
    </row>
    <row r="109" outlineLevel="1">
      <c r="B109" s="0" t="inlineStr">
        <is>
          <t xml:space="preserve">2024-06-24</t>
        </is>
      </c>
      <c r="C109" s="0" t="inlineStr">
        <is>
          <t xml:space="preserve">-</t>
        </is>
      </c>
      <c r="D109" s="0" t="inlineStr">
        <is>
          <t xml:space="preserve">-</t>
        </is>
      </c>
      <c r="E109" s="0" t="inlineStr">
        <is>
          <t xml:space="preserve">ddg_gfe_aegis</t>
        </is>
      </c>
      <c r="F109" s="0" t="inlineStr">
        <is>
          <t xml:space="preserve">component_procurement</t>
        </is>
      </c>
      <c r="G109" s="0" t="inlineStr">
        <is>
          <t xml:space="preserve">EXCLUDE_GFE</t>
        </is>
      </c>
      <c r="H109" s="0" t="inlineStr">
        <is>
          <t xml:space="preserve">BC</t>
        </is>
      </c>
      <c r="I109" s="5">
        <v>1</v>
      </c>
      <c r="J109" s="5">
        <v>1</v>
      </c>
      <c r="K109" s="5">
        <v>1</v>
      </c>
      <c r="L109" s="5">
        <v>0</v>
      </c>
      <c r="M109" s="5">
        <v>13.68648</v>
      </c>
      <c r="N109" s="7">
        <v>0.0</v>
      </c>
      <c r="O109" s="7">
        <v>0.0</v>
      </c>
      <c r="P109" s="7">
        <v>1.0</v>
      </c>
      <c r="Q109" s="7">
        <v>0.0</v>
      </c>
    </row>
    <row r="110" outlineLevel="1">
      <c r="B110" s="0" t="inlineStr">
        <is>
          <t xml:space="preserve">2024-07-25</t>
        </is>
      </c>
      <c r="C110" s="0" t="inlineStr">
        <is>
          <t xml:space="preserve">-</t>
        </is>
      </c>
      <c r="D110" s="0" t="inlineStr">
        <is>
          <t xml:space="preserve">-</t>
        </is>
      </c>
      <c r="E110" s="0" t="inlineStr">
        <is>
          <t xml:space="preserve">ddg_gfe_vls</t>
        </is>
      </c>
      <c r="F110" s="0" t="inlineStr">
        <is>
          <t xml:space="preserve">component_procurement</t>
        </is>
      </c>
      <c r="G110" s="0" t="inlineStr">
        <is>
          <t xml:space="preserve">EXCLUDE_GFE</t>
        </is>
      </c>
      <c r="H110" s="0" t="inlineStr">
        <is>
          <t xml:space="preserve">BC</t>
        </is>
      </c>
      <c r="I110" s="5">
        <v>1</v>
      </c>
      <c r="J110" s="5">
        <v>1</v>
      </c>
      <c r="K110" s="5">
        <v>1</v>
      </c>
      <c r="L110" s="5">
        <v>0</v>
      </c>
      <c r="M110" s="5">
        <v>13.669843</v>
      </c>
      <c r="N110" s="7">
        <v>0.0</v>
      </c>
      <c r="O110" s="7">
        <v>0.0</v>
      </c>
      <c r="P110" s="7">
        <v>1.0</v>
      </c>
      <c r="Q110" s="7">
        <v>0.0</v>
      </c>
    </row>
    <row r="111" outlineLevel="1">
      <c r="B111" s="0" t="inlineStr">
        <is>
          <t xml:space="preserve">2022-08-23</t>
        </is>
      </c>
      <c r="C111" s="0" t="inlineStr">
        <is>
          <t xml:space="preserve">-</t>
        </is>
      </c>
      <c r="D111" s="0" t="inlineStr">
        <is>
          <t xml:space="preserve">-</t>
        </is>
      </c>
      <c r="E111" s="0" t="inlineStr">
        <is>
          <t xml:space="preserve">ddg_gfe_aegis</t>
        </is>
      </c>
      <c r="F111" s="0" t="inlineStr">
        <is>
          <t xml:space="preserve">component_procurement</t>
        </is>
      </c>
      <c r="G111" s="0" t="inlineStr">
        <is>
          <t xml:space="preserve">EXCLUDE_GFE</t>
        </is>
      </c>
      <c r="H111" s="0" t="inlineStr">
        <is>
          <t xml:space="preserve">BC</t>
        </is>
      </c>
      <c r="I111" s="5">
        <v>1</v>
      </c>
      <c r="J111" s="5">
        <v>1</v>
      </c>
      <c r="K111" s="5">
        <v>1</v>
      </c>
      <c r="L111" s="5">
        <v>0</v>
      </c>
      <c r="M111" s="5">
        <v>13.542835</v>
      </c>
      <c r="N111" s="7">
        <v>0.0</v>
      </c>
      <c r="O111" s="7">
        <v>0.0</v>
      </c>
      <c r="P111" s="7">
        <v>1.0</v>
      </c>
      <c r="Q111" s="7">
        <v>0.0</v>
      </c>
    </row>
    <row r="112" outlineLevel="1">
      <c r="B112" s="0" t="inlineStr">
        <is>
          <t xml:space="preserve">2023-02-27</t>
        </is>
      </c>
      <c r="C112" s="0" t="inlineStr">
        <is>
          <t xml:space="preserve">-</t>
        </is>
      </c>
      <c r="D112" s="0" t="inlineStr">
        <is>
          <t xml:space="preserve">-</t>
        </is>
      </c>
      <c r="E112" s="0" t="inlineStr">
        <is>
          <t xml:space="preserve">ddg_gfe_aegis</t>
        </is>
      </c>
      <c r="F112" s="0" t="inlineStr">
        <is>
          <t xml:space="preserve">component_procurement</t>
        </is>
      </c>
      <c r="G112" s="0" t="inlineStr">
        <is>
          <t xml:space="preserve">EXCLUDE_GFE</t>
        </is>
      </c>
      <c r="H112" s="0" t="inlineStr">
        <is>
          <t xml:space="preserve">BC</t>
        </is>
      </c>
      <c r="I112" s="5">
        <v>1</v>
      </c>
      <c r="J112" s="5">
        <v>1</v>
      </c>
      <c r="K112" s="5">
        <v>1</v>
      </c>
      <c r="L112" s="5">
        <v>0</v>
      </c>
      <c r="M112" s="5">
        <v>13.174736</v>
      </c>
      <c r="N112" s="7">
        <v>0.0</v>
      </c>
      <c r="O112" s="7">
        <v>0.0</v>
      </c>
      <c r="P112" s="7">
        <v>1.0</v>
      </c>
      <c r="Q112" s="7">
        <v>0.0</v>
      </c>
    </row>
    <row r="113" outlineLevel="1">
      <c r="B113" s="0" t="inlineStr">
        <is>
          <t xml:space="preserve">2025-06-30</t>
        </is>
      </c>
      <c r="C113" s="0" t="inlineStr">
        <is>
          <t xml:space="preserve">N00024-19-C-5602</t>
        </is>
      </c>
      <c r="D113" s="0" t="inlineStr">
        <is>
          <t xml:space="preserve">Lockheed Martin Rotary and Mission Systems</t>
        </is>
      </c>
      <c r="E113" s="0" t="inlineStr">
        <is>
          <t xml:space="preserve">ddg_gfe_aegis</t>
        </is>
      </c>
      <c r="F113" s="0" t="inlineStr">
        <is>
          <t xml:space="preserve">component_procurement</t>
        </is>
      </c>
      <c r="G113" s="0" t="inlineStr">
        <is>
          <t xml:space="preserve">EXCLUDE_GFE</t>
        </is>
      </c>
      <c r="H113" s="0" t="inlineStr">
        <is>
          <t xml:space="preserve">BC</t>
        </is>
      </c>
      <c r="I113" s="5">
        <v>1</v>
      </c>
      <c r="J113" s="5">
        <v>1</v>
      </c>
      <c r="K113" s="5">
        <v>1</v>
      </c>
      <c r="L113" s="5">
        <v>0</v>
      </c>
      <c r="M113" s="5">
        <v>13.137998</v>
      </c>
      <c r="N113" s="7">
        <v>0.0</v>
      </c>
      <c r="O113" s="7">
        <v>0.0</v>
      </c>
      <c r="P113" s="7">
        <v>0.43</v>
      </c>
      <c r="Q113" s="7">
        <v>0.0</v>
      </c>
    </row>
    <row r="114" outlineLevel="1">
      <c r="B114" s="0" t="inlineStr">
        <is>
          <t xml:space="preserve">2025-02-26</t>
        </is>
      </c>
      <c r="C114" s="0" t="inlineStr">
        <is>
          <t xml:space="preserve">-</t>
        </is>
      </c>
      <c r="D114" s="0" t="inlineStr">
        <is>
          <t xml:space="preserve">-</t>
        </is>
      </c>
      <c r="E114" s="0" t="inlineStr">
        <is>
          <t xml:space="preserve">ddg51</t>
        </is>
      </c>
      <c r="F114" s="0" t="inlineStr">
        <is>
          <t xml:space="preserve">construction</t>
        </is>
      </c>
      <c r="G114" s="0" t="inlineStr">
        <is>
          <t xml:space="preserve">INCLUDE_BC</t>
        </is>
      </c>
      <c r="H114" s="0" t="inlineStr">
        <is>
          <t xml:space="preserve">BC</t>
        </is>
      </c>
      <c r="I114" s="5">
        <v>1</v>
      </c>
      <c r="J114" s="5">
        <v>0</v>
      </c>
      <c r="K114" s="5">
        <v>1</v>
      </c>
      <c r="L114" s="5">
        <v>0</v>
      </c>
      <c r="M114" s="5">
        <v>13.06478</v>
      </c>
      <c r="N114" s="7">
        <v>0.0</v>
      </c>
      <c r="O114" s="7">
        <v>0.0</v>
      </c>
      <c r="P114" s="7">
        <v>0.0</v>
      </c>
      <c r="Q114" s="7">
        <v>0.0</v>
      </c>
    </row>
    <row r="115" outlineLevel="1">
      <c r="B115" s="0" t="inlineStr">
        <is>
          <t xml:space="preserve">2022-08-10</t>
        </is>
      </c>
      <c r="C115" s="0" t="inlineStr">
        <is>
          <t xml:space="preserve">-</t>
        </is>
      </c>
      <c r="D115" s="0" t="inlineStr">
        <is>
          <t xml:space="preserve">Lockheed Martin Corp. Rotary and Mission Systems</t>
        </is>
      </c>
      <c r="E115" s="0" t="inlineStr">
        <is>
          <t xml:space="preserve">ddg_gfe_aegis</t>
        </is>
      </c>
      <c r="F115" s="0" t="inlineStr">
        <is>
          <t xml:space="preserve">component_procurement</t>
        </is>
      </c>
      <c r="G115" s="0" t="inlineStr">
        <is>
          <t xml:space="preserve">EXCLUDE_GFE</t>
        </is>
      </c>
      <c r="H115" s="0" t="inlineStr">
        <is>
          <t xml:space="preserve">BC</t>
        </is>
      </c>
      <c r="I115" s="5">
        <v>1</v>
      </c>
      <c r="J115" s="5">
        <v>1</v>
      </c>
      <c r="K115" s="5">
        <v>1</v>
      </c>
      <c r="L115" s="5">
        <v>0</v>
      </c>
      <c r="M115" s="5">
        <v>12.872086</v>
      </c>
      <c r="N115" s="7">
        <v>0.0</v>
      </c>
      <c r="O115" s="7">
        <v>0.0</v>
      </c>
      <c r="P115" s="7">
        <v>1.0</v>
      </c>
      <c r="Q115" s="7">
        <v>0.0</v>
      </c>
    </row>
    <row r="116" outlineLevel="1">
      <c r="B116" s="0" t="inlineStr">
        <is>
          <t xml:space="preserve">2025-12-23</t>
        </is>
      </c>
      <c r="C116" s="0" t="inlineStr">
        <is>
          <t xml:space="preserve">-</t>
        </is>
      </c>
      <c r="D116" s="0" t="inlineStr">
        <is>
          <t xml:space="preserve">-</t>
        </is>
      </c>
      <c r="E116" s="0" t="inlineStr">
        <is>
          <t xml:space="preserve">ddg_gfe_vls</t>
        </is>
      </c>
      <c r="F116" s="0" t="inlineStr">
        <is>
          <t xml:space="preserve">component_procurement</t>
        </is>
      </c>
      <c r="G116" s="0" t="inlineStr">
        <is>
          <t xml:space="preserve">EXCLUDE_GFE</t>
        </is>
      </c>
      <c r="H116" s="0" t="inlineStr">
        <is>
          <t xml:space="preserve">BC</t>
        </is>
      </c>
      <c r="I116" s="5">
        <v>1</v>
      </c>
      <c r="J116" s="5">
        <v>1</v>
      </c>
      <c r="K116" s="5">
        <v>1</v>
      </c>
      <c r="L116" s="5">
        <v>0</v>
      </c>
      <c r="M116" s="5">
        <v>12.584393</v>
      </c>
      <c r="N116" s="7">
        <v>0.0</v>
      </c>
      <c r="O116" s="7">
        <v>0.0</v>
      </c>
      <c r="P116" s="7">
        <v>0.0</v>
      </c>
      <c r="Q116" s="7">
        <v>0.0</v>
      </c>
    </row>
    <row r="117" outlineLevel="1">
      <c r="B117" s="0" t="inlineStr">
        <is>
          <t xml:space="preserve">2024-06-12</t>
        </is>
      </c>
      <c r="C117" s="0" t="inlineStr">
        <is>
          <t xml:space="preserve">-</t>
        </is>
      </c>
      <c r="D117" s="0" t="inlineStr">
        <is>
          <t xml:space="preserve">Lockheed Martin Rotary and Mission Systems</t>
        </is>
      </c>
      <c r="E117" s="0" t="inlineStr">
        <is>
          <t xml:space="preserve">ddg_gfe_aegis</t>
        </is>
      </c>
      <c r="F117" s="0" t="inlineStr">
        <is>
          <t xml:space="preserve">component_procurement</t>
        </is>
      </c>
      <c r="G117" s="0" t="inlineStr">
        <is>
          <t xml:space="preserve">EXCLUDE_GFE</t>
        </is>
      </c>
      <c r="H117" s="0" t="inlineStr">
        <is>
          <t xml:space="preserve">BC</t>
        </is>
      </c>
      <c r="I117" s="5">
        <v>1</v>
      </c>
      <c r="J117" s="5">
        <v>1</v>
      </c>
      <c r="K117" s="5">
        <v>1</v>
      </c>
      <c r="L117" s="5">
        <v>0</v>
      </c>
      <c r="M117" s="5">
        <v>12.483446</v>
      </c>
      <c r="N117" s="7">
        <v>0.0</v>
      </c>
      <c r="O117" s="7">
        <v>0.0</v>
      </c>
      <c r="P117" s="7">
        <v>1.0</v>
      </c>
      <c r="Q117" s="7">
        <v>0.0</v>
      </c>
    </row>
    <row r="118" outlineLevel="1">
      <c r="B118" s="0" t="inlineStr">
        <is>
          <t xml:space="preserve">2026-05-20</t>
        </is>
      </c>
      <c r="C118" s="0" t="inlineStr">
        <is>
          <t xml:space="preserve">-</t>
        </is>
      </c>
      <c r="D118" s="0" t="inlineStr">
        <is>
          <t xml:space="preserve">Huntington-Ingalls Industries - Ingalls Shipbuilding</t>
        </is>
      </c>
      <c r="E118" s="0" t="inlineStr">
        <is>
          <t xml:space="preserve">ddg51</t>
        </is>
      </c>
      <c r="F118" s="0" t="inlineStr">
        <is>
          <t xml:space="preserve">construction</t>
        </is>
      </c>
      <c r="G118" s="0" t="inlineStr">
        <is>
          <t xml:space="preserve">INCLUDE_BC</t>
        </is>
      </c>
      <c r="H118" s="0" t="inlineStr">
        <is>
          <t xml:space="preserve">BC</t>
        </is>
      </c>
      <c r="I118" s="5">
        <v>1</v>
      </c>
      <c r="J118" s="5">
        <v>0</v>
      </c>
      <c r="K118" s="5">
        <v>1</v>
      </c>
      <c r="L118" s="5">
        <v>0</v>
      </c>
      <c r="M118" s="5">
        <v>12.475983</v>
      </c>
      <c r="N118" s="7">
        <v>0.0</v>
      </c>
      <c r="O118" s="7">
        <v>0.0</v>
      </c>
      <c r="P118" s="7">
        <v>0.0</v>
      </c>
      <c r="Q118" s="7">
        <v>0.0</v>
      </c>
    </row>
    <row r="119" outlineLevel="1">
      <c r="B119" s="0" t="inlineStr">
        <is>
          <t xml:space="preserve">2023-10-18</t>
        </is>
      </c>
      <c r="C119" s="0" t="inlineStr">
        <is>
          <t xml:space="preserve">N00024-20-C-5203</t>
        </is>
      </c>
      <c r="D119" s="0" t="inlineStr">
        <is>
          <t xml:space="preserve">Raytheon Co.</t>
        </is>
      </c>
      <c r="E119" s="0" t="inlineStr">
        <is>
          <t xml:space="preserve">ddg_gfe_combat_systems</t>
        </is>
      </c>
      <c r="F119" s="0" t="inlineStr">
        <is>
          <t xml:space="preserve">component_procurement</t>
        </is>
      </c>
      <c r="G119" s="0" t="inlineStr">
        <is>
          <t xml:space="preserve">EXCLUDE_GFE</t>
        </is>
      </c>
      <c r="H119" s="0" t="inlineStr">
        <is>
          <t xml:space="preserve">BC</t>
        </is>
      </c>
      <c r="I119" s="5">
        <v>1</v>
      </c>
      <c r="J119" s="5">
        <v>1</v>
      </c>
      <c r="K119" s="5">
        <v>1</v>
      </c>
      <c r="L119" s="5">
        <v>0</v>
      </c>
      <c r="M119" s="5">
        <v>12.415389</v>
      </c>
      <c r="N119" s="7">
        <v>0.0</v>
      </c>
      <c r="O119" s="7">
        <v>0.0</v>
      </c>
      <c r="P119" s="7">
        <v>1.0</v>
      </c>
      <c r="Q119" s="7">
        <v>0.0</v>
      </c>
    </row>
    <row r="120" outlineLevel="1">
      <c r="B120" s="0" t="inlineStr">
        <is>
          <t xml:space="preserve">2023-10-20</t>
        </is>
      </c>
      <c r="C120" s="0" t="inlineStr">
        <is>
          <t xml:space="preserve">-</t>
        </is>
      </c>
      <c r="D120" s="0" t="inlineStr">
        <is>
          <t xml:space="preserve">Lockheed Martin Rotary and Mission Systems</t>
        </is>
      </c>
      <c r="E120" s="0" t="inlineStr">
        <is>
          <t xml:space="preserve">ddg_gfe_aegis</t>
        </is>
      </c>
      <c r="F120" s="0" t="inlineStr">
        <is>
          <t xml:space="preserve">component_procurement</t>
        </is>
      </c>
      <c r="G120" s="0" t="inlineStr">
        <is>
          <t xml:space="preserve">EXCLUDE_GFE</t>
        </is>
      </c>
      <c r="H120" s="0" t="inlineStr">
        <is>
          <t xml:space="preserve">BC</t>
        </is>
      </c>
      <c r="I120" s="5">
        <v>1</v>
      </c>
      <c r="J120" s="5">
        <v>1</v>
      </c>
      <c r="K120" s="5">
        <v>1</v>
      </c>
      <c r="L120" s="5">
        <v>0</v>
      </c>
      <c r="M120" s="5">
        <v>12.289747</v>
      </c>
      <c r="N120" s="7">
        <v>0.0</v>
      </c>
      <c r="O120" s="7">
        <v>0.0</v>
      </c>
      <c r="P120" s="7">
        <v>1.0</v>
      </c>
      <c r="Q120" s="7">
        <v>0.0</v>
      </c>
    </row>
    <row r="121" outlineLevel="1">
      <c r="B121" s="0" t="inlineStr">
        <is>
          <t xml:space="preserve">2025-01-24</t>
        </is>
      </c>
      <c r="C121" s="0" t="inlineStr">
        <is>
          <t xml:space="preserve">N00024-24-C-5105</t>
        </is>
      </c>
      <c r="D121" s="0" t="inlineStr">
        <is>
          <t xml:space="preserve">Lockheed Martin Rotary and Mission Systems</t>
        </is>
      </c>
      <c r="E121" s="0" t="inlineStr">
        <is>
          <t xml:space="preserve">ddg_gfe_aegis</t>
        </is>
      </c>
      <c r="F121" s="0" t="inlineStr">
        <is>
          <t xml:space="preserve">component_procurement</t>
        </is>
      </c>
      <c r="G121" s="0" t="inlineStr">
        <is>
          <t xml:space="preserve">EXCLUDE_GFE</t>
        </is>
      </c>
      <c r="H121" s="0" t="inlineStr">
        <is>
          <t xml:space="preserve">BC</t>
        </is>
      </c>
      <c r="I121" s="5">
        <v>1</v>
      </c>
      <c r="J121" s="5">
        <v>1</v>
      </c>
      <c r="K121" s="5">
        <v>1</v>
      </c>
      <c r="L121" s="5">
        <v>0</v>
      </c>
      <c r="M121" s="5">
        <v>12.010982</v>
      </c>
      <c r="N121" s="7">
        <v>0.0</v>
      </c>
      <c r="O121" s="7">
        <v>0.15</v>
      </c>
      <c r="P121" s="7">
        <v>0.85</v>
      </c>
      <c r="Q121" s="7">
        <v>0.0</v>
      </c>
    </row>
    <row r="122" outlineLevel="1">
      <c r="B122" s="0" t="inlineStr">
        <is>
          <t xml:space="preserve">2025-07-31</t>
        </is>
      </c>
      <c r="C122" s="0" t="inlineStr">
        <is>
          <t xml:space="preserve">N00024-17-C-4109</t>
        </is>
      </c>
      <c r="D122" s="0" t="inlineStr">
        <is>
          <t xml:space="preserve">DRS Laurel Technologies Inc.</t>
        </is>
      </c>
      <c r="E122" s="0" t="inlineStr">
        <is>
          <t xml:space="preserve">ddg51</t>
        </is>
      </c>
      <c r="F122" s="0" t="inlineStr">
        <is>
          <t xml:space="preserve">construction</t>
        </is>
      </c>
      <c r="G122" s="0" t="inlineStr">
        <is>
          <t xml:space="preserve">INCLUDE_BC</t>
        </is>
      </c>
      <c r="H122" s="0" t="inlineStr">
        <is>
          <t xml:space="preserve">BC</t>
        </is>
      </c>
      <c r="I122" s="5">
        <v>1</v>
      </c>
      <c r="J122" s="5">
        <v>0</v>
      </c>
      <c r="K122" s="5">
        <v>1</v>
      </c>
      <c r="L122" s="5">
        <v>0</v>
      </c>
      <c r="M122" s="5">
        <v>11.526652</v>
      </c>
      <c r="N122" s="7">
        <v>0.0</v>
      </c>
      <c r="O122" s="7">
        <v>0.0</v>
      </c>
      <c r="P122" s="7">
        <v>1.0</v>
      </c>
      <c r="Q122" s="7">
        <v>0.0</v>
      </c>
    </row>
    <row r="123" outlineLevel="1">
      <c r="B123" s="0" t="inlineStr">
        <is>
          <t xml:space="preserve">2023-08-04</t>
        </is>
      </c>
      <c r="C123" s="0" t="inlineStr">
        <is>
          <t xml:space="preserve">-</t>
        </is>
      </c>
      <c r="D123" s="0" t="inlineStr">
        <is>
          <t xml:space="preserve">-</t>
        </is>
      </c>
      <c r="E123" s="0" t="inlineStr">
        <is>
          <t xml:space="preserve">ddg_gfe_aegis</t>
        </is>
      </c>
      <c r="F123" s="0" t="inlineStr">
        <is>
          <t xml:space="preserve">component_procurement</t>
        </is>
      </c>
      <c r="G123" s="0" t="inlineStr">
        <is>
          <t xml:space="preserve">EXCLUDE_GFE</t>
        </is>
      </c>
      <c r="H123" s="0" t="inlineStr">
        <is>
          <t xml:space="preserve">BC</t>
        </is>
      </c>
      <c r="I123" s="5">
        <v>1</v>
      </c>
      <c r="J123" s="5">
        <v>1</v>
      </c>
      <c r="K123" s="5">
        <v>1</v>
      </c>
      <c r="L123" s="5">
        <v>0</v>
      </c>
      <c r="M123" s="5">
        <v>10.763572</v>
      </c>
      <c r="N123" s="7">
        <v>0.0</v>
      </c>
      <c r="O123" s="7">
        <v>0.0</v>
      </c>
      <c r="P123" s="7">
        <v>1.0</v>
      </c>
      <c r="Q123" s="7">
        <v>0.0</v>
      </c>
    </row>
    <row r="124" outlineLevel="1">
      <c r="B124" s="0" t="inlineStr">
        <is>
          <t xml:space="preserve">2025-05-06</t>
        </is>
      </c>
      <c r="C124" s="0" t="inlineStr">
        <is>
          <t xml:space="preserve">N00024-23-C-5300</t>
        </is>
      </c>
      <c r="D124" s="0" t="inlineStr">
        <is>
          <t xml:space="preserve">BAE Systems Land &amp; Armaments L.P.</t>
        </is>
      </c>
      <c r="E124" s="0" t="inlineStr">
        <is>
          <t xml:space="preserve">ddg_gfe_guns</t>
        </is>
      </c>
      <c r="F124" s="0" t="inlineStr">
        <is>
          <t xml:space="preserve">component_procurement</t>
        </is>
      </c>
      <c r="G124" s="0" t="inlineStr">
        <is>
          <t xml:space="preserve">EXCLUDE_GFE</t>
        </is>
      </c>
      <c r="H124" s="0" t="inlineStr">
        <is>
          <t xml:space="preserve">BC</t>
        </is>
      </c>
      <c r="I124" s="5">
        <v>1</v>
      </c>
      <c r="J124" s="5">
        <v>1</v>
      </c>
      <c r="K124" s="5">
        <v>1</v>
      </c>
      <c r="L124" s="5">
        <v>0</v>
      </c>
      <c r="M124" s="5">
        <v>10.662488</v>
      </c>
      <c r="N124" s="7">
        <v>0.0</v>
      </c>
      <c r="O124" s="7">
        <v>0.0</v>
      </c>
      <c r="P124" s="7">
        <v>1.0</v>
      </c>
      <c r="Q124" s="7">
        <v>0.0</v>
      </c>
    </row>
    <row r="125" outlineLevel="1">
      <c r="B125" s="0" t="inlineStr">
        <is>
          <t xml:space="preserve">2024-01-29</t>
        </is>
      </c>
      <c r="C125" s="0" t="inlineStr">
        <is>
          <t xml:space="preserve">N00024-24-C-5105</t>
        </is>
      </c>
      <c r="D125" s="0" t="inlineStr">
        <is>
          <t xml:space="preserve">-</t>
        </is>
      </c>
      <c r="E125" s="0" t="inlineStr">
        <is>
          <t xml:space="preserve">ddg_gfe_aegis</t>
        </is>
      </c>
      <c r="F125" s="0" t="inlineStr">
        <is>
          <t xml:space="preserve">component_procurement</t>
        </is>
      </c>
      <c r="G125" s="0" t="inlineStr">
        <is>
          <t xml:space="preserve">EXCLUDE_GFE</t>
        </is>
      </c>
      <c r="H125" s="0" t="inlineStr">
        <is>
          <t xml:space="preserve">BC</t>
        </is>
      </c>
      <c r="I125" s="5">
        <v>1</v>
      </c>
      <c r="J125" s="5">
        <v>1</v>
      </c>
      <c r="K125" s="5">
        <v>1</v>
      </c>
      <c r="L125" s="5">
        <v>0</v>
      </c>
      <c r="M125" s="5">
        <v>10.600354</v>
      </c>
      <c r="N125" s="7">
        <v>0.0</v>
      </c>
      <c r="O125" s="7">
        <v>0.15</v>
      </c>
      <c r="P125" s="7">
        <v>0.85</v>
      </c>
      <c r="Q125" s="7">
        <v>0.0</v>
      </c>
    </row>
    <row r="126" outlineLevel="1">
      <c r="B126" s="0" t="inlineStr">
        <is>
          <t xml:space="preserve">2024-06-26</t>
        </is>
      </c>
      <c r="C126" s="0" t="inlineStr">
        <is>
          <t xml:space="preserve">N00024-23-C-5123</t>
        </is>
      </c>
      <c r="D126" s="0" t="inlineStr">
        <is>
          <t xml:space="preserve">Lockheed Martin Rotary and Mission Systems</t>
        </is>
      </c>
      <c r="E126" s="0" t="inlineStr">
        <is>
          <t xml:space="preserve">ddg_gfe_aegis</t>
        </is>
      </c>
      <c r="F126" s="0" t="inlineStr">
        <is>
          <t xml:space="preserve">component_procurement</t>
        </is>
      </c>
      <c r="G126" s="0" t="inlineStr">
        <is>
          <t xml:space="preserve">EXCLUDE_GFE</t>
        </is>
      </c>
      <c r="H126" s="0" t="inlineStr">
        <is>
          <t xml:space="preserve">BC</t>
        </is>
      </c>
      <c r="I126" s="5">
        <v>1</v>
      </c>
      <c r="J126" s="5">
        <v>1</v>
      </c>
      <c r="K126" s="5">
        <v>1</v>
      </c>
      <c r="L126" s="5">
        <v>0</v>
      </c>
      <c r="M126" s="5">
        <v>10.541342</v>
      </c>
      <c r="N126" s="7">
        <v>0.0</v>
      </c>
      <c r="O126" s="7">
        <v>0.0</v>
      </c>
      <c r="P126" s="7">
        <v>0.0</v>
      </c>
      <c r="Q126" s="7">
        <v>0.0</v>
      </c>
    </row>
    <row r="127" outlineLevel="1">
      <c r="B127" s="0" t="inlineStr">
        <is>
          <t xml:space="preserve">2023-06-22</t>
        </is>
      </c>
      <c r="C127" s="0" t="inlineStr">
        <is>
          <t xml:space="preserve">-</t>
        </is>
      </c>
      <c r="D127" s="0" t="inlineStr">
        <is>
          <t xml:space="preserve">Laurel Technologies Partnership</t>
        </is>
      </c>
      <c r="E127" s="0" t="inlineStr">
        <is>
          <t xml:space="preserve">ddg_gfe_vls</t>
        </is>
      </c>
      <c r="F127" s="0" t="inlineStr">
        <is>
          <t xml:space="preserve">component_procurement</t>
        </is>
      </c>
      <c r="G127" s="0" t="inlineStr">
        <is>
          <t xml:space="preserve">EXCLUDE_GFE</t>
        </is>
      </c>
      <c r="H127" s="0" t="inlineStr">
        <is>
          <t xml:space="preserve">BC</t>
        </is>
      </c>
      <c r="I127" s="5">
        <v>1</v>
      </c>
      <c r="J127" s="5">
        <v>1</v>
      </c>
      <c r="K127" s="5">
        <v>1</v>
      </c>
      <c r="L127" s="5">
        <v>0</v>
      </c>
      <c r="M127" s="5">
        <v>10.370712</v>
      </c>
      <c r="N127" s="7">
        <v>0.0</v>
      </c>
      <c r="O127" s="7">
        <v>0.0</v>
      </c>
      <c r="P127" s="7">
        <v>1.0</v>
      </c>
      <c r="Q127" s="7">
        <v>0.0</v>
      </c>
    </row>
    <row r="128" outlineLevel="1">
      <c r="B128" s="0" t="inlineStr">
        <is>
          <t xml:space="preserve">2025-07-15</t>
        </is>
      </c>
      <c r="C128" s="0" t="inlineStr">
        <is>
          <t xml:space="preserve">N00024-24-C-5324</t>
        </is>
      </c>
      <c r="D128" s="0" t="inlineStr">
        <is>
          <t xml:space="preserve">BAE Systems Land &amp; Armaments L.P</t>
        </is>
      </c>
      <c r="E128" s="0" t="inlineStr">
        <is>
          <t xml:space="preserve">ddg_gfe_vls</t>
        </is>
      </c>
      <c r="F128" s="0" t="inlineStr">
        <is>
          <t xml:space="preserve">component_procurement</t>
        </is>
      </c>
      <c r="G128" s="0" t="inlineStr">
        <is>
          <t xml:space="preserve">EXCLUDE_GFE</t>
        </is>
      </c>
      <c r="H128" s="0" t="inlineStr">
        <is>
          <t xml:space="preserve">BC</t>
        </is>
      </c>
      <c r="I128" s="5">
        <v>1</v>
      </c>
      <c r="J128" s="5">
        <v>1</v>
      </c>
      <c r="K128" s="5">
        <v>1</v>
      </c>
      <c r="L128" s="5">
        <v>0</v>
      </c>
      <c r="M128" s="5">
        <v>10.332144</v>
      </c>
      <c r="N128" s="7">
        <v>0.0</v>
      </c>
      <c r="O128" s="7">
        <v>0.0</v>
      </c>
      <c r="P128" s="7">
        <v>1.0</v>
      </c>
      <c r="Q128" s="7">
        <v>0.0</v>
      </c>
    </row>
    <row r="129" outlineLevel="1">
      <c r="B129" s="0" t="inlineStr">
        <is>
          <t xml:space="preserve">2024-04-29</t>
        </is>
      </c>
      <c r="C129" s="0" t="inlineStr">
        <is>
          <t xml:space="preserve">N64498-24-F-5039</t>
        </is>
      </c>
      <c r="D129" s="0" t="inlineStr">
        <is>
          <t xml:space="preserve">General Electric</t>
        </is>
      </c>
      <c r="E129" s="0" t="inlineStr">
        <is>
          <t xml:space="preserve">ddg_gfe_propulsion</t>
        </is>
      </c>
      <c r="F129" s="0" t="inlineStr">
        <is>
          <t xml:space="preserve">component_procurement</t>
        </is>
      </c>
      <c r="G129" s="0" t="inlineStr">
        <is>
          <t xml:space="preserve">EXCLUDE_GFE</t>
        </is>
      </c>
      <c r="H129" s="0" t="inlineStr">
        <is>
          <t xml:space="preserve">BC</t>
        </is>
      </c>
      <c r="I129" s="5">
        <v>1</v>
      </c>
      <c r="J129" s="5">
        <v>1</v>
      </c>
      <c r="K129" s="5">
        <v>1</v>
      </c>
      <c r="L129" s="5">
        <v>0</v>
      </c>
      <c r="M129" s="5">
        <v>10.300895</v>
      </c>
      <c r="N129" s="7">
        <v>0.0</v>
      </c>
      <c r="O129" s="7">
        <v>0.0</v>
      </c>
      <c r="P129" s="7">
        <v>0.0</v>
      </c>
      <c r="Q129" s="7">
        <v>0.0</v>
      </c>
    </row>
    <row r="130" outlineLevel="1">
      <c r="B130" s="0" t="inlineStr">
        <is>
          <t xml:space="preserve">2024-07-24</t>
        </is>
      </c>
      <c r="C130" s="0" t="inlineStr">
        <is>
          <t xml:space="preserve">N66498-24-D-4026</t>
        </is>
      </c>
      <c r="D130" s="0" t="inlineStr">
        <is>
          <t xml:space="preserve">Chromalloy Gas Turbine LLC (Chromalloy)</t>
        </is>
      </c>
      <c r="E130" s="0" t="inlineStr">
        <is>
          <t xml:space="preserve">ddg_gfe_propulsion</t>
        </is>
      </c>
      <c r="F130" s="0" t="inlineStr">
        <is>
          <t xml:space="preserve">component_procurement</t>
        </is>
      </c>
      <c r="G130" s="0" t="inlineStr">
        <is>
          <t xml:space="preserve">EXCLUDE_GFE</t>
        </is>
      </c>
      <c r="H130" s="0" t="inlineStr">
        <is>
          <t xml:space="preserve">BC</t>
        </is>
      </c>
      <c r="I130" s="5">
        <v>1</v>
      </c>
      <c r="J130" s="5">
        <v>1</v>
      </c>
      <c r="K130" s="5">
        <v>1</v>
      </c>
      <c r="L130" s="5">
        <v>0</v>
      </c>
      <c r="M130" s="5">
        <v>10.27881</v>
      </c>
      <c r="N130" s="7">
        <v>0.0</v>
      </c>
      <c r="O130" s="7">
        <v>0.0</v>
      </c>
      <c r="P130" s="7">
        <v>0.0</v>
      </c>
      <c r="Q130" s="7">
        <v>0.0</v>
      </c>
    </row>
    <row r="131" outlineLevel="1">
      <c r="B131" s="0" t="inlineStr">
        <is>
          <t xml:space="preserve">2022-09-22</t>
        </is>
      </c>
      <c r="C131" s="0" t="inlineStr">
        <is>
          <t xml:space="preserve">-</t>
        </is>
      </c>
      <c r="D131" s="0" t="inlineStr">
        <is>
          <t xml:space="preserve">-</t>
        </is>
      </c>
      <c r="E131" s="0" t="inlineStr">
        <is>
          <t xml:space="preserve">ddg51</t>
        </is>
      </c>
      <c r="F131" s="0" t="inlineStr">
        <is>
          <t xml:space="preserve">construction</t>
        </is>
      </c>
      <c r="G131" s="0" t="inlineStr">
        <is>
          <t xml:space="preserve">INCLUDE_BC</t>
        </is>
      </c>
      <c r="H131" s="0" t="inlineStr">
        <is>
          <t xml:space="preserve">BC</t>
        </is>
      </c>
      <c r="I131" s="5">
        <v>1</v>
      </c>
      <c r="J131" s="5">
        <v>0</v>
      </c>
      <c r="K131" s="5">
        <v>1</v>
      </c>
      <c r="L131" s="5">
        <v>0</v>
      </c>
      <c r="M131" s="5">
        <v>10.214192</v>
      </c>
      <c r="N131" s="7">
        <v>0.3</v>
      </c>
      <c r="O131" s="7">
        <v>0.0</v>
      </c>
      <c r="P131" s="7">
        <v>0.7</v>
      </c>
      <c r="Q131" s="7">
        <v>0.0</v>
      </c>
    </row>
    <row r="132" outlineLevel="1">
      <c r="B132" s="0" t="inlineStr">
        <is>
          <t xml:space="preserve">2023-09-28</t>
        </is>
      </c>
      <c r="C132" s="0" t="inlineStr">
        <is>
          <t xml:space="preserve">-</t>
        </is>
      </c>
      <c r="D132" s="0" t="inlineStr">
        <is>
          <t xml:space="preserve">Raytheon Co.</t>
        </is>
      </c>
      <c r="E132" s="0" t="inlineStr">
        <is>
          <t xml:space="preserve">ddg_gfe_combat_systems</t>
        </is>
      </c>
      <c r="F132" s="0" t="inlineStr">
        <is>
          <t xml:space="preserve">component_procurement</t>
        </is>
      </c>
      <c r="G132" s="0" t="inlineStr">
        <is>
          <t xml:space="preserve">EXCLUDE_GFE</t>
        </is>
      </c>
      <c r="H132" s="0" t="inlineStr">
        <is>
          <t xml:space="preserve">BC</t>
        </is>
      </c>
      <c r="I132" s="5">
        <v>1</v>
      </c>
      <c r="J132" s="5">
        <v>1</v>
      </c>
      <c r="K132" s="5">
        <v>1</v>
      </c>
      <c r="L132" s="5">
        <v>0</v>
      </c>
      <c r="M132" s="5">
        <v>10.144158</v>
      </c>
      <c r="N132" s="7">
        <v>0.0</v>
      </c>
      <c r="O132" s="7">
        <v>0.0</v>
      </c>
      <c r="P132" s="7">
        <v>1.0</v>
      </c>
      <c r="Q132" s="7">
        <v>0.0</v>
      </c>
    </row>
    <row r="133" outlineLevel="1">
      <c r="B133" s="0" t="inlineStr">
        <is>
          <t xml:space="preserve">2022-12-21</t>
        </is>
      </c>
      <c r="C133" s="0" t="inlineStr">
        <is>
          <t xml:space="preserve">N69316-23-F-6000</t>
        </is>
      </c>
      <c r="D133" s="0" t="inlineStr">
        <is>
          <t xml:space="preserve">Huntington-Ingalls Industries - Ingalls Shipbuilding</t>
        </is>
      </c>
      <c r="E133" s="0" t="inlineStr">
        <is>
          <t xml:space="preserve">ddg51</t>
        </is>
      </c>
      <c r="F133" s="0" t="inlineStr">
        <is>
          <t xml:space="preserve">construction</t>
        </is>
      </c>
      <c r="G133" s="0" t="inlineStr">
        <is>
          <t xml:space="preserve">INCLUDE_BC</t>
        </is>
      </c>
      <c r="H133" s="0" t="inlineStr">
        <is>
          <t xml:space="preserve">BC</t>
        </is>
      </c>
      <c r="I133" s="5">
        <v>1</v>
      </c>
      <c r="J133" s="5">
        <v>0</v>
      </c>
      <c r="K133" s="5">
        <v>1</v>
      </c>
      <c r="L133" s="5">
        <v>0</v>
      </c>
      <c r="M133" s="5">
        <v>10.132041</v>
      </c>
      <c r="N133" s="7">
        <v>0.0</v>
      </c>
      <c r="O133" s="7">
        <v>0.7</v>
      </c>
      <c r="P133" s="7">
        <v>0.3</v>
      </c>
      <c r="Q133" s="7">
        <v>0.0</v>
      </c>
    </row>
    <row r="134" outlineLevel="1">
      <c r="B134" s="0" t="inlineStr">
        <is>
          <t xml:space="preserve">2023-05-01</t>
        </is>
      </c>
      <c r="C134" s="0" t="inlineStr">
        <is>
          <t xml:space="preserve">N00024-23-C-5300</t>
        </is>
      </c>
      <c r="D134" s="0" t="inlineStr">
        <is>
          <t xml:space="preserve">BAE Systems Land &amp; Armaments L.P.</t>
        </is>
      </c>
      <c r="E134" s="0" t="inlineStr">
        <is>
          <t xml:space="preserve">ddg_gfe_guns</t>
        </is>
      </c>
      <c r="F134" s="0" t="inlineStr">
        <is>
          <t xml:space="preserve">component_procurement</t>
        </is>
      </c>
      <c r="G134" s="0" t="inlineStr">
        <is>
          <t xml:space="preserve">EXCLUDE_GFE</t>
        </is>
      </c>
      <c r="H134" s="0" t="inlineStr">
        <is>
          <t xml:space="preserve">BC</t>
        </is>
      </c>
      <c r="I134" s="5">
        <v>1</v>
      </c>
      <c r="J134" s="5">
        <v>1</v>
      </c>
      <c r="K134" s="5">
        <v>1</v>
      </c>
      <c r="L134" s="5">
        <v>0</v>
      </c>
      <c r="M134" s="5">
        <v>9.948433</v>
      </c>
      <c r="N134" s="7">
        <v>0.0</v>
      </c>
      <c r="O134" s="7">
        <v>0.0</v>
      </c>
      <c r="P134" s="7">
        <v>1.0</v>
      </c>
      <c r="Q134" s="7">
        <v>0.0</v>
      </c>
    </row>
    <row r="135" outlineLevel="1">
      <c r="B135" s="0" t="inlineStr">
        <is>
          <t xml:space="preserve">2025-06-30</t>
        </is>
      </c>
      <c r="C135" s="0" t="inlineStr">
        <is>
          <t xml:space="preserve">N00024-23-C-5325</t>
        </is>
      </c>
      <c r="D135" s="0" t="inlineStr">
        <is>
          <t xml:space="preserve">Lockheed Martin Rotary and Mission Systems</t>
        </is>
      </c>
      <c r="E135" s="0" t="inlineStr">
        <is>
          <t xml:space="preserve">ddg_gfe_aegis</t>
        </is>
      </c>
      <c r="F135" s="0" t="inlineStr">
        <is>
          <t xml:space="preserve">component_procurement</t>
        </is>
      </c>
      <c r="G135" s="0" t="inlineStr">
        <is>
          <t xml:space="preserve">EXCLUDE_GFE</t>
        </is>
      </c>
      <c r="H135" s="0" t="inlineStr">
        <is>
          <t xml:space="preserve">BC</t>
        </is>
      </c>
      <c r="I135" s="5">
        <v>1</v>
      </c>
      <c r="J135" s="5">
        <v>1</v>
      </c>
      <c r="K135" s="5">
        <v>1</v>
      </c>
      <c r="L135" s="5">
        <v>0</v>
      </c>
      <c r="M135" s="5">
        <v>9.935387</v>
      </c>
      <c r="N135" s="7">
        <v>0.0</v>
      </c>
      <c r="O135" s="7">
        <v>0.0</v>
      </c>
      <c r="P135" s="7">
        <v>0.77</v>
      </c>
      <c r="Q135" s="7">
        <v>0.0</v>
      </c>
    </row>
    <row r="136" outlineLevel="1">
      <c r="B136" s="0" t="inlineStr">
        <is>
          <t xml:space="preserve">2023-09-29</t>
        </is>
      </c>
      <c r="C136" s="0" t="inlineStr">
        <is>
          <t xml:space="preserve">N00024-22-C-5500</t>
        </is>
      </c>
      <c r="D136" s="0" t="inlineStr">
        <is>
          <t xml:space="preserve">Raytheon Missiles &amp; Defense</t>
        </is>
      </c>
      <c r="E136" s="0" t="inlineStr">
        <is>
          <t xml:space="preserve">ddg_gfe_radar</t>
        </is>
      </c>
      <c r="F136" s="0" t="inlineStr">
        <is>
          <t xml:space="preserve">component_procurement</t>
        </is>
      </c>
      <c r="G136" s="0" t="inlineStr">
        <is>
          <t xml:space="preserve">EXCLUDE_GFE</t>
        </is>
      </c>
      <c r="H136" s="0" t="inlineStr">
        <is>
          <t xml:space="preserve">BC</t>
        </is>
      </c>
      <c r="I136" s="5">
        <v>1</v>
      </c>
      <c r="J136" s="5">
        <v>1</v>
      </c>
      <c r="K136" s="5">
        <v>1</v>
      </c>
      <c r="L136" s="5">
        <v>0</v>
      </c>
      <c r="M136" s="5">
        <v>9.897098</v>
      </c>
      <c r="N136" s="7">
        <v>0.0</v>
      </c>
      <c r="O136" s="7">
        <v>0.0</v>
      </c>
      <c r="P136" s="7">
        <v>0.71</v>
      </c>
      <c r="Q136" s="7">
        <v>0.0</v>
      </c>
    </row>
    <row r="137" outlineLevel="1">
      <c r="B137" s="0" t="inlineStr">
        <is>
          <t xml:space="preserve">2023-03-20</t>
        </is>
      </c>
      <c r="C137" s="0" t="inlineStr">
        <is>
          <t xml:space="preserve">N00024-13-C-2305</t>
        </is>
      </c>
      <c r="D137" s="0" t="inlineStr">
        <is>
          <t xml:space="preserve">Bath Iron Works</t>
        </is>
      </c>
      <c r="E137" s="0" t="inlineStr">
        <is>
          <t xml:space="preserve">ddg51</t>
        </is>
      </c>
      <c r="F137" s="0" t="inlineStr">
        <is>
          <t xml:space="preserve">construction</t>
        </is>
      </c>
      <c r="G137" s="0" t="inlineStr">
        <is>
          <t xml:space="preserve">INCLUDE_BC</t>
        </is>
      </c>
      <c r="H137" s="0" t="inlineStr">
        <is>
          <t xml:space="preserve">BC</t>
        </is>
      </c>
      <c r="I137" s="5">
        <v>1</v>
      </c>
      <c r="J137" s="5">
        <v>0</v>
      </c>
      <c r="K137" s="5">
        <v>1</v>
      </c>
      <c r="L137" s="5">
        <v>0</v>
      </c>
      <c r="M137" s="5">
        <v>9.609633</v>
      </c>
      <c r="N137" s="7">
        <v>0.99</v>
      </c>
      <c r="O137" s="7">
        <v>0.0</v>
      </c>
      <c r="P137" s="7">
        <v>0.0</v>
      </c>
      <c r="Q137" s="7">
        <v>0.0</v>
      </c>
    </row>
    <row r="138" outlineLevel="1">
      <c r="B138" s="0" t="inlineStr">
        <is>
          <t xml:space="preserve">2025-02-12</t>
        </is>
      </c>
      <c r="C138" s="0" t="inlineStr">
        <is>
          <t xml:space="preserve">-</t>
        </is>
      </c>
      <c r="D138" s="0" t="inlineStr">
        <is>
          <t xml:space="preserve">Lockheed Martin Rotary and Mission Systems</t>
        </is>
      </c>
      <c r="E138" s="0" t="inlineStr">
        <is>
          <t xml:space="preserve">ddg_gfe_aegis</t>
        </is>
      </c>
      <c r="F138" s="0" t="inlineStr">
        <is>
          <t xml:space="preserve">component_procurement</t>
        </is>
      </c>
      <c r="G138" s="0" t="inlineStr">
        <is>
          <t xml:space="preserve">EXCLUDE_GFE</t>
        </is>
      </c>
      <c r="H138" s="0" t="inlineStr">
        <is>
          <t xml:space="preserve">BC</t>
        </is>
      </c>
      <c r="I138" s="5">
        <v>1</v>
      </c>
      <c r="J138" s="5">
        <v>1</v>
      </c>
      <c r="K138" s="5">
        <v>1</v>
      </c>
      <c r="L138" s="5">
        <v>0</v>
      </c>
      <c r="M138" s="5">
        <v>9.177837</v>
      </c>
      <c r="N138" s="7">
        <v>0.0</v>
      </c>
      <c r="O138" s="7">
        <v>0.0</v>
      </c>
      <c r="P138" s="7">
        <v>1.0</v>
      </c>
      <c r="Q138" s="7">
        <v>0.0</v>
      </c>
    </row>
    <row r="139" outlineLevel="1">
      <c r="B139" s="0" t="inlineStr">
        <is>
          <t xml:space="preserve">2025-01-29</t>
        </is>
      </c>
      <c r="C139" s="0" t="inlineStr">
        <is>
          <t xml:space="preserve">-</t>
        </is>
      </c>
      <c r="D139" s="0" t="inlineStr">
        <is>
          <t xml:space="preserve">-</t>
        </is>
      </c>
      <c r="E139" s="0" t="inlineStr">
        <is>
          <t xml:space="preserve">ddg51</t>
        </is>
      </c>
      <c r="F139" s="0" t="inlineStr">
        <is>
          <t xml:space="preserve">construction</t>
        </is>
      </c>
      <c r="G139" s="0" t="inlineStr">
        <is>
          <t xml:space="preserve">INCLUDE_BC</t>
        </is>
      </c>
      <c r="H139" s="0" t="inlineStr">
        <is>
          <t xml:space="preserve">BC</t>
        </is>
      </c>
      <c r="I139" s="5">
        <v>1</v>
      </c>
      <c r="J139" s="5">
        <v>0</v>
      </c>
      <c r="K139" s="5">
        <v>1</v>
      </c>
      <c r="L139" s="5">
        <v>0</v>
      </c>
      <c r="M139" s="5">
        <v>9.165174</v>
      </c>
      <c r="N139" s="7">
        <v>0.3</v>
      </c>
      <c r="O139" s="7">
        <v>0.0</v>
      </c>
      <c r="P139" s="7">
        <v>0.7</v>
      </c>
      <c r="Q139" s="7">
        <v>0.0</v>
      </c>
    </row>
    <row r="140" outlineLevel="1">
      <c r="B140" s="0" t="inlineStr">
        <is>
          <t xml:space="preserve">2023-07-26</t>
        </is>
      </c>
      <c r="C140" s="0" t="inlineStr">
        <is>
          <t xml:space="preserve">-</t>
        </is>
      </c>
      <c r="D140" s="0" t="inlineStr">
        <is>
          <t xml:space="preserve">Lockheed Martin Rotary and Mission Systems</t>
        </is>
      </c>
      <c r="E140" s="0" t="inlineStr">
        <is>
          <t xml:space="preserve">ddg_gfe_aegis</t>
        </is>
      </c>
      <c r="F140" s="0" t="inlineStr">
        <is>
          <t xml:space="preserve">component_procurement</t>
        </is>
      </c>
      <c r="G140" s="0" t="inlineStr">
        <is>
          <t xml:space="preserve">EXCLUDE_GFE</t>
        </is>
      </c>
      <c r="H140" s="0" t="inlineStr">
        <is>
          <t xml:space="preserve">BC</t>
        </is>
      </c>
      <c r="I140" s="5">
        <v>1</v>
      </c>
      <c r="J140" s="5">
        <v>1</v>
      </c>
      <c r="K140" s="5">
        <v>1</v>
      </c>
      <c r="L140" s="5">
        <v>0</v>
      </c>
      <c r="M140" s="5">
        <v>8.349013</v>
      </c>
      <c r="N140" s="7">
        <v>0.03</v>
      </c>
      <c r="O140" s="7">
        <v>0.06</v>
      </c>
      <c r="P140" s="7">
        <v>0.83</v>
      </c>
      <c r="Q140" s="7">
        <v>0.0</v>
      </c>
    </row>
    <row r="141" outlineLevel="1">
      <c r="B141" s="0" t="inlineStr">
        <is>
          <t xml:space="preserve">2024-03-26</t>
        </is>
      </c>
      <c r="C141" s="0" t="inlineStr">
        <is>
          <t xml:space="preserve">N00024-19-C-2322</t>
        </is>
      </c>
      <c r="D141" s="0" t="inlineStr">
        <is>
          <t xml:space="preserve">General Dynamics Bath Iron Works</t>
        </is>
      </c>
      <c r="E141" s="0" t="inlineStr">
        <is>
          <t xml:space="preserve">ddg51</t>
        </is>
      </c>
      <c r="F141" s="0" t="inlineStr">
        <is>
          <t xml:space="preserve">construction</t>
        </is>
      </c>
      <c r="G141" s="0" t="inlineStr">
        <is>
          <t xml:space="preserve">INCLUDE_BC</t>
        </is>
      </c>
      <c r="H141" s="0" t="inlineStr">
        <is>
          <t xml:space="preserve">BC</t>
        </is>
      </c>
      <c r="I141" s="5">
        <v>1</v>
      </c>
      <c r="J141" s="5">
        <v>0</v>
      </c>
      <c r="K141" s="5">
        <v>1</v>
      </c>
      <c r="L141" s="5">
        <v>0</v>
      </c>
      <c r="M141" s="5">
        <v>8.037986</v>
      </c>
      <c r="N141" s="7">
        <v>0.0</v>
      </c>
      <c r="O141" s="7">
        <v>0.0</v>
      </c>
      <c r="P141" s="7">
        <v>0.64</v>
      </c>
      <c r="Q141" s="7">
        <v>0.0</v>
      </c>
    </row>
    <row r="142" outlineLevel="1">
      <c r="B142" s="0" t="inlineStr">
        <is>
          <t xml:space="preserve">2022-12-02</t>
        </is>
      </c>
      <c r="C142" s="0" t="inlineStr">
        <is>
          <t xml:space="preserve">-</t>
        </is>
      </c>
      <c r="D142" s="0" t="inlineStr">
        <is>
          <t xml:space="preserve">-</t>
        </is>
      </c>
      <c r="E142" s="0" t="inlineStr">
        <is>
          <t xml:space="preserve">ddg51</t>
        </is>
      </c>
      <c r="F142" s="0" t="inlineStr">
        <is>
          <t xml:space="preserve">construction</t>
        </is>
      </c>
      <c r="G142" s="0" t="inlineStr">
        <is>
          <t xml:space="preserve">INCLUDE_BC</t>
        </is>
      </c>
      <c r="H142" s="0" t="inlineStr">
        <is>
          <t xml:space="preserve">BC</t>
        </is>
      </c>
      <c r="I142" s="5">
        <v>1</v>
      </c>
      <c r="J142" s="5">
        <v>0</v>
      </c>
      <c r="K142" s="5">
        <v>1</v>
      </c>
      <c r="L142" s="5">
        <v>0</v>
      </c>
      <c r="M142" s="5">
        <v>8.000905</v>
      </c>
      <c r="N142" s="7">
        <v>0.0</v>
      </c>
      <c r="O142" s="7">
        <v>0.0</v>
      </c>
      <c r="P142" s="7">
        <v>1.0</v>
      </c>
      <c r="Q142" s="7">
        <v>0.0</v>
      </c>
    </row>
    <row r="143" outlineLevel="1">
      <c r="B143" s="0" t="inlineStr">
        <is>
          <t xml:space="preserve">2024-08-27</t>
        </is>
      </c>
      <c r="C143" s="0" t="inlineStr">
        <is>
          <t xml:space="preserve">N00024-13-C-2305</t>
        </is>
      </c>
      <c r="D143" s="0" t="inlineStr">
        <is>
          <t xml:space="preserve">Bath Iron Works</t>
        </is>
      </c>
      <c r="E143" s="0" t="inlineStr">
        <is>
          <t xml:space="preserve">ddg51</t>
        </is>
      </c>
      <c r="F143" s="0" t="inlineStr">
        <is>
          <t xml:space="preserve">construction</t>
        </is>
      </c>
      <c r="G143" s="0" t="inlineStr">
        <is>
          <t xml:space="preserve">INCLUDE_BC</t>
        </is>
      </c>
      <c r="H143" s="0" t="inlineStr">
        <is>
          <t xml:space="preserve">BC</t>
        </is>
      </c>
      <c r="I143" s="5">
        <v>1</v>
      </c>
      <c r="J143" s="5">
        <v>0</v>
      </c>
      <c r="K143" s="5">
        <v>1</v>
      </c>
      <c r="L143" s="5">
        <v>0</v>
      </c>
      <c r="M143" s="5">
        <v>7.802168</v>
      </c>
      <c r="N143" s="7">
        <v>0.99</v>
      </c>
      <c r="O143" s="7">
        <v>0.0</v>
      </c>
      <c r="P143" s="7">
        <v>0.0</v>
      </c>
      <c r="Q143" s="7">
        <v>0.0</v>
      </c>
    </row>
    <row r="144" outlineLevel="1">
      <c r="B144" s="0" t="inlineStr">
        <is>
          <t xml:space="preserve">2025-07-23</t>
        </is>
      </c>
      <c r="C144" s="0" t="inlineStr">
        <is>
          <t xml:space="preserve">N00024-22-C-5218</t>
        </is>
      </c>
      <c r="D144" s="0" t="inlineStr">
        <is>
          <t xml:space="preserve">-</t>
        </is>
      </c>
      <c r="E144" s="0" t="inlineStr">
        <is>
          <t xml:space="preserve">ddg_gfe_combat_systems</t>
        </is>
      </c>
      <c r="F144" s="0" t="inlineStr">
        <is>
          <t xml:space="preserve">component_procurement</t>
        </is>
      </c>
      <c r="G144" s="0" t="inlineStr">
        <is>
          <t xml:space="preserve">EXCLUDE_GFE</t>
        </is>
      </c>
      <c r="H144" s="0" t="inlineStr">
        <is>
          <t xml:space="preserve">BC</t>
        </is>
      </c>
      <c r="I144" s="5">
        <v>1</v>
      </c>
      <c r="J144" s="5">
        <v>1</v>
      </c>
      <c r="K144" s="5">
        <v>1</v>
      </c>
      <c r="L144" s="5">
        <v>0</v>
      </c>
      <c r="M144" s="5">
        <v>7.64603</v>
      </c>
      <c r="N144" s="7">
        <v>0.0</v>
      </c>
      <c r="O144" s="7">
        <v>0.0</v>
      </c>
      <c r="P144" s="7">
        <v>1.0</v>
      </c>
      <c r="Q144" s="7">
        <v>0.0</v>
      </c>
    </row>
    <row r="145" outlineLevel="1">
      <c r="B145" s="0" t="inlineStr">
        <is>
          <t xml:space="preserve">2023-09-21</t>
        </is>
      </c>
      <c r="C145" s="0" t="inlineStr">
        <is>
          <t xml:space="preserve">-</t>
        </is>
      </c>
      <c r="D145" s="0" t="inlineStr">
        <is>
          <t xml:space="preserve">Lockheed Martin Rotary and Mission Systems</t>
        </is>
      </c>
      <c r="E145" s="0" t="inlineStr">
        <is>
          <t xml:space="preserve">ddg_gfe_aegis</t>
        </is>
      </c>
      <c r="F145" s="0" t="inlineStr">
        <is>
          <t xml:space="preserve">component_procurement</t>
        </is>
      </c>
      <c r="G145" s="0" t="inlineStr">
        <is>
          <t xml:space="preserve">EXCLUDE_GFE</t>
        </is>
      </c>
      <c r="H145" s="0" t="inlineStr">
        <is>
          <t xml:space="preserve">BC</t>
        </is>
      </c>
      <c r="I145" s="5">
        <v>1</v>
      </c>
      <c r="J145" s="5">
        <v>1</v>
      </c>
      <c r="K145" s="5">
        <v>1</v>
      </c>
      <c r="L145" s="5">
        <v>0</v>
      </c>
      <c r="M145" s="5">
        <v>7.546645</v>
      </c>
      <c r="N145" s="7">
        <v>0.0</v>
      </c>
      <c r="O145" s="7">
        <v>0.0</v>
      </c>
      <c r="P145" s="7">
        <v>1.0</v>
      </c>
      <c r="Q145" s="7">
        <v>0.0</v>
      </c>
    </row>
    <row r="146" outlineLevel="1">
      <c r="B146" s="0" t="inlineStr">
        <is>
          <t xml:space="preserve">2025-02-20</t>
        </is>
      </c>
      <c r="C146" s="0" t="inlineStr">
        <is>
          <t xml:space="preserve">N00024-22-C-2319</t>
        </is>
      </c>
      <c r="D146" s="0" t="inlineStr">
        <is>
          <t xml:space="preserve">-</t>
        </is>
      </c>
      <c r="E146" s="0" t="inlineStr">
        <is>
          <t xml:space="preserve">ddg51</t>
        </is>
      </c>
      <c r="F146" s="0" t="inlineStr">
        <is>
          <t xml:space="preserve">construction</t>
        </is>
      </c>
      <c r="G146" s="0" t="inlineStr">
        <is>
          <t xml:space="preserve">INCLUDE_BC</t>
        </is>
      </c>
      <c r="H146" s="0" t="inlineStr">
        <is>
          <t xml:space="preserve">BC</t>
        </is>
      </c>
      <c r="I146" s="5">
        <v>1</v>
      </c>
      <c r="J146" s="5">
        <v>0</v>
      </c>
      <c r="K146" s="5">
        <v>1</v>
      </c>
      <c r="L146" s="5">
        <v>0</v>
      </c>
      <c r="M146" s="5">
        <v>0.0</v>
      </c>
      <c r="N146" s="7">
        <v>0.0</v>
      </c>
      <c r="O146" s="7">
        <v>1.0</v>
      </c>
      <c r="P146" s="7">
        <v>0.0</v>
      </c>
      <c r="Q146" s="7">
        <v>0.0</v>
      </c>
    </row>
    <row r="147" outlineLevel="1">
      <c r="B147" s="0" t="inlineStr">
        <is>
          <t xml:space="preserve">2025-02-21</t>
        </is>
      </c>
      <c r="C147" s="0" t="inlineStr">
        <is>
          <t xml:space="preserve">N00024-22-C-2319</t>
        </is>
      </c>
      <c r="D147" s="0" t="inlineStr">
        <is>
          <t xml:space="preserve">-</t>
        </is>
      </c>
      <c r="E147" s="0" t="inlineStr">
        <is>
          <t xml:space="preserve">ddg51</t>
        </is>
      </c>
      <c r="F147" s="0" t="inlineStr">
        <is>
          <t xml:space="preserve">construction</t>
        </is>
      </c>
      <c r="G147" s="0" t="inlineStr">
        <is>
          <t xml:space="preserve">INCLUDE_BC</t>
        </is>
      </c>
      <c r="H147" s="0" t="inlineStr">
        <is>
          <t xml:space="preserve">BC</t>
        </is>
      </c>
      <c r="I147" s="5">
        <v>1</v>
      </c>
      <c r="J147" s="5">
        <v>0</v>
      </c>
      <c r="K147" s="5">
        <v>1</v>
      </c>
      <c r="L147" s="5">
        <v>0</v>
      </c>
      <c r="M147" s="5">
        <v>0.0</v>
      </c>
      <c r="N147" s="7">
        <v>0.0</v>
      </c>
      <c r="O147" s="7">
        <v>1.0</v>
      </c>
      <c r="P147" s="7">
        <v>0.0</v>
      </c>
      <c r="Q147" s="7">
        <v>0.0</v>
      </c>
    </row>
    <row r="148" outlineLevel="1">
      <c r="B148" s="0" t="inlineStr">
        <is>
          <t xml:space="preserve">2025-05-16</t>
        </is>
      </c>
      <c r="C148" s="0" t="inlineStr">
        <is>
          <t xml:space="preserve">N00024-23-C-2305</t>
        </is>
      </c>
      <c r="D148" s="0" t="inlineStr">
        <is>
          <t xml:space="preserve">-</t>
        </is>
      </c>
      <c r="E148" s="0" t="inlineStr">
        <is>
          <t xml:space="preserve">ddg51</t>
        </is>
      </c>
      <c r="F148" s="0" t="inlineStr">
        <is>
          <t xml:space="preserve">construction</t>
        </is>
      </c>
      <c r="G148" s="0" t="inlineStr">
        <is>
          <t xml:space="preserve">INCLUDE_BC</t>
        </is>
      </c>
      <c r="H148" s="0" t="inlineStr">
        <is>
          <t xml:space="preserve">BC</t>
        </is>
      </c>
      <c r="I148" s="5">
        <v>1</v>
      </c>
      <c r="J148" s="5">
        <v>0</v>
      </c>
      <c r="K148" s="5">
        <v>1</v>
      </c>
      <c r="L148" s="5">
        <v>0</v>
      </c>
      <c r="M148" s="5">
        <v>0.0</v>
      </c>
      <c r="N148" s="7">
        <v>1.0</v>
      </c>
      <c r="O148" s="7">
        <v>0.0</v>
      </c>
      <c r="P148" s="7">
        <v>0.0</v>
      </c>
      <c r="Q148" s="7">
        <v>0.0</v>
      </c>
    </row>
    <row r="149" outlineLevel="1">
      <c r="B149" s="0" t="inlineStr">
        <is>
          <t xml:space="preserve">2025-07-09</t>
        </is>
      </c>
      <c r="C149" s="0" t="inlineStr">
        <is>
          <t xml:space="preserve">-</t>
        </is>
      </c>
      <c r="D149" s="0" t="inlineStr">
        <is>
          <t xml:space="preserve">-</t>
        </is>
      </c>
      <c r="E149" s="0" t="inlineStr">
        <is>
          <t xml:space="preserve">ddg_gfe_aegis</t>
        </is>
      </c>
      <c r="F149" s="0" t="inlineStr">
        <is>
          <t xml:space="preserve">component_procurement</t>
        </is>
      </c>
      <c r="G149" s="0" t="inlineStr">
        <is>
          <t xml:space="preserve">EXCLUDE_GFE</t>
        </is>
      </c>
      <c r="H149" s="0" t="inlineStr">
        <is>
          <t xml:space="preserve">BC</t>
        </is>
      </c>
      <c r="I149" s="5">
        <v>1</v>
      </c>
      <c r="J149" s="5">
        <v>1</v>
      </c>
      <c r="K149" s="5">
        <v>1</v>
      </c>
      <c r="L149" s="5">
        <v>0</v>
      </c>
      <c r="M149" s="5">
        <v>0.0</v>
      </c>
      <c r="N149" s="7">
        <v>0.0</v>
      </c>
      <c r="O149" s="7">
        <v>0.0</v>
      </c>
      <c r="P149" s="7">
        <v>0.0</v>
      </c>
      <c r="Q149" s="7">
        <v>0.0</v>
      </c>
    </row>
    <row r="150" outlineLevel="1">
      <c r="B150" s="0" t="inlineStr">
        <is>
          <t xml:space="preserve">2025-07-17</t>
        </is>
      </c>
      <c r="C150" s="0" t="inlineStr">
        <is>
          <t xml:space="preserve">N00024-22-C-2318</t>
        </is>
      </c>
      <c r="D150" s="0" t="inlineStr">
        <is>
          <t xml:space="preserve">-</t>
        </is>
      </c>
      <c r="E150" s="0" t="inlineStr">
        <is>
          <t xml:space="preserve">ddg51</t>
        </is>
      </c>
      <c r="F150" s="0" t="inlineStr">
        <is>
          <t xml:space="preserve">construction</t>
        </is>
      </c>
      <c r="G150" s="0" t="inlineStr">
        <is>
          <t xml:space="preserve">INCLUDE_BC</t>
        </is>
      </c>
      <c r="H150" s="0" t="inlineStr">
        <is>
          <t xml:space="preserve">BC</t>
        </is>
      </c>
      <c r="I150" s="5">
        <v>1</v>
      </c>
      <c r="J150" s="5">
        <v>0</v>
      </c>
      <c r="K150" s="5">
        <v>1</v>
      </c>
      <c r="L150" s="5">
        <v>0</v>
      </c>
      <c r="M150" s="5">
        <v>0.0</v>
      </c>
      <c r="N150" s="7">
        <v>0.99</v>
      </c>
      <c r="O150" s="7">
        <v>0.84</v>
      </c>
      <c r="P150" s="7">
        <v>0.17</v>
      </c>
      <c r="Q150" s="7">
        <v>0.0</v>
      </c>
    </row>
    <row r="151" outlineLevel="1">
      <c r="B151" s="0" t="inlineStr">
        <is>
          <t xml:space="preserve">2025-07-31</t>
        </is>
      </c>
      <c r="C151" s="0" t="inlineStr">
        <is>
          <t xml:space="preserve">N00024-23-C-2305</t>
        </is>
      </c>
      <c r="D151" s="0" t="inlineStr">
        <is>
          <t xml:space="preserve">-</t>
        </is>
      </c>
      <c r="E151" s="0" t="inlineStr">
        <is>
          <t xml:space="preserve">ddg51</t>
        </is>
      </c>
      <c r="F151" s="0" t="inlineStr">
        <is>
          <t xml:space="preserve">construction</t>
        </is>
      </c>
      <c r="G151" s="0" t="inlineStr">
        <is>
          <t xml:space="preserve">INCLUDE_BC</t>
        </is>
      </c>
      <c r="H151" s="0" t="inlineStr">
        <is>
          <t xml:space="preserve">BC</t>
        </is>
      </c>
      <c r="I151" s="5">
        <v>1</v>
      </c>
      <c r="J151" s="5">
        <v>0</v>
      </c>
      <c r="K151" s="5">
        <v>1</v>
      </c>
      <c r="L151" s="5">
        <v>0</v>
      </c>
      <c r="M151" s="5">
        <v>0.0</v>
      </c>
      <c r="N151" s="7">
        <v>0.69</v>
      </c>
      <c r="O151" s="7">
        <v>0.0</v>
      </c>
      <c r="P151" s="7">
        <v>0.12</v>
      </c>
      <c r="Q151" s="7">
        <v>0.0</v>
      </c>
    </row>
    <row r="152" outlineLevel="1">
      <c r="B152" s="0" t="inlineStr">
        <is>
          <t xml:space="preserve">2025-12-11</t>
        </is>
      </c>
      <c r="C152" s="0" t="inlineStr">
        <is>
          <t xml:space="preserve">-</t>
        </is>
      </c>
      <c r="D152" s="0" t="inlineStr">
        <is>
          <t xml:space="preserve">-</t>
        </is>
      </c>
      <c r="E152" s="0" t="inlineStr">
        <is>
          <t xml:space="preserve">ddg_gfe_aegis</t>
        </is>
      </c>
      <c r="F152" s="0" t="inlineStr">
        <is>
          <t xml:space="preserve">component_procurement</t>
        </is>
      </c>
      <c r="G152" s="0" t="inlineStr">
        <is>
          <t xml:space="preserve">EXCLUDE_GFE</t>
        </is>
      </c>
      <c r="H152" s="0" t="inlineStr">
        <is>
          <t xml:space="preserve">BC</t>
        </is>
      </c>
      <c r="I152" s="5">
        <v>1</v>
      </c>
      <c r="J152" s="5">
        <v>1</v>
      </c>
      <c r="K152" s="5">
        <v>1</v>
      </c>
      <c r="L152" s="5">
        <v>0</v>
      </c>
      <c r="M152" s="5">
        <v>0.0</v>
      </c>
      <c r="N152" s="7">
        <v>0.0</v>
      </c>
      <c r="O152" s="7">
        <v>0.0</v>
      </c>
      <c r="P152" s="7">
        <v>0.0</v>
      </c>
      <c r="Q152" s="7">
        <v>0.0</v>
      </c>
    </row>
    <row r="153" outlineLevel="1">
      <c r="B153" s="0" t="inlineStr">
        <is>
          <t xml:space="preserve">2026-04-17</t>
        </is>
      </c>
      <c r="C153" s="0" t="inlineStr">
        <is>
          <t xml:space="preserve">-</t>
        </is>
      </c>
      <c r="D153" s="0" t="inlineStr">
        <is>
          <t xml:space="preserve">Raytheon Co.</t>
        </is>
      </c>
      <c r="E153" s="0" t="inlineStr">
        <is>
          <t xml:space="preserve">ddg_gfe_radar</t>
        </is>
      </c>
      <c r="F153" s="0" t="inlineStr">
        <is>
          <t xml:space="preserve">component_procurement</t>
        </is>
      </c>
      <c r="G153" s="0" t="inlineStr">
        <is>
          <t xml:space="preserve">EXCLUDE_GFE</t>
        </is>
      </c>
      <c r="H153" s="0" t="inlineStr">
        <is>
          <t xml:space="preserve">BC</t>
        </is>
      </c>
      <c r="I153" s="5">
        <v>1</v>
      </c>
      <c r="J153" s="5">
        <v>1</v>
      </c>
      <c r="K153" s="5">
        <v>1</v>
      </c>
      <c r="L153" s="5">
        <v>0</v>
      </c>
      <c r="M153" s="5">
        <v>0.0</v>
      </c>
      <c r="N153" s="7">
        <v>0.0</v>
      </c>
      <c r="O153" s="7">
        <v>0.0</v>
      </c>
      <c r="P153" s="7">
        <v>1.0</v>
      </c>
      <c r="Q153" s="7">
        <v>0.0</v>
      </c>
    </row>
    <row r="154" outlineLevel="1">
      <c r="B154" s="0" t="inlineStr">
        <is>
          <t xml:space="preserve">2023-08-01</t>
        </is>
      </c>
      <c r="C154" s="0" t="inlineStr">
        <is>
          <t xml:space="preserve">N00024-23-C-2305</t>
        </is>
      </c>
      <c r="D154" s="0" t="inlineStr">
        <is>
          <t xml:space="preserve">Bath Iron Works</t>
        </is>
      </c>
      <c r="E154" s="0" t="inlineStr">
        <is>
          <t xml:space="preserve">ddg51</t>
        </is>
      </c>
      <c r="F154" s="0" t="inlineStr">
        <is>
          <t xml:space="preserve">construction</t>
        </is>
      </c>
      <c r="G154" s="0" t="inlineStr">
        <is>
          <t xml:space="preserve">INCLUDE_BC</t>
        </is>
      </c>
      <c r="H154" s="0" t="inlineStr">
        <is>
          <t xml:space="preserve">BC</t>
        </is>
      </c>
      <c r="I154" s="5">
        <v>1</v>
      </c>
      <c r="J154" s="5">
        <v>0</v>
      </c>
      <c r="K154" s="5">
        <v>1</v>
      </c>
      <c r="L154" s="5">
        <v>0</v>
      </c>
      <c r="M154" s="5">
        <v>0.0</v>
      </c>
      <c r="N154" s="7">
        <v>0.69</v>
      </c>
      <c r="O154" s="7">
        <v>0.0</v>
      </c>
      <c r="P154" s="7">
        <v>0.1</v>
      </c>
      <c r="Q154" s="7">
        <v>0.0</v>
      </c>
    </row>
    <row r="155" outlineLevel="1">
      <c r="B155" s="0" t="inlineStr">
        <is>
          <t xml:space="preserve">2023-08-01</t>
        </is>
      </c>
      <c r="C155" s="0" t="inlineStr">
        <is>
          <t xml:space="preserve">N00024-23-C-2307</t>
        </is>
      </c>
      <c r="D155" s="0" t="inlineStr">
        <is>
          <t xml:space="preserve">-</t>
        </is>
      </c>
      <c r="E155" s="0" t="inlineStr">
        <is>
          <t xml:space="preserve">ddg51</t>
        </is>
      </c>
      <c r="F155" s="0" t="inlineStr">
        <is>
          <t xml:space="preserve">construction</t>
        </is>
      </c>
      <c r="G155" s="0" t="inlineStr">
        <is>
          <t xml:space="preserve">INCLUDE_BC</t>
        </is>
      </c>
      <c r="H155" s="0" t="inlineStr">
        <is>
          <t xml:space="preserve">BC</t>
        </is>
      </c>
      <c r="I155" s="5">
        <v>1</v>
      </c>
      <c r="J155" s="5">
        <v>0</v>
      </c>
      <c r="K155" s="5">
        <v>1</v>
      </c>
      <c r="L155" s="5">
        <v>0</v>
      </c>
      <c r="M155" s="5">
        <v>0.0</v>
      </c>
      <c r="N155" s="7">
        <v>0.0</v>
      </c>
      <c r="O155" s="7">
        <v>0.77</v>
      </c>
      <c r="P155" s="7">
        <v>0.0</v>
      </c>
      <c r="Q155" s="7">
        <v>0.0</v>
      </c>
    </row>
    <row r="156" outlineLevel="1">
      <c r="B156" s="0" t="inlineStr">
        <is>
          <t xml:space="preserve">2023-08-11</t>
        </is>
      </c>
      <c r="C156" s="0" t="inlineStr">
        <is>
          <t xml:space="preserve">N00024-23-C-2307</t>
        </is>
      </c>
      <c r="D156" s="0" t="inlineStr">
        <is>
          <t xml:space="preserve">Huntington Ingalls Inc.</t>
        </is>
      </c>
      <c r="E156" s="0" t="inlineStr">
        <is>
          <t xml:space="preserve">ddg51</t>
        </is>
      </c>
      <c r="F156" s="0" t="inlineStr">
        <is>
          <t xml:space="preserve">construction</t>
        </is>
      </c>
      <c r="G156" s="0" t="inlineStr">
        <is>
          <t xml:space="preserve">INCLUDE_BC</t>
        </is>
      </c>
      <c r="H156" s="0" t="inlineStr">
        <is>
          <t xml:space="preserve">BC</t>
        </is>
      </c>
      <c r="I156" s="5">
        <v>1</v>
      </c>
      <c r="J156" s="5">
        <v>0</v>
      </c>
      <c r="K156" s="5">
        <v>1</v>
      </c>
      <c r="L156" s="5">
        <v>0</v>
      </c>
      <c r="M156" s="5">
        <v>0.0</v>
      </c>
      <c r="N156" s="7">
        <v>0.0</v>
      </c>
      <c r="O156" s="7">
        <v>0.79</v>
      </c>
      <c r="P156" s="7">
        <v>0.0</v>
      </c>
      <c r="Q156" s="7">
        <v>0.0</v>
      </c>
    </row>
    <row r="157" outlineLevel="1">
      <c r="B157" s="0" t="inlineStr">
        <is>
          <t xml:space="preserve">2024-06-03</t>
        </is>
      </c>
      <c r="C157" s="0" t="inlineStr">
        <is>
          <t xml:space="preserve">-</t>
        </is>
      </c>
      <c r="D157" s="0" t="inlineStr">
        <is>
          <t xml:space="preserve">-</t>
        </is>
      </c>
      <c r="E157" s="0" t="inlineStr">
        <is>
          <t xml:space="preserve">ddg_gfe_aegis</t>
        </is>
      </c>
      <c r="F157" s="0" t="inlineStr">
        <is>
          <t xml:space="preserve">component_procurement</t>
        </is>
      </c>
      <c r="G157" s="0" t="inlineStr">
        <is>
          <t xml:space="preserve">EXCLUDE_GFE</t>
        </is>
      </c>
      <c r="H157" s="0" t="inlineStr">
        <is>
          <t xml:space="preserve">BC</t>
        </is>
      </c>
      <c r="I157" s="5">
        <v>1</v>
      </c>
      <c r="J157" s="5">
        <v>1</v>
      </c>
      <c r="K157" s="5">
        <v>1</v>
      </c>
      <c r="L157" s="5">
        <v>0</v>
      </c>
      <c r="M157" s="5">
        <v>0.0</v>
      </c>
      <c r="N157" s="7">
        <v>0.0</v>
      </c>
      <c r="O157" s="7">
        <v>0.0</v>
      </c>
      <c r="P157" s="7">
        <v>1.0</v>
      </c>
      <c r="Q157" s="7">
        <v>0.0</v>
      </c>
    </row>
    <row r="158" outlineLevel="1">
      <c r="B158" s="0" t="inlineStr">
        <is>
          <t xml:space="preserve">2024-06-07</t>
        </is>
      </c>
      <c r="C158" s="0" t="inlineStr">
        <is>
          <t xml:space="preserve">-</t>
        </is>
      </c>
      <c r="D158" s="0" t="inlineStr">
        <is>
          <t xml:space="preserve">-</t>
        </is>
      </c>
      <c r="E158" s="0" t="inlineStr">
        <is>
          <t xml:space="preserve">ddg_gfe_aegis</t>
        </is>
      </c>
      <c r="F158" s="0" t="inlineStr">
        <is>
          <t xml:space="preserve">component_procurement</t>
        </is>
      </c>
      <c r="G158" s="0" t="inlineStr">
        <is>
          <t xml:space="preserve">EXCLUDE_GFE</t>
        </is>
      </c>
      <c r="H158" s="0" t="inlineStr">
        <is>
          <t xml:space="preserve">BC</t>
        </is>
      </c>
      <c r="I158" s="5">
        <v>1</v>
      </c>
      <c r="J158" s="5">
        <v>1</v>
      </c>
      <c r="K158" s="5">
        <v>1</v>
      </c>
      <c r="L158" s="5">
        <v>0</v>
      </c>
      <c r="M158" s="5">
        <v>0.0</v>
      </c>
      <c r="N158" s="7">
        <v>0.0</v>
      </c>
      <c r="O158" s="7">
        <v>0.0</v>
      </c>
      <c r="P158" s="7">
        <v>0.0</v>
      </c>
      <c r="Q158" s="7">
        <v>0.0</v>
      </c>
    </row>
    <row r="159" outlineLevel="1">
      <c r="B159" s="0" t="inlineStr">
        <is>
          <t xml:space="preserve">2024-07-17</t>
        </is>
      </c>
      <c r="C159" s="0" t="inlineStr">
        <is>
          <t xml:space="preserve">N00024-22-C-2318</t>
        </is>
      </c>
      <c r="D159" s="0" t="inlineStr">
        <is>
          <t xml:space="preserve">-</t>
        </is>
      </c>
      <c r="E159" s="0" t="inlineStr">
        <is>
          <t xml:space="preserve">ddg51</t>
        </is>
      </c>
      <c r="F159" s="0" t="inlineStr">
        <is>
          <t xml:space="preserve">construction</t>
        </is>
      </c>
      <c r="G159" s="0" t="inlineStr">
        <is>
          <t xml:space="preserve">INCLUDE_BC</t>
        </is>
      </c>
      <c r="H159" s="0" t="inlineStr">
        <is>
          <t xml:space="preserve">BC</t>
        </is>
      </c>
      <c r="I159" s="5">
        <v>1</v>
      </c>
      <c r="J159" s="5">
        <v>0</v>
      </c>
      <c r="K159" s="5">
        <v>1</v>
      </c>
      <c r="L159" s="5">
        <v>0</v>
      </c>
      <c r="M159" s="5">
        <v>0.0</v>
      </c>
      <c r="N159" s="7">
        <v>0.99</v>
      </c>
      <c r="O159" s="7">
        <v>0.84</v>
      </c>
      <c r="P159" s="7">
        <v>0.17</v>
      </c>
      <c r="Q159" s="7">
        <v>0.0</v>
      </c>
    </row>
    <row r="160" outlineLevel="1">
      <c r="B160" s="0" t="inlineStr">
        <is>
          <t xml:space="preserve">2024-09-30</t>
        </is>
      </c>
      <c r="C160" s="0" t="inlineStr">
        <is>
          <t xml:space="preserve">-</t>
        </is>
      </c>
      <c r="D160" s="0" t="inlineStr">
        <is>
          <t xml:space="preserve">-</t>
        </is>
      </c>
      <c r="E160" s="0" t="inlineStr">
        <is>
          <t xml:space="preserve">ddg_gfe_aegis</t>
        </is>
      </c>
      <c r="F160" s="0" t="inlineStr">
        <is>
          <t xml:space="preserve">component_procurement</t>
        </is>
      </c>
      <c r="G160" s="0" t="inlineStr">
        <is>
          <t xml:space="preserve">EXCLUDE_GFE</t>
        </is>
      </c>
      <c r="H160" s="0" t="inlineStr">
        <is>
          <t xml:space="preserve">BC</t>
        </is>
      </c>
      <c r="I160" s="5">
        <v>1</v>
      </c>
      <c r="J160" s="5">
        <v>1</v>
      </c>
      <c r="K160" s="5">
        <v>1</v>
      </c>
      <c r="L160" s="5">
        <v>0</v>
      </c>
      <c r="M160" s="5">
        <v>0.0</v>
      </c>
      <c r="N160" s="7">
        <v>0.0</v>
      </c>
      <c r="O160" s="7">
        <v>0.0</v>
      </c>
      <c r="P160" s="7">
        <v>0.0</v>
      </c>
      <c r="Q160" s="7">
        <v>0.0</v>
      </c>
    </row>
    <row r="163">
      <c r="A163" s="0" t="inlineStr">
        <is>
          <t xml:space="preserve">x</t>
        </is>
      </c>
      <c r="B163" s="9" t="inlineStr">
        <is>
          <t xml:space="preserve">§2 - Field guide</t>
        </is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5">
      <c r="B165" s="2" t="inlineStr">
        <is>
          <t xml:space="preserve">Field</t>
        </is>
      </c>
      <c r="C165" s="2" t="inlineStr">
        <is>
          <t xml:space="preserve">Meaning</t>
        </is>
      </c>
    </row>
    <row r="166" outlineLevel="1">
      <c r="B166" s="0" t="inlineStr">
        <is>
          <t xml:space="preserve">Gate</t>
        </is>
      </c>
      <c r="C166" s="0" t="inlineStr">
        <is>
          <t xml:space="preserve">1 = DDG new-construction TAM-relevant action</t>
        </is>
      </c>
    </row>
    <row r="167" outlineLevel="1">
      <c r="B167" s="0" t="inlineStr">
        <is>
          <t xml:space="preserve">GFE/Excl</t>
        </is>
      </c>
      <c r="C167" s="0" t="inlineStr">
        <is>
          <t xml:space="preserve">1 = GFE / Navy-directed scope (ddg_gfe_*) dropped from the coefficient</t>
        </is>
      </c>
    </row>
    <row r="168" outlineLevel="1">
      <c r="B168" s="0" t="inlineStr">
        <is>
          <t xml:space="preserve">Confirmed</t>
        </is>
      </c>
      <c r="C168" s="0" t="inlineStr">
        <is>
          <t xml:space="preserve">1 = manual_review_status confirmed (default 1)</t>
        </is>
      </c>
    </row>
    <row r="169" outlineLevel="1">
      <c r="B169" s="0" t="inlineStr">
        <is>
          <t xml:space="preserve">MYP master</t>
        </is>
      </c>
      <c r="C169" s="0" t="inlineStr">
        <is>
          <t xml:space="preserve">1 = a $-redacted MYP master row ($ reconstructed; POP as announced; linked from Inputs)</t>
        </is>
      </c>
    </row>
    <row r="170" outlineLevel="1">
      <c r="B170" s="0" t="inlineStr">
        <is>
          <t xml:space="preserve">Scope Class</t>
        </is>
      </c>
      <c r="C170" s="0" t="inlineStr">
        <is>
          <t xml:space="preserve">INCLUDE_BC / EXCLUDE_GFE</t>
        </is>
      </c>
    </row>
    <row r="171" outlineLevel="1">
      <c r="B171" s="0" t="inlineStr">
        <is>
          <t xml:space="preserve">Stream</t>
        </is>
      </c>
      <c r="C171" s="0" t="inlineStr">
        <is>
          <t xml:space="preserve">BC (all DDG gated work is Basic Construction stream)</t>
        </is>
      </c>
    </row>
  </sheetData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7B1F3A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0" customWidth="1"/>
    <col min="3" max="3" width="16" customWidth="1"/>
    <col min="4" max="4" width="12" customWidth="1"/>
    <col min="5" max="5" width="13" customWidth="1"/>
    <col min="6" max="6" width="30" customWidth="1"/>
    <col min="7" max="7" width="12" customWidth="1"/>
    <col min="8" max="8" width="12" customWidth="1"/>
    <col min="9" max="9" width="12" customWidth="1"/>
    <col min="10" max="10" width="22" customWidth="1"/>
    <col min="11" max="11" width="9" customWidth="1"/>
    <col min="12" max="12" width="7" customWidth="1"/>
    <col min="13" max="13" width="12" customWidth="1"/>
    <col min="14" max="14" width="11" customWidth="1"/>
    <col min="15" max="15" width="11" customWidth="1"/>
    <col min="16" max="16" width="11" customWidth="1"/>
    <col min="17" max="17" width="11" customWidth="1"/>
  </cols>
  <sheetData>
    <row r="1"/>
    <row r="2">
      <c r="B2" s="8" t="inlineStr">
        <is>
          <t xml:space="preserve">Entity Master</t>
        </is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4">
      <c r="A4" s="0" t="inlineStr">
        <is>
          <t xml:space="preserve">x</t>
        </is>
      </c>
      <c r="B4" s="9" t="inlineStr">
        <is>
          <t xml:space="preserve">§1 - Subaward classification (registry/NAICS-led; Yard columns = yard-construction-PIID $, the Worktype by FY gate)</t>
        </is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6">
      <c r="B6" s="2" t="inlineStr">
        <is>
          <t xml:space="preserve">Vendor</t>
        </is>
      </c>
      <c r="C6" s="2" t="inlineStr">
        <is>
          <t xml:space="preserve">UEI</t>
        </is>
      </c>
      <c r="D6" s="2" t="inlineStr">
        <is>
          <t xml:space="preserve">Country</t>
        </is>
      </c>
      <c r="E6" s="2" t="inlineStr">
        <is>
          <t xml:space="preserve">NAICS-4</t>
        </is>
      </c>
      <c r="F6" s="2" t="inlineStr">
        <is>
          <t xml:space="preserve">NAICS desc</t>
        </is>
      </c>
      <c r="G6" s="22" t="inlineStr">
        <is>
          <t xml:space="preserve">$M</t>
        </is>
      </c>
      <c r="H6" s="2" t="inlineStr">
        <is>
          <t xml:space="preserve">Role</t>
        </is>
      </c>
      <c r="I6" s="2" t="inlineStr">
        <is>
          <t xml:space="preserve">Bucket</t>
        </is>
      </c>
      <c r="J6" s="2" t="inlineStr">
        <is>
          <t xml:space="preserve">Arbiter</t>
        </is>
      </c>
      <c r="K6" s="22" t="inlineStr">
        <is>
          <t xml:space="preserve">Modular</t>
        </is>
      </c>
      <c r="L6" s="22" t="inlineStr">
        <is>
          <t xml:space="preserve">VLS</t>
        </is>
      </c>
      <c r="M6" s="22" t="inlineStr">
        <is>
          <t xml:space="preserve">Yard $M</t>
        </is>
      </c>
      <c r="N6" s="22" t="inlineStr">
        <is>
          <t xml:space="preserve">Yard FY22</t>
        </is>
      </c>
      <c r="O6" s="22" t="inlineStr">
        <is>
          <t xml:space="preserve">Yard FY23</t>
        </is>
      </c>
      <c r="P6" s="22" t="inlineStr">
        <is>
          <t xml:space="preserve">Yard FY24</t>
        </is>
      </c>
      <c r="Q6" s="22" t="inlineStr">
        <is>
          <t xml:space="preserve">Yard FY25</t>
        </is>
      </c>
    </row>
    <row r="7" outlineLevel="1">
      <c r="B7" s="0" t="inlineStr">
        <is>
          <t xml:space="preserve">LEONARDO SPA</t>
        </is>
      </c>
      <c r="C7" s="0" t="inlineStr">
        <is>
          <t xml:space="preserve">T2VFE1NGR3G5</t>
        </is>
      </c>
      <c r="D7" s="0" t="inlineStr">
        <is>
          <t xml:space="preserve">ITA</t>
        </is>
      </c>
      <c r="E7" s="0" t="inlineStr">
        <is>
          <t xml:space="preserve">3364</t>
        </is>
      </c>
      <c r="F7" s="0" t="inlineStr">
        <is>
          <t xml:space="preserve">Aircraft Manufacturing</t>
        </is>
      </c>
      <c r="G7" s="5">
        <v>1003.4181795899998</v>
      </c>
      <c r="H7" s="0" t="inlineStr">
        <is>
          <t xml:space="preserve">mission_systems</t>
        </is>
      </c>
      <c r="I7" s="0" t="inlineStr">
        <is>
          <t xml:space="preserve">-</t>
        </is>
      </c>
      <c r="J7" s="0" t="inlineStr">
        <is>
          <t xml:space="preserve">registry</t>
        </is>
      </c>
      <c r="K7" s="5">
        <v>0</v>
      </c>
      <c r="L7" s="5">
        <v>1</v>
      </c>
      <c r="M7" s="5">
        <v>0.17120269</v>
      </c>
      <c r="N7" s="5">
        <v>0.100267</v>
      </c>
      <c r="O7" s="5">
        <v>0.0</v>
      </c>
      <c r="P7" s="5">
        <v>0.0</v>
      </c>
      <c r="Q7" s="5">
        <v>0.04458173</v>
      </c>
    </row>
    <row r="8" outlineLevel="1">
      <c r="B8" s="0" t="inlineStr">
        <is>
          <t xml:space="preserve">ARCTIC SLOPE REGIONAL CORPORATION</t>
        </is>
      </c>
      <c r="C8" s="0" t="inlineStr">
        <is>
          <t xml:space="preserve">VVQ8NPGU36B7</t>
        </is>
      </c>
      <c r="D8" s="0" t="inlineStr">
        <is>
          <t xml:space="preserve">USA</t>
        </is>
      </c>
      <c r="E8" s="0" t="inlineStr">
        <is>
          <t xml:space="preserve">5511</t>
        </is>
      </c>
      <c r="F8" s="0" t="inlineStr">
        <is>
          <t xml:space="preserve">Corporate, Subsidiary, and Regional Managing Offices</t>
        </is>
      </c>
      <c r="G8" s="5">
        <v>964.0247358899999</v>
      </c>
      <c r="H8" s="0" t="inlineStr">
        <is>
          <t xml:space="preserve">holding</t>
        </is>
      </c>
      <c r="I8" s="0" t="inlineStr">
        <is>
          <t xml:space="preserve">-</t>
        </is>
      </c>
      <c r="J8" s="0" t="inlineStr">
        <is>
          <t xml:space="preserve">registry</t>
        </is>
      </c>
      <c r="K8" s="5">
        <v>0</v>
      </c>
      <c r="L8" s="5">
        <v>0</v>
      </c>
      <c r="M8" s="5">
        <v>0.0</v>
      </c>
      <c r="N8" s="5">
        <v>0.0</v>
      </c>
      <c r="O8" s="5">
        <v>0.0</v>
      </c>
      <c r="P8" s="5">
        <v>0.0</v>
      </c>
      <c r="Q8" s="5">
        <v>0.0</v>
      </c>
    </row>
    <row r="9" outlineLevel="1">
      <c r="B9" s="0" t="inlineStr">
        <is>
          <t xml:space="preserve">MAJOR TOOL AND MACHINE INC</t>
        </is>
      </c>
      <c r="C9" s="0" t="inlineStr">
        <is>
          <t xml:space="preserve">YHJESY2TDP23</t>
        </is>
      </c>
      <c r="D9" s="0" t="inlineStr">
        <is>
          <t xml:space="preserve">USA</t>
        </is>
      </c>
      <c r="E9" s="0" t="inlineStr">
        <is>
          <t xml:space="preserve">3327</t>
        </is>
      </c>
      <c r="F9" s="0" t="inlineStr">
        <is>
          <t xml:space="preserve">Machine Shops</t>
        </is>
      </c>
      <c r="G9" s="5">
        <v>751.14153758</v>
      </c>
      <c r="H9" s="0" t="inlineStr">
        <is>
          <t xml:space="preserve">supplier</t>
        </is>
      </c>
      <c r="I9" s="0" t="inlineStr">
        <is>
          <t xml:space="preserve">machining</t>
        </is>
      </c>
      <c r="J9" s="0" t="inlineStr">
        <is>
          <t xml:space="preserve">registry</t>
        </is>
      </c>
      <c r="K9" s="5">
        <v>0</v>
      </c>
      <c r="L9" s="5">
        <v>0</v>
      </c>
      <c r="M9" s="5">
        <v>0.0</v>
      </c>
      <c r="N9" s="5">
        <v>0.0</v>
      </c>
      <c r="O9" s="5">
        <v>0.0</v>
      </c>
      <c r="P9" s="5">
        <v>0.0</v>
      </c>
      <c r="Q9" s="5">
        <v>0.0</v>
      </c>
    </row>
    <row r="10" outlineLevel="1">
      <c r="B10" s="0" t="inlineStr">
        <is>
          <t xml:space="preserve">LEONARDO SPA</t>
        </is>
      </c>
      <c r="C10" s="0" t="inlineStr">
        <is>
          <t xml:space="preserve">JLREE96WGKM5</t>
        </is>
      </c>
      <c r="D10" s="0" t="inlineStr">
        <is>
          <t xml:space="preserve">ITA</t>
        </is>
      </c>
      <c r="E10" s="0" t="inlineStr">
        <is>
          <t xml:space="preserve">3364</t>
        </is>
      </c>
      <c r="F10" s="0" t="inlineStr">
        <is>
          <t xml:space="preserve">Aircraft Manufacturing</t>
        </is>
      </c>
      <c r="G10" s="5">
        <v>672.2512403400001</v>
      </c>
      <c r="H10" s="0" t="inlineStr">
        <is>
          <t xml:space="preserve">mission_systems</t>
        </is>
      </c>
      <c r="I10" s="0" t="inlineStr">
        <is>
          <t xml:space="preserve">-</t>
        </is>
      </c>
      <c r="J10" s="0" t="inlineStr">
        <is>
          <t xml:space="preserve">registry</t>
        </is>
      </c>
      <c r="K10" s="5">
        <v>0</v>
      </c>
      <c r="L10" s="5">
        <v>1</v>
      </c>
      <c r="M10" s="5">
        <v>0.343522</v>
      </c>
      <c r="N10" s="5">
        <v>0.0</v>
      </c>
      <c r="O10" s="5">
        <v>0.108184</v>
      </c>
      <c r="P10" s="5">
        <v>0.0</v>
      </c>
      <c r="Q10" s="5">
        <v>0.0</v>
      </c>
    </row>
    <row r="11" outlineLevel="1">
      <c r="B11" s="0" t="inlineStr">
        <is>
          <t xml:space="preserve">GENERAL DYNAMICS CORP</t>
        </is>
      </c>
      <c r="C11" s="0" t="inlineStr">
        <is>
          <t xml:space="preserve">LDUJLC79HNK5</t>
        </is>
      </c>
      <c r="D11" s="0" t="inlineStr">
        <is>
          <t xml:space="preserve">USA</t>
        </is>
      </c>
      <c r="E11" s="0" t="inlineStr">
        <is>
          <t xml:space="preserve">3369</t>
        </is>
      </c>
      <c r="F11" s="0" t="inlineStr">
        <is>
          <t xml:space="preserve">Military Armored Vehicle, Tank, and Tank Component Manufacturing</t>
        </is>
      </c>
      <c r="G11" s="5">
        <v>348.8974960000001</v>
      </c>
      <c r="H11" s="0" t="inlineStr">
        <is>
          <t xml:space="preserve">prime</t>
        </is>
      </c>
      <c r="I11" s="0" t="inlineStr">
        <is>
          <t xml:space="preserve">-</t>
        </is>
      </c>
      <c r="J11" s="0" t="inlineStr">
        <is>
          <t xml:space="preserve">registry</t>
        </is>
      </c>
      <c r="K11" s="5">
        <v>0</v>
      </c>
      <c r="L11" s="5">
        <v>0</v>
      </c>
      <c r="M11" s="5">
        <v>0.0</v>
      </c>
      <c r="N11" s="5">
        <v>0.0</v>
      </c>
      <c r="O11" s="5">
        <v>0.0</v>
      </c>
      <c r="P11" s="5">
        <v>0.0</v>
      </c>
      <c r="Q11" s="5">
        <v>0.0</v>
      </c>
    </row>
    <row r="12" outlineLevel="1">
      <c r="B12" s="0" t="inlineStr">
        <is>
          <t xml:space="preserve">GENERAL ELECTRIC COMPANY</t>
        </is>
      </c>
      <c r="C12" s="0" t="inlineStr">
        <is>
          <t xml:space="preserve">J1T1FEN3PWX6</t>
        </is>
      </c>
      <c r="D12" s="0" t="inlineStr">
        <is>
          <t xml:space="preserve">USA</t>
        </is>
      </c>
      <c r="E12" s="0" t="inlineStr">
        <is>
          <t xml:space="preserve">3364</t>
        </is>
      </c>
      <c r="F12" s="0" t="inlineStr">
        <is>
          <t xml:space="preserve">Aircraft Engine and Engine Parts Manufacturing</t>
        </is>
      </c>
      <c r="G12" s="5">
        <v>333.09274659999994</v>
      </c>
      <c r="H12" s="0" t="inlineStr">
        <is>
          <t xml:space="preserve">supplier</t>
        </is>
      </c>
      <c r="I12" s="0" t="inlineStr">
        <is>
          <t xml:space="preserve">machining</t>
        </is>
      </c>
      <c r="J12" s="0" t="inlineStr">
        <is>
          <t xml:space="preserve">registry</t>
        </is>
      </c>
      <c r="K12" s="5">
        <v>0</v>
      </c>
      <c r="L12" s="5">
        <v>0</v>
      </c>
      <c r="M12" s="5">
        <v>333.09274659999994</v>
      </c>
      <c r="N12" s="5">
        <v>44.273845</v>
      </c>
      <c r="O12" s="5">
        <v>95.513882</v>
      </c>
      <c r="P12" s="5">
        <v>48.7441116</v>
      </c>
      <c r="Q12" s="5">
        <v>144.325036</v>
      </c>
    </row>
    <row r="13" outlineLevel="1">
      <c r="B13" s="0" t="inlineStr">
        <is>
          <t xml:space="preserve">ROLLS-ROYCE HOLDINGS PLC</t>
        </is>
      </c>
      <c r="C13" s="0" t="inlineStr">
        <is>
          <t xml:space="preserve">HLVBPCA2LH41</t>
        </is>
      </c>
      <c r="D13" s="0" t="inlineStr">
        <is>
          <t xml:space="preserve">-</t>
        </is>
      </c>
      <c r="E13" s="0" t="inlineStr">
        <is>
          <t xml:space="preserve">-</t>
        </is>
      </c>
      <c r="F13" s="0" t="inlineStr">
        <is>
          <t xml:space="preserve">-</t>
        </is>
      </c>
      <c r="G13" s="5">
        <v>293.566573</v>
      </c>
      <c r="H13" s="0" t="inlineStr">
        <is>
          <t xml:space="preserve">supplier</t>
        </is>
      </c>
      <c r="I13" s="0" t="inlineStr">
        <is>
          <t xml:space="preserve">machining</t>
        </is>
      </c>
      <c r="J13" s="0" t="inlineStr">
        <is>
          <t xml:space="preserve">registry</t>
        </is>
      </c>
      <c r="K13" s="5">
        <v>0</v>
      </c>
      <c r="L13" s="5">
        <v>0</v>
      </c>
      <c r="M13" s="5">
        <v>292.504599</v>
      </c>
      <c r="N13" s="5">
        <v>0.0</v>
      </c>
      <c r="O13" s="5">
        <v>0.0</v>
      </c>
      <c r="P13" s="5">
        <v>0.0</v>
      </c>
      <c r="Q13" s="5">
        <v>53.400944599999995</v>
      </c>
    </row>
    <row r="14" outlineLevel="1">
      <c r="B14" s="0" t="inlineStr">
        <is>
          <t xml:space="preserve">JOHNSON CONTROLS NAVY SYSTEMS, LLC</t>
        </is>
      </c>
      <c r="C14" s="0" t="inlineStr">
        <is>
          <t xml:space="preserve">SLD5KEGGLLZ3</t>
        </is>
      </c>
      <c r="D14" s="0" t="inlineStr">
        <is>
          <t xml:space="preserve">USA</t>
        </is>
      </c>
      <c r="E14" s="0" t="inlineStr">
        <is>
          <t xml:space="preserve">3334</t>
        </is>
      </c>
      <c r="F14" s="0" t="inlineStr">
        <is>
          <t xml:space="preserve">Air-Conditioning and Warm Air Heating Equipment and Commercial and Industrial Refrigeration Equipment Manufacturing</t>
        </is>
      </c>
      <c r="G14" s="5">
        <v>178.23024206000002</v>
      </c>
      <c r="H14" s="0" t="inlineStr">
        <is>
          <t xml:space="preserve">supplier</t>
        </is>
      </c>
      <c r="I14" s="0" t="inlineStr">
        <is>
          <t xml:space="preserve">hvac</t>
        </is>
      </c>
      <c r="J14" s="0" t="inlineStr">
        <is>
          <t xml:space="preserve">registry</t>
        </is>
      </c>
      <c r="K14" s="5">
        <v>0</v>
      </c>
      <c r="L14" s="5">
        <v>0</v>
      </c>
      <c r="M14" s="5">
        <v>178.23024206000002</v>
      </c>
      <c r="N14" s="5">
        <v>7.61516114</v>
      </c>
      <c r="O14" s="5">
        <v>57.85061473</v>
      </c>
      <c r="P14" s="5">
        <v>27.976386879999996</v>
      </c>
      <c r="Q14" s="5">
        <v>84.58623131</v>
      </c>
    </row>
    <row r="15" outlineLevel="1">
      <c r="B15" s="0" t="inlineStr">
        <is>
          <t xml:space="preserve">ADVANCED SCIENCES AND TECHNOLOGIES, LLC</t>
        </is>
      </c>
      <c r="C15" s="0" t="inlineStr">
        <is>
          <t xml:space="preserve">HHBLV49BQUY5</t>
        </is>
      </c>
      <c r="D15" s="0" t="inlineStr">
        <is>
          <t xml:space="preserve">USA</t>
        </is>
      </c>
      <c r="E15" s="0" t="inlineStr">
        <is>
          <t xml:space="preserve">5413</t>
        </is>
      </c>
      <c r="F15" s="0" t="inlineStr">
        <is>
          <t xml:space="preserve">Engineering Services</t>
        </is>
      </c>
      <c r="G15" s="5">
        <v>173.95035785000002</v>
      </c>
      <c r="H15" s="0" t="inlineStr">
        <is>
          <t xml:space="preserve">service</t>
        </is>
      </c>
      <c r="I15" s="0" t="inlineStr">
        <is>
          <t xml:space="preserve">-</t>
        </is>
      </c>
      <c r="J15" s="0" t="inlineStr">
        <is>
          <t xml:space="preserve">registry</t>
        </is>
      </c>
      <c r="K15" s="5">
        <v>0</v>
      </c>
      <c r="L15" s="5">
        <v>0</v>
      </c>
      <c r="M15" s="5">
        <v>0.0</v>
      </c>
      <c r="N15" s="5">
        <v>0.0</v>
      </c>
      <c r="O15" s="5">
        <v>0.0</v>
      </c>
      <c r="P15" s="5">
        <v>0.0</v>
      </c>
      <c r="Q15" s="5">
        <v>0.0</v>
      </c>
    </row>
    <row r="16" outlineLevel="1">
      <c r="B16" s="0" t="inlineStr">
        <is>
          <t xml:space="preserve">TIMKEN GEARS &amp; SERVICES INC.</t>
        </is>
      </c>
      <c r="C16" s="0" t="inlineStr">
        <is>
          <t xml:space="preserve">FZPYZ11SFNA6</t>
        </is>
      </c>
      <c r="D16" s="0" t="inlineStr">
        <is>
          <t xml:space="preserve">USA</t>
        </is>
      </c>
      <c r="E16" s="0" t="inlineStr">
        <is>
          <t xml:space="preserve">3336</t>
        </is>
      </c>
      <c r="F16" s="0" t="inlineStr">
        <is>
          <t xml:space="preserve">Speed Changer, Industrial High-Speed Drive, and Gear Manufacturing</t>
        </is>
      </c>
      <c r="G16" s="5">
        <v>169.045806</v>
      </c>
      <c r="H16" s="0" t="inlineStr">
        <is>
          <t xml:space="preserve">supplier</t>
        </is>
      </c>
      <c r="I16" s="0" t="inlineStr">
        <is>
          <t xml:space="preserve">machining</t>
        </is>
      </c>
      <c r="J16" s="0" t="inlineStr">
        <is>
          <t xml:space="preserve">registry</t>
        </is>
      </c>
      <c r="K16" s="5">
        <v>0</v>
      </c>
      <c r="L16" s="5">
        <v>0</v>
      </c>
      <c r="M16" s="5">
        <v>169.045806</v>
      </c>
      <c r="N16" s="5">
        <v>0.0</v>
      </c>
      <c r="O16" s="5">
        <v>0.0</v>
      </c>
      <c r="P16" s="5">
        <v>81.667404</v>
      </c>
      <c r="Q16" s="5">
        <v>87.378402</v>
      </c>
    </row>
    <row r="17" outlineLevel="1">
      <c r="B17" s="0" t="inlineStr">
        <is>
          <t xml:space="preserve">COBHAM ADVANCED ELECTRONIC SOLUTIONS INC.</t>
        </is>
      </c>
      <c r="C17" s="0" t="inlineStr">
        <is>
          <t xml:space="preserve">KUC6XT7KEXN3</t>
        </is>
      </c>
      <c r="D17" s="0" t="inlineStr">
        <is>
          <t xml:space="preserve">USA</t>
        </is>
      </c>
      <c r="E17" s="0" t="inlineStr">
        <is>
          <t xml:space="preserve">3344</t>
        </is>
      </c>
      <c r="F17" s="0" t="inlineStr">
        <is>
          <t xml:space="preserve">Semiconductor and Related Device Manufacturing</t>
        </is>
      </c>
      <c r="G17" s="5">
        <v>167.52469899999997</v>
      </c>
      <c r="H17" s="0" t="inlineStr">
        <is>
          <t xml:space="preserve">mission_systems</t>
        </is>
      </c>
      <c r="I17" s="0" t="inlineStr">
        <is>
          <t xml:space="preserve">-</t>
        </is>
      </c>
      <c r="J17" s="0" t="inlineStr">
        <is>
          <t xml:space="preserve">registry</t>
        </is>
      </c>
      <c r="K17" s="5">
        <v>0</v>
      </c>
      <c r="L17" s="5">
        <v>0</v>
      </c>
      <c r="M17" s="5">
        <v>0.0</v>
      </c>
      <c r="N17" s="5">
        <v>0.0</v>
      </c>
      <c r="O17" s="5">
        <v>0.0</v>
      </c>
      <c r="P17" s="5">
        <v>0.0</v>
      </c>
      <c r="Q17" s="5">
        <v>0.0</v>
      </c>
    </row>
    <row r="18" outlineLevel="1">
      <c r="B18" s="0" t="inlineStr">
        <is>
          <t xml:space="preserve">EXTREME ENGINEERING SOLUTIONS, INC.</t>
        </is>
      </c>
      <c r="C18" s="0" t="inlineStr">
        <is>
          <t xml:space="preserve">UXEGD3WECED5</t>
        </is>
      </c>
      <c r="D18" s="0" t="inlineStr">
        <is>
          <t xml:space="preserve">USA</t>
        </is>
      </c>
      <c r="E18" s="0" t="inlineStr">
        <is>
          <t xml:space="preserve">3341</t>
        </is>
      </c>
      <c r="F18" s="0" t="inlineStr">
        <is>
          <t xml:space="preserve">Electronic Computer Manufacturing</t>
        </is>
      </c>
      <c r="G18" s="5">
        <v>151.83080600000008</v>
      </c>
      <c r="H18" s="0" t="inlineStr">
        <is>
          <t xml:space="preserve">service</t>
        </is>
      </c>
      <c r="I18" s="0" t="inlineStr">
        <is>
          <t xml:space="preserve">-</t>
        </is>
      </c>
      <c r="J18" s="0" t="inlineStr">
        <is>
          <t xml:space="preserve">registry</t>
        </is>
      </c>
      <c r="K18" s="5">
        <v>0</v>
      </c>
      <c r="L18" s="5">
        <v>0</v>
      </c>
      <c r="M18" s="5">
        <v>0.0</v>
      </c>
      <c r="N18" s="5">
        <v>0.0</v>
      </c>
      <c r="O18" s="5">
        <v>0.0</v>
      </c>
      <c r="P18" s="5">
        <v>0.0</v>
      </c>
      <c r="Q18" s="5">
        <v>0.0</v>
      </c>
    </row>
    <row r="19" outlineLevel="1">
      <c r="B19" s="0" t="inlineStr">
        <is>
          <t xml:space="preserve">NORTHROP GRUMMAN CORPORATION</t>
        </is>
      </c>
      <c r="C19" s="0" t="inlineStr">
        <is>
          <t xml:space="preserve">HUDHMPV9B6M9</t>
        </is>
      </c>
      <c r="D19" s="0" t="inlineStr">
        <is>
          <t xml:space="preserve">USA</t>
        </is>
      </c>
      <c r="E19" s="0" t="inlineStr">
        <is>
          <t xml:space="preserve">3364</t>
        </is>
      </c>
      <c r="F19" s="0" t="inlineStr">
        <is>
          <t xml:space="preserve">Other Aircraft Parts and Auxiliary Equipment Manufacturing</t>
        </is>
      </c>
      <c r="G19" s="5">
        <v>151.19934800000001</v>
      </c>
      <c r="H19" s="0" t="inlineStr">
        <is>
          <t xml:space="preserve">mission_systems</t>
        </is>
      </c>
      <c r="I19" s="0" t="inlineStr">
        <is>
          <t xml:space="preserve">-</t>
        </is>
      </c>
      <c r="J19" s="0" t="inlineStr">
        <is>
          <t xml:space="preserve">registry</t>
        </is>
      </c>
      <c r="K19" s="5">
        <v>0</v>
      </c>
      <c r="L19" s="5">
        <v>0</v>
      </c>
      <c r="M19" s="5">
        <v>0.0</v>
      </c>
      <c r="N19" s="5">
        <v>0.0</v>
      </c>
      <c r="O19" s="5">
        <v>0.0</v>
      </c>
      <c r="P19" s="5">
        <v>0.0</v>
      </c>
      <c r="Q19" s="5">
        <v>0.0</v>
      </c>
    </row>
    <row r="20" outlineLevel="1">
      <c r="B20" s="0" t="inlineStr">
        <is>
          <t xml:space="preserve">SUPERIOR ELECTROMECHANICAL COMPONENT SERVICE, INC.</t>
        </is>
      </c>
      <c r="C20" s="0" t="inlineStr">
        <is>
          <t xml:space="preserve">E582KXT4RVH6</t>
        </is>
      </c>
      <c r="D20" s="0" t="inlineStr">
        <is>
          <t xml:space="preserve">USA</t>
        </is>
      </c>
      <c r="E20" s="0" t="inlineStr">
        <is>
          <t xml:space="preserve">3327</t>
        </is>
      </c>
      <c r="F20" s="0" t="inlineStr">
        <is>
          <t xml:space="preserve">Machine Shops</t>
        </is>
      </c>
      <c r="G20" s="5">
        <v>145.47724084</v>
      </c>
      <c r="H20" s="0" t="inlineStr">
        <is>
          <t xml:space="preserve">supplier</t>
        </is>
      </c>
      <c r="I20" s="0" t="inlineStr">
        <is>
          <t xml:space="preserve">machining</t>
        </is>
      </c>
      <c r="J20" s="0" t="inlineStr">
        <is>
          <t xml:space="preserve">registry</t>
        </is>
      </c>
      <c r="K20" s="5">
        <v>0</v>
      </c>
      <c r="L20" s="5">
        <v>0</v>
      </c>
      <c r="M20" s="5">
        <v>0.0</v>
      </c>
      <c r="N20" s="5">
        <v>0.0</v>
      </c>
      <c r="O20" s="5">
        <v>0.0</v>
      </c>
      <c r="P20" s="5">
        <v>0.0</v>
      </c>
      <c r="Q20" s="5">
        <v>0.0</v>
      </c>
    </row>
    <row r="21" outlineLevel="1">
      <c r="B21" s="0" t="inlineStr">
        <is>
          <t xml:space="preserve">IN-DEPTH ENGINEERING CORPORATION</t>
        </is>
      </c>
      <c r="C21" s="0" t="inlineStr">
        <is>
          <t xml:space="preserve">GC7MKAN5DG35</t>
        </is>
      </c>
      <c r="D21" s="0" t="inlineStr">
        <is>
          <t xml:space="preserve">USA</t>
        </is>
      </c>
      <c r="E21" s="0" t="inlineStr">
        <is>
          <t xml:space="preserve">3345</t>
        </is>
      </c>
      <c r="F21" s="0" t="inlineStr">
        <is>
          <t xml:space="preserve">Search, Detection, Navigation, Guidance, Aeronautical, and Nautical System and Instrument Manufacturing</t>
        </is>
      </c>
      <c r="G21" s="5">
        <v>137.79103209000007</v>
      </c>
      <c r="H21" s="0" t="inlineStr">
        <is>
          <t xml:space="preserve">service</t>
        </is>
      </c>
      <c r="I21" s="0" t="inlineStr">
        <is>
          <t xml:space="preserve">-</t>
        </is>
      </c>
      <c r="J21" s="0" t="inlineStr">
        <is>
          <t xml:space="preserve">registry</t>
        </is>
      </c>
      <c r="K21" s="5">
        <v>0</v>
      </c>
      <c r="L21" s="5">
        <v>0</v>
      </c>
      <c r="M21" s="5">
        <v>0.0</v>
      </c>
      <c r="N21" s="5">
        <v>0.0</v>
      </c>
      <c r="O21" s="5">
        <v>0.0</v>
      </c>
      <c r="P21" s="5">
        <v>0.0</v>
      </c>
      <c r="Q21" s="5">
        <v>0.0</v>
      </c>
    </row>
    <row r="22" outlineLevel="1">
      <c r="B22" s="0" t="inlineStr">
        <is>
          <t xml:space="preserve">MAJOR TOOL &amp; MACHINE INC</t>
        </is>
      </c>
      <c r="C22" s="0" t="inlineStr">
        <is>
          <t xml:space="preserve">YHJESY2TDP23</t>
        </is>
      </c>
      <c r="D22" s="0" t="inlineStr">
        <is>
          <t xml:space="preserve">USA</t>
        </is>
      </c>
      <c r="E22" s="0" t="inlineStr">
        <is>
          <t xml:space="preserve">3327</t>
        </is>
      </c>
      <c r="F22" s="0" t="inlineStr">
        <is>
          <t xml:space="preserve">Machine Shops</t>
        </is>
      </c>
      <c r="G22" s="5">
        <v>131.77741731999998</v>
      </c>
      <c r="H22" s="0" t="inlineStr">
        <is>
          <t xml:space="preserve">supplier</t>
        </is>
      </c>
      <c r="I22" s="0" t="inlineStr">
        <is>
          <t xml:space="preserve">machining</t>
        </is>
      </c>
      <c r="J22" s="0" t="inlineStr">
        <is>
          <t xml:space="preserve">registry</t>
        </is>
      </c>
      <c r="K22" s="5">
        <v>0</v>
      </c>
      <c r="L22" s="5">
        <v>0</v>
      </c>
      <c r="M22" s="5">
        <v>0.0</v>
      </c>
      <c r="N22" s="5">
        <v>0.0</v>
      </c>
      <c r="O22" s="5">
        <v>0.0</v>
      </c>
      <c r="P22" s="5">
        <v>0.0</v>
      </c>
      <c r="Q22" s="5">
        <v>0.0</v>
      </c>
    </row>
    <row r="23" outlineLevel="1">
      <c r="B23" s="0" t="inlineStr">
        <is>
          <t xml:space="preserve">JOHNSON CONTROLS INTERNATIONAL PUBLIC LIMITED COMPANY</t>
        </is>
      </c>
      <c r="C23" s="0" t="inlineStr">
        <is>
          <t xml:space="preserve">J3AFGKXWYK73</t>
        </is>
      </c>
      <c r="D23" s="0" t="inlineStr">
        <is>
          <t xml:space="preserve">-</t>
        </is>
      </c>
      <c r="E23" s="0" t="inlineStr">
        <is>
          <t xml:space="preserve">-</t>
        </is>
      </c>
      <c r="F23" s="0" t="inlineStr">
        <is>
          <t xml:space="preserve">-</t>
        </is>
      </c>
      <c r="G23" s="5">
        <v>115.37937091999999</v>
      </c>
      <c r="H23" s="0" t="inlineStr">
        <is>
          <t xml:space="preserve">supplier</t>
        </is>
      </c>
      <c r="I23" s="0" t="inlineStr">
        <is>
          <t xml:space="preserve">hvac</t>
        </is>
      </c>
      <c r="J23" s="0" t="inlineStr">
        <is>
          <t xml:space="preserve">registry</t>
        </is>
      </c>
      <c r="K23" s="5">
        <v>0</v>
      </c>
      <c r="L23" s="5">
        <v>0</v>
      </c>
      <c r="M23" s="5">
        <v>115.37937091999999</v>
      </c>
      <c r="N23" s="5">
        <v>3.3325614199999998</v>
      </c>
      <c r="O23" s="5">
        <v>0.0</v>
      </c>
      <c r="P23" s="5">
        <v>0.0</v>
      </c>
      <c r="Q23" s="5">
        <v>0.0</v>
      </c>
    </row>
    <row r="24" outlineLevel="1">
      <c r="B24" s="0" t="inlineStr">
        <is>
          <t xml:space="preserve">NORTHROP GRUMMAN CORPORATION</t>
        </is>
      </c>
      <c r="C24" s="0" t="inlineStr">
        <is>
          <t xml:space="preserve">PQGNEEY9W5M3</t>
        </is>
      </c>
      <c r="D24" s="0" t="inlineStr">
        <is>
          <t xml:space="preserve">USA</t>
        </is>
      </c>
      <c r="E24" s="0" t="inlineStr">
        <is>
          <t xml:space="preserve">3364</t>
        </is>
      </c>
      <c r="F24" s="0" t="inlineStr">
        <is>
          <t xml:space="preserve">Other Aircraft Parts and Auxiliary Equipment Manufacturing</t>
        </is>
      </c>
      <c r="G24" s="5">
        <v>97.67647634</v>
      </c>
      <c r="H24" s="0" t="inlineStr">
        <is>
          <t xml:space="preserve">mission_systems</t>
        </is>
      </c>
      <c r="I24" s="0" t="inlineStr">
        <is>
          <t xml:space="preserve">-</t>
        </is>
      </c>
      <c r="J24" s="0" t="inlineStr">
        <is>
          <t xml:space="preserve">registry</t>
        </is>
      </c>
      <c r="K24" s="5">
        <v>0</v>
      </c>
      <c r="L24" s="5">
        <v>0</v>
      </c>
      <c r="M24" s="5">
        <v>97.67647634</v>
      </c>
      <c r="N24" s="5">
        <v>0.3437492200000001</v>
      </c>
      <c r="O24" s="5">
        <v>0.66764193</v>
      </c>
      <c r="P24" s="5">
        <v>50.187007279999996</v>
      </c>
      <c r="Q24" s="5">
        <v>0.0</v>
      </c>
    </row>
    <row r="25" outlineLevel="1">
      <c r="B25" s="0" t="inlineStr">
        <is>
          <t xml:space="preserve">MERRILL TECHNOLOGIES GROUP, INC.</t>
        </is>
      </c>
      <c r="C25" s="0" t="inlineStr">
        <is>
          <t xml:space="preserve">ZRS3MA6VK271</t>
        </is>
      </c>
      <c r="D25" s="0" t="inlineStr">
        <is>
          <t xml:space="preserve">USA</t>
        </is>
      </c>
      <c r="E25" s="0" t="inlineStr">
        <is>
          <t xml:space="preserve">3329</t>
        </is>
      </c>
      <c r="F25" s="0" t="inlineStr">
        <is>
          <t xml:space="preserve">All Other Miscellaneous Fabricated Metal Product Manufacturing</t>
        </is>
      </c>
      <c r="G25" s="5">
        <v>92.15851022</v>
      </c>
      <c r="H25" s="0" t="inlineStr">
        <is>
          <t xml:space="preserve">supplier</t>
        </is>
      </c>
      <c r="I25" s="0" t="inlineStr">
        <is>
          <t xml:space="preserve">machining</t>
        </is>
      </c>
      <c r="J25" s="0" t="inlineStr">
        <is>
          <t xml:space="preserve">registry</t>
        </is>
      </c>
      <c r="K25" s="5">
        <v>0</v>
      </c>
      <c r="L25" s="5">
        <v>0</v>
      </c>
      <c r="M25" s="5">
        <v>0.0</v>
      </c>
      <c r="N25" s="5">
        <v>0.0</v>
      </c>
      <c r="O25" s="5">
        <v>0.0</v>
      </c>
      <c r="P25" s="5">
        <v>0.0</v>
      </c>
      <c r="Q25" s="5">
        <v>0.0</v>
      </c>
    </row>
    <row r="26" outlineLevel="1">
      <c r="B26" s="0" t="inlineStr">
        <is>
          <t xml:space="preserve">GOLDEN STAR TECHNOLOGY INC</t>
        </is>
      </c>
      <c r="C26" s="0" t="inlineStr">
        <is>
          <t xml:space="preserve">MC1GL7GNUC18</t>
        </is>
      </c>
      <c r="D26" s="0" t="inlineStr">
        <is>
          <t xml:space="preserve">-</t>
        </is>
      </c>
      <c r="E26" s="0" t="inlineStr">
        <is>
          <t xml:space="preserve">-</t>
        </is>
      </c>
      <c r="F26" s="0" t="inlineStr">
        <is>
          <t xml:space="preserve">-</t>
        </is>
      </c>
      <c r="G26" s="5">
        <v>87.59912899999999</v>
      </c>
      <c r="H26" s="0" t="inlineStr">
        <is>
          <t xml:space="preserve">service</t>
        </is>
      </c>
      <c r="I26" s="0" t="inlineStr">
        <is>
          <t xml:space="preserve">-</t>
        </is>
      </c>
      <c r="J26" s="0" t="inlineStr">
        <is>
          <t xml:space="preserve">registry</t>
        </is>
      </c>
      <c r="K26" s="5">
        <v>0</v>
      </c>
      <c r="L26" s="5">
        <v>0</v>
      </c>
      <c r="M26" s="5">
        <v>0.0</v>
      </c>
      <c r="N26" s="5">
        <v>0.0</v>
      </c>
      <c r="O26" s="5">
        <v>0.0</v>
      </c>
      <c r="P26" s="5">
        <v>0.0</v>
      </c>
      <c r="Q26" s="5">
        <v>0.0</v>
      </c>
    </row>
    <row r="27" outlineLevel="1">
      <c r="B27" s="0" t="inlineStr">
        <is>
          <t xml:space="preserve">HANWHA SYSTEMS CO., LTD.</t>
        </is>
      </c>
      <c r="C27" s="0" t="inlineStr">
        <is>
          <t xml:space="preserve">YGXMYQKELLZ4</t>
        </is>
      </c>
      <c r="D27" s="0" t="inlineStr">
        <is>
          <t xml:space="preserve">Foreign</t>
        </is>
      </c>
      <c r="E27" s="0" t="inlineStr">
        <is>
          <t xml:space="preserve">-</t>
        </is>
      </c>
      <c r="F27" s="0" t="inlineStr">
        <is>
          <t xml:space="preserve">-</t>
        </is>
      </c>
      <c r="G27" s="5">
        <v>84.44235600000002</v>
      </c>
      <c r="H27" s="0" t="inlineStr">
        <is>
          <t xml:space="preserve">foreign_fms</t>
        </is>
      </c>
      <c r="I27" s="0" t="inlineStr">
        <is>
          <t xml:space="preserve">-</t>
        </is>
      </c>
      <c r="J27" s="0" t="inlineStr">
        <is>
          <t xml:space="preserve">registry</t>
        </is>
      </c>
      <c r="K27" s="5">
        <v>0</v>
      </c>
      <c r="L27" s="5">
        <v>0</v>
      </c>
      <c r="M27" s="5">
        <v>0.0</v>
      </c>
      <c r="N27" s="5">
        <v>0.0</v>
      </c>
      <c r="O27" s="5">
        <v>0.0</v>
      </c>
      <c r="P27" s="5">
        <v>0.0</v>
      </c>
      <c r="Q27" s="5">
        <v>0.0</v>
      </c>
    </row>
    <row r="28" outlineLevel="1">
      <c r="B28" s="0" t="inlineStr">
        <is>
          <t xml:space="preserve">INDRA SISTEMAS, SOCIEDAD ANONIMA</t>
        </is>
      </c>
      <c r="C28" s="0" t="inlineStr">
        <is>
          <t xml:space="preserve">ZTD6PU46ALU3</t>
        </is>
      </c>
      <c r="D28" s="0" t="inlineStr">
        <is>
          <t xml:space="preserve">ESP</t>
        </is>
      </c>
      <c r="E28" s="0" t="inlineStr">
        <is>
          <t xml:space="preserve">5413</t>
        </is>
      </c>
      <c r="F28" s="0" t="inlineStr">
        <is>
          <t xml:space="preserve">Engineering Services</t>
        </is>
      </c>
      <c r="G28" s="5">
        <v>82.46358510999997</v>
      </c>
      <c r="H28" s="0" t="inlineStr">
        <is>
          <t xml:space="preserve">foreign_fms</t>
        </is>
      </c>
      <c r="I28" s="0" t="inlineStr">
        <is>
          <t xml:space="preserve">-</t>
        </is>
      </c>
      <c r="J28" s="0" t="inlineStr">
        <is>
          <t xml:space="preserve">registry</t>
        </is>
      </c>
      <c r="K28" s="5">
        <v>0</v>
      </c>
      <c r="L28" s="5">
        <v>0</v>
      </c>
      <c r="M28" s="5">
        <v>0.0</v>
      </c>
      <c r="N28" s="5">
        <v>0.0</v>
      </c>
      <c r="O28" s="5">
        <v>0.0</v>
      </c>
      <c r="P28" s="5">
        <v>0.0</v>
      </c>
      <c r="Q28" s="5">
        <v>0.0</v>
      </c>
    </row>
    <row r="29" outlineLevel="1">
      <c r="B29" s="0" t="inlineStr">
        <is>
          <t xml:space="preserve">LEONARDO SPA</t>
        </is>
      </c>
      <c r="C29" s="0" t="inlineStr">
        <is>
          <t xml:space="preserve">GXPHJRVG9MR7</t>
        </is>
      </c>
      <c r="D29" s="0" t="inlineStr">
        <is>
          <t xml:space="preserve">ITA</t>
        </is>
      </c>
      <c r="E29" s="0" t="inlineStr">
        <is>
          <t xml:space="preserve">3364</t>
        </is>
      </c>
      <c r="F29" s="0" t="inlineStr">
        <is>
          <t xml:space="preserve">Aircraft Manufacturing</t>
        </is>
      </c>
      <c r="G29" s="5">
        <v>70.39421376</v>
      </c>
      <c r="H29" s="0" t="inlineStr">
        <is>
          <t xml:space="preserve">supplier</t>
        </is>
      </c>
      <c r="I29" s="0" t="inlineStr">
        <is>
          <t xml:space="preserve">electrical</t>
        </is>
      </c>
      <c r="J29" s="0" t="inlineStr">
        <is>
          <t xml:space="preserve">registry</t>
        </is>
      </c>
      <c r="K29" s="5">
        <v>0</v>
      </c>
      <c r="L29" s="5">
        <v>0</v>
      </c>
      <c r="M29" s="5">
        <v>70.39421376</v>
      </c>
      <c r="N29" s="5">
        <v>1.2973735999999998</v>
      </c>
      <c r="O29" s="5">
        <v>0.0</v>
      </c>
      <c r="P29" s="5">
        <v>2.97196839</v>
      </c>
      <c r="Q29" s="5">
        <v>40.538356359999995</v>
      </c>
    </row>
    <row r="30" outlineLevel="1">
      <c r="B30" s="0" t="inlineStr">
        <is>
          <t xml:space="preserve">MAJOR TOOL AND MACHINE INC.</t>
        </is>
      </c>
      <c r="C30" s="0" t="inlineStr">
        <is>
          <t xml:space="preserve">YHJESY2TDP23</t>
        </is>
      </c>
      <c r="D30" s="0" t="inlineStr">
        <is>
          <t xml:space="preserve">USA</t>
        </is>
      </c>
      <c r="E30" s="0" t="inlineStr">
        <is>
          <t xml:space="preserve">3327</t>
        </is>
      </c>
      <c r="F30" s="0" t="inlineStr">
        <is>
          <t xml:space="preserve">Machine Shops</t>
        </is>
      </c>
      <c r="G30" s="5">
        <v>64.972752</v>
      </c>
      <c r="H30" s="0" t="inlineStr">
        <is>
          <t xml:space="preserve">supplier</t>
        </is>
      </c>
      <c r="I30" s="0" t="inlineStr">
        <is>
          <t xml:space="preserve">machining</t>
        </is>
      </c>
      <c r="J30" s="0" t="inlineStr">
        <is>
          <t xml:space="preserve">registry</t>
        </is>
      </c>
      <c r="K30" s="5">
        <v>0</v>
      </c>
      <c r="L30" s="5">
        <v>0</v>
      </c>
      <c r="M30" s="5">
        <v>0.0</v>
      </c>
      <c r="N30" s="5">
        <v>0.0</v>
      </c>
      <c r="O30" s="5">
        <v>0.0</v>
      </c>
      <c r="P30" s="5">
        <v>0.0</v>
      </c>
      <c r="Q30" s="5">
        <v>0.0</v>
      </c>
    </row>
    <row r="31" outlineLevel="1">
      <c r="B31" s="0" t="inlineStr">
        <is>
          <t xml:space="preserve">ANAREN, INC.</t>
        </is>
      </c>
      <c r="C31" s="0" t="inlineStr">
        <is>
          <t xml:space="preserve">LGRAV9DLD7D4</t>
        </is>
      </c>
      <c r="D31" s="0" t="inlineStr">
        <is>
          <t xml:space="preserve">USA</t>
        </is>
      </c>
      <c r="E31" s="0" t="inlineStr">
        <is>
          <t xml:space="preserve">3342</t>
        </is>
      </c>
      <c r="F31" s="0" t="inlineStr">
        <is>
          <t xml:space="preserve">Radio and Television Broadcasting and Wireless Communications Equipment Manufacturing</t>
        </is>
      </c>
      <c r="G31" s="5">
        <v>62.766532999999995</v>
      </c>
      <c r="H31" s="0" t="inlineStr">
        <is>
          <t xml:space="preserve">mission_systems</t>
        </is>
      </c>
      <c r="I31" s="0" t="inlineStr">
        <is>
          <t xml:space="preserve">-</t>
        </is>
      </c>
      <c r="J31" s="0" t="inlineStr">
        <is>
          <t xml:space="preserve">registry</t>
        </is>
      </c>
      <c r="K31" s="5">
        <v>0</v>
      </c>
      <c r="L31" s="5">
        <v>0</v>
      </c>
      <c r="M31" s="5">
        <v>0.0</v>
      </c>
      <c r="N31" s="5">
        <v>0.0</v>
      </c>
      <c r="O31" s="5">
        <v>0.0</v>
      </c>
      <c r="P31" s="5">
        <v>0.0</v>
      </c>
      <c r="Q31" s="5">
        <v>0.0</v>
      </c>
    </row>
    <row r="32" outlineLevel="1">
      <c r="B32" s="0" t="inlineStr">
        <is>
          <t xml:space="preserve">SEYER INDUSTRIES, INC.</t>
        </is>
      </c>
      <c r="C32" s="0" t="inlineStr">
        <is>
          <t xml:space="preserve">GU4MZLMEJN94</t>
        </is>
      </c>
      <c r="D32" s="0" t="inlineStr">
        <is>
          <t xml:space="preserve">USA</t>
        </is>
      </c>
      <c r="E32" s="0" t="inlineStr">
        <is>
          <t xml:space="preserve">3327</t>
        </is>
      </c>
      <c r="F32" s="0" t="inlineStr">
        <is>
          <t xml:space="preserve">Machine Shops</t>
        </is>
      </c>
      <c r="G32" s="5">
        <v>62.58535985999994</v>
      </c>
      <c r="H32" s="0" t="inlineStr">
        <is>
          <t xml:space="preserve">supplier</t>
        </is>
      </c>
      <c r="I32" s="0" t="inlineStr">
        <is>
          <t xml:space="preserve">machining</t>
        </is>
      </c>
      <c r="J32" s="0" t="inlineStr">
        <is>
          <t xml:space="preserve">registry</t>
        </is>
      </c>
      <c r="K32" s="5">
        <v>0</v>
      </c>
      <c r="L32" s="5">
        <v>0</v>
      </c>
      <c r="M32" s="5">
        <v>0.0</v>
      </c>
      <c r="N32" s="5">
        <v>0.0</v>
      </c>
      <c r="O32" s="5">
        <v>0.0</v>
      </c>
      <c r="P32" s="5">
        <v>0.0</v>
      </c>
      <c r="Q32" s="5">
        <v>0.0</v>
      </c>
    </row>
    <row r="33" outlineLevel="1">
      <c r="B33" s="0" t="inlineStr">
        <is>
          <t xml:space="preserve">DATACON, INC.</t>
        </is>
      </c>
      <c r="C33" s="0" t="inlineStr">
        <is>
          <t xml:space="preserve">NXGLEN3CK1N6</t>
        </is>
      </c>
      <c r="D33" s="0" t="inlineStr">
        <is>
          <t xml:space="preserve">USA</t>
        </is>
      </c>
      <c r="E33" s="0" t="inlineStr">
        <is>
          <t xml:space="preserve">3344</t>
        </is>
      </c>
      <c r="F33" s="0" t="inlineStr">
        <is>
          <t xml:space="preserve">Printed Circuit Assembly (Electronic Assembly) Manufacturing</t>
        </is>
      </c>
      <c r="G33" s="5">
        <v>54.48992647000001</v>
      </c>
      <c r="H33" s="0" t="inlineStr">
        <is>
          <t xml:space="preserve">mission_systems</t>
        </is>
      </c>
      <c r="I33" s="0" t="inlineStr">
        <is>
          <t xml:space="preserve">-</t>
        </is>
      </c>
      <c r="J33" s="0" t="inlineStr">
        <is>
          <t xml:space="preserve">registry</t>
        </is>
      </c>
      <c r="K33" s="5">
        <v>0</v>
      </c>
      <c r="L33" s="5">
        <v>0</v>
      </c>
      <c r="M33" s="5">
        <v>0.0</v>
      </c>
      <c r="N33" s="5">
        <v>0.0</v>
      </c>
      <c r="O33" s="5">
        <v>0.0</v>
      </c>
      <c r="P33" s="5">
        <v>0.0</v>
      </c>
      <c r="Q33" s="5">
        <v>0.0</v>
      </c>
    </row>
    <row r="34" outlineLevel="1">
      <c r="B34" s="0" t="inlineStr">
        <is>
          <t xml:space="preserve">SENER GRUPO DE INGENIERIA SOCIEDAD ANONIMA</t>
        </is>
      </c>
      <c r="C34" s="0" t="inlineStr">
        <is>
          <t xml:space="preserve">KQYHKJS57J76</t>
        </is>
      </c>
      <c r="D34" s="0" t="inlineStr">
        <is>
          <t xml:space="preserve">Foreign</t>
        </is>
      </c>
      <c r="E34" s="0" t="inlineStr">
        <is>
          <t xml:space="preserve">-</t>
        </is>
      </c>
      <c r="F34" s="0" t="inlineStr">
        <is>
          <t xml:space="preserve">-</t>
        </is>
      </c>
      <c r="G34" s="5">
        <v>51.21834918000001</v>
      </c>
      <c r="H34" s="0" t="inlineStr">
        <is>
          <t xml:space="preserve">foreign_fms</t>
        </is>
      </c>
      <c r="I34" s="0" t="inlineStr">
        <is>
          <t xml:space="preserve">-</t>
        </is>
      </c>
      <c r="J34" s="0" t="inlineStr">
        <is>
          <t xml:space="preserve">registry</t>
        </is>
      </c>
      <c r="K34" s="5">
        <v>0</v>
      </c>
      <c r="L34" s="5">
        <v>0</v>
      </c>
      <c r="M34" s="5">
        <v>0.0</v>
      </c>
      <c r="N34" s="5">
        <v>0.0</v>
      </c>
      <c r="O34" s="5">
        <v>0.0</v>
      </c>
      <c r="P34" s="5">
        <v>0.0</v>
      </c>
      <c r="Q34" s="5">
        <v>0.0</v>
      </c>
    </row>
    <row r="35" outlineLevel="1">
      <c r="B35" s="0" t="inlineStr">
        <is>
          <t xml:space="preserve">LEONARDO SPA</t>
        </is>
      </c>
      <c r="C35" s="0" t="inlineStr">
        <is>
          <t xml:space="preserve">VJMTKNLENX24</t>
        </is>
      </c>
      <c r="D35" s="0" t="inlineStr">
        <is>
          <t xml:space="preserve">ITA</t>
        </is>
      </c>
      <c r="E35" s="0" t="inlineStr">
        <is>
          <t xml:space="preserve">3364</t>
        </is>
      </c>
      <c r="F35" s="0" t="inlineStr">
        <is>
          <t xml:space="preserve">Aircraft Manufacturing</t>
        </is>
      </c>
      <c r="G35" s="5">
        <v>50.143129339999994</v>
      </c>
      <c r="H35" s="0" t="inlineStr">
        <is>
          <t xml:space="preserve">supplier</t>
        </is>
      </c>
      <c r="I35" s="0" t="inlineStr">
        <is>
          <t xml:space="preserve">hvac</t>
        </is>
      </c>
      <c r="J35" s="0" t="inlineStr">
        <is>
          <t xml:space="preserve">registry</t>
        </is>
      </c>
      <c r="K35" s="5">
        <v>0</v>
      </c>
      <c r="L35" s="5">
        <v>0</v>
      </c>
      <c r="M35" s="5">
        <v>51.371009349999994</v>
      </c>
      <c r="N35" s="5">
        <v>0.19966199999999998</v>
      </c>
      <c r="O35" s="5">
        <v>0.586689</v>
      </c>
      <c r="P35" s="5">
        <v>0.60185924</v>
      </c>
      <c r="Q35" s="5">
        <v>22.666511009999997</v>
      </c>
    </row>
    <row r="36" outlineLevel="1">
      <c r="B36" s="0" t="inlineStr">
        <is>
          <t xml:space="preserve">L3HARRIS MARITIME POWER &amp; ENERGY SOLUTIONS, INC.</t>
        </is>
      </c>
      <c r="C36" s="0" t="inlineStr">
        <is>
          <t xml:space="preserve">ZW3UMG9YVNA9</t>
        </is>
      </c>
      <c r="D36" s="0" t="inlineStr">
        <is>
          <t xml:space="preserve">USA</t>
        </is>
      </c>
      <c r="E36" s="0" t="inlineStr">
        <is>
          <t xml:space="preserve">3353</t>
        </is>
      </c>
      <c r="F36" s="0" t="inlineStr">
        <is>
          <t xml:space="preserve">Switchgear and Switchboard Apparatus Manufacturing</t>
        </is>
      </c>
      <c r="G36" s="5">
        <v>49.317566189999994</v>
      </c>
      <c r="H36" s="0" t="inlineStr">
        <is>
          <t xml:space="preserve">supplier</t>
        </is>
      </c>
      <c r="I36" s="0" t="inlineStr">
        <is>
          <t xml:space="preserve">electrical</t>
        </is>
      </c>
      <c r="J36" s="0" t="inlineStr">
        <is>
          <t xml:space="preserve">registry</t>
        </is>
      </c>
      <c r="K36" s="5">
        <v>0</v>
      </c>
      <c r="L36" s="5">
        <v>0</v>
      </c>
      <c r="M36" s="5">
        <v>49.317566189999994</v>
      </c>
      <c r="N36" s="5">
        <v>0.0</v>
      </c>
      <c r="O36" s="5">
        <v>0.0</v>
      </c>
      <c r="P36" s="5">
        <v>39.90957715</v>
      </c>
      <c r="Q36" s="5">
        <v>0.7271590399999999</v>
      </c>
    </row>
    <row r="37" outlineLevel="1">
      <c r="B37" s="0" t="inlineStr">
        <is>
          <t xml:space="preserve">MERCURY SYSTEMS, INC.</t>
        </is>
      </c>
      <c r="C37" s="0" t="inlineStr">
        <is>
          <t xml:space="preserve">J51ULX3CNCZ4</t>
        </is>
      </c>
      <c r="D37" s="0" t="inlineStr">
        <is>
          <t xml:space="preserve">USA</t>
        </is>
      </c>
      <c r="E37" s="0" t="inlineStr">
        <is>
          <t xml:space="preserve">3341</t>
        </is>
      </c>
      <c r="F37" s="0" t="inlineStr">
        <is>
          <t xml:space="preserve">Electronic Computer Manufacturing</t>
        </is>
      </c>
      <c r="G37" s="5">
        <v>49.046867049999975</v>
      </c>
      <c r="H37" s="0" t="inlineStr">
        <is>
          <t xml:space="preserve">mission_systems</t>
        </is>
      </c>
      <c r="I37" s="0" t="inlineStr">
        <is>
          <t xml:space="preserve">-</t>
        </is>
      </c>
      <c r="J37" s="0" t="inlineStr">
        <is>
          <t xml:space="preserve">registry</t>
        </is>
      </c>
      <c r="K37" s="5">
        <v>0</v>
      </c>
      <c r="L37" s="5">
        <v>0</v>
      </c>
      <c r="M37" s="5">
        <v>0.03034</v>
      </c>
      <c r="N37" s="5">
        <v>0.0</v>
      </c>
      <c r="O37" s="5">
        <v>0.0</v>
      </c>
      <c r="P37" s="5">
        <v>0.0</v>
      </c>
      <c r="Q37" s="5">
        <v>0.0</v>
      </c>
    </row>
    <row r="38" outlineLevel="1">
      <c r="B38" s="0" t="inlineStr">
        <is>
          <t xml:space="preserve">ELLWOOD GROUP, INC.</t>
        </is>
      </c>
      <c r="C38" s="0" t="inlineStr">
        <is>
          <t xml:space="preserve">QGB4RDYJNJT9</t>
        </is>
      </c>
      <c r="D38" s="0" t="inlineStr">
        <is>
          <t xml:space="preserve">USA</t>
        </is>
      </c>
      <c r="E38" s="0" t="inlineStr">
        <is>
          <t xml:space="preserve">3321</t>
        </is>
      </c>
      <c r="F38" s="0" t="inlineStr">
        <is>
          <t xml:space="preserve">Iron and Steel Forging</t>
        </is>
      </c>
      <c r="G38" s="5">
        <v>46.57977373</v>
      </c>
      <c r="H38" s="0" t="inlineStr">
        <is>
          <t xml:space="preserve">supplier</t>
        </is>
      </c>
      <c r="I38" s="0" t="inlineStr">
        <is>
          <t xml:space="preserve">castings</t>
        </is>
      </c>
      <c r="J38" s="0" t="inlineStr">
        <is>
          <t xml:space="preserve">registry</t>
        </is>
      </c>
      <c r="K38" s="5">
        <v>0</v>
      </c>
      <c r="L38" s="5">
        <v>0</v>
      </c>
      <c r="M38" s="5">
        <v>45.16336672999999</v>
      </c>
      <c r="N38" s="5">
        <v>0.0</v>
      </c>
      <c r="O38" s="5">
        <v>0.0</v>
      </c>
      <c r="P38" s="5">
        <v>0.0</v>
      </c>
      <c r="Q38" s="5">
        <v>0.0</v>
      </c>
    </row>
    <row r="39" outlineLevel="1">
      <c r="B39" s="0" t="inlineStr">
        <is>
          <t xml:space="preserve">M.S.M. INDUSTRIES, INC.</t>
        </is>
      </c>
      <c r="C39" s="0" t="inlineStr">
        <is>
          <t xml:space="preserve">S3GFGJ1QGAE6</t>
        </is>
      </c>
      <c r="D39" s="0" t="inlineStr">
        <is>
          <t xml:space="preserve">USA</t>
        </is>
      </c>
      <c r="E39" s="0" t="inlineStr">
        <is>
          <t xml:space="preserve">3262</t>
        </is>
      </c>
      <c r="F39" s="0" t="inlineStr">
        <is>
          <t xml:space="preserve">Rubber Product Manufacturing for Mechanical Use</t>
        </is>
      </c>
      <c r="G39" s="5">
        <v>41.772445499999996</v>
      </c>
      <c r="H39" s="0" t="inlineStr">
        <is>
          <t xml:space="preserve">supplier</t>
        </is>
      </c>
      <c r="I39" s="0" t="inlineStr">
        <is>
          <t xml:space="preserve">coatings</t>
        </is>
      </c>
      <c r="J39" s="0" t="inlineStr">
        <is>
          <t xml:space="preserve">registry</t>
        </is>
      </c>
      <c r="K39" s="5">
        <v>0</v>
      </c>
      <c r="L39" s="5">
        <v>0</v>
      </c>
      <c r="M39" s="5">
        <v>1.9639115000000003</v>
      </c>
      <c r="N39" s="5">
        <v>0.73352235</v>
      </c>
      <c r="O39" s="5">
        <v>0.7808997499999999</v>
      </c>
      <c r="P39" s="5">
        <v>0.44948940000000004</v>
      </c>
      <c r="Q39" s="5">
        <v>0.0</v>
      </c>
    </row>
    <row r="40" outlineLevel="1">
      <c r="B40" s="0" t="inlineStr">
        <is>
          <t xml:space="preserve">TTM PRINTED CIRCUIT GROUP LLC</t>
        </is>
      </c>
      <c r="C40" s="0" t="inlineStr">
        <is>
          <t xml:space="preserve">N6BAAYHLH8G7</t>
        </is>
      </c>
      <c r="D40" s="0" t="inlineStr">
        <is>
          <t xml:space="preserve">USA</t>
        </is>
      </c>
      <c r="E40" s="0" t="inlineStr">
        <is>
          <t xml:space="preserve">3344</t>
        </is>
      </c>
      <c r="F40" s="0" t="inlineStr">
        <is>
          <t xml:space="preserve">Printed Circuit Assembly (Electronic Assembly) Manufacturing</t>
        </is>
      </c>
      <c r="G40" s="5">
        <v>41.22099799999998</v>
      </c>
      <c r="H40" s="0" t="inlineStr">
        <is>
          <t xml:space="preserve">mission_systems</t>
        </is>
      </c>
      <c r="I40" s="0" t="inlineStr">
        <is>
          <t xml:space="preserve">-</t>
        </is>
      </c>
      <c r="J40" s="0" t="inlineStr">
        <is>
          <t xml:space="preserve">registry</t>
        </is>
      </c>
      <c r="K40" s="5">
        <v>0</v>
      </c>
      <c r="L40" s="5">
        <v>0</v>
      </c>
      <c r="M40" s="5">
        <v>0.0</v>
      </c>
      <c r="N40" s="5">
        <v>0.0</v>
      </c>
      <c r="O40" s="5">
        <v>0.0</v>
      </c>
      <c r="P40" s="5">
        <v>0.0</v>
      </c>
      <c r="Q40" s="5">
        <v>0.0</v>
      </c>
    </row>
    <row r="41" outlineLevel="1">
      <c r="B41" s="0" t="inlineStr">
        <is>
          <t xml:space="preserve">GMT CORPORATION</t>
        </is>
      </c>
      <c r="C41" s="0" t="inlineStr">
        <is>
          <t xml:space="preserve">YKYBK6MSAKX5</t>
        </is>
      </c>
      <c r="D41" s="0" t="inlineStr">
        <is>
          <t xml:space="preserve">-</t>
        </is>
      </c>
      <c r="E41" s="0" t="inlineStr">
        <is>
          <t xml:space="preserve">-</t>
        </is>
      </c>
      <c r="F41" s="0" t="inlineStr">
        <is>
          <t xml:space="preserve">-</t>
        </is>
      </c>
      <c r="G41" s="5">
        <v>39.524280010000005</v>
      </c>
      <c r="H41" s="0" t="inlineStr">
        <is>
          <t xml:space="preserve">supplier</t>
        </is>
      </c>
      <c r="I41" s="0" t="inlineStr">
        <is>
          <t xml:space="preserve">unbucketed</t>
        </is>
      </c>
      <c r="J41" s="0" t="inlineStr">
        <is>
          <t xml:space="preserve">registry</t>
        </is>
      </c>
      <c r="K41" s="5">
        <v>0</v>
      </c>
      <c r="L41" s="5">
        <v>0</v>
      </c>
      <c r="M41" s="5">
        <v>0.0</v>
      </c>
      <c r="N41" s="5">
        <v>0.0</v>
      </c>
      <c r="O41" s="5">
        <v>0.0</v>
      </c>
      <c r="P41" s="5">
        <v>0.0</v>
      </c>
      <c r="Q41" s="5">
        <v>0.0</v>
      </c>
    </row>
    <row r="42" outlineLevel="1">
      <c r="B42" s="0" t="inlineStr">
        <is>
          <t xml:space="preserve">LAKE SHORE SYSTEMS, INC.</t>
        </is>
      </c>
      <c r="C42" s="0" t="inlineStr">
        <is>
          <t xml:space="preserve">YELYMYLF82L9</t>
        </is>
      </c>
      <c r="D42" s="0" t="inlineStr">
        <is>
          <t xml:space="preserve">USA</t>
        </is>
      </c>
      <c r="E42" s="0" t="inlineStr">
        <is>
          <t xml:space="preserve">3366</t>
        </is>
      </c>
      <c r="F42" s="0" t="inlineStr">
        <is>
          <t xml:space="preserve">Ship Building and Repairing</t>
        </is>
      </c>
      <c r="G42" s="5">
        <v>39.117146810000015</v>
      </c>
      <c r="H42" s="0" t="inlineStr">
        <is>
          <t xml:space="preserve">supplier</t>
        </is>
      </c>
      <c r="I42" s="0" t="inlineStr">
        <is>
          <t xml:space="preserve">structural</t>
        </is>
      </c>
      <c r="J42" s="0" t="inlineStr">
        <is>
          <t xml:space="preserve">registry</t>
        </is>
      </c>
      <c r="K42" s="5">
        <v>0</v>
      </c>
      <c r="L42" s="5">
        <v>0</v>
      </c>
      <c r="M42" s="5">
        <v>39.117146810000015</v>
      </c>
      <c r="N42" s="5">
        <v>3.470239790000001</v>
      </c>
      <c r="O42" s="5">
        <v>6.158475290000003</v>
      </c>
      <c r="P42" s="5">
        <v>23.03277465</v>
      </c>
      <c r="Q42" s="5">
        <v>4.587568080000001</v>
      </c>
    </row>
    <row r="43" outlineLevel="1">
      <c r="B43" s="0" t="inlineStr">
        <is>
          <t xml:space="preserve">MAINE MACHINE PRODUCTS COMPANY</t>
        </is>
      </c>
      <c r="C43" s="0" t="inlineStr">
        <is>
          <t xml:space="preserve">YHJESY2TDP23</t>
        </is>
      </c>
      <c r="D43" s="0" t="inlineStr">
        <is>
          <t xml:space="preserve">USA</t>
        </is>
      </c>
      <c r="E43" s="0" t="inlineStr">
        <is>
          <t xml:space="preserve">3327</t>
        </is>
      </c>
      <c r="F43" s="0" t="inlineStr">
        <is>
          <t xml:space="preserve">Machine Shops</t>
        </is>
      </c>
      <c r="G43" s="5">
        <v>39.02253014</v>
      </c>
      <c r="H43" s="0" t="inlineStr">
        <is>
          <t xml:space="preserve">supplier</t>
        </is>
      </c>
      <c r="I43" s="0" t="inlineStr">
        <is>
          <t xml:space="preserve">machining</t>
        </is>
      </c>
      <c r="J43" s="0" t="inlineStr">
        <is>
          <t xml:space="preserve">registry</t>
        </is>
      </c>
      <c r="K43" s="5">
        <v>0</v>
      </c>
      <c r="L43" s="5">
        <v>0</v>
      </c>
      <c r="M43" s="5">
        <v>0.0</v>
      </c>
      <c r="N43" s="5">
        <v>0.0</v>
      </c>
      <c r="O43" s="5">
        <v>0.0</v>
      </c>
      <c r="P43" s="5">
        <v>0.0</v>
      </c>
      <c r="Q43" s="5">
        <v>0.0</v>
      </c>
    </row>
    <row r="44" outlineLevel="1">
      <c r="B44" s="0" t="inlineStr">
        <is>
          <t xml:space="preserve">AMERICAN TANK &amp; FABRICATING CO, THE</t>
        </is>
      </c>
      <c r="C44" s="0" t="inlineStr">
        <is>
          <t xml:space="preserve">PUG1H9MFJD63</t>
        </is>
      </c>
      <c r="D44" s="0" t="inlineStr">
        <is>
          <t xml:space="preserve">USA</t>
        </is>
      </c>
      <c r="E44" s="0" t="inlineStr">
        <is>
          <t xml:space="preserve">3323</t>
        </is>
      </c>
      <c r="F44" s="0" t="inlineStr">
        <is>
          <t xml:space="preserve">Plate Work Manufacturing</t>
        </is>
      </c>
      <c r="G44" s="5">
        <v>37.78329876000001</v>
      </c>
      <c r="H44" s="0" t="inlineStr">
        <is>
          <t xml:space="preserve">supplier</t>
        </is>
      </c>
      <c r="I44" s="0" t="inlineStr">
        <is>
          <t xml:space="preserve">structural</t>
        </is>
      </c>
      <c r="J44" s="0" t="inlineStr">
        <is>
          <t xml:space="preserve">registry</t>
        </is>
      </c>
      <c r="K44" s="5">
        <v>0</v>
      </c>
      <c r="L44" s="5">
        <v>0</v>
      </c>
      <c r="M44" s="5">
        <v>0.0</v>
      </c>
      <c r="N44" s="5">
        <v>0.0</v>
      </c>
      <c r="O44" s="5">
        <v>0.0</v>
      </c>
      <c r="P44" s="5">
        <v>0.0</v>
      </c>
      <c r="Q44" s="5">
        <v>0.0</v>
      </c>
    </row>
    <row r="45" outlineLevel="1">
      <c r="B45" s="0" t="inlineStr">
        <is>
          <t xml:space="preserve">PRODUCTION ENGINEERING CORPORATION</t>
        </is>
      </c>
      <c r="C45" s="0" t="inlineStr">
        <is>
          <t xml:space="preserve">FARLM1J6SB25</t>
        </is>
      </c>
      <c r="D45" s="0" t="inlineStr">
        <is>
          <t xml:space="preserve">USA</t>
        </is>
      </c>
      <c r="E45" s="0" t="inlineStr">
        <is>
          <t xml:space="preserve">3327</t>
        </is>
      </c>
      <c r="F45" s="0" t="inlineStr">
        <is>
          <t xml:space="preserve">Machine Shops</t>
        </is>
      </c>
      <c r="G45" s="5">
        <v>36.10243460999998</v>
      </c>
      <c r="H45" s="0" t="inlineStr">
        <is>
          <t xml:space="preserve">supplier</t>
        </is>
      </c>
      <c r="I45" s="0" t="inlineStr">
        <is>
          <t xml:space="preserve">machining</t>
        </is>
      </c>
      <c r="J45" s="0" t="inlineStr">
        <is>
          <t xml:space="preserve">registry</t>
        </is>
      </c>
      <c r="K45" s="5">
        <v>0</v>
      </c>
      <c r="L45" s="5">
        <v>0</v>
      </c>
      <c r="M45" s="5">
        <v>0.0</v>
      </c>
      <c r="N45" s="5">
        <v>0.0</v>
      </c>
      <c r="O45" s="5">
        <v>0.0</v>
      </c>
      <c r="P45" s="5">
        <v>0.0</v>
      </c>
      <c r="Q45" s="5">
        <v>0.0</v>
      </c>
    </row>
    <row r="46" outlineLevel="1">
      <c r="B46" s="0" t="inlineStr">
        <is>
          <t xml:space="preserve">HI AIR KOREA CO., LTD.</t>
        </is>
      </c>
      <c r="C46" s="0" t="inlineStr">
        <is>
          <t xml:space="preserve">NPJ8VMPXMNC3</t>
        </is>
      </c>
      <c r="D46" s="0" t="inlineStr">
        <is>
          <t xml:space="preserve">Foreign</t>
        </is>
      </c>
      <c r="E46" s="0" t="inlineStr">
        <is>
          <t xml:space="preserve">-</t>
        </is>
      </c>
      <c r="F46" s="0" t="inlineStr">
        <is>
          <t xml:space="preserve">-</t>
        </is>
      </c>
      <c r="G46" s="5">
        <v>33.057804999999995</v>
      </c>
      <c r="H46" s="0" t="inlineStr">
        <is>
          <t xml:space="preserve">foreign_fms</t>
        </is>
      </c>
      <c r="I46" s="0" t="inlineStr">
        <is>
          <t xml:space="preserve">-</t>
        </is>
      </c>
      <c r="J46" s="0" t="inlineStr">
        <is>
          <t xml:space="preserve">registry</t>
        </is>
      </c>
      <c r="K46" s="5">
        <v>0</v>
      </c>
      <c r="L46" s="5">
        <v>0</v>
      </c>
      <c r="M46" s="5">
        <v>0.0</v>
      </c>
      <c r="N46" s="5">
        <v>0.0</v>
      </c>
      <c r="O46" s="5">
        <v>0.0</v>
      </c>
      <c r="P46" s="5">
        <v>0.0</v>
      </c>
      <c r="Q46" s="5">
        <v>0.0</v>
      </c>
    </row>
    <row r="47" outlineLevel="1">
      <c r="B47" s="0" t="inlineStr">
        <is>
          <t xml:space="preserve">COBHAM PLC</t>
        </is>
      </c>
      <c r="C47" s="0" t="inlineStr">
        <is>
          <t xml:space="preserve">VNP2L293JWL6</t>
        </is>
      </c>
      <c r="D47" s="0" t="inlineStr">
        <is>
          <t xml:space="preserve">-</t>
        </is>
      </c>
      <c r="E47" s="0" t="inlineStr">
        <is>
          <t xml:space="preserve">-</t>
        </is>
      </c>
      <c r="F47" s="0" t="inlineStr">
        <is>
          <t xml:space="preserve">-</t>
        </is>
      </c>
      <c r="G47" s="5">
        <v>32.44129439000001</v>
      </c>
      <c r="H47" s="0" t="inlineStr">
        <is>
          <t xml:space="preserve">mission_systems</t>
        </is>
      </c>
      <c r="I47" s="0" t="inlineStr">
        <is>
          <t xml:space="preserve">-</t>
        </is>
      </c>
      <c r="J47" s="0" t="inlineStr">
        <is>
          <t xml:space="preserve">registry</t>
        </is>
      </c>
      <c r="K47" s="5">
        <v>0</v>
      </c>
      <c r="L47" s="5">
        <v>0</v>
      </c>
      <c r="M47" s="5">
        <v>0.035501</v>
      </c>
      <c r="N47" s="5">
        <v>0.0</v>
      </c>
      <c r="O47" s="5">
        <v>0.0</v>
      </c>
      <c r="P47" s="5">
        <v>0.0</v>
      </c>
      <c r="Q47" s="5">
        <v>0.0</v>
      </c>
    </row>
    <row r="48" outlineLevel="1">
      <c r="B48" s="0" t="inlineStr">
        <is>
          <t xml:space="preserve">GULF COPPER &amp; MANUFACTURING CORPORATION</t>
        </is>
      </c>
      <c r="C48" s="0" t="inlineStr">
        <is>
          <t xml:space="preserve">QKJUKKE5WPA8</t>
        </is>
      </c>
      <c r="D48" s="0" t="inlineStr">
        <is>
          <t xml:space="preserve">USA</t>
        </is>
      </c>
      <c r="E48" s="0" t="inlineStr">
        <is>
          <t xml:space="preserve">3366</t>
        </is>
      </c>
      <c r="F48" s="0" t="inlineStr">
        <is>
          <t xml:space="preserve">Ship Building and Repairing</t>
        </is>
      </c>
      <c r="G48" s="5">
        <v>31.58925701</v>
      </c>
      <c r="H48" s="0" t="inlineStr">
        <is>
          <t xml:space="preserve">supplier</t>
        </is>
      </c>
      <c r="I48" s="0" t="inlineStr">
        <is>
          <t xml:space="preserve">structural</t>
        </is>
      </c>
      <c r="J48" s="0" t="inlineStr">
        <is>
          <t xml:space="preserve">registry</t>
        </is>
      </c>
      <c r="K48" s="5">
        <v>0</v>
      </c>
      <c r="L48" s="5">
        <v>0</v>
      </c>
      <c r="M48" s="5">
        <v>31.58925701</v>
      </c>
      <c r="N48" s="5">
        <v>0.0</v>
      </c>
      <c r="O48" s="5">
        <v>0.0</v>
      </c>
      <c r="P48" s="5">
        <v>0.0</v>
      </c>
      <c r="Q48" s="5">
        <v>16.12133501</v>
      </c>
    </row>
    <row r="49" outlineLevel="1">
      <c r="B49" s="0" t="inlineStr">
        <is>
          <t xml:space="preserve">APPLIED COMPOSITES HOLDINGS, LLC</t>
        </is>
      </c>
      <c r="C49" s="0" t="inlineStr">
        <is>
          <t xml:space="preserve">M1LQD44NEJ56</t>
        </is>
      </c>
      <c r="D49" s="0" t="inlineStr">
        <is>
          <t xml:space="preserve">USA</t>
        </is>
      </c>
      <c r="E49" s="0" t="inlineStr">
        <is>
          <t xml:space="preserve">3342</t>
        </is>
      </c>
      <c r="F49" s="0" t="inlineStr">
        <is>
          <t xml:space="preserve">Radio and Television Broadcasting and Wireless Communications Equipment Manufacturing</t>
        </is>
      </c>
      <c r="G49" s="5">
        <v>30.638383119999997</v>
      </c>
      <c r="H49" s="0" t="inlineStr">
        <is>
          <t xml:space="preserve">supplier</t>
        </is>
      </c>
      <c r="I49" s="0" t="inlineStr">
        <is>
          <t xml:space="preserve">coatings</t>
        </is>
      </c>
      <c r="J49" s="0" t="inlineStr">
        <is>
          <t xml:space="preserve">registry</t>
        </is>
      </c>
      <c r="K49" s="5">
        <v>0</v>
      </c>
      <c r="L49" s="5">
        <v>0</v>
      </c>
      <c r="M49" s="5">
        <v>0.0</v>
      </c>
      <c r="N49" s="5">
        <v>0.0</v>
      </c>
      <c r="O49" s="5">
        <v>0.0</v>
      </c>
      <c r="P49" s="5">
        <v>0.0</v>
      </c>
      <c r="Q49" s="5">
        <v>0.0</v>
      </c>
    </row>
    <row r="50" outlineLevel="1">
      <c r="B50" s="0" t="inlineStr">
        <is>
          <t xml:space="preserve">L3HARRIS MARITIME POWER &amp; ENERGY SOLUTIONS, INC</t>
        </is>
      </c>
      <c r="C50" s="0" t="inlineStr">
        <is>
          <t xml:space="preserve">HLE1E2KALJA5</t>
        </is>
      </c>
      <c r="D50" s="0" t="inlineStr">
        <is>
          <t xml:space="preserve">USA</t>
        </is>
      </c>
      <c r="E50" s="0" t="inlineStr">
        <is>
          <t xml:space="preserve">3353</t>
        </is>
      </c>
      <c r="F50" s="0" t="inlineStr">
        <is>
          <t xml:space="preserve">Power, Distribution, and Specialty Transformer Manufacturing</t>
        </is>
      </c>
      <c r="G50" s="5">
        <v>29.92856148</v>
      </c>
      <c r="H50" s="0" t="inlineStr">
        <is>
          <t xml:space="preserve">supplier</t>
        </is>
      </c>
      <c r="I50" s="0" t="inlineStr">
        <is>
          <t xml:space="preserve">electrical</t>
        </is>
      </c>
      <c r="J50" s="0" t="inlineStr">
        <is>
          <t xml:space="preserve">registry</t>
        </is>
      </c>
      <c r="K50" s="5">
        <v>0</v>
      </c>
      <c r="L50" s="5">
        <v>0</v>
      </c>
      <c r="M50" s="5">
        <v>29.92856148</v>
      </c>
      <c r="N50" s="5">
        <v>0.0</v>
      </c>
      <c r="O50" s="5">
        <v>0.0</v>
      </c>
      <c r="P50" s="5">
        <v>23.32856148</v>
      </c>
      <c r="Q50" s="5">
        <v>6.6</v>
      </c>
    </row>
    <row r="51" outlineLevel="1">
      <c r="B51" s="0" t="inlineStr">
        <is>
          <t xml:space="preserve">TACTICAL ENGINEERING &amp; ANALYSIS, INC.</t>
        </is>
      </c>
      <c r="C51" s="0" t="inlineStr">
        <is>
          <t xml:space="preserve">V1MVHTMMJNV5</t>
        </is>
      </c>
      <c r="D51" s="0" t="inlineStr">
        <is>
          <t xml:space="preserve">USA</t>
        </is>
      </c>
      <c r="E51" s="0" t="inlineStr">
        <is>
          <t xml:space="preserve">5413</t>
        </is>
      </c>
      <c r="F51" s="0" t="inlineStr">
        <is>
          <t xml:space="preserve">Engineering Services</t>
        </is>
      </c>
      <c r="G51" s="5">
        <v>29.87779004</v>
      </c>
      <c r="H51" s="0" t="inlineStr">
        <is>
          <t xml:space="preserve">service</t>
        </is>
      </c>
      <c r="I51" s="0" t="inlineStr">
        <is>
          <t xml:space="preserve">-</t>
        </is>
      </c>
      <c r="J51" s="0" t="inlineStr">
        <is>
          <t xml:space="preserve">registry</t>
        </is>
      </c>
      <c r="K51" s="5">
        <v>0</v>
      </c>
      <c r="L51" s="5">
        <v>0</v>
      </c>
      <c r="M51" s="5">
        <v>0.0</v>
      </c>
      <c r="N51" s="5">
        <v>0.0</v>
      </c>
      <c r="O51" s="5">
        <v>0.0</v>
      </c>
      <c r="P51" s="5">
        <v>0.0</v>
      </c>
      <c r="Q51" s="5">
        <v>0.0</v>
      </c>
    </row>
    <row r="52" outlineLevel="1">
      <c r="B52" s="0" t="inlineStr">
        <is>
          <t xml:space="preserve">ADVANCED INDUSTRIES, LLC</t>
        </is>
      </c>
      <c r="C52" s="0" t="inlineStr">
        <is>
          <t xml:space="preserve">F4XLUSKN1KX1</t>
        </is>
      </c>
      <c r="D52" s="0" t="inlineStr">
        <is>
          <t xml:space="preserve">USA</t>
        </is>
      </c>
      <c r="E52" s="0" t="inlineStr">
        <is>
          <t xml:space="preserve">3324</t>
        </is>
      </c>
      <c r="F52" s="0" t="inlineStr">
        <is>
          <t xml:space="preserve">Other Metal Container Manufacturing</t>
        </is>
      </c>
      <c r="G52" s="5">
        <v>29.223832580000003</v>
      </c>
      <c r="H52" s="0" t="inlineStr">
        <is>
          <t xml:space="preserve">supplier</t>
        </is>
      </c>
      <c r="I52" s="0" t="inlineStr">
        <is>
          <t xml:space="preserve">structural</t>
        </is>
      </c>
      <c r="J52" s="0" t="inlineStr">
        <is>
          <t xml:space="preserve">registry</t>
        </is>
      </c>
      <c r="K52" s="5">
        <v>1</v>
      </c>
      <c r="L52" s="5">
        <v>0</v>
      </c>
      <c r="M52" s="5">
        <v>0.0</v>
      </c>
      <c r="N52" s="5">
        <v>0.0</v>
      </c>
      <c r="O52" s="5">
        <v>0.0</v>
      </c>
      <c r="P52" s="5">
        <v>0.0</v>
      </c>
      <c r="Q52" s="5">
        <v>0.0</v>
      </c>
    </row>
    <row r="53" outlineLevel="1">
      <c r="B53" s="0" t="inlineStr">
        <is>
          <t xml:space="preserve">TOTAL SA</t>
        </is>
      </c>
      <c r="C53" s="0" t="inlineStr">
        <is>
          <t xml:space="preserve">N5BYYW3MMFP7</t>
        </is>
      </c>
      <c r="D53" s="0" t="inlineStr">
        <is>
          <t xml:space="preserve">FRA</t>
        </is>
      </c>
      <c r="E53" s="0" t="inlineStr">
        <is>
          <t xml:space="preserve">4247</t>
        </is>
      </c>
      <c r="F53" s="0" t="inlineStr">
        <is>
          <t xml:space="preserve">Petroleum Bulk Stations and Terminals</t>
        </is>
      </c>
      <c r="G53" s="5">
        <v>29.171830269999994</v>
      </c>
      <c r="H53" s="0" t="inlineStr">
        <is>
          <t xml:space="preserve">supplier</t>
        </is>
      </c>
      <c r="I53" s="0" t="inlineStr">
        <is>
          <t xml:space="preserve">coatings</t>
        </is>
      </c>
      <c r="J53" s="0" t="inlineStr">
        <is>
          <t xml:space="preserve">registry</t>
        </is>
      </c>
      <c r="K53" s="5">
        <v>0</v>
      </c>
      <c r="L53" s="5">
        <v>0</v>
      </c>
      <c r="M53" s="5">
        <v>0.2408</v>
      </c>
      <c r="N53" s="5">
        <v>0.0</v>
      </c>
      <c r="O53" s="5">
        <v>0.0</v>
      </c>
      <c r="P53" s="5">
        <v>0.0</v>
      </c>
      <c r="Q53" s="5">
        <v>0.0</v>
      </c>
    </row>
    <row r="54" outlineLevel="1">
      <c r="B54" s="0" t="inlineStr">
        <is>
          <t xml:space="preserve">ARCONIC INC.</t>
        </is>
      </c>
      <c r="C54" s="0" t="inlineStr">
        <is>
          <t xml:space="preserve">WQ6KK3G6K2M1</t>
        </is>
      </c>
      <c r="D54" s="0" t="inlineStr">
        <is>
          <t xml:space="preserve">-</t>
        </is>
      </c>
      <c r="E54" s="0" t="inlineStr">
        <is>
          <t xml:space="preserve">-</t>
        </is>
      </c>
      <c r="F54" s="0" t="inlineStr">
        <is>
          <t xml:space="preserve">-</t>
        </is>
      </c>
      <c r="G54" s="5">
        <v>28.929357080000006</v>
      </c>
      <c r="H54" s="0" t="inlineStr">
        <is>
          <t xml:space="preserve">supplier</t>
        </is>
      </c>
      <c r="I54" s="0" t="inlineStr">
        <is>
          <t xml:space="preserve">machining</t>
        </is>
      </c>
      <c r="J54" s="0" t="inlineStr">
        <is>
          <t xml:space="preserve">registry</t>
        </is>
      </c>
      <c r="K54" s="5">
        <v>0</v>
      </c>
      <c r="L54" s="5">
        <v>0</v>
      </c>
      <c r="M54" s="5">
        <v>0.0</v>
      </c>
      <c r="N54" s="5">
        <v>0.0</v>
      </c>
      <c r="O54" s="5">
        <v>0.0</v>
      </c>
      <c r="P54" s="5">
        <v>0.0</v>
      </c>
      <c r="Q54" s="5">
        <v>0.0</v>
      </c>
    </row>
    <row r="55" outlineLevel="1">
      <c r="B55" s="0" t="inlineStr">
        <is>
          <t xml:space="preserve">ELLWOOD NATIONAL FORGE COMPANY</t>
        </is>
      </c>
      <c r="C55" s="0" t="inlineStr">
        <is>
          <t xml:space="preserve">QGB4RDYJNJT9</t>
        </is>
      </c>
      <c r="D55" s="0" t="inlineStr">
        <is>
          <t xml:space="preserve">-</t>
        </is>
      </c>
      <c r="E55" s="0" t="inlineStr">
        <is>
          <t xml:space="preserve">-</t>
        </is>
      </c>
      <c r="F55" s="0" t="inlineStr">
        <is>
          <t xml:space="preserve">-</t>
        </is>
      </c>
      <c r="G55" s="5">
        <v>28.78798678</v>
      </c>
      <c r="H55" s="0" t="inlineStr">
        <is>
          <t xml:space="preserve">supplier</t>
        </is>
      </c>
      <c r="I55" s="0" t="inlineStr">
        <is>
          <t xml:space="preserve">castings</t>
        </is>
      </c>
      <c r="J55" s="0" t="inlineStr">
        <is>
          <t xml:space="preserve">registry</t>
        </is>
      </c>
      <c r="K55" s="5">
        <v>0</v>
      </c>
      <c r="L55" s="5">
        <v>0</v>
      </c>
      <c r="M55" s="5">
        <v>28.74979778</v>
      </c>
      <c r="N55" s="5">
        <v>0.0</v>
      </c>
      <c r="O55" s="5">
        <v>0.0</v>
      </c>
      <c r="P55" s="5">
        <v>28.706530800000003</v>
      </c>
      <c r="Q55" s="5">
        <v>0.043266980000000003</v>
      </c>
    </row>
    <row r="56" outlineLevel="1">
      <c r="B56" s="0" t="inlineStr">
        <is>
          <t xml:space="preserve">MAXIM EVAPORATORS OF AMERICA, LLC</t>
        </is>
      </c>
      <c r="C56" s="0" t="inlineStr">
        <is>
          <t xml:space="preserve">J645RTMFWMW1</t>
        </is>
      </c>
      <c r="D56" s="0" t="inlineStr">
        <is>
          <t xml:space="preserve">USA</t>
        </is>
      </c>
      <c r="E56" s="0" t="inlineStr">
        <is>
          <t xml:space="preserve">3399</t>
        </is>
      </c>
      <c r="F56" s="0" t="inlineStr">
        <is>
          <t xml:space="preserve">All Other Miscellaneous Manufacturing</t>
        </is>
      </c>
      <c r="G56" s="5">
        <v>28.536678409999993</v>
      </c>
      <c r="H56" s="0" t="inlineStr">
        <is>
          <t xml:space="preserve">supplier</t>
        </is>
      </c>
      <c r="I56" s="0" t="inlineStr">
        <is>
          <t xml:space="preserve">piping</t>
        </is>
      </c>
      <c r="J56" s="0" t="inlineStr">
        <is>
          <t xml:space="preserve">registry</t>
        </is>
      </c>
      <c r="K56" s="5">
        <v>0</v>
      </c>
      <c r="L56" s="5">
        <v>0</v>
      </c>
      <c r="M56" s="5">
        <v>28.536678409999993</v>
      </c>
      <c r="N56" s="5">
        <v>0.0</v>
      </c>
      <c r="O56" s="5">
        <v>0.75355</v>
      </c>
      <c r="P56" s="5">
        <v>13.309513560000001</v>
      </c>
      <c r="Q56" s="5">
        <v>0.115692</v>
      </c>
    </row>
    <row r="57" outlineLevel="1">
      <c r="B57" s="0" t="inlineStr">
        <is>
          <t xml:space="preserve">DRS NAVAL POWER SYSTEMS INC</t>
        </is>
      </c>
      <c r="C57" s="0" t="inlineStr">
        <is>
          <t xml:space="preserve">GXPHJRVG9MR7</t>
        </is>
      </c>
      <c r="D57" s="0" t="inlineStr">
        <is>
          <t xml:space="preserve">-</t>
        </is>
      </c>
      <c r="E57" s="0" t="inlineStr">
        <is>
          <t xml:space="preserve">-</t>
        </is>
      </c>
      <c r="F57" s="0" t="inlineStr">
        <is>
          <t xml:space="preserve">-</t>
        </is>
      </c>
      <c r="G57" s="5">
        <v>28.364560950000005</v>
      </c>
      <c r="H57" s="0" t="inlineStr">
        <is>
          <t xml:space="preserve">supplier</t>
        </is>
      </c>
      <c r="I57" s="0" t="inlineStr">
        <is>
          <t xml:space="preserve">electrical</t>
        </is>
      </c>
      <c r="J57" s="0" t="inlineStr">
        <is>
          <t xml:space="preserve">registry</t>
        </is>
      </c>
      <c r="K57" s="5">
        <v>0</v>
      </c>
      <c r="L57" s="5">
        <v>0</v>
      </c>
      <c r="M57" s="5">
        <v>28.364560950000005</v>
      </c>
      <c r="N57" s="5">
        <v>0.0</v>
      </c>
      <c r="O57" s="5">
        <v>11.90502092</v>
      </c>
      <c r="P57" s="5">
        <v>16.45954003</v>
      </c>
      <c r="Q57" s="5">
        <v>0.0</v>
      </c>
    </row>
    <row r="58" outlineLevel="1">
      <c r="B58" s="0" t="inlineStr">
        <is>
          <t xml:space="preserve">L3 TECHNOLOGIES, INC.</t>
        </is>
      </c>
      <c r="C58" s="0" t="inlineStr">
        <is>
          <t xml:space="preserve">CFXRGJSB9UB6</t>
        </is>
      </c>
      <c r="D58" s="0" t="inlineStr">
        <is>
          <t xml:space="preserve">USA</t>
        </is>
      </c>
      <c r="E58" s="0" t="inlineStr">
        <is>
          <t xml:space="preserve">3345</t>
        </is>
      </c>
      <c r="F58" s="0" t="inlineStr">
        <is>
          <t xml:space="preserve">Search, Detection, Navigation, Guidance, Aeronautical, and Nautical System and Instrument Manufacturing</t>
        </is>
      </c>
      <c r="G58" s="5">
        <v>27.257112700000004</v>
      </c>
      <c r="H58" s="0" t="inlineStr">
        <is>
          <t xml:space="preserve">mission_systems</t>
        </is>
      </c>
      <c r="I58" s="0" t="inlineStr">
        <is>
          <t xml:space="preserve">-</t>
        </is>
      </c>
      <c r="J58" s="0" t="inlineStr">
        <is>
          <t xml:space="preserve">registry</t>
        </is>
      </c>
      <c r="K58" s="5">
        <v>0</v>
      </c>
      <c r="L58" s="5">
        <v>0</v>
      </c>
      <c r="M58" s="5">
        <v>27.257112700000004</v>
      </c>
      <c r="N58" s="5">
        <v>0.0</v>
      </c>
      <c r="O58" s="5">
        <v>0.0</v>
      </c>
      <c r="P58" s="5">
        <v>0.0</v>
      </c>
      <c r="Q58" s="5">
        <v>0.0</v>
      </c>
    </row>
    <row r="59" outlineLevel="1">
      <c r="B59" s="0" t="inlineStr">
        <is>
          <t xml:space="preserve">BECON INC</t>
        </is>
      </c>
      <c r="C59" s="0" t="inlineStr">
        <is>
          <t xml:space="preserve">K442K4T21K53</t>
        </is>
      </c>
      <c r="D59" s="0" t="inlineStr">
        <is>
          <t xml:space="preserve">USA</t>
        </is>
      </c>
      <c r="E59" s="0" t="inlineStr">
        <is>
          <t xml:space="preserve">3339</t>
        </is>
      </c>
      <c r="F59" s="0" t="inlineStr">
        <is>
          <t xml:space="preserve">All Other Miscellaneous General Purpose Machinery Manufacturing</t>
        </is>
      </c>
      <c r="G59" s="5">
        <v>26.590369000000003</v>
      </c>
      <c r="H59" s="0" t="inlineStr">
        <is>
          <t xml:space="preserve">supplier</t>
        </is>
      </c>
      <c r="I59" s="0" t="inlineStr">
        <is>
          <t xml:space="preserve">piping</t>
        </is>
      </c>
      <c r="J59" s="0" t="inlineStr">
        <is>
          <t xml:space="preserve">registry</t>
        </is>
      </c>
      <c r="K59" s="5">
        <v>0</v>
      </c>
      <c r="L59" s="5">
        <v>0</v>
      </c>
      <c r="M59" s="5">
        <v>0.0</v>
      </c>
      <c r="N59" s="5">
        <v>0.0</v>
      </c>
      <c r="O59" s="5">
        <v>0.0</v>
      </c>
      <c r="P59" s="5">
        <v>0.0</v>
      </c>
      <c r="Q59" s="5">
        <v>0.0</v>
      </c>
    </row>
    <row r="60" outlineLevel="1">
      <c r="B60" s="0" t="inlineStr">
        <is>
          <t xml:space="preserve">NEVADA HEAT TREATING, LLC</t>
        </is>
      </c>
      <c r="C60" s="0" t="inlineStr">
        <is>
          <t xml:space="preserve">HJR5VDSHMMX5</t>
        </is>
      </c>
      <c r="D60" s="0" t="inlineStr">
        <is>
          <t xml:space="preserve">USA</t>
        </is>
      </c>
      <c r="E60" s="0" t="inlineStr">
        <is>
          <t xml:space="preserve">3328</t>
        </is>
      </c>
      <c r="F60" s="0" t="inlineStr">
        <is>
          <t xml:space="preserve">Metal Heat Treating</t>
        </is>
      </c>
      <c r="G60" s="5">
        <v>25.618945</v>
      </c>
      <c r="H60" s="0" t="inlineStr">
        <is>
          <t xml:space="preserve">supplier</t>
        </is>
      </c>
      <c r="I60" s="0" t="inlineStr">
        <is>
          <t xml:space="preserve">coatings</t>
        </is>
      </c>
      <c r="J60" s="0" t="inlineStr">
        <is>
          <t xml:space="preserve">registry</t>
        </is>
      </c>
      <c r="K60" s="5">
        <v>0</v>
      </c>
      <c r="L60" s="5">
        <v>0</v>
      </c>
      <c r="M60" s="5">
        <v>0.0</v>
      </c>
      <c r="N60" s="5">
        <v>0.0</v>
      </c>
      <c r="O60" s="5">
        <v>0.0</v>
      </c>
      <c r="P60" s="5">
        <v>0.0</v>
      </c>
      <c r="Q60" s="5">
        <v>0.0</v>
      </c>
    </row>
    <row r="61" outlineLevel="1">
      <c r="B61" s="0" t="inlineStr">
        <is>
          <t xml:space="preserve">FUTURAMIC TOOL &amp; ENGINEERING COMPANY</t>
        </is>
      </c>
      <c r="C61" s="0" t="inlineStr">
        <is>
          <t xml:space="preserve">L2WVLS5L4WS3</t>
        </is>
      </c>
      <c r="D61" s="0" t="inlineStr">
        <is>
          <t xml:space="preserve">USA</t>
        </is>
      </c>
      <c r="E61" s="0" t="inlineStr">
        <is>
          <t xml:space="preserve">3327</t>
        </is>
      </c>
      <c r="F61" s="0" t="inlineStr">
        <is>
          <t xml:space="preserve">Machine Shops</t>
        </is>
      </c>
      <c r="G61" s="5">
        <v>25.23165684999999</v>
      </c>
      <c r="H61" s="0" t="inlineStr">
        <is>
          <t xml:space="preserve">supplier</t>
        </is>
      </c>
      <c r="I61" s="0" t="inlineStr">
        <is>
          <t xml:space="preserve">machining</t>
        </is>
      </c>
      <c r="J61" s="0" t="inlineStr">
        <is>
          <t xml:space="preserve">registry</t>
        </is>
      </c>
      <c r="K61" s="5">
        <v>0</v>
      </c>
      <c r="L61" s="5">
        <v>0</v>
      </c>
      <c r="M61" s="5">
        <v>0.0</v>
      </c>
      <c r="N61" s="5">
        <v>0.0</v>
      </c>
      <c r="O61" s="5">
        <v>0.0</v>
      </c>
      <c r="P61" s="5">
        <v>0.0</v>
      </c>
      <c r="Q61" s="5">
        <v>0.0</v>
      </c>
    </row>
    <row r="62" outlineLevel="1">
      <c r="B62" s="0" t="inlineStr">
        <is>
          <t xml:space="preserve">ESPEY MFG. &amp; ELECTRONICS CORP.</t>
        </is>
      </c>
      <c r="C62" s="0" t="inlineStr">
        <is>
          <t xml:space="preserve">Z89SS59265U9</t>
        </is>
      </c>
      <c r="D62" s="0" t="inlineStr">
        <is>
          <t xml:space="preserve">USA</t>
        </is>
      </c>
      <c r="E62" s="0" t="inlineStr">
        <is>
          <t xml:space="preserve">3359</t>
        </is>
      </c>
      <c r="F62" s="0" t="inlineStr">
        <is>
          <t xml:space="preserve">All Other Miscellaneous Electrical Equipment and Component Manufacturing</t>
        </is>
      </c>
      <c r="G62" s="5">
        <v>24.810059759999994</v>
      </c>
      <c r="H62" s="0" t="inlineStr">
        <is>
          <t xml:space="preserve">supplier</t>
        </is>
      </c>
      <c r="I62" s="0" t="inlineStr">
        <is>
          <t xml:space="preserve">electrical</t>
        </is>
      </c>
      <c r="J62" s="0" t="inlineStr">
        <is>
          <t xml:space="preserve">registry</t>
        </is>
      </c>
      <c r="K62" s="5">
        <v>0</v>
      </c>
      <c r="L62" s="5">
        <v>0</v>
      </c>
      <c r="M62" s="5">
        <v>24.810059759999994</v>
      </c>
      <c r="N62" s="5">
        <v>1.238356</v>
      </c>
      <c r="O62" s="5">
        <v>0.0</v>
      </c>
      <c r="P62" s="5">
        <v>0.0</v>
      </c>
      <c r="Q62" s="5">
        <v>0.0</v>
      </c>
    </row>
    <row r="63" outlineLevel="1">
      <c r="B63" s="0" t="inlineStr">
        <is>
          <t xml:space="preserve">ESPEY MFG AND ELECTRONICS CORP</t>
        </is>
      </c>
      <c r="C63" s="0" t="inlineStr">
        <is>
          <t xml:space="preserve">Z89SS59265U9</t>
        </is>
      </c>
      <c r="D63" s="0" t="inlineStr">
        <is>
          <t xml:space="preserve">USA</t>
        </is>
      </c>
      <c r="E63" s="0" t="inlineStr">
        <is>
          <t xml:space="preserve">3359</t>
        </is>
      </c>
      <c r="F63" s="0" t="inlineStr">
        <is>
          <t xml:space="preserve">All Other Miscellaneous Electrical Equipment and Component Manufacturing</t>
        </is>
      </c>
      <c r="G63" s="5">
        <v>24.685956410000003</v>
      </c>
      <c r="H63" s="0" t="inlineStr">
        <is>
          <t xml:space="preserve">supplier</t>
        </is>
      </c>
      <c r="I63" s="0" t="inlineStr">
        <is>
          <t xml:space="preserve">electrical</t>
        </is>
      </c>
      <c r="J63" s="0" t="inlineStr">
        <is>
          <t xml:space="preserve">registry</t>
        </is>
      </c>
      <c r="K63" s="5">
        <v>0</v>
      </c>
      <c r="L63" s="5">
        <v>0</v>
      </c>
      <c r="M63" s="5">
        <v>24.685956410000003</v>
      </c>
      <c r="N63" s="5">
        <v>0.0</v>
      </c>
      <c r="O63" s="5">
        <v>0.52745898</v>
      </c>
      <c r="P63" s="5">
        <v>14.437364999999998</v>
      </c>
      <c r="Q63" s="5">
        <v>7.85244043</v>
      </c>
    </row>
    <row r="64" outlineLevel="1">
      <c r="B64" s="0" t="inlineStr">
        <is>
          <t xml:space="preserve">TECHNOLOGY DYNAMICS INC</t>
        </is>
      </c>
      <c r="C64" s="0" t="inlineStr">
        <is>
          <t xml:space="preserve">ZC5JNMHPHWA9</t>
        </is>
      </c>
      <c r="D64" s="0" t="inlineStr">
        <is>
          <t xml:space="preserve">USA</t>
        </is>
      </c>
      <c r="E64" s="0" t="inlineStr">
        <is>
          <t xml:space="preserve">3359</t>
        </is>
      </c>
      <c r="F64" s="0" t="inlineStr">
        <is>
          <t xml:space="preserve">All Other Miscellaneous Electrical Equipment and Component Manufacturing</t>
        </is>
      </c>
      <c r="G64" s="5">
        <v>24.057978999999996</v>
      </c>
      <c r="H64" s="0" t="inlineStr">
        <is>
          <t xml:space="preserve">supplier</t>
        </is>
      </c>
      <c r="I64" s="0" t="inlineStr">
        <is>
          <t xml:space="preserve">electrical</t>
        </is>
      </c>
      <c r="J64" s="0" t="inlineStr">
        <is>
          <t xml:space="preserve">registry</t>
        </is>
      </c>
      <c r="K64" s="5">
        <v>0</v>
      </c>
      <c r="L64" s="5">
        <v>0</v>
      </c>
      <c r="M64" s="5">
        <v>0.0</v>
      </c>
      <c r="N64" s="5">
        <v>0.0</v>
      </c>
      <c r="O64" s="5">
        <v>0.0</v>
      </c>
      <c r="P64" s="5">
        <v>0.0</v>
      </c>
      <c r="Q64" s="5">
        <v>0.0</v>
      </c>
    </row>
    <row r="65" outlineLevel="1">
      <c r="B65" s="0" t="inlineStr">
        <is>
          <t xml:space="preserve">DUCOMMUN LABARGE TECHNOLOGIES, INC.</t>
        </is>
      </c>
      <c r="C65" s="0" t="inlineStr">
        <is>
          <t xml:space="preserve">GXAYGRWJPQK6</t>
        </is>
      </c>
      <c r="D65" s="0" t="inlineStr">
        <is>
          <t xml:space="preserve">-</t>
        </is>
      </c>
      <c r="E65" s="0" t="inlineStr">
        <is>
          <t xml:space="preserve">-</t>
        </is>
      </c>
      <c r="F65" s="0" t="inlineStr">
        <is>
          <t xml:space="preserve">-</t>
        </is>
      </c>
      <c r="G65" s="5">
        <v>24.051831000000004</v>
      </c>
      <c r="H65" s="0" t="inlineStr">
        <is>
          <t xml:space="preserve">mission_systems</t>
        </is>
      </c>
      <c r="I65" s="0" t="inlineStr">
        <is>
          <t xml:space="preserve">-</t>
        </is>
      </c>
      <c r="J65" s="0" t="inlineStr">
        <is>
          <t xml:space="preserve">registry</t>
        </is>
      </c>
      <c r="K65" s="5">
        <v>0</v>
      </c>
      <c r="L65" s="5">
        <v>0</v>
      </c>
      <c r="M65" s="5">
        <v>0.0</v>
      </c>
      <c r="N65" s="5">
        <v>0.0</v>
      </c>
      <c r="O65" s="5">
        <v>0.0</v>
      </c>
      <c r="P65" s="5">
        <v>0.0</v>
      </c>
      <c r="Q65" s="5">
        <v>0.0</v>
      </c>
    </row>
    <row r="66" outlineLevel="1">
      <c r="B66" s="0" t="inlineStr">
        <is>
          <t xml:space="preserve">SIOUX MANUFACTURING CORPORATION</t>
        </is>
      </c>
      <c r="C66" s="0" t="inlineStr">
        <is>
          <t xml:space="preserve">GV6WMAJUK1R9</t>
        </is>
      </c>
      <c r="D66" s="0" t="inlineStr">
        <is>
          <t xml:space="preserve">USA</t>
        </is>
      </c>
      <c r="E66" s="0" t="inlineStr">
        <is>
          <t xml:space="preserve">3369</t>
        </is>
      </c>
      <c r="F66" s="0" t="inlineStr">
        <is>
          <t xml:space="preserve">Military Armored Vehicle, Tank, and Tank Component Manufacturing</t>
        </is>
      </c>
      <c r="G66" s="5">
        <v>23.876693100000004</v>
      </c>
      <c r="H66" s="0" t="inlineStr">
        <is>
          <t xml:space="preserve">supplier</t>
        </is>
      </c>
      <c r="I66" s="0" t="inlineStr">
        <is>
          <t xml:space="preserve">structural</t>
        </is>
      </c>
      <c r="J66" s="0" t="inlineStr">
        <is>
          <t xml:space="preserve">registry</t>
        </is>
      </c>
      <c r="K66" s="5">
        <v>0</v>
      </c>
      <c r="L66" s="5">
        <v>0</v>
      </c>
      <c r="M66" s="5">
        <v>0.044376839999999994</v>
      </c>
      <c r="N66" s="5">
        <v>0.0</v>
      </c>
      <c r="O66" s="5">
        <v>0.044376839999999994</v>
      </c>
      <c r="P66" s="5">
        <v>0.0</v>
      </c>
      <c r="Q66" s="5">
        <v>0.0</v>
      </c>
    </row>
    <row r="67" outlineLevel="1">
      <c r="B67" s="0" t="inlineStr">
        <is>
          <t xml:space="preserve">COBHAM LIMITED</t>
        </is>
      </c>
      <c r="C67" s="0" t="inlineStr">
        <is>
          <t xml:space="preserve">VNP2L293JWL6</t>
        </is>
      </c>
      <c r="D67" s="0" t="inlineStr">
        <is>
          <t xml:space="preserve">-</t>
        </is>
      </c>
      <c r="E67" s="0" t="inlineStr">
        <is>
          <t xml:space="preserve">-</t>
        </is>
      </c>
      <c r="F67" s="0" t="inlineStr">
        <is>
          <t xml:space="preserve">-</t>
        </is>
      </c>
      <c r="G67" s="5">
        <v>23.781247999999994</v>
      </c>
      <c r="H67" s="0" t="inlineStr">
        <is>
          <t xml:space="preserve">mission_systems</t>
        </is>
      </c>
      <c r="I67" s="0" t="inlineStr">
        <is>
          <t xml:space="preserve">-</t>
        </is>
      </c>
      <c r="J67" s="0" t="inlineStr">
        <is>
          <t xml:space="preserve">registry</t>
        </is>
      </c>
      <c r="K67" s="5">
        <v>0</v>
      </c>
      <c r="L67" s="5">
        <v>0</v>
      </c>
      <c r="M67" s="5">
        <v>0.0</v>
      </c>
      <c r="N67" s="5">
        <v>0.0</v>
      </c>
      <c r="O67" s="5">
        <v>0.0</v>
      </c>
      <c r="P67" s="5">
        <v>0.0</v>
      </c>
      <c r="Q67" s="5">
        <v>0.0</v>
      </c>
    </row>
    <row r="68" outlineLevel="1">
      <c r="B68" s="0" t="inlineStr">
        <is>
          <t xml:space="preserve">WOODWARD, INC.</t>
        </is>
      </c>
      <c r="C68" s="0" t="inlineStr">
        <is>
          <t xml:space="preserve">L4UCL5K5H5J9</t>
        </is>
      </c>
      <c r="D68" s="0" t="inlineStr">
        <is>
          <t xml:space="preserve">USA</t>
        </is>
      </c>
      <c r="E68" s="0" t="inlineStr">
        <is>
          <t xml:space="preserve">3364</t>
        </is>
      </c>
      <c r="F68" s="0" t="inlineStr">
        <is>
          <t xml:space="preserve">Aircraft Engine and Engine Parts Manufacturing</t>
        </is>
      </c>
      <c r="G68" s="5">
        <v>23.432112</v>
      </c>
      <c r="H68" s="0" t="inlineStr">
        <is>
          <t xml:space="preserve">supplier</t>
        </is>
      </c>
      <c r="I68" s="0" t="inlineStr">
        <is>
          <t xml:space="preserve">machining</t>
        </is>
      </c>
      <c r="J68" s="0" t="inlineStr">
        <is>
          <t xml:space="preserve">registry</t>
        </is>
      </c>
      <c r="K68" s="5">
        <v>0</v>
      </c>
      <c r="L68" s="5">
        <v>0</v>
      </c>
      <c r="M68" s="5">
        <v>0.0</v>
      </c>
      <c r="N68" s="5">
        <v>0.0</v>
      </c>
      <c r="O68" s="5">
        <v>0.0</v>
      </c>
      <c r="P68" s="5">
        <v>0.0</v>
      </c>
      <c r="Q68" s="5">
        <v>0.0</v>
      </c>
    </row>
    <row r="69" outlineLevel="1">
      <c r="B69" s="0" t="inlineStr">
        <is>
          <t xml:space="preserve">ARCTIC SLOPE REGIONAL CORP</t>
        </is>
      </c>
      <c r="C69" s="0" t="inlineStr">
        <is>
          <t xml:space="preserve">VVQ8NPGU36B7</t>
        </is>
      </c>
      <c r="D69" s="0" t="inlineStr">
        <is>
          <t xml:space="preserve">USA</t>
        </is>
      </c>
      <c r="E69" s="0" t="inlineStr">
        <is>
          <t xml:space="preserve">5511</t>
        </is>
      </c>
      <c r="F69" s="0" t="inlineStr">
        <is>
          <t xml:space="preserve">Corporate, Subsidiary, and Regional Managing Offices</t>
        </is>
      </c>
      <c r="G69" s="5">
        <v>23.41788808999999</v>
      </c>
      <c r="H69" s="0" t="inlineStr">
        <is>
          <t xml:space="preserve">holding</t>
        </is>
      </c>
      <c r="I69" s="0" t="inlineStr">
        <is>
          <t xml:space="preserve">-</t>
        </is>
      </c>
      <c r="J69" s="0" t="inlineStr">
        <is>
          <t xml:space="preserve">registry</t>
        </is>
      </c>
      <c r="K69" s="5">
        <v>0</v>
      </c>
      <c r="L69" s="5">
        <v>0</v>
      </c>
      <c r="M69" s="5">
        <v>0.0</v>
      </c>
      <c r="N69" s="5">
        <v>0.0</v>
      </c>
      <c r="O69" s="5">
        <v>0.0</v>
      </c>
      <c r="P69" s="5">
        <v>0.0</v>
      </c>
      <c r="Q69" s="5">
        <v>0.0</v>
      </c>
    </row>
    <row r="70" outlineLevel="1">
      <c r="B70" s="0" t="inlineStr">
        <is>
          <t xml:space="preserve">PARKER-HANNIFIN CORPORATION</t>
        </is>
      </c>
      <c r="C70" s="0" t="inlineStr">
        <is>
          <t xml:space="preserve">N5KMLMXEPFM5</t>
        </is>
      </c>
      <c r="D70" s="0" t="inlineStr">
        <is>
          <t xml:space="preserve">USA</t>
        </is>
      </c>
      <c r="E70" s="0" t="inlineStr">
        <is>
          <t xml:space="preserve">5511</t>
        </is>
      </c>
      <c r="F70" s="0" t="inlineStr">
        <is>
          <t xml:space="preserve">Corporate, Subsidiary, and Regional Managing Offices</t>
        </is>
      </c>
      <c r="G70" s="5">
        <v>22.68229785</v>
      </c>
      <c r="H70" s="0" t="inlineStr">
        <is>
          <t xml:space="preserve">supplier</t>
        </is>
      </c>
      <c r="I70" s="0" t="inlineStr">
        <is>
          <t xml:space="preserve">piping</t>
        </is>
      </c>
      <c r="J70" s="0" t="inlineStr">
        <is>
          <t xml:space="preserve">registry</t>
        </is>
      </c>
      <c r="K70" s="5">
        <v>0</v>
      </c>
      <c r="L70" s="5">
        <v>0</v>
      </c>
      <c r="M70" s="5">
        <v>22.68229785</v>
      </c>
      <c r="N70" s="5">
        <v>0.15188449999999998</v>
      </c>
      <c r="O70" s="5">
        <v>0.5851415</v>
      </c>
      <c r="P70" s="5">
        <v>0.05798300000000001</v>
      </c>
      <c r="Q70" s="5">
        <v>16.96776865</v>
      </c>
    </row>
    <row r="71" outlineLevel="1">
      <c r="B71" s="0" t="inlineStr">
        <is>
          <t xml:space="preserve">RIX INDUSTRIES</t>
        </is>
      </c>
      <c r="C71" s="0" t="inlineStr">
        <is>
          <t xml:space="preserve">V1MQFNQB56Z5</t>
        </is>
      </c>
      <c r="D71" s="0" t="inlineStr">
        <is>
          <t xml:space="preserve">USA</t>
        </is>
      </c>
      <c r="E71" s="0" t="inlineStr">
        <is>
          <t xml:space="preserve">3339</t>
        </is>
      </c>
      <c r="F71" s="0" t="inlineStr">
        <is>
          <t xml:space="preserve">Air and Gas Compressor Manufacturing</t>
        </is>
      </c>
      <c r="G71" s="5">
        <v>22.622801080000002</v>
      </c>
      <c r="H71" s="0" t="inlineStr">
        <is>
          <t xml:space="preserve">supplier</t>
        </is>
      </c>
      <c r="I71" s="0" t="inlineStr">
        <is>
          <t xml:space="preserve">piping</t>
        </is>
      </c>
      <c r="J71" s="0" t="inlineStr">
        <is>
          <t xml:space="preserve">registry</t>
        </is>
      </c>
      <c r="K71" s="5">
        <v>0</v>
      </c>
      <c r="L71" s="5">
        <v>0</v>
      </c>
      <c r="M71" s="5">
        <v>20.874560720000005</v>
      </c>
      <c r="N71" s="5">
        <v>1.11412888</v>
      </c>
      <c r="O71" s="5">
        <v>2.2323911</v>
      </c>
      <c r="P71" s="5">
        <v>0.0</v>
      </c>
      <c r="Q71" s="5">
        <v>11.35123478</v>
      </c>
    </row>
    <row r="72" outlineLevel="1">
      <c r="B72" s="0" t="inlineStr">
        <is>
          <t xml:space="preserve">MERRILL AVIATION, INC.</t>
        </is>
      </c>
      <c r="C72" s="0" t="inlineStr">
        <is>
          <t xml:space="preserve">DLLCKA14LMZ5</t>
        </is>
      </c>
      <c r="D72" s="0" t="inlineStr">
        <is>
          <t xml:space="preserve">-</t>
        </is>
      </c>
      <c r="E72" s="0" t="inlineStr">
        <is>
          <t xml:space="preserve">-</t>
        </is>
      </c>
      <c r="F72" s="0" t="inlineStr">
        <is>
          <t xml:space="preserve">-</t>
        </is>
      </c>
      <c r="G72" s="5">
        <v>22.60676548</v>
      </c>
      <c r="H72" s="0" t="inlineStr">
        <is>
          <t xml:space="preserve">supplier</t>
        </is>
      </c>
      <c r="I72" s="0" t="inlineStr">
        <is>
          <t xml:space="preserve">unbucketed</t>
        </is>
      </c>
      <c r="J72" s="0" t="inlineStr">
        <is>
          <t xml:space="preserve">registry</t>
        </is>
      </c>
      <c r="K72" s="5">
        <v>0</v>
      </c>
      <c r="L72" s="5">
        <v>0</v>
      </c>
      <c r="M72" s="5">
        <v>0.0</v>
      </c>
      <c r="N72" s="5">
        <v>0.0</v>
      </c>
      <c r="O72" s="5">
        <v>0.0</v>
      </c>
      <c r="P72" s="5">
        <v>0.0</v>
      </c>
      <c r="Q72" s="5">
        <v>0.0</v>
      </c>
    </row>
    <row r="73" outlineLevel="1">
      <c r="B73" s="0" t="inlineStr">
        <is>
          <t xml:space="preserve">SCIOTEQ LLC</t>
        </is>
      </c>
      <c r="C73" s="0" t="inlineStr">
        <is>
          <t xml:space="preserve">UVFUAL43AP15</t>
        </is>
      </c>
      <c r="D73" s="0" t="inlineStr">
        <is>
          <t xml:space="preserve">USA</t>
        </is>
      </c>
      <c r="E73" s="0" t="inlineStr">
        <is>
          <t xml:space="preserve">3341</t>
        </is>
      </c>
      <c r="F73" s="0" t="inlineStr">
        <is>
          <t xml:space="preserve">Electronic Computer Manufacturing</t>
        </is>
      </c>
      <c r="G73" s="5">
        <v>22.065292720000006</v>
      </c>
      <c r="H73" s="0" t="inlineStr">
        <is>
          <t xml:space="preserve">mission_systems</t>
        </is>
      </c>
      <c r="I73" s="0" t="inlineStr">
        <is>
          <t xml:space="preserve">-</t>
        </is>
      </c>
      <c r="J73" s="0" t="inlineStr">
        <is>
          <t xml:space="preserve">registry</t>
        </is>
      </c>
      <c r="K73" s="5">
        <v>0</v>
      </c>
      <c r="L73" s="5">
        <v>0</v>
      </c>
      <c r="M73" s="5">
        <v>0.0</v>
      </c>
      <c r="N73" s="5">
        <v>0.0</v>
      </c>
      <c r="O73" s="5">
        <v>0.0</v>
      </c>
      <c r="P73" s="5">
        <v>0.0</v>
      </c>
      <c r="Q73" s="5">
        <v>0.0</v>
      </c>
    </row>
    <row r="74" outlineLevel="1">
      <c r="B74" s="0" t="inlineStr">
        <is>
          <t xml:space="preserve">AMPHENOL CORPORATION</t>
        </is>
      </c>
      <c r="C74" s="0" t="inlineStr">
        <is>
          <t xml:space="preserve">USBJG7R2LPQ3</t>
        </is>
      </c>
      <c r="D74" s="0" t="inlineStr">
        <is>
          <t xml:space="preserve">-</t>
        </is>
      </c>
      <c r="E74" s="0" t="inlineStr">
        <is>
          <t xml:space="preserve">-</t>
        </is>
      </c>
      <c r="F74" s="0" t="inlineStr">
        <is>
          <t xml:space="preserve">-</t>
        </is>
      </c>
      <c r="G74" s="5">
        <v>21.927988120000006</v>
      </c>
      <c r="H74" s="0" t="inlineStr">
        <is>
          <t xml:space="preserve">mission_systems</t>
        </is>
      </c>
      <c r="I74" s="0" t="inlineStr">
        <is>
          <t xml:space="preserve">-</t>
        </is>
      </c>
      <c r="J74" s="0" t="inlineStr">
        <is>
          <t xml:space="preserve">registry</t>
        </is>
      </c>
      <c r="K74" s="5">
        <v>0</v>
      </c>
      <c r="L74" s="5">
        <v>0</v>
      </c>
      <c r="M74" s="5">
        <v>0.0</v>
      </c>
      <c r="N74" s="5">
        <v>0.0</v>
      </c>
      <c r="O74" s="5">
        <v>0.0</v>
      </c>
      <c r="P74" s="5">
        <v>0.0</v>
      </c>
      <c r="Q74" s="5">
        <v>0.0</v>
      </c>
    </row>
    <row r="75" outlineLevel="1">
      <c r="B75" s="0" t="inlineStr">
        <is>
          <t xml:space="preserve">HANWHA TECHWIN CO., LTD.</t>
        </is>
      </c>
      <c r="C75" s="0" t="inlineStr">
        <is>
          <t xml:space="preserve">YGXMYQKELLZ4</t>
        </is>
      </c>
      <c r="D75" s="0" t="inlineStr">
        <is>
          <t xml:space="preserve">Foreign</t>
        </is>
      </c>
      <c r="E75" s="0" t="inlineStr">
        <is>
          <t xml:space="preserve">-</t>
        </is>
      </c>
      <c r="F75" s="0" t="inlineStr">
        <is>
          <t xml:space="preserve">-</t>
        </is>
      </c>
      <c r="G75" s="5">
        <v>21.730304</v>
      </c>
      <c r="H75" s="0" t="inlineStr">
        <is>
          <t xml:space="preserve">foreign_fms</t>
        </is>
      </c>
      <c r="I75" s="0" t="inlineStr">
        <is>
          <t xml:space="preserve">-</t>
        </is>
      </c>
      <c r="J75" s="0" t="inlineStr">
        <is>
          <t xml:space="preserve">registry</t>
        </is>
      </c>
      <c r="K75" s="5">
        <v>0</v>
      </c>
      <c r="L75" s="5">
        <v>0</v>
      </c>
      <c r="M75" s="5">
        <v>0.0</v>
      </c>
      <c r="N75" s="5">
        <v>0.0</v>
      </c>
      <c r="O75" s="5">
        <v>0.0</v>
      </c>
      <c r="P75" s="5">
        <v>0.0</v>
      </c>
      <c r="Q75" s="5">
        <v>0.0</v>
      </c>
    </row>
    <row r="76" outlineLevel="1">
      <c r="B76" s="0" t="inlineStr">
        <is>
          <t xml:space="preserve">MARISCO, LTD.</t>
        </is>
      </c>
      <c r="C76" s="0" t="inlineStr">
        <is>
          <t xml:space="preserve">XYNDM1Y7XGG7</t>
        </is>
      </c>
      <c r="D76" s="0" t="inlineStr">
        <is>
          <t xml:space="preserve">USA</t>
        </is>
      </c>
      <c r="E76" s="0" t="inlineStr">
        <is>
          <t xml:space="preserve">3366</t>
        </is>
      </c>
      <c r="F76" s="0" t="inlineStr">
        <is>
          <t xml:space="preserve">Ship Building and Repairing</t>
        </is>
      </c>
      <c r="G76" s="5">
        <v>21.273948859999994</v>
      </c>
      <c r="H76" s="0" t="inlineStr">
        <is>
          <t xml:space="preserve">supplier</t>
        </is>
      </c>
      <c r="I76" s="0" t="inlineStr">
        <is>
          <t xml:space="preserve">machining</t>
        </is>
      </c>
      <c r="J76" s="0" t="inlineStr">
        <is>
          <t xml:space="preserve">registry</t>
        </is>
      </c>
      <c r="K76" s="5">
        <v>0</v>
      </c>
      <c r="L76" s="5">
        <v>0</v>
      </c>
      <c r="M76" s="5">
        <v>21.273948859999994</v>
      </c>
      <c r="N76" s="5">
        <v>0.042474</v>
      </c>
      <c r="O76" s="5">
        <v>2.27881</v>
      </c>
      <c r="P76" s="5">
        <v>2.7094353600000005</v>
      </c>
      <c r="Q76" s="5">
        <v>0.0</v>
      </c>
    </row>
    <row r="77" outlineLevel="1">
      <c r="B77" s="0" t="inlineStr">
        <is>
          <t xml:space="preserve">TELEDYNE TECHNOLOGIES INCORPORATED</t>
        </is>
      </c>
      <c r="C77" s="0" t="inlineStr">
        <is>
          <t xml:space="preserve">H9DTZCLEYHD5</t>
        </is>
      </c>
      <c r="D77" s="0" t="inlineStr">
        <is>
          <t xml:space="preserve">USA</t>
        </is>
      </c>
      <c r="E77" s="0" t="inlineStr">
        <is>
          <t xml:space="preserve">3344</t>
        </is>
      </c>
      <c r="F77" s="0" t="inlineStr">
        <is>
          <t xml:space="preserve">Other Electronic Component Manufacturing</t>
        </is>
      </c>
      <c r="G77" s="5">
        <v>21.037684300000002</v>
      </c>
      <c r="H77" s="0" t="inlineStr">
        <is>
          <t xml:space="preserve">mission_systems</t>
        </is>
      </c>
      <c r="I77" s="0" t="inlineStr">
        <is>
          <t xml:space="preserve">-</t>
        </is>
      </c>
      <c r="J77" s="0" t="inlineStr">
        <is>
          <t xml:space="preserve">registry</t>
        </is>
      </c>
      <c r="K77" s="5">
        <v>0</v>
      </c>
      <c r="L77" s="5">
        <v>0</v>
      </c>
      <c r="M77" s="5">
        <v>0.0</v>
      </c>
      <c r="N77" s="5">
        <v>0.0</v>
      </c>
      <c r="O77" s="5">
        <v>0.0</v>
      </c>
      <c r="P77" s="5">
        <v>0.0</v>
      </c>
      <c r="Q77" s="5">
        <v>0.0</v>
      </c>
    </row>
    <row r="78" outlineLevel="1">
      <c r="B78" s="0" t="inlineStr">
        <is>
          <t xml:space="preserve">ADVANCED INDUSTRIES, INC</t>
        </is>
      </c>
      <c r="C78" s="0" t="inlineStr">
        <is>
          <t xml:space="preserve">F4XLUSKN1KX1</t>
        </is>
      </c>
      <c r="D78" s="0" t="inlineStr">
        <is>
          <t xml:space="preserve">USA</t>
        </is>
      </c>
      <c r="E78" s="0" t="inlineStr">
        <is>
          <t xml:space="preserve">3324</t>
        </is>
      </c>
      <c r="F78" s="0" t="inlineStr">
        <is>
          <t xml:space="preserve">Other Metal Container Manufacturing</t>
        </is>
      </c>
      <c r="G78" s="5">
        <v>20.93920429</v>
      </c>
      <c r="H78" s="0" t="inlineStr">
        <is>
          <t xml:space="preserve">supplier</t>
        </is>
      </c>
      <c r="I78" s="0" t="inlineStr">
        <is>
          <t xml:space="preserve">structural</t>
        </is>
      </c>
      <c r="J78" s="0" t="inlineStr">
        <is>
          <t xml:space="preserve">registry</t>
        </is>
      </c>
      <c r="K78" s="5">
        <v>1</v>
      </c>
      <c r="L78" s="5">
        <v>0</v>
      </c>
      <c r="M78" s="5">
        <v>0.0</v>
      </c>
      <c r="N78" s="5">
        <v>0.0</v>
      </c>
      <c r="O78" s="5">
        <v>0.0</v>
      </c>
      <c r="P78" s="5">
        <v>0.0</v>
      </c>
      <c r="Q78" s="5">
        <v>0.0</v>
      </c>
    </row>
    <row r="79" outlineLevel="1">
      <c r="B79" s="0" t="inlineStr">
        <is>
          <t xml:space="preserve">RAMBUS INC.</t>
        </is>
      </c>
      <c r="C79" s="0" t="inlineStr">
        <is>
          <t xml:space="preserve">VN3RY9NGWD83</t>
        </is>
      </c>
      <c r="D79" s="0" t="inlineStr">
        <is>
          <t xml:space="preserve">USA</t>
        </is>
      </c>
      <c r="E79" s="0" t="inlineStr">
        <is>
          <t xml:space="preserve">3344</t>
        </is>
      </c>
      <c r="F79" s="0" t="inlineStr">
        <is>
          <t xml:space="preserve">Semiconductor and Related Device Manufacturing</t>
        </is>
      </c>
      <c r="G79" s="5">
        <v>20.92435335</v>
      </c>
      <c r="H79" s="0" t="inlineStr">
        <is>
          <t xml:space="preserve">mission_systems</t>
        </is>
      </c>
      <c r="I79" s="0" t="inlineStr">
        <is>
          <t xml:space="preserve">-</t>
        </is>
      </c>
      <c r="J79" s="0" t="inlineStr">
        <is>
          <t xml:space="preserve">registry</t>
        </is>
      </c>
      <c r="K79" s="5">
        <v>0</v>
      </c>
      <c r="L79" s="5">
        <v>0</v>
      </c>
      <c r="M79" s="5">
        <v>0.0</v>
      </c>
      <c r="N79" s="5">
        <v>0.0</v>
      </c>
      <c r="O79" s="5">
        <v>0.0</v>
      </c>
      <c r="P79" s="5">
        <v>0.0</v>
      </c>
      <c r="Q79" s="5">
        <v>0.0</v>
      </c>
    </row>
    <row r="80" outlineLevel="1">
      <c r="B80" s="0" t="inlineStr">
        <is>
          <t xml:space="preserve">SENER AEROESPACIAL SOCIEDAD ANONIMA.</t>
        </is>
      </c>
      <c r="C80" s="0" t="inlineStr">
        <is>
          <t xml:space="preserve">KQYHKJS57J76</t>
        </is>
      </c>
      <c r="D80" s="0" t="inlineStr">
        <is>
          <t xml:space="preserve">Foreign</t>
        </is>
      </c>
      <c r="E80" s="0" t="inlineStr">
        <is>
          <t xml:space="preserve">-</t>
        </is>
      </c>
      <c r="F80" s="0" t="inlineStr">
        <is>
          <t xml:space="preserve">-</t>
        </is>
      </c>
      <c r="G80" s="5">
        <v>20.619889629999996</v>
      </c>
      <c r="H80" s="0" t="inlineStr">
        <is>
          <t xml:space="preserve">foreign_fms</t>
        </is>
      </c>
      <c r="I80" s="0" t="inlineStr">
        <is>
          <t xml:space="preserve">-</t>
        </is>
      </c>
      <c r="J80" s="0" t="inlineStr">
        <is>
          <t xml:space="preserve">registry</t>
        </is>
      </c>
      <c r="K80" s="5">
        <v>0</v>
      </c>
      <c r="L80" s="5">
        <v>0</v>
      </c>
      <c r="M80" s="5">
        <v>0.0</v>
      </c>
      <c r="N80" s="5">
        <v>0.0</v>
      </c>
      <c r="O80" s="5">
        <v>0.0</v>
      </c>
      <c r="P80" s="5">
        <v>0.0</v>
      </c>
      <c r="Q80" s="5">
        <v>0.0</v>
      </c>
    </row>
    <row r="81" outlineLevel="1">
      <c r="B81" s="0" t="inlineStr">
        <is>
          <t xml:space="preserve">OPTIMA STANTRON CORP</t>
        </is>
      </c>
      <c r="C81" s="0" t="inlineStr">
        <is>
          <t xml:space="preserve">SWB8H4CX8JA1</t>
        </is>
      </c>
      <c r="D81" s="0" t="inlineStr">
        <is>
          <t xml:space="preserve">-</t>
        </is>
      </c>
      <c r="E81" s="0" t="inlineStr">
        <is>
          <t xml:space="preserve">-</t>
        </is>
      </c>
      <c r="F81" s="0" t="inlineStr">
        <is>
          <t xml:space="preserve">-</t>
        </is>
      </c>
      <c r="G81" s="5">
        <v>20.324903</v>
      </c>
      <c r="H81" s="0" t="inlineStr">
        <is>
          <t xml:space="preserve">supplier</t>
        </is>
      </c>
      <c r="I81" s="0" t="inlineStr">
        <is>
          <t xml:space="preserve">structural</t>
        </is>
      </c>
      <c r="J81" s="0" t="inlineStr">
        <is>
          <t xml:space="preserve">registry</t>
        </is>
      </c>
      <c r="K81" s="5">
        <v>0</v>
      </c>
      <c r="L81" s="5">
        <v>0</v>
      </c>
      <c r="M81" s="5">
        <v>0.0</v>
      </c>
      <c r="N81" s="5">
        <v>0.0</v>
      </c>
      <c r="O81" s="5">
        <v>0.0</v>
      </c>
      <c r="P81" s="5">
        <v>0.0</v>
      </c>
      <c r="Q81" s="5">
        <v>0.0</v>
      </c>
    </row>
    <row r="82" outlineLevel="1">
      <c r="B82" s="0" t="inlineStr">
        <is>
          <t xml:space="preserve">PARKER-HANNIFIN CORPORATION</t>
        </is>
      </c>
      <c r="C82" s="0" t="inlineStr">
        <is>
          <t xml:space="preserve">M6N8EM57NLL3</t>
        </is>
      </c>
      <c r="D82" s="0" t="inlineStr">
        <is>
          <t xml:space="preserve">USA</t>
        </is>
      </c>
      <c r="E82" s="0" t="inlineStr">
        <is>
          <t xml:space="preserve">5511</t>
        </is>
      </c>
      <c r="F82" s="0" t="inlineStr">
        <is>
          <t xml:space="preserve">Corporate, Subsidiary, and Regional Managing Offices</t>
        </is>
      </c>
      <c r="G82" s="5">
        <v>20.035989449999995</v>
      </c>
      <c r="H82" s="0" t="inlineStr">
        <is>
          <t xml:space="preserve">supplier</t>
        </is>
      </c>
      <c r="I82" s="0" t="inlineStr">
        <is>
          <t xml:space="preserve">piping</t>
        </is>
      </c>
      <c r="J82" s="0" t="inlineStr">
        <is>
          <t xml:space="preserve">registry</t>
        </is>
      </c>
      <c r="K82" s="5">
        <v>0</v>
      </c>
      <c r="L82" s="5">
        <v>0</v>
      </c>
      <c r="M82" s="5">
        <v>0.0</v>
      </c>
      <c r="N82" s="5">
        <v>0.0</v>
      </c>
      <c r="O82" s="5">
        <v>0.0</v>
      </c>
      <c r="P82" s="5">
        <v>0.0</v>
      </c>
      <c r="Q82" s="5">
        <v>0.0</v>
      </c>
    </row>
    <row r="83" outlineLevel="1">
      <c r="B83" s="0" t="inlineStr">
        <is>
          <t xml:space="preserve">BARNES GROUP INC.</t>
        </is>
      </c>
      <c r="C83" s="0" t="inlineStr">
        <is>
          <t xml:space="preserve">TFJMUN5RL718</t>
        </is>
      </c>
      <c r="D83" s="0" t="inlineStr">
        <is>
          <t xml:space="preserve">USA</t>
        </is>
      </c>
      <c r="E83" s="0" t="inlineStr">
        <is>
          <t xml:space="preserve">3364</t>
        </is>
      </c>
      <c r="F83" s="0" t="inlineStr">
        <is>
          <t xml:space="preserve">Aircraft Engine and Engine Parts Manufacturing</t>
        </is>
      </c>
      <c r="G83" s="5">
        <v>20.006135</v>
      </c>
      <c r="H83" s="0" t="inlineStr">
        <is>
          <t xml:space="preserve">supplier</t>
        </is>
      </c>
      <c r="I83" s="0" t="inlineStr">
        <is>
          <t xml:space="preserve">machining</t>
        </is>
      </c>
      <c r="J83" s="0" t="inlineStr">
        <is>
          <t xml:space="preserve">registry</t>
        </is>
      </c>
      <c r="K83" s="5">
        <v>0</v>
      </c>
      <c r="L83" s="5">
        <v>0</v>
      </c>
      <c r="M83" s="5">
        <v>0.0</v>
      </c>
      <c r="N83" s="5">
        <v>0.0</v>
      </c>
      <c r="O83" s="5">
        <v>0.0</v>
      </c>
      <c r="P83" s="5">
        <v>0.0</v>
      </c>
      <c r="Q83" s="5">
        <v>0.0</v>
      </c>
    </row>
    <row r="84" outlineLevel="1">
      <c r="B84" s="0" t="inlineStr">
        <is>
          <t xml:space="preserve">GENERAL MICRO SYSTEMS, INC</t>
        </is>
      </c>
      <c r="C84" s="0" t="inlineStr">
        <is>
          <t xml:space="preserve">LJCSMLKU1MR5</t>
        </is>
      </c>
      <c r="D84" s="0" t="inlineStr">
        <is>
          <t xml:space="preserve">USA</t>
        </is>
      </c>
      <c r="E84" s="0" t="inlineStr">
        <is>
          <t xml:space="preserve">3341</t>
        </is>
      </c>
      <c r="F84" s="0" t="inlineStr">
        <is>
          <t xml:space="preserve">Electronic Computer Manufacturing</t>
        </is>
      </c>
      <c r="G84" s="5">
        <v>19.72691464</v>
      </c>
      <c r="H84" s="0" t="inlineStr">
        <is>
          <t xml:space="preserve">mission_systems</t>
        </is>
      </c>
      <c r="I84" s="0" t="inlineStr">
        <is>
          <t xml:space="preserve">-</t>
        </is>
      </c>
      <c r="J84" s="0" t="inlineStr">
        <is>
          <t xml:space="preserve">registry</t>
        </is>
      </c>
      <c r="K84" s="5">
        <v>0</v>
      </c>
      <c r="L84" s="5">
        <v>0</v>
      </c>
      <c r="M84" s="5">
        <v>0.0</v>
      </c>
      <c r="N84" s="5">
        <v>0.0</v>
      </c>
      <c r="O84" s="5">
        <v>0.0</v>
      </c>
      <c r="P84" s="5">
        <v>0.0</v>
      </c>
      <c r="Q84" s="5">
        <v>0.0</v>
      </c>
    </row>
    <row r="85" outlineLevel="1">
      <c r="B85" s="0" t="inlineStr">
        <is>
          <t xml:space="preserve">ADVANCED INDUSTRIES, INC.</t>
        </is>
      </c>
      <c r="C85" s="0" t="inlineStr">
        <is>
          <t xml:space="preserve">F4XLUSKN1KX1</t>
        </is>
      </c>
      <c r="D85" s="0" t="inlineStr">
        <is>
          <t xml:space="preserve">USA</t>
        </is>
      </c>
      <c r="E85" s="0" t="inlineStr">
        <is>
          <t xml:space="preserve">3324</t>
        </is>
      </c>
      <c r="F85" s="0" t="inlineStr">
        <is>
          <t xml:space="preserve">Other Metal Container Manufacturing</t>
        </is>
      </c>
      <c r="G85" s="5">
        <v>19.722603449999998</v>
      </c>
      <c r="H85" s="0" t="inlineStr">
        <is>
          <t xml:space="preserve">supplier</t>
        </is>
      </c>
      <c r="I85" s="0" t="inlineStr">
        <is>
          <t xml:space="preserve">structural</t>
        </is>
      </c>
      <c r="J85" s="0" t="inlineStr">
        <is>
          <t xml:space="preserve">registry</t>
        </is>
      </c>
      <c r="K85" s="5">
        <v>1</v>
      </c>
      <c r="L85" s="5">
        <v>0</v>
      </c>
      <c r="M85" s="5">
        <v>0.0</v>
      </c>
      <c r="N85" s="5">
        <v>0.0</v>
      </c>
      <c r="O85" s="5">
        <v>0.0</v>
      </c>
      <c r="P85" s="5">
        <v>0.0</v>
      </c>
      <c r="Q85" s="5">
        <v>0.0</v>
      </c>
    </row>
    <row r="86" outlineLevel="1">
      <c r="B86" s="0" t="inlineStr">
        <is>
          <t xml:space="preserve">L-3 COMMUNICATIONS HOLDINGS, INC.</t>
        </is>
      </c>
      <c r="C86" s="0" t="inlineStr">
        <is>
          <t xml:space="preserve">HLVNZXU8EAM1</t>
        </is>
      </c>
      <c r="D86" s="0" t="inlineStr">
        <is>
          <t xml:space="preserve">-</t>
        </is>
      </c>
      <c r="E86" s="0" t="inlineStr">
        <is>
          <t xml:space="preserve">-</t>
        </is>
      </c>
      <c r="F86" s="0" t="inlineStr">
        <is>
          <t xml:space="preserve">-</t>
        </is>
      </c>
      <c r="G86" s="5">
        <v>19.715665660000003</v>
      </c>
      <c r="H86" s="0" t="inlineStr">
        <is>
          <t xml:space="preserve">mission_systems</t>
        </is>
      </c>
      <c r="I86" s="0" t="inlineStr">
        <is>
          <t xml:space="preserve">-</t>
        </is>
      </c>
      <c r="J86" s="0" t="inlineStr">
        <is>
          <t xml:space="preserve">registry</t>
        </is>
      </c>
      <c r="K86" s="5">
        <v>0</v>
      </c>
      <c r="L86" s="5">
        <v>0</v>
      </c>
      <c r="M86" s="5">
        <v>19.715665660000003</v>
      </c>
      <c r="N86" s="5">
        <v>0.0</v>
      </c>
      <c r="O86" s="5">
        <v>0.0</v>
      </c>
      <c r="P86" s="5">
        <v>0.0</v>
      </c>
      <c r="Q86" s="5">
        <v>0.0</v>
      </c>
    </row>
    <row r="87" outlineLevel="1">
      <c r="B87" s="0" t="inlineStr">
        <is>
          <t xml:space="preserve">HOWDEN NORTH AMERICA INC</t>
        </is>
      </c>
      <c r="C87" s="0" t="inlineStr">
        <is>
          <t xml:space="preserve">JW6PXX1WALN4</t>
        </is>
      </c>
      <c r="D87" s="0" t="inlineStr">
        <is>
          <t xml:space="preserve">-</t>
        </is>
      </c>
      <c r="E87" s="0" t="inlineStr">
        <is>
          <t xml:space="preserve">-</t>
        </is>
      </c>
      <c r="F87" s="0" t="inlineStr">
        <is>
          <t xml:space="preserve">-</t>
        </is>
      </c>
      <c r="G87" s="5">
        <v>19.209473900000003</v>
      </c>
      <c r="H87" s="0" t="inlineStr">
        <is>
          <t xml:space="preserve">supplier</t>
        </is>
      </c>
      <c r="I87" s="0" t="inlineStr">
        <is>
          <t xml:space="preserve">hvac</t>
        </is>
      </c>
      <c r="J87" s="0" t="inlineStr">
        <is>
          <t xml:space="preserve">registry</t>
        </is>
      </c>
      <c r="K87" s="5">
        <v>0</v>
      </c>
      <c r="L87" s="5">
        <v>0</v>
      </c>
      <c r="M87" s="5">
        <v>19.209473900000003</v>
      </c>
      <c r="N87" s="5">
        <v>0.0</v>
      </c>
      <c r="O87" s="5">
        <v>0.370041</v>
      </c>
      <c r="P87" s="5">
        <v>15.396279289999997</v>
      </c>
      <c r="Q87" s="5">
        <v>3.44315361</v>
      </c>
    </row>
    <row r="88" outlineLevel="1">
      <c r="B88" s="0" t="inlineStr">
        <is>
          <t xml:space="preserve">HONEYWELL INTERNATIONAL INC</t>
        </is>
      </c>
      <c r="C88" s="0" t="inlineStr">
        <is>
          <t xml:space="preserve">LXR8CJQ8J9J7</t>
        </is>
      </c>
      <c r="D88" s="0" t="inlineStr">
        <is>
          <t xml:space="preserve">-</t>
        </is>
      </c>
      <c r="E88" s="0" t="inlineStr">
        <is>
          <t xml:space="preserve">-</t>
        </is>
      </c>
      <c r="F88" s="0" t="inlineStr">
        <is>
          <t xml:space="preserve">-</t>
        </is>
      </c>
      <c r="G88" s="5">
        <v>19.123859999999997</v>
      </c>
      <c r="H88" s="0" t="inlineStr">
        <is>
          <t xml:space="preserve">supplier</t>
        </is>
      </c>
      <c r="I88" s="0" t="inlineStr">
        <is>
          <t xml:space="preserve">unbucketed</t>
        </is>
      </c>
      <c r="J88" s="0" t="inlineStr">
        <is>
          <t xml:space="preserve">residual</t>
        </is>
      </c>
      <c r="K88" s="5">
        <v>0</v>
      </c>
      <c r="L88" s="5">
        <v>0</v>
      </c>
      <c r="M88" s="5">
        <v>0.0</v>
      </c>
      <c r="N88" s="5">
        <v>0.0</v>
      </c>
      <c r="O88" s="5">
        <v>0.0</v>
      </c>
      <c r="P88" s="5">
        <v>0.0</v>
      </c>
      <c r="Q88" s="5">
        <v>0.0</v>
      </c>
    </row>
    <row r="89" outlineLevel="1">
      <c r="B89" s="0" t="inlineStr">
        <is>
          <t xml:space="preserve">WARTSILA DEFENSE, INC.</t>
        </is>
      </c>
      <c r="C89" s="0" t="inlineStr">
        <is>
          <t xml:space="preserve">JA2KCX21NL48</t>
        </is>
      </c>
      <c r="D89" s="0" t="inlineStr">
        <is>
          <t xml:space="preserve">-</t>
        </is>
      </c>
      <c r="E89" s="0" t="inlineStr">
        <is>
          <t xml:space="preserve">-</t>
        </is>
      </c>
      <c r="F89" s="0" t="inlineStr">
        <is>
          <t xml:space="preserve">-</t>
        </is>
      </c>
      <c r="G89" s="5">
        <v>18.38868764</v>
      </c>
      <c r="H89" s="0" t="inlineStr">
        <is>
          <t xml:space="preserve">supplier</t>
        </is>
      </c>
      <c r="I89" s="0" t="inlineStr">
        <is>
          <t xml:space="preserve">machining</t>
        </is>
      </c>
      <c r="J89" s="0" t="inlineStr">
        <is>
          <t xml:space="preserve">registry</t>
        </is>
      </c>
      <c r="K89" s="5">
        <v>0</v>
      </c>
      <c r="L89" s="5">
        <v>0</v>
      </c>
      <c r="M89" s="5">
        <v>17.625678640000004</v>
      </c>
      <c r="N89" s="5">
        <v>0.042732</v>
      </c>
      <c r="O89" s="5">
        <v>0.0</v>
      </c>
      <c r="P89" s="5">
        <v>0.0</v>
      </c>
      <c r="Q89" s="5">
        <v>0.0</v>
      </c>
    </row>
    <row r="90" outlineLevel="1">
      <c r="B90" s="0" t="inlineStr">
        <is>
          <t xml:space="preserve">THE HILLER COMPANIES, LLC</t>
        </is>
      </c>
      <c r="C90" s="0" t="inlineStr">
        <is>
          <t xml:space="preserve">SSD8KRDXKG46</t>
        </is>
      </c>
      <c r="D90" s="0" t="inlineStr">
        <is>
          <t xml:space="preserve">USA</t>
        </is>
      </c>
      <c r="E90" s="0" t="inlineStr">
        <is>
          <t xml:space="preserve">2382</t>
        </is>
      </c>
      <c r="F90" s="0" t="inlineStr">
        <is>
          <t xml:space="preserve">Electrical Contractors and Other Wiring Installation Contractors</t>
        </is>
      </c>
      <c r="G90" s="5">
        <v>18.129290750000003</v>
      </c>
      <c r="H90" s="0" t="inlineStr">
        <is>
          <t xml:space="preserve">supplier</t>
        </is>
      </c>
      <c r="I90" s="0" t="inlineStr">
        <is>
          <t xml:space="preserve">piping</t>
        </is>
      </c>
      <c r="J90" s="0" t="inlineStr">
        <is>
          <t xml:space="preserve">registry</t>
        </is>
      </c>
      <c r="K90" s="5">
        <v>0</v>
      </c>
      <c r="L90" s="5">
        <v>0</v>
      </c>
      <c r="M90" s="5">
        <v>18.129290750000003</v>
      </c>
      <c r="N90" s="5">
        <v>0.03937</v>
      </c>
      <c r="O90" s="5">
        <v>0.0364839</v>
      </c>
      <c r="P90" s="5">
        <v>3.0665222200000004</v>
      </c>
      <c r="Q90" s="5">
        <v>14.986914630000003</v>
      </c>
    </row>
    <row r="91" outlineLevel="1">
      <c r="B91" s="0" t="inlineStr">
        <is>
          <t xml:space="preserve">RICHLIND METAL FABRICATORS, INC.</t>
        </is>
      </c>
      <c r="C91" s="0" t="inlineStr">
        <is>
          <t xml:space="preserve">MS9XWCRV8XD8</t>
        </is>
      </c>
      <c r="D91" s="0" t="inlineStr">
        <is>
          <t xml:space="preserve">USA</t>
        </is>
      </c>
      <c r="E91" s="0" t="inlineStr">
        <is>
          <t xml:space="preserve">3329</t>
        </is>
      </c>
      <c r="F91" s="0" t="inlineStr">
        <is>
          <t xml:space="preserve">All Other Miscellaneous Fabricated Metal Product Manufacturing</t>
        </is>
      </c>
      <c r="G91" s="5">
        <v>17.91732268</v>
      </c>
      <c r="H91" s="0" t="inlineStr">
        <is>
          <t xml:space="preserve">supplier</t>
        </is>
      </c>
      <c r="I91" s="0" t="inlineStr">
        <is>
          <t xml:space="preserve">structural</t>
        </is>
      </c>
      <c r="J91" s="0" t="inlineStr">
        <is>
          <t xml:space="preserve">registry</t>
        </is>
      </c>
      <c r="K91" s="5">
        <v>0</v>
      </c>
      <c r="L91" s="5">
        <v>0</v>
      </c>
      <c r="M91" s="5">
        <v>0.0</v>
      </c>
      <c r="N91" s="5">
        <v>0.0</v>
      </c>
      <c r="O91" s="5">
        <v>0.0</v>
      </c>
      <c r="P91" s="5">
        <v>0.0</v>
      </c>
      <c r="Q91" s="5">
        <v>0.0</v>
      </c>
    </row>
    <row r="92" outlineLevel="1">
      <c r="B92" s="0" t="inlineStr">
        <is>
          <t xml:space="preserve">BAE SYSTEMS PLC</t>
        </is>
      </c>
      <c r="C92" s="0" t="inlineStr">
        <is>
          <t xml:space="preserve">U23DM4ULNLS3</t>
        </is>
      </c>
      <c r="D92" s="0" t="inlineStr">
        <is>
          <t xml:space="preserve">-</t>
        </is>
      </c>
      <c r="E92" s="0" t="inlineStr">
        <is>
          <t xml:space="preserve">-</t>
        </is>
      </c>
      <c r="F92" s="0" t="inlineStr">
        <is>
          <t xml:space="preserve">-</t>
        </is>
      </c>
      <c r="G92" s="5">
        <v>17.715089</v>
      </c>
      <c r="H92" s="0" t="inlineStr">
        <is>
          <t xml:space="preserve">supplier</t>
        </is>
      </c>
      <c r="I92" s="0" t="inlineStr">
        <is>
          <t xml:space="preserve">structural</t>
        </is>
      </c>
      <c r="J92" s="0" t="inlineStr">
        <is>
          <t xml:space="preserve">registry</t>
        </is>
      </c>
      <c r="K92" s="5">
        <v>0</v>
      </c>
      <c r="L92" s="5">
        <v>0</v>
      </c>
      <c r="M92" s="5">
        <v>17.715089</v>
      </c>
      <c r="N92" s="5">
        <v>0.0</v>
      </c>
      <c r="O92" s="5">
        <v>0.0</v>
      </c>
      <c r="P92" s="5">
        <v>0.0</v>
      </c>
      <c r="Q92" s="5">
        <v>8.265089</v>
      </c>
    </row>
    <row r="93" outlineLevel="1">
      <c r="B93" s="0" t="inlineStr">
        <is>
          <t xml:space="preserve">TOTAL SA</t>
        </is>
      </c>
      <c r="C93" s="0" t="inlineStr">
        <is>
          <t xml:space="preserve">JFL5DCTK7M95</t>
        </is>
      </c>
      <c r="D93" s="0" t="inlineStr">
        <is>
          <t xml:space="preserve">FRA</t>
        </is>
      </c>
      <c r="E93" s="0" t="inlineStr">
        <is>
          <t xml:space="preserve">4247</t>
        </is>
      </c>
      <c r="F93" s="0" t="inlineStr">
        <is>
          <t xml:space="preserve">Petroleum Bulk Stations and Terminals</t>
        </is>
      </c>
      <c r="G93" s="5">
        <v>17.594350069999997</v>
      </c>
      <c r="H93" s="0" t="inlineStr">
        <is>
          <t xml:space="preserve">service</t>
        </is>
      </c>
      <c r="I93" s="0" t="inlineStr">
        <is>
          <t xml:space="preserve">-</t>
        </is>
      </c>
      <c r="J93" s="0" t="inlineStr">
        <is>
          <t xml:space="preserve">service NAICS</t>
        </is>
      </c>
      <c r="K93" s="5">
        <v>0</v>
      </c>
      <c r="L93" s="5">
        <v>0</v>
      </c>
      <c r="M93" s="5">
        <v>0.0</v>
      </c>
      <c r="N93" s="5">
        <v>0.0</v>
      </c>
      <c r="O93" s="5">
        <v>0.0</v>
      </c>
      <c r="P93" s="5">
        <v>0.0</v>
      </c>
      <c r="Q93" s="5">
        <v>0.0</v>
      </c>
    </row>
    <row r="94" outlineLevel="1">
      <c r="B94" s="0" t="inlineStr">
        <is>
          <t xml:space="preserve">SANMINA-SCI CORPORATION</t>
        </is>
      </c>
      <c r="C94" s="0" t="inlineStr">
        <is>
          <t xml:space="preserve">M5HBU5ZXNN81</t>
        </is>
      </c>
      <c r="D94" s="0" t="inlineStr">
        <is>
          <t xml:space="preserve">-</t>
        </is>
      </c>
      <c r="E94" s="0" t="inlineStr">
        <is>
          <t xml:space="preserve">-</t>
        </is>
      </c>
      <c r="F94" s="0" t="inlineStr">
        <is>
          <t xml:space="preserve">-</t>
        </is>
      </c>
      <c r="G94" s="5">
        <v>17.261919</v>
      </c>
      <c r="H94" s="0" t="inlineStr">
        <is>
          <t xml:space="preserve">supplier</t>
        </is>
      </c>
      <c r="I94" s="0" t="inlineStr">
        <is>
          <t xml:space="preserve">unbucketed</t>
        </is>
      </c>
      <c r="J94" s="0" t="inlineStr">
        <is>
          <t xml:space="preserve">residual</t>
        </is>
      </c>
      <c r="K94" s="5">
        <v>0</v>
      </c>
      <c r="L94" s="5">
        <v>0</v>
      </c>
      <c r="M94" s="5">
        <v>0.0</v>
      </c>
      <c r="N94" s="5">
        <v>0.0</v>
      </c>
      <c r="O94" s="5">
        <v>0.0</v>
      </c>
      <c r="P94" s="5">
        <v>0.0</v>
      </c>
      <c r="Q94" s="5">
        <v>0.0</v>
      </c>
    </row>
    <row r="95" outlineLevel="1">
      <c r="B95" s="0" t="inlineStr">
        <is>
          <t xml:space="preserve">TAYLOR DEVICES, INC.</t>
        </is>
      </c>
      <c r="C95" s="0" t="inlineStr">
        <is>
          <t xml:space="preserve">MXTJBDD1L4T4</t>
        </is>
      </c>
      <c r="D95" s="0" t="inlineStr">
        <is>
          <t xml:space="preserve">USA</t>
        </is>
      </c>
      <c r="E95" s="0" t="inlineStr">
        <is>
          <t xml:space="preserve">3339</t>
        </is>
      </c>
      <c r="F95" s="0" t="inlineStr">
        <is>
          <t xml:space="preserve">Fluid Power Cylinder and Actuator Manufacturing</t>
        </is>
      </c>
      <c r="G95" s="5">
        <v>16.90159092</v>
      </c>
      <c r="H95" s="0" t="inlineStr">
        <is>
          <t xml:space="preserve">supplier</t>
        </is>
      </c>
      <c r="I95" s="0" t="inlineStr">
        <is>
          <t xml:space="preserve">piping</t>
        </is>
      </c>
      <c r="J95" s="0" t="inlineStr">
        <is>
          <t xml:space="preserve">registry</t>
        </is>
      </c>
      <c r="K95" s="5">
        <v>0</v>
      </c>
      <c r="L95" s="5">
        <v>0</v>
      </c>
      <c r="M95" s="5">
        <v>0.0</v>
      </c>
      <c r="N95" s="5">
        <v>0.0</v>
      </c>
      <c r="O95" s="5">
        <v>0.0</v>
      </c>
      <c r="P95" s="5">
        <v>0.0</v>
      </c>
      <c r="Q95" s="5">
        <v>0.0</v>
      </c>
    </row>
    <row r="96" outlineLevel="1">
      <c r="B96" s="0" t="inlineStr">
        <is>
          <t xml:space="preserve">L3HARRIS TECHNOLOGIES, INC.</t>
        </is>
      </c>
      <c r="C96" s="0" t="inlineStr">
        <is>
          <t xml:space="preserve">ZW3UMG9YVNA9</t>
        </is>
      </c>
      <c r="D96" s="0" t="inlineStr">
        <is>
          <t xml:space="preserve">USA</t>
        </is>
      </c>
      <c r="E96" s="0" t="inlineStr">
        <is>
          <t xml:space="preserve">3353</t>
        </is>
      </c>
      <c r="F96" s="0" t="inlineStr">
        <is>
          <t xml:space="preserve">Switchgear and Switchboard Apparatus Manufacturing</t>
        </is>
      </c>
      <c r="G96" s="5">
        <v>16.611248400000004</v>
      </c>
      <c r="H96" s="0" t="inlineStr">
        <is>
          <t xml:space="preserve">supplier</t>
        </is>
      </c>
      <c r="I96" s="0" t="inlineStr">
        <is>
          <t xml:space="preserve">electrical</t>
        </is>
      </c>
      <c r="J96" s="0" t="inlineStr">
        <is>
          <t xml:space="preserve">registry</t>
        </is>
      </c>
      <c r="K96" s="5">
        <v>0</v>
      </c>
      <c r="L96" s="5">
        <v>0</v>
      </c>
      <c r="M96" s="5">
        <v>16.611248400000004</v>
      </c>
      <c r="N96" s="5">
        <v>1.529412</v>
      </c>
      <c r="O96" s="5">
        <v>0.246014</v>
      </c>
      <c r="P96" s="5">
        <v>0.0</v>
      </c>
      <c r="Q96" s="5">
        <v>0.0</v>
      </c>
    </row>
    <row r="97" outlineLevel="1">
      <c r="B97" s="0" t="inlineStr">
        <is>
          <t xml:space="preserve">FUTURAMIC TOOL &amp; ENGINEERING CO</t>
        </is>
      </c>
      <c r="C97" s="0" t="inlineStr">
        <is>
          <t xml:space="preserve">L2WVLS5L4WS3</t>
        </is>
      </c>
      <c r="D97" s="0" t="inlineStr">
        <is>
          <t xml:space="preserve">USA</t>
        </is>
      </c>
      <c r="E97" s="0" t="inlineStr">
        <is>
          <t xml:space="preserve">3327</t>
        </is>
      </c>
      <c r="F97" s="0" t="inlineStr">
        <is>
          <t xml:space="preserve">Machine Shops</t>
        </is>
      </c>
      <c r="G97" s="5">
        <v>16.572653529999997</v>
      </c>
      <c r="H97" s="0" t="inlineStr">
        <is>
          <t xml:space="preserve">supplier</t>
        </is>
      </c>
      <c r="I97" s="0" t="inlineStr">
        <is>
          <t xml:space="preserve">machining</t>
        </is>
      </c>
      <c r="J97" s="0" t="inlineStr">
        <is>
          <t xml:space="preserve">registry</t>
        </is>
      </c>
      <c r="K97" s="5">
        <v>0</v>
      </c>
      <c r="L97" s="5">
        <v>0</v>
      </c>
      <c r="M97" s="5">
        <v>0.0</v>
      </c>
      <c r="N97" s="5">
        <v>0.0</v>
      </c>
      <c r="O97" s="5">
        <v>0.0</v>
      </c>
      <c r="P97" s="5">
        <v>0.0</v>
      </c>
      <c r="Q97" s="5">
        <v>0.0</v>
      </c>
    </row>
    <row r="98" outlineLevel="1">
      <c r="B98" s="0" t="inlineStr">
        <is>
          <t xml:space="preserve">WARD LEONARD CT LLC</t>
        </is>
      </c>
      <c r="C98" s="0" t="inlineStr">
        <is>
          <t xml:space="preserve">MKXMUFJJYLY5</t>
        </is>
      </c>
      <c r="D98" s="0" t="inlineStr">
        <is>
          <t xml:space="preserve">USA</t>
        </is>
      </c>
      <c r="E98" s="0" t="inlineStr">
        <is>
          <t xml:space="preserve">3353</t>
        </is>
      </c>
      <c r="F98" s="0" t="inlineStr">
        <is>
          <t xml:space="preserve">Motor and Generator Manufacturing</t>
        </is>
      </c>
      <c r="G98" s="5">
        <v>16.230208259999994</v>
      </c>
      <c r="H98" s="0" t="inlineStr">
        <is>
          <t xml:space="preserve">supplier</t>
        </is>
      </c>
      <c r="I98" s="0" t="inlineStr">
        <is>
          <t xml:space="preserve">electrical</t>
        </is>
      </c>
      <c r="J98" s="0" t="inlineStr">
        <is>
          <t xml:space="preserve">registry</t>
        </is>
      </c>
      <c r="K98" s="5">
        <v>0</v>
      </c>
      <c r="L98" s="5">
        <v>0</v>
      </c>
      <c r="M98" s="5">
        <v>16.125684259999996</v>
      </c>
      <c r="N98" s="5">
        <v>3.328222</v>
      </c>
      <c r="O98" s="5">
        <v>0.0</v>
      </c>
      <c r="P98" s="5">
        <v>11.718199259999997</v>
      </c>
      <c r="Q98" s="5">
        <v>1.079263</v>
      </c>
    </row>
    <row r="99" outlineLevel="1">
      <c r="B99" s="0" t="inlineStr">
        <is>
          <t xml:space="preserve">ROLLS-ROYCE HOLDINGS PLC</t>
        </is>
      </c>
      <c r="C99" s="0" t="inlineStr">
        <is>
          <t xml:space="preserve">HYGLK2BNFKB3</t>
        </is>
      </c>
      <c r="D99" s="0" t="inlineStr">
        <is>
          <t xml:space="preserve">-</t>
        </is>
      </c>
      <c r="E99" s="0" t="inlineStr">
        <is>
          <t xml:space="preserve">-</t>
        </is>
      </c>
      <c r="F99" s="0" t="inlineStr">
        <is>
          <t xml:space="preserve">-</t>
        </is>
      </c>
      <c r="G99" s="5">
        <v>15.817611470000003</v>
      </c>
      <c r="H99" s="0" t="inlineStr">
        <is>
          <t xml:space="preserve">supplier</t>
        </is>
      </c>
      <c r="I99" s="0" t="inlineStr">
        <is>
          <t xml:space="preserve">machining</t>
        </is>
      </c>
      <c r="J99" s="0" t="inlineStr">
        <is>
          <t xml:space="preserve">vendor-override</t>
        </is>
      </c>
      <c r="K99" s="5">
        <v>0</v>
      </c>
      <c r="L99" s="5">
        <v>0</v>
      </c>
      <c r="M99" s="5">
        <v>15.817611470000003</v>
      </c>
      <c r="N99" s="5">
        <v>0.0</v>
      </c>
      <c r="O99" s="5">
        <v>0.0</v>
      </c>
      <c r="P99" s="5">
        <v>0.0</v>
      </c>
      <c r="Q99" s="5">
        <v>0.0</v>
      </c>
    </row>
    <row r="100" outlineLevel="1">
      <c r="B100" s="0" t="inlineStr">
        <is>
          <t xml:space="preserve">ULTRA ELECTRONICS HOLDINGS PLC</t>
        </is>
      </c>
      <c r="C100" s="0" t="inlineStr">
        <is>
          <t xml:space="preserve">F42BKS7EHCL8</t>
        </is>
      </c>
      <c r="D100" s="0" t="inlineStr">
        <is>
          <t xml:space="preserve">-</t>
        </is>
      </c>
      <c r="E100" s="0" t="inlineStr">
        <is>
          <t xml:space="preserve">-</t>
        </is>
      </c>
      <c r="F100" s="0" t="inlineStr">
        <is>
          <t xml:space="preserve">-</t>
        </is>
      </c>
      <c r="G100" s="5">
        <v>15.81356441</v>
      </c>
      <c r="H100" s="0" t="inlineStr">
        <is>
          <t xml:space="preserve">mission_systems</t>
        </is>
      </c>
      <c r="I100" s="0" t="inlineStr">
        <is>
          <t xml:space="preserve">-</t>
        </is>
      </c>
      <c r="J100" s="0" t="inlineStr">
        <is>
          <t xml:space="preserve">registry</t>
        </is>
      </c>
      <c r="K100" s="5">
        <v>0</v>
      </c>
      <c r="L100" s="5">
        <v>0</v>
      </c>
      <c r="M100" s="5">
        <v>15.81356441</v>
      </c>
      <c r="N100" s="5">
        <v>0.0</v>
      </c>
      <c r="O100" s="5">
        <v>0.0</v>
      </c>
      <c r="P100" s="5">
        <v>0.0</v>
      </c>
      <c r="Q100" s="5">
        <v>6.405688</v>
      </c>
    </row>
    <row r="101" outlineLevel="1">
      <c r="B101" s="0" t="inlineStr">
        <is>
          <t xml:space="preserve">DUCOMMUN LABARGE TECHNOLOGIES, INC.</t>
        </is>
      </c>
      <c r="C101" s="0" t="inlineStr">
        <is>
          <t xml:space="preserve">CJ1ZQVEWNVY3</t>
        </is>
      </c>
      <c r="D101" s="0" t="inlineStr">
        <is>
          <t xml:space="preserve">-</t>
        </is>
      </c>
      <c r="E101" s="0" t="inlineStr">
        <is>
          <t xml:space="preserve">-</t>
        </is>
      </c>
      <c r="F101" s="0" t="inlineStr">
        <is>
          <t xml:space="preserve">-</t>
        </is>
      </c>
      <c r="G101" s="5">
        <v>15.721551529999997</v>
      </c>
      <c r="H101" s="0" t="inlineStr">
        <is>
          <t xml:space="preserve">mission_systems</t>
        </is>
      </c>
      <c r="I101" s="0" t="inlineStr">
        <is>
          <t xml:space="preserve">-</t>
        </is>
      </c>
      <c r="J101" s="0" t="inlineStr">
        <is>
          <t xml:space="preserve">registry</t>
        </is>
      </c>
      <c r="K101" s="5">
        <v>0</v>
      </c>
      <c r="L101" s="5">
        <v>0</v>
      </c>
      <c r="M101" s="5">
        <v>0.0</v>
      </c>
      <c r="N101" s="5">
        <v>0.0</v>
      </c>
      <c r="O101" s="5">
        <v>0.0</v>
      </c>
      <c r="P101" s="5">
        <v>0.0</v>
      </c>
      <c r="Q101" s="5">
        <v>0.0</v>
      </c>
    </row>
    <row r="102" outlineLevel="1">
      <c r="B102" s="0" t="inlineStr">
        <is>
          <t xml:space="preserve">DYNALEC CORPORATION</t>
        </is>
      </c>
      <c r="C102" s="0" t="inlineStr">
        <is>
          <t xml:space="preserve">SKKACASET588</t>
        </is>
      </c>
      <c r="D102" s="0" t="inlineStr">
        <is>
          <t xml:space="preserve">-</t>
        </is>
      </c>
      <c r="E102" s="0" t="inlineStr">
        <is>
          <t xml:space="preserve">-</t>
        </is>
      </c>
      <c r="F102" s="0" t="inlineStr">
        <is>
          <t xml:space="preserve">-</t>
        </is>
      </c>
      <c r="G102" s="5">
        <v>15.473875679999995</v>
      </c>
      <c r="H102" s="0" t="inlineStr">
        <is>
          <t xml:space="preserve">supplier</t>
        </is>
      </c>
      <c r="I102" s="0" t="inlineStr">
        <is>
          <t xml:space="preserve">electrical</t>
        </is>
      </c>
      <c r="J102" s="0" t="inlineStr">
        <is>
          <t xml:space="preserve">registry</t>
        </is>
      </c>
      <c r="K102" s="5">
        <v>0</v>
      </c>
      <c r="L102" s="5">
        <v>0</v>
      </c>
      <c r="M102" s="5">
        <v>13.720746579999998</v>
      </c>
      <c r="N102" s="5">
        <v>1.0743822</v>
      </c>
      <c r="O102" s="5">
        <v>1.9417047500000002</v>
      </c>
      <c r="P102" s="5">
        <v>1.9952998000000002</v>
      </c>
      <c r="Q102" s="5">
        <v>4.1042995699999985</v>
      </c>
    </row>
    <row r="103" outlineLevel="1">
      <c r="B103" s="0" t="inlineStr">
        <is>
          <t xml:space="preserve">DOVER PUMPS &amp; PROCESS SOLUTIONS SEGMENT INC</t>
        </is>
      </c>
      <c r="C103" s="0" t="inlineStr">
        <is>
          <t xml:space="preserve">FCK2D4PSV1L2</t>
        </is>
      </c>
      <c r="D103" s="0" t="inlineStr">
        <is>
          <t xml:space="preserve">USA</t>
        </is>
      </c>
      <c r="E103" s="0" t="inlineStr">
        <is>
          <t xml:space="preserve">3339</t>
        </is>
      </c>
      <c r="F103" s="0" t="inlineStr">
        <is>
          <t xml:space="preserve">Measuring, Dispensing, and Other Pumping Equipment Manufacturing</t>
        </is>
      </c>
      <c r="G103" s="5">
        <v>15.41452550000001</v>
      </c>
      <c r="H103" s="0" t="inlineStr">
        <is>
          <t xml:space="preserve">supplier</t>
        </is>
      </c>
      <c r="I103" s="0" t="inlineStr">
        <is>
          <t xml:space="preserve">piping</t>
        </is>
      </c>
      <c r="J103" s="0" t="inlineStr">
        <is>
          <t xml:space="preserve">registry</t>
        </is>
      </c>
      <c r="K103" s="5">
        <v>0</v>
      </c>
      <c r="L103" s="5">
        <v>0</v>
      </c>
      <c r="M103" s="5">
        <v>15.41452550000001</v>
      </c>
      <c r="N103" s="5">
        <v>0.0</v>
      </c>
      <c r="O103" s="5">
        <v>0.0</v>
      </c>
      <c r="P103" s="5">
        <v>15.03772423000001</v>
      </c>
      <c r="Q103" s="5">
        <v>0.29004726999999997</v>
      </c>
    </row>
    <row r="104" outlineLevel="1">
      <c r="B104" s="0" t="inlineStr">
        <is>
          <t xml:space="preserve">TCLAD INC</t>
        </is>
      </c>
      <c r="C104" s="0" t="inlineStr">
        <is>
          <t xml:space="preserve">QFAKS4WUGES3</t>
        </is>
      </c>
      <c r="D104" s="0" t="inlineStr">
        <is>
          <t xml:space="preserve">USA</t>
        </is>
      </c>
      <c r="E104" s="0" t="inlineStr">
        <is>
          <t xml:space="preserve">3344</t>
        </is>
      </c>
      <c r="F104" s="0" t="inlineStr">
        <is>
          <t xml:space="preserve">Bare Printed Circuit Board Manufacturing</t>
        </is>
      </c>
      <c r="G104" s="5">
        <v>14.555506000000001</v>
      </c>
      <c r="H104" s="0" t="inlineStr">
        <is>
          <t xml:space="preserve">supplier</t>
        </is>
      </c>
      <c r="I104" s="0" t="inlineStr">
        <is>
          <t xml:space="preserve">unbucketed</t>
        </is>
      </c>
      <c r="J104" s="0" t="inlineStr">
        <is>
          <t xml:space="preserve">residual</t>
        </is>
      </c>
      <c r="K104" s="5">
        <v>0</v>
      </c>
      <c r="L104" s="5">
        <v>0</v>
      </c>
      <c r="M104" s="5">
        <v>0.0</v>
      </c>
      <c r="N104" s="5">
        <v>0.0</v>
      </c>
      <c r="O104" s="5">
        <v>0.0</v>
      </c>
      <c r="P104" s="5">
        <v>0.0</v>
      </c>
      <c r="Q104" s="5">
        <v>0.0</v>
      </c>
    </row>
    <row r="105" outlineLevel="1">
      <c r="B105" s="0" t="inlineStr">
        <is>
          <t xml:space="preserve">AM AND S MFG, INC.</t>
        </is>
      </c>
      <c r="C105" s="0" t="inlineStr">
        <is>
          <t xml:space="preserve">RHZWB8JCWU95</t>
        </is>
      </c>
      <c r="D105" s="0" t="inlineStr">
        <is>
          <t xml:space="preserve">USA</t>
        </is>
      </c>
      <c r="E105" s="0" t="inlineStr">
        <is>
          <t xml:space="preserve">3327</t>
        </is>
      </c>
      <c r="F105" s="0" t="inlineStr">
        <is>
          <t xml:space="preserve">Machine Shops</t>
        </is>
      </c>
      <c r="G105" s="5">
        <v>14.530217200000001</v>
      </c>
      <c r="H105" s="0" t="inlineStr">
        <is>
          <t xml:space="preserve">supplier</t>
        </is>
      </c>
      <c r="I105" s="0" t="inlineStr">
        <is>
          <t xml:space="preserve">machining</t>
        </is>
      </c>
      <c r="J105" s="0" t="inlineStr">
        <is>
          <t xml:space="preserve">naics4</t>
        </is>
      </c>
      <c r="K105" s="5">
        <v>0</v>
      </c>
      <c r="L105" s="5">
        <v>0</v>
      </c>
      <c r="M105" s="5">
        <v>0.0</v>
      </c>
      <c r="N105" s="5">
        <v>0.0</v>
      </c>
      <c r="O105" s="5">
        <v>0.0</v>
      </c>
      <c r="P105" s="5">
        <v>0.0</v>
      </c>
      <c r="Q105" s="5">
        <v>0.0</v>
      </c>
    </row>
    <row r="106" outlineLevel="1">
      <c r="B106" s="0" t="inlineStr">
        <is>
          <t xml:space="preserve">BARRON INDUSTRIES, INC.</t>
        </is>
      </c>
      <c r="C106" s="0" t="inlineStr">
        <is>
          <t xml:space="preserve">N3N5N1E2WZR8</t>
        </is>
      </c>
      <c r="D106" s="0" t="inlineStr">
        <is>
          <t xml:space="preserve">-</t>
        </is>
      </c>
      <c r="E106" s="0" t="inlineStr">
        <is>
          <t xml:space="preserve">-</t>
        </is>
      </c>
      <c r="F106" s="0" t="inlineStr">
        <is>
          <t xml:space="preserve">-</t>
        </is>
      </c>
      <c r="G106" s="5">
        <v>14.416559659999999</v>
      </c>
      <c r="H106" s="0" t="inlineStr">
        <is>
          <t xml:space="preserve">supplier</t>
        </is>
      </c>
      <c r="I106" s="0" t="inlineStr">
        <is>
          <t xml:space="preserve">unbucketed</t>
        </is>
      </c>
      <c r="J106" s="0" t="inlineStr">
        <is>
          <t xml:space="preserve">residual</t>
        </is>
      </c>
      <c r="K106" s="5">
        <v>0</v>
      </c>
      <c r="L106" s="5">
        <v>0</v>
      </c>
      <c r="M106" s="5">
        <v>0.0</v>
      </c>
      <c r="N106" s="5">
        <v>0.0</v>
      </c>
      <c r="O106" s="5">
        <v>0.0</v>
      </c>
      <c r="P106" s="5">
        <v>0.0</v>
      </c>
      <c r="Q106" s="5">
        <v>0.0</v>
      </c>
    </row>
    <row r="107" outlineLevel="1">
      <c r="B107" s="0" t="inlineStr">
        <is>
          <t xml:space="preserve">SYPRIS SOLUTIONS, INC</t>
        </is>
      </c>
      <c r="C107" s="0" t="inlineStr">
        <is>
          <t xml:space="preserve">NN5HLB6MZCG9</t>
        </is>
      </c>
      <c r="D107" s="0" t="inlineStr">
        <is>
          <t xml:space="preserve">-</t>
        </is>
      </c>
      <c r="E107" s="0" t="inlineStr">
        <is>
          <t xml:space="preserve">-</t>
        </is>
      </c>
      <c r="F107" s="0" t="inlineStr">
        <is>
          <t xml:space="preserve">-</t>
        </is>
      </c>
      <c r="G107" s="5">
        <v>14.407720229999999</v>
      </c>
      <c r="H107" s="0" t="inlineStr">
        <is>
          <t xml:space="preserve">supplier</t>
        </is>
      </c>
      <c r="I107" s="0" t="inlineStr">
        <is>
          <t xml:space="preserve">unbucketed</t>
        </is>
      </c>
      <c r="J107" s="0" t="inlineStr">
        <is>
          <t xml:space="preserve">residual</t>
        </is>
      </c>
      <c r="K107" s="5">
        <v>0</v>
      </c>
      <c r="L107" s="5">
        <v>0</v>
      </c>
      <c r="M107" s="5">
        <v>0.0</v>
      </c>
      <c r="N107" s="5">
        <v>0.0</v>
      </c>
      <c r="O107" s="5">
        <v>0.0</v>
      </c>
      <c r="P107" s="5">
        <v>0.0</v>
      </c>
      <c r="Q107" s="5">
        <v>0.0</v>
      </c>
    </row>
    <row r="108" outlineLevel="1">
      <c r="B108" s="0" t="inlineStr">
        <is>
          <t xml:space="preserve">SOUTHCOAST WELDING &amp; MANUFACTURING, LLC.</t>
        </is>
      </c>
      <c r="C108" s="0" t="inlineStr">
        <is>
          <t xml:space="preserve">QNF5KM7YJSN7</t>
        </is>
      </c>
      <c r="D108" s="0" t="inlineStr">
        <is>
          <t xml:space="preserve">USA</t>
        </is>
      </c>
      <c r="E108" s="0" t="inlineStr">
        <is>
          <t xml:space="preserve">3366</t>
        </is>
      </c>
      <c r="F108" s="0" t="inlineStr">
        <is>
          <t xml:space="preserve">Ship Building and Repairing</t>
        </is>
      </c>
      <c r="G108" s="5">
        <v>14.156661629999999</v>
      </c>
      <c r="H108" s="0" t="inlineStr">
        <is>
          <t xml:space="preserve">supplier</t>
        </is>
      </c>
      <c r="I108" s="0" t="inlineStr">
        <is>
          <t xml:space="preserve">structural</t>
        </is>
      </c>
      <c r="J108" s="0" t="inlineStr">
        <is>
          <t xml:space="preserve">registry</t>
        </is>
      </c>
      <c r="K108" s="5">
        <v>0</v>
      </c>
      <c r="L108" s="5">
        <v>0</v>
      </c>
      <c r="M108" s="5">
        <v>14.156661629999999</v>
      </c>
      <c r="N108" s="5">
        <v>0.0</v>
      </c>
      <c r="O108" s="5">
        <v>0.32891800000000004</v>
      </c>
      <c r="P108" s="5">
        <v>6.828902000000002</v>
      </c>
      <c r="Q108" s="5">
        <v>4.72159363</v>
      </c>
    </row>
    <row r="109" outlineLevel="1">
      <c r="B109" s="0" t="inlineStr">
        <is>
          <t xml:space="preserve">MERCURY SYSTEMS, INC.</t>
        </is>
      </c>
      <c r="C109" s="0" t="inlineStr">
        <is>
          <t xml:space="preserve">K85XUK3ARLX6</t>
        </is>
      </c>
      <c r="D109" s="0" t="inlineStr">
        <is>
          <t xml:space="preserve">USA</t>
        </is>
      </c>
      <c r="E109" s="0" t="inlineStr">
        <is>
          <t xml:space="preserve">3341</t>
        </is>
      </c>
      <c r="F109" s="0" t="inlineStr">
        <is>
          <t xml:space="preserve">Electronic Computer Manufacturing</t>
        </is>
      </c>
      <c r="G109" s="5">
        <v>14.0125012</v>
      </c>
      <c r="H109" s="0" t="inlineStr">
        <is>
          <t xml:space="preserve">mission_systems</t>
        </is>
      </c>
      <c r="I109" s="0" t="inlineStr">
        <is>
          <t xml:space="preserve">-</t>
        </is>
      </c>
      <c r="J109" s="0" t="inlineStr">
        <is>
          <t xml:space="preserve">registry</t>
        </is>
      </c>
      <c r="K109" s="5">
        <v>0</v>
      </c>
      <c r="L109" s="5">
        <v>0</v>
      </c>
      <c r="M109" s="5">
        <v>0.0</v>
      </c>
      <c r="N109" s="5">
        <v>0.0</v>
      </c>
      <c r="O109" s="5">
        <v>0.0</v>
      </c>
      <c r="P109" s="5">
        <v>0.0</v>
      </c>
      <c r="Q109" s="5">
        <v>0.0</v>
      </c>
    </row>
    <row r="110" outlineLevel="1">
      <c r="B110" s="0" t="inlineStr">
        <is>
          <t xml:space="preserve">ELLWOOD GROUP INCORPORATED</t>
        </is>
      </c>
      <c r="C110" s="0" t="inlineStr">
        <is>
          <t xml:space="preserve">QGB4RDYJNJT9</t>
        </is>
      </c>
      <c r="D110" s="0" t="inlineStr">
        <is>
          <t xml:space="preserve">-</t>
        </is>
      </c>
      <c r="E110" s="0" t="inlineStr">
        <is>
          <t xml:space="preserve">-</t>
        </is>
      </c>
      <c r="F110" s="0" t="inlineStr">
        <is>
          <t xml:space="preserve">-</t>
        </is>
      </c>
      <c r="G110" s="5">
        <v>14.007439999999999</v>
      </c>
      <c r="H110" s="0" t="inlineStr">
        <is>
          <t xml:space="preserve">supplier</t>
        </is>
      </c>
      <c r="I110" s="0" t="inlineStr">
        <is>
          <t xml:space="preserve">castings</t>
        </is>
      </c>
      <c r="J110" s="0" t="inlineStr">
        <is>
          <t xml:space="preserve">registry</t>
        </is>
      </c>
      <c r="K110" s="5">
        <v>0</v>
      </c>
      <c r="L110" s="5">
        <v>0</v>
      </c>
      <c r="M110" s="5">
        <v>14.007439999999999</v>
      </c>
      <c r="N110" s="5">
        <v>0.0</v>
      </c>
      <c r="O110" s="5">
        <v>0.0</v>
      </c>
      <c r="P110" s="5">
        <v>0.0</v>
      </c>
      <c r="Q110" s="5">
        <v>14.007439999999999</v>
      </c>
    </row>
    <row r="111" outlineLevel="1">
      <c r="B111" s="0" t="inlineStr">
        <is>
          <t xml:space="preserve">DUCOMMUN INCORPORATED</t>
        </is>
      </c>
      <c r="C111" s="0" t="inlineStr">
        <is>
          <t xml:space="preserve">CJ1ZQVEWNVY3</t>
        </is>
      </c>
      <c r="D111" s="0" t="inlineStr">
        <is>
          <t xml:space="preserve">-</t>
        </is>
      </c>
      <c r="E111" s="0" t="inlineStr">
        <is>
          <t xml:space="preserve">-</t>
        </is>
      </c>
      <c r="F111" s="0" t="inlineStr">
        <is>
          <t xml:space="preserve">-</t>
        </is>
      </c>
      <c r="G111" s="5">
        <v>13.921005000000003</v>
      </c>
      <c r="H111" s="0" t="inlineStr">
        <is>
          <t xml:space="preserve">mission_systems</t>
        </is>
      </c>
      <c r="I111" s="0" t="inlineStr">
        <is>
          <t xml:space="preserve">-</t>
        </is>
      </c>
      <c r="J111" s="0" t="inlineStr">
        <is>
          <t xml:space="preserve">registry</t>
        </is>
      </c>
      <c r="K111" s="5">
        <v>0</v>
      </c>
      <c r="L111" s="5">
        <v>0</v>
      </c>
      <c r="M111" s="5">
        <v>0.0</v>
      </c>
      <c r="N111" s="5">
        <v>0.0</v>
      </c>
      <c r="O111" s="5">
        <v>0.0</v>
      </c>
      <c r="P111" s="5">
        <v>0.0</v>
      </c>
      <c r="Q111" s="5">
        <v>0.0</v>
      </c>
    </row>
    <row r="112" outlineLevel="1">
      <c r="B112" s="0" t="inlineStr">
        <is>
          <t xml:space="preserve">TTM TECHNOLOGIES, INC.</t>
        </is>
      </c>
      <c r="C112" s="0" t="inlineStr">
        <is>
          <t xml:space="preserve">MHGNV7CX52K6</t>
        </is>
      </c>
      <c r="D112" s="0" t="inlineStr">
        <is>
          <t xml:space="preserve">USA</t>
        </is>
      </c>
      <c r="E112" s="0" t="inlineStr">
        <is>
          <t xml:space="preserve">3344</t>
        </is>
      </c>
      <c r="F112" s="0" t="inlineStr">
        <is>
          <t xml:space="preserve">Bare Printed Circuit Board Manufacturing</t>
        </is>
      </c>
      <c r="G112" s="5">
        <v>13.766676180000001</v>
      </c>
      <c r="H112" s="0" t="inlineStr">
        <is>
          <t xml:space="preserve">supplier</t>
        </is>
      </c>
      <c r="I112" s="0" t="inlineStr">
        <is>
          <t xml:space="preserve">unbucketed</t>
        </is>
      </c>
      <c r="J112" s="0" t="inlineStr">
        <is>
          <t xml:space="preserve">residual</t>
        </is>
      </c>
      <c r="K112" s="5">
        <v>0</v>
      </c>
      <c r="L112" s="5">
        <v>0</v>
      </c>
      <c r="M112" s="5">
        <v>0.0</v>
      </c>
      <c r="N112" s="5">
        <v>0.0</v>
      </c>
      <c r="O112" s="5">
        <v>0.0</v>
      </c>
      <c r="P112" s="5">
        <v>0.0</v>
      </c>
      <c r="Q112" s="5">
        <v>0.0</v>
      </c>
    </row>
    <row r="113" outlineLevel="1">
      <c r="B113" s="0" t="inlineStr">
        <is>
          <t xml:space="preserve">THE ENTWISTLE COMPANY LLC</t>
        </is>
      </c>
      <c r="C113" s="0" t="inlineStr">
        <is>
          <t xml:space="preserve">JRUCKDSNXKD5</t>
        </is>
      </c>
      <c r="D113" s="0" t="inlineStr">
        <is>
          <t xml:space="preserve">-</t>
        </is>
      </c>
      <c r="E113" s="0" t="inlineStr">
        <is>
          <t xml:space="preserve">-</t>
        </is>
      </c>
      <c r="F113" s="0" t="inlineStr">
        <is>
          <t xml:space="preserve">-</t>
        </is>
      </c>
      <c r="G113" s="5">
        <v>13.633561300000002</v>
      </c>
      <c r="H113" s="0" t="inlineStr">
        <is>
          <t xml:space="preserve">supplier</t>
        </is>
      </c>
      <c r="I113" s="0" t="inlineStr">
        <is>
          <t xml:space="preserve">piping</t>
        </is>
      </c>
      <c r="J113" s="0" t="inlineStr">
        <is>
          <t xml:space="preserve">registry</t>
        </is>
      </c>
      <c r="K113" s="5">
        <v>0</v>
      </c>
      <c r="L113" s="5">
        <v>0</v>
      </c>
      <c r="M113" s="5">
        <v>13.633561300000002</v>
      </c>
      <c r="N113" s="5">
        <v>0.87484</v>
      </c>
      <c r="O113" s="5">
        <v>3.3716929000000007</v>
      </c>
      <c r="P113" s="5">
        <v>8.87477614</v>
      </c>
      <c r="Q113" s="5">
        <v>0.43332726</v>
      </c>
    </row>
    <row r="114" outlineLevel="1">
      <c r="B114" s="0" t="inlineStr">
        <is>
          <t xml:space="preserve">THE ENTWISTLE TRUST</t>
        </is>
      </c>
      <c r="C114" s="0" t="inlineStr">
        <is>
          <t xml:space="preserve">JRUCKDSNXKD5</t>
        </is>
      </c>
      <c r="D114" s="0" t="inlineStr">
        <is>
          <t xml:space="preserve">-</t>
        </is>
      </c>
      <c r="E114" s="0" t="inlineStr">
        <is>
          <t xml:space="preserve">-</t>
        </is>
      </c>
      <c r="F114" s="0" t="inlineStr">
        <is>
          <t xml:space="preserve">-</t>
        </is>
      </c>
      <c r="G114" s="5">
        <v>13.596980069999997</v>
      </c>
      <c r="H114" s="0" t="inlineStr">
        <is>
          <t xml:space="preserve">supplier</t>
        </is>
      </c>
      <c r="I114" s="0" t="inlineStr">
        <is>
          <t xml:space="preserve">piping</t>
        </is>
      </c>
      <c r="J114" s="0" t="inlineStr">
        <is>
          <t xml:space="preserve">registry</t>
        </is>
      </c>
      <c r="K114" s="5">
        <v>0</v>
      </c>
      <c r="L114" s="5">
        <v>0</v>
      </c>
      <c r="M114" s="5">
        <v>13.596980069999997</v>
      </c>
      <c r="N114" s="5">
        <v>0.0</v>
      </c>
      <c r="O114" s="5">
        <v>0.0</v>
      </c>
      <c r="P114" s="5">
        <v>0.0</v>
      </c>
      <c r="Q114" s="5">
        <v>0.0</v>
      </c>
    </row>
    <row r="115" outlineLevel="1">
      <c r="B115" s="0" t="inlineStr">
        <is>
          <t xml:space="preserve">AC&amp;A ENTERPRISES HOLDINGS, LLC</t>
        </is>
      </c>
      <c r="C115" s="0" t="inlineStr">
        <is>
          <t xml:space="preserve">M1LQD44NEJ56</t>
        </is>
      </c>
      <c r="D115" s="0" t="inlineStr">
        <is>
          <t xml:space="preserve">USA</t>
        </is>
      </c>
      <c r="E115" s="0" t="inlineStr">
        <is>
          <t xml:space="preserve">3342</t>
        </is>
      </c>
      <c r="F115" s="0" t="inlineStr">
        <is>
          <t xml:space="preserve">Radio and Television Broadcasting and Wireless Communications Equipment Manufacturing</t>
        </is>
      </c>
      <c r="G115" s="5">
        <v>13.4853663</v>
      </c>
      <c r="H115" s="0" t="inlineStr">
        <is>
          <t xml:space="preserve">supplier</t>
        </is>
      </c>
      <c r="I115" s="0" t="inlineStr">
        <is>
          <t xml:space="preserve">coatings</t>
        </is>
      </c>
      <c r="J115" s="0" t="inlineStr">
        <is>
          <t xml:space="preserve">registry</t>
        </is>
      </c>
      <c r="K115" s="5">
        <v>0</v>
      </c>
      <c r="L115" s="5">
        <v>0</v>
      </c>
      <c r="M115" s="5">
        <v>0.0</v>
      </c>
      <c r="N115" s="5">
        <v>0.0</v>
      </c>
      <c r="O115" s="5">
        <v>0.0</v>
      </c>
      <c r="P115" s="5">
        <v>0.0</v>
      </c>
      <c r="Q115" s="5">
        <v>0.0</v>
      </c>
    </row>
    <row r="116" outlineLevel="1">
      <c r="B116" s="0" t="inlineStr">
        <is>
          <t xml:space="preserve">LESLIE CONTROLS, INC.</t>
        </is>
      </c>
      <c r="C116" s="0" t="inlineStr">
        <is>
          <t xml:space="preserve">HUK5MJK4MH39</t>
        </is>
      </c>
      <c r="D116" s="0" t="inlineStr">
        <is>
          <t xml:space="preserve">-</t>
        </is>
      </c>
      <c r="E116" s="0" t="inlineStr">
        <is>
          <t xml:space="preserve">-</t>
        </is>
      </c>
      <c r="F116" s="0" t="inlineStr">
        <is>
          <t xml:space="preserve">-</t>
        </is>
      </c>
      <c r="G116" s="5">
        <v>13.45376749999999</v>
      </c>
      <c r="H116" s="0" t="inlineStr">
        <is>
          <t xml:space="preserve">supplier</t>
        </is>
      </c>
      <c r="I116" s="0" t="inlineStr">
        <is>
          <t xml:space="preserve">piping</t>
        </is>
      </c>
      <c r="J116" s="0" t="inlineStr">
        <is>
          <t xml:space="preserve">registry</t>
        </is>
      </c>
      <c r="K116" s="5">
        <v>0</v>
      </c>
      <c r="L116" s="5">
        <v>0</v>
      </c>
      <c r="M116" s="5">
        <v>13.45376749999999</v>
      </c>
      <c r="N116" s="5">
        <v>0.0</v>
      </c>
      <c r="O116" s="5">
        <v>4.204363000000001</v>
      </c>
      <c r="P116" s="5">
        <v>9.133822499999999</v>
      </c>
      <c r="Q116" s="5">
        <v>0.115582</v>
      </c>
    </row>
    <row r="117" outlineLevel="1">
      <c r="B117" s="0" t="inlineStr">
        <is>
          <t xml:space="preserve">KYOCERA AVX COMPONENTS CORPORATION</t>
        </is>
      </c>
      <c r="C117" s="0" t="inlineStr">
        <is>
          <t xml:space="preserve">XM8XQNB8HDR5</t>
        </is>
      </c>
      <c r="D117" s="0" t="inlineStr">
        <is>
          <t xml:space="preserve">-</t>
        </is>
      </c>
      <c r="E117" s="0" t="inlineStr">
        <is>
          <t xml:space="preserve">-</t>
        </is>
      </c>
      <c r="F117" s="0" t="inlineStr">
        <is>
          <t xml:space="preserve">-</t>
        </is>
      </c>
      <c r="G117" s="5">
        <v>13.380801</v>
      </c>
      <c r="H117" s="0" t="inlineStr">
        <is>
          <t xml:space="preserve">supplier</t>
        </is>
      </c>
      <c r="I117" s="0" t="inlineStr">
        <is>
          <t xml:space="preserve">unbucketed</t>
        </is>
      </c>
      <c r="J117" s="0" t="inlineStr">
        <is>
          <t xml:space="preserve">residual</t>
        </is>
      </c>
      <c r="K117" s="5">
        <v>0</v>
      </c>
      <c r="L117" s="5">
        <v>0</v>
      </c>
      <c r="M117" s="5">
        <v>0.0</v>
      </c>
      <c r="N117" s="5">
        <v>0.0</v>
      </c>
      <c r="O117" s="5">
        <v>0.0</v>
      </c>
      <c r="P117" s="5">
        <v>0.0</v>
      </c>
      <c r="Q117" s="5">
        <v>0.0</v>
      </c>
    </row>
    <row r="118" outlineLevel="1">
      <c r="B118" s="0" t="inlineStr">
        <is>
          <t xml:space="preserve">AIR &amp; LIQUID SYSTEMS CORPORATION</t>
        </is>
      </c>
      <c r="C118" s="0" t="inlineStr">
        <is>
          <t xml:space="preserve">M4ELQDG7JLM5</t>
        </is>
      </c>
      <c r="D118" s="0" t="inlineStr">
        <is>
          <t xml:space="preserve">USA</t>
        </is>
      </c>
      <c r="E118" s="0" t="inlineStr">
        <is>
          <t xml:space="preserve">3339</t>
        </is>
      </c>
      <c r="F118" s="0" t="inlineStr">
        <is>
          <t xml:space="preserve">Measuring, Dispensing, and Other Pumping Equipment Manufacturing</t>
        </is>
      </c>
      <c r="G118" s="5">
        <v>13.357312999999998</v>
      </c>
      <c r="H118" s="0" t="inlineStr">
        <is>
          <t xml:space="preserve">supplier</t>
        </is>
      </c>
      <c r="I118" s="0" t="inlineStr">
        <is>
          <t xml:space="preserve">piping</t>
        </is>
      </c>
      <c r="J118" s="0" t="inlineStr">
        <is>
          <t xml:space="preserve">registry</t>
        </is>
      </c>
      <c r="K118" s="5">
        <v>0</v>
      </c>
      <c r="L118" s="5">
        <v>0</v>
      </c>
      <c r="M118" s="5">
        <v>13.357312999999998</v>
      </c>
      <c r="N118" s="5">
        <v>0.0</v>
      </c>
      <c r="O118" s="5">
        <v>0.0</v>
      </c>
      <c r="P118" s="5">
        <v>9.342217999999999</v>
      </c>
      <c r="Q118" s="5">
        <v>4.015095</v>
      </c>
    </row>
    <row r="119" outlineLevel="1">
      <c r="B119" s="0" t="inlineStr">
        <is>
          <t xml:space="preserve">GMT LLC</t>
        </is>
      </c>
      <c r="C119" s="0" t="inlineStr">
        <is>
          <t xml:space="preserve">YKYBK6MSAKX5</t>
        </is>
      </c>
      <c r="D119" s="0" t="inlineStr">
        <is>
          <t xml:space="preserve">-</t>
        </is>
      </c>
      <c r="E119" s="0" t="inlineStr">
        <is>
          <t xml:space="preserve">-</t>
        </is>
      </c>
      <c r="F119" s="0" t="inlineStr">
        <is>
          <t xml:space="preserve">-</t>
        </is>
      </c>
      <c r="G119" s="5">
        <v>13.301199559999999</v>
      </c>
      <c r="H119" s="0" t="inlineStr">
        <is>
          <t xml:space="preserve">supplier</t>
        </is>
      </c>
      <c r="I119" s="0" t="inlineStr">
        <is>
          <t xml:space="preserve">unbucketed</t>
        </is>
      </c>
      <c r="J119" s="0" t="inlineStr">
        <is>
          <t xml:space="preserve">registry</t>
        </is>
      </c>
      <c r="K119" s="5">
        <v>0</v>
      </c>
      <c r="L119" s="5">
        <v>0</v>
      </c>
      <c r="M119" s="5">
        <v>0.0</v>
      </c>
      <c r="N119" s="5">
        <v>0.0</v>
      </c>
      <c r="O119" s="5">
        <v>0.0</v>
      </c>
      <c r="P119" s="5">
        <v>0.0</v>
      </c>
      <c r="Q119" s="5">
        <v>0.0</v>
      </c>
    </row>
    <row r="120" outlineLevel="1">
      <c r="B120" s="0" t="inlineStr">
        <is>
          <t xml:space="preserve">GENERAL DYNAMICS MISSION SYSTEMS, INC</t>
        </is>
      </c>
      <c r="C120" s="0" t="inlineStr">
        <is>
          <t xml:space="preserve">LDUJLC79HNK5</t>
        </is>
      </c>
      <c r="D120" s="0" t="inlineStr">
        <is>
          <t xml:space="preserve">-</t>
        </is>
      </c>
      <c r="E120" s="0" t="inlineStr">
        <is>
          <t xml:space="preserve">-</t>
        </is>
      </c>
      <c r="F120" s="0" t="inlineStr">
        <is>
          <t xml:space="preserve">-</t>
        </is>
      </c>
      <c r="G120" s="5">
        <v>13.28</v>
      </c>
      <c r="H120" s="0" t="inlineStr">
        <is>
          <t xml:space="preserve">prime</t>
        </is>
      </c>
      <c r="I120" s="0" t="inlineStr">
        <is>
          <t xml:space="preserve">-</t>
        </is>
      </c>
      <c r="J120" s="0" t="inlineStr">
        <is>
          <t xml:space="preserve">registry</t>
        </is>
      </c>
      <c r="K120" s="5">
        <v>0</v>
      </c>
      <c r="L120" s="5">
        <v>0</v>
      </c>
      <c r="M120" s="5">
        <v>0.0</v>
      </c>
      <c r="N120" s="5">
        <v>0.0</v>
      </c>
      <c r="O120" s="5">
        <v>0.0</v>
      </c>
      <c r="P120" s="5">
        <v>0.0</v>
      </c>
      <c r="Q120" s="5">
        <v>0.0</v>
      </c>
    </row>
    <row r="121" outlineLevel="1">
      <c r="B121" s="0" t="inlineStr">
        <is>
          <t xml:space="preserve">CENTURY TOOL, INC.</t>
        </is>
      </c>
      <c r="C121" s="0" t="inlineStr">
        <is>
          <t xml:space="preserve">NUL8Z35S3LJ5</t>
        </is>
      </c>
      <c r="D121" s="0" t="inlineStr">
        <is>
          <t xml:space="preserve">USA</t>
        </is>
      </c>
      <c r="E121" s="0" t="inlineStr">
        <is>
          <t xml:space="preserve">3327</t>
        </is>
      </c>
      <c r="F121" s="0" t="inlineStr">
        <is>
          <t xml:space="preserve">Machine Shops</t>
        </is>
      </c>
      <c r="G121" s="5">
        <v>13.267601530000002</v>
      </c>
      <c r="H121" s="0" t="inlineStr">
        <is>
          <t xml:space="preserve">supplier</t>
        </is>
      </c>
      <c r="I121" s="0" t="inlineStr">
        <is>
          <t xml:space="preserve">machining</t>
        </is>
      </c>
      <c r="J121" s="0" t="inlineStr">
        <is>
          <t xml:space="preserve">naics4</t>
        </is>
      </c>
      <c r="K121" s="5">
        <v>0</v>
      </c>
      <c r="L121" s="5">
        <v>0</v>
      </c>
      <c r="M121" s="5">
        <v>0.0</v>
      </c>
      <c r="N121" s="5">
        <v>0.0</v>
      </c>
      <c r="O121" s="5">
        <v>0.0</v>
      </c>
      <c r="P121" s="5">
        <v>0.0</v>
      </c>
      <c r="Q121" s="5">
        <v>0.0</v>
      </c>
    </row>
    <row r="122" outlineLevel="1">
      <c r="B122" s="0" t="inlineStr">
        <is>
          <t xml:space="preserve">AI CONVOY HOLDCO LIMITED</t>
        </is>
      </c>
      <c r="C122" s="0" t="inlineStr">
        <is>
          <t xml:space="preserve">VNP2L293JWL6</t>
        </is>
      </c>
      <c r="D122" s="0" t="inlineStr">
        <is>
          <t xml:space="preserve">-</t>
        </is>
      </c>
      <c r="E122" s="0" t="inlineStr">
        <is>
          <t xml:space="preserve">-</t>
        </is>
      </c>
      <c r="F122" s="0" t="inlineStr">
        <is>
          <t xml:space="preserve">-</t>
        </is>
      </c>
      <c r="G122" s="5">
        <v>13.1984485</v>
      </c>
      <c r="H122" s="0" t="inlineStr">
        <is>
          <t xml:space="preserve">mission_systems</t>
        </is>
      </c>
      <c r="I122" s="0" t="inlineStr">
        <is>
          <t xml:space="preserve">-</t>
        </is>
      </c>
      <c r="J122" s="0" t="inlineStr">
        <is>
          <t xml:space="preserve">registry</t>
        </is>
      </c>
      <c r="K122" s="5">
        <v>0</v>
      </c>
      <c r="L122" s="5">
        <v>0</v>
      </c>
      <c r="M122" s="5">
        <v>0.0</v>
      </c>
      <c r="N122" s="5">
        <v>0.0</v>
      </c>
      <c r="O122" s="5">
        <v>0.0</v>
      </c>
      <c r="P122" s="5">
        <v>0.0</v>
      </c>
      <c r="Q122" s="5">
        <v>0.0</v>
      </c>
    </row>
    <row r="123" outlineLevel="1">
      <c r="B123" s="0" t="inlineStr">
        <is>
          <t xml:space="preserve">JO-KELL INC.</t>
        </is>
      </c>
      <c r="C123" s="0" t="inlineStr">
        <is>
          <t xml:space="preserve">KNEFNMWXBK39</t>
        </is>
      </c>
      <c r="D123" s="0" t="inlineStr">
        <is>
          <t xml:space="preserve">-</t>
        </is>
      </c>
      <c r="E123" s="0" t="inlineStr">
        <is>
          <t xml:space="preserve">-</t>
        </is>
      </c>
      <c r="F123" s="0" t="inlineStr">
        <is>
          <t xml:space="preserve">-</t>
        </is>
      </c>
      <c r="G123" s="5">
        <v>13.187653069999994</v>
      </c>
      <c r="H123" s="0" t="inlineStr">
        <is>
          <t xml:space="preserve">supplier</t>
        </is>
      </c>
      <c r="I123" s="0" t="inlineStr">
        <is>
          <t xml:space="preserve">unbucketed</t>
        </is>
      </c>
      <c r="J123" s="0" t="inlineStr">
        <is>
          <t xml:space="preserve">residual</t>
        </is>
      </c>
      <c r="K123" s="5">
        <v>0</v>
      </c>
      <c r="L123" s="5">
        <v>0</v>
      </c>
      <c r="M123" s="5">
        <v>13.081380209999997</v>
      </c>
      <c r="N123" s="5">
        <v>0.69043995</v>
      </c>
      <c r="O123" s="5">
        <v>0.5978235000000001</v>
      </c>
      <c r="P123" s="5">
        <v>0.30419823</v>
      </c>
      <c r="Q123" s="5">
        <v>5.415812110000001</v>
      </c>
    </row>
    <row r="124" outlineLevel="1">
      <c r="B124" s="0" t="inlineStr">
        <is>
          <t xml:space="preserve">WARD LEONARD HOLDINGS LLC</t>
        </is>
      </c>
      <c r="C124" s="0" t="inlineStr">
        <is>
          <t xml:space="preserve">MKXMUFJJYLY5</t>
        </is>
      </c>
      <c r="D124" s="0" t="inlineStr">
        <is>
          <t xml:space="preserve">USA</t>
        </is>
      </c>
      <c r="E124" s="0" t="inlineStr">
        <is>
          <t xml:space="preserve">3353</t>
        </is>
      </c>
      <c r="F124" s="0" t="inlineStr">
        <is>
          <t xml:space="preserve">Motor and Generator Manufacturing</t>
        </is>
      </c>
      <c r="G124" s="5">
        <v>13.044003440000001</v>
      </c>
      <c r="H124" s="0" t="inlineStr">
        <is>
          <t xml:space="preserve">supplier</t>
        </is>
      </c>
      <c r="I124" s="0" t="inlineStr">
        <is>
          <t xml:space="preserve">electrical</t>
        </is>
      </c>
      <c r="J124" s="0" t="inlineStr">
        <is>
          <t xml:space="preserve">registry</t>
        </is>
      </c>
      <c r="K124" s="5">
        <v>0</v>
      </c>
      <c r="L124" s="5">
        <v>0</v>
      </c>
      <c r="M124" s="5">
        <v>0.0</v>
      </c>
      <c r="N124" s="5">
        <v>0.0</v>
      </c>
      <c r="O124" s="5">
        <v>0.0</v>
      </c>
      <c r="P124" s="5">
        <v>0.0</v>
      </c>
      <c r="Q124" s="5">
        <v>0.0</v>
      </c>
    </row>
    <row r="125" outlineLevel="1">
      <c r="B125" s="0" t="inlineStr">
        <is>
          <t xml:space="preserve">ADVANCED MARINE PRESERVATION, LLC</t>
        </is>
      </c>
      <c r="C125" s="0" t="inlineStr">
        <is>
          <t xml:space="preserve">J25BBETQML24</t>
        </is>
      </c>
      <c r="D125" s="0" t="inlineStr">
        <is>
          <t xml:space="preserve">-</t>
        </is>
      </c>
      <c r="E125" s="0" t="inlineStr">
        <is>
          <t xml:space="preserve">-</t>
        </is>
      </c>
      <c r="F125" s="0" t="inlineStr">
        <is>
          <t xml:space="preserve">-</t>
        </is>
      </c>
      <c r="G125" s="5">
        <v>12.906894999999999</v>
      </c>
      <c r="H125" s="0" t="inlineStr">
        <is>
          <t xml:space="preserve">supplier</t>
        </is>
      </c>
      <c r="I125" s="0" t="inlineStr">
        <is>
          <t xml:space="preserve">unbucketed</t>
        </is>
      </c>
      <c r="J125" s="0" t="inlineStr">
        <is>
          <t xml:space="preserve">residual</t>
        </is>
      </c>
      <c r="K125" s="5">
        <v>0</v>
      </c>
      <c r="L125" s="5">
        <v>0</v>
      </c>
      <c r="M125" s="5">
        <v>0.0</v>
      </c>
      <c r="N125" s="5">
        <v>0.0</v>
      </c>
      <c r="O125" s="5">
        <v>0.0</v>
      </c>
      <c r="P125" s="5">
        <v>0.0</v>
      </c>
      <c r="Q125" s="5">
        <v>0.0</v>
      </c>
    </row>
    <row r="126" outlineLevel="1">
      <c r="B126" s="0" t="inlineStr">
        <is>
          <t xml:space="preserve">GENERAL DYNAMICS CORPORATION</t>
        </is>
      </c>
      <c r="C126" s="0" t="inlineStr">
        <is>
          <t xml:space="preserve">C79WTJCCNSX4</t>
        </is>
      </c>
      <c r="D126" s="0" t="inlineStr">
        <is>
          <t xml:space="preserve">USA</t>
        </is>
      </c>
      <c r="E126" s="0" t="inlineStr">
        <is>
          <t xml:space="preserve">3369</t>
        </is>
      </c>
      <c r="F126" s="0" t="inlineStr">
        <is>
          <t xml:space="preserve">Military Armored Vehicle, Tank, and Tank Component Manufacturing</t>
        </is>
      </c>
      <c r="G126" s="5">
        <v>12.886272760000008</v>
      </c>
      <c r="H126" s="0" t="inlineStr">
        <is>
          <t xml:space="preserve">prime</t>
        </is>
      </c>
      <c r="I126" s="0" t="inlineStr">
        <is>
          <t xml:space="preserve">-</t>
        </is>
      </c>
      <c r="J126" s="0" t="inlineStr">
        <is>
          <t xml:space="preserve">prime/co-prime name</t>
        </is>
      </c>
      <c r="K126" s="5">
        <v>0</v>
      </c>
      <c r="L126" s="5">
        <v>0</v>
      </c>
      <c r="M126" s="5">
        <v>0.0</v>
      </c>
      <c r="N126" s="5">
        <v>0.0</v>
      </c>
      <c r="O126" s="5">
        <v>0.0</v>
      </c>
      <c r="P126" s="5">
        <v>0.0</v>
      </c>
      <c r="Q126" s="5">
        <v>0.0</v>
      </c>
    </row>
    <row r="127" outlineLevel="1">
      <c r="B127" s="0" t="inlineStr">
        <is>
          <t xml:space="preserve">M &amp; S MACHINING INC</t>
        </is>
      </c>
      <c r="C127" s="0" t="inlineStr">
        <is>
          <t xml:space="preserve">J5FTSL9NDLN5</t>
        </is>
      </c>
      <c r="D127" s="0" t="inlineStr">
        <is>
          <t xml:space="preserve">USA</t>
        </is>
      </c>
      <c r="E127" s="0" t="inlineStr">
        <is>
          <t xml:space="preserve">3327</t>
        </is>
      </c>
      <c r="F127" s="0" t="inlineStr">
        <is>
          <t xml:space="preserve">Machine Shops</t>
        </is>
      </c>
      <c r="G127" s="5">
        <v>12.862174169999998</v>
      </c>
      <c r="H127" s="0" t="inlineStr">
        <is>
          <t xml:space="preserve">supplier</t>
        </is>
      </c>
      <c r="I127" s="0" t="inlineStr">
        <is>
          <t xml:space="preserve">machining</t>
        </is>
      </c>
      <c r="J127" s="0" t="inlineStr">
        <is>
          <t xml:space="preserve">naics4</t>
        </is>
      </c>
      <c r="K127" s="5">
        <v>0</v>
      </c>
      <c r="L127" s="5">
        <v>0</v>
      </c>
      <c r="M127" s="5">
        <v>0.0</v>
      </c>
      <c r="N127" s="5">
        <v>0.0</v>
      </c>
      <c r="O127" s="5">
        <v>0.0</v>
      </c>
      <c r="P127" s="5">
        <v>0.0</v>
      </c>
      <c r="Q127" s="5">
        <v>0.0</v>
      </c>
    </row>
    <row r="128" outlineLevel="1">
      <c r="B128" s="0" t="inlineStr">
        <is>
          <t xml:space="preserve">L3 TECHNOLOGIES, INC.</t>
        </is>
      </c>
      <c r="C128" s="0" t="inlineStr">
        <is>
          <t xml:space="preserve">ZW3UMG9YVNA9</t>
        </is>
      </c>
      <c r="D128" s="0" t="inlineStr">
        <is>
          <t xml:space="preserve">USA</t>
        </is>
      </c>
      <c r="E128" s="0" t="inlineStr">
        <is>
          <t xml:space="preserve">3353</t>
        </is>
      </c>
      <c r="F128" s="0" t="inlineStr">
        <is>
          <t xml:space="preserve">Switchgear and Switchboard Apparatus Manufacturing</t>
        </is>
      </c>
      <c r="G128" s="5">
        <v>12.765008</v>
      </c>
      <c r="H128" s="0" t="inlineStr">
        <is>
          <t xml:space="preserve">supplier</t>
        </is>
      </c>
      <c r="I128" s="0" t="inlineStr">
        <is>
          <t xml:space="preserve">electrical</t>
        </is>
      </c>
      <c r="J128" s="0" t="inlineStr">
        <is>
          <t xml:space="preserve">registry</t>
        </is>
      </c>
      <c r="K128" s="5">
        <v>0</v>
      </c>
      <c r="L128" s="5">
        <v>0</v>
      </c>
      <c r="M128" s="5">
        <v>12.765008</v>
      </c>
      <c r="N128" s="5">
        <v>0.0</v>
      </c>
      <c r="O128" s="5">
        <v>0.0</v>
      </c>
      <c r="P128" s="5">
        <v>0.0</v>
      </c>
      <c r="Q128" s="5">
        <v>0.0</v>
      </c>
    </row>
    <row r="129" outlineLevel="1">
      <c r="B129" s="0" t="inlineStr">
        <is>
          <t xml:space="preserve">ALFA LAVAL INC</t>
        </is>
      </c>
      <c r="C129" s="0" t="inlineStr">
        <is>
          <t xml:space="preserve">WSK3WRSGKAU1</t>
        </is>
      </c>
      <c r="D129" s="0" t="inlineStr">
        <is>
          <t xml:space="preserve">-</t>
        </is>
      </c>
      <c r="E129" s="0" t="inlineStr">
        <is>
          <t xml:space="preserve">-</t>
        </is>
      </c>
      <c r="F129" s="0" t="inlineStr">
        <is>
          <t xml:space="preserve">-</t>
        </is>
      </c>
      <c r="G129" s="5">
        <v>12.754999429999998</v>
      </c>
      <c r="H129" s="0" t="inlineStr">
        <is>
          <t xml:space="preserve">supplier</t>
        </is>
      </c>
      <c r="I129" s="0" t="inlineStr">
        <is>
          <t xml:space="preserve">structural</t>
        </is>
      </c>
      <c r="J129" s="0" t="inlineStr">
        <is>
          <t xml:space="preserve">registry</t>
        </is>
      </c>
      <c r="K129" s="5">
        <v>0</v>
      </c>
      <c r="L129" s="5">
        <v>0</v>
      </c>
      <c r="M129" s="5">
        <v>12.70848343</v>
      </c>
      <c r="N129" s="5">
        <v>0.0</v>
      </c>
      <c r="O129" s="5">
        <v>0.131175</v>
      </c>
      <c r="P129" s="5">
        <v>3.546546</v>
      </c>
      <c r="Q129" s="5">
        <v>9.03076243</v>
      </c>
    </row>
    <row r="130" outlineLevel="1">
      <c r="B130" s="0" t="inlineStr">
        <is>
          <t xml:space="preserve">HUTCHINSON MANUFACTURING HOLDINGS, LLC</t>
        </is>
      </c>
      <c r="C130" s="0" t="inlineStr">
        <is>
          <t xml:space="preserve">UTLBMJZK7M61</t>
        </is>
      </c>
      <c r="D130" s="0" t="inlineStr">
        <is>
          <t xml:space="preserve">-</t>
        </is>
      </c>
      <c r="E130" s="0" t="inlineStr">
        <is>
          <t xml:space="preserve">-</t>
        </is>
      </c>
      <c r="F130" s="0" t="inlineStr">
        <is>
          <t xml:space="preserve">-</t>
        </is>
      </c>
      <c r="G130" s="5">
        <v>12.68001642</v>
      </c>
      <c r="H130" s="0" t="inlineStr">
        <is>
          <t xml:space="preserve">supplier</t>
        </is>
      </c>
      <c r="I130" s="0" t="inlineStr">
        <is>
          <t xml:space="preserve">unbucketed</t>
        </is>
      </c>
      <c r="J130" s="0" t="inlineStr">
        <is>
          <t xml:space="preserve">residual</t>
        </is>
      </c>
      <c r="K130" s="5">
        <v>0</v>
      </c>
      <c r="L130" s="5">
        <v>0</v>
      </c>
      <c r="M130" s="5">
        <v>0.0</v>
      </c>
      <c r="N130" s="5">
        <v>0.0</v>
      </c>
      <c r="O130" s="5">
        <v>0.0</v>
      </c>
      <c r="P130" s="5">
        <v>0.0</v>
      </c>
      <c r="Q130" s="5">
        <v>0.0</v>
      </c>
    </row>
    <row r="131" outlineLevel="1">
      <c r="B131" s="0" t="inlineStr">
        <is>
          <t xml:space="preserve">SIRIUS COMPUTER SOLUTIONS, INC.</t>
        </is>
      </c>
      <c r="C131" s="0" t="inlineStr">
        <is>
          <t xml:space="preserve">MFGMH9R7GMG3</t>
        </is>
      </c>
      <c r="D131" s="0" t="inlineStr">
        <is>
          <t xml:space="preserve">USA</t>
        </is>
      </c>
      <c r="E131" s="0" t="inlineStr">
        <is>
          <t xml:space="preserve">4234</t>
        </is>
      </c>
      <c r="F131" s="0" t="inlineStr">
        <is>
          <t xml:space="preserve">Computer and Computer Peripheral Equipment and Software Merchant Wholesalers</t>
        </is>
      </c>
      <c r="G131" s="5">
        <v>12.558632639999995</v>
      </c>
      <c r="H131" s="0" t="inlineStr">
        <is>
          <t xml:space="preserve">supplier</t>
        </is>
      </c>
      <c r="I131" s="0" t="inlineStr">
        <is>
          <t xml:space="preserve">unbucketed</t>
        </is>
      </c>
      <c r="J131" s="0" t="inlineStr">
        <is>
          <t xml:space="preserve">residual</t>
        </is>
      </c>
      <c r="K131" s="5">
        <v>0</v>
      </c>
      <c r="L131" s="5">
        <v>0</v>
      </c>
      <c r="M131" s="5">
        <v>0.0</v>
      </c>
      <c r="N131" s="5">
        <v>0.0</v>
      </c>
      <c r="O131" s="5">
        <v>0.0</v>
      </c>
      <c r="P131" s="5">
        <v>0.0</v>
      </c>
      <c r="Q131" s="5">
        <v>0.0</v>
      </c>
    </row>
    <row r="132" outlineLevel="1">
      <c r="B132" s="0" t="inlineStr">
        <is>
          <t xml:space="preserve">WESTERN INDUSTRIAL MACHINING, INC.</t>
        </is>
      </c>
      <c r="C132" s="0" t="inlineStr">
        <is>
          <t xml:space="preserve">C1E2GZE3JAE3</t>
        </is>
      </c>
      <c r="D132" s="0" t="inlineStr">
        <is>
          <t xml:space="preserve">-</t>
        </is>
      </c>
      <c r="E132" s="0" t="inlineStr">
        <is>
          <t xml:space="preserve">-</t>
        </is>
      </c>
      <c r="F132" s="0" t="inlineStr">
        <is>
          <t xml:space="preserve">-</t>
        </is>
      </c>
      <c r="G132" s="5">
        <v>12.47996127</v>
      </c>
      <c r="H132" s="0" t="inlineStr">
        <is>
          <t xml:space="preserve">supplier</t>
        </is>
      </c>
      <c r="I132" s="0" t="inlineStr">
        <is>
          <t xml:space="preserve">unbucketed</t>
        </is>
      </c>
      <c r="J132" s="0" t="inlineStr">
        <is>
          <t xml:space="preserve">residual</t>
        </is>
      </c>
      <c r="K132" s="5">
        <v>0</v>
      </c>
      <c r="L132" s="5">
        <v>0</v>
      </c>
      <c r="M132" s="5">
        <v>0.0</v>
      </c>
      <c r="N132" s="5">
        <v>0.0</v>
      </c>
      <c r="O132" s="5">
        <v>0.0</v>
      </c>
      <c r="P132" s="5">
        <v>0.0</v>
      </c>
      <c r="Q132" s="5">
        <v>0.0</v>
      </c>
    </row>
    <row r="133" outlineLevel="1">
      <c r="B133" s="0" t="inlineStr">
        <is>
          <t xml:space="preserve">RIVERSIDE MACHINE AND ENGINEERING, INC.</t>
        </is>
      </c>
      <c r="C133" s="0" t="inlineStr">
        <is>
          <t xml:space="preserve">H8EMU1KBTBE7</t>
        </is>
      </c>
      <c r="D133" s="0" t="inlineStr">
        <is>
          <t xml:space="preserve">-</t>
        </is>
      </c>
      <c r="E133" s="0" t="inlineStr">
        <is>
          <t xml:space="preserve">-</t>
        </is>
      </c>
      <c r="F133" s="0" t="inlineStr">
        <is>
          <t xml:space="preserve">-</t>
        </is>
      </c>
      <c r="G133" s="5">
        <v>12.369793999999999</v>
      </c>
      <c r="H133" s="0" t="inlineStr">
        <is>
          <t xml:space="preserve">supplier</t>
        </is>
      </c>
      <c r="I133" s="0" t="inlineStr">
        <is>
          <t xml:space="preserve">unbucketed</t>
        </is>
      </c>
      <c r="J133" s="0" t="inlineStr">
        <is>
          <t xml:space="preserve">residual</t>
        </is>
      </c>
      <c r="K133" s="5">
        <v>0</v>
      </c>
      <c r="L133" s="5">
        <v>0</v>
      </c>
      <c r="M133" s="5">
        <v>0.0</v>
      </c>
      <c r="N133" s="5">
        <v>0.0</v>
      </c>
      <c r="O133" s="5">
        <v>0.0</v>
      </c>
      <c r="P133" s="5">
        <v>0.0</v>
      </c>
      <c r="Q133" s="5">
        <v>0.0</v>
      </c>
    </row>
    <row r="134" outlineLevel="1">
      <c r="B134" s="0" t="inlineStr">
        <is>
          <t xml:space="preserve">RAYTHEON TECHNOLOGIES CORPORATION</t>
        </is>
      </c>
      <c r="C134" s="0" t="inlineStr">
        <is>
          <t xml:space="preserve">WJ11TE8ERKT1</t>
        </is>
      </c>
      <c r="D134" s="0" t="inlineStr">
        <is>
          <t xml:space="preserve">-</t>
        </is>
      </c>
      <c r="E134" s="0" t="inlineStr">
        <is>
          <t xml:space="preserve">-</t>
        </is>
      </c>
      <c r="F134" s="0" t="inlineStr">
        <is>
          <t xml:space="preserve">-</t>
        </is>
      </c>
      <c r="G134" s="5">
        <v>12.340133130000002</v>
      </c>
      <c r="H134" s="0" t="inlineStr">
        <is>
          <t xml:space="preserve">service</t>
        </is>
      </c>
      <c r="I134" s="0" t="inlineStr">
        <is>
          <t xml:space="preserve">-</t>
        </is>
      </c>
      <c r="J134" s="0" t="inlineStr">
        <is>
          <t xml:space="preserve">registry</t>
        </is>
      </c>
      <c r="K134" s="5">
        <v>0</v>
      </c>
      <c r="L134" s="5">
        <v>0</v>
      </c>
      <c r="M134" s="5">
        <v>0.0</v>
      </c>
      <c r="N134" s="5">
        <v>0.0</v>
      </c>
      <c r="O134" s="5">
        <v>0.0</v>
      </c>
      <c r="P134" s="5">
        <v>0.0</v>
      </c>
      <c r="Q134" s="5">
        <v>0.0</v>
      </c>
    </row>
    <row r="135" outlineLevel="1">
      <c r="B135" s="0" t="inlineStr">
        <is>
          <t xml:space="preserve">STAR LAB CORP.</t>
        </is>
      </c>
      <c r="C135" s="0" t="inlineStr">
        <is>
          <t xml:space="preserve">UADFAUDS5Q14</t>
        </is>
      </c>
      <c r="D135" s="0" t="inlineStr">
        <is>
          <t xml:space="preserve">-</t>
        </is>
      </c>
      <c r="E135" s="0" t="inlineStr">
        <is>
          <t xml:space="preserve">-</t>
        </is>
      </c>
      <c r="F135" s="0" t="inlineStr">
        <is>
          <t xml:space="preserve">-</t>
        </is>
      </c>
      <c r="G135" s="5">
        <v>11.86157881</v>
      </c>
      <c r="H135" s="0" t="inlineStr">
        <is>
          <t xml:space="preserve">supplier</t>
        </is>
      </c>
      <c r="I135" s="0" t="inlineStr">
        <is>
          <t xml:space="preserve">unbucketed</t>
        </is>
      </c>
      <c r="J135" s="0" t="inlineStr">
        <is>
          <t xml:space="preserve">residual</t>
        </is>
      </c>
      <c r="K135" s="5">
        <v>0</v>
      </c>
      <c r="L135" s="5">
        <v>0</v>
      </c>
      <c r="M135" s="5">
        <v>0.0</v>
      </c>
      <c r="N135" s="5">
        <v>0.0</v>
      </c>
      <c r="O135" s="5">
        <v>0.0</v>
      </c>
      <c r="P135" s="5">
        <v>0.0</v>
      </c>
      <c r="Q135" s="5">
        <v>0.0</v>
      </c>
    </row>
    <row r="136" outlineLevel="1">
      <c r="B136" s="0" t="inlineStr">
        <is>
          <t xml:space="preserve">MIDCON CABLES CO, INC.</t>
        </is>
      </c>
      <c r="C136" s="0" t="inlineStr">
        <is>
          <t xml:space="preserve">S6KEGRLJSRZ4</t>
        </is>
      </c>
      <c r="D136" s="0" t="inlineStr">
        <is>
          <t xml:space="preserve">-</t>
        </is>
      </c>
      <c r="E136" s="0" t="inlineStr">
        <is>
          <t xml:space="preserve">-</t>
        </is>
      </c>
      <c r="F136" s="0" t="inlineStr">
        <is>
          <t xml:space="preserve">-</t>
        </is>
      </c>
      <c r="G136" s="5">
        <v>11.760538000000002</v>
      </c>
      <c r="H136" s="0" t="inlineStr">
        <is>
          <t xml:space="preserve">supplier</t>
        </is>
      </c>
      <c r="I136" s="0" t="inlineStr">
        <is>
          <t xml:space="preserve">unbucketed</t>
        </is>
      </c>
      <c r="J136" s="0" t="inlineStr">
        <is>
          <t xml:space="preserve">residual</t>
        </is>
      </c>
      <c r="K136" s="5">
        <v>0</v>
      </c>
      <c r="L136" s="5">
        <v>0</v>
      </c>
      <c r="M136" s="5">
        <v>0.0</v>
      </c>
      <c r="N136" s="5">
        <v>0.0</v>
      </c>
      <c r="O136" s="5">
        <v>0.0</v>
      </c>
      <c r="P136" s="5">
        <v>0.0</v>
      </c>
      <c r="Q136" s="5">
        <v>0.0</v>
      </c>
    </row>
    <row r="137" outlineLevel="1">
      <c r="B137" s="0" t="inlineStr">
        <is>
          <t xml:space="preserve">CARMIN INDUSTRIES, INC.</t>
        </is>
      </c>
      <c r="C137" s="0" t="inlineStr">
        <is>
          <t xml:space="preserve">ZNF9TR5FKT76</t>
        </is>
      </c>
      <c r="D137" s="0" t="inlineStr">
        <is>
          <t xml:space="preserve">-</t>
        </is>
      </c>
      <c r="E137" s="0" t="inlineStr">
        <is>
          <t xml:space="preserve">-</t>
        </is>
      </c>
      <c r="F137" s="0" t="inlineStr">
        <is>
          <t xml:space="preserve">-</t>
        </is>
      </c>
      <c r="G137" s="5">
        <v>11.505776870000002</v>
      </c>
      <c r="H137" s="0" t="inlineStr">
        <is>
          <t xml:space="preserve">supplier</t>
        </is>
      </c>
      <c r="I137" s="0" t="inlineStr">
        <is>
          <t xml:space="preserve">unbucketed</t>
        </is>
      </c>
      <c r="J137" s="0" t="inlineStr">
        <is>
          <t xml:space="preserve">residual</t>
        </is>
      </c>
      <c r="K137" s="5">
        <v>0</v>
      </c>
      <c r="L137" s="5">
        <v>0</v>
      </c>
      <c r="M137" s="5">
        <v>0.0</v>
      </c>
      <c r="N137" s="5">
        <v>0.0</v>
      </c>
      <c r="O137" s="5">
        <v>0.0</v>
      </c>
      <c r="P137" s="5">
        <v>0.0</v>
      </c>
      <c r="Q137" s="5">
        <v>0.0</v>
      </c>
    </row>
    <row r="138" outlineLevel="1">
      <c r="B138" s="0" t="inlineStr">
        <is>
          <t xml:space="preserve">BERKSHIRE HATHAWAY INC.</t>
        </is>
      </c>
      <c r="C138" s="0" t="inlineStr">
        <is>
          <t xml:space="preserve">ENNXJDZUYCK3</t>
        </is>
      </c>
      <c r="D138" s="0" t="inlineStr">
        <is>
          <t xml:space="preserve">USA</t>
        </is>
      </c>
      <c r="E138" s="0" t="inlineStr">
        <is>
          <t xml:space="preserve">5511</t>
        </is>
      </c>
      <c r="F138" s="0" t="inlineStr">
        <is>
          <t xml:space="preserve">Offices of Other Holding Companies</t>
        </is>
      </c>
      <c r="G138" s="5">
        <v>11.504541</v>
      </c>
      <c r="H138" s="0" t="inlineStr">
        <is>
          <t xml:space="preserve">holding</t>
        </is>
      </c>
      <c r="I138" s="0" t="inlineStr">
        <is>
          <t xml:space="preserve">-</t>
        </is>
      </c>
      <c r="J138" s="0" t="inlineStr">
        <is>
          <t xml:space="preserve">holding-co (5511)</t>
        </is>
      </c>
      <c r="K138" s="5">
        <v>0</v>
      </c>
      <c r="L138" s="5">
        <v>0</v>
      </c>
      <c r="M138" s="5">
        <v>11.504541</v>
      </c>
      <c r="N138" s="5">
        <v>11.504541</v>
      </c>
      <c r="O138" s="5">
        <v>0.0</v>
      </c>
      <c r="P138" s="5">
        <v>0.0</v>
      </c>
      <c r="Q138" s="5">
        <v>0.0</v>
      </c>
    </row>
    <row r="139" outlineLevel="1">
      <c r="B139" s="0" t="inlineStr">
        <is>
          <t xml:space="preserve">OCTOPUS INDUSTRIES, INC.</t>
        </is>
      </c>
      <c r="C139" s="0" t="inlineStr">
        <is>
          <t xml:space="preserve">G78MQ69BN636</t>
        </is>
      </c>
      <c r="D139" s="0" t="inlineStr">
        <is>
          <t xml:space="preserve">Foreign</t>
        </is>
      </c>
      <c r="E139" s="0" t="inlineStr">
        <is>
          <t xml:space="preserve">-</t>
        </is>
      </c>
      <c r="F139" s="0" t="inlineStr">
        <is>
          <t xml:space="preserve">-</t>
        </is>
      </c>
      <c r="G139" s="5">
        <v>11.294669969999998</v>
      </c>
      <c r="H139" s="0" t="inlineStr">
        <is>
          <t xml:space="preserve">foreign_fms</t>
        </is>
      </c>
      <c r="I139" s="0" t="inlineStr">
        <is>
          <t xml:space="preserve">-</t>
        </is>
      </c>
      <c r="J139" s="0" t="inlineStr">
        <is>
          <t xml:space="preserve">foreign flag</t>
        </is>
      </c>
      <c r="K139" s="5">
        <v>0</v>
      </c>
      <c r="L139" s="5">
        <v>0</v>
      </c>
      <c r="M139" s="5">
        <v>11.294669969999998</v>
      </c>
      <c r="N139" s="5">
        <v>0.0</v>
      </c>
      <c r="O139" s="5">
        <v>0.0</v>
      </c>
      <c r="P139" s="5">
        <v>0.0</v>
      </c>
      <c r="Q139" s="5">
        <v>0.0</v>
      </c>
    </row>
    <row r="140" outlineLevel="1">
      <c r="B140" s="0" t="inlineStr">
        <is>
          <t xml:space="preserve">MISSION SOLUTIONS LLC</t>
        </is>
      </c>
      <c r="C140" s="0" t="inlineStr">
        <is>
          <t xml:space="preserve">VVQ8NPGU36B7</t>
        </is>
      </c>
      <c r="D140" s="0" t="inlineStr">
        <is>
          <t xml:space="preserve">-</t>
        </is>
      </c>
      <c r="E140" s="0" t="inlineStr">
        <is>
          <t xml:space="preserve">-</t>
        </is>
      </c>
      <c r="F140" s="0" t="inlineStr">
        <is>
          <t xml:space="preserve">-</t>
        </is>
      </c>
      <c r="G140" s="5">
        <v>11.042895750000001</v>
      </c>
      <c r="H140" s="0" t="inlineStr">
        <is>
          <t xml:space="preserve">holding</t>
        </is>
      </c>
      <c r="I140" s="0" t="inlineStr">
        <is>
          <t xml:space="preserve">-</t>
        </is>
      </c>
      <c r="J140" s="0" t="inlineStr">
        <is>
          <t xml:space="preserve">registry</t>
        </is>
      </c>
      <c r="K140" s="5">
        <v>0</v>
      </c>
      <c r="L140" s="5">
        <v>0</v>
      </c>
      <c r="M140" s="5">
        <v>0.0</v>
      </c>
      <c r="N140" s="5">
        <v>0.0</v>
      </c>
      <c r="O140" s="5">
        <v>0.0</v>
      </c>
      <c r="P140" s="5">
        <v>0.0</v>
      </c>
      <c r="Q140" s="5">
        <v>0.0</v>
      </c>
    </row>
    <row r="141" outlineLevel="1">
      <c r="B141" s="0" t="inlineStr">
        <is>
          <t xml:space="preserve">KYOCERA CORPORATION</t>
        </is>
      </c>
      <c r="C141" s="0" t="inlineStr">
        <is>
          <t xml:space="preserve">DDEHCE9C19T3</t>
        </is>
      </c>
      <c r="D141" s="0" t="inlineStr">
        <is>
          <t xml:space="preserve">-</t>
        </is>
      </c>
      <c r="E141" s="0" t="inlineStr">
        <is>
          <t xml:space="preserve">-</t>
        </is>
      </c>
      <c r="F141" s="0" t="inlineStr">
        <is>
          <t xml:space="preserve">-</t>
        </is>
      </c>
      <c r="G141" s="5">
        <v>10.9652256</v>
      </c>
      <c r="H141" s="0" t="inlineStr">
        <is>
          <t xml:space="preserve">supplier</t>
        </is>
      </c>
      <c r="I141" s="0" t="inlineStr">
        <is>
          <t xml:space="preserve">unbucketed</t>
        </is>
      </c>
      <c r="J141" s="0" t="inlineStr">
        <is>
          <t xml:space="preserve">residual</t>
        </is>
      </c>
      <c r="K141" s="5">
        <v>0</v>
      </c>
      <c r="L141" s="5">
        <v>0</v>
      </c>
      <c r="M141" s="5">
        <v>0.0</v>
      </c>
      <c r="N141" s="5">
        <v>0.0</v>
      </c>
      <c r="O141" s="5">
        <v>0.0</v>
      </c>
      <c r="P141" s="5">
        <v>0.0</v>
      </c>
      <c r="Q141" s="5">
        <v>0.0</v>
      </c>
    </row>
    <row r="142" outlineLevel="1">
      <c r="B142" s="0" t="inlineStr">
        <is>
          <t xml:space="preserve">TRANSDIGM GROUP INCORPORATED</t>
        </is>
      </c>
      <c r="C142" s="0" t="inlineStr">
        <is>
          <t xml:space="preserve">UVFUAL43AP15</t>
        </is>
      </c>
      <c r="D142" s="0" t="inlineStr">
        <is>
          <t xml:space="preserve">USA</t>
        </is>
      </c>
      <c r="E142" s="0" t="inlineStr">
        <is>
          <t xml:space="preserve">3341</t>
        </is>
      </c>
      <c r="F142" s="0" t="inlineStr">
        <is>
          <t xml:space="preserve">Electronic Computer Manufacturing</t>
        </is>
      </c>
      <c r="G142" s="5">
        <v>10.77769</v>
      </c>
      <c r="H142" s="0" t="inlineStr">
        <is>
          <t xml:space="preserve">mission_systems</t>
        </is>
      </c>
      <c r="I142" s="0" t="inlineStr">
        <is>
          <t xml:space="preserve">-</t>
        </is>
      </c>
      <c r="J142" s="0" t="inlineStr">
        <is>
          <t xml:space="preserve">registry</t>
        </is>
      </c>
      <c r="K142" s="5">
        <v>0</v>
      </c>
      <c r="L142" s="5">
        <v>0</v>
      </c>
      <c r="M142" s="5">
        <v>0.0</v>
      </c>
      <c r="N142" s="5">
        <v>0.0</v>
      </c>
      <c r="O142" s="5">
        <v>0.0</v>
      </c>
      <c r="P142" s="5">
        <v>0.0</v>
      </c>
      <c r="Q142" s="5">
        <v>0.0</v>
      </c>
    </row>
    <row r="143" outlineLevel="1">
      <c r="B143" s="0" t="inlineStr">
        <is>
          <t xml:space="preserve">ADI TECHNOLOGIES INC.</t>
        </is>
      </c>
      <c r="C143" s="0" t="inlineStr">
        <is>
          <t xml:space="preserve">LM35HWEVUPH3</t>
        </is>
      </c>
      <c r="D143" s="0" t="inlineStr">
        <is>
          <t xml:space="preserve">USA</t>
        </is>
      </c>
      <c r="E143" s="0" t="inlineStr">
        <is>
          <t xml:space="preserve">5416</t>
        </is>
      </c>
      <c r="F143" s="0" t="inlineStr">
        <is>
          <t xml:space="preserve">Marketing Consulting Services</t>
        </is>
      </c>
      <c r="G143" s="5">
        <v>10.763202130000002</v>
      </c>
      <c r="H143" s="0" t="inlineStr">
        <is>
          <t xml:space="preserve">service</t>
        </is>
      </c>
      <c r="I143" s="0" t="inlineStr">
        <is>
          <t xml:space="preserve">-</t>
        </is>
      </c>
      <c r="J143" s="0" t="inlineStr">
        <is>
          <t xml:space="preserve">registry</t>
        </is>
      </c>
      <c r="K143" s="5">
        <v>0</v>
      </c>
      <c r="L143" s="5">
        <v>0</v>
      </c>
      <c r="M143" s="5">
        <v>10.763202130000002</v>
      </c>
      <c r="N143" s="5">
        <v>0.0</v>
      </c>
      <c r="O143" s="5">
        <v>0.0</v>
      </c>
      <c r="P143" s="5">
        <v>0.02872507</v>
      </c>
      <c r="Q143" s="5">
        <v>7.139178060000002</v>
      </c>
    </row>
    <row r="144" outlineLevel="1">
      <c r="B144" s="0" t="inlineStr">
        <is>
          <t xml:space="preserve">SKYWORKS SOLUTIONS, INC.</t>
        </is>
      </c>
      <c r="C144" s="0" t="inlineStr">
        <is>
          <t xml:space="preserve">CXLJC3UHLZT9</t>
        </is>
      </c>
      <c r="D144" s="0" t="inlineStr">
        <is>
          <t xml:space="preserve">-</t>
        </is>
      </c>
      <c r="E144" s="0" t="inlineStr">
        <is>
          <t xml:space="preserve">-</t>
        </is>
      </c>
      <c r="F144" s="0" t="inlineStr">
        <is>
          <t xml:space="preserve">-</t>
        </is>
      </c>
      <c r="G144" s="5">
        <v>10.7253905</v>
      </c>
      <c r="H144" s="0" t="inlineStr">
        <is>
          <t xml:space="preserve">supplier</t>
        </is>
      </c>
      <c r="I144" s="0" t="inlineStr">
        <is>
          <t xml:space="preserve">unbucketed</t>
        </is>
      </c>
      <c r="J144" s="0" t="inlineStr">
        <is>
          <t xml:space="preserve">residual</t>
        </is>
      </c>
      <c r="K144" s="5">
        <v>0</v>
      </c>
      <c r="L144" s="5">
        <v>0</v>
      </c>
      <c r="M144" s="5">
        <v>0.0</v>
      </c>
      <c r="N144" s="5">
        <v>0.0</v>
      </c>
      <c r="O144" s="5">
        <v>0.0</v>
      </c>
      <c r="P144" s="5">
        <v>0.0</v>
      </c>
      <c r="Q144" s="5">
        <v>0.0</v>
      </c>
    </row>
    <row r="145" outlineLevel="1">
      <c r="B145" s="0" t="inlineStr">
        <is>
          <t xml:space="preserve">TELEDYNE TECHNOLOGIES INCORPORATED</t>
        </is>
      </c>
      <c r="C145" s="0" t="inlineStr">
        <is>
          <t xml:space="preserve">FBRSJB6V4LW8</t>
        </is>
      </c>
      <c r="D145" s="0" t="inlineStr">
        <is>
          <t xml:space="preserve">USA</t>
        </is>
      </c>
      <c r="E145" s="0" t="inlineStr">
        <is>
          <t xml:space="preserve">3344</t>
        </is>
      </c>
      <c r="F145" s="0" t="inlineStr">
        <is>
          <t xml:space="preserve">Other Electronic Component Manufacturing</t>
        </is>
      </c>
      <c r="G145" s="5">
        <v>10.664885000000002</v>
      </c>
      <c r="H145" s="0" t="inlineStr">
        <is>
          <t xml:space="preserve">supplier</t>
        </is>
      </c>
      <c r="I145" s="0" t="inlineStr">
        <is>
          <t xml:space="preserve">unbucketed</t>
        </is>
      </c>
      <c r="J145" s="0" t="inlineStr">
        <is>
          <t xml:space="preserve">residual</t>
        </is>
      </c>
      <c r="K145" s="5">
        <v>0</v>
      </c>
      <c r="L145" s="5">
        <v>0</v>
      </c>
      <c r="M145" s="5">
        <v>0.0</v>
      </c>
      <c r="N145" s="5">
        <v>0.0</v>
      </c>
      <c r="O145" s="5">
        <v>0.0</v>
      </c>
      <c r="P145" s="5">
        <v>0.0</v>
      </c>
      <c r="Q145" s="5">
        <v>0.0</v>
      </c>
    </row>
    <row r="146" outlineLevel="1">
      <c r="B146" s="0" t="inlineStr">
        <is>
          <t xml:space="preserve">BORG DESIGN, INC.</t>
        </is>
      </c>
      <c r="C146" s="0" t="inlineStr">
        <is>
          <t xml:space="preserve">FJ5KUWG5MEQ3</t>
        </is>
      </c>
      <c r="D146" s="0" t="inlineStr">
        <is>
          <t xml:space="preserve">-</t>
        </is>
      </c>
      <c r="E146" s="0" t="inlineStr">
        <is>
          <t xml:space="preserve">-</t>
        </is>
      </c>
      <c r="F146" s="0" t="inlineStr">
        <is>
          <t xml:space="preserve">-</t>
        </is>
      </c>
      <c r="G146" s="5">
        <v>10.640720000000002</v>
      </c>
      <c r="H146" s="0" t="inlineStr">
        <is>
          <t xml:space="preserve">supplier</t>
        </is>
      </c>
      <c r="I146" s="0" t="inlineStr">
        <is>
          <t xml:space="preserve">unbucketed</t>
        </is>
      </c>
      <c r="J146" s="0" t="inlineStr">
        <is>
          <t xml:space="preserve">residual</t>
        </is>
      </c>
      <c r="K146" s="5">
        <v>0</v>
      </c>
      <c r="L146" s="5">
        <v>0</v>
      </c>
      <c r="M146" s="5">
        <v>0.0</v>
      </c>
      <c r="N146" s="5">
        <v>0.0</v>
      </c>
      <c r="O146" s="5">
        <v>0.0</v>
      </c>
      <c r="P146" s="5">
        <v>0.0</v>
      </c>
      <c r="Q146" s="5">
        <v>0.0</v>
      </c>
    </row>
    <row r="147" outlineLevel="1">
      <c r="B147" s="0" t="inlineStr">
        <is>
          <t xml:space="preserve">SCOT FORGE COMPANY</t>
        </is>
      </c>
      <c r="C147" s="0" t="inlineStr">
        <is>
          <t xml:space="preserve">N1PJDANWUJ61</t>
        </is>
      </c>
      <c r="D147" s="0" t="inlineStr">
        <is>
          <t xml:space="preserve">-</t>
        </is>
      </c>
      <c r="E147" s="0" t="inlineStr">
        <is>
          <t xml:space="preserve">-</t>
        </is>
      </c>
      <c r="F147" s="0" t="inlineStr">
        <is>
          <t xml:space="preserve">-</t>
        </is>
      </c>
      <c r="G147" s="5">
        <v>10.578436</v>
      </c>
      <c r="H147" s="0" t="inlineStr">
        <is>
          <t xml:space="preserve">supplier</t>
        </is>
      </c>
      <c r="I147" s="0" t="inlineStr">
        <is>
          <t xml:space="preserve">castings</t>
        </is>
      </c>
      <c r="J147" s="0" t="inlineStr">
        <is>
          <t xml:space="preserve">registry</t>
        </is>
      </c>
      <c r="K147" s="5">
        <v>0</v>
      </c>
      <c r="L147" s="5">
        <v>0</v>
      </c>
      <c r="M147" s="5">
        <v>0.040896</v>
      </c>
      <c r="N147" s="5">
        <v>0.0</v>
      </c>
      <c r="O147" s="5">
        <v>0.0</v>
      </c>
      <c r="P147" s="5">
        <v>0.0</v>
      </c>
      <c r="Q147" s="5">
        <v>0.040896</v>
      </c>
    </row>
    <row r="148" outlineLevel="1">
      <c r="B148" s="0" t="inlineStr">
        <is>
          <t xml:space="preserve">N T M, INC.</t>
        </is>
      </c>
      <c r="C148" s="0" t="inlineStr">
        <is>
          <t xml:space="preserve">Q6U3PVL5BND8</t>
        </is>
      </c>
      <c r="D148" s="0" t="inlineStr">
        <is>
          <t xml:space="preserve">-</t>
        </is>
      </c>
      <c r="E148" s="0" t="inlineStr">
        <is>
          <t xml:space="preserve">-</t>
        </is>
      </c>
      <c r="F148" s="0" t="inlineStr">
        <is>
          <t xml:space="preserve">-</t>
        </is>
      </c>
      <c r="G148" s="5">
        <v>10.487124629999999</v>
      </c>
      <c r="H148" s="0" t="inlineStr">
        <is>
          <t xml:space="preserve">supplier</t>
        </is>
      </c>
      <c r="I148" s="0" t="inlineStr">
        <is>
          <t xml:space="preserve">unbucketed</t>
        </is>
      </c>
      <c r="J148" s="0" t="inlineStr">
        <is>
          <t xml:space="preserve">residual</t>
        </is>
      </c>
      <c r="K148" s="5">
        <v>0</v>
      </c>
      <c r="L148" s="5">
        <v>0</v>
      </c>
      <c r="M148" s="5">
        <v>0.0</v>
      </c>
      <c r="N148" s="5">
        <v>0.0</v>
      </c>
      <c r="O148" s="5">
        <v>0.0</v>
      </c>
      <c r="P148" s="5">
        <v>0.0</v>
      </c>
      <c r="Q148" s="5">
        <v>0.0</v>
      </c>
    </row>
    <row r="149" outlineLevel="1">
      <c r="B149" s="0" t="inlineStr">
        <is>
          <t xml:space="preserve">MERCURY SYSTEMS INC</t>
        </is>
      </c>
      <c r="C149" s="0" t="inlineStr">
        <is>
          <t xml:space="preserve">J51ULX3CNCZ4</t>
        </is>
      </c>
      <c r="D149" s="0" t="inlineStr">
        <is>
          <t xml:space="preserve">USA</t>
        </is>
      </c>
      <c r="E149" s="0" t="inlineStr">
        <is>
          <t xml:space="preserve">3341</t>
        </is>
      </c>
      <c r="F149" s="0" t="inlineStr">
        <is>
          <t xml:space="preserve">Electronic Computer Manufacturing</t>
        </is>
      </c>
      <c r="G149" s="5">
        <v>10.411878719999999</v>
      </c>
      <c r="H149" s="0" t="inlineStr">
        <is>
          <t xml:space="preserve">mission_systems</t>
        </is>
      </c>
      <c r="I149" s="0" t="inlineStr">
        <is>
          <t xml:space="preserve">-</t>
        </is>
      </c>
      <c r="J149" s="0" t="inlineStr">
        <is>
          <t xml:space="preserve">registry</t>
        </is>
      </c>
      <c r="K149" s="5">
        <v>0</v>
      </c>
      <c r="L149" s="5">
        <v>0</v>
      </c>
      <c r="M149" s="5">
        <v>0.0</v>
      </c>
      <c r="N149" s="5">
        <v>0.0</v>
      </c>
      <c r="O149" s="5">
        <v>0.0</v>
      </c>
      <c r="P149" s="5">
        <v>0.0</v>
      </c>
      <c r="Q149" s="5">
        <v>0.0</v>
      </c>
    </row>
    <row r="150" outlineLevel="1">
      <c r="B150" s="0" t="inlineStr">
        <is>
          <t xml:space="preserve">DUCOMMUN LABARGE TECHNOLOGIES, INC.</t>
        </is>
      </c>
      <c r="C150" s="0" t="inlineStr">
        <is>
          <t xml:space="preserve">PEPBCBSN2AH3</t>
        </is>
      </c>
      <c r="D150" s="0" t="inlineStr">
        <is>
          <t xml:space="preserve">-</t>
        </is>
      </c>
      <c r="E150" s="0" t="inlineStr">
        <is>
          <t xml:space="preserve">-</t>
        </is>
      </c>
      <c r="F150" s="0" t="inlineStr">
        <is>
          <t xml:space="preserve">-</t>
        </is>
      </c>
      <c r="G150" s="5">
        <v>10.381783</v>
      </c>
      <c r="H150" s="0" t="inlineStr">
        <is>
          <t xml:space="preserve">supplier</t>
        </is>
      </c>
      <c r="I150" s="0" t="inlineStr">
        <is>
          <t xml:space="preserve">unbucketed</t>
        </is>
      </c>
      <c r="J150" s="0" t="inlineStr">
        <is>
          <t xml:space="preserve">residual</t>
        </is>
      </c>
      <c r="K150" s="5">
        <v>0</v>
      </c>
      <c r="L150" s="5">
        <v>0</v>
      </c>
      <c r="M150" s="5">
        <v>0.0</v>
      </c>
      <c r="N150" s="5">
        <v>0.0</v>
      </c>
      <c r="O150" s="5">
        <v>0.0</v>
      </c>
      <c r="P150" s="5">
        <v>0.0</v>
      </c>
      <c r="Q150" s="5">
        <v>0.0</v>
      </c>
    </row>
    <row r="151" outlineLevel="1">
      <c r="B151" s="0" t="inlineStr">
        <is>
          <t xml:space="preserve">RAYCO ELECTRONIC MFG.INC.</t>
        </is>
      </c>
      <c r="C151" s="0" t="inlineStr">
        <is>
          <t xml:space="preserve">CF35WM68N343</t>
        </is>
      </c>
      <c r="D151" s="0" t="inlineStr">
        <is>
          <t xml:space="preserve">-</t>
        </is>
      </c>
      <c r="E151" s="0" t="inlineStr">
        <is>
          <t xml:space="preserve">-</t>
        </is>
      </c>
      <c r="F151" s="0" t="inlineStr">
        <is>
          <t xml:space="preserve">-</t>
        </is>
      </c>
      <c r="G151" s="5">
        <v>10.36856938</v>
      </c>
      <c r="H151" s="0" t="inlineStr">
        <is>
          <t xml:space="preserve">supplier</t>
        </is>
      </c>
      <c r="I151" s="0" t="inlineStr">
        <is>
          <t xml:space="preserve">unbucketed</t>
        </is>
      </c>
      <c r="J151" s="0" t="inlineStr">
        <is>
          <t xml:space="preserve">residual</t>
        </is>
      </c>
      <c r="K151" s="5">
        <v>0</v>
      </c>
      <c r="L151" s="5">
        <v>0</v>
      </c>
      <c r="M151" s="5">
        <v>0.0</v>
      </c>
      <c r="N151" s="5">
        <v>0.0</v>
      </c>
      <c r="O151" s="5">
        <v>0.0</v>
      </c>
      <c r="P151" s="5">
        <v>0.0</v>
      </c>
      <c r="Q151" s="5">
        <v>0.0</v>
      </c>
    </row>
    <row r="152" outlineLevel="1">
      <c r="B152" s="0" t="inlineStr">
        <is>
          <t xml:space="preserve">VIDEO DISPLAY CORPORATION</t>
        </is>
      </c>
      <c r="C152" s="0" t="inlineStr">
        <is>
          <t xml:space="preserve">D99JMB845P75</t>
        </is>
      </c>
      <c r="D152" s="0" t="inlineStr">
        <is>
          <t xml:space="preserve">USA</t>
        </is>
      </c>
      <c r="E152" s="0" t="inlineStr">
        <is>
          <t xml:space="preserve">3343</t>
        </is>
      </c>
      <c r="F152" s="0" t="inlineStr">
        <is>
          <t xml:space="preserve">Audio and Video Equipment Manufacturing</t>
        </is>
      </c>
      <c r="G152" s="5">
        <v>10.304348</v>
      </c>
      <c r="H152" s="0" t="inlineStr">
        <is>
          <t xml:space="preserve">supplier</t>
        </is>
      </c>
      <c r="I152" s="0" t="inlineStr">
        <is>
          <t xml:space="preserve">unbucketed</t>
        </is>
      </c>
      <c r="J152" s="0" t="inlineStr">
        <is>
          <t xml:space="preserve">residual</t>
        </is>
      </c>
      <c r="K152" s="5">
        <v>0</v>
      </c>
      <c r="L152" s="5">
        <v>0</v>
      </c>
      <c r="M152" s="5">
        <v>0.0</v>
      </c>
      <c r="N152" s="5">
        <v>0.0</v>
      </c>
      <c r="O152" s="5">
        <v>0.0</v>
      </c>
      <c r="P152" s="5">
        <v>0.0</v>
      </c>
      <c r="Q152" s="5">
        <v>0.0</v>
      </c>
    </row>
    <row r="153" outlineLevel="1">
      <c r="B153" s="0" t="inlineStr">
        <is>
          <t xml:space="preserve">LAKE SHORE SYSTEMS, INC.</t>
        </is>
      </c>
      <c r="C153" s="0" t="inlineStr">
        <is>
          <t xml:space="preserve">ELC5EVMWFVM8</t>
        </is>
      </c>
      <c r="D153" s="0" t="inlineStr">
        <is>
          <t xml:space="preserve">USA</t>
        </is>
      </c>
      <c r="E153" s="0" t="inlineStr">
        <is>
          <t xml:space="preserve">3366</t>
        </is>
      </c>
      <c r="F153" s="0" t="inlineStr">
        <is>
          <t xml:space="preserve">Ship Building and Repairing</t>
        </is>
      </c>
      <c r="G153" s="5">
        <v>10.240599550000002</v>
      </c>
      <c r="H153" s="0" t="inlineStr">
        <is>
          <t xml:space="preserve">supplier</t>
        </is>
      </c>
      <c r="I153" s="0" t="inlineStr">
        <is>
          <t xml:space="preserve">structural</t>
        </is>
      </c>
      <c r="J153" s="0" t="inlineStr">
        <is>
          <t xml:space="preserve">registry</t>
        </is>
      </c>
      <c r="K153" s="5">
        <v>0</v>
      </c>
      <c r="L153" s="5">
        <v>0</v>
      </c>
      <c r="M153" s="5">
        <v>10.240599550000002</v>
      </c>
      <c r="N153" s="5">
        <v>0.0</v>
      </c>
      <c r="O153" s="5">
        <v>0.0</v>
      </c>
      <c r="P153" s="5">
        <v>0.0</v>
      </c>
      <c r="Q153" s="5">
        <v>0.0</v>
      </c>
    </row>
    <row r="154" outlineLevel="1">
      <c r="B154" s="0" t="inlineStr">
        <is>
          <t xml:space="preserve">PEERLESS MFG CO</t>
        </is>
      </c>
      <c r="C154" s="0" t="inlineStr">
        <is>
          <t xml:space="preserve">V8HGGNTGDH59</t>
        </is>
      </c>
      <c r="D154" s="0" t="inlineStr">
        <is>
          <t xml:space="preserve">-</t>
        </is>
      </c>
      <c r="E154" s="0" t="inlineStr">
        <is>
          <t xml:space="preserve">-</t>
        </is>
      </c>
      <c r="F154" s="0" t="inlineStr">
        <is>
          <t xml:space="preserve">-</t>
        </is>
      </c>
      <c r="G154" s="5">
        <v>10.172551980000001</v>
      </c>
      <c r="H154" s="0" t="inlineStr">
        <is>
          <t xml:space="preserve">supplier</t>
        </is>
      </c>
      <c r="I154" s="0" t="inlineStr">
        <is>
          <t xml:space="preserve">unbucketed</t>
        </is>
      </c>
      <c r="J154" s="0" t="inlineStr">
        <is>
          <t xml:space="preserve">residual</t>
        </is>
      </c>
      <c r="K154" s="5">
        <v>0</v>
      </c>
      <c r="L154" s="5">
        <v>0</v>
      </c>
      <c r="M154" s="5">
        <v>10.172551980000001</v>
      </c>
      <c r="N154" s="5">
        <v>0.0</v>
      </c>
      <c r="O154" s="5">
        <v>0.1528817</v>
      </c>
      <c r="P154" s="5">
        <v>2.87342368</v>
      </c>
      <c r="Q154" s="5">
        <v>7.1462466000000004</v>
      </c>
    </row>
    <row r="155" outlineLevel="1">
      <c r="B155" s="0" t="inlineStr">
        <is>
          <t xml:space="preserve">RHINESTAHL CORPORATION</t>
        </is>
      </c>
      <c r="C155" s="0" t="inlineStr">
        <is>
          <t xml:space="preserve">K1K5EKJ2KK29</t>
        </is>
      </c>
      <c r="D155" s="0" t="inlineStr">
        <is>
          <t xml:space="preserve">-</t>
        </is>
      </c>
      <c r="E155" s="0" t="inlineStr">
        <is>
          <t xml:space="preserve">-</t>
        </is>
      </c>
      <c r="F155" s="0" t="inlineStr">
        <is>
          <t xml:space="preserve">-</t>
        </is>
      </c>
      <c r="G155" s="5">
        <v>10.070424260000001</v>
      </c>
      <c r="H155" s="0" t="inlineStr">
        <is>
          <t xml:space="preserve">supplier</t>
        </is>
      </c>
      <c r="I155" s="0" t="inlineStr">
        <is>
          <t xml:space="preserve">unbucketed</t>
        </is>
      </c>
      <c r="J155" s="0" t="inlineStr">
        <is>
          <t xml:space="preserve">residual</t>
        </is>
      </c>
      <c r="K155" s="5">
        <v>0</v>
      </c>
      <c r="L155" s="5">
        <v>0</v>
      </c>
      <c r="M155" s="5">
        <v>0.0</v>
      </c>
      <c r="N155" s="5">
        <v>0.0</v>
      </c>
      <c r="O155" s="5">
        <v>0.0</v>
      </c>
      <c r="P155" s="5">
        <v>0.0</v>
      </c>
      <c r="Q155" s="5">
        <v>0.0</v>
      </c>
    </row>
    <row r="156" outlineLevel="1">
      <c r="B156" s="0" t="inlineStr">
        <is>
          <t xml:space="preserve">RAYTHEON COMPANY</t>
        </is>
      </c>
      <c r="C156" s="0" t="inlineStr">
        <is>
          <t xml:space="preserve">WJ11TE8ERKT1</t>
        </is>
      </c>
      <c r="D156" s="0" t="inlineStr">
        <is>
          <t xml:space="preserve">USA</t>
        </is>
      </c>
      <c r="E156" s="0" t="inlineStr">
        <is>
          <t xml:space="preserve">5413</t>
        </is>
      </c>
      <c r="F156" s="0" t="inlineStr">
        <is>
          <t xml:space="preserve">Engineering Services</t>
        </is>
      </c>
      <c r="G156" s="5">
        <v>10.030827</v>
      </c>
      <c r="H156" s="0" t="inlineStr">
        <is>
          <t xml:space="preserve">service</t>
        </is>
      </c>
      <c r="I156" s="0" t="inlineStr">
        <is>
          <t xml:space="preserve">-</t>
        </is>
      </c>
      <c r="J156" s="0" t="inlineStr">
        <is>
          <t xml:space="preserve">registry</t>
        </is>
      </c>
      <c r="K156" s="5">
        <v>0</v>
      </c>
      <c r="L156" s="5">
        <v>0</v>
      </c>
      <c r="M156" s="5">
        <v>0.0</v>
      </c>
      <c r="N156" s="5">
        <v>0.0</v>
      </c>
      <c r="O156" s="5">
        <v>0.0</v>
      </c>
      <c r="P156" s="5">
        <v>0.0</v>
      </c>
      <c r="Q156" s="5">
        <v>0.0</v>
      </c>
    </row>
    <row r="157" outlineLevel="1">
      <c r="B157" s="0" t="inlineStr">
        <is>
          <t xml:space="preserve">JAMESTOWN METAL MARINE SALES, INC.</t>
        </is>
      </c>
      <c r="C157" s="0" t="inlineStr">
        <is>
          <t xml:space="preserve">QNEXJLA47BM4</t>
        </is>
      </c>
      <c r="D157" s="0" t="inlineStr">
        <is>
          <t xml:space="preserve">-</t>
        </is>
      </c>
      <c r="E157" s="0" t="inlineStr">
        <is>
          <t xml:space="preserve">-</t>
        </is>
      </c>
      <c r="F157" s="0" t="inlineStr">
        <is>
          <t xml:space="preserve">-</t>
        </is>
      </c>
      <c r="G157" s="5">
        <v>9.965639930000005</v>
      </c>
      <c r="H157" s="0" t="inlineStr">
        <is>
          <t xml:space="preserve">supplier</t>
        </is>
      </c>
      <c r="I157" s="0" t="inlineStr">
        <is>
          <t xml:space="preserve">structural</t>
        </is>
      </c>
      <c r="J157" s="0" t="inlineStr">
        <is>
          <t xml:space="preserve">registry</t>
        </is>
      </c>
      <c r="K157" s="5">
        <v>0</v>
      </c>
      <c r="L157" s="5">
        <v>0</v>
      </c>
      <c r="M157" s="5">
        <v>9.965639930000005</v>
      </c>
      <c r="N157" s="5">
        <v>0.134199</v>
      </c>
      <c r="O157" s="5">
        <v>0.869251</v>
      </c>
      <c r="P157" s="5">
        <v>3.214874</v>
      </c>
      <c r="Q157" s="5">
        <v>3.0106916299999997</v>
      </c>
    </row>
    <row r="158" outlineLevel="1">
      <c r="B158" s="0" t="inlineStr">
        <is>
          <t xml:space="preserve">CRISTEK INTERCONNECTS INC</t>
        </is>
      </c>
      <c r="C158" s="0" t="inlineStr">
        <is>
          <t xml:space="preserve">Q9CEKRN3B2U8</t>
        </is>
      </c>
      <c r="D158" s="0" t="inlineStr">
        <is>
          <t xml:space="preserve">-</t>
        </is>
      </c>
      <c r="E158" s="0" t="inlineStr">
        <is>
          <t xml:space="preserve">-</t>
        </is>
      </c>
      <c r="F158" s="0" t="inlineStr">
        <is>
          <t xml:space="preserve">-</t>
        </is>
      </c>
      <c r="G158" s="5">
        <v>9.935033</v>
      </c>
      <c r="H158" s="0" t="inlineStr">
        <is>
          <t xml:space="preserve">supplier</t>
        </is>
      </c>
      <c r="I158" s="0" t="inlineStr">
        <is>
          <t xml:space="preserve">unbucketed</t>
        </is>
      </c>
      <c r="J158" s="0" t="inlineStr">
        <is>
          <t xml:space="preserve">residual</t>
        </is>
      </c>
      <c r="K158" s="5">
        <v>0</v>
      </c>
      <c r="L158" s="5">
        <v>0</v>
      </c>
      <c r="M158" s="5">
        <v>0.0</v>
      </c>
      <c r="N158" s="5">
        <v>0.0</v>
      </c>
      <c r="O158" s="5">
        <v>0.0</v>
      </c>
      <c r="P158" s="5">
        <v>0.0</v>
      </c>
      <c r="Q158" s="5">
        <v>0.0</v>
      </c>
    </row>
    <row r="159" outlineLevel="1">
      <c r="B159" s="0" t="inlineStr">
        <is>
          <t xml:space="preserve">CIRCOR INTERNATIONAL, INC.</t>
        </is>
      </c>
      <c r="C159" s="0" t="inlineStr">
        <is>
          <t xml:space="preserve">JEP5GQGFPUL9</t>
        </is>
      </c>
      <c r="D159" s="0" t="inlineStr">
        <is>
          <t xml:space="preserve">-</t>
        </is>
      </c>
      <c r="E159" s="0" t="inlineStr">
        <is>
          <t xml:space="preserve">-</t>
        </is>
      </c>
      <c r="F159" s="0" t="inlineStr">
        <is>
          <t xml:space="preserve">-</t>
        </is>
      </c>
      <c r="G159" s="5">
        <v>9.78103298</v>
      </c>
      <c r="H159" s="0" t="inlineStr">
        <is>
          <t xml:space="preserve">supplier</t>
        </is>
      </c>
      <c r="I159" s="0" t="inlineStr">
        <is>
          <t xml:space="preserve">piping</t>
        </is>
      </c>
      <c r="J159" s="0" t="inlineStr">
        <is>
          <t xml:space="preserve">registry</t>
        </is>
      </c>
      <c r="K159" s="5">
        <v>0</v>
      </c>
      <c r="L159" s="5">
        <v>0</v>
      </c>
      <c r="M159" s="5">
        <v>9.78103298</v>
      </c>
      <c r="N159" s="5">
        <v>0.23081000000000002</v>
      </c>
      <c r="O159" s="5">
        <v>0.0</v>
      </c>
      <c r="P159" s="5">
        <v>0.0</v>
      </c>
      <c r="Q159" s="5">
        <v>0.0</v>
      </c>
    </row>
    <row r="160" outlineLevel="1">
      <c r="B160" s="0" t="inlineStr">
        <is>
          <t xml:space="preserve">HANWHA TECHWIN CO., LTD.</t>
        </is>
      </c>
      <c r="C160" s="0" t="inlineStr">
        <is>
          <t xml:space="preserve">K5CSHFKMR8C4</t>
        </is>
      </c>
      <c r="D160" s="0" t="inlineStr">
        <is>
          <t xml:space="preserve">KOR</t>
        </is>
      </c>
      <c r="E160" s="0" t="inlineStr">
        <is>
          <t xml:space="preserve">3364</t>
        </is>
      </c>
      <c r="F160" s="0" t="inlineStr">
        <is>
          <t xml:space="preserve">Aircraft Engine and Engine Parts Manufacturing</t>
        </is>
      </c>
      <c r="G160" s="5">
        <v>9.730304</v>
      </c>
      <c r="H160" s="0" t="inlineStr">
        <is>
          <t xml:space="preserve">supplier</t>
        </is>
      </c>
      <c r="I160" s="0" t="inlineStr">
        <is>
          <t xml:space="preserve">unbucketed</t>
        </is>
      </c>
      <c r="J160" s="0" t="inlineStr">
        <is>
          <t xml:space="preserve">residual</t>
        </is>
      </c>
      <c r="K160" s="5">
        <v>0</v>
      </c>
      <c r="L160" s="5">
        <v>0</v>
      </c>
      <c r="M160" s="5">
        <v>0.0</v>
      </c>
      <c r="N160" s="5">
        <v>0.0</v>
      </c>
      <c r="O160" s="5">
        <v>0.0</v>
      </c>
      <c r="P160" s="5">
        <v>0.0</v>
      </c>
      <c r="Q160" s="5">
        <v>0.0</v>
      </c>
    </row>
    <row r="161" outlineLevel="1">
      <c r="B161" s="0" t="inlineStr">
        <is>
          <t xml:space="preserve">MORPAC INDUSTRIES, INC.</t>
        </is>
      </c>
      <c r="C161" s="0" t="inlineStr">
        <is>
          <t xml:space="preserve">FGNQE3RF1FK5</t>
        </is>
      </c>
      <c r="D161" s="0" t="inlineStr">
        <is>
          <t xml:space="preserve">USA</t>
        </is>
      </c>
      <c r="E161" s="0" t="inlineStr">
        <is>
          <t xml:space="preserve">3329</t>
        </is>
      </c>
      <c r="F161" s="0" t="inlineStr">
        <is>
          <t xml:space="preserve">Industrial Valve Manufacturing</t>
        </is>
      </c>
      <c r="G161" s="5">
        <v>9.692330510000001</v>
      </c>
      <c r="H161" s="0" t="inlineStr">
        <is>
          <t xml:space="preserve">supplier</t>
        </is>
      </c>
      <c r="I161" s="0" t="inlineStr">
        <is>
          <t xml:space="preserve">piping</t>
        </is>
      </c>
      <c r="J161" s="0" t="inlineStr">
        <is>
          <t xml:space="preserve">naics4</t>
        </is>
      </c>
      <c r="K161" s="5">
        <v>0</v>
      </c>
      <c r="L161" s="5">
        <v>0</v>
      </c>
      <c r="M161" s="5">
        <v>9.692330510000001</v>
      </c>
      <c r="N161" s="5">
        <v>0.0</v>
      </c>
      <c r="O161" s="5">
        <v>0.0</v>
      </c>
      <c r="P161" s="5">
        <v>0.0</v>
      </c>
      <c r="Q161" s="5">
        <v>0.0</v>
      </c>
    </row>
    <row r="162" outlineLevel="1">
      <c r="B162" s="0" t="inlineStr">
        <is>
          <t xml:space="preserve">LEONARDO SPA</t>
        </is>
      </c>
      <c r="C162" s="0" t="inlineStr">
        <is>
          <t xml:space="preserve">FFZNNUCHG8Z4</t>
        </is>
      </c>
      <c r="D162" s="0" t="inlineStr">
        <is>
          <t xml:space="preserve">ITA</t>
        </is>
      </c>
      <c r="E162" s="0" t="inlineStr">
        <is>
          <t xml:space="preserve">3364</t>
        </is>
      </c>
      <c r="F162" s="0" t="inlineStr">
        <is>
          <t xml:space="preserve">Aircraft Manufacturing</t>
        </is>
      </c>
      <c r="G162" s="5">
        <v>9.670341999999998</v>
      </c>
      <c r="H162" s="0" t="inlineStr">
        <is>
          <t xml:space="preserve">supplier</t>
        </is>
      </c>
      <c r="I162" s="0" t="inlineStr">
        <is>
          <t xml:space="preserve">unbucketed</t>
        </is>
      </c>
      <c r="J162" s="0" t="inlineStr">
        <is>
          <t xml:space="preserve">residual</t>
        </is>
      </c>
      <c r="K162" s="5">
        <v>0</v>
      </c>
      <c r="L162" s="5">
        <v>0</v>
      </c>
      <c r="M162" s="5">
        <v>0.0</v>
      </c>
      <c r="N162" s="5">
        <v>0.0</v>
      </c>
      <c r="O162" s="5">
        <v>0.0</v>
      </c>
      <c r="P162" s="5">
        <v>0.0</v>
      </c>
      <c r="Q162" s="5">
        <v>0.0</v>
      </c>
    </row>
    <row r="163" outlineLevel="1">
      <c r="B163" s="0" t="inlineStr">
        <is>
          <t xml:space="preserve">MAROTTA CONTROLS, INC.</t>
        </is>
      </c>
      <c r="C163" s="0" t="inlineStr">
        <is>
          <t xml:space="preserve">Q35JL9GFCAK3</t>
        </is>
      </c>
      <c r="D163" s="0" t="inlineStr">
        <is>
          <t xml:space="preserve">USA</t>
        </is>
      </c>
      <c r="E163" s="0" t="inlineStr">
        <is>
          <t xml:space="preserve">3329</t>
        </is>
      </c>
      <c r="F163" s="0" t="inlineStr">
        <is>
          <t xml:space="preserve">Fluid Power Valve and Hose Fitting Manufacturing</t>
        </is>
      </c>
      <c r="G163" s="5">
        <v>9.56187319</v>
      </c>
      <c r="H163" s="0" t="inlineStr">
        <is>
          <t xml:space="preserve">supplier</t>
        </is>
      </c>
      <c r="I163" s="0" t="inlineStr">
        <is>
          <t xml:space="preserve">piping</t>
        </is>
      </c>
      <c r="J163" s="0" t="inlineStr">
        <is>
          <t xml:space="preserve">registry</t>
        </is>
      </c>
      <c r="K163" s="5">
        <v>0</v>
      </c>
      <c r="L163" s="5">
        <v>0</v>
      </c>
      <c r="M163" s="5">
        <v>6.775034810000002</v>
      </c>
      <c r="N163" s="5">
        <v>2.73066845</v>
      </c>
      <c r="O163" s="5">
        <v>0.025054240000000002</v>
      </c>
      <c r="P163" s="5">
        <v>0.0</v>
      </c>
      <c r="Q163" s="5">
        <v>0.0</v>
      </c>
    </row>
    <row r="164" outlineLevel="1">
      <c r="B164" s="0" t="inlineStr">
        <is>
          <t xml:space="preserve">ESI ACQUISITION CORP.</t>
        </is>
      </c>
      <c r="C164" s="0" t="inlineStr">
        <is>
          <t xml:space="preserve">LR2HQKYJLDZ7</t>
        </is>
      </c>
      <c r="D164" s="0" t="inlineStr">
        <is>
          <t xml:space="preserve">USA</t>
        </is>
      </c>
      <c r="E164" s="0" t="inlineStr">
        <is>
          <t xml:space="preserve">4238</t>
        </is>
      </c>
      <c r="F164" s="0" t="inlineStr">
        <is>
          <t xml:space="preserve">Industrial Machinery and Equipment Merchant Wholesalers</t>
        </is>
      </c>
      <c r="G164" s="5">
        <v>9.396302799999999</v>
      </c>
      <c r="H164" s="0" t="inlineStr">
        <is>
          <t xml:space="preserve">supplier</t>
        </is>
      </c>
      <c r="I164" s="0" t="inlineStr">
        <is>
          <t xml:space="preserve">unbucketed</t>
        </is>
      </c>
      <c r="J164" s="0" t="inlineStr">
        <is>
          <t xml:space="preserve">registry</t>
        </is>
      </c>
      <c r="K164" s="5">
        <v>0</v>
      </c>
      <c r="L164" s="5">
        <v>0</v>
      </c>
      <c r="M164" s="5">
        <v>9.13029798</v>
      </c>
      <c r="N164" s="5">
        <v>0.675352</v>
      </c>
      <c r="O164" s="5">
        <v>0.0</v>
      </c>
      <c r="P164" s="5">
        <v>0.0</v>
      </c>
      <c r="Q164" s="5">
        <v>0.0</v>
      </c>
    </row>
    <row r="165" outlineLevel="1">
      <c r="B165" s="0" t="inlineStr">
        <is>
          <t xml:space="preserve">ATESSA, INC</t>
        </is>
      </c>
      <c r="C165" s="0" t="inlineStr">
        <is>
          <t xml:space="preserve">DPRHABDR4A45</t>
        </is>
      </c>
      <c r="D165" s="0" t="inlineStr">
        <is>
          <t xml:space="preserve">-</t>
        </is>
      </c>
      <c r="E165" s="0" t="inlineStr">
        <is>
          <t xml:space="preserve">-</t>
        </is>
      </c>
      <c r="F165" s="0" t="inlineStr">
        <is>
          <t xml:space="preserve">-</t>
        </is>
      </c>
      <c r="G165" s="5">
        <v>9.079649999999999</v>
      </c>
      <c r="H165" s="0" t="inlineStr">
        <is>
          <t xml:space="preserve">supplier</t>
        </is>
      </c>
      <c r="I165" s="0" t="inlineStr">
        <is>
          <t xml:space="preserve">unbucketed</t>
        </is>
      </c>
      <c r="J165" s="0" t="inlineStr">
        <is>
          <t xml:space="preserve">residual</t>
        </is>
      </c>
      <c r="K165" s="5">
        <v>0</v>
      </c>
      <c r="L165" s="5">
        <v>0</v>
      </c>
      <c r="M165" s="5">
        <v>0.0</v>
      </c>
      <c r="N165" s="5">
        <v>0.0</v>
      </c>
      <c r="O165" s="5">
        <v>0.0</v>
      </c>
      <c r="P165" s="5">
        <v>0.0</v>
      </c>
      <c r="Q165" s="5">
        <v>0.0</v>
      </c>
    </row>
    <row r="166" outlineLevel="1">
      <c r="B166" s="0" t="inlineStr">
        <is>
          <t xml:space="preserve">ADI TECHNOLOGIES, INC.</t>
        </is>
      </c>
      <c r="C166" s="0" t="inlineStr">
        <is>
          <t xml:space="preserve">LM35HWEVUPH3</t>
        </is>
      </c>
      <c r="D166" s="0" t="inlineStr">
        <is>
          <t xml:space="preserve">USA</t>
        </is>
      </c>
      <c r="E166" s="0" t="inlineStr">
        <is>
          <t xml:space="preserve">5416</t>
        </is>
      </c>
      <c r="F166" s="0" t="inlineStr">
        <is>
          <t xml:space="preserve">Marketing Consulting Services</t>
        </is>
      </c>
      <c r="G166" s="5">
        <v>9.0519594</v>
      </c>
      <c r="H166" s="0" t="inlineStr">
        <is>
          <t xml:space="preserve">service</t>
        </is>
      </c>
      <c r="I166" s="0" t="inlineStr">
        <is>
          <t xml:space="preserve">-</t>
        </is>
      </c>
      <c r="J166" s="0" t="inlineStr">
        <is>
          <t xml:space="preserve">registry</t>
        </is>
      </c>
      <c r="K166" s="5">
        <v>0</v>
      </c>
      <c r="L166" s="5">
        <v>0</v>
      </c>
      <c r="M166" s="5">
        <v>9.0519594</v>
      </c>
      <c r="N166" s="5">
        <v>6.07735209</v>
      </c>
      <c r="O166" s="5">
        <v>0.0</v>
      </c>
      <c r="P166" s="5">
        <v>0.0</v>
      </c>
      <c r="Q166" s="5">
        <v>0.0</v>
      </c>
    </row>
    <row r="167" outlineLevel="1">
      <c r="B167" s="0" t="inlineStr">
        <is>
          <t xml:space="preserve">ALFA LAVAL AB</t>
        </is>
      </c>
      <c r="C167" s="0" t="inlineStr">
        <is>
          <t xml:space="preserve">WSK3WRSGKAU1</t>
        </is>
      </c>
      <c r="D167" s="0" t="inlineStr">
        <is>
          <t xml:space="preserve">-</t>
        </is>
      </c>
      <c r="E167" s="0" t="inlineStr">
        <is>
          <t xml:space="preserve">-</t>
        </is>
      </c>
      <c r="F167" s="0" t="inlineStr">
        <is>
          <t xml:space="preserve">-</t>
        </is>
      </c>
      <c r="G167" s="5">
        <v>8.964323000000002</v>
      </c>
      <c r="H167" s="0" t="inlineStr">
        <is>
          <t xml:space="preserve">supplier</t>
        </is>
      </c>
      <c r="I167" s="0" t="inlineStr">
        <is>
          <t xml:space="preserve">structural</t>
        </is>
      </c>
      <c r="J167" s="0" t="inlineStr">
        <is>
          <t xml:space="preserve">registry</t>
        </is>
      </c>
      <c r="K167" s="5">
        <v>0</v>
      </c>
      <c r="L167" s="5">
        <v>0</v>
      </c>
      <c r="M167" s="5">
        <v>8.964323000000002</v>
      </c>
      <c r="N167" s="5">
        <v>0.0</v>
      </c>
      <c r="O167" s="5">
        <v>0.0</v>
      </c>
      <c r="P167" s="5">
        <v>0.0</v>
      </c>
      <c r="Q167" s="5">
        <v>0.0</v>
      </c>
    </row>
    <row r="168" outlineLevel="1">
      <c r="B168" s="0" t="inlineStr">
        <is>
          <t xml:space="preserve">FIBER SYSTEMS INTERNATIONAL, INC.</t>
        </is>
      </c>
      <c r="C168" s="0" t="inlineStr">
        <is>
          <t xml:space="preserve">S7HXJ97WWKT5</t>
        </is>
      </c>
      <c r="D168" s="0" t="inlineStr">
        <is>
          <t xml:space="preserve">-</t>
        </is>
      </c>
      <c r="E168" s="0" t="inlineStr">
        <is>
          <t xml:space="preserve">-</t>
        </is>
      </c>
      <c r="F168" s="0" t="inlineStr">
        <is>
          <t xml:space="preserve">-</t>
        </is>
      </c>
      <c r="G168" s="5">
        <v>8.927598999999999</v>
      </c>
      <c r="H168" s="0" t="inlineStr">
        <is>
          <t xml:space="preserve">supplier</t>
        </is>
      </c>
      <c r="I168" s="0" t="inlineStr">
        <is>
          <t xml:space="preserve">unbucketed</t>
        </is>
      </c>
      <c r="J168" s="0" t="inlineStr">
        <is>
          <t xml:space="preserve">residual</t>
        </is>
      </c>
      <c r="K168" s="5">
        <v>0</v>
      </c>
      <c r="L168" s="5">
        <v>0</v>
      </c>
      <c r="M168" s="5">
        <v>0.0</v>
      </c>
      <c r="N168" s="5">
        <v>0.0</v>
      </c>
      <c r="O168" s="5">
        <v>0.0</v>
      </c>
      <c r="P168" s="5">
        <v>0.0</v>
      </c>
      <c r="Q168" s="5">
        <v>0.0</v>
      </c>
    </row>
    <row r="169" outlineLevel="1">
      <c r="B169" s="0" t="inlineStr">
        <is>
          <t xml:space="preserve">HOWMET AEROSPACE INC.</t>
        </is>
      </c>
      <c r="C169" s="0" t="inlineStr">
        <is>
          <t xml:space="preserve">WQ6KK3G6K2M1</t>
        </is>
      </c>
      <c r="D169" s="0" t="inlineStr">
        <is>
          <t xml:space="preserve">-</t>
        </is>
      </c>
      <c r="E169" s="0" t="inlineStr">
        <is>
          <t xml:space="preserve">-</t>
        </is>
      </c>
      <c r="F169" s="0" t="inlineStr">
        <is>
          <t xml:space="preserve">-</t>
        </is>
      </c>
      <c r="G169" s="5">
        <v>8.912625080000002</v>
      </c>
      <c r="H169" s="0" t="inlineStr">
        <is>
          <t xml:space="preserve">supplier</t>
        </is>
      </c>
      <c r="I169" s="0" t="inlineStr">
        <is>
          <t xml:space="preserve">machining</t>
        </is>
      </c>
      <c r="J169" s="0" t="inlineStr">
        <is>
          <t xml:space="preserve">registry</t>
        </is>
      </c>
      <c r="K169" s="5">
        <v>0</v>
      </c>
      <c r="L169" s="5">
        <v>0</v>
      </c>
      <c r="M169" s="5">
        <v>0.0</v>
      </c>
      <c r="N169" s="5">
        <v>0.0</v>
      </c>
      <c r="O169" s="5">
        <v>0.0</v>
      </c>
      <c r="P169" s="5">
        <v>0.0</v>
      </c>
      <c r="Q169" s="5">
        <v>0.0</v>
      </c>
    </row>
    <row r="170" outlineLevel="1">
      <c r="B170" s="0" t="inlineStr">
        <is>
          <t xml:space="preserve">SURFACE TECHNOLOGIES CORPORATION</t>
        </is>
      </c>
      <c r="C170" s="0" t="inlineStr">
        <is>
          <t xml:space="preserve">ZA1KMNAJMVT3</t>
        </is>
      </c>
      <c r="D170" s="0" t="inlineStr">
        <is>
          <t xml:space="preserve">-</t>
        </is>
      </c>
      <c r="E170" s="0" t="inlineStr">
        <is>
          <t xml:space="preserve">-</t>
        </is>
      </c>
      <c r="F170" s="0" t="inlineStr">
        <is>
          <t xml:space="preserve">-</t>
        </is>
      </c>
      <c r="G170" s="5">
        <v>8.90374725</v>
      </c>
      <c r="H170" s="0" t="inlineStr">
        <is>
          <t xml:space="preserve">supplier</t>
        </is>
      </c>
      <c r="I170" s="0" t="inlineStr">
        <is>
          <t xml:space="preserve">unbucketed</t>
        </is>
      </c>
      <c r="J170" s="0" t="inlineStr">
        <is>
          <t xml:space="preserve">residual</t>
        </is>
      </c>
      <c r="K170" s="5">
        <v>0</v>
      </c>
      <c r="L170" s="5">
        <v>0</v>
      </c>
      <c r="M170" s="5">
        <v>7.5002372500000005</v>
      </c>
      <c r="N170" s="5">
        <v>2.532632</v>
      </c>
      <c r="O170" s="5">
        <v>0.75268525</v>
      </c>
      <c r="P170" s="5">
        <v>0.032093</v>
      </c>
      <c r="Q170" s="5">
        <v>0.414056</v>
      </c>
    </row>
    <row r="171" outlineLevel="1">
      <c r="B171" s="0" t="inlineStr">
        <is>
          <t xml:space="preserve">OCTOPUS INDUSTRIES, INC.</t>
        </is>
      </c>
      <c r="C171" s="0" t="inlineStr">
        <is>
          <t xml:space="preserve">KCYPSYNH1M94</t>
        </is>
      </c>
      <c r="D171" s="0" t="inlineStr">
        <is>
          <t xml:space="preserve">-</t>
        </is>
      </c>
      <c r="E171" s="0" t="inlineStr">
        <is>
          <t xml:space="preserve">-</t>
        </is>
      </c>
      <c r="F171" s="0" t="inlineStr">
        <is>
          <t xml:space="preserve">-</t>
        </is>
      </c>
      <c r="G171" s="5">
        <v>8.835939999999997</v>
      </c>
      <c r="H171" s="0" t="inlineStr">
        <is>
          <t xml:space="preserve">supplier</t>
        </is>
      </c>
      <c r="I171" s="0" t="inlineStr">
        <is>
          <t xml:space="preserve">unbucketed</t>
        </is>
      </c>
      <c r="J171" s="0" t="inlineStr">
        <is>
          <t xml:space="preserve">residual</t>
        </is>
      </c>
      <c r="K171" s="5">
        <v>0</v>
      </c>
      <c r="L171" s="5">
        <v>0</v>
      </c>
      <c r="M171" s="5">
        <v>8.835939999999997</v>
      </c>
      <c r="N171" s="5">
        <v>0.0</v>
      </c>
      <c r="O171" s="5">
        <v>0.0</v>
      </c>
      <c r="P171" s="5">
        <v>0.0</v>
      </c>
      <c r="Q171" s="5">
        <v>0.0</v>
      </c>
    </row>
    <row r="172" outlineLevel="1">
      <c r="B172" s="0" t="inlineStr">
        <is>
          <t xml:space="preserve">ITT INC</t>
        </is>
      </c>
      <c r="C172" s="0" t="inlineStr">
        <is>
          <t xml:space="preserve">Q4J5MACCLQR3</t>
        </is>
      </c>
      <c r="D172" s="0" t="inlineStr">
        <is>
          <t xml:space="preserve">-</t>
        </is>
      </c>
      <c r="E172" s="0" t="inlineStr">
        <is>
          <t xml:space="preserve">-</t>
        </is>
      </c>
      <c r="F172" s="0" t="inlineStr">
        <is>
          <t xml:space="preserve">-</t>
        </is>
      </c>
      <c r="G172" s="5">
        <v>8.833493</v>
      </c>
      <c r="H172" s="0" t="inlineStr">
        <is>
          <t xml:space="preserve">supplier</t>
        </is>
      </c>
      <c r="I172" s="0" t="inlineStr">
        <is>
          <t xml:space="preserve">unbucketed</t>
        </is>
      </c>
      <c r="J172" s="0" t="inlineStr">
        <is>
          <t xml:space="preserve">residual</t>
        </is>
      </c>
      <c r="K172" s="5">
        <v>0</v>
      </c>
      <c r="L172" s="5">
        <v>0</v>
      </c>
      <c r="M172" s="5">
        <v>0.0</v>
      </c>
      <c r="N172" s="5">
        <v>0.0</v>
      </c>
      <c r="O172" s="5">
        <v>0.0</v>
      </c>
      <c r="P172" s="5">
        <v>0.0</v>
      </c>
      <c r="Q172" s="5">
        <v>0.0</v>
      </c>
    </row>
    <row r="173" outlineLevel="1">
      <c r="B173" s="0" t="inlineStr">
        <is>
          <t xml:space="preserve">STEELFAB, INC.</t>
        </is>
      </c>
      <c r="C173" s="0" t="inlineStr">
        <is>
          <t xml:space="preserve">EVZMB1757DW5</t>
        </is>
      </c>
      <c r="D173" s="0" t="inlineStr">
        <is>
          <t xml:space="preserve">-</t>
        </is>
      </c>
      <c r="E173" s="0" t="inlineStr">
        <is>
          <t xml:space="preserve">-</t>
        </is>
      </c>
      <c r="F173" s="0" t="inlineStr">
        <is>
          <t xml:space="preserve">-</t>
        </is>
      </c>
      <c r="G173" s="5">
        <v>8.702994</v>
      </c>
      <c r="H173" s="0" t="inlineStr">
        <is>
          <t xml:space="preserve">supplier</t>
        </is>
      </c>
      <c r="I173" s="0" t="inlineStr">
        <is>
          <t xml:space="preserve">unbucketed</t>
        </is>
      </c>
      <c r="J173" s="0" t="inlineStr">
        <is>
          <t xml:space="preserve">residual</t>
        </is>
      </c>
      <c r="K173" s="5">
        <v>0</v>
      </c>
      <c r="L173" s="5">
        <v>0</v>
      </c>
      <c r="M173" s="5">
        <v>8.702994</v>
      </c>
      <c r="N173" s="5">
        <v>8.702994</v>
      </c>
      <c r="O173" s="5">
        <v>0.0</v>
      </c>
      <c r="P173" s="5">
        <v>0.0</v>
      </c>
      <c r="Q173" s="5">
        <v>0.0</v>
      </c>
    </row>
    <row r="174" outlineLevel="1">
      <c r="B174" s="0" t="inlineStr">
        <is>
          <t xml:space="preserve">APPLETON MARINE INC</t>
        </is>
      </c>
      <c r="C174" s="0" t="inlineStr">
        <is>
          <t xml:space="preserve">HWLGUR28KMS6</t>
        </is>
      </c>
      <c r="D174" s="0" t="inlineStr">
        <is>
          <t xml:space="preserve">-</t>
        </is>
      </c>
      <c r="E174" s="0" t="inlineStr">
        <is>
          <t xml:space="preserve">-</t>
        </is>
      </c>
      <c r="F174" s="0" t="inlineStr">
        <is>
          <t xml:space="preserve">-</t>
        </is>
      </c>
      <c r="G174" s="5">
        <v>8.623162050000001</v>
      </c>
      <c r="H174" s="0" t="inlineStr">
        <is>
          <t xml:space="preserve">supplier</t>
        </is>
      </c>
      <c r="I174" s="0" t="inlineStr">
        <is>
          <t xml:space="preserve">unbucketed</t>
        </is>
      </c>
      <c r="J174" s="0" t="inlineStr">
        <is>
          <t xml:space="preserve">residual</t>
        </is>
      </c>
      <c r="K174" s="5">
        <v>0</v>
      </c>
      <c r="L174" s="5">
        <v>0</v>
      </c>
      <c r="M174" s="5">
        <v>8.623162050000001</v>
      </c>
      <c r="N174" s="5">
        <v>0.0</v>
      </c>
      <c r="O174" s="5">
        <v>0.0</v>
      </c>
      <c r="P174" s="5">
        <v>3.171984</v>
      </c>
      <c r="Q174" s="5">
        <v>5.2820180500000005</v>
      </c>
    </row>
    <row r="175" outlineLevel="1">
      <c r="B175" s="0" t="inlineStr">
        <is>
          <t xml:space="preserve">GERMANE SYSTEMS, LC</t>
        </is>
      </c>
      <c r="C175" s="0" t="inlineStr">
        <is>
          <t xml:space="preserve">X4UMAJJTMS97</t>
        </is>
      </c>
      <c r="D175" s="0" t="inlineStr">
        <is>
          <t xml:space="preserve">-</t>
        </is>
      </c>
      <c r="E175" s="0" t="inlineStr">
        <is>
          <t xml:space="preserve">-</t>
        </is>
      </c>
      <c r="F175" s="0" t="inlineStr">
        <is>
          <t xml:space="preserve">-</t>
        </is>
      </c>
      <c r="G175" s="5">
        <v>8.534673</v>
      </c>
      <c r="H175" s="0" t="inlineStr">
        <is>
          <t xml:space="preserve">supplier</t>
        </is>
      </c>
      <c r="I175" s="0" t="inlineStr">
        <is>
          <t xml:space="preserve">unbucketed</t>
        </is>
      </c>
      <c r="J175" s="0" t="inlineStr">
        <is>
          <t xml:space="preserve">residual</t>
        </is>
      </c>
      <c r="K175" s="5">
        <v>0</v>
      </c>
      <c r="L175" s="5">
        <v>0</v>
      </c>
      <c r="M175" s="5">
        <v>0.0</v>
      </c>
      <c r="N175" s="5">
        <v>0.0</v>
      </c>
      <c r="O175" s="5">
        <v>0.0</v>
      </c>
      <c r="P175" s="5">
        <v>0.0</v>
      </c>
      <c r="Q175" s="5">
        <v>0.0</v>
      </c>
    </row>
    <row r="176" outlineLevel="1">
      <c r="B176" s="0" t="inlineStr">
        <is>
          <t xml:space="preserve">MAROTTA CONTROLS INC</t>
        </is>
      </c>
      <c r="C176" s="0" t="inlineStr">
        <is>
          <t xml:space="preserve">Q35JL9GFCAK3</t>
        </is>
      </c>
      <c r="D176" s="0" t="inlineStr">
        <is>
          <t xml:space="preserve">USA</t>
        </is>
      </c>
      <c r="E176" s="0" t="inlineStr">
        <is>
          <t xml:space="preserve">3329</t>
        </is>
      </c>
      <c r="F176" s="0" t="inlineStr">
        <is>
          <t xml:space="preserve">Fluid Power Valve and Hose Fitting Manufacturing</t>
        </is>
      </c>
      <c r="G176" s="5">
        <v>8.530910609999996</v>
      </c>
      <c r="H176" s="0" t="inlineStr">
        <is>
          <t xml:space="preserve">supplier</t>
        </is>
      </c>
      <c r="I176" s="0" t="inlineStr">
        <is>
          <t xml:space="preserve">piping</t>
        </is>
      </c>
      <c r="J176" s="0" t="inlineStr">
        <is>
          <t xml:space="preserve">registry</t>
        </is>
      </c>
      <c r="K176" s="5">
        <v>0</v>
      </c>
      <c r="L176" s="5">
        <v>0</v>
      </c>
      <c r="M176" s="5">
        <v>7.979959609999997</v>
      </c>
      <c r="N176" s="5">
        <v>0.0</v>
      </c>
      <c r="O176" s="5">
        <v>1.7046839999999994</v>
      </c>
      <c r="P176" s="5">
        <v>2.5795676100000007</v>
      </c>
      <c r="Q176" s="5">
        <v>3.695708</v>
      </c>
    </row>
    <row r="177" outlineLevel="1">
      <c r="B177" s="0" t="inlineStr">
        <is>
          <t xml:space="preserve">ITRON CORPORATION (DEL)</t>
        </is>
      </c>
      <c r="C177" s="0" t="inlineStr">
        <is>
          <t xml:space="preserve">SRYMAMZMUVC8</t>
        </is>
      </c>
      <c r="D177" s="0" t="inlineStr">
        <is>
          <t xml:space="preserve">-</t>
        </is>
      </c>
      <c r="E177" s="0" t="inlineStr">
        <is>
          <t xml:space="preserve">-</t>
        </is>
      </c>
      <c r="F177" s="0" t="inlineStr">
        <is>
          <t xml:space="preserve">-</t>
        </is>
      </c>
      <c r="G177" s="5">
        <v>8.508275260000001</v>
      </c>
      <c r="H177" s="0" t="inlineStr">
        <is>
          <t xml:space="preserve">supplier</t>
        </is>
      </c>
      <c r="I177" s="0" t="inlineStr">
        <is>
          <t xml:space="preserve">unbucketed</t>
        </is>
      </c>
      <c r="J177" s="0" t="inlineStr">
        <is>
          <t xml:space="preserve">residual</t>
        </is>
      </c>
      <c r="K177" s="5">
        <v>0</v>
      </c>
      <c r="L177" s="5">
        <v>0</v>
      </c>
      <c r="M177" s="5">
        <v>0.0</v>
      </c>
      <c r="N177" s="5">
        <v>0.0</v>
      </c>
      <c r="O177" s="5">
        <v>0.0</v>
      </c>
      <c r="P177" s="5">
        <v>0.0</v>
      </c>
      <c r="Q177" s="5">
        <v>0.0</v>
      </c>
    </row>
    <row r="178" outlineLevel="1">
      <c r="B178" s="0" t="inlineStr">
        <is>
          <t xml:space="preserve">MARCH ELECTRONICS, INC.</t>
        </is>
      </c>
      <c r="C178" s="0" t="inlineStr">
        <is>
          <t xml:space="preserve">CELUQLJ64TZ9</t>
        </is>
      </c>
      <c r="D178" s="0" t="inlineStr">
        <is>
          <t xml:space="preserve">-</t>
        </is>
      </c>
      <c r="E178" s="0" t="inlineStr">
        <is>
          <t xml:space="preserve">-</t>
        </is>
      </c>
      <c r="F178" s="0" t="inlineStr">
        <is>
          <t xml:space="preserve">-</t>
        </is>
      </c>
      <c r="G178" s="5">
        <v>8.41555969</v>
      </c>
      <c r="H178" s="0" t="inlineStr">
        <is>
          <t xml:space="preserve">supplier</t>
        </is>
      </c>
      <c r="I178" s="0" t="inlineStr">
        <is>
          <t xml:space="preserve">unbucketed</t>
        </is>
      </c>
      <c r="J178" s="0" t="inlineStr">
        <is>
          <t xml:space="preserve">residual</t>
        </is>
      </c>
      <c r="K178" s="5">
        <v>0</v>
      </c>
      <c r="L178" s="5">
        <v>0</v>
      </c>
      <c r="M178" s="5">
        <v>0.0</v>
      </c>
      <c r="N178" s="5">
        <v>0.0</v>
      </c>
      <c r="O178" s="5">
        <v>0.0</v>
      </c>
      <c r="P178" s="5">
        <v>0.0</v>
      </c>
      <c r="Q178" s="5">
        <v>0.0</v>
      </c>
    </row>
    <row r="179" outlineLevel="1">
      <c r="B179" s="0" t="inlineStr">
        <is>
          <t xml:space="preserve">CIRCOR NAVAL SOLUTIONS LLC</t>
        </is>
      </c>
      <c r="C179" s="0" t="inlineStr">
        <is>
          <t xml:space="preserve">KYURG7LRSC89</t>
        </is>
      </c>
      <c r="D179" s="0" t="inlineStr">
        <is>
          <t xml:space="preserve">-</t>
        </is>
      </c>
      <c r="E179" s="0" t="inlineStr">
        <is>
          <t xml:space="preserve">-</t>
        </is>
      </c>
      <c r="F179" s="0" t="inlineStr">
        <is>
          <t xml:space="preserve">-</t>
        </is>
      </c>
      <c r="G179" s="5">
        <v>8.40170255</v>
      </c>
      <c r="H179" s="0" t="inlineStr">
        <is>
          <t xml:space="preserve">supplier</t>
        </is>
      </c>
      <c r="I179" s="0" t="inlineStr">
        <is>
          <t xml:space="preserve">piping</t>
        </is>
      </c>
      <c r="J179" s="0" t="inlineStr">
        <is>
          <t xml:space="preserve">registry</t>
        </is>
      </c>
      <c r="K179" s="5">
        <v>0</v>
      </c>
      <c r="L179" s="5">
        <v>0</v>
      </c>
      <c r="M179" s="5">
        <v>8.40170255</v>
      </c>
      <c r="N179" s="5">
        <v>0.0</v>
      </c>
      <c r="O179" s="5">
        <v>0.0</v>
      </c>
      <c r="P179" s="5">
        <v>2.334736</v>
      </c>
      <c r="Q179" s="5">
        <v>6.06696655</v>
      </c>
    </row>
    <row r="180" outlineLevel="1">
      <c r="B180" s="0" t="inlineStr">
        <is>
          <t xml:space="preserve">MEGGITT PLC</t>
        </is>
      </c>
      <c r="C180" s="0" t="inlineStr">
        <is>
          <t xml:space="preserve">QYKAR7MJJXL7</t>
        </is>
      </c>
      <c r="D180" s="0" t="inlineStr">
        <is>
          <t xml:space="preserve">-</t>
        </is>
      </c>
      <c r="E180" s="0" t="inlineStr">
        <is>
          <t xml:space="preserve">-</t>
        </is>
      </c>
      <c r="F180" s="0" t="inlineStr">
        <is>
          <t xml:space="preserve">-</t>
        </is>
      </c>
      <c r="G180" s="5">
        <v>8.348641079999998</v>
      </c>
      <c r="H180" s="0" t="inlineStr">
        <is>
          <t xml:space="preserve">supplier</t>
        </is>
      </c>
      <c r="I180" s="0" t="inlineStr">
        <is>
          <t xml:space="preserve">unbucketed</t>
        </is>
      </c>
      <c r="J180" s="0" t="inlineStr">
        <is>
          <t xml:space="preserve">residual</t>
        </is>
      </c>
      <c r="K180" s="5">
        <v>0</v>
      </c>
      <c r="L180" s="5">
        <v>0</v>
      </c>
      <c r="M180" s="5">
        <v>8.348641079999998</v>
      </c>
      <c r="N180" s="5">
        <v>0.0</v>
      </c>
      <c r="O180" s="5">
        <v>0.0</v>
      </c>
      <c r="P180" s="5">
        <v>0.0</v>
      </c>
      <c r="Q180" s="5">
        <v>0.0</v>
      </c>
    </row>
    <row r="181" outlineLevel="1">
      <c r="B181" s="0" t="inlineStr">
        <is>
          <t xml:space="preserve">FALSTROM COMPANY</t>
        </is>
      </c>
      <c r="C181" s="0" t="inlineStr">
        <is>
          <t xml:space="preserve">SL6NLJ9UC1Y3</t>
        </is>
      </c>
      <c r="D181" s="0" t="inlineStr">
        <is>
          <t xml:space="preserve">-</t>
        </is>
      </c>
      <c r="E181" s="0" t="inlineStr">
        <is>
          <t xml:space="preserve">-</t>
        </is>
      </c>
      <c r="F181" s="0" t="inlineStr">
        <is>
          <t xml:space="preserve">-</t>
        </is>
      </c>
      <c r="G181" s="5">
        <v>8.29190136</v>
      </c>
      <c r="H181" s="0" t="inlineStr">
        <is>
          <t xml:space="preserve">supplier</t>
        </is>
      </c>
      <c r="I181" s="0" t="inlineStr">
        <is>
          <t xml:space="preserve">unbucketed</t>
        </is>
      </c>
      <c r="J181" s="0" t="inlineStr">
        <is>
          <t xml:space="preserve">residual</t>
        </is>
      </c>
      <c r="K181" s="5">
        <v>0</v>
      </c>
      <c r="L181" s="5">
        <v>0</v>
      </c>
      <c r="M181" s="5">
        <v>0.0</v>
      </c>
      <c r="N181" s="5">
        <v>0.0</v>
      </c>
      <c r="O181" s="5">
        <v>0.0</v>
      </c>
      <c r="P181" s="5">
        <v>0.0</v>
      </c>
      <c r="Q181" s="5">
        <v>0.0</v>
      </c>
    </row>
    <row r="182" outlineLevel="1">
      <c r="B182" s="0" t="inlineStr">
        <is>
          <t xml:space="preserve">HUTCHINSON MANUFACTURING, INC.</t>
        </is>
      </c>
      <c r="C182" s="0" t="inlineStr">
        <is>
          <t xml:space="preserve">D57NSHMC6Z47</t>
        </is>
      </c>
      <c r="D182" s="0" t="inlineStr">
        <is>
          <t xml:space="preserve">-</t>
        </is>
      </c>
      <c r="E182" s="0" t="inlineStr">
        <is>
          <t xml:space="preserve">-</t>
        </is>
      </c>
      <c r="F182" s="0" t="inlineStr">
        <is>
          <t xml:space="preserve">-</t>
        </is>
      </c>
      <c r="G182" s="5">
        <v>8.290622759999998</v>
      </c>
      <c r="H182" s="0" t="inlineStr">
        <is>
          <t xml:space="preserve">supplier</t>
        </is>
      </c>
      <c r="I182" s="0" t="inlineStr">
        <is>
          <t xml:space="preserve">unbucketed</t>
        </is>
      </c>
      <c r="J182" s="0" t="inlineStr">
        <is>
          <t xml:space="preserve">residual</t>
        </is>
      </c>
      <c r="K182" s="5">
        <v>0</v>
      </c>
      <c r="L182" s="5">
        <v>0</v>
      </c>
      <c r="M182" s="5">
        <v>0.0</v>
      </c>
      <c r="N182" s="5">
        <v>0.0</v>
      </c>
      <c r="O182" s="5">
        <v>0.0</v>
      </c>
      <c r="P182" s="5">
        <v>0.0</v>
      </c>
      <c r="Q182" s="5">
        <v>0.0</v>
      </c>
    </row>
    <row r="183" outlineLevel="1">
      <c r="B183" s="0" t="inlineStr">
        <is>
          <t xml:space="preserve">NIBCO INC.</t>
        </is>
      </c>
      <c r="C183" s="0" t="inlineStr">
        <is>
          <t xml:space="preserve">MC77SUMRLXY5</t>
        </is>
      </c>
      <c r="D183" s="0" t="inlineStr">
        <is>
          <t xml:space="preserve">-</t>
        </is>
      </c>
      <c r="E183" s="0" t="inlineStr">
        <is>
          <t xml:space="preserve">-</t>
        </is>
      </c>
      <c r="F183" s="0" t="inlineStr">
        <is>
          <t xml:space="preserve">-</t>
        </is>
      </c>
      <c r="G183" s="5">
        <v>8.214654579999996</v>
      </c>
      <c r="H183" s="0" t="inlineStr">
        <is>
          <t xml:space="preserve">supplier</t>
        </is>
      </c>
      <c r="I183" s="0" t="inlineStr">
        <is>
          <t xml:space="preserve">piping</t>
        </is>
      </c>
      <c r="J183" s="0" t="inlineStr">
        <is>
          <t xml:space="preserve">registry</t>
        </is>
      </c>
      <c r="K183" s="5">
        <v>0</v>
      </c>
      <c r="L183" s="5">
        <v>0</v>
      </c>
      <c r="M183" s="5">
        <v>8.214654579999996</v>
      </c>
      <c r="N183" s="5">
        <v>5.08377109</v>
      </c>
      <c r="O183" s="5">
        <v>0.0</v>
      </c>
      <c r="P183" s="5">
        <v>0.0</v>
      </c>
      <c r="Q183" s="5">
        <v>0.0</v>
      </c>
    </row>
    <row r="184" outlineLevel="1">
      <c r="B184" s="0" t="inlineStr">
        <is>
          <t xml:space="preserve">CEC COMPUTING INC</t>
        </is>
      </c>
      <c r="C184" s="0" t="inlineStr">
        <is>
          <t xml:space="preserve">UWTUDYBNL9D9</t>
        </is>
      </c>
      <c r="D184" s="0" t="inlineStr">
        <is>
          <t xml:space="preserve">-</t>
        </is>
      </c>
      <c r="E184" s="0" t="inlineStr">
        <is>
          <t xml:space="preserve">-</t>
        </is>
      </c>
      <c r="F184" s="0" t="inlineStr">
        <is>
          <t xml:space="preserve">-</t>
        </is>
      </c>
      <c r="G184" s="5">
        <v>8.196159849999999</v>
      </c>
      <c r="H184" s="0" t="inlineStr">
        <is>
          <t xml:space="preserve">supplier</t>
        </is>
      </c>
      <c r="I184" s="0" t="inlineStr">
        <is>
          <t xml:space="preserve">unbucketed</t>
        </is>
      </c>
      <c r="J184" s="0" t="inlineStr">
        <is>
          <t xml:space="preserve">residual</t>
        </is>
      </c>
      <c r="K184" s="5">
        <v>0</v>
      </c>
      <c r="L184" s="5">
        <v>0</v>
      </c>
      <c r="M184" s="5">
        <v>0.0</v>
      </c>
      <c r="N184" s="5">
        <v>0.0</v>
      </c>
      <c r="O184" s="5">
        <v>0.0</v>
      </c>
      <c r="P184" s="5">
        <v>0.0</v>
      </c>
      <c r="Q184" s="5">
        <v>0.0</v>
      </c>
    </row>
    <row r="185" outlineLevel="1">
      <c r="B185" s="0" t="inlineStr">
        <is>
          <t xml:space="preserve">MONROE CABLE COMPANY, INC., THE</t>
        </is>
      </c>
      <c r="C185" s="0" t="inlineStr">
        <is>
          <t xml:space="preserve">C7QHHMJEALN1</t>
        </is>
      </c>
      <c r="D185" s="0" t="inlineStr">
        <is>
          <t xml:space="preserve">-</t>
        </is>
      </c>
      <c r="E185" s="0" t="inlineStr">
        <is>
          <t xml:space="preserve">-</t>
        </is>
      </c>
      <c r="F185" s="0" t="inlineStr">
        <is>
          <t xml:space="preserve">-</t>
        </is>
      </c>
      <c r="G185" s="5">
        <v>8.127782</v>
      </c>
      <c r="H185" s="0" t="inlineStr">
        <is>
          <t xml:space="preserve">supplier</t>
        </is>
      </c>
      <c r="I185" s="0" t="inlineStr">
        <is>
          <t xml:space="preserve">electrical</t>
        </is>
      </c>
      <c r="J185" s="0" t="inlineStr">
        <is>
          <t xml:space="preserve">registry</t>
        </is>
      </c>
      <c r="K185" s="5">
        <v>0</v>
      </c>
      <c r="L185" s="5">
        <v>0</v>
      </c>
      <c r="M185" s="5">
        <v>8.127782</v>
      </c>
      <c r="N185" s="5">
        <v>3.2824</v>
      </c>
      <c r="O185" s="5">
        <v>0.0</v>
      </c>
      <c r="P185" s="5">
        <v>0.0</v>
      </c>
      <c r="Q185" s="5">
        <v>0.0</v>
      </c>
    </row>
    <row r="186" outlineLevel="1">
      <c r="B186" s="0" t="inlineStr">
        <is>
          <t xml:space="preserve">GENERAL MICRO SYSTEMS, INC.</t>
        </is>
      </c>
      <c r="C186" s="0" t="inlineStr">
        <is>
          <t xml:space="preserve">LJCSMLKU1MR5</t>
        </is>
      </c>
      <c r="D186" s="0" t="inlineStr">
        <is>
          <t xml:space="preserve">USA</t>
        </is>
      </c>
      <c r="E186" s="0" t="inlineStr">
        <is>
          <t xml:space="preserve">3341</t>
        </is>
      </c>
      <c r="F186" s="0" t="inlineStr">
        <is>
          <t xml:space="preserve">Electronic Computer Manufacturing</t>
        </is>
      </c>
      <c r="G186" s="5">
        <v>8.084553</v>
      </c>
      <c r="H186" s="0" t="inlineStr">
        <is>
          <t xml:space="preserve">mission_systems</t>
        </is>
      </c>
      <c r="I186" s="0" t="inlineStr">
        <is>
          <t xml:space="preserve">-</t>
        </is>
      </c>
      <c r="J186" s="0" t="inlineStr">
        <is>
          <t xml:space="preserve">registry</t>
        </is>
      </c>
      <c r="K186" s="5">
        <v>0</v>
      </c>
      <c r="L186" s="5">
        <v>0</v>
      </c>
      <c r="M186" s="5">
        <v>0.0</v>
      </c>
      <c r="N186" s="5">
        <v>0.0</v>
      </c>
      <c r="O186" s="5">
        <v>0.0</v>
      </c>
      <c r="P186" s="5">
        <v>0.0</v>
      </c>
      <c r="Q186" s="5">
        <v>0.0</v>
      </c>
    </row>
    <row r="187" outlineLevel="1">
      <c r="B187" s="0" t="inlineStr">
        <is>
          <t xml:space="preserve">AMPCO-PITTSBURGH CORPORATION</t>
        </is>
      </c>
      <c r="C187" s="0" t="inlineStr">
        <is>
          <t xml:space="preserve">M4ELQDG7JLM5</t>
        </is>
      </c>
      <c r="D187" s="0" t="inlineStr">
        <is>
          <t xml:space="preserve">USA</t>
        </is>
      </c>
      <c r="E187" s="0" t="inlineStr">
        <is>
          <t xml:space="preserve">3339</t>
        </is>
      </c>
      <c r="F187" s="0" t="inlineStr">
        <is>
          <t xml:space="preserve">Measuring, Dispensing, and Other Pumping Equipment Manufacturing</t>
        </is>
      </c>
      <c r="G187" s="5">
        <v>8.052653429999998</v>
      </c>
      <c r="H187" s="0" t="inlineStr">
        <is>
          <t xml:space="preserve">supplier</t>
        </is>
      </c>
      <c r="I187" s="0" t="inlineStr">
        <is>
          <t xml:space="preserve">piping</t>
        </is>
      </c>
      <c r="J187" s="0" t="inlineStr">
        <is>
          <t xml:space="preserve">registry</t>
        </is>
      </c>
      <c r="K187" s="5">
        <v>0</v>
      </c>
      <c r="L187" s="5">
        <v>0</v>
      </c>
      <c r="M187" s="5">
        <v>8.052653429999998</v>
      </c>
      <c r="N187" s="5">
        <v>0.0</v>
      </c>
      <c r="O187" s="5">
        <v>0.0</v>
      </c>
      <c r="P187" s="5">
        <v>0.0</v>
      </c>
      <c r="Q187" s="5">
        <v>0.0</v>
      </c>
    </row>
    <row r="188" outlineLevel="1">
      <c r="B188" s="0" t="inlineStr">
        <is>
          <t xml:space="preserve">MORPAC INDUSTRIES, INC</t>
        </is>
      </c>
      <c r="C188" s="0" t="inlineStr">
        <is>
          <t xml:space="preserve">FGNQE3RF1FK5</t>
        </is>
      </c>
      <c r="D188" s="0" t="inlineStr">
        <is>
          <t xml:space="preserve">USA</t>
        </is>
      </c>
      <c r="E188" s="0" t="inlineStr">
        <is>
          <t xml:space="preserve">3329</t>
        </is>
      </c>
      <c r="F188" s="0" t="inlineStr">
        <is>
          <t xml:space="preserve">Industrial Valve Manufacturing</t>
        </is>
      </c>
      <c r="G188" s="5">
        <v>8.04547156</v>
      </c>
      <c r="H188" s="0" t="inlineStr">
        <is>
          <t xml:space="preserve">supplier</t>
        </is>
      </c>
      <c r="I188" s="0" t="inlineStr">
        <is>
          <t xml:space="preserve">piping</t>
        </is>
      </c>
      <c r="J188" s="0" t="inlineStr">
        <is>
          <t xml:space="preserve">naics4</t>
        </is>
      </c>
      <c r="K188" s="5">
        <v>0</v>
      </c>
      <c r="L188" s="5">
        <v>0</v>
      </c>
      <c r="M188" s="5">
        <v>8.04547156</v>
      </c>
      <c r="N188" s="5">
        <v>0.0</v>
      </c>
      <c r="O188" s="5">
        <v>2.8471747599999997</v>
      </c>
      <c r="P188" s="5">
        <v>5.1681028</v>
      </c>
      <c r="Q188" s="5">
        <v>0.030194</v>
      </c>
    </row>
    <row r="189" outlineLevel="1">
      <c r="B189" s="0" t="inlineStr">
        <is>
          <t xml:space="preserve">GENERAL TOOL COMPANY</t>
        </is>
      </c>
      <c r="C189" s="0" t="inlineStr">
        <is>
          <t xml:space="preserve">FWF8QBPCGLG3</t>
        </is>
      </c>
      <c r="D189" s="0" t="inlineStr">
        <is>
          <t xml:space="preserve">-</t>
        </is>
      </c>
      <c r="E189" s="0" t="inlineStr">
        <is>
          <t xml:space="preserve">-</t>
        </is>
      </c>
      <c r="F189" s="0" t="inlineStr">
        <is>
          <t xml:space="preserve">-</t>
        </is>
      </c>
      <c r="G189" s="5">
        <v>7.92163901</v>
      </c>
      <c r="H189" s="0" t="inlineStr">
        <is>
          <t xml:space="preserve">supplier</t>
        </is>
      </c>
      <c r="I189" s="0" t="inlineStr">
        <is>
          <t xml:space="preserve">machining</t>
        </is>
      </c>
      <c r="J189" s="0" t="inlineStr">
        <is>
          <t xml:space="preserve">registry</t>
        </is>
      </c>
      <c r="K189" s="5">
        <v>0</v>
      </c>
      <c r="L189" s="5">
        <v>0</v>
      </c>
      <c r="M189" s="5">
        <v>0.8712150100000001</v>
      </c>
      <c r="N189" s="5">
        <v>0.0</v>
      </c>
      <c r="O189" s="5">
        <v>0.233705</v>
      </c>
      <c r="P189" s="5">
        <v>0.060172</v>
      </c>
      <c r="Q189" s="5">
        <v>0.39350701</v>
      </c>
    </row>
    <row r="190" outlineLevel="1">
      <c r="B190" s="0" t="inlineStr">
        <is>
          <t xml:space="preserve">SASMOS HET TECHNOLOGIES LIMITED</t>
        </is>
      </c>
      <c r="C190" s="0" t="inlineStr">
        <is>
          <t xml:space="preserve">Z6YVC2VB2B45</t>
        </is>
      </c>
      <c r="D190" s="0" t="inlineStr">
        <is>
          <t xml:space="preserve">Foreign</t>
        </is>
      </c>
      <c r="E190" s="0" t="inlineStr">
        <is>
          <t xml:space="preserve">-</t>
        </is>
      </c>
      <c r="F190" s="0" t="inlineStr">
        <is>
          <t xml:space="preserve">-</t>
        </is>
      </c>
      <c r="G190" s="5">
        <v>7.903152</v>
      </c>
      <c r="H190" s="0" t="inlineStr">
        <is>
          <t xml:space="preserve">foreign_fms</t>
        </is>
      </c>
      <c r="I190" s="0" t="inlineStr">
        <is>
          <t xml:space="preserve">-</t>
        </is>
      </c>
      <c r="J190" s="0" t="inlineStr">
        <is>
          <t xml:space="preserve">foreign flag</t>
        </is>
      </c>
      <c r="K190" s="5">
        <v>0</v>
      </c>
      <c r="L190" s="5">
        <v>0</v>
      </c>
      <c r="M190" s="5">
        <v>0.0</v>
      </c>
      <c r="N190" s="5">
        <v>0.0</v>
      </c>
      <c r="O190" s="5">
        <v>0.0</v>
      </c>
      <c r="P190" s="5">
        <v>0.0</v>
      </c>
      <c r="Q190" s="5">
        <v>0.0</v>
      </c>
    </row>
    <row r="191" outlineLevel="1">
      <c r="B191" s="0" t="inlineStr">
        <is>
          <t xml:space="preserve">GRISWOLD INDUSTRIES, CO.</t>
        </is>
      </c>
      <c r="C191" s="0" t="inlineStr">
        <is>
          <t xml:space="preserve">LGL1LNBH8KM5</t>
        </is>
      </c>
      <c r="D191" s="0" t="inlineStr">
        <is>
          <t xml:space="preserve">-</t>
        </is>
      </c>
      <c r="E191" s="0" t="inlineStr">
        <is>
          <t xml:space="preserve">-</t>
        </is>
      </c>
      <c r="F191" s="0" t="inlineStr">
        <is>
          <t xml:space="preserve">-</t>
        </is>
      </c>
      <c r="G191" s="5">
        <v>7.881185530000002</v>
      </c>
      <c r="H191" s="0" t="inlineStr">
        <is>
          <t xml:space="preserve">supplier</t>
        </is>
      </c>
      <c r="I191" s="0" t="inlineStr">
        <is>
          <t xml:space="preserve">unbucketed</t>
        </is>
      </c>
      <c r="J191" s="0" t="inlineStr">
        <is>
          <t xml:space="preserve">residual</t>
        </is>
      </c>
      <c r="K191" s="5">
        <v>0</v>
      </c>
      <c r="L191" s="5">
        <v>0</v>
      </c>
      <c r="M191" s="5">
        <v>7.826369530000002</v>
      </c>
      <c r="N191" s="5">
        <v>1.4750476399999997</v>
      </c>
      <c r="O191" s="5">
        <v>1.3817129700000002</v>
      </c>
      <c r="P191" s="5">
        <v>1.19900619</v>
      </c>
      <c r="Q191" s="5">
        <v>0.0</v>
      </c>
    </row>
    <row r="192" outlineLevel="1">
      <c r="B192" s="0" t="inlineStr">
        <is>
          <t xml:space="preserve">HYBRID SOURCES INC</t>
        </is>
      </c>
      <c r="C192" s="0" t="inlineStr">
        <is>
          <t xml:space="preserve">CMGLLVFSFYL3</t>
        </is>
      </c>
      <c r="D192" s="0" t="inlineStr">
        <is>
          <t xml:space="preserve">-</t>
        </is>
      </c>
      <c r="E192" s="0" t="inlineStr">
        <is>
          <t xml:space="preserve">-</t>
        </is>
      </c>
      <c r="F192" s="0" t="inlineStr">
        <is>
          <t xml:space="preserve">-</t>
        </is>
      </c>
      <c r="G192" s="5">
        <v>7.77823559</v>
      </c>
      <c r="H192" s="0" t="inlineStr">
        <is>
          <t xml:space="preserve">supplier</t>
        </is>
      </c>
      <c r="I192" s="0" t="inlineStr">
        <is>
          <t xml:space="preserve">unbucketed</t>
        </is>
      </c>
      <c r="J192" s="0" t="inlineStr">
        <is>
          <t xml:space="preserve">residual</t>
        </is>
      </c>
      <c r="K192" s="5">
        <v>0</v>
      </c>
      <c r="L192" s="5">
        <v>0</v>
      </c>
      <c r="M192" s="5">
        <v>0.0</v>
      </c>
      <c r="N192" s="5">
        <v>0.0</v>
      </c>
      <c r="O192" s="5">
        <v>0.0</v>
      </c>
      <c r="P192" s="5">
        <v>0.0</v>
      </c>
      <c r="Q192" s="5">
        <v>0.0</v>
      </c>
    </row>
    <row r="193" outlineLevel="1">
      <c r="B193" s="0" t="inlineStr">
        <is>
          <t xml:space="preserve">BOGUE SYSTEMS INC</t>
        </is>
      </c>
      <c r="C193" s="0" t="inlineStr">
        <is>
          <t xml:space="preserve">HLFDNJU7KXJ1</t>
        </is>
      </c>
      <c r="D193" s="0" t="inlineStr">
        <is>
          <t xml:space="preserve">-</t>
        </is>
      </c>
      <c r="E193" s="0" t="inlineStr">
        <is>
          <t xml:space="preserve">-</t>
        </is>
      </c>
      <c r="F193" s="0" t="inlineStr">
        <is>
          <t xml:space="preserve">-</t>
        </is>
      </c>
      <c r="G193" s="5">
        <v>7.77344334</v>
      </c>
      <c r="H193" s="0" t="inlineStr">
        <is>
          <t xml:space="preserve">supplier</t>
        </is>
      </c>
      <c r="I193" s="0" t="inlineStr">
        <is>
          <t xml:space="preserve">unbucketed</t>
        </is>
      </c>
      <c r="J193" s="0" t="inlineStr">
        <is>
          <t xml:space="preserve">residual</t>
        </is>
      </c>
      <c r="K193" s="5">
        <v>0</v>
      </c>
      <c r="L193" s="5">
        <v>0</v>
      </c>
      <c r="M193" s="5">
        <v>7.77344334</v>
      </c>
      <c r="N193" s="5">
        <v>0.02835</v>
      </c>
      <c r="O193" s="5">
        <v>3.01694102</v>
      </c>
      <c r="P193" s="5">
        <v>3.8964523200000003</v>
      </c>
      <c r="Q193" s="5">
        <v>0.33721199999999996</v>
      </c>
    </row>
    <row r="194" outlineLevel="1">
      <c r="B194" s="0" t="inlineStr">
        <is>
          <t xml:space="preserve">TAYLOR DEVICES INC</t>
        </is>
      </c>
      <c r="C194" s="0" t="inlineStr">
        <is>
          <t xml:space="preserve">MXTJBDD1L4T4</t>
        </is>
      </c>
      <c r="D194" s="0" t="inlineStr">
        <is>
          <t xml:space="preserve">USA</t>
        </is>
      </c>
      <c r="E194" s="0" t="inlineStr">
        <is>
          <t xml:space="preserve">3339</t>
        </is>
      </c>
      <c r="F194" s="0" t="inlineStr">
        <is>
          <t xml:space="preserve">Fluid Power Cylinder and Actuator Manufacturing</t>
        </is>
      </c>
      <c r="G194" s="5">
        <v>7.7542182</v>
      </c>
      <c r="H194" s="0" t="inlineStr">
        <is>
          <t xml:space="preserve">supplier</t>
        </is>
      </c>
      <c r="I194" s="0" t="inlineStr">
        <is>
          <t xml:space="preserve">piping</t>
        </is>
      </c>
      <c r="J194" s="0" t="inlineStr">
        <is>
          <t xml:space="preserve">registry</t>
        </is>
      </c>
      <c r="K194" s="5">
        <v>0</v>
      </c>
      <c r="L194" s="5">
        <v>0</v>
      </c>
      <c r="M194" s="5">
        <v>0.0</v>
      </c>
      <c r="N194" s="5">
        <v>0.0</v>
      </c>
      <c r="O194" s="5">
        <v>0.0</v>
      </c>
      <c r="P194" s="5">
        <v>0.0</v>
      </c>
      <c r="Q194" s="5">
        <v>0.0</v>
      </c>
    </row>
    <row r="195" outlineLevel="1">
      <c r="B195" s="0" t="inlineStr">
        <is>
          <t xml:space="preserve">ARROW ELECTRONICS, INC.</t>
        </is>
      </c>
      <c r="C195" s="0" t="inlineStr">
        <is>
          <t xml:space="preserve">CD2FBNHK3ME1</t>
        </is>
      </c>
      <c r="D195" s="0" t="inlineStr">
        <is>
          <t xml:space="preserve">-</t>
        </is>
      </c>
      <c r="E195" s="0" t="inlineStr">
        <is>
          <t xml:space="preserve">-</t>
        </is>
      </c>
      <c r="F195" s="0" t="inlineStr">
        <is>
          <t xml:space="preserve">-</t>
        </is>
      </c>
      <c r="G195" s="5">
        <v>7.736127420000001</v>
      </c>
      <c r="H195" s="0" t="inlineStr">
        <is>
          <t xml:space="preserve">supplier</t>
        </is>
      </c>
      <c r="I195" s="0" t="inlineStr">
        <is>
          <t xml:space="preserve">unbucketed</t>
        </is>
      </c>
      <c r="J195" s="0" t="inlineStr">
        <is>
          <t xml:space="preserve">residual</t>
        </is>
      </c>
      <c r="K195" s="5">
        <v>0</v>
      </c>
      <c r="L195" s="5">
        <v>0</v>
      </c>
      <c r="M195" s="5">
        <v>0.0</v>
      </c>
      <c r="N195" s="5">
        <v>0.0</v>
      </c>
      <c r="O195" s="5">
        <v>0.0</v>
      </c>
      <c r="P195" s="5">
        <v>0.0</v>
      </c>
      <c r="Q195" s="5">
        <v>0.0</v>
      </c>
    </row>
    <row r="196" outlineLevel="1">
      <c r="B196" s="0" t="inlineStr">
        <is>
          <t xml:space="preserve">GENERAL DYNAMICS CORPORATION</t>
        </is>
      </c>
      <c r="C196" s="0" t="inlineStr">
        <is>
          <t xml:space="preserve">XXCBWV23HC89</t>
        </is>
      </c>
      <c r="D196" s="0" t="inlineStr">
        <is>
          <t xml:space="preserve">USA</t>
        </is>
      </c>
      <c r="E196" s="0" t="inlineStr">
        <is>
          <t xml:space="preserve">3369</t>
        </is>
      </c>
      <c r="F196" s="0" t="inlineStr">
        <is>
          <t xml:space="preserve">Military Armored Vehicle, Tank, and Tank Component Manufacturing</t>
        </is>
      </c>
      <c r="G196" s="5">
        <v>7.658530249999999</v>
      </c>
      <c r="H196" s="0" t="inlineStr">
        <is>
          <t xml:space="preserve">prime</t>
        </is>
      </c>
      <c r="I196" s="0" t="inlineStr">
        <is>
          <t xml:space="preserve">-</t>
        </is>
      </c>
      <c r="J196" s="0" t="inlineStr">
        <is>
          <t xml:space="preserve">prime/co-prime name</t>
        </is>
      </c>
      <c r="K196" s="5">
        <v>0</v>
      </c>
      <c r="L196" s="5">
        <v>0</v>
      </c>
      <c r="M196" s="5">
        <v>0.0</v>
      </c>
      <c r="N196" s="5">
        <v>0.0</v>
      </c>
      <c r="O196" s="5">
        <v>0.0</v>
      </c>
      <c r="P196" s="5">
        <v>0.0</v>
      </c>
      <c r="Q196" s="5">
        <v>0.0</v>
      </c>
    </row>
    <row r="197" outlineLevel="1">
      <c r="B197" s="0" t="inlineStr">
        <is>
          <t xml:space="preserve">MARWAY POWER SYSTEMS, INC.</t>
        </is>
      </c>
      <c r="C197" s="0" t="inlineStr">
        <is>
          <t xml:space="preserve">UXVTFYJT5PN7</t>
        </is>
      </c>
      <c r="D197" s="0" t="inlineStr">
        <is>
          <t xml:space="preserve">-</t>
        </is>
      </c>
      <c r="E197" s="0" t="inlineStr">
        <is>
          <t xml:space="preserve">-</t>
        </is>
      </c>
      <c r="F197" s="0" t="inlineStr">
        <is>
          <t xml:space="preserve">-</t>
        </is>
      </c>
      <c r="G197" s="5">
        <v>7.619574999999999</v>
      </c>
      <c r="H197" s="0" t="inlineStr">
        <is>
          <t xml:space="preserve">supplier</t>
        </is>
      </c>
      <c r="I197" s="0" t="inlineStr">
        <is>
          <t xml:space="preserve">unbucketed</t>
        </is>
      </c>
      <c r="J197" s="0" t="inlineStr">
        <is>
          <t xml:space="preserve">residual</t>
        </is>
      </c>
      <c r="K197" s="5">
        <v>0</v>
      </c>
      <c r="L197" s="5">
        <v>0</v>
      </c>
      <c r="M197" s="5">
        <v>0.0</v>
      </c>
      <c r="N197" s="5">
        <v>0.0</v>
      </c>
      <c r="O197" s="5">
        <v>0.0</v>
      </c>
      <c r="P197" s="5">
        <v>0.0</v>
      </c>
      <c r="Q197" s="5">
        <v>0.0</v>
      </c>
    </row>
    <row r="198" outlineLevel="1">
      <c r="B198" s="0" t="inlineStr">
        <is>
          <t xml:space="preserve">Y.Y.K. ENTERPRISES, INC.</t>
        </is>
      </c>
      <c r="C198" s="0" t="inlineStr">
        <is>
          <t xml:space="preserve">PDZ9LHNSJXN4</t>
        </is>
      </c>
      <c r="D198" s="0" t="inlineStr">
        <is>
          <t xml:space="preserve">-</t>
        </is>
      </c>
      <c r="E198" s="0" t="inlineStr">
        <is>
          <t xml:space="preserve">-</t>
        </is>
      </c>
      <c r="F198" s="0" t="inlineStr">
        <is>
          <t xml:space="preserve">-</t>
        </is>
      </c>
      <c r="G198" s="5">
        <v>7.588316</v>
      </c>
      <c r="H198" s="0" t="inlineStr">
        <is>
          <t xml:space="preserve">supplier</t>
        </is>
      </c>
      <c r="I198" s="0" t="inlineStr">
        <is>
          <t xml:space="preserve">unbucketed</t>
        </is>
      </c>
      <c r="J198" s="0" t="inlineStr">
        <is>
          <t xml:space="preserve">residual</t>
        </is>
      </c>
      <c r="K198" s="5">
        <v>0</v>
      </c>
      <c r="L198" s="5">
        <v>0</v>
      </c>
      <c r="M198" s="5">
        <v>0.0</v>
      </c>
      <c r="N198" s="5">
        <v>0.0</v>
      </c>
      <c r="O198" s="5">
        <v>0.0</v>
      </c>
      <c r="P198" s="5">
        <v>0.0</v>
      </c>
      <c r="Q198" s="5">
        <v>0.0</v>
      </c>
    </row>
    <row r="199" outlineLevel="1">
      <c r="B199" s="0" t="inlineStr">
        <is>
          <t xml:space="preserve">SOUTHCOAST WELDING &amp; MANUFACTURING, LLC</t>
        </is>
      </c>
      <c r="C199" s="0" t="inlineStr">
        <is>
          <t xml:space="preserve">QNF5KM7YJSN7</t>
        </is>
      </c>
      <c r="D199" s="0" t="inlineStr">
        <is>
          <t xml:space="preserve">USA</t>
        </is>
      </c>
      <c r="E199" s="0" t="inlineStr">
        <is>
          <t xml:space="preserve">3366</t>
        </is>
      </c>
      <c r="F199" s="0" t="inlineStr">
        <is>
          <t xml:space="preserve">Ship Building and Repairing</t>
        </is>
      </c>
      <c r="G199" s="5">
        <v>7.40050769</v>
      </c>
      <c r="H199" s="0" t="inlineStr">
        <is>
          <t xml:space="preserve">supplier</t>
        </is>
      </c>
      <c r="I199" s="0" t="inlineStr">
        <is>
          <t xml:space="preserve">structural</t>
        </is>
      </c>
      <c r="J199" s="0" t="inlineStr">
        <is>
          <t xml:space="preserve">registry</t>
        </is>
      </c>
      <c r="K199" s="5">
        <v>0</v>
      </c>
      <c r="L199" s="5">
        <v>0</v>
      </c>
      <c r="M199" s="5">
        <v>6.65773669</v>
      </c>
      <c r="N199" s="5">
        <v>1.30673225</v>
      </c>
      <c r="O199" s="5">
        <v>2.808426</v>
      </c>
      <c r="P199" s="5">
        <v>0.0</v>
      </c>
      <c r="Q199" s="5">
        <v>0.0</v>
      </c>
    </row>
    <row r="200" outlineLevel="1">
      <c r="B200" s="0" t="inlineStr">
        <is>
          <t xml:space="preserve">TTI INC</t>
        </is>
      </c>
      <c r="C200" s="0" t="inlineStr">
        <is>
          <t xml:space="preserve">U6JRN865H4E3</t>
        </is>
      </c>
      <c r="D200" s="0" t="inlineStr">
        <is>
          <t xml:space="preserve">USA</t>
        </is>
      </c>
      <c r="E200" s="0" t="inlineStr">
        <is>
          <t xml:space="preserve">4236</t>
        </is>
      </c>
      <c r="F200" s="0" t="inlineStr">
        <is>
          <t xml:space="preserve">Other Electronic Parts and Equipment Merchant Wholesalers</t>
        </is>
      </c>
      <c r="G200" s="5">
        <v>7.360496669999999</v>
      </c>
      <c r="H200" s="0" t="inlineStr">
        <is>
          <t xml:space="preserve">service</t>
        </is>
      </c>
      <c r="I200" s="0" t="inlineStr">
        <is>
          <t xml:space="preserve">-</t>
        </is>
      </c>
      <c r="J200" s="0" t="inlineStr">
        <is>
          <t xml:space="preserve">service NAICS</t>
        </is>
      </c>
      <c r="K200" s="5">
        <v>0</v>
      </c>
      <c r="L200" s="5">
        <v>0</v>
      </c>
      <c r="M200" s="5">
        <v>0.0</v>
      </c>
      <c r="N200" s="5">
        <v>0.0</v>
      </c>
      <c r="O200" s="5">
        <v>0.0</v>
      </c>
      <c r="P200" s="5">
        <v>0.0</v>
      </c>
      <c r="Q200" s="5">
        <v>0.0</v>
      </c>
    </row>
    <row r="201" outlineLevel="1">
      <c r="B201" s="0" t="inlineStr">
        <is>
          <t xml:space="preserve">ELECTROMET CORPORATION</t>
        </is>
      </c>
      <c r="C201" s="0" t="inlineStr">
        <is>
          <t xml:space="preserve">SMLSDML8NKE4</t>
        </is>
      </c>
      <c r="D201" s="0" t="inlineStr">
        <is>
          <t xml:space="preserve">-</t>
        </is>
      </c>
      <c r="E201" s="0" t="inlineStr">
        <is>
          <t xml:space="preserve">-</t>
        </is>
      </c>
      <c r="F201" s="0" t="inlineStr">
        <is>
          <t xml:space="preserve">-</t>
        </is>
      </c>
      <c r="G201" s="5">
        <v>7.316963690000001</v>
      </c>
      <c r="H201" s="0" t="inlineStr">
        <is>
          <t xml:space="preserve">supplier</t>
        </is>
      </c>
      <c r="I201" s="0" t="inlineStr">
        <is>
          <t xml:space="preserve">unbucketed</t>
        </is>
      </c>
      <c r="J201" s="0" t="inlineStr">
        <is>
          <t xml:space="preserve">residual</t>
        </is>
      </c>
      <c r="K201" s="5">
        <v>0</v>
      </c>
      <c r="L201" s="5">
        <v>0</v>
      </c>
      <c r="M201" s="5">
        <v>0.0</v>
      </c>
      <c r="N201" s="5">
        <v>0.0</v>
      </c>
      <c r="O201" s="5">
        <v>0.0</v>
      </c>
      <c r="P201" s="5">
        <v>0.0</v>
      </c>
      <c r="Q201" s="5">
        <v>0.0</v>
      </c>
    </row>
    <row r="202" outlineLevel="1">
      <c r="B202" s="0" t="inlineStr">
        <is>
          <t xml:space="preserve">CRISTEK INTERCONNECTS, LLC</t>
        </is>
      </c>
      <c r="C202" s="0" t="inlineStr">
        <is>
          <t xml:space="preserve">KSNCG291YU48</t>
        </is>
      </c>
      <c r="D202" s="0" t="inlineStr">
        <is>
          <t xml:space="preserve">-</t>
        </is>
      </c>
      <c r="E202" s="0" t="inlineStr">
        <is>
          <t xml:space="preserve">-</t>
        </is>
      </c>
      <c r="F202" s="0" t="inlineStr">
        <is>
          <t xml:space="preserve">-</t>
        </is>
      </c>
      <c r="G202" s="5">
        <v>7.302634000000001</v>
      </c>
      <c r="H202" s="0" t="inlineStr">
        <is>
          <t xml:space="preserve">supplier</t>
        </is>
      </c>
      <c r="I202" s="0" t="inlineStr">
        <is>
          <t xml:space="preserve">unbucketed</t>
        </is>
      </c>
      <c r="J202" s="0" t="inlineStr">
        <is>
          <t xml:space="preserve">residual</t>
        </is>
      </c>
      <c r="K202" s="5">
        <v>0</v>
      </c>
      <c r="L202" s="5">
        <v>0</v>
      </c>
      <c r="M202" s="5">
        <v>0.0</v>
      </c>
      <c r="N202" s="5">
        <v>0.0</v>
      </c>
      <c r="O202" s="5">
        <v>0.0</v>
      </c>
      <c r="P202" s="5">
        <v>0.0</v>
      </c>
      <c r="Q202" s="5">
        <v>0.0</v>
      </c>
    </row>
    <row r="203" outlineLevel="1">
      <c r="B203" s="0" t="inlineStr">
        <is>
          <t xml:space="preserve">PACIFIC SHIP REPAIR &amp; FABRICATION, INC.</t>
        </is>
      </c>
      <c r="C203" s="0" t="inlineStr">
        <is>
          <t xml:space="preserve">EV4ZGUNNKMJ6</t>
        </is>
      </c>
      <c r="D203" s="0" t="inlineStr">
        <is>
          <t xml:space="preserve">-</t>
        </is>
      </c>
      <c r="E203" s="0" t="inlineStr">
        <is>
          <t xml:space="preserve">-</t>
        </is>
      </c>
      <c r="F203" s="0" t="inlineStr">
        <is>
          <t xml:space="preserve">-</t>
        </is>
      </c>
      <c r="G203" s="5">
        <v>7.1855364999999995</v>
      </c>
      <c r="H203" s="0" t="inlineStr">
        <is>
          <t xml:space="preserve">supplier</t>
        </is>
      </c>
      <c r="I203" s="0" t="inlineStr">
        <is>
          <t xml:space="preserve">unbucketed</t>
        </is>
      </c>
      <c r="J203" s="0" t="inlineStr">
        <is>
          <t xml:space="preserve">residual</t>
        </is>
      </c>
      <c r="K203" s="5">
        <v>0</v>
      </c>
      <c r="L203" s="5">
        <v>0</v>
      </c>
      <c r="M203" s="5">
        <v>7.120536499999998</v>
      </c>
      <c r="N203" s="5">
        <v>0.27676999999999996</v>
      </c>
      <c r="O203" s="5">
        <v>0.6627449999999999</v>
      </c>
      <c r="P203" s="5">
        <v>2.5991150000000003</v>
      </c>
      <c r="Q203" s="5">
        <v>0.0</v>
      </c>
    </row>
    <row r="204" outlineLevel="1">
      <c r="B204" s="0" t="inlineStr">
        <is>
          <t xml:space="preserve">GLENAIR INC</t>
        </is>
      </c>
      <c r="C204" s="0" t="inlineStr">
        <is>
          <t xml:space="preserve">YVBHN7GKLQ44</t>
        </is>
      </c>
      <c r="D204" s="0" t="inlineStr">
        <is>
          <t xml:space="preserve">USA</t>
        </is>
      </c>
      <c r="E204" s="0" t="inlineStr">
        <is>
          <t xml:space="preserve">3359</t>
        </is>
      </c>
      <c r="F204" s="0" t="inlineStr">
        <is>
          <t xml:space="preserve">Other Communication and Energy Wire Manufacturing</t>
        </is>
      </c>
      <c r="G204" s="5">
        <v>7.0809089</v>
      </c>
      <c r="H204" s="0" t="inlineStr">
        <is>
          <t xml:space="preserve">supplier</t>
        </is>
      </c>
      <c r="I204" s="0" t="inlineStr">
        <is>
          <t xml:space="preserve">electrical</t>
        </is>
      </c>
      <c r="J204" s="0" t="inlineStr">
        <is>
          <t xml:space="preserve">naics4</t>
        </is>
      </c>
      <c r="K204" s="5">
        <v>0</v>
      </c>
      <c r="L204" s="5">
        <v>0</v>
      </c>
      <c r="M204" s="5">
        <v>0.036898</v>
      </c>
      <c r="N204" s="5">
        <v>0.0</v>
      </c>
      <c r="O204" s="5">
        <v>0.036898</v>
      </c>
      <c r="P204" s="5">
        <v>0.0</v>
      </c>
      <c r="Q204" s="5">
        <v>0.0</v>
      </c>
    </row>
    <row r="205" outlineLevel="1">
      <c r="B205" s="0" t="inlineStr">
        <is>
          <t xml:space="preserve">BERKSHIRE HATHAWAY INC.</t>
        </is>
      </c>
      <c r="C205" s="0" t="inlineStr">
        <is>
          <t xml:space="preserve">Q8Y9N1NF7N33</t>
        </is>
      </c>
      <c r="D205" s="0" t="inlineStr">
        <is>
          <t xml:space="preserve">USA</t>
        </is>
      </c>
      <c r="E205" s="0" t="inlineStr">
        <is>
          <t xml:space="preserve">5511</t>
        </is>
      </c>
      <c r="F205" s="0" t="inlineStr">
        <is>
          <t xml:space="preserve">Offices of Other Holding Companies</t>
        </is>
      </c>
      <c r="G205" s="5">
        <v>6.948344519999999</v>
      </c>
      <c r="H205" s="0" t="inlineStr">
        <is>
          <t xml:space="preserve">holding</t>
        </is>
      </c>
      <c r="I205" s="0" t="inlineStr">
        <is>
          <t xml:space="preserve">-</t>
        </is>
      </c>
      <c r="J205" s="0" t="inlineStr">
        <is>
          <t xml:space="preserve">holding-co (5511)</t>
        </is>
      </c>
      <c r="K205" s="5">
        <v>0</v>
      </c>
      <c r="L205" s="5">
        <v>0</v>
      </c>
      <c r="M205" s="5">
        <v>0.0</v>
      </c>
      <c r="N205" s="5">
        <v>0.0</v>
      </c>
      <c r="O205" s="5">
        <v>0.0</v>
      </c>
      <c r="P205" s="5">
        <v>0.0</v>
      </c>
      <c r="Q205" s="5">
        <v>0.0</v>
      </c>
    </row>
    <row r="206" outlineLevel="1">
      <c r="B206" s="0" t="inlineStr">
        <is>
          <t xml:space="preserve">CARTRIDGE ACTUATED DEVICES INC</t>
        </is>
      </c>
      <c r="C206" s="0" t="inlineStr">
        <is>
          <t xml:space="preserve">G3KMHX33NMQ8</t>
        </is>
      </c>
      <c r="D206" s="0" t="inlineStr">
        <is>
          <t xml:space="preserve">-</t>
        </is>
      </c>
      <c r="E206" s="0" t="inlineStr">
        <is>
          <t xml:space="preserve">-</t>
        </is>
      </c>
      <c r="F206" s="0" t="inlineStr">
        <is>
          <t xml:space="preserve">-</t>
        </is>
      </c>
      <c r="G206" s="5">
        <v>6.89304574</v>
      </c>
      <c r="H206" s="0" t="inlineStr">
        <is>
          <t xml:space="preserve">supplier</t>
        </is>
      </c>
      <c r="I206" s="0" t="inlineStr">
        <is>
          <t xml:space="preserve">unbucketed</t>
        </is>
      </c>
      <c r="J206" s="0" t="inlineStr">
        <is>
          <t xml:space="preserve">residual</t>
        </is>
      </c>
      <c r="K206" s="5">
        <v>0</v>
      </c>
      <c r="L206" s="5">
        <v>0</v>
      </c>
      <c r="M206" s="5">
        <v>0.0</v>
      </c>
      <c r="N206" s="5">
        <v>0.0</v>
      </c>
      <c r="O206" s="5">
        <v>0.0</v>
      </c>
      <c r="P206" s="5">
        <v>0.0</v>
      </c>
      <c r="Q206" s="5">
        <v>0.0</v>
      </c>
    </row>
    <row r="207" outlineLevel="1">
      <c r="B207" s="0" t="inlineStr">
        <is>
          <t xml:space="preserve">SASMOS HET TECHNOLOGIES LIMITED</t>
        </is>
      </c>
      <c r="C207" s="0" t="inlineStr">
        <is>
          <t xml:space="preserve">P6FCRGAMSXZ4</t>
        </is>
      </c>
      <c r="D207" s="0" t="inlineStr">
        <is>
          <t xml:space="preserve">Foreign</t>
        </is>
      </c>
      <c r="E207" s="0" t="inlineStr">
        <is>
          <t xml:space="preserve">-</t>
        </is>
      </c>
      <c r="F207" s="0" t="inlineStr">
        <is>
          <t xml:space="preserve">-</t>
        </is>
      </c>
      <c r="G207" s="5">
        <v>6.871531999999999</v>
      </c>
      <c r="H207" s="0" t="inlineStr">
        <is>
          <t xml:space="preserve">foreign_fms</t>
        </is>
      </c>
      <c r="I207" s="0" t="inlineStr">
        <is>
          <t xml:space="preserve">-</t>
        </is>
      </c>
      <c r="J207" s="0" t="inlineStr">
        <is>
          <t xml:space="preserve">foreign flag</t>
        </is>
      </c>
      <c r="K207" s="5">
        <v>0</v>
      </c>
      <c r="L207" s="5">
        <v>0</v>
      </c>
      <c r="M207" s="5">
        <v>0.0</v>
      </c>
      <c r="N207" s="5">
        <v>0.0</v>
      </c>
      <c r="O207" s="5">
        <v>0.0</v>
      </c>
      <c r="P207" s="5">
        <v>0.0</v>
      </c>
      <c r="Q207" s="5">
        <v>0.0</v>
      </c>
    </row>
    <row r="208" outlineLevel="1">
      <c r="B208" s="0" t="inlineStr">
        <is>
          <t xml:space="preserve">BERKSHIRE HATHAWAY INC.</t>
        </is>
      </c>
      <c r="C208" s="0" t="inlineStr">
        <is>
          <t xml:space="preserve">MJFZMV8AENB3</t>
        </is>
      </c>
      <c r="D208" s="0" t="inlineStr">
        <is>
          <t xml:space="preserve">USA</t>
        </is>
      </c>
      <c r="E208" s="0" t="inlineStr">
        <is>
          <t xml:space="preserve">5511</t>
        </is>
      </c>
      <c r="F208" s="0" t="inlineStr">
        <is>
          <t xml:space="preserve">Offices of Other Holding Companies</t>
        </is>
      </c>
      <c r="G208" s="5">
        <v>6.86551603</v>
      </c>
      <c r="H208" s="0" t="inlineStr">
        <is>
          <t xml:space="preserve">holding</t>
        </is>
      </c>
      <c r="I208" s="0" t="inlineStr">
        <is>
          <t xml:space="preserve">-</t>
        </is>
      </c>
      <c r="J208" s="0" t="inlineStr">
        <is>
          <t xml:space="preserve">holding-co (5511)</t>
        </is>
      </c>
      <c r="K208" s="5">
        <v>0</v>
      </c>
      <c r="L208" s="5">
        <v>0</v>
      </c>
      <c r="M208" s="5">
        <v>0.0</v>
      </c>
      <c r="N208" s="5">
        <v>0.0</v>
      </c>
      <c r="O208" s="5">
        <v>0.0</v>
      </c>
      <c r="P208" s="5">
        <v>0.0</v>
      </c>
      <c r="Q208" s="5">
        <v>0.0</v>
      </c>
    </row>
    <row r="209" outlineLevel="1">
      <c r="B209" s="0" t="inlineStr">
        <is>
          <t xml:space="preserve">MARTIN ENERGY SERVICES LLC</t>
        </is>
      </c>
      <c r="C209" s="0" t="inlineStr">
        <is>
          <t xml:space="preserve">LCZDJ6YPNYG6</t>
        </is>
      </c>
      <c r="D209" s="0" t="inlineStr">
        <is>
          <t xml:space="preserve">-</t>
        </is>
      </c>
      <c r="E209" s="0" t="inlineStr">
        <is>
          <t xml:space="preserve">-</t>
        </is>
      </c>
      <c r="F209" s="0" t="inlineStr">
        <is>
          <t xml:space="preserve">-</t>
        </is>
      </c>
      <c r="G209" s="5">
        <v>6.78041714</v>
      </c>
      <c r="H209" s="0" t="inlineStr">
        <is>
          <t xml:space="preserve">supplier</t>
        </is>
      </c>
      <c r="I209" s="0" t="inlineStr">
        <is>
          <t xml:space="preserve">unbucketed</t>
        </is>
      </c>
      <c r="J209" s="0" t="inlineStr">
        <is>
          <t xml:space="preserve">residual</t>
        </is>
      </c>
      <c r="K209" s="5">
        <v>0</v>
      </c>
      <c r="L209" s="5">
        <v>0</v>
      </c>
      <c r="M209" s="5">
        <v>6.78041714</v>
      </c>
      <c r="N209" s="5">
        <v>1.7074932</v>
      </c>
      <c r="O209" s="5">
        <v>5.07292394</v>
      </c>
      <c r="P209" s="5">
        <v>0.0</v>
      </c>
      <c r="Q209" s="5">
        <v>0.0</v>
      </c>
    </row>
    <row r="210" outlineLevel="1">
      <c r="B210" s="0" t="inlineStr">
        <is>
          <t xml:space="preserve">ITT INC.</t>
        </is>
      </c>
      <c r="C210" s="0" t="inlineStr">
        <is>
          <t xml:space="preserve">NHA2LDXZPES3</t>
        </is>
      </c>
      <c r="D210" s="0" t="inlineStr">
        <is>
          <t xml:space="preserve">-</t>
        </is>
      </c>
      <c r="E210" s="0" t="inlineStr">
        <is>
          <t xml:space="preserve">-</t>
        </is>
      </c>
      <c r="F210" s="0" t="inlineStr">
        <is>
          <t xml:space="preserve">-</t>
        </is>
      </c>
      <c r="G210" s="5">
        <v>6.735031279999999</v>
      </c>
      <c r="H210" s="0" t="inlineStr">
        <is>
          <t xml:space="preserve">supplier</t>
        </is>
      </c>
      <c r="I210" s="0" t="inlineStr">
        <is>
          <t xml:space="preserve">unbucketed</t>
        </is>
      </c>
      <c r="J210" s="0" t="inlineStr">
        <is>
          <t xml:space="preserve">residual</t>
        </is>
      </c>
      <c r="K210" s="5">
        <v>0</v>
      </c>
      <c r="L210" s="5">
        <v>0</v>
      </c>
      <c r="M210" s="5">
        <v>0.0</v>
      </c>
      <c r="N210" s="5">
        <v>0.0</v>
      </c>
      <c r="O210" s="5">
        <v>0.0</v>
      </c>
      <c r="P210" s="5">
        <v>0.0</v>
      </c>
      <c r="Q210" s="5">
        <v>0.0</v>
      </c>
    </row>
    <row r="211" outlineLevel="1">
      <c r="B211" s="0" t="inlineStr">
        <is>
          <t xml:space="preserve">ARROW ELECTRONICS, INC.</t>
        </is>
      </c>
      <c r="C211" s="0" t="inlineStr">
        <is>
          <t xml:space="preserve">N8XXNTTKKU55</t>
        </is>
      </c>
      <c r="D211" s="0" t="inlineStr">
        <is>
          <t xml:space="preserve">-</t>
        </is>
      </c>
      <c r="E211" s="0" t="inlineStr">
        <is>
          <t xml:space="preserve">-</t>
        </is>
      </c>
      <c r="F211" s="0" t="inlineStr">
        <is>
          <t xml:space="preserve">-</t>
        </is>
      </c>
      <c r="G211" s="5">
        <v>6.648895999999999</v>
      </c>
      <c r="H211" s="0" t="inlineStr">
        <is>
          <t xml:space="preserve">supplier</t>
        </is>
      </c>
      <c r="I211" s="0" t="inlineStr">
        <is>
          <t xml:space="preserve">unbucketed</t>
        </is>
      </c>
      <c r="J211" s="0" t="inlineStr">
        <is>
          <t xml:space="preserve">residual</t>
        </is>
      </c>
      <c r="K211" s="5">
        <v>0</v>
      </c>
      <c r="L211" s="5">
        <v>0</v>
      </c>
      <c r="M211" s="5">
        <v>0.0</v>
      </c>
      <c r="N211" s="5">
        <v>0.0</v>
      </c>
      <c r="O211" s="5">
        <v>0.0</v>
      </c>
      <c r="P211" s="5">
        <v>0.0</v>
      </c>
      <c r="Q211" s="5">
        <v>0.0</v>
      </c>
    </row>
    <row r="212" outlineLevel="1">
      <c r="B212" s="0" t="inlineStr">
        <is>
          <t xml:space="preserve">PNY TECHNOLOGIES, INC.</t>
        </is>
      </c>
      <c r="C212" s="0" t="inlineStr">
        <is>
          <t xml:space="preserve">C8RHMP5H2FR7</t>
        </is>
      </c>
      <c r="D212" s="0" t="inlineStr">
        <is>
          <t xml:space="preserve">-</t>
        </is>
      </c>
      <c r="E212" s="0" t="inlineStr">
        <is>
          <t xml:space="preserve">-</t>
        </is>
      </c>
      <c r="F212" s="0" t="inlineStr">
        <is>
          <t xml:space="preserve">-</t>
        </is>
      </c>
      <c r="G212" s="5">
        <v>6.63924832</v>
      </c>
      <c r="H212" s="0" t="inlineStr">
        <is>
          <t xml:space="preserve">supplier</t>
        </is>
      </c>
      <c r="I212" s="0" t="inlineStr">
        <is>
          <t xml:space="preserve">unbucketed</t>
        </is>
      </c>
      <c r="J212" s="0" t="inlineStr">
        <is>
          <t xml:space="preserve">residual</t>
        </is>
      </c>
      <c r="K212" s="5">
        <v>0</v>
      </c>
      <c r="L212" s="5">
        <v>0</v>
      </c>
      <c r="M212" s="5">
        <v>0.0</v>
      </c>
      <c r="N212" s="5">
        <v>0.0</v>
      </c>
      <c r="O212" s="5">
        <v>0.0</v>
      </c>
      <c r="P212" s="5">
        <v>0.0</v>
      </c>
      <c r="Q212" s="5">
        <v>0.0</v>
      </c>
    </row>
    <row r="213" outlineLevel="1">
      <c r="B213" s="0" t="inlineStr">
        <is>
          <t xml:space="preserve">NORTH ATLANTIC INDUSTRIES, INC.</t>
        </is>
      </c>
      <c r="C213" s="0" t="inlineStr">
        <is>
          <t xml:space="preserve">KQJTYTVTATY8</t>
        </is>
      </c>
      <c r="D213" s="0" t="inlineStr">
        <is>
          <t xml:space="preserve">-</t>
        </is>
      </c>
      <c r="E213" s="0" t="inlineStr">
        <is>
          <t xml:space="preserve">-</t>
        </is>
      </c>
      <c r="F213" s="0" t="inlineStr">
        <is>
          <t xml:space="preserve">-</t>
        </is>
      </c>
      <c r="G213" s="5">
        <v>6.633462</v>
      </c>
      <c r="H213" s="0" t="inlineStr">
        <is>
          <t xml:space="preserve">supplier</t>
        </is>
      </c>
      <c r="I213" s="0" t="inlineStr">
        <is>
          <t xml:space="preserve">unbucketed</t>
        </is>
      </c>
      <c r="J213" s="0" t="inlineStr">
        <is>
          <t xml:space="preserve">residual</t>
        </is>
      </c>
      <c r="K213" s="5">
        <v>0</v>
      </c>
      <c r="L213" s="5">
        <v>0</v>
      </c>
      <c r="M213" s="5">
        <v>0.0</v>
      </c>
      <c r="N213" s="5">
        <v>0.0</v>
      </c>
      <c r="O213" s="5">
        <v>0.0</v>
      </c>
      <c r="P213" s="5">
        <v>0.0</v>
      </c>
      <c r="Q213" s="5">
        <v>0.0</v>
      </c>
    </row>
    <row r="214" outlineLevel="1">
      <c r="B214" s="0" t="inlineStr">
        <is>
          <t xml:space="preserve">TECHNOLOGY DYNAMICS, INC.</t>
        </is>
      </c>
      <c r="C214" s="0" t="inlineStr">
        <is>
          <t xml:space="preserve">ZC5JNMHPHWA9</t>
        </is>
      </c>
      <c r="D214" s="0" t="inlineStr">
        <is>
          <t xml:space="preserve">USA</t>
        </is>
      </c>
      <c r="E214" s="0" t="inlineStr">
        <is>
          <t xml:space="preserve">3359</t>
        </is>
      </c>
      <c r="F214" s="0" t="inlineStr">
        <is>
          <t xml:space="preserve">All Other Miscellaneous Electrical Equipment and Component Manufacturing</t>
        </is>
      </c>
      <c r="G214" s="5">
        <v>6.625172999999999</v>
      </c>
      <c r="H214" s="0" t="inlineStr">
        <is>
          <t xml:space="preserve">supplier</t>
        </is>
      </c>
      <c r="I214" s="0" t="inlineStr">
        <is>
          <t xml:space="preserve">electrical</t>
        </is>
      </c>
      <c r="J214" s="0" t="inlineStr">
        <is>
          <t xml:space="preserve">registry</t>
        </is>
      </c>
      <c r="K214" s="5">
        <v>0</v>
      </c>
      <c r="L214" s="5">
        <v>0</v>
      </c>
      <c r="M214" s="5">
        <v>0.0</v>
      </c>
      <c r="N214" s="5">
        <v>0.0</v>
      </c>
      <c r="O214" s="5">
        <v>0.0</v>
      </c>
      <c r="P214" s="5">
        <v>0.0</v>
      </c>
      <c r="Q214" s="5">
        <v>0.0</v>
      </c>
    </row>
    <row r="215" outlineLevel="1">
      <c r="B215" s="0" t="inlineStr">
        <is>
          <t xml:space="preserve">AJ'S POWER SOURCE, INC.</t>
        </is>
      </c>
      <c r="C215" s="0" t="inlineStr">
        <is>
          <t xml:space="preserve">NECUC7NJ1UZ5</t>
        </is>
      </c>
      <c r="D215" s="0" t="inlineStr">
        <is>
          <t xml:space="preserve">-</t>
        </is>
      </c>
      <c r="E215" s="0" t="inlineStr">
        <is>
          <t xml:space="preserve">-</t>
        </is>
      </c>
      <c r="F215" s="0" t="inlineStr">
        <is>
          <t xml:space="preserve">-</t>
        </is>
      </c>
      <c r="G215" s="5">
        <v>6.606083559999998</v>
      </c>
      <c r="H215" s="0" t="inlineStr">
        <is>
          <t xml:space="preserve">supplier</t>
        </is>
      </c>
      <c r="I215" s="0" t="inlineStr">
        <is>
          <t xml:space="preserve">unbucketed</t>
        </is>
      </c>
      <c r="J215" s="0" t="inlineStr">
        <is>
          <t xml:space="preserve">residual</t>
        </is>
      </c>
      <c r="K215" s="5">
        <v>0</v>
      </c>
      <c r="L215" s="5">
        <v>0</v>
      </c>
      <c r="M215" s="5">
        <v>0.0</v>
      </c>
      <c r="N215" s="5">
        <v>0.0</v>
      </c>
      <c r="O215" s="5">
        <v>0.0</v>
      </c>
      <c r="P215" s="5">
        <v>0.0</v>
      </c>
      <c r="Q215" s="5">
        <v>0.0</v>
      </c>
    </row>
    <row r="216" outlineLevel="1">
      <c r="B216" s="0" t="inlineStr">
        <is>
          <t xml:space="preserve">BOGUE SYSTEMS INC.</t>
        </is>
      </c>
      <c r="C216" s="0" t="inlineStr">
        <is>
          <t xml:space="preserve">HLFDNJU7KXJ1</t>
        </is>
      </c>
      <c r="D216" s="0" t="inlineStr">
        <is>
          <t xml:space="preserve">-</t>
        </is>
      </c>
      <c r="E216" s="0" t="inlineStr">
        <is>
          <t xml:space="preserve">-</t>
        </is>
      </c>
      <c r="F216" s="0" t="inlineStr">
        <is>
          <t xml:space="preserve">-</t>
        </is>
      </c>
      <c r="G216" s="5">
        <v>6.52790444</v>
      </c>
      <c r="H216" s="0" t="inlineStr">
        <is>
          <t xml:space="preserve">supplier</t>
        </is>
      </c>
      <c r="I216" s="0" t="inlineStr">
        <is>
          <t xml:space="preserve">unbucketed</t>
        </is>
      </c>
      <c r="J216" s="0" t="inlineStr">
        <is>
          <t xml:space="preserve">residual</t>
        </is>
      </c>
      <c r="K216" s="5">
        <v>0</v>
      </c>
      <c r="L216" s="5">
        <v>0</v>
      </c>
      <c r="M216" s="5">
        <v>6.52790444</v>
      </c>
      <c r="N216" s="5">
        <v>0.25794</v>
      </c>
      <c r="O216" s="5">
        <v>0.0</v>
      </c>
      <c r="P216" s="5">
        <v>0.0</v>
      </c>
      <c r="Q216" s="5">
        <v>0.0</v>
      </c>
    </row>
    <row r="217" outlineLevel="1">
      <c r="B217" s="0" t="inlineStr">
        <is>
          <t xml:space="preserve">FONTAINE COMMERCIAL TRAILER, INC.</t>
        </is>
      </c>
      <c r="C217" s="0" t="inlineStr">
        <is>
          <t xml:space="preserve">Q8Y9N1NF7N33</t>
        </is>
      </c>
      <c r="D217" s="0" t="inlineStr">
        <is>
          <t xml:space="preserve">-</t>
        </is>
      </c>
      <c r="E217" s="0" t="inlineStr">
        <is>
          <t xml:space="preserve">-</t>
        </is>
      </c>
      <c r="F217" s="0" t="inlineStr">
        <is>
          <t xml:space="preserve">-</t>
        </is>
      </c>
      <c r="G217" s="5">
        <v>6.399681599999999</v>
      </c>
      <c r="H217" s="0" t="inlineStr">
        <is>
          <t xml:space="preserve">supplier</t>
        </is>
      </c>
      <c r="I217" s="0" t="inlineStr">
        <is>
          <t xml:space="preserve">unbucketed</t>
        </is>
      </c>
      <c r="J217" s="0" t="inlineStr">
        <is>
          <t xml:space="preserve">residual</t>
        </is>
      </c>
      <c r="K217" s="5">
        <v>0</v>
      </c>
      <c r="L217" s="5">
        <v>0</v>
      </c>
      <c r="M217" s="5">
        <v>0.0</v>
      </c>
      <c r="N217" s="5">
        <v>0.0</v>
      </c>
      <c r="O217" s="5">
        <v>0.0</v>
      </c>
      <c r="P217" s="5">
        <v>0.0</v>
      </c>
      <c r="Q217" s="5">
        <v>0.0</v>
      </c>
    </row>
    <row r="218" outlineLevel="1">
      <c r="B218" s="0" t="inlineStr">
        <is>
          <t xml:space="preserve">SYSTEMS ENGINEERING &amp; MANAGEMENT COMPANY</t>
        </is>
      </c>
      <c r="C218" s="0" t="inlineStr">
        <is>
          <t xml:space="preserve">YND8DQMYF5L6</t>
        </is>
      </c>
      <c r="D218" s="0" t="inlineStr">
        <is>
          <t xml:space="preserve">-</t>
        </is>
      </c>
      <c r="E218" s="0" t="inlineStr">
        <is>
          <t xml:space="preserve">-</t>
        </is>
      </c>
      <c r="F218" s="0" t="inlineStr">
        <is>
          <t xml:space="preserve">-</t>
        </is>
      </c>
      <c r="G218" s="5">
        <v>6.23881216</v>
      </c>
      <c r="H218" s="0" t="inlineStr">
        <is>
          <t xml:space="preserve">supplier</t>
        </is>
      </c>
      <c r="I218" s="0" t="inlineStr">
        <is>
          <t xml:space="preserve">unbucketed</t>
        </is>
      </c>
      <c r="J218" s="0" t="inlineStr">
        <is>
          <t xml:space="preserve">residual</t>
        </is>
      </c>
      <c r="K218" s="5">
        <v>0</v>
      </c>
      <c r="L218" s="5">
        <v>0</v>
      </c>
      <c r="M218" s="5">
        <v>0.0</v>
      </c>
      <c r="N218" s="5">
        <v>0.0</v>
      </c>
      <c r="O218" s="5">
        <v>0.0</v>
      </c>
      <c r="P218" s="5">
        <v>0.0</v>
      </c>
      <c r="Q218" s="5">
        <v>0.0</v>
      </c>
    </row>
    <row r="219" outlineLevel="1">
      <c r="B219" s="0" t="inlineStr">
        <is>
          <t xml:space="preserve">PORTLAND VALVE LLC</t>
        </is>
      </c>
      <c r="C219" s="0" t="inlineStr">
        <is>
          <t xml:space="preserve">JEP5GQGFPUL9</t>
        </is>
      </c>
      <c r="D219" s="0" t="inlineStr">
        <is>
          <t xml:space="preserve">-</t>
        </is>
      </c>
      <c r="E219" s="0" t="inlineStr">
        <is>
          <t xml:space="preserve">-</t>
        </is>
      </c>
      <c r="F219" s="0" t="inlineStr">
        <is>
          <t xml:space="preserve">-</t>
        </is>
      </c>
      <c r="G219" s="5">
        <v>6.085015930000001</v>
      </c>
      <c r="H219" s="0" t="inlineStr">
        <is>
          <t xml:space="preserve">supplier</t>
        </is>
      </c>
      <c r="I219" s="0" t="inlineStr">
        <is>
          <t xml:space="preserve">piping</t>
        </is>
      </c>
      <c r="J219" s="0" t="inlineStr">
        <is>
          <t xml:space="preserve">registry</t>
        </is>
      </c>
      <c r="K219" s="5">
        <v>0</v>
      </c>
      <c r="L219" s="5">
        <v>0</v>
      </c>
      <c r="M219" s="5">
        <v>6.085015930000001</v>
      </c>
      <c r="N219" s="5">
        <v>1.55449659</v>
      </c>
      <c r="O219" s="5">
        <v>1.44421934</v>
      </c>
      <c r="P219" s="5">
        <v>0.0</v>
      </c>
      <c r="Q219" s="5">
        <v>1.592359</v>
      </c>
    </row>
    <row r="220" outlineLevel="1">
      <c r="B220" s="0" t="inlineStr">
        <is>
          <t xml:space="preserve">CRISTEK INTERCONNECTS, LLC</t>
        </is>
      </c>
      <c r="C220" s="0" t="inlineStr">
        <is>
          <t xml:space="preserve">Q9CEKRN3B2U8</t>
        </is>
      </c>
      <c r="D220" s="0" t="inlineStr">
        <is>
          <t xml:space="preserve">-</t>
        </is>
      </c>
      <c r="E220" s="0" t="inlineStr">
        <is>
          <t xml:space="preserve">-</t>
        </is>
      </c>
      <c r="F220" s="0" t="inlineStr">
        <is>
          <t xml:space="preserve">-</t>
        </is>
      </c>
      <c r="G220" s="5">
        <v>5.993905</v>
      </c>
      <c r="H220" s="0" t="inlineStr">
        <is>
          <t xml:space="preserve">supplier</t>
        </is>
      </c>
      <c r="I220" s="0" t="inlineStr">
        <is>
          <t xml:space="preserve">unbucketed</t>
        </is>
      </c>
      <c r="J220" s="0" t="inlineStr">
        <is>
          <t xml:space="preserve">residual</t>
        </is>
      </c>
      <c r="K220" s="5">
        <v>0</v>
      </c>
      <c r="L220" s="5">
        <v>0</v>
      </c>
      <c r="M220" s="5">
        <v>0.0</v>
      </c>
      <c r="N220" s="5">
        <v>0.0</v>
      </c>
      <c r="O220" s="5">
        <v>0.0</v>
      </c>
      <c r="P220" s="5">
        <v>0.0</v>
      </c>
      <c r="Q220" s="5">
        <v>0.0</v>
      </c>
    </row>
    <row r="221" outlineLevel="1">
      <c r="B221" s="0" t="inlineStr">
        <is>
          <t xml:space="preserve">NCS TECHNOLOGIES INC</t>
        </is>
      </c>
      <c r="C221" s="0" t="inlineStr">
        <is>
          <t xml:space="preserve">MDTGPS4LMMR5</t>
        </is>
      </c>
      <c r="D221" s="0" t="inlineStr">
        <is>
          <t xml:space="preserve">-</t>
        </is>
      </c>
      <c r="E221" s="0" t="inlineStr">
        <is>
          <t xml:space="preserve">-</t>
        </is>
      </c>
      <c r="F221" s="0" t="inlineStr">
        <is>
          <t xml:space="preserve">-</t>
        </is>
      </c>
      <c r="G221" s="5">
        <v>5.9703409999999995</v>
      </c>
      <c r="H221" s="0" t="inlineStr">
        <is>
          <t xml:space="preserve">supplier</t>
        </is>
      </c>
      <c r="I221" s="0" t="inlineStr">
        <is>
          <t xml:space="preserve">unbucketed</t>
        </is>
      </c>
      <c r="J221" s="0" t="inlineStr">
        <is>
          <t xml:space="preserve">residual</t>
        </is>
      </c>
      <c r="K221" s="5">
        <v>0</v>
      </c>
      <c r="L221" s="5">
        <v>0</v>
      </c>
      <c r="M221" s="5">
        <v>0.0</v>
      </c>
      <c r="N221" s="5">
        <v>0.0</v>
      </c>
      <c r="O221" s="5">
        <v>0.0</v>
      </c>
      <c r="P221" s="5">
        <v>0.0</v>
      </c>
      <c r="Q221" s="5">
        <v>0.0</v>
      </c>
    </row>
    <row r="222" outlineLevel="1">
      <c r="B222" s="0" t="inlineStr">
        <is>
          <t xml:space="preserve">ARC TECHNOLOGY SOLUTIONS, LLC</t>
        </is>
      </c>
      <c r="C222" s="0" t="inlineStr">
        <is>
          <t xml:space="preserve">UR1EVYZH84D5</t>
        </is>
      </c>
      <c r="D222" s="0" t="inlineStr">
        <is>
          <t xml:space="preserve">-</t>
        </is>
      </c>
      <c r="E222" s="0" t="inlineStr">
        <is>
          <t xml:space="preserve">-</t>
        </is>
      </c>
      <c r="F222" s="0" t="inlineStr">
        <is>
          <t xml:space="preserve">-</t>
        </is>
      </c>
      <c r="G222" s="5">
        <v>5.951304</v>
      </c>
      <c r="H222" s="0" t="inlineStr">
        <is>
          <t xml:space="preserve">supplier</t>
        </is>
      </c>
      <c r="I222" s="0" t="inlineStr">
        <is>
          <t xml:space="preserve">unbucketed</t>
        </is>
      </c>
      <c r="J222" s="0" t="inlineStr">
        <is>
          <t xml:space="preserve">residual</t>
        </is>
      </c>
      <c r="K222" s="5">
        <v>0</v>
      </c>
      <c r="L222" s="5">
        <v>0</v>
      </c>
      <c r="M222" s="5">
        <v>0.0</v>
      </c>
      <c r="N222" s="5">
        <v>0.0</v>
      </c>
      <c r="O222" s="5">
        <v>0.0</v>
      </c>
      <c r="P222" s="5">
        <v>0.0</v>
      </c>
      <c r="Q222" s="5">
        <v>0.0</v>
      </c>
    </row>
    <row r="223" outlineLevel="1">
      <c r="B223" s="0" t="inlineStr">
        <is>
          <t xml:space="preserve">DIVERSIFIED MACHINING, INC.</t>
        </is>
      </c>
      <c r="C223" s="0" t="inlineStr">
        <is>
          <t xml:space="preserve">H7DBZ25EQ9F6</t>
        </is>
      </c>
      <c r="D223" s="0" t="inlineStr">
        <is>
          <t xml:space="preserve">-</t>
        </is>
      </c>
      <c r="E223" s="0" t="inlineStr">
        <is>
          <t xml:space="preserve">-</t>
        </is>
      </c>
      <c r="F223" s="0" t="inlineStr">
        <is>
          <t xml:space="preserve">-</t>
        </is>
      </c>
      <c r="G223" s="5">
        <v>5.941769359999999</v>
      </c>
      <c r="H223" s="0" t="inlineStr">
        <is>
          <t xml:space="preserve">supplier</t>
        </is>
      </c>
      <c r="I223" s="0" t="inlineStr">
        <is>
          <t xml:space="preserve">unbucketed</t>
        </is>
      </c>
      <c r="J223" s="0" t="inlineStr">
        <is>
          <t xml:space="preserve">residual</t>
        </is>
      </c>
      <c r="K223" s="5">
        <v>0</v>
      </c>
      <c r="L223" s="5">
        <v>0</v>
      </c>
      <c r="M223" s="5">
        <v>0.0</v>
      </c>
      <c r="N223" s="5">
        <v>0.0</v>
      </c>
      <c r="O223" s="5">
        <v>0.0</v>
      </c>
      <c r="P223" s="5">
        <v>0.0</v>
      </c>
      <c r="Q223" s="5">
        <v>0.0</v>
      </c>
    </row>
    <row r="224" outlineLevel="1">
      <c r="B224" s="0" t="inlineStr">
        <is>
          <t xml:space="preserve">INNOVATIVE DEFENSE TECHNOLOGIES, LLC</t>
        </is>
      </c>
      <c r="C224" s="0" t="inlineStr">
        <is>
          <t xml:space="preserve">QEHMNH93DYH6</t>
        </is>
      </c>
      <c r="D224" s="0" t="inlineStr">
        <is>
          <t xml:space="preserve">-</t>
        </is>
      </c>
      <c r="E224" s="0" t="inlineStr">
        <is>
          <t xml:space="preserve">-</t>
        </is>
      </c>
      <c r="F224" s="0" t="inlineStr">
        <is>
          <t xml:space="preserve">-</t>
        </is>
      </c>
      <c r="G224" s="5">
        <v>5.9295552099999975</v>
      </c>
      <c r="H224" s="0" t="inlineStr">
        <is>
          <t xml:space="preserve">supplier</t>
        </is>
      </c>
      <c r="I224" s="0" t="inlineStr">
        <is>
          <t xml:space="preserve">unbucketed</t>
        </is>
      </c>
      <c r="J224" s="0" t="inlineStr">
        <is>
          <t xml:space="preserve">residual</t>
        </is>
      </c>
      <c r="K224" s="5">
        <v>0</v>
      </c>
      <c r="L224" s="5">
        <v>0</v>
      </c>
      <c r="M224" s="5">
        <v>0.0</v>
      </c>
      <c r="N224" s="5">
        <v>0.0</v>
      </c>
      <c r="O224" s="5">
        <v>0.0</v>
      </c>
      <c r="P224" s="5">
        <v>0.0</v>
      </c>
      <c r="Q224" s="5">
        <v>0.0</v>
      </c>
    </row>
    <row r="225" outlineLevel="1">
      <c r="B225" s="0" t="inlineStr">
        <is>
          <t xml:space="preserve">M &amp; S MACHINING, INC.</t>
        </is>
      </c>
      <c r="C225" s="0" t="inlineStr">
        <is>
          <t xml:space="preserve">J5FTSL9NDLN5</t>
        </is>
      </c>
      <c r="D225" s="0" t="inlineStr">
        <is>
          <t xml:space="preserve">USA</t>
        </is>
      </c>
      <c r="E225" s="0" t="inlineStr">
        <is>
          <t xml:space="preserve">3327</t>
        </is>
      </c>
      <c r="F225" s="0" t="inlineStr">
        <is>
          <t xml:space="preserve">Machine Shops</t>
        </is>
      </c>
      <c r="G225" s="5">
        <v>5.92530863</v>
      </c>
      <c r="H225" s="0" t="inlineStr">
        <is>
          <t xml:space="preserve">supplier</t>
        </is>
      </c>
      <c r="I225" s="0" t="inlineStr">
        <is>
          <t xml:space="preserve">machining</t>
        </is>
      </c>
      <c r="J225" s="0" t="inlineStr">
        <is>
          <t xml:space="preserve">naics4</t>
        </is>
      </c>
      <c r="K225" s="5">
        <v>0</v>
      </c>
      <c r="L225" s="5">
        <v>0</v>
      </c>
      <c r="M225" s="5">
        <v>0.0</v>
      </c>
      <c r="N225" s="5">
        <v>0.0</v>
      </c>
      <c r="O225" s="5">
        <v>0.0</v>
      </c>
      <c r="P225" s="5">
        <v>0.0</v>
      </c>
      <c r="Q225" s="5">
        <v>0.0</v>
      </c>
    </row>
    <row r="226" outlineLevel="1">
      <c r="B226" s="0" t="inlineStr">
        <is>
          <t xml:space="preserve">TTM TECHNOLOGIES, INC.</t>
        </is>
      </c>
      <c r="C226" s="0" t="inlineStr">
        <is>
          <t xml:space="preserve">G6A3V6LJ8LN9</t>
        </is>
      </c>
      <c r="D226" s="0" t="inlineStr">
        <is>
          <t xml:space="preserve">-</t>
        </is>
      </c>
      <c r="E226" s="0" t="inlineStr">
        <is>
          <t xml:space="preserve">-</t>
        </is>
      </c>
      <c r="F226" s="0" t="inlineStr">
        <is>
          <t xml:space="preserve">-</t>
        </is>
      </c>
      <c r="G226" s="5">
        <v>5.900143</v>
      </c>
      <c r="H226" s="0" t="inlineStr">
        <is>
          <t xml:space="preserve">supplier</t>
        </is>
      </c>
      <c r="I226" s="0" t="inlineStr">
        <is>
          <t xml:space="preserve">unbucketed</t>
        </is>
      </c>
      <c r="J226" s="0" t="inlineStr">
        <is>
          <t xml:space="preserve">residual</t>
        </is>
      </c>
      <c r="K226" s="5">
        <v>0</v>
      </c>
      <c r="L226" s="5">
        <v>0</v>
      </c>
      <c r="M226" s="5">
        <v>0.0</v>
      </c>
      <c r="N226" s="5">
        <v>0.0</v>
      </c>
      <c r="O226" s="5">
        <v>0.0</v>
      </c>
      <c r="P226" s="5">
        <v>0.0</v>
      </c>
      <c r="Q226" s="5">
        <v>0.0</v>
      </c>
    </row>
    <row r="227" outlineLevel="1">
      <c r="B227" s="0" t="inlineStr">
        <is>
          <t xml:space="preserve">ENGINEERED COIL COMPANY</t>
        </is>
      </c>
      <c r="C227" s="0" t="inlineStr">
        <is>
          <t xml:space="preserve">VJMTKNLENX24</t>
        </is>
      </c>
      <c r="D227" s="0" t="inlineStr">
        <is>
          <t xml:space="preserve">-</t>
        </is>
      </c>
      <c r="E227" s="0" t="inlineStr">
        <is>
          <t xml:space="preserve">-</t>
        </is>
      </c>
      <c r="F227" s="0" t="inlineStr">
        <is>
          <t xml:space="preserve">-</t>
        </is>
      </c>
      <c r="G227" s="5">
        <v>5.870700960000001</v>
      </c>
      <c r="H227" s="0" t="inlineStr">
        <is>
          <t xml:space="preserve">supplier</t>
        </is>
      </c>
      <c r="I227" s="0" t="inlineStr">
        <is>
          <t xml:space="preserve">hvac</t>
        </is>
      </c>
      <c r="J227" s="0" t="inlineStr">
        <is>
          <t xml:space="preserve">registry</t>
        </is>
      </c>
      <c r="K227" s="5">
        <v>0</v>
      </c>
      <c r="L227" s="5">
        <v>0</v>
      </c>
      <c r="M227" s="5">
        <v>5.870700960000001</v>
      </c>
      <c r="N227" s="5">
        <v>0.0</v>
      </c>
      <c r="O227" s="5">
        <v>0.0</v>
      </c>
      <c r="P227" s="5">
        <v>5.870700960000001</v>
      </c>
      <c r="Q227" s="5">
        <v>0.0</v>
      </c>
    </row>
    <row r="228" outlineLevel="1">
      <c r="B228" s="0" t="inlineStr">
        <is>
          <t xml:space="preserve">TELEDYNE BROWN ENGINEERING, INC.</t>
        </is>
      </c>
      <c r="C228" s="0" t="inlineStr">
        <is>
          <t xml:space="preserve">FBRSJB6V4LW8</t>
        </is>
      </c>
      <c r="D228" s="0" t="inlineStr">
        <is>
          <t xml:space="preserve">-</t>
        </is>
      </c>
      <c r="E228" s="0" t="inlineStr">
        <is>
          <t xml:space="preserve">-</t>
        </is>
      </c>
      <c r="F228" s="0" t="inlineStr">
        <is>
          <t xml:space="preserve">-</t>
        </is>
      </c>
      <c r="G228" s="5">
        <v>5.859258</v>
      </c>
      <c r="H228" s="0" t="inlineStr">
        <is>
          <t xml:space="preserve">supplier</t>
        </is>
      </c>
      <c r="I228" s="0" t="inlineStr">
        <is>
          <t xml:space="preserve">unbucketed</t>
        </is>
      </c>
      <c r="J228" s="0" t="inlineStr">
        <is>
          <t xml:space="preserve">residual</t>
        </is>
      </c>
      <c r="K228" s="5">
        <v>0</v>
      </c>
      <c r="L228" s="5">
        <v>0</v>
      </c>
      <c r="M228" s="5">
        <v>0.0</v>
      </c>
      <c r="N228" s="5">
        <v>0.0</v>
      </c>
      <c r="O228" s="5">
        <v>0.0</v>
      </c>
      <c r="P228" s="5">
        <v>0.0</v>
      </c>
      <c r="Q228" s="5">
        <v>0.0</v>
      </c>
    </row>
    <row r="229" outlineLevel="1">
      <c r="B229" s="0" t="inlineStr">
        <is>
          <t xml:space="preserve">AI CONVOY &amp; CY S.C.A.</t>
        </is>
      </c>
      <c r="C229" s="0" t="inlineStr">
        <is>
          <t xml:space="preserve">VNP2L293JWL6</t>
        </is>
      </c>
      <c r="D229" s="0" t="inlineStr">
        <is>
          <t xml:space="preserve">-</t>
        </is>
      </c>
      <c r="E229" s="0" t="inlineStr">
        <is>
          <t xml:space="preserve">-</t>
        </is>
      </c>
      <c r="F229" s="0" t="inlineStr">
        <is>
          <t xml:space="preserve">-</t>
        </is>
      </c>
      <c r="G229" s="5">
        <v>5.836066710000001</v>
      </c>
      <c r="H229" s="0" t="inlineStr">
        <is>
          <t xml:space="preserve">mission_systems</t>
        </is>
      </c>
      <c r="I229" s="0" t="inlineStr">
        <is>
          <t xml:space="preserve">-</t>
        </is>
      </c>
      <c r="J229" s="0" t="inlineStr">
        <is>
          <t xml:space="preserve">registry</t>
        </is>
      </c>
      <c r="K229" s="5">
        <v>0</v>
      </c>
      <c r="L229" s="5">
        <v>0</v>
      </c>
      <c r="M229" s="5">
        <v>0.0</v>
      </c>
      <c r="N229" s="5">
        <v>0.0</v>
      </c>
      <c r="O229" s="5">
        <v>0.0</v>
      </c>
      <c r="P229" s="5">
        <v>0.0</v>
      </c>
      <c r="Q229" s="5">
        <v>0.0</v>
      </c>
    </row>
    <row r="230" outlineLevel="1">
      <c r="B230" s="0" t="inlineStr">
        <is>
          <t xml:space="preserve">ARTCRAFT FABRICATORS INC</t>
        </is>
      </c>
      <c r="C230" s="0" t="inlineStr">
        <is>
          <t xml:space="preserve">H4ZMPGLLZ8D9</t>
        </is>
      </c>
      <c r="D230" s="0" t="inlineStr">
        <is>
          <t xml:space="preserve">-</t>
        </is>
      </c>
      <c r="E230" s="0" t="inlineStr">
        <is>
          <t xml:space="preserve">-</t>
        </is>
      </c>
      <c r="F230" s="0" t="inlineStr">
        <is>
          <t xml:space="preserve">-</t>
        </is>
      </c>
      <c r="G230" s="5">
        <v>5.787464</v>
      </c>
      <c r="H230" s="0" t="inlineStr">
        <is>
          <t xml:space="preserve">supplier</t>
        </is>
      </c>
      <c r="I230" s="0" t="inlineStr">
        <is>
          <t xml:space="preserve">unbucketed</t>
        </is>
      </c>
      <c r="J230" s="0" t="inlineStr">
        <is>
          <t xml:space="preserve">residual</t>
        </is>
      </c>
      <c r="K230" s="5">
        <v>0</v>
      </c>
      <c r="L230" s="5">
        <v>0</v>
      </c>
      <c r="M230" s="5">
        <v>5.787464</v>
      </c>
      <c r="N230" s="5">
        <v>0.0</v>
      </c>
      <c r="O230" s="5">
        <v>5.787464</v>
      </c>
      <c r="P230" s="5">
        <v>0.0</v>
      </c>
      <c r="Q230" s="5">
        <v>0.0</v>
      </c>
    </row>
    <row r="231" outlineLevel="1">
      <c r="B231" s="0" t="inlineStr">
        <is>
          <t xml:space="preserve">ART CRAFT FABRICATORS INC</t>
        </is>
      </c>
      <c r="C231" s="0" t="inlineStr">
        <is>
          <t xml:space="preserve">H4ZMPGLLZ8D9</t>
        </is>
      </c>
      <c r="D231" s="0" t="inlineStr">
        <is>
          <t xml:space="preserve">-</t>
        </is>
      </c>
      <c r="E231" s="0" t="inlineStr">
        <is>
          <t xml:space="preserve">-</t>
        </is>
      </c>
      <c r="F231" s="0" t="inlineStr">
        <is>
          <t xml:space="preserve">-</t>
        </is>
      </c>
      <c r="G231" s="5">
        <v>5.787464</v>
      </c>
      <c r="H231" s="0" t="inlineStr">
        <is>
          <t xml:space="preserve">supplier</t>
        </is>
      </c>
      <c r="I231" s="0" t="inlineStr">
        <is>
          <t xml:space="preserve">unbucketed</t>
        </is>
      </c>
      <c r="J231" s="0" t="inlineStr">
        <is>
          <t xml:space="preserve">residual</t>
        </is>
      </c>
      <c r="K231" s="5">
        <v>0</v>
      </c>
      <c r="L231" s="5">
        <v>0</v>
      </c>
      <c r="M231" s="5">
        <v>5.787464</v>
      </c>
      <c r="N231" s="5">
        <v>0.0</v>
      </c>
      <c r="O231" s="5">
        <v>5.787464</v>
      </c>
      <c r="P231" s="5">
        <v>0.0</v>
      </c>
      <c r="Q231" s="5">
        <v>0.0</v>
      </c>
    </row>
    <row r="232" outlineLevel="1">
      <c r="B232" s="0" t="inlineStr">
        <is>
          <t xml:space="preserve">MTK ELECTRONICS, INC.</t>
        </is>
      </c>
      <c r="C232" s="0" t="inlineStr">
        <is>
          <t xml:space="preserve">HNBVLFD51NM9</t>
        </is>
      </c>
      <c r="D232" s="0" t="inlineStr">
        <is>
          <t xml:space="preserve">-</t>
        </is>
      </c>
      <c r="E232" s="0" t="inlineStr">
        <is>
          <t xml:space="preserve">-</t>
        </is>
      </c>
      <c r="F232" s="0" t="inlineStr">
        <is>
          <t xml:space="preserve">-</t>
        </is>
      </c>
      <c r="G232" s="5">
        <v>5.784382060000002</v>
      </c>
      <c r="H232" s="0" t="inlineStr">
        <is>
          <t xml:space="preserve">supplier</t>
        </is>
      </c>
      <c r="I232" s="0" t="inlineStr">
        <is>
          <t xml:space="preserve">unbucketed</t>
        </is>
      </c>
      <c r="J232" s="0" t="inlineStr">
        <is>
          <t xml:space="preserve">residual</t>
        </is>
      </c>
      <c r="K232" s="5">
        <v>0</v>
      </c>
      <c r="L232" s="5">
        <v>0</v>
      </c>
      <c r="M232" s="5">
        <v>0.0</v>
      </c>
      <c r="N232" s="5">
        <v>0.0</v>
      </c>
      <c r="O232" s="5">
        <v>0.0</v>
      </c>
      <c r="P232" s="5">
        <v>0.0</v>
      </c>
      <c r="Q232" s="5">
        <v>0.0</v>
      </c>
    </row>
    <row r="233" outlineLevel="1">
      <c r="B233" s="0" t="inlineStr">
        <is>
          <t xml:space="preserve">QUALITY PACIFIC MANUFACTURING INC.</t>
        </is>
      </c>
      <c r="C233" s="0" t="inlineStr">
        <is>
          <t xml:space="preserve">C221PQMU9CN3</t>
        </is>
      </c>
      <c r="D233" s="0" t="inlineStr">
        <is>
          <t xml:space="preserve">-</t>
        </is>
      </c>
      <c r="E233" s="0" t="inlineStr">
        <is>
          <t xml:space="preserve">-</t>
        </is>
      </c>
      <c r="F233" s="0" t="inlineStr">
        <is>
          <t xml:space="preserve">-</t>
        </is>
      </c>
      <c r="G233" s="5">
        <v>5.75371</v>
      </c>
      <c r="H233" s="0" t="inlineStr">
        <is>
          <t xml:space="preserve">supplier</t>
        </is>
      </c>
      <c r="I233" s="0" t="inlineStr">
        <is>
          <t xml:space="preserve">unbucketed</t>
        </is>
      </c>
      <c r="J233" s="0" t="inlineStr">
        <is>
          <t xml:space="preserve">residual</t>
        </is>
      </c>
      <c r="K233" s="5">
        <v>0</v>
      </c>
      <c r="L233" s="5">
        <v>0</v>
      </c>
      <c r="M233" s="5">
        <v>0.0</v>
      </c>
      <c r="N233" s="5">
        <v>0.0</v>
      </c>
      <c r="O233" s="5">
        <v>0.0</v>
      </c>
      <c r="P233" s="5">
        <v>0.0</v>
      </c>
      <c r="Q233" s="5">
        <v>0.0</v>
      </c>
    </row>
    <row r="234" outlineLevel="1">
      <c r="B234" s="0" t="inlineStr">
        <is>
          <t xml:space="preserve">EASTERN SHIPBUILDING GROUP, INC.</t>
        </is>
      </c>
      <c r="C234" s="0" t="inlineStr">
        <is>
          <t xml:space="preserve">XJTAAHL58NB6</t>
        </is>
      </c>
      <c r="D234" s="0" t="inlineStr">
        <is>
          <t xml:space="preserve">-</t>
        </is>
      </c>
      <c r="E234" s="0" t="inlineStr">
        <is>
          <t xml:space="preserve">-</t>
        </is>
      </c>
      <c r="F234" s="0" t="inlineStr">
        <is>
          <t xml:space="preserve">-</t>
        </is>
      </c>
      <c r="G234" s="5">
        <v>5.64960467</v>
      </c>
      <c r="H234" s="0" t="inlineStr">
        <is>
          <t xml:space="preserve">supplier</t>
        </is>
      </c>
      <c r="I234" s="0" t="inlineStr">
        <is>
          <t xml:space="preserve">unbucketed</t>
        </is>
      </c>
      <c r="J234" s="0" t="inlineStr">
        <is>
          <t xml:space="preserve">residual</t>
        </is>
      </c>
      <c r="K234" s="5">
        <v>0</v>
      </c>
      <c r="L234" s="5">
        <v>0</v>
      </c>
      <c r="M234" s="5">
        <v>5.64960467</v>
      </c>
      <c r="N234" s="5">
        <v>0.0</v>
      </c>
      <c r="O234" s="5">
        <v>0.0</v>
      </c>
      <c r="P234" s="5">
        <v>0.0</v>
      </c>
      <c r="Q234" s="5">
        <v>5.64960467</v>
      </c>
    </row>
    <row r="235" outlineLevel="1">
      <c r="B235" s="0" t="inlineStr">
        <is>
          <t xml:space="preserve">VIDEO DISPLAY CORP</t>
        </is>
      </c>
      <c r="C235" s="0" t="inlineStr">
        <is>
          <t xml:space="preserve">D99JMB845P75</t>
        </is>
      </c>
      <c r="D235" s="0" t="inlineStr">
        <is>
          <t xml:space="preserve">-</t>
        </is>
      </c>
      <c r="E235" s="0" t="inlineStr">
        <is>
          <t xml:space="preserve">-</t>
        </is>
      </c>
      <c r="F235" s="0" t="inlineStr">
        <is>
          <t xml:space="preserve">-</t>
        </is>
      </c>
      <c r="G235" s="5">
        <v>5.617892</v>
      </c>
      <c r="H235" s="0" t="inlineStr">
        <is>
          <t xml:space="preserve">supplier</t>
        </is>
      </c>
      <c r="I235" s="0" t="inlineStr">
        <is>
          <t xml:space="preserve">unbucketed</t>
        </is>
      </c>
      <c r="J235" s="0" t="inlineStr">
        <is>
          <t xml:space="preserve">residual</t>
        </is>
      </c>
      <c r="K235" s="5">
        <v>0</v>
      </c>
      <c r="L235" s="5">
        <v>0</v>
      </c>
      <c r="M235" s="5">
        <v>0.0</v>
      </c>
      <c r="N235" s="5">
        <v>0.0</v>
      </c>
      <c r="O235" s="5">
        <v>0.0</v>
      </c>
      <c r="P235" s="5">
        <v>0.0</v>
      </c>
      <c r="Q235" s="5">
        <v>0.0</v>
      </c>
    </row>
    <row r="236" outlineLevel="1">
      <c r="B236" s="0" t="inlineStr">
        <is>
          <t xml:space="preserve">INDUSTRIAL CORROSION CONTROL INC</t>
        </is>
      </c>
      <c r="C236" s="0" t="inlineStr">
        <is>
          <t xml:space="preserve">DQ35GXAUTW61</t>
        </is>
      </c>
      <c r="D236" s="0" t="inlineStr">
        <is>
          <t xml:space="preserve">-</t>
        </is>
      </c>
      <c r="E236" s="0" t="inlineStr">
        <is>
          <t xml:space="preserve">-</t>
        </is>
      </c>
      <c r="F236" s="0" t="inlineStr">
        <is>
          <t xml:space="preserve">-</t>
        </is>
      </c>
      <c r="G236" s="5">
        <v>5.60507166</v>
      </c>
      <c r="H236" s="0" t="inlineStr">
        <is>
          <t xml:space="preserve">supplier</t>
        </is>
      </c>
      <c r="I236" s="0" t="inlineStr">
        <is>
          <t xml:space="preserve">coatings</t>
        </is>
      </c>
      <c r="J236" s="0" t="inlineStr">
        <is>
          <t xml:space="preserve">registry</t>
        </is>
      </c>
      <c r="K236" s="5">
        <v>0</v>
      </c>
      <c r="L236" s="5">
        <v>0</v>
      </c>
      <c r="M236" s="5">
        <v>5.60507166</v>
      </c>
      <c r="N236" s="5">
        <v>0.0</v>
      </c>
      <c r="O236" s="5">
        <v>3.99716228</v>
      </c>
      <c r="P236" s="5">
        <v>0.0</v>
      </c>
      <c r="Q236" s="5">
        <v>0.55123938</v>
      </c>
    </row>
    <row r="237" outlineLevel="1">
      <c r="B237" s="0" t="inlineStr">
        <is>
          <t xml:space="preserve">BVH, INC.</t>
        </is>
      </c>
      <c r="C237" s="0" t="inlineStr">
        <is>
          <t xml:space="preserve">C8L3CMNXPAA1</t>
        </is>
      </c>
      <c r="D237" s="0" t="inlineStr">
        <is>
          <t xml:space="preserve">-</t>
        </is>
      </c>
      <c r="E237" s="0" t="inlineStr">
        <is>
          <t xml:space="preserve">-</t>
        </is>
      </c>
      <c r="F237" s="0" t="inlineStr">
        <is>
          <t xml:space="preserve">-</t>
        </is>
      </c>
      <c r="G237" s="5">
        <v>5.588391549999999</v>
      </c>
      <c r="H237" s="0" t="inlineStr">
        <is>
          <t xml:space="preserve">supplier</t>
        </is>
      </c>
      <c r="I237" s="0" t="inlineStr">
        <is>
          <t xml:space="preserve">unbucketed</t>
        </is>
      </c>
      <c r="J237" s="0" t="inlineStr">
        <is>
          <t xml:space="preserve">residual</t>
        </is>
      </c>
      <c r="K237" s="5">
        <v>0</v>
      </c>
      <c r="L237" s="5">
        <v>0</v>
      </c>
      <c r="M237" s="5">
        <v>0.0</v>
      </c>
      <c r="N237" s="5">
        <v>0.0</v>
      </c>
      <c r="O237" s="5">
        <v>0.0</v>
      </c>
      <c r="P237" s="5">
        <v>0.0</v>
      </c>
      <c r="Q237" s="5">
        <v>0.0</v>
      </c>
    </row>
    <row r="238" outlineLevel="1">
      <c r="B238" s="0" t="inlineStr">
        <is>
          <t xml:space="preserve">FORTIVE CORPORATION</t>
        </is>
      </c>
      <c r="C238" s="0" t="inlineStr">
        <is>
          <t xml:space="preserve">ZR5PFWUPJMD3</t>
        </is>
      </c>
      <c r="D238" s="0" t="inlineStr">
        <is>
          <t xml:space="preserve">-</t>
        </is>
      </c>
      <c r="E238" s="0" t="inlineStr">
        <is>
          <t xml:space="preserve">-</t>
        </is>
      </c>
      <c r="F238" s="0" t="inlineStr">
        <is>
          <t xml:space="preserve">-</t>
        </is>
      </c>
      <c r="G238" s="5">
        <v>5.514748879999999</v>
      </c>
      <c r="H238" s="0" t="inlineStr">
        <is>
          <t xml:space="preserve">supplier</t>
        </is>
      </c>
      <c r="I238" s="0" t="inlineStr">
        <is>
          <t xml:space="preserve">unbucketed</t>
        </is>
      </c>
      <c r="J238" s="0" t="inlineStr">
        <is>
          <t xml:space="preserve">residual</t>
        </is>
      </c>
      <c r="K238" s="5">
        <v>0</v>
      </c>
      <c r="L238" s="5">
        <v>0</v>
      </c>
      <c r="M238" s="5">
        <v>0.0</v>
      </c>
      <c r="N238" s="5">
        <v>0.0</v>
      </c>
      <c r="O238" s="5">
        <v>0.0</v>
      </c>
      <c r="P238" s="5">
        <v>0.0</v>
      </c>
      <c r="Q238" s="5">
        <v>0.0</v>
      </c>
    </row>
    <row r="239" outlineLevel="1">
      <c r="B239" s="0" t="inlineStr">
        <is>
          <t xml:space="preserve">DOVER CORPORATION</t>
        </is>
      </c>
      <c r="C239" s="0" t="inlineStr">
        <is>
          <t xml:space="preserve">FCK2D4PSV1L2</t>
        </is>
      </c>
      <c r="D239" s="0" t="inlineStr">
        <is>
          <t xml:space="preserve">USA</t>
        </is>
      </c>
      <c r="E239" s="0" t="inlineStr">
        <is>
          <t xml:space="preserve">3339</t>
        </is>
      </c>
      <c r="F239" s="0" t="inlineStr">
        <is>
          <t xml:space="preserve">Measuring, Dispensing, and Other Pumping Equipment Manufacturing</t>
        </is>
      </c>
      <c r="G239" s="5">
        <v>5.490055430000001</v>
      </c>
      <c r="H239" s="0" t="inlineStr">
        <is>
          <t xml:space="preserve">supplier</t>
        </is>
      </c>
      <c r="I239" s="0" t="inlineStr">
        <is>
          <t xml:space="preserve">piping</t>
        </is>
      </c>
      <c r="J239" s="0" t="inlineStr">
        <is>
          <t xml:space="preserve">registry</t>
        </is>
      </c>
      <c r="K239" s="5">
        <v>0</v>
      </c>
      <c r="L239" s="5">
        <v>0</v>
      </c>
      <c r="M239" s="5">
        <v>5.490055430000001</v>
      </c>
      <c r="N239" s="5">
        <v>2.6737182</v>
      </c>
      <c r="O239" s="5">
        <v>0.0</v>
      </c>
      <c r="P239" s="5">
        <v>0.0</v>
      </c>
      <c r="Q239" s="5">
        <v>0.0</v>
      </c>
    </row>
    <row r="240" outlineLevel="1">
      <c r="B240" s="0" t="inlineStr">
        <is>
          <t xml:space="preserve">BURTEK HOLDINGS INC.</t>
        </is>
      </c>
      <c r="C240" s="0" t="inlineStr">
        <is>
          <t xml:space="preserve">CA4QMKE634Y4</t>
        </is>
      </c>
      <c r="D240" s="0" t="inlineStr">
        <is>
          <t xml:space="preserve">-</t>
        </is>
      </c>
      <c r="E240" s="0" t="inlineStr">
        <is>
          <t xml:space="preserve">-</t>
        </is>
      </c>
      <c r="F240" s="0" t="inlineStr">
        <is>
          <t xml:space="preserve">-</t>
        </is>
      </c>
      <c r="G240" s="5">
        <v>5.4830108200000005</v>
      </c>
      <c r="H240" s="0" t="inlineStr">
        <is>
          <t xml:space="preserve">supplier</t>
        </is>
      </c>
      <c r="I240" s="0" t="inlineStr">
        <is>
          <t xml:space="preserve">unbucketed</t>
        </is>
      </c>
      <c r="J240" s="0" t="inlineStr">
        <is>
          <t xml:space="preserve">residual</t>
        </is>
      </c>
      <c r="K240" s="5">
        <v>0</v>
      </c>
      <c r="L240" s="5">
        <v>0</v>
      </c>
      <c r="M240" s="5">
        <v>0.0</v>
      </c>
      <c r="N240" s="5">
        <v>0.0</v>
      </c>
      <c r="O240" s="5">
        <v>0.0</v>
      </c>
      <c r="P240" s="5">
        <v>0.0</v>
      </c>
      <c r="Q240" s="5">
        <v>0.0</v>
      </c>
    </row>
    <row r="241" outlineLevel="1">
      <c r="B241" s="0" t="inlineStr">
        <is>
          <t xml:space="preserve">FIKE CORPORATION</t>
        </is>
      </c>
      <c r="C241" s="0" t="inlineStr">
        <is>
          <t xml:space="preserve">G3KMHX33NMQ8</t>
        </is>
      </c>
      <c r="D241" s="0" t="inlineStr">
        <is>
          <t xml:space="preserve">-</t>
        </is>
      </c>
      <c r="E241" s="0" t="inlineStr">
        <is>
          <t xml:space="preserve">-</t>
        </is>
      </c>
      <c r="F241" s="0" t="inlineStr">
        <is>
          <t xml:space="preserve">-</t>
        </is>
      </c>
      <c r="G241" s="5">
        <v>5.454857100000001</v>
      </c>
      <c r="H241" s="0" t="inlineStr">
        <is>
          <t xml:space="preserve">supplier</t>
        </is>
      </c>
      <c r="I241" s="0" t="inlineStr">
        <is>
          <t xml:space="preserve">unbucketed</t>
        </is>
      </c>
      <c r="J241" s="0" t="inlineStr">
        <is>
          <t xml:space="preserve">residual</t>
        </is>
      </c>
      <c r="K241" s="5">
        <v>0</v>
      </c>
      <c r="L241" s="5">
        <v>0</v>
      </c>
      <c r="M241" s="5">
        <v>0.0</v>
      </c>
      <c r="N241" s="5">
        <v>0.0</v>
      </c>
      <c r="O241" s="5">
        <v>0.0</v>
      </c>
      <c r="P241" s="5">
        <v>0.0</v>
      </c>
      <c r="Q241" s="5">
        <v>0.0</v>
      </c>
    </row>
    <row r="242" outlineLevel="1">
      <c r="B242" s="0" t="inlineStr">
        <is>
          <t xml:space="preserve">HOWELL LABORATORIES, INC.</t>
        </is>
      </c>
      <c r="C242" s="0" t="inlineStr">
        <is>
          <t xml:space="preserve">DWUHNL9BC3U7</t>
        </is>
      </c>
      <c r="D242" s="0" t="inlineStr">
        <is>
          <t xml:space="preserve">-</t>
        </is>
      </c>
      <c r="E242" s="0" t="inlineStr">
        <is>
          <t xml:space="preserve">-</t>
        </is>
      </c>
      <c r="F242" s="0" t="inlineStr">
        <is>
          <t xml:space="preserve">-</t>
        </is>
      </c>
      <c r="G242" s="5">
        <v>5.421164690000001</v>
      </c>
      <c r="H242" s="0" t="inlineStr">
        <is>
          <t xml:space="preserve">supplier</t>
        </is>
      </c>
      <c r="I242" s="0" t="inlineStr">
        <is>
          <t xml:space="preserve">unbucketed</t>
        </is>
      </c>
      <c r="J242" s="0" t="inlineStr">
        <is>
          <t xml:space="preserve">residual</t>
        </is>
      </c>
      <c r="K242" s="5">
        <v>0</v>
      </c>
      <c r="L242" s="5">
        <v>0</v>
      </c>
      <c r="M242" s="5">
        <v>5.2411646900000015</v>
      </c>
      <c r="N242" s="5">
        <v>0.0</v>
      </c>
      <c r="O242" s="5">
        <v>0.0</v>
      </c>
      <c r="P242" s="5">
        <v>0.0</v>
      </c>
      <c r="Q242" s="5">
        <v>0.0</v>
      </c>
    </row>
    <row r="243" outlineLevel="1">
      <c r="B243" s="0" t="inlineStr">
        <is>
          <t xml:space="preserve">MARK C. POPE ASSOCIATES, INC.</t>
        </is>
      </c>
      <c r="C243" s="0" t="inlineStr">
        <is>
          <t xml:space="preserve">PNLJW4UFU1A8</t>
        </is>
      </c>
      <c r="D243" s="0" t="inlineStr">
        <is>
          <t xml:space="preserve">-</t>
        </is>
      </c>
      <c r="E243" s="0" t="inlineStr">
        <is>
          <t xml:space="preserve">-</t>
        </is>
      </c>
      <c r="F243" s="0" t="inlineStr">
        <is>
          <t xml:space="preserve">-</t>
        </is>
      </c>
      <c r="G243" s="5">
        <v>5.34613914</v>
      </c>
      <c r="H243" s="0" t="inlineStr">
        <is>
          <t xml:space="preserve">supplier</t>
        </is>
      </c>
      <c r="I243" s="0" t="inlineStr">
        <is>
          <t xml:space="preserve">unbucketed</t>
        </is>
      </c>
      <c r="J243" s="0" t="inlineStr">
        <is>
          <t xml:space="preserve">residual</t>
        </is>
      </c>
      <c r="K243" s="5">
        <v>0</v>
      </c>
      <c r="L243" s="5">
        <v>0</v>
      </c>
      <c r="M243" s="5">
        <v>5.34613914</v>
      </c>
      <c r="N243" s="5">
        <v>1.9438866599999998</v>
      </c>
      <c r="O243" s="5">
        <v>0.0</v>
      </c>
      <c r="P243" s="5">
        <v>0.75236816</v>
      </c>
      <c r="Q243" s="5">
        <v>0.15539732</v>
      </c>
    </row>
    <row r="244" outlineLevel="1">
      <c r="B244" s="0" t="inlineStr">
        <is>
          <t xml:space="preserve">ARROW ELECTRONICS, INC.</t>
        </is>
      </c>
      <c r="C244" s="0" t="inlineStr">
        <is>
          <t xml:space="preserve">L5X1JNSLTCZ4</t>
        </is>
      </c>
      <c r="D244" s="0" t="inlineStr">
        <is>
          <t xml:space="preserve">USA</t>
        </is>
      </c>
      <c r="E244" s="0" t="inlineStr">
        <is>
          <t xml:space="preserve">4236</t>
        </is>
      </c>
      <c r="F244" s="0" t="inlineStr">
        <is>
          <t xml:space="preserve">Other Electronic Parts and Equipment Merchant Wholesalers</t>
        </is>
      </c>
      <c r="G244" s="5">
        <v>5.337662960000001</v>
      </c>
      <c r="H244" s="0" t="inlineStr">
        <is>
          <t xml:space="preserve">service</t>
        </is>
      </c>
      <c r="I244" s="0" t="inlineStr">
        <is>
          <t xml:space="preserve">-</t>
        </is>
      </c>
      <c r="J244" s="0" t="inlineStr">
        <is>
          <t xml:space="preserve">service NAICS</t>
        </is>
      </c>
      <c r="K244" s="5">
        <v>0</v>
      </c>
      <c r="L244" s="5">
        <v>0</v>
      </c>
      <c r="M244" s="5">
        <v>0.0</v>
      </c>
      <c r="N244" s="5">
        <v>0.0</v>
      </c>
      <c r="O244" s="5">
        <v>0.0</v>
      </c>
      <c r="P244" s="5">
        <v>0.0</v>
      </c>
      <c r="Q244" s="5">
        <v>0.0</v>
      </c>
    </row>
    <row r="245" outlineLevel="1">
      <c r="B245" s="0" t="inlineStr">
        <is>
          <t xml:space="preserve">SIEMENS INDUSTRY, INC.</t>
        </is>
      </c>
      <c r="C245" s="0" t="inlineStr">
        <is>
          <t xml:space="preserve">UAU7A9AJADY9</t>
        </is>
      </c>
      <c r="D245" s="0" t="inlineStr">
        <is>
          <t xml:space="preserve">-</t>
        </is>
      </c>
      <c r="E245" s="0" t="inlineStr">
        <is>
          <t xml:space="preserve">-</t>
        </is>
      </c>
      <c r="F245" s="0" t="inlineStr">
        <is>
          <t xml:space="preserve">-</t>
        </is>
      </c>
      <c r="G245" s="5">
        <v>5.32151875</v>
      </c>
      <c r="H245" s="0" t="inlineStr">
        <is>
          <t xml:space="preserve">supplier</t>
        </is>
      </c>
      <c r="I245" s="0" t="inlineStr">
        <is>
          <t xml:space="preserve">unbucketed</t>
        </is>
      </c>
      <c r="J245" s="0" t="inlineStr">
        <is>
          <t xml:space="preserve">residual</t>
        </is>
      </c>
      <c r="K245" s="5">
        <v>0</v>
      </c>
      <c r="L245" s="5">
        <v>0</v>
      </c>
      <c r="M245" s="5">
        <v>0.0</v>
      </c>
      <c r="N245" s="5">
        <v>0.0</v>
      </c>
      <c r="O245" s="5">
        <v>0.0</v>
      </c>
      <c r="P245" s="5">
        <v>0.0</v>
      </c>
      <c r="Q245" s="5">
        <v>0.0</v>
      </c>
    </row>
    <row r="246" outlineLevel="1">
      <c r="B246" s="0" t="inlineStr">
        <is>
          <t xml:space="preserve">RIVERSIDE MACHINE &amp; ENGINEERING, INC.</t>
        </is>
      </c>
      <c r="C246" s="0" t="inlineStr">
        <is>
          <t xml:space="preserve">H8EMU1KBTBE7</t>
        </is>
      </c>
      <c r="D246" s="0" t="inlineStr">
        <is>
          <t xml:space="preserve">-</t>
        </is>
      </c>
      <c r="E246" s="0" t="inlineStr">
        <is>
          <t xml:space="preserve">-</t>
        </is>
      </c>
      <c r="F246" s="0" t="inlineStr">
        <is>
          <t xml:space="preserve">-</t>
        </is>
      </c>
      <c r="G246" s="5">
        <v>5.310932</v>
      </c>
      <c r="H246" s="0" t="inlineStr">
        <is>
          <t xml:space="preserve">supplier</t>
        </is>
      </c>
      <c r="I246" s="0" t="inlineStr">
        <is>
          <t xml:space="preserve">unbucketed</t>
        </is>
      </c>
      <c r="J246" s="0" t="inlineStr">
        <is>
          <t xml:space="preserve">residual</t>
        </is>
      </c>
      <c r="K246" s="5">
        <v>0</v>
      </c>
      <c r="L246" s="5">
        <v>0</v>
      </c>
      <c r="M246" s="5">
        <v>0.0</v>
      </c>
      <c r="N246" s="5">
        <v>0.0</v>
      </c>
      <c r="O246" s="5">
        <v>0.0</v>
      </c>
      <c r="P246" s="5">
        <v>0.0</v>
      </c>
      <c r="Q246" s="5">
        <v>0.0</v>
      </c>
    </row>
    <row r="247" outlineLevel="1">
      <c r="B247" s="0" t="inlineStr">
        <is>
          <t xml:space="preserve">PON HOLDINGS B.V.</t>
        </is>
      </c>
      <c r="C247" s="0" t="inlineStr">
        <is>
          <t xml:space="preserve">SSD8KRDXKG46</t>
        </is>
      </c>
      <c r="D247" s="0" t="inlineStr">
        <is>
          <t xml:space="preserve">USA</t>
        </is>
      </c>
      <c r="E247" s="0" t="inlineStr">
        <is>
          <t xml:space="preserve">2382</t>
        </is>
      </c>
      <c r="F247" s="0" t="inlineStr">
        <is>
          <t xml:space="preserve">Electrical Contractors and Other Wiring Installation Contractors</t>
        </is>
      </c>
      <c r="G247" s="5">
        <v>5.3051920400000006</v>
      </c>
      <c r="H247" s="0" t="inlineStr">
        <is>
          <t xml:space="preserve">supplier</t>
        </is>
      </c>
      <c r="I247" s="0" t="inlineStr">
        <is>
          <t xml:space="preserve">piping</t>
        </is>
      </c>
      <c r="J247" s="0" t="inlineStr">
        <is>
          <t xml:space="preserve">registry</t>
        </is>
      </c>
      <c r="K247" s="5">
        <v>0</v>
      </c>
      <c r="L247" s="5">
        <v>0</v>
      </c>
      <c r="M247" s="5">
        <v>5.3051920400000006</v>
      </c>
      <c r="N247" s="5">
        <v>0.0</v>
      </c>
      <c r="O247" s="5">
        <v>0.0</v>
      </c>
      <c r="P247" s="5">
        <v>0.0</v>
      </c>
      <c r="Q247" s="5">
        <v>0.0</v>
      </c>
    </row>
    <row r="248" outlineLevel="1">
      <c r="B248" s="0" t="inlineStr">
        <is>
          <t xml:space="preserve">PORT ELECTRONICS CORP</t>
        </is>
      </c>
      <c r="C248" s="0" t="inlineStr">
        <is>
          <t xml:space="preserve">LRNPUBGWKNA1</t>
        </is>
      </c>
      <c r="D248" s="0" t="inlineStr">
        <is>
          <t xml:space="preserve">USA</t>
        </is>
      </c>
      <c r="E248" s="0" t="inlineStr">
        <is>
          <t xml:space="preserve">4236</t>
        </is>
      </c>
      <c r="F248" s="0" t="inlineStr">
        <is>
          <t xml:space="preserve">Other Electronic Parts and Equipment Merchant Wholesalers</t>
        </is>
      </c>
      <c r="G248" s="5">
        <v>5.303797500000001</v>
      </c>
      <c r="H248" s="0" t="inlineStr">
        <is>
          <t xml:space="preserve">service</t>
        </is>
      </c>
      <c r="I248" s="0" t="inlineStr">
        <is>
          <t xml:space="preserve">-</t>
        </is>
      </c>
      <c r="J248" s="0" t="inlineStr">
        <is>
          <t xml:space="preserve">service NAICS</t>
        </is>
      </c>
      <c r="K248" s="5">
        <v>0</v>
      </c>
      <c r="L248" s="5">
        <v>0</v>
      </c>
      <c r="M248" s="5">
        <v>0.0</v>
      </c>
      <c r="N248" s="5">
        <v>0.0</v>
      </c>
      <c r="O248" s="5">
        <v>0.0</v>
      </c>
      <c r="P248" s="5">
        <v>0.0</v>
      </c>
      <c r="Q248" s="5">
        <v>0.0</v>
      </c>
    </row>
    <row r="249" outlineLevel="1">
      <c r="B249" s="0" t="inlineStr">
        <is>
          <t xml:space="preserve">PARKER-HANNIFIN CORPORATION</t>
        </is>
      </c>
      <c r="C249" s="0" t="inlineStr">
        <is>
          <t xml:space="preserve">J1LJV6UNYZ65</t>
        </is>
      </c>
      <c r="D249" s="0" t="inlineStr">
        <is>
          <t xml:space="preserve">-</t>
        </is>
      </c>
      <c r="E249" s="0" t="inlineStr">
        <is>
          <t xml:space="preserve">-</t>
        </is>
      </c>
      <c r="F249" s="0" t="inlineStr">
        <is>
          <t xml:space="preserve">-</t>
        </is>
      </c>
      <c r="G249" s="5">
        <v>5.284695</v>
      </c>
      <c r="H249" s="0" t="inlineStr">
        <is>
          <t xml:space="preserve">supplier</t>
        </is>
      </c>
      <c r="I249" s="0" t="inlineStr">
        <is>
          <t xml:space="preserve">unbucketed</t>
        </is>
      </c>
      <c r="J249" s="0" t="inlineStr">
        <is>
          <t xml:space="preserve">residual</t>
        </is>
      </c>
      <c r="K249" s="5">
        <v>0</v>
      </c>
      <c r="L249" s="5">
        <v>0</v>
      </c>
      <c r="M249" s="5">
        <v>0.0</v>
      </c>
      <c r="N249" s="5">
        <v>0.0</v>
      </c>
      <c r="O249" s="5">
        <v>0.0</v>
      </c>
      <c r="P249" s="5">
        <v>0.0</v>
      </c>
      <c r="Q249" s="5">
        <v>0.0</v>
      </c>
    </row>
    <row r="250" outlineLevel="1">
      <c r="B250" s="0" t="inlineStr">
        <is>
          <t xml:space="preserve">COMARK LLC</t>
        </is>
      </c>
      <c r="C250" s="0" t="inlineStr">
        <is>
          <t xml:space="preserve">WNDYZX3ALFB1</t>
        </is>
      </c>
      <c r="D250" s="0" t="inlineStr">
        <is>
          <t xml:space="preserve">-</t>
        </is>
      </c>
      <c r="E250" s="0" t="inlineStr">
        <is>
          <t xml:space="preserve">-</t>
        </is>
      </c>
      <c r="F250" s="0" t="inlineStr">
        <is>
          <t xml:space="preserve">-</t>
        </is>
      </c>
      <c r="G250" s="5">
        <v>5.223316</v>
      </c>
      <c r="H250" s="0" t="inlineStr">
        <is>
          <t xml:space="preserve">supplier</t>
        </is>
      </c>
      <c r="I250" s="0" t="inlineStr">
        <is>
          <t xml:space="preserve">unbucketed</t>
        </is>
      </c>
      <c r="J250" s="0" t="inlineStr">
        <is>
          <t xml:space="preserve">residual</t>
        </is>
      </c>
      <c r="K250" s="5">
        <v>0</v>
      </c>
      <c r="L250" s="5">
        <v>0</v>
      </c>
      <c r="M250" s="5">
        <v>0.0</v>
      </c>
      <c r="N250" s="5">
        <v>0.0</v>
      </c>
      <c r="O250" s="5">
        <v>0.0</v>
      </c>
      <c r="P250" s="5">
        <v>0.0</v>
      </c>
      <c r="Q250" s="5">
        <v>0.0</v>
      </c>
    </row>
    <row r="251" outlineLevel="1">
      <c r="B251" s="0" t="inlineStr">
        <is>
          <t xml:space="preserve">HANWHA SYSTEMS CO.,LTD.</t>
        </is>
      </c>
      <c r="C251" s="0" t="inlineStr">
        <is>
          <t xml:space="preserve">SEZ7PS2YGJ47</t>
        </is>
      </c>
      <c r="D251" s="0" t="inlineStr">
        <is>
          <t xml:space="preserve">Foreign</t>
        </is>
      </c>
      <c r="E251" s="0" t="inlineStr">
        <is>
          <t xml:space="preserve">-</t>
        </is>
      </c>
      <c r="F251" s="0" t="inlineStr">
        <is>
          <t xml:space="preserve">-</t>
        </is>
      </c>
      <c r="G251" s="5">
        <v>5.204801069999999</v>
      </c>
      <c r="H251" s="0" t="inlineStr">
        <is>
          <t xml:space="preserve">foreign_fms</t>
        </is>
      </c>
      <c r="I251" s="0" t="inlineStr">
        <is>
          <t xml:space="preserve">-</t>
        </is>
      </c>
      <c r="J251" s="0" t="inlineStr">
        <is>
          <t xml:space="preserve">foreign flag</t>
        </is>
      </c>
      <c r="K251" s="5">
        <v>0</v>
      </c>
      <c r="L251" s="5">
        <v>0</v>
      </c>
      <c r="M251" s="5">
        <v>0.0</v>
      </c>
      <c r="N251" s="5">
        <v>0.0</v>
      </c>
      <c r="O251" s="5">
        <v>0.0</v>
      </c>
      <c r="P251" s="5">
        <v>0.0</v>
      </c>
      <c r="Q251" s="5">
        <v>0.0</v>
      </c>
    </row>
    <row r="252" outlineLevel="1">
      <c r="B252" s="0" t="inlineStr">
        <is>
          <t xml:space="preserve">FACET (OKLAHOMA) LLC</t>
        </is>
      </c>
      <c r="C252" s="0" t="inlineStr">
        <is>
          <t xml:space="preserve">TSCZLHCGNQ53</t>
        </is>
      </c>
      <c r="D252" s="0" t="inlineStr">
        <is>
          <t xml:space="preserve">-</t>
        </is>
      </c>
      <c r="E252" s="0" t="inlineStr">
        <is>
          <t xml:space="preserve">-</t>
        </is>
      </c>
      <c r="F252" s="0" t="inlineStr">
        <is>
          <t xml:space="preserve">-</t>
        </is>
      </c>
      <c r="G252" s="5">
        <v>5.138113579999999</v>
      </c>
      <c r="H252" s="0" t="inlineStr">
        <is>
          <t xml:space="preserve">supplier</t>
        </is>
      </c>
      <c r="I252" s="0" t="inlineStr">
        <is>
          <t xml:space="preserve">unbucketed</t>
        </is>
      </c>
      <c r="J252" s="0" t="inlineStr">
        <is>
          <t xml:space="preserve">residual</t>
        </is>
      </c>
      <c r="K252" s="5">
        <v>0</v>
      </c>
      <c r="L252" s="5">
        <v>0</v>
      </c>
      <c r="M252" s="5">
        <v>5.138113579999999</v>
      </c>
      <c r="N252" s="5">
        <v>0.0</v>
      </c>
      <c r="O252" s="5">
        <v>4.983488579999999</v>
      </c>
      <c r="P252" s="5">
        <v>0.0</v>
      </c>
      <c r="Q252" s="5">
        <v>0.154625</v>
      </c>
    </row>
    <row r="253" outlineLevel="1">
      <c r="B253" s="0" t="inlineStr">
        <is>
          <t xml:space="preserve">TPG CAPITAL MANAGEMENT, L.P.</t>
        </is>
      </c>
      <c r="C253" s="0" t="inlineStr">
        <is>
          <t xml:space="preserve">FMNVM66XGFY7</t>
        </is>
      </c>
      <c r="D253" s="0" t="inlineStr">
        <is>
          <t xml:space="preserve">-</t>
        </is>
      </c>
      <c r="E253" s="0" t="inlineStr">
        <is>
          <t xml:space="preserve">-</t>
        </is>
      </c>
      <c r="F253" s="0" t="inlineStr">
        <is>
          <t xml:space="preserve">-</t>
        </is>
      </c>
      <c r="G253" s="5">
        <v>5.11459488</v>
      </c>
      <c r="H253" s="0" t="inlineStr">
        <is>
          <t xml:space="preserve">supplier</t>
        </is>
      </c>
      <c r="I253" s="0" t="inlineStr">
        <is>
          <t xml:space="preserve">unbucketed</t>
        </is>
      </c>
      <c r="J253" s="0" t="inlineStr">
        <is>
          <t xml:space="preserve">residual</t>
        </is>
      </c>
      <c r="K253" s="5">
        <v>0</v>
      </c>
      <c r="L253" s="5">
        <v>0</v>
      </c>
      <c r="M253" s="5">
        <v>0.0</v>
      </c>
      <c r="N253" s="5">
        <v>0.0</v>
      </c>
      <c r="O253" s="5">
        <v>0.0</v>
      </c>
      <c r="P253" s="5">
        <v>0.0</v>
      </c>
      <c r="Q253" s="5">
        <v>0.0</v>
      </c>
    </row>
    <row r="254" outlineLevel="1">
      <c r="B254" s="0" t="inlineStr">
        <is>
          <t xml:space="preserve">THE HELLAN STRAINER CO</t>
        </is>
      </c>
      <c r="C254" s="0" t="inlineStr">
        <is>
          <t xml:space="preserve">D2J1SSHB5EB7</t>
        </is>
      </c>
      <c r="D254" s="0" t="inlineStr">
        <is>
          <t xml:space="preserve">-</t>
        </is>
      </c>
      <c r="E254" s="0" t="inlineStr">
        <is>
          <t xml:space="preserve">-</t>
        </is>
      </c>
      <c r="F254" s="0" t="inlineStr">
        <is>
          <t xml:space="preserve">-</t>
        </is>
      </c>
      <c r="G254" s="5">
        <v>5.105418</v>
      </c>
      <c r="H254" s="0" t="inlineStr">
        <is>
          <t xml:space="preserve">supplier</t>
        </is>
      </c>
      <c r="I254" s="0" t="inlineStr">
        <is>
          <t xml:space="preserve">unbucketed</t>
        </is>
      </c>
      <c r="J254" s="0" t="inlineStr">
        <is>
          <t xml:space="preserve">residual</t>
        </is>
      </c>
      <c r="K254" s="5">
        <v>0</v>
      </c>
      <c r="L254" s="5">
        <v>0</v>
      </c>
      <c r="M254" s="5">
        <v>5.105418</v>
      </c>
      <c r="N254" s="5">
        <v>0.0</v>
      </c>
      <c r="O254" s="5">
        <v>0.863948</v>
      </c>
      <c r="P254" s="5">
        <v>0.22818</v>
      </c>
      <c r="Q254" s="5">
        <v>3.871474</v>
      </c>
    </row>
    <row r="255" outlineLevel="1">
      <c r="B255" s="0" t="inlineStr">
        <is>
          <t xml:space="preserve">API TECHNOLOGIES CORP.</t>
        </is>
      </c>
      <c r="C255" s="0" t="inlineStr">
        <is>
          <t xml:space="preserve">H2D7XZEEQLD8</t>
        </is>
      </c>
      <c r="D255" s="0" t="inlineStr">
        <is>
          <t xml:space="preserve">-</t>
        </is>
      </c>
      <c r="E255" s="0" t="inlineStr">
        <is>
          <t xml:space="preserve">-</t>
        </is>
      </c>
      <c r="F255" s="0" t="inlineStr">
        <is>
          <t xml:space="preserve">-</t>
        </is>
      </c>
      <c r="G255" s="5">
        <v>5.075514699999999</v>
      </c>
      <c r="H255" s="0" t="inlineStr">
        <is>
          <t xml:space="preserve">supplier</t>
        </is>
      </c>
      <c r="I255" s="0" t="inlineStr">
        <is>
          <t xml:space="preserve">unbucketed</t>
        </is>
      </c>
      <c r="J255" s="0" t="inlineStr">
        <is>
          <t xml:space="preserve">residual</t>
        </is>
      </c>
      <c r="K255" s="5">
        <v>0</v>
      </c>
      <c r="L255" s="5">
        <v>0</v>
      </c>
      <c r="M255" s="5">
        <v>0.0</v>
      </c>
      <c r="N255" s="5">
        <v>0.0</v>
      </c>
      <c r="O255" s="5">
        <v>0.0</v>
      </c>
      <c r="P255" s="5">
        <v>0.0</v>
      </c>
      <c r="Q255" s="5">
        <v>0.0</v>
      </c>
    </row>
    <row r="256" outlineLevel="1">
      <c r="B256" s="0" t="inlineStr">
        <is>
          <t xml:space="preserve">GOODWIN STEEL CASTINGS LIMITED</t>
        </is>
      </c>
      <c r="C256" s="0" t="inlineStr">
        <is>
          <t xml:space="preserve">NN7PCHZFNZP8</t>
        </is>
      </c>
      <c r="D256" s="0" t="inlineStr">
        <is>
          <t xml:space="preserve">Foreign</t>
        </is>
      </c>
      <c r="E256" s="0" t="inlineStr">
        <is>
          <t xml:space="preserve">-</t>
        </is>
      </c>
      <c r="F256" s="0" t="inlineStr">
        <is>
          <t xml:space="preserve">-</t>
        </is>
      </c>
      <c r="G256" s="5">
        <v>5.07449323</v>
      </c>
      <c r="H256" s="0" t="inlineStr">
        <is>
          <t xml:space="preserve">foreign_fms</t>
        </is>
      </c>
      <c r="I256" s="0" t="inlineStr">
        <is>
          <t xml:space="preserve">-</t>
        </is>
      </c>
      <c r="J256" s="0" t="inlineStr">
        <is>
          <t xml:space="preserve">registry</t>
        </is>
      </c>
      <c r="K256" s="5">
        <v>0</v>
      </c>
      <c r="L256" s="5">
        <v>0</v>
      </c>
      <c r="M256" s="5">
        <v>5.07449323</v>
      </c>
      <c r="N256" s="5">
        <v>0.0</v>
      </c>
      <c r="O256" s="5">
        <v>0.0</v>
      </c>
      <c r="P256" s="5">
        <v>0.0</v>
      </c>
      <c r="Q256" s="5">
        <v>5.07449323</v>
      </c>
    </row>
    <row r="257" outlineLevel="1">
      <c r="B257" s="0" t="inlineStr">
        <is>
          <t xml:space="preserve">FAIRMOUNT AUTOMATION, INC.</t>
        </is>
      </c>
      <c r="C257" s="0" t="inlineStr">
        <is>
          <t xml:space="preserve">P2LKC7KAFFR2</t>
        </is>
      </c>
      <c r="D257" s="0" t="inlineStr">
        <is>
          <t xml:space="preserve">-</t>
        </is>
      </c>
      <c r="E257" s="0" t="inlineStr">
        <is>
          <t xml:space="preserve">-</t>
        </is>
      </c>
      <c r="F257" s="0" t="inlineStr">
        <is>
          <t xml:space="preserve">-</t>
        </is>
      </c>
      <c r="G257" s="5">
        <v>5.0674906</v>
      </c>
      <c r="H257" s="0" t="inlineStr">
        <is>
          <t xml:space="preserve">supplier</t>
        </is>
      </c>
      <c r="I257" s="0" t="inlineStr">
        <is>
          <t xml:space="preserve">unbucketed</t>
        </is>
      </c>
      <c r="J257" s="0" t="inlineStr">
        <is>
          <t xml:space="preserve">residual</t>
        </is>
      </c>
      <c r="K257" s="5">
        <v>0</v>
      </c>
      <c r="L257" s="5">
        <v>0</v>
      </c>
      <c r="M257" s="5">
        <v>2.687782</v>
      </c>
      <c r="N257" s="5">
        <v>0.0</v>
      </c>
      <c r="O257" s="5">
        <v>2.687782</v>
      </c>
      <c r="P257" s="5">
        <v>0.0</v>
      </c>
      <c r="Q257" s="5">
        <v>0.0</v>
      </c>
    </row>
    <row r="258" outlineLevel="1">
      <c r="B258" s="0" t="inlineStr">
        <is>
          <t xml:space="preserve">EMS DEVELOPMENT CORPORATION</t>
        </is>
      </c>
      <c r="C258" s="0" t="inlineStr">
        <is>
          <t xml:space="preserve">F42BKS7EHCL8</t>
        </is>
      </c>
      <c r="D258" s="0" t="inlineStr">
        <is>
          <t xml:space="preserve">-</t>
        </is>
      </c>
      <c r="E258" s="0" t="inlineStr">
        <is>
          <t xml:space="preserve">-</t>
        </is>
      </c>
      <c r="F258" s="0" t="inlineStr">
        <is>
          <t xml:space="preserve">-</t>
        </is>
      </c>
      <c r="G258" s="5">
        <v>5.060143500000001</v>
      </c>
      <c r="H258" s="0" t="inlineStr">
        <is>
          <t xml:space="preserve">mission_systems</t>
        </is>
      </c>
      <c r="I258" s="0" t="inlineStr">
        <is>
          <t xml:space="preserve">-</t>
        </is>
      </c>
      <c r="J258" s="0" t="inlineStr">
        <is>
          <t xml:space="preserve">registry</t>
        </is>
      </c>
      <c r="K258" s="5">
        <v>0</v>
      </c>
      <c r="L258" s="5">
        <v>0</v>
      </c>
      <c r="M258" s="5">
        <v>5.060143500000001</v>
      </c>
      <c r="N258" s="5">
        <v>0.0</v>
      </c>
      <c r="O258" s="5">
        <v>0.0</v>
      </c>
      <c r="P258" s="5">
        <v>4.616322</v>
      </c>
      <c r="Q258" s="5">
        <v>0.4438215</v>
      </c>
    </row>
    <row r="259" outlineLevel="1">
      <c r="B259" s="0" t="inlineStr">
        <is>
          <t xml:space="preserve">JUNIPER ELBOW CO. INC.</t>
        </is>
      </c>
      <c r="C259" s="0" t="inlineStr">
        <is>
          <t xml:space="preserve">KLDTZDR12ZB7</t>
        </is>
      </c>
      <c r="D259" s="0" t="inlineStr">
        <is>
          <t xml:space="preserve">-</t>
        </is>
      </c>
      <c r="E259" s="0" t="inlineStr">
        <is>
          <t xml:space="preserve">-</t>
        </is>
      </c>
      <c r="F259" s="0" t="inlineStr">
        <is>
          <t xml:space="preserve">-</t>
        </is>
      </c>
      <c r="G259" s="5">
        <v>5.001281250000001</v>
      </c>
      <c r="H259" s="0" t="inlineStr">
        <is>
          <t xml:space="preserve">supplier</t>
        </is>
      </c>
      <c r="I259" s="0" t="inlineStr">
        <is>
          <t xml:space="preserve">unbucketed</t>
        </is>
      </c>
      <c r="J259" s="0" t="inlineStr">
        <is>
          <t xml:space="preserve">residual</t>
        </is>
      </c>
      <c r="K259" s="5">
        <v>0</v>
      </c>
      <c r="L259" s="5">
        <v>0</v>
      </c>
      <c r="M259" s="5">
        <v>5.001281250000001</v>
      </c>
      <c r="N259" s="5">
        <v>0.5114099999999999</v>
      </c>
      <c r="O259" s="5">
        <v>0.0</v>
      </c>
      <c r="P259" s="5">
        <v>0.23557</v>
      </c>
      <c r="Q259" s="5">
        <v>1.722889</v>
      </c>
    </row>
    <row r="260" outlineLevel="1">
      <c r="B260" s="0" t="inlineStr">
        <is>
          <t xml:space="preserve">KINGSBURY, INC.</t>
        </is>
      </c>
      <c r="C260" s="0" t="inlineStr">
        <is>
          <t xml:space="preserve">RMLGMBGNPCC8</t>
        </is>
      </c>
      <c r="D260" s="0" t="inlineStr">
        <is>
          <t xml:space="preserve">-</t>
        </is>
      </c>
      <c r="E260" s="0" t="inlineStr">
        <is>
          <t xml:space="preserve">-</t>
        </is>
      </c>
      <c r="F260" s="0" t="inlineStr">
        <is>
          <t xml:space="preserve">-</t>
        </is>
      </c>
      <c r="G260" s="5">
        <v>4.98921109</v>
      </c>
      <c r="H260" s="0" t="inlineStr">
        <is>
          <t xml:space="preserve">supplier</t>
        </is>
      </c>
      <c r="I260" s="0" t="inlineStr">
        <is>
          <t xml:space="preserve">unbucketed</t>
        </is>
      </c>
      <c r="J260" s="0" t="inlineStr">
        <is>
          <t xml:space="preserve">residual</t>
        </is>
      </c>
      <c r="K260" s="5">
        <v>0</v>
      </c>
      <c r="L260" s="5">
        <v>0</v>
      </c>
      <c r="M260" s="5">
        <v>4.98921109</v>
      </c>
      <c r="N260" s="5">
        <v>0.07880255</v>
      </c>
      <c r="O260" s="5">
        <v>1.28024932</v>
      </c>
      <c r="P260" s="5">
        <v>0.0</v>
      </c>
      <c r="Q260" s="5">
        <v>0.0</v>
      </c>
    </row>
    <row r="261" outlineLevel="1">
      <c r="B261" s="0" t="inlineStr">
        <is>
          <t xml:space="preserve">L3 TECHNOLOGIES, INC.</t>
        </is>
      </c>
      <c r="C261" s="0" t="inlineStr">
        <is>
          <t xml:space="preserve">QRSWLGWF65E9</t>
        </is>
      </c>
      <c r="D261" s="0" t="inlineStr">
        <is>
          <t xml:space="preserve">USA</t>
        </is>
      </c>
      <c r="E261" s="0" t="inlineStr">
        <is>
          <t xml:space="preserve">3345</t>
        </is>
      </c>
      <c r="F261" s="0" t="inlineStr">
        <is>
          <t xml:space="preserve">Search, Detection, Navigation, Guidance, Aeronautical, and Nautical System and Instrument Manufacturing</t>
        </is>
      </c>
      <c r="G261" s="5">
        <v>4.94</v>
      </c>
      <c r="H261" s="0" t="inlineStr">
        <is>
          <t xml:space="preserve">supplier</t>
        </is>
      </c>
      <c r="I261" s="0" t="inlineStr">
        <is>
          <t xml:space="preserve">unbucketed</t>
        </is>
      </c>
      <c r="J261" s="0" t="inlineStr">
        <is>
          <t xml:space="preserve">residual</t>
        </is>
      </c>
      <c r="K261" s="5">
        <v>0</v>
      </c>
      <c r="L261" s="5">
        <v>0</v>
      </c>
      <c r="M261" s="5">
        <v>0.0</v>
      </c>
      <c r="N261" s="5">
        <v>0.0</v>
      </c>
      <c r="O261" s="5">
        <v>0.0</v>
      </c>
      <c r="P261" s="5">
        <v>0.0</v>
      </c>
      <c r="Q261" s="5">
        <v>0.0</v>
      </c>
    </row>
    <row r="262" outlineLevel="1">
      <c r="B262" s="0" t="inlineStr">
        <is>
          <t xml:space="preserve">RELIANCE STEEL &amp; ALUMINUM CO.</t>
        </is>
      </c>
      <c r="C262" s="0" t="inlineStr">
        <is>
          <t xml:space="preserve">Z9P3GJBTJUT5</t>
        </is>
      </c>
      <c r="D262" s="0" t="inlineStr">
        <is>
          <t xml:space="preserve">-</t>
        </is>
      </c>
      <c r="E262" s="0" t="inlineStr">
        <is>
          <t xml:space="preserve">-</t>
        </is>
      </c>
      <c r="F262" s="0" t="inlineStr">
        <is>
          <t xml:space="preserve">-</t>
        </is>
      </c>
      <c r="G262" s="5">
        <v>4.922836</v>
      </c>
      <c r="H262" s="0" t="inlineStr">
        <is>
          <t xml:space="preserve">supplier</t>
        </is>
      </c>
      <c r="I262" s="0" t="inlineStr">
        <is>
          <t xml:space="preserve">unbucketed</t>
        </is>
      </c>
      <c r="J262" s="0" t="inlineStr">
        <is>
          <t xml:space="preserve">residual</t>
        </is>
      </c>
      <c r="K262" s="5">
        <v>0</v>
      </c>
      <c r="L262" s="5">
        <v>0</v>
      </c>
      <c r="M262" s="5">
        <v>4.922836</v>
      </c>
      <c r="N262" s="5">
        <v>4.922836</v>
      </c>
      <c r="O262" s="5">
        <v>0.0</v>
      </c>
      <c r="P262" s="5">
        <v>0.0</v>
      </c>
      <c r="Q262" s="5">
        <v>0.0</v>
      </c>
    </row>
    <row r="263" outlineLevel="1">
      <c r="B263" s="0" t="inlineStr">
        <is>
          <t xml:space="preserve">AVNET INC</t>
        </is>
      </c>
      <c r="C263" s="0" t="inlineStr">
        <is>
          <t xml:space="preserve">J8WCYWJQKJE9</t>
        </is>
      </c>
      <c r="D263" s="0" t="inlineStr">
        <is>
          <t xml:space="preserve">-</t>
        </is>
      </c>
      <c r="E263" s="0" t="inlineStr">
        <is>
          <t xml:space="preserve">-</t>
        </is>
      </c>
      <c r="F263" s="0" t="inlineStr">
        <is>
          <t xml:space="preserve">-</t>
        </is>
      </c>
      <c r="G263" s="5">
        <v>4.9106009</v>
      </c>
      <c r="H263" s="0" t="inlineStr">
        <is>
          <t xml:space="preserve">supplier</t>
        </is>
      </c>
      <c r="I263" s="0" t="inlineStr">
        <is>
          <t xml:space="preserve">unbucketed</t>
        </is>
      </c>
      <c r="J263" s="0" t="inlineStr">
        <is>
          <t xml:space="preserve">residual</t>
        </is>
      </c>
      <c r="K263" s="5">
        <v>0</v>
      </c>
      <c r="L263" s="5">
        <v>0</v>
      </c>
      <c r="M263" s="5">
        <v>0.0</v>
      </c>
      <c r="N263" s="5">
        <v>0.0</v>
      </c>
      <c r="O263" s="5">
        <v>0.0</v>
      </c>
      <c r="P263" s="5">
        <v>0.0</v>
      </c>
      <c r="Q263" s="5">
        <v>0.0</v>
      </c>
    </row>
    <row r="264" outlineLevel="1">
      <c r="B264" s="0" t="inlineStr">
        <is>
          <t xml:space="preserve">BERKSHIRE HATHAWAY INC.</t>
        </is>
      </c>
      <c r="C264" s="0" t="inlineStr">
        <is>
          <t xml:space="preserve">JGB4CAKD5B85</t>
        </is>
      </c>
      <c r="D264" s="0" t="inlineStr">
        <is>
          <t xml:space="preserve">USA</t>
        </is>
      </c>
      <c r="E264" s="0" t="inlineStr">
        <is>
          <t xml:space="preserve">5511</t>
        </is>
      </c>
      <c r="F264" s="0" t="inlineStr">
        <is>
          <t xml:space="preserve">Offices of Other Holding Companies</t>
        </is>
      </c>
      <c r="G264" s="5">
        <v>4.905117</v>
      </c>
      <c r="H264" s="0" t="inlineStr">
        <is>
          <t xml:space="preserve">holding</t>
        </is>
      </c>
      <c r="I264" s="0" t="inlineStr">
        <is>
          <t xml:space="preserve">-</t>
        </is>
      </c>
      <c r="J264" s="0" t="inlineStr">
        <is>
          <t xml:space="preserve">holding-co (5511)</t>
        </is>
      </c>
      <c r="K264" s="5">
        <v>0</v>
      </c>
      <c r="L264" s="5">
        <v>0</v>
      </c>
      <c r="M264" s="5">
        <v>0.0</v>
      </c>
      <c r="N264" s="5">
        <v>0.0</v>
      </c>
      <c r="O264" s="5">
        <v>0.0</v>
      </c>
      <c r="P264" s="5">
        <v>0.0</v>
      </c>
      <c r="Q264" s="5">
        <v>0.0</v>
      </c>
    </row>
    <row r="265" outlineLevel="1">
      <c r="B265" s="0" t="inlineStr">
        <is>
          <t xml:space="preserve">AMETEK INC</t>
        </is>
      </c>
      <c r="C265" s="0" t="inlineStr">
        <is>
          <t xml:space="preserve">GRJNA7M9EUQ5</t>
        </is>
      </c>
      <c r="D265" s="0" t="inlineStr">
        <is>
          <t xml:space="preserve">USA</t>
        </is>
      </c>
      <c r="E265" s="0" t="inlineStr">
        <is>
          <t xml:space="preserve">3359</t>
        </is>
      </c>
      <c r="F265" s="0" t="inlineStr">
        <is>
          <t xml:space="preserve">All Other Miscellaneous Electrical Equipment and Component Manufacturing</t>
        </is>
      </c>
      <c r="G265" s="5">
        <v>4.87297</v>
      </c>
      <c r="H265" s="0" t="inlineStr">
        <is>
          <t xml:space="preserve">supplier</t>
        </is>
      </c>
      <c r="I265" s="0" t="inlineStr">
        <is>
          <t xml:space="preserve">electrical</t>
        </is>
      </c>
      <c r="J265" s="0" t="inlineStr">
        <is>
          <t xml:space="preserve">naics4</t>
        </is>
      </c>
      <c r="K265" s="5">
        <v>0</v>
      </c>
      <c r="L265" s="5">
        <v>0</v>
      </c>
      <c r="M265" s="5">
        <v>0.0</v>
      </c>
      <c r="N265" s="5">
        <v>0.0</v>
      </c>
      <c r="O265" s="5">
        <v>0.0</v>
      </c>
      <c r="P265" s="5">
        <v>0.0</v>
      </c>
      <c r="Q265" s="5">
        <v>0.0</v>
      </c>
    </row>
    <row r="266" outlineLevel="1">
      <c r="B266" s="0" t="inlineStr">
        <is>
          <t xml:space="preserve">HUTCHINSON AEROSPACE &amp; INDUSTRY, INC.</t>
        </is>
      </c>
      <c r="C266" s="0" t="inlineStr">
        <is>
          <t xml:space="preserve">N5BYYW3MMFP7</t>
        </is>
      </c>
      <c r="D266" s="0" t="inlineStr">
        <is>
          <t xml:space="preserve">-</t>
        </is>
      </c>
      <c r="E266" s="0" t="inlineStr">
        <is>
          <t xml:space="preserve">-</t>
        </is>
      </c>
      <c r="F266" s="0" t="inlineStr">
        <is>
          <t xml:space="preserve">-</t>
        </is>
      </c>
      <c r="G266" s="5">
        <v>4.82645147</v>
      </c>
      <c r="H266" s="0" t="inlineStr">
        <is>
          <t xml:space="preserve">supplier</t>
        </is>
      </c>
      <c r="I266" s="0" t="inlineStr">
        <is>
          <t xml:space="preserve">coatings</t>
        </is>
      </c>
      <c r="J266" s="0" t="inlineStr">
        <is>
          <t xml:space="preserve">registry</t>
        </is>
      </c>
      <c r="K266" s="5">
        <v>0</v>
      </c>
      <c r="L266" s="5">
        <v>0</v>
      </c>
      <c r="M266" s="5">
        <v>0.0</v>
      </c>
      <c r="N266" s="5">
        <v>0.0</v>
      </c>
      <c r="O266" s="5">
        <v>0.0</v>
      </c>
      <c r="P266" s="5">
        <v>0.0</v>
      </c>
      <c r="Q266" s="5">
        <v>0.0</v>
      </c>
    </row>
    <row r="267" outlineLevel="1">
      <c r="B267" s="0" t="inlineStr">
        <is>
          <t xml:space="preserve">ASPEQ HEATING GROUP LLC</t>
        </is>
      </c>
      <c r="C267" s="0" t="inlineStr">
        <is>
          <t xml:space="preserve">FLMQAKFEMG64</t>
        </is>
      </c>
      <c r="D267" s="0" t="inlineStr">
        <is>
          <t xml:space="preserve">-</t>
        </is>
      </c>
      <c r="E267" s="0" t="inlineStr">
        <is>
          <t xml:space="preserve">-</t>
        </is>
      </c>
      <c r="F267" s="0" t="inlineStr">
        <is>
          <t xml:space="preserve">-</t>
        </is>
      </c>
      <c r="G267" s="5">
        <v>4.802579239999999</v>
      </c>
      <c r="H267" s="0" t="inlineStr">
        <is>
          <t xml:space="preserve">supplier</t>
        </is>
      </c>
      <c r="I267" s="0" t="inlineStr">
        <is>
          <t xml:space="preserve">unbucketed</t>
        </is>
      </c>
      <c r="J267" s="0" t="inlineStr">
        <is>
          <t xml:space="preserve">residual</t>
        </is>
      </c>
      <c r="K267" s="5">
        <v>0</v>
      </c>
      <c r="L267" s="5">
        <v>0</v>
      </c>
      <c r="M267" s="5">
        <v>4.666679239999999</v>
      </c>
      <c r="N267" s="5">
        <v>0.0</v>
      </c>
      <c r="O267" s="5">
        <v>1.06365135</v>
      </c>
      <c r="P267" s="5">
        <v>0.0</v>
      </c>
      <c r="Q267" s="5">
        <v>0.0</v>
      </c>
    </row>
    <row r="268" outlineLevel="1">
      <c r="B268" s="0" t="inlineStr">
        <is>
          <t xml:space="preserve">HI-AIR KOREA CO., LTD.</t>
        </is>
      </c>
      <c r="C268" s="0" t="inlineStr">
        <is>
          <t xml:space="preserve">NPJ8VMPXMNC3</t>
        </is>
      </c>
      <c r="D268" s="0" t="inlineStr">
        <is>
          <t xml:space="preserve">Foreign</t>
        </is>
      </c>
      <c r="E268" s="0" t="inlineStr">
        <is>
          <t xml:space="preserve">-</t>
        </is>
      </c>
      <c r="F268" s="0" t="inlineStr">
        <is>
          <t xml:space="preserve">-</t>
        </is>
      </c>
      <c r="G268" s="5">
        <v>4.728675</v>
      </c>
      <c r="H268" s="0" t="inlineStr">
        <is>
          <t xml:space="preserve">foreign_fms</t>
        </is>
      </c>
      <c r="I268" s="0" t="inlineStr">
        <is>
          <t xml:space="preserve">-</t>
        </is>
      </c>
      <c r="J268" s="0" t="inlineStr">
        <is>
          <t xml:space="preserve">registry</t>
        </is>
      </c>
      <c r="K268" s="5">
        <v>0</v>
      </c>
      <c r="L268" s="5">
        <v>0</v>
      </c>
      <c r="M268" s="5">
        <v>0.0</v>
      </c>
      <c r="N268" s="5">
        <v>0.0</v>
      </c>
      <c r="O268" s="5">
        <v>0.0</v>
      </c>
      <c r="P268" s="5">
        <v>0.0</v>
      </c>
      <c r="Q268" s="5">
        <v>0.0</v>
      </c>
    </row>
    <row r="269" outlineLevel="1">
      <c r="B269" s="0" t="inlineStr">
        <is>
          <t xml:space="preserve">US JOINER LLC</t>
        </is>
      </c>
      <c r="C269" s="0" t="inlineStr">
        <is>
          <t xml:space="preserve">KCYPSYNH1M94</t>
        </is>
      </c>
      <c r="D269" s="0" t="inlineStr">
        <is>
          <t xml:space="preserve">-</t>
        </is>
      </c>
      <c r="E269" s="0" t="inlineStr">
        <is>
          <t xml:space="preserve">-</t>
        </is>
      </c>
      <c r="F269" s="0" t="inlineStr">
        <is>
          <t xml:space="preserve">-</t>
        </is>
      </c>
      <c r="G269" s="5">
        <v>4.72654297</v>
      </c>
      <c r="H269" s="0" t="inlineStr">
        <is>
          <t xml:space="preserve">supplier</t>
        </is>
      </c>
      <c r="I269" s="0" t="inlineStr">
        <is>
          <t xml:space="preserve">unbucketed</t>
        </is>
      </c>
      <c r="J269" s="0" t="inlineStr">
        <is>
          <t xml:space="preserve">residual</t>
        </is>
      </c>
      <c r="K269" s="5">
        <v>0</v>
      </c>
      <c r="L269" s="5">
        <v>0</v>
      </c>
      <c r="M269" s="5">
        <v>4.700463000000001</v>
      </c>
      <c r="N269" s="5">
        <v>0.207316</v>
      </c>
      <c r="O269" s="5">
        <v>4.493147000000001</v>
      </c>
      <c r="P269" s="5">
        <v>0.0</v>
      </c>
      <c r="Q269" s="5">
        <v>0.0</v>
      </c>
    </row>
    <row r="270" outlineLevel="1">
      <c r="B270" s="0" t="inlineStr">
        <is>
          <t xml:space="preserve">TTM TECHNOLOGIES NORTH AMERICA LLC</t>
        </is>
      </c>
      <c r="C270" s="0" t="inlineStr">
        <is>
          <t xml:space="preserve">HL21YDGJDTH5</t>
        </is>
      </c>
      <c r="D270" s="0" t="inlineStr">
        <is>
          <t xml:space="preserve">-</t>
        </is>
      </c>
      <c r="E270" s="0" t="inlineStr">
        <is>
          <t xml:space="preserve">-</t>
        </is>
      </c>
      <c r="F270" s="0" t="inlineStr">
        <is>
          <t xml:space="preserve">-</t>
        </is>
      </c>
      <c r="G270" s="5">
        <v>4.725703</v>
      </c>
      <c r="H270" s="0" t="inlineStr">
        <is>
          <t xml:space="preserve">supplier</t>
        </is>
      </c>
      <c r="I270" s="0" t="inlineStr">
        <is>
          <t xml:space="preserve">unbucketed</t>
        </is>
      </c>
      <c r="J270" s="0" t="inlineStr">
        <is>
          <t xml:space="preserve">residual</t>
        </is>
      </c>
      <c r="K270" s="5">
        <v>0</v>
      </c>
      <c r="L270" s="5">
        <v>0</v>
      </c>
      <c r="M270" s="5">
        <v>0.0</v>
      </c>
      <c r="N270" s="5">
        <v>0.0</v>
      </c>
      <c r="O270" s="5">
        <v>0.0</v>
      </c>
      <c r="P270" s="5">
        <v>0.0</v>
      </c>
      <c r="Q270" s="5">
        <v>0.0</v>
      </c>
    </row>
    <row r="271" outlineLevel="1">
      <c r="B271" s="0" t="inlineStr">
        <is>
          <t xml:space="preserve">DUCOMMUN INCORPORATED</t>
        </is>
      </c>
      <c r="C271" s="0" t="inlineStr">
        <is>
          <t xml:space="preserve">PEPBCBSN2AH3</t>
        </is>
      </c>
      <c r="D271" s="0" t="inlineStr">
        <is>
          <t xml:space="preserve">-</t>
        </is>
      </c>
      <c r="E271" s="0" t="inlineStr">
        <is>
          <t xml:space="preserve">-</t>
        </is>
      </c>
      <c r="F271" s="0" t="inlineStr">
        <is>
          <t xml:space="preserve">-</t>
        </is>
      </c>
      <c r="G271" s="5">
        <v>4.723271</v>
      </c>
      <c r="H271" s="0" t="inlineStr">
        <is>
          <t xml:space="preserve">supplier</t>
        </is>
      </c>
      <c r="I271" s="0" t="inlineStr">
        <is>
          <t xml:space="preserve">unbucketed</t>
        </is>
      </c>
      <c r="J271" s="0" t="inlineStr">
        <is>
          <t xml:space="preserve">residual</t>
        </is>
      </c>
      <c r="K271" s="5">
        <v>0</v>
      </c>
      <c r="L271" s="5">
        <v>0</v>
      </c>
      <c r="M271" s="5">
        <v>0.0</v>
      </c>
      <c r="N271" s="5">
        <v>0.0</v>
      </c>
      <c r="O271" s="5">
        <v>0.0</v>
      </c>
      <c r="P271" s="5">
        <v>0.0</v>
      </c>
      <c r="Q271" s="5">
        <v>0.0</v>
      </c>
    </row>
    <row r="272" outlineLevel="1">
      <c r="B272" s="0" t="inlineStr">
        <is>
          <t xml:space="preserve">ENCORE COMPOSITE HOLDINGS, INC</t>
        </is>
      </c>
      <c r="C272" s="0" t="inlineStr">
        <is>
          <t xml:space="preserve">M1LQD44NEJ56</t>
        </is>
      </c>
      <c r="D272" s="0" t="inlineStr">
        <is>
          <t xml:space="preserve">-</t>
        </is>
      </c>
      <c r="E272" s="0" t="inlineStr">
        <is>
          <t xml:space="preserve">-</t>
        </is>
      </c>
      <c r="F272" s="0" t="inlineStr">
        <is>
          <t xml:space="preserve">-</t>
        </is>
      </c>
      <c r="G272" s="5">
        <v>4.629453</v>
      </c>
      <c r="H272" s="0" t="inlineStr">
        <is>
          <t xml:space="preserve">supplier</t>
        </is>
      </c>
      <c r="I272" s="0" t="inlineStr">
        <is>
          <t xml:space="preserve">coatings</t>
        </is>
      </c>
      <c r="J272" s="0" t="inlineStr">
        <is>
          <t xml:space="preserve">registry</t>
        </is>
      </c>
      <c r="K272" s="5">
        <v>0</v>
      </c>
      <c r="L272" s="5">
        <v>0</v>
      </c>
      <c r="M272" s="5">
        <v>0.0</v>
      </c>
      <c r="N272" s="5">
        <v>0.0</v>
      </c>
      <c r="O272" s="5">
        <v>0.0</v>
      </c>
      <c r="P272" s="5">
        <v>0.0</v>
      </c>
      <c r="Q272" s="5">
        <v>0.0</v>
      </c>
    </row>
    <row r="273" outlineLevel="1">
      <c r="B273" s="0" t="inlineStr">
        <is>
          <t xml:space="preserve">GLOBAL INNOVATION CORP.</t>
        </is>
      </c>
      <c r="C273" s="0" t="inlineStr">
        <is>
          <t xml:space="preserve">C1UKFVCAPFB6</t>
        </is>
      </c>
      <c r="D273" s="0" t="inlineStr">
        <is>
          <t xml:space="preserve">-</t>
        </is>
      </c>
      <c r="E273" s="0" t="inlineStr">
        <is>
          <t xml:space="preserve">-</t>
        </is>
      </c>
      <c r="F273" s="0" t="inlineStr">
        <is>
          <t xml:space="preserve">-</t>
        </is>
      </c>
      <c r="G273" s="5">
        <v>4.600201</v>
      </c>
      <c r="H273" s="0" t="inlineStr">
        <is>
          <t xml:space="preserve">supplier</t>
        </is>
      </c>
      <c r="I273" s="0" t="inlineStr">
        <is>
          <t xml:space="preserve">unbucketed</t>
        </is>
      </c>
      <c r="J273" s="0" t="inlineStr">
        <is>
          <t xml:space="preserve">residual</t>
        </is>
      </c>
      <c r="K273" s="5">
        <v>0</v>
      </c>
      <c r="L273" s="5">
        <v>0</v>
      </c>
      <c r="M273" s="5">
        <v>0.0</v>
      </c>
      <c r="N273" s="5">
        <v>0.0</v>
      </c>
      <c r="O273" s="5">
        <v>0.0</v>
      </c>
      <c r="P273" s="5">
        <v>0.0</v>
      </c>
      <c r="Q273" s="5">
        <v>0.0</v>
      </c>
    </row>
    <row r="274" outlineLevel="1">
      <c r="B274" s="0" t="inlineStr">
        <is>
          <t xml:space="preserve">ELECTRO-METHODS INC</t>
        </is>
      </c>
      <c r="C274" s="0" t="inlineStr">
        <is>
          <t xml:space="preserve">H6XZGGE3NEL5</t>
        </is>
      </c>
      <c r="D274" s="0" t="inlineStr">
        <is>
          <t xml:space="preserve">-</t>
        </is>
      </c>
      <c r="E274" s="0" t="inlineStr">
        <is>
          <t xml:space="preserve">-</t>
        </is>
      </c>
      <c r="F274" s="0" t="inlineStr">
        <is>
          <t xml:space="preserve">-</t>
        </is>
      </c>
      <c r="G274" s="5">
        <v>4.577665230000001</v>
      </c>
      <c r="H274" s="0" t="inlineStr">
        <is>
          <t xml:space="preserve">supplier</t>
        </is>
      </c>
      <c r="I274" s="0" t="inlineStr">
        <is>
          <t xml:space="preserve">unbucketed</t>
        </is>
      </c>
      <c r="J274" s="0" t="inlineStr">
        <is>
          <t xml:space="preserve">residual</t>
        </is>
      </c>
      <c r="K274" s="5">
        <v>0</v>
      </c>
      <c r="L274" s="5">
        <v>0</v>
      </c>
      <c r="M274" s="5">
        <v>0.0</v>
      </c>
      <c r="N274" s="5">
        <v>0.0</v>
      </c>
      <c r="O274" s="5">
        <v>0.0</v>
      </c>
      <c r="P274" s="5">
        <v>0.0</v>
      </c>
      <c r="Q274" s="5">
        <v>0.0</v>
      </c>
    </row>
    <row r="275" outlineLevel="1">
      <c r="B275" s="0" t="inlineStr">
        <is>
          <t xml:space="preserve">CONCURRENT REAL-TIME, INC.</t>
        </is>
      </c>
      <c r="C275" s="0" t="inlineStr">
        <is>
          <t xml:space="preserve">YK46GJRH4W87</t>
        </is>
      </c>
      <c r="D275" s="0" t="inlineStr">
        <is>
          <t xml:space="preserve">-</t>
        </is>
      </c>
      <c r="E275" s="0" t="inlineStr">
        <is>
          <t xml:space="preserve">-</t>
        </is>
      </c>
      <c r="F275" s="0" t="inlineStr">
        <is>
          <t xml:space="preserve">-</t>
        </is>
      </c>
      <c r="G275" s="5">
        <v>4.556102790000001</v>
      </c>
      <c r="H275" s="0" t="inlineStr">
        <is>
          <t xml:space="preserve">supplier</t>
        </is>
      </c>
      <c r="I275" s="0" t="inlineStr">
        <is>
          <t xml:space="preserve">unbucketed</t>
        </is>
      </c>
      <c r="J275" s="0" t="inlineStr">
        <is>
          <t xml:space="preserve">residual</t>
        </is>
      </c>
      <c r="K275" s="5">
        <v>0</v>
      </c>
      <c r="L275" s="5">
        <v>0</v>
      </c>
      <c r="M275" s="5">
        <v>0.0</v>
      </c>
      <c r="N275" s="5">
        <v>0.0</v>
      </c>
      <c r="O275" s="5">
        <v>0.0</v>
      </c>
      <c r="P275" s="5">
        <v>0.0</v>
      </c>
      <c r="Q275" s="5">
        <v>0.0</v>
      </c>
    </row>
    <row r="276" outlineLevel="1">
      <c r="B276" s="0" t="inlineStr">
        <is>
          <t xml:space="preserve">DANTE VALVE COMPANY</t>
        </is>
      </c>
      <c r="C276" s="0" t="inlineStr">
        <is>
          <t xml:space="preserve">MMDRDDVELDX8</t>
        </is>
      </c>
      <c r="D276" s="0" t="inlineStr">
        <is>
          <t xml:space="preserve">-</t>
        </is>
      </c>
      <c r="E276" s="0" t="inlineStr">
        <is>
          <t xml:space="preserve">-</t>
        </is>
      </c>
      <c r="F276" s="0" t="inlineStr">
        <is>
          <t xml:space="preserve">-</t>
        </is>
      </c>
      <c r="G276" s="5">
        <v>4.543243500000001</v>
      </c>
      <c r="H276" s="0" t="inlineStr">
        <is>
          <t xml:space="preserve">supplier</t>
        </is>
      </c>
      <c r="I276" s="0" t="inlineStr">
        <is>
          <t xml:space="preserve">unbucketed</t>
        </is>
      </c>
      <c r="J276" s="0" t="inlineStr">
        <is>
          <t xml:space="preserve">residual</t>
        </is>
      </c>
      <c r="K276" s="5">
        <v>0</v>
      </c>
      <c r="L276" s="5">
        <v>0</v>
      </c>
      <c r="M276" s="5">
        <v>4.543243500000001</v>
      </c>
      <c r="N276" s="5">
        <v>0.11874506</v>
      </c>
      <c r="O276" s="5">
        <v>1.1474963400000002</v>
      </c>
      <c r="P276" s="5">
        <v>0.5965504899999999</v>
      </c>
      <c r="Q276" s="5">
        <v>2.6804516099999995</v>
      </c>
    </row>
    <row r="277" outlineLevel="1">
      <c r="B277" s="0" t="inlineStr">
        <is>
          <t xml:space="preserve">FEDTECH, INC.</t>
        </is>
      </c>
      <c r="C277" s="0" t="inlineStr">
        <is>
          <t xml:space="preserve">GV95CCPKRQX1</t>
        </is>
      </c>
      <c r="D277" s="0" t="inlineStr">
        <is>
          <t xml:space="preserve">-</t>
        </is>
      </c>
      <c r="E277" s="0" t="inlineStr">
        <is>
          <t xml:space="preserve">-</t>
        </is>
      </c>
      <c r="F277" s="0" t="inlineStr">
        <is>
          <t xml:space="preserve">-</t>
        </is>
      </c>
      <c r="G277" s="5">
        <v>4.52373035</v>
      </c>
      <c r="H277" s="0" t="inlineStr">
        <is>
          <t xml:space="preserve">supplier</t>
        </is>
      </c>
      <c r="I277" s="0" t="inlineStr">
        <is>
          <t xml:space="preserve">unbucketed</t>
        </is>
      </c>
      <c r="J277" s="0" t="inlineStr">
        <is>
          <t xml:space="preserve">residual</t>
        </is>
      </c>
      <c r="K277" s="5">
        <v>0</v>
      </c>
      <c r="L277" s="5">
        <v>0</v>
      </c>
      <c r="M277" s="5">
        <v>0.0</v>
      </c>
      <c r="N277" s="5">
        <v>0.0</v>
      </c>
      <c r="O277" s="5">
        <v>0.0</v>
      </c>
      <c r="P277" s="5">
        <v>0.0</v>
      </c>
      <c r="Q277" s="5">
        <v>0.0</v>
      </c>
    </row>
    <row r="278" outlineLevel="1">
      <c r="B278" s="0" t="inlineStr">
        <is>
          <t xml:space="preserve">FCN INC</t>
        </is>
      </c>
      <c r="C278" s="0" t="inlineStr">
        <is>
          <t xml:space="preserve">JEANDJTZ8HJ3</t>
        </is>
      </c>
      <c r="D278" s="0" t="inlineStr">
        <is>
          <t xml:space="preserve">-</t>
        </is>
      </c>
      <c r="E278" s="0" t="inlineStr">
        <is>
          <t xml:space="preserve">-</t>
        </is>
      </c>
      <c r="F278" s="0" t="inlineStr">
        <is>
          <t xml:space="preserve">-</t>
        </is>
      </c>
      <c r="G278" s="5">
        <v>4.52315224</v>
      </c>
      <c r="H278" s="0" t="inlineStr">
        <is>
          <t xml:space="preserve">supplier</t>
        </is>
      </c>
      <c r="I278" s="0" t="inlineStr">
        <is>
          <t xml:space="preserve">unbucketed</t>
        </is>
      </c>
      <c r="J278" s="0" t="inlineStr">
        <is>
          <t xml:space="preserve">residual</t>
        </is>
      </c>
      <c r="K278" s="5">
        <v>0</v>
      </c>
      <c r="L278" s="5">
        <v>0</v>
      </c>
      <c r="M278" s="5">
        <v>0.0</v>
      </c>
      <c r="N278" s="5">
        <v>0.0</v>
      </c>
      <c r="O278" s="5">
        <v>0.0</v>
      </c>
      <c r="P278" s="5">
        <v>0.0</v>
      </c>
      <c r="Q278" s="5">
        <v>0.0</v>
      </c>
    </row>
    <row r="279" outlineLevel="1">
      <c r="B279" s="0" t="inlineStr">
        <is>
          <t xml:space="preserve">PAYTON AMERICA, INC.</t>
        </is>
      </c>
      <c r="C279" s="0" t="inlineStr">
        <is>
          <t xml:space="preserve">N7MCTKMCTYQ3</t>
        </is>
      </c>
      <c r="D279" s="0" t="inlineStr">
        <is>
          <t xml:space="preserve">-</t>
        </is>
      </c>
      <c r="E279" s="0" t="inlineStr">
        <is>
          <t xml:space="preserve">-</t>
        </is>
      </c>
      <c r="F279" s="0" t="inlineStr">
        <is>
          <t xml:space="preserve">-</t>
        </is>
      </c>
      <c r="G279" s="5">
        <v>4.512835000000001</v>
      </c>
      <c r="H279" s="0" t="inlineStr">
        <is>
          <t xml:space="preserve">supplier</t>
        </is>
      </c>
      <c r="I279" s="0" t="inlineStr">
        <is>
          <t xml:space="preserve">unbucketed</t>
        </is>
      </c>
      <c r="J279" s="0" t="inlineStr">
        <is>
          <t xml:space="preserve">residual</t>
        </is>
      </c>
      <c r="K279" s="5">
        <v>0</v>
      </c>
      <c r="L279" s="5">
        <v>0</v>
      </c>
      <c r="M279" s="5">
        <v>0.0</v>
      </c>
      <c r="N279" s="5">
        <v>0.0</v>
      </c>
      <c r="O279" s="5">
        <v>0.0</v>
      </c>
      <c r="P279" s="5">
        <v>0.0</v>
      </c>
      <c r="Q279" s="5">
        <v>0.0</v>
      </c>
    </row>
    <row r="280" outlineLevel="1">
      <c r="B280" s="0" t="inlineStr">
        <is>
          <t xml:space="preserve">SAFRAN</t>
        </is>
      </c>
      <c r="C280" s="0" t="inlineStr">
        <is>
          <t xml:space="preserve">LNZRL5H3F315</t>
        </is>
      </c>
      <c r="D280" s="0" t="inlineStr">
        <is>
          <t xml:space="preserve">-</t>
        </is>
      </c>
      <c r="E280" s="0" t="inlineStr">
        <is>
          <t xml:space="preserve">-</t>
        </is>
      </c>
      <c r="F280" s="0" t="inlineStr">
        <is>
          <t xml:space="preserve">-</t>
        </is>
      </c>
      <c r="G280" s="5">
        <v>4.49802923</v>
      </c>
      <c r="H280" s="0" t="inlineStr">
        <is>
          <t xml:space="preserve">supplier</t>
        </is>
      </c>
      <c r="I280" s="0" t="inlineStr">
        <is>
          <t xml:space="preserve">unbucketed</t>
        </is>
      </c>
      <c r="J280" s="0" t="inlineStr">
        <is>
          <t xml:space="preserve">residual</t>
        </is>
      </c>
      <c r="K280" s="5">
        <v>0</v>
      </c>
      <c r="L280" s="5">
        <v>0</v>
      </c>
      <c r="M280" s="5">
        <v>0.0</v>
      </c>
      <c r="N280" s="5">
        <v>0.0</v>
      </c>
      <c r="O280" s="5">
        <v>0.0</v>
      </c>
      <c r="P280" s="5">
        <v>0.0</v>
      </c>
      <c r="Q280" s="5">
        <v>0.0</v>
      </c>
    </row>
    <row r="281" outlineLevel="1">
      <c r="B281" s="0" t="inlineStr">
        <is>
          <t xml:space="preserve">ASPEC, INC.</t>
        </is>
      </c>
      <c r="C281" s="0" t="inlineStr">
        <is>
          <t xml:space="preserve">WJWTB4K7RQW5</t>
        </is>
      </c>
      <c r="D281" s="0" t="inlineStr">
        <is>
          <t xml:space="preserve">-</t>
        </is>
      </c>
      <c r="E281" s="0" t="inlineStr">
        <is>
          <t xml:space="preserve">-</t>
        </is>
      </c>
      <c r="F281" s="0" t="inlineStr">
        <is>
          <t xml:space="preserve">-</t>
        </is>
      </c>
      <c r="G281" s="5">
        <v>4.462517049999999</v>
      </c>
      <c r="H281" s="0" t="inlineStr">
        <is>
          <t xml:space="preserve">supplier</t>
        </is>
      </c>
      <c r="I281" s="0" t="inlineStr">
        <is>
          <t xml:space="preserve">unbucketed</t>
        </is>
      </c>
      <c r="J281" s="0" t="inlineStr">
        <is>
          <t xml:space="preserve">residual</t>
        </is>
      </c>
      <c r="K281" s="5">
        <v>0</v>
      </c>
      <c r="L281" s="5">
        <v>0</v>
      </c>
      <c r="M281" s="5">
        <v>0.0</v>
      </c>
      <c r="N281" s="5">
        <v>0.0</v>
      </c>
      <c r="O281" s="5">
        <v>0.0</v>
      </c>
      <c r="P281" s="5">
        <v>0.0</v>
      </c>
      <c r="Q281" s="5">
        <v>0.0</v>
      </c>
    </row>
    <row r="282" outlineLevel="1">
      <c r="B282" s="0" t="inlineStr">
        <is>
          <t xml:space="preserve">B &amp; F MACHINE CO., INC.</t>
        </is>
      </c>
      <c r="C282" s="0" t="inlineStr">
        <is>
          <t xml:space="preserve">K3XPS1HXNBF3</t>
        </is>
      </c>
      <c r="D282" s="0" t="inlineStr">
        <is>
          <t xml:space="preserve">-</t>
        </is>
      </c>
      <c r="E282" s="0" t="inlineStr">
        <is>
          <t xml:space="preserve">-</t>
        </is>
      </c>
      <c r="F282" s="0" t="inlineStr">
        <is>
          <t xml:space="preserve">-</t>
        </is>
      </c>
      <c r="G282" s="5">
        <v>4.451813</v>
      </c>
      <c r="H282" s="0" t="inlineStr">
        <is>
          <t xml:space="preserve">supplier</t>
        </is>
      </c>
      <c r="I282" s="0" t="inlineStr">
        <is>
          <t xml:space="preserve">machining</t>
        </is>
      </c>
      <c r="J282" s="0" t="inlineStr">
        <is>
          <t xml:space="preserve">registry</t>
        </is>
      </c>
      <c r="K282" s="5">
        <v>0</v>
      </c>
      <c r="L282" s="5">
        <v>0</v>
      </c>
      <c r="M282" s="5">
        <v>0.0</v>
      </c>
      <c r="N282" s="5">
        <v>0.0</v>
      </c>
      <c r="O282" s="5">
        <v>0.0</v>
      </c>
      <c r="P282" s="5">
        <v>0.0</v>
      </c>
      <c r="Q282" s="5">
        <v>0.0</v>
      </c>
    </row>
    <row r="283" outlineLevel="1">
      <c r="B283" s="0" t="inlineStr">
        <is>
          <t xml:space="preserve">ENDOSEC LLC</t>
        </is>
      </c>
      <c r="C283" s="0" t="inlineStr">
        <is>
          <t xml:space="preserve">K6A7ZJGTM2Y1</t>
        </is>
      </c>
      <c r="D283" s="0" t="inlineStr">
        <is>
          <t xml:space="preserve">-</t>
        </is>
      </c>
      <c r="E283" s="0" t="inlineStr">
        <is>
          <t xml:space="preserve">-</t>
        </is>
      </c>
      <c r="F283" s="0" t="inlineStr">
        <is>
          <t xml:space="preserve">-</t>
        </is>
      </c>
      <c r="G283" s="5">
        <v>4.41228</v>
      </c>
      <c r="H283" s="0" t="inlineStr">
        <is>
          <t xml:space="preserve">supplier</t>
        </is>
      </c>
      <c r="I283" s="0" t="inlineStr">
        <is>
          <t xml:space="preserve">unbucketed</t>
        </is>
      </c>
      <c r="J283" s="0" t="inlineStr">
        <is>
          <t xml:space="preserve">residual</t>
        </is>
      </c>
      <c r="K283" s="5">
        <v>0</v>
      </c>
      <c r="L283" s="5">
        <v>0</v>
      </c>
      <c r="M283" s="5">
        <v>0.0</v>
      </c>
      <c r="N283" s="5">
        <v>0.0</v>
      </c>
      <c r="O283" s="5">
        <v>0.0</v>
      </c>
      <c r="P283" s="5">
        <v>0.0</v>
      </c>
      <c r="Q283" s="5">
        <v>0.0</v>
      </c>
    </row>
    <row r="284" outlineLevel="1">
      <c r="B284" s="0" t="inlineStr">
        <is>
          <t xml:space="preserve">VIDEO DISPLAY CORPORATION</t>
        </is>
      </c>
      <c r="C284" s="0" t="inlineStr">
        <is>
          <t xml:space="preserve">MZTBQCTRJ1X1</t>
        </is>
      </c>
      <c r="D284" s="0" t="inlineStr">
        <is>
          <t xml:space="preserve">USA</t>
        </is>
      </c>
      <c r="E284" s="0" t="inlineStr">
        <is>
          <t xml:space="preserve">3343</t>
        </is>
      </c>
      <c r="F284" s="0" t="inlineStr">
        <is>
          <t xml:space="preserve">Audio and Video Equipment Manufacturing</t>
        </is>
      </c>
      <c r="G284" s="5">
        <v>4.411239000000001</v>
      </c>
      <c r="H284" s="0" t="inlineStr">
        <is>
          <t xml:space="preserve">supplier</t>
        </is>
      </c>
      <c r="I284" s="0" t="inlineStr">
        <is>
          <t xml:space="preserve">unbucketed</t>
        </is>
      </c>
      <c r="J284" s="0" t="inlineStr">
        <is>
          <t xml:space="preserve">residual</t>
        </is>
      </c>
      <c r="K284" s="5">
        <v>0</v>
      </c>
      <c r="L284" s="5">
        <v>0</v>
      </c>
      <c r="M284" s="5">
        <v>0.0</v>
      </c>
      <c r="N284" s="5">
        <v>0.0</v>
      </c>
      <c r="O284" s="5">
        <v>0.0</v>
      </c>
      <c r="P284" s="5">
        <v>0.0</v>
      </c>
      <c r="Q284" s="5">
        <v>0.0</v>
      </c>
    </row>
    <row r="285" outlineLevel="1">
      <c r="B285" s="0" t="inlineStr">
        <is>
          <t xml:space="preserve">BRAZONICS, INC.</t>
        </is>
      </c>
      <c r="C285" s="0" t="inlineStr">
        <is>
          <t xml:space="preserve">XZQMCCC6P5T6</t>
        </is>
      </c>
      <c r="D285" s="0" t="inlineStr">
        <is>
          <t xml:space="preserve">-</t>
        </is>
      </c>
      <c r="E285" s="0" t="inlineStr">
        <is>
          <t xml:space="preserve">-</t>
        </is>
      </c>
      <c r="F285" s="0" t="inlineStr">
        <is>
          <t xml:space="preserve">-</t>
        </is>
      </c>
      <c r="G285" s="5">
        <v>4.40524</v>
      </c>
      <c r="H285" s="0" t="inlineStr">
        <is>
          <t xml:space="preserve">supplier</t>
        </is>
      </c>
      <c r="I285" s="0" t="inlineStr">
        <is>
          <t xml:space="preserve">unbucketed</t>
        </is>
      </c>
      <c r="J285" s="0" t="inlineStr">
        <is>
          <t xml:space="preserve">residual</t>
        </is>
      </c>
      <c r="K285" s="5">
        <v>0</v>
      </c>
      <c r="L285" s="5">
        <v>0</v>
      </c>
      <c r="M285" s="5">
        <v>0.0</v>
      </c>
      <c r="N285" s="5">
        <v>0.0</v>
      </c>
      <c r="O285" s="5">
        <v>0.0</v>
      </c>
      <c r="P285" s="5">
        <v>0.0</v>
      </c>
      <c r="Q285" s="5">
        <v>0.0</v>
      </c>
    </row>
    <row r="286" outlineLevel="1">
      <c r="B286" s="0" t="inlineStr">
        <is>
          <t xml:space="preserve">JA MOODY LLC</t>
        </is>
      </c>
      <c r="C286" s="0" t="inlineStr">
        <is>
          <t xml:space="preserve">LR2HQKYJLDZ7</t>
        </is>
      </c>
      <c r="D286" s="0" t="inlineStr">
        <is>
          <t xml:space="preserve">USA</t>
        </is>
      </c>
      <c r="E286" s="0" t="inlineStr">
        <is>
          <t xml:space="preserve">4238</t>
        </is>
      </c>
      <c r="F286" s="0" t="inlineStr">
        <is>
          <t xml:space="preserve">Industrial Machinery and Equipment Merchant Wholesalers</t>
        </is>
      </c>
      <c r="G286" s="5">
        <v>4.348934</v>
      </c>
      <c r="H286" s="0" t="inlineStr">
        <is>
          <t xml:space="preserve">supplier</t>
        </is>
      </c>
      <c r="I286" s="0" t="inlineStr">
        <is>
          <t xml:space="preserve">unbucketed</t>
        </is>
      </c>
      <c r="J286" s="0" t="inlineStr">
        <is>
          <t xml:space="preserve">registry</t>
        </is>
      </c>
      <c r="K286" s="5">
        <v>0</v>
      </c>
      <c r="L286" s="5">
        <v>0</v>
      </c>
      <c r="M286" s="5">
        <v>4.061332</v>
      </c>
      <c r="N286" s="5">
        <v>0.0</v>
      </c>
      <c r="O286" s="5">
        <v>0.0</v>
      </c>
      <c r="P286" s="5">
        <v>0.0</v>
      </c>
      <c r="Q286" s="5">
        <v>3.970082</v>
      </c>
    </row>
    <row r="287" outlineLevel="1">
      <c r="B287" s="0" t="inlineStr">
        <is>
          <t xml:space="preserve">EAST COAST REPAIR &amp; FABRICATION, L.L.C.</t>
        </is>
      </c>
      <c r="C287" s="0" t="inlineStr">
        <is>
          <t xml:space="preserve">WRLNL96Z2KE4</t>
        </is>
      </c>
      <c r="D287" s="0" t="inlineStr">
        <is>
          <t xml:space="preserve">-</t>
        </is>
      </c>
      <c r="E287" s="0" t="inlineStr">
        <is>
          <t xml:space="preserve">-</t>
        </is>
      </c>
      <c r="F287" s="0" t="inlineStr">
        <is>
          <t xml:space="preserve">-</t>
        </is>
      </c>
      <c r="G287" s="5">
        <v>4.328078</v>
      </c>
      <c r="H287" s="0" t="inlineStr">
        <is>
          <t xml:space="preserve">supplier</t>
        </is>
      </c>
      <c r="I287" s="0" t="inlineStr">
        <is>
          <t xml:space="preserve">unbucketed</t>
        </is>
      </c>
      <c r="J287" s="0" t="inlineStr">
        <is>
          <t xml:space="preserve">residual</t>
        </is>
      </c>
      <c r="K287" s="5">
        <v>0</v>
      </c>
      <c r="L287" s="5">
        <v>0</v>
      </c>
      <c r="M287" s="5">
        <v>0.0</v>
      </c>
      <c r="N287" s="5">
        <v>0.0</v>
      </c>
      <c r="O287" s="5">
        <v>0.0</v>
      </c>
      <c r="P287" s="5">
        <v>0.0</v>
      </c>
      <c r="Q287" s="5">
        <v>0.0</v>
      </c>
    </row>
    <row r="288" outlineLevel="1">
      <c r="B288" s="0" t="inlineStr">
        <is>
          <t xml:space="preserve">ESI ACQUISITION CORP</t>
        </is>
      </c>
      <c r="C288" s="0" t="inlineStr">
        <is>
          <t xml:space="preserve">LR2HQKYJLDZ7</t>
        </is>
      </c>
      <c r="D288" s="0" t="inlineStr">
        <is>
          <t xml:space="preserve">USA</t>
        </is>
      </c>
      <c r="E288" s="0" t="inlineStr">
        <is>
          <t xml:space="preserve">4238</t>
        </is>
      </c>
      <c r="F288" s="0" t="inlineStr">
        <is>
          <t xml:space="preserve">Industrial Machinery and Equipment Merchant Wholesalers</t>
        </is>
      </c>
      <c r="G288" s="5">
        <v>4.31369953</v>
      </c>
      <c r="H288" s="0" t="inlineStr">
        <is>
          <t xml:space="preserve">supplier</t>
        </is>
      </c>
      <c r="I288" s="0" t="inlineStr">
        <is>
          <t xml:space="preserve">unbucketed</t>
        </is>
      </c>
      <c r="J288" s="0" t="inlineStr">
        <is>
          <t xml:space="preserve">registry</t>
        </is>
      </c>
      <c r="K288" s="5">
        <v>0</v>
      </c>
      <c r="L288" s="5">
        <v>0</v>
      </c>
      <c r="M288" s="5">
        <v>3.7583225300000005</v>
      </c>
      <c r="N288" s="5">
        <v>0.24638500000000002</v>
      </c>
      <c r="O288" s="5">
        <v>3.041221530000001</v>
      </c>
      <c r="P288" s="5">
        <v>0.4453479999999999</v>
      </c>
      <c r="Q288" s="5">
        <v>0.025368</v>
      </c>
    </row>
    <row r="289" outlineLevel="1">
      <c r="B289" s="0" t="inlineStr">
        <is>
          <t xml:space="preserve">BBA AVIATION PLC</t>
        </is>
      </c>
      <c r="C289" s="0" t="inlineStr">
        <is>
          <t xml:space="preserve">GMLHMNMB79G9</t>
        </is>
      </c>
      <c r="D289" s="0" t="inlineStr">
        <is>
          <t xml:space="preserve">-</t>
        </is>
      </c>
      <c r="E289" s="0" t="inlineStr">
        <is>
          <t xml:space="preserve">-</t>
        </is>
      </c>
      <c r="F289" s="0" t="inlineStr">
        <is>
          <t xml:space="preserve">-</t>
        </is>
      </c>
      <c r="G289" s="5">
        <v>4.28311584</v>
      </c>
      <c r="H289" s="0" t="inlineStr">
        <is>
          <t xml:space="preserve">supplier</t>
        </is>
      </c>
      <c r="I289" s="0" t="inlineStr">
        <is>
          <t xml:space="preserve">unbucketed</t>
        </is>
      </c>
      <c r="J289" s="0" t="inlineStr">
        <is>
          <t xml:space="preserve">residual</t>
        </is>
      </c>
      <c r="K289" s="5">
        <v>0</v>
      </c>
      <c r="L289" s="5">
        <v>0</v>
      </c>
      <c r="M289" s="5">
        <v>0.0</v>
      </c>
      <c r="N289" s="5">
        <v>0.0</v>
      </c>
      <c r="O289" s="5">
        <v>0.0</v>
      </c>
      <c r="P289" s="5">
        <v>0.0</v>
      </c>
      <c r="Q289" s="5">
        <v>0.0</v>
      </c>
    </row>
    <row r="290" outlineLevel="1">
      <c r="B290" s="0" t="inlineStr">
        <is>
          <t xml:space="preserve">MICRO MODE PRODUCTS INC</t>
        </is>
      </c>
      <c r="C290" s="0" t="inlineStr">
        <is>
          <t xml:space="preserve">Q4J5MACCLQR3</t>
        </is>
      </c>
      <c r="D290" s="0" t="inlineStr">
        <is>
          <t xml:space="preserve">-</t>
        </is>
      </c>
      <c r="E290" s="0" t="inlineStr">
        <is>
          <t xml:space="preserve">-</t>
        </is>
      </c>
      <c r="F290" s="0" t="inlineStr">
        <is>
          <t xml:space="preserve">-</t>
        </is>
      </c>
      <c r="G290" s="5">
        <v>4.281155000000001</v>
      </c>
      <c r="H290" s="0" t="inlineStr">
        <is>
          <t xml:space="preserve">supplier</t>
        </is>
      </c>
      <c r="I290" s="0" t="inlineStr">
        <is>
          <t xml:space="preserve">unbucketed</t>
        </is>
      </c>
      <c r="J290" s="0" t="inlineStr">
        <is>
          <t xml:space="preserve">residual</t>
        </is>
      </c>
      <c r="K290" s="5">
        <v>0</v>
      </c>
      <c r="L290" s="5">
        <v>0</v>
      </c>
      <c r="M290" s="5">
        <v>0.0</v>
      </c>
      <c r="N290" s="5">
        <v>0.0</v>
      </c>
      <c r="O290" s="5">
        <v>0.0</v>
      </c>
      <c r="P290" s="5">
        <v>0.0</v>
      </c>
      <c r="Q290" s="5">
        <v>0.0</v>
      </c>
    </row>
    <row r="291" outlineLevel="1">
      <c r="B291" s="0" t="inlineStr">
        <is>
          <t xml:space="preserve">B&amp;G MANUFACTURING CO., INC.</t>
        </is>
      </c>
      <c r="C291" s="0" t="inlineStr">
        <is>
          <t xml:space="preserve">MXDKLLXB3EK7</t>
        </is>
      </c>
      <c r="D291" s="0" t="inlineStr">
        <is>
          <t xml:space="preserve">-</t>
        </is>
      </c>
      <c r="E291" s="0" t="inlineStr">
        <is>
          <t xml:space="preserve">-</t>
        </is>
      </c>
      <c r="F291" s="0" t="inlineStr">
        <is>
          <t xml:space="preserve">-</t>
        </is>
      </c>
      <c r="G291" s="5">
        <v>4.243688489999999</v>
      </c>
      <c r="H291" s="0" t="inlineStr">
        <is>
          <t xml:space="preserve">supplier</t>
        </is>
      </c>
      <c r="I291" s="0" t="inlineStr">
        <is>
          <t xml:space="preserve">unbucketed</t>
        </is>
      </c>
      <c r="J291" s="0" t="inlineStr">
        <is>
          <t xml:space="preserve">residual</t>
        </is>
      </c>
      <c r="K291" s="5">
        <v>0</v>
      </c>
      <c r="L291" s="5">
        <v>0</v>
      </c>
      <c r="M291" s="5">
        <v>0.0</v>
      </c>
      <c r="N291" s="5">
        <v>0.0</v>
      </c>
      <c r="O291" s="5">
        <v>0.0</v>
      </c>
      <c r="P291" s="5">
        <v>0.0</v>
      </c>
      <c r="Q291" s="5">
        <v>0.0</v>
      </c>
    </row>
    <row r="292" outlineLevel="1">
      <c r="B292" s="0" t="inlineStr">
        <is>
          <t xml:space="preserve">TTI INC.</t>
        </is>
      </c>
      <c r="C292" s="0" t="inlineStr">
        <is>
          <t xml:space="preserve">U6JRN865H4E3</t>
        </is>
      </c>
      <c r="D292" s="0" t="inlineStr">
        <is>
          <t xml:space="preserve">USA</t>
        </is>
      </c>
      <c r="E292" s="0" t="inlineStr">
        <is>
          <t xml:space="preserve">4236</t>
        </is>
      </c>
      <c r="F292" s="0" t="inlineStr">
        <is>
          <t xml:space="preserve">Other Electronic Parts and Equipment Merchant Wholesalers</t>
        </is>
      </c>
      <c r="G292" s="5">
        <v>4.23729389</v>
      </c>
      <c r="H292" s="0" t="inlineStr">
        <is>
          <t xml:space="preserve">service</t>
        </is>
      </c>
      <c r="I292" s="0" t="inlineStr">
        <is>
          <t xml:space="preserve">-</t>
        </is>
      </c>
      <c r="J292" s="0" t="inlineStr">
        <is>
          <t xml:space="preserve">service NAICS</t>
        </is>
      </c>
      <c r="K292" s="5">
        <v>0</v>
      </c>
      <c r="L292" s="5">
        <v>0</v>
      </c>
      <c r="M292" s="5">
        <v>0.0</v>
      </c>
      <c r="N292" s="5">
        <v>0.0</v>
      </c>
      <c r="O292" s="5">
        <v>0.0</v>
      </c>
      <c r="P292" s="5">
        <v>0.0</v>
      </c>
      <c r="Q292" s="5">
        <v>0.0</v>
      </c>
    </row>
    <row r="293" outlineLevel="1">
      <c r="B293" s="0" t="inlineStr">
        <is>
          <t xml:space="preserve">QORVO, INC.</t>
        </is>
      </c>
      <c r="C293" s="0" t="inlineStr">
        <is>
          <t xml:space="preserve">XJDBBAYPDNK3</t>
        </is>
      </c>
      <c r="D293" s="0" t="inlineStr">
        <is>
          <t xml:space="preserve">-</t>
        </is>
      </c>
      <c r="E293" s="0" t="inlineStr">
        <is>
          <t xml:space="preserve">-</t>
        </is>
      </c>
      <c r="F293" s="0" t="inlineStr">
        <is>
          <t xml:space="preserve">-</t>
        </is>
      </c>
      <c r="G293" s="5">
        <v>4.2342571300000005</v>
      </c>
      <c r="H293" s="0" t="inlineStr">
        <is>
          <t xml:space="preserve">supplier</t>
        </is>
      </c>
      <c r="I293" s="0" t="inlineStr">
        <is>
          <t xml:space="preserve">unbucketed</t>
        </is>
      </c>
      <c r="J293" s="0" t="inlineStr">
        <is>
          <t xml:space="preserve">residual</t>
        </is>
      </c>
      <c r="K293" s="5">
        <v>0</v>
      </c>
      <c r="L293" s="5">
        <v>0</v>
      </c>
      <c r="M293" s="5">
        <v>0.0</v>
      </c>
      <c r="N293" s="5">
        <v>0.0</v>
      </c>
      <c r="O293" s="5">
        <v>0.0</v>
      </c>
      <c r="P293" s="5">
        <v>0.0</v>
      </c>
      <c r="Q293" s="5">
        <v>0.0</v>
      </c>
    </row>
    <row r="294" outlineLevel="1">
      <c r="B294" s="0" t="inlineStr">
        <is>
          <t xml:space="preserve">ARROW ELECTRONICS INC</t>
        </is>
      </c>
      <c r="C294" s="0" t="inlineStr">
        <is>
          <t xml:space="preserve">CD2FBNHK3ME1</t>
        </is>
      </c>
      <c r="D294" s="0" t="inlineStr">
        <is>
          <t xml:space="preserve">USA</t>
        </is>
      </c>
      <c r="E294" s="0" t="inlineStr">
        <is>
          <t xml:space="preserve">4236</t>
        </is>
      </c>
      <c r="F294" s="0" t="inlineStr">
        <is>
          <t xml:space="preserve">Other Electronic Parts and Equipment Merchant Wholesalers</t>
        </is>
      </c>
      <c r="G294" s="5">
        <v>4.20664077</v>
      </c>
      <c r="H294" s="0" t="inlineStr">
        <is>
          <t xml:space="preserve">service</t>
        </is>
      </c>
      <c r="I294" s="0" t="inlineStr">
        <is>
          <t xml:space="preserve">-</t>
        </is>
      </c>
      <c r="J294" s="0" t="inlineStr">
        <is>
          <t xml:space="preserve">service NAICS</t>
        </is>
      </c>
      <c r="K294" s="5">
        <v>0</v>
      </c>
      <c r="L294" s="5">
        <v>0</v>
      </c>
      <c r="M294" s="5">
        <v>0.0</v>
      </c>
      <c r="N294" s="5">
        <v>0.0</v>
      </c>
      <c r="O294" s="5">
        <v>0.0</v>
      </c>
      <c r="P294" s="5">
        <v>0.0</v>
      </c>
      <c r="Q294" s="5">
        <v>0.0</v>
      </c>
    </row>
    <row r="295" outlineLevel="1">
      <c r="B295" s="0" t="inlineStr">
        <is>
          <t xml:space="preserve">SCHNEIDER ELECTRIC SE</t>
        </is>
      </c>
      <c r="C295" s="0" t="inlineStr">
        <is>
          <t xml:space="preserve">MDH6KH9D4SG7</t>
        </is>
      </c>
      <c r="D295" s="0" t="inlineStr">
        <is>
          <t xml:space="preserve">-</t>
        </is>
      </c>
      <c r="E295" s="0" t="inlineStr">
        <is>
          <t xml:space="preserve">-</t>
        </is>
      </c>
      <c r="F295" s="0" t="inlineStr">
        <is>
          <t xml:space="preserve">-</t>
        </is>
      </c>
      <c r="G295" s="5">
        <v>4.169484100000001</v>
      </c>
      <c r="H295" s="0" t="inlineStr">
        <is>
          <t xml:space="preserve">supplier</t>
        </is>
      </c>
      <c r="I295" s="0" t="inlineStr">
        <is>
          <t xml:space="preserve">unbucketed</t>
        </is>
      </c>
      <c r="J295" s="0" t="inlineStr">
        <is>
          <t xml:space="preserve">residual</t>
        </is>
      </c>
      <c r="K295" s="5">
        <v>0</v>
      </c>
      <c r="L295" s="5">
        <v>0</v>
      </c>
      <c r="M295" s="5">
        <v>4.169484100000001</v>
      </c>
      <c r="N295" s="5">
        <v>0.0</v>
      </c>
      <c r="O295" s="5">
        <v>0.0</v>
      </c>
      <c r="P295" s="5">
        <v>0.0</v>
      </c>
      <c r="Q295" s="5">
        <v>0.0</v>
      </c>
    </row>
    <row r="296" outlineLevel="1">
      <c r="B296" s="0" t="inlineStr">
        <is>
          <t xml:space="preserve">MIDCON CABLES CO., INC.</t>
        </is>
      </c>
      <c r="C296" s="0" t="inlineStr">
        <is>
          <t xml:space="preserve">NTACVMVCDCA6</t>
        </is>
      </c>
      <c r="D296" s="0" t="inlineStr">
        <is>
          <t xml:space="preserve">-</t>
        </is>
      </c>
      <c r="E296" s="0" t="inlineStr">
        <is>
          <t xml:space="preserve">-</t>
        </is>
      </c>
      <c r="F296" s="0" t="inlineStr">
        <is>
          <t xml:space="preserve">-</t>
        </is>
      </c>
      <c r="G296" s="5">
        <v>4.146333</v>
      </c>
      <c r="H296" s="0" t="inlineStr">
        <is>
          <t xml:space="preserve">supplier</t>
        </is>
      </c>
      <c r="I296" s="0" t="inlineStr">
        <is>
          <t xml:space="preserve">unbucketed</t>
        </is>
      </c>
      <c r="J296" s="0" t="inlineStr">
        <is>
          <t xml:space="preserve">residual</t>
        </is>
      </c>
      <c r="K296" s="5">
        <v>0</v>
      </c>
      <c r="L296" s="5">
        <v>0</v>
      </c>
      <c r="M296" s="5">
        <v>0.0</v>
      </c>
      <c r="N296" s="5">
        <v>0.0</v>
      </c>
      <c r="O296" s="5">
        <v>0.0</v>
      </c>
      <c r="P296" s="5">
        <v>0.0</v>
      </c>
      <c r="Q296" s="5">
        <v>0.0</v>
      </c>
    </row>
    <row r="297" outlineLevel="1">
      <c r="B297" s="0" t="inlineStr">
        <is>
          <t xml:space="preserve">FILTRATION GROUP CORPORATION</t>
        </is>
      </c>
      <c r="C297" s="0" t="inlineStr">
        <is>
          <t xml:space="preserve">TSCZLHCGNQ53</t>
        </is>
      </c>
      <c r="D297" s="0" t="inlineStr">
        <is>
          <t xml:space="preserve">-</t>
        </is>
      </c>
      <c r="E297" s="0" t="inlineStr">
        <is>
          <t xml:space="preserve">-</t>
        </is>
      </c>
      <c r="F297" s="0" t="inlineStr">
        <is>
          <t xml:space="preserve">-</t>
        </is>
      </c>
      <c r="G297" s="5">
        <v>4.139306769999999</v>
      </c>
      <c r="H297" s="0" t="inlineStr">
        <is>
          <t xml:space="preserve">supplier</t>
        </is>
      </c>
      <c r="I297" s="0" t="inlineStr">
        <is>
          <t xml:space="preserve">unbucketed</t>
        </is>
      </c>
      <c r="J297" s="0" t="inlineStr">
        <is>
          <t xml:space="preserve">residual</t>
        </is>
      </c>
      <c r="K297" s="5">
        <v>0</v>
      </c>
      <c r="L297" s="5">
        <v>0</v>
      </c>
      <c r="M297" s="5">
        <v>4.139306769999999</v>
      </c>
      <c r="N297" s="5">
        <v>0.0</v>
      </c>
      <c r="O297" s="5">
        <v>0.0</v>
      </c>
      <c r="P297" s="5">
        <v>0.0</v>
      </c>
      <c r="Q297" s="5">
        <v>0.0</v>
      </c>
    </row>
    <row r="298" outlineLevel="1">
      <c r="B298" s="0" t="inlineStr">
        <is>
          <t xml:space="preserve">JOHNSON CONTROLS INTERNATIONAL PUBLIC LIMITED COMPANY</t>
        </is>
      </c>
      <c r="C298" s="0" t="inlineStr">
        <is>
          <t xml:space="preserve">H1PAVTLJBJ88</t>
        </is>
      </c>
      <c r="D298" s="0" t="inlineStr">
        <is>
          <t xml:space="preserve">-</t>
        </is>
      </c>
      <c r="E298" s="0" t="inlineStr">
        <is>
          <t xml:space="preserve">-</t>
        </is>
      </c>
      <c r="F298" s="0" t="inlineStr">
        <is>
          <t xml:space="preserve">-</t>
        </is>
      </c>
      <c r="G298" s="5">
        <v>4.13591114</v>
      </c>
      <c r="H298" s="0" t="inlineStr">
        <is>
          <t xml:space="preserve">supplier</t>
        </is>
      </c>
      <c r="I298" s="0" t="inlineStr">
        <is>
          <t xml:space="preserve">unbucketed</t>
        </is>
      </c>
      <c r="J298" s="0" t="inlineStr">
        <is>
          <t xml:space="preserve">residual</t>
        </is>
      </c>
      <c r="K298" s="5">
        <v>0</v>
      </c>
      <c r="L298" s="5">
        <v>0</v>
      </c>
      <c r="M298" s="5">
        <v>4.13591114</v>
      </c>
      <c r="N298" s="5">
        <v>0.40746846000000003</v>
      </c>
      <c r="O298" s="5">
        <v>0.0</v>
      </c>
      <c r="P298" s="5">
        <v>0.0</v>
      </c>
      <c r="Q298" s="5">
        <v>0.0</v>
      </c>
    </row>
    <row r="299" outlineLevel="1">
      <c r="B299" s="0" t="inlineStr">
        <is>
          <t xml:space="preserve">RAYTHEON TECHNOLOGIES CORPORATION</t>
        </is>
      </c>
      <c r="C299" s="0" t="inlineStr">
        <is>
          <t xml:space="preserve">CBMZJ3Z5SC89</t>
        </is>
      </c>
      <c r="D299" s="0" t="inlineStr">
        <is>
          <t xml:space="preserve">-</t>
        </is>
      </c>
      <c r="E299" s="0" t="inlineStr">
        <is>
          <t xml:space="preserve">-</t>
        </is>
      </c>
      <c r="F299" s="0" t="inlineStr">
        <is>
          <t xml:space="preserve">-</t>
        </is>
      </c>
      <c r="G299" s="5">
        <v>4.131666000000001</v>
      </c>
      <c r="H299" s="0" t="inlineStr">
        <is>
          <t xml:space="preserve">supplier</t>
        </is>
      </c>
      <c r="I299" s="0" t="inlineStr">
        <is>
          <t xml:space="preserve">coatings</t>
        </is>
      </c>
      <c r="J299" s="0" t="inlineStr">
        <is>
          <t xml:space="preserve">registry</t>
        </is>
      </c>
      <c r="K299" s="5">
        <v>0</v>
      </c>
      <c r="L299" s="5">
        <v>0</v>
      </c>
      <c r="M299" s="5">
        <v>0.35418499999999997</v>
      </c>
      <c r="N299" s="5">
        <v>0.031857</v>
      </c>
      <c r="O299" s="5">
        <v>0.231755</v>
      </c>
      <c r="P299" s="5">
        <v>0.0</v>
      </c>
      <c r="Q299" s="5">
        <v>0.0</v>
      </c>
    </row>
    <row r="300" outlineLevel="1">
      <c r="B300" s="0" t="inlineStr">
        <is>
          <t xml:space="preserve">W. &amp; O. SUPPLY, INC.</t>
        </is>
      </c>
      <c r="C300" s="0" t="inlineStr">
        <is>
          <t xml:space="preserve">LGVPVLMRHH51</t>
        </is>
      </c>
      <c r="D300" s="0" t="inlineStr">
        <is>
          <t xml:space="preserve">-</t>
        </is>
      </c>
      <c r="E300" s="0" t="inlineStr">
        <is>
          <t xml:space="preserve">-</t>
        </is>
      </c>
      <c r="F300" s="0" t="inlineStr">
        <is>
          <t xml:space="preserve">-</t>
        </is>
      </c>
      <c r="G300" s="5">
        <v>4.110263769999999</v>
      </c>
      <c r="H300" s="0" t="inlineStr">
        <is>
          <t xml:space="preserve">supplier</t>
        </is>
      </c>
      <c r="I300" s="0" t="inlineStr">
        <is>
          <t xml:space="preserve">piping</t>
        </is>
      </c>
      <c r="J300" s="0" t="inlineStr">
        <is>
          <t xml:space="preserve">registry</t>
        </is>
      </c>
      <c r="K300" s="5">
        <v>0</v>
      </c>
      <c r="L300" s="5">
        <v>0</v>
      </c>
      <c r="M300" s="5">
        <v>4.110263769999999</v>
      </c>
      <c r="N300" s="5">
        <v>0.21184301</v>
      </c>
      <c r="O300" s="5">
        <v>1.39746581</v>
      </c>
      <c r="P300" s="5">
        <v>0.26325</v>
      </c>
      <c r="Q300" s="5">
        <v>2.18310915</v>
      </c>
    </row>
    <row r="301" outlineLevel="1">
      <c r="B301" s="0" t="inlineStr">
        <is>
          <t xml:space="preserve">ARROW ELECTRONICS, INC.</t>
        </is>
      </c>
      <c r="C301" s="0" t="inlineStr">
        <is>
          <t xml:space="preserve">MMNLXEEA2TH8</t>
        </is>
      </c>
      <c r="D301" s="0" t="inlineStr">
        <is>
          <t xml:space="preserve">USA</t>
        </is>
      </c>
      <c r="E301" s="0" t="inlineStr">
        <is>
          <t xml:space="preserve">4236</t>
        </is>
      </c>
      <c r="F301" s="0" t="inlineStr">
        <is>
          <t xml:space="preserve">Other Electronic Parts and Equipment Merchant Wholesalers</t>
        </is>
      </c>
      <c r="G301" s="5">
        <v>4.08620612</v>
      </c>
      <c r="H301" s="0" t="inlineStr">
        <is>
          <t xml:space="preserve">service</t>
        </is>
      </c>
      <c r="I301" s="0" t="inlineStr">
        <is>
          <t xml:space="preserve">-</t>
        </is>
      </c>
      <c r="J301" s="0" t="inlineStr">
        <is>
          <t xml:space="preserve">service NAICS</t>
        </is>
      </c>
      <c r="K301" s="5">
        <v>0</v>
      </c>
      <c r="L301" s="5">
        <v>0</v>
      </c>
      <c r="M301" s="5">
        <v>0.0</v>
      </c>
      <c r="N301" s="5">
        <v>0.0</v>
      </c>
      <c r="O301" s="5">
        <v>0.0</v>
      </c>
      <c r="P301" s="5">
        <v>0.0</v>
      </c>
      <c r="Q301" s="5">
        <v>0.0</v>
      </c>
    </row>
    <row r="302" outlineLevel="1">
      <c r="B302" s="0" t="inlineStr">
        <is>
          <t xml:space="preserve">AMP UNITED, LLC</t>
        </is>
      </c>
      <c r="C302" s="0" t="inlineStr">
        <is>
          <t xml:space="preserve">JCZMSDNMSW57</t>
        </is>
      </c>
      <c r="D302" s="0" t="inlineStr">
        <is>
          <t xml:space="preserve">-</t>
        </is>
      </c>
      <c r="E302" s="0" t="inlineStr">
        <is>
          <t xml:space="preserve">-</t>
        </is>
      </c>
      <c r="F302" s="0" t="inlineStr">
        <is>
          <t xml:space="preserve">-</t>
        </is>
      </c>
      <c r="G302" s="5">
        <v>4.083487</v>
      </c>
      <c r="H302" s="0" t="inlineStr">
        <is>
          <t xml:space="preserve">supplier</t>
        </is>
      </c>
      <c r="I302" s="0" t="inlineStr">
        <is>
          <t xml:space="preserve">unbucketed</t>
        </is>
      </c>
      <c r="J302" s="0" t="inlineStr">
        <is>
          <t xml:space="preserve">residual</t>
        </is>
      </c>
      <c r="K302" s="5">
        <v>0</v>
      </c>
      <c r="L302" s="5">
        <v>0</v>
      </c>
      <c r="M302" s="5">
        <v>0.0</v>
      </c>
      <c r="N302" s="5">
        <v>0.0</v>
      </c>
      <c r="O302" s="5">
        <v>0.0</v>
      </c>
      <c r="P302" s="5">
        <v>0.0</v>
      </c>
      <c r="Q302" s="5">
        <v>0.0</v>
      </c>
    </row>
    <row r="303" outlineLevel="1">
      <c r="B303" s="0" t="inlineStr">
        <is>
          <t xml:space="preserve">MAGNETIKA/EAST LIMITED PARTNERSHIP</t>
        </is>
      </c>
      <c r="C303" s="0" t="inlineStr">
        <is>
          <t xml:space="preserve">RNDDKACH69Z4</t>
        </is>
      </c>
      <c r="D303" s="0" t="inlineStr">
        <is>
          <t xml:space="preserve">-</t>
        </is>
      </c>
      <c r="E303" s="0" t="inlineStr">
        <is>
          <t xml:space="preserve">-</t>
        </is>
      </c>
      <c r="F303" s="0" t="inlineStr">
        <is>
          <t xml:space="preserve">-</t>
        </is>
      </c>
      <c r="G303" s="5">
        <v>4.079427999999999</v>
      </c>
      <c r="H303" s="0" t="inlineStr">
        <is>
          <t xml:space="preserve">supplier</t>
        </is>
      </c>
      <c r="I303" s="0" t="inlineStr">
        <is>
          <t xml:space="preserve">unbucketed</t>
        </is>
      </c>
      <c r="J303" s="0" t="inlineStr">
        <is>
          <t xml:space="preserve">residual</t>
        </is>
      </c>
      <c r="K303" s="5">
        <v>0</v>
      </c>
      <c r="L303" s="5">
        <v>0</v>
      </c>
      <c r="M303" s="5">
        <v>0.0</v>
      </c>
      <c r="N303" s="5">
        <v>0.0</v>
      </c>
      <c r="O303" s="5">
        <v>0.0</v>
      </c>
      <c r="P303" s="5">
        <v>0.0</v>
      </c>
      <c r="Q303" s="5">
        <v>0.0</v>
      </c>
    </row>
    <row r="304" outlineLevel="1">
      <c r="B304" s="0" t="inlineStr">
        <is>
          <t xml:space="preserve">RAYTHEON COMPANY</t>
        </is>
      </c>
      <c r="C304" s="0" t="inlineStr">
        <is>
          <t xml:space="preserve">ENC9Y8JGL3E9</t>
        </is>
      </c>
      <c r="D304" s="0" t="inlineStr">
        <is>
          <t xml:space="preserve">-</t>
        </is>
      </c>
      <c r="E304" s="0" t="inlineStr">
        <is>
          <t xml:space="preserve">-</t>
        </is>
      </c>
      <c r="F304" s="0" t="inlineStr">
        <is>
          <t xml:space="preserve">-</t>
        </is>
      </c>
      <c r="G304" s="5">
        <v>3.99882063</v>
      </c>
      <c r="H304" s="0" t="inlineStr">
        <is>
          <t xml:space="preserve">gfe_mib</t>
        </is>
      </c>
      <c r="I304" s="0" t="inlineStr">
        <is>
          <t xml:space="preserve">-</t>
        </is>
      </c>
      <c r="J304" s="0" t="inlineStr">
        <is>
          <t xml:space="preserve">GFE/MIB name</t>
        </is>
      </c>
      <c r="K304" s="5">
        <v>0</v>
      </c>
      <c r="L304" s="5">
        <v>0</v>
      </c>
      <c r="M304" s="5">
        <v>0.0</v>
      </c>
      <c r="N304" s="5">
        <v>0.0</v>
      </c>
      <c r="O304" s="5">
        <v>0.0</v>
      </c>
      <c r="P304" s="5">
        <v>0.0</v>
      </c>
      <c r="Q304" s="5">
        <v>0.0</v>
      </c>
    </row>
    <row r="305" outlineLevel="1">
      <c r="B305" s="0" t="inlineStr">
        <is>
          <t xml:space="preserve">PROPULSION CONTROLS ENGINEERING</t>
        </is>
      </c>
      <c r="C305" s="0" t="inlineStr">
        <is>
          <t xml:space="preserve">UK8DL82MHJG5</t>
        </is>
      </c>
      <c r="D305" s="0" t="inlineStr">
        <is>
          <t xml:space="preserve">-</t>
        </is>
      </c>
      <c r="E305" s="0" t="inlineStr">
        <is>
          <t xml:space="preserve">-</t>
        </is>
      </c>
      <c r="F305" s="0" t="inlineStr">
        <is>
          <t xml:space="preserve">-</t>
        </is>
      </c>
      <c r="G305" s="5">
        <v>3.9855570000000005</v>
      </c>
      <c r="H305" s="0" t="inlineStr">
        <is>
          <t xml:space="preserve">supplier</t>
        </is>
      </c>
      <c r="I305" s="0" t="inlineStr">
        <is>
          <t xml:space="preserve">unbucketed</t>
        </is>
      </c>
      <c r="J305" s="0" t="inlineStr">
        <is>
          <t xml:space="preserve">residual</t>
        </is>
      </c>
      <c r="K305" s="5">
        <v>0</v>
      </c>
      <c r="L305" s="5">
        <v>0</v>
      </c>
      <c r="M305" s="5">
        <v>2.7995760000000005</v>
      </c>
      <c r="N305" s="5">
        <v>0.523153</v>
      </c>
      <c r="O305" s="5">
        <v>0.6410929999999999</v>
      </c>
      <c r="P305" s="5">
        <v>0.0</v>
      </c>
      <c r="Q305" s="5">
        <v>0.0</v>
      </c>
    </row>
    <row r="306" outlineLevel="1">
      <c r="B306" s="0" t="inlineStr">
        <is>
          <t xml:space="preserve">BERKSHIRE HATHAWAY INC.</t>
        </is>
      </c>
      <c r="C306" s="0" t="inlineStr">
        <is>
          <t xml:space="preserve">U6JRN865H4E3</t>
        </is>
      </c>
      <c r="D306" s="0" t="inlineStr">
        <is>
          <t xml:space="preserve">USA</t>
        </is>
      </c>
      <c r="E306" s="0" t="inlineStr">
        <is>
          <t xml:space="preserve">4236</t>
        </is>
      </c>
      <c r="F306" s="0" t="inlineStr">
        <is>
          <t xml:space="preserve">Other Electronic Parts and Equipment Merchant Wholesalers</t>
        </is>
      </c>
      <c r="G306" s="5">
        <v>3.984968720000001</v>
      </c>
      <c r="H306" s="0" t="inlineStr">
        <is>
          <t xml:space="preserve">service</t>
        </is>
      </c>
      <c r="I306" s="0" t="inlineStr">
        <is>
          <t xml:space="preserve">-</t>
        </is>
      </c>
      <c r="J306" s="0" t="inlineStr">
        <is>
          <t xml:space="preserve">service NAICS</t>
        </is>
      </c>
      <c r="K306" s="5">
        <v>0</v>
      </c>
      <c r="L306" s="5">
        <v>0</v>
      </c>
      <c r="M306" s="5">
        <v>0.0</v>
      </c>
      <c r="N306" s="5">
        <v>0.0</v>
      </c>
      <c r="O306" s="5">
        <v>0.0</v>
      </c>
      <c r="P306" s="5">
        <v>0.0</v>
      </c>
      <c r="Q306" s="5">
        <v>0.0</v>
      </c>
    </row>
    <row r="307" outlineLevel="1">
      <c r="B307" s="0" t="inlineStr">
        <is>
          <t xml:space="preserve">GLENAIR, INC.</t>
        </is>
      </c>
      <c r="C307" s="0" t="inlineStr">
        <is>
          <t xml:space="preserve">YVBHN7GKLQ44</t>
        </is>
      </c>
      <c r="D307" s="0" t="inlineStr">
        <is>
          <t xml:space="preserve">USA</t>
        </is>
      </c>
      <c r="E307" s="0" t="inlineStr">
        <is>
          <t xml:space="preserve">3359</t>
        </is>
      </c>
      <c r="F307" s="0" t="inlineStr">
        <is>
          <t xml:space="preserve">Other Communication and Energy Wire Manufacturing</t>
        </is>
      </c>
      <c r="G307" s="5">
        <v>3.9410857400000006</v>
      </c>
      <c r="H307" s="0" t="inlineStr">
        <is>
          <t xml:space="preserve">supplier</t>
        </is>
      </c>
      <c r="I307" s="0" t="inlineStr">
        <is>
          <t xml:space="preserve">electrical</t>
        </is>
      </c>
      <c r="J307" s="0" t="inlineStr">
        <is>
          <t xml:space="preserve">naics4</t>
        </is>
      </c>
      <c r="K307" s="5">
        <v>0</v>
      </c>
      <c r="L307" s="5">
        <v>0</v>
      </c>
      <c r="M307" s="5">
        <v>0.0</v>
      </c>
      <c r="N307" s="5">
        <v>0.0</v>
      </c>
      <c r="O307" s="5">
        <v>0.0</v>
      </c>
      <c r="P307" s="5">
        <v>0.0</v>
      </c>
      <c r="Q307" s="5">
        <v>0.0</v>
      </c>
    </row>
    <row r="308" outlineLevel="1">
      <c r="B308" s="0" t="inlineStr">
        <is>
          <t xml:space="preserve">SETRA SYSTEMS, INC.</t>
        </is>
      </c>
      <c r="C308" s="0" t="inlineStr">
        <is>
          <t xml:space="preserve">M4ANYAZ8Q6H8</t>
        </is>
      </c>
      <c r="D308" s="0" t="inlineStr">
        <is>
          <t xml:space="preserve">-</t>
        </is>
      </c>
      <c r="E308" s="0" t="inlineStr">
        <is>
          <t xml:space="preserve">-</t>
        </is>
      </c>
      <c r="F308" s="0" t="inlineStr">
        <is>
          <t xml:space="preserve">-</t>
        </is>
      </c>
      <c r="G308" s="5">
        <v>3.9131345600000005</v>
      </c>
      <c r="H308" s="0" t="inlineStr">
        <is>
          <t xml:space="preserve">supplier</t>
        </is>
      </c>
      <c r="I308" s="0" t="inlineStr">
        <is>
          <t xml:space="preserve">unbucketed</t>
        </is>
      </c>
      <c r="J308" s="0" t="inlineStr">
        <is>
          <t xml:space="preserve">residual</t>
        </is>
      </c>
      <c r="K308" s="5">
        <v>0</v>
      </c>
      <c r="L308" s="5">
        <v>0</v>
      </c>
      <c r="M308" s="5">
        <v>3.9131345600000005</v>
      </c>
      <c r="N308" s="5">
        <v>0.0</v>
      </c>
      <c r="O308" s="5">
        <v>0.0</v>
      </c>
      <c r="P308" s="5">
        <v>1.4213925600000001</v>
      </c>
      <c r="Q308" s="5">
        <v>0.21822500000000003</v>
      </c>
    </row>
    <row r="309" outlineLevel="1">
      <c r="B309" s="0" t="inlineStr">
        <is>
          <t xml:space="preserve">IMIA, LLC</t>
        </is>
      </c>
      <c r="C309" s="0" t="inlineStr">
        <is>
          <t xml:space="preserve">EDNNTCM7SUS8</t>
        </is>
      </c>
      <c r="D309" s="0" t="inlineStr">
        <is>
          <t xml:space="preserve">-</t>
        </is>
      </c>
      <c r="E309" s="0" t="inlineStr">
        <is>
          <t xml:space="preserve">-</t>
        </is>
      </c>
      <c r="F309" s="0" t="inlineStr">
        <is>
          <t xml:space="preserve">-</t>
        </is>
      </c>
      <c r="G309" s="5">
        <v>3.8980619299999995</v>
      </c>
      <c r="H309" s="0" t="inlineStr">
        <is>
          <t xml:space="preserve">supplier</t>
        </is>
      </c>
      <c r="I309" s="0" t="inlineStr">
        <is>
          <t xml:space="preserve">unbucketed</t>
        </is>
      </c>
      <c r="J309" s="0" t="inlineStr">
        <is>
          <t xml:space="preserve">residual</t>
        </is>
      </c>
      <c r="K309" s="5">
        <v>0</v>
      </c>
      <c r="L309" s="5">
        <v>0</v>
      </c>
      <c r="M309" s="5">
        <v>3.6719271</v>
      </c>
      <c r="N309" s="5">
        <v>0.0</v>
      </c>
      <c r="O309" s="5">
        <v>0.0</v>
      </c>
      <c r="P309" s="5">
        <v>2.4606909</v>
      </c>
      <c r="Q309" s="5">
        <v>1.2112362000000003</v>
      </c>
    </row>
    <row r="310" outlineLevel="1">
      <c r="B310" s="0" t="inlineStr">
        <is>
          <t xml:space="preserve">TTM TECHNOLOGIES, INC.</t>
        </is>
      </c>
      <c r="C310" s="0" t="inlineStr">
        <is>
          <t xml:space="preserve">RETUYZCSXLP7</t>
        </is>
      </c>
      <c r="D310" s="0" t="inlineStr">
        <is>
          <t xml:space="preserve">USA</t>
        </is>
      </c>
      <c r="E310" s="0" t="inlineStr">
        <is>
          <t xml:space="preserve">3344</t>
        </is>
      </c>
      <c r="F310" s="0" t="inlineStr">
        <is>
          <t xml:space="preserve">Bare Printed Circuit Board Manufacturing</t>
        </is>
      </c>
      <c r="G310" s="5">
        <v>3.896401680000001</v>
      </c>
      <c r="H310" s="0" t="inlineStr">
        <is>
          <t xml:space="preserve">supplier</t>
        </is>
      </c>
      <c r="I310" s="0" t="inlineStr">
        <is>
          <t xml:space="preserve">unbucketed</t>
        </is>
      </c>
      <c r="J310" s="0" t="inlineStr">
        <is>
          <t xml:space="preserve">residual</t>
        </is>
      </c>
      <c r="K310" s="5">
        <v>0</v>
      </c>
      <c r="L310" s="5">
        <v>0</v>
      </c>
      <c r="M310" s="5">
        <v>0.0</v>
      </c>
      <c r="N310" s="5">
        <v>0.0</v>
      </c>
      <c r="O310" s="5">
        <v>0.0</v>
      </c>
      <c r="P310" s="5">
        <v>0.0</v>
      </c>
      <c r="Q310" s="5">
        <v>0.0</v>
      </c>
    </row>
    <row r="311" outlineLevel="1">
      <c r="B311" s="0" t="inlineStr">
        <is>
          <t xml:space="preserve">ARNOLD MAGNETICS CORPORATION</t>
        </is>
      </c>
      <c r="C311" s="0" t="inlineStr">
        <is>
          <t xml:space="preserve">RK6GKSXPC8W7</t>
        </is>
      </c>
      <c r="D311" s="0" t="inlineStr">
        <is>
          <t xml:space="preserve">-</t>
        </is>
      </c>
      <c r="E311" s="0" t="inlineStr">
        <is>
          <t xml:space="preserve">-</t>
        </is>
      </c>
      <c r="F311" s="0" t="inlineStr">
        <is>
          <t xml:space="preserve">-</t>
        </is>
      </c>
      <c r="G311" s="5">
        <v>3.8949683999999998</v>
      </c>
      <c r="H311" s="0" t="inlineStr">
        <is>
          <t xml:space="preserve">supplier</t>
        </is>
      </c>
      <c r="I311" s="0" t="inlineStr">
        <is>
          <t xml:space="preserve">unbucketed</t>
        </is>
      </c>
      <c r="J311" s="0" t="inlineStr">
        <is>
          <t xml:space="preserve">residual</t>
        </is>
      </c>
      <c r="K311" s="5">
        <v>0</v>
      </c>
      <c r="L311" s="5">
        <v>0</v>
      </c>
      <c r="M311" s="5">
        <v>0.0</v>
      </c>
      <c r="N311" s="5">
        <v>0.0</v>
      </c>
      <c r="O311" s="5">
        <v>0.0</v>
      </c>
      <c r="P311" s="5">
        <v>0.0</v>
      </c>
      <c r="Q311" s="5">
        <v>0.0</v>
      </c>
    </row>
    <row r="312" outlineLevel="1">
      <c r="B312" s="0" t="inlineStr">
        <is>
          <t xml:space="preserve">MTK ELECTRONICS INC</t>
        </is>
      </c>
      <c r="C312" s="0" t="inlineStr">
        <is>
          <t xml:space="preserve">HNBVLFD51NM9</t>
        </is>
      </c>
      <c r="D312" s="0" t="inlineStr">
        <is>
          <t xml:space="preserve">-</t>
        </is>
      </c>
      <c r="E312" s="0" t="inlineStr">
        <is>
          <t xml:space="preserve">-</t>
        </is>
      </c>
      <c r="F312" s="0" t="inlineStr">
        <is>
          <t xml:space="preserve">-</t>
        </is>
      </c>
      <c r="G312" s="5">
        <v>3.8818849700000015</v>
      </c>
      <c r="H312" s="0" t="inlineStr">
        <is>
          <t xml:space="preserve">supplier</t>
        </is>
      </c>
      <c r="I312" s="0" t="inlineStr">
        <is>
          <t xml:space="preserve">unbucketed</t>
        </is>
      </c>
      <c r="J312" s="0" t="inlineStr">
        <is>
          <t xml:space="preserve">residual</t>
        </is>
      </c>
      <c r="K312" s="5">
        <v>0</v>
      </c>
      <c r="L312" s="5">
        <v>0</v>
      </c>
      <c r="M312" s="5">
        <v>0.0</v>
      </c>
      <c r="N312" s="5">
        <v>0.0</v>
      </c>
      <c r="O312" s="5">
        <v>0.0</v>
      </c>
      <c r="P312" s="5">
        <v>0.0</v>
      </c>
      <c r="Q312" s="5">
        <v>0.0</v>
      </c>
    </row>
    <row r="313" outlineLevel="1">
      <c r="B313" s="0" t="inlineStr">
        <is>
          <t xml:space="preserve">COBHAM EXETER INC.</t>
        </is>
      </c>
      <c r="C313" s="0" t="inlineStr">
        <is>
          <t xml:space="preserve">VNP2L293JWL6</t>
        </is>
      </c>
      <c r="D313" s="0" t="inlineStr">
        <is>
          <t xml:space="preserve">-</t>
        </is>
      </c>
      <c r="E313" s="0" t="inlineStr">
        <is>
          <t xml:space="preserve">-</t>
        </is>
      </c>
      <c r="F313" s="0" t="inlineStr">
        <is>
          <t xml:space="preserve">-</t>
        </is>
      </c>
      <c r="G313" s="5">
        <v>3.87664722</v>
      </c>
      <c r="H313" s="0" t="inlineStr">
        <is>
          <t xml:space="preserve">mission_systems</t>
        </is>
      </c>
      <c r="I313" s="0" t="inlineStr">
        <is>
          <t xml:space="preserve">-</t>
        </is>
      </c>
      <c r="J313" s="0" t="inlineStr">
        <is>
          <t xml:space="preserve">registry</t>
        </is>
      </c>
      <c r="K313" s="5">
        <v>0</v>
      </c>
      <c r="L313" s="5">
        <v>0</v>
      </c>
      <c r="M313" s="5">
        <v>0.0</v>
      </c>
      <c r="N313" s="5">
        <v>0.0</v>
      </c>
      <c r="O313" s="5">
        <v>0.0</v>
      </c>
      <c r="P313" s="5">
        <v>0.0</v>
      </c>
      <c r="Q313" s="5">
        <v>0.0</v>
      </c>
    </row>
    <row r="314" outlineLevel="1">
      <c r="B314" s="0" t="inlineStr">
        <is>
          <t xml:space="preserve">EATON CORPORATION PUBLIC LIMITED COMPANY</t>
        </is>
      </c>
      <c r="C314" s="0" t="inlineStr">
        <is>
          <t xml:space="preserve">PUZ1NCWDC719</t>
        </is>
      </c>
      <c r="D314" s="0" t="inlineStr">
        <is>
          <t xml:space="preserve">-</t>
        </is>
      </c>
      <c r="E314" s="0" t="inlineStr">
        <is>
          <t xml:space="preserve">-</t>
        </is>
      </c>
      <c r="F314" s="0" t="inlineStr">
        <is>
          <t xml:space="preserve">-</t>
        </is>
      </c>
      <c r="G314" s="5">
        <v>3.8664514</v>
      </c>
      <c r="H314" s="0" t="inlineStr">
        <is>
          <t xml:space="preserve">supplier</t>
        </is>
      </c>
      <c r="I314" s="0" t="inlineStr">
        <is>
          <t xml:space="preserve">unbucketed</t>
        </is>
      </c>
      <c r="J314" s="0" t="inlineStr">
        <is>
          <t xml:space="preserve">residual</t>
        </is>
      </c>
      <c r="K314" s="5">
        <v>0</v>
      </c>
      <c r="L314" s="5">
        <v>0</v>
      </c>
      <c r="M314" s="5">
        <v>0.0</v>
      </c>
      <c r="N314" s="5">
        <v>0.0</v>
      </c>
      <c r="O314" s="5">
        <v>0.0</v>
      </c>
      <c r="P314" s="5">
        <v>0.0</v>
      </c>
      <c r="Q314" s="5">
        <v>0.0</v>
      </c>
    </row>
    <row r="315" outlineLevel="1">
      <c r="B315" s="0" t="inlineStr">
        <is>
          <t xml:space="preserve">TOTALENERGIES SE</t>
        </is>
      </c>
      <c r="C315" s="0" t="inlineStr">
        <is>
          <t xml:space="preserve">N5BYYW3MMFP7</t>
        </is>
      </c>
      <c r="D315" s="0" t="inlineStr">
        <is>
          <t xml:space="preserve">-</t>
        </is>
      </c>
      <c r="E315" s="0" t="inlineStr">
        <is>
          <t xml:space="preserve">-</t>
        </is>
      </c>
      <c r="F315" s="0" t="inlineStr">
        <is>
          <t xml:space="preserve">-</t>
        </is>
      </c>
      <c r="G315" s="5">
        <v>3.865682</v>
      </c>
      <c r="H315" s="0" t="inlineStr">
        <is>
          <t xml:space="preserve">supplier</t>
        </is>
      </c>
      <c r="I315" s="0" t="inlineStr">
        <is>
          <t xml:space="preserve">coatings</t>
        </is>
      </c>
      <c r="J315" s="0" t="inlineStr">
        <is>
          <t xml:space="preserve">registry</t>
        </is>
      </c>
      <c r="K315" s="5">
        <v>0</v>
      </c>
      <c r="L315" s="5">
        <v>0</v>
      </c>
      <c r="M315" s="5">
        <v>0.0</v>
      </c>
      <c r="N315" s="5">
        <v>0.0</v>
      </c>
      <c r="O315" s="5">
        <v>0.0</v>
      </c>
      <c r="P315" s="5">
        <v>0.0</v>
      </c>
      <c r="Q315" s="5">
        <v>0.0</v>
      </c>
    </row>
    <row r="316" outlineLevel="1">
      <c r="B316" s="0" t="inlineStr">
        <is>
          <t xml:space="preserve">MILWAUKEE VALVE COMPANY, INC.</t>
        </is>
      </c>
      <c r="C316" s="0" t="inlineStr">
        <is>
          <t xml:space="preserve">MC77SUMRLXY5</t>
        </is>
      </c>
      <c r="D316" s="0" t="inlineStr">
        <is>
          <t xml:space="preserve">-</t>
        </is>
      </c>
      <c r="E316" s="0" t="inlineStr">
        <is>
          <t xml:space="preserve">-</t>
        </is>
      </c>
      <c r="F316" s="0" t="inlineStr">
        <is>
          <t xml:space="preserve">-</t>
        </is>
      </c>
      <c r="G316" s="5">
        <v>3.8470771700000013</v>
      </c>
      <c r="H316" s="0" t="inlineStr">
        <is>
          <t xml:space="preserve">supplier</t>
        </is>
      </c>
      <c r="I316" s="0" t="inlineStr">
        <is>
          <t xml:space="preserve">piping</t>
        </is>
      </c>
      <c r="J316" s="0" t="inlineStr">
        <is>
          <t xml:space="preserve">registry</t>
        </is>
      </c>
      <c r="K316" s="5">
        <v>0</v>
      </c>
      <c r="L316" s="5">
        <v>0</v>
      </c>
      <c r="M316" s="5">
        <v>3.8470771700000013</v>
      </c>
      <c r="N316" s="5">
        <v>0.0</v>
      </c>
      <c r="O316" s="5">
        <v>0.9626320399999999</v>
      </c>
      <c r="P316" s="5">
        <v>0.0</v>
      </c>
      <c r="Q316" s="5">
        <v>0.0</v>
      </c>
    </row>
    <row r="317" outlineLevel="1">
      <c r="B317" s="0" t="inlineStr">
        <is>
          <t xml:space="preserve">LEXAIR INC</t>
        </is>
      </c>
      <c r="C317" s="0" t="inlineStr">
        <is>
          <t xml:space="preserve">D3QEMKB2X4N5</t>
        </is>
      </c>
      <c r="D317" s="0" t="inlineStr">
        <is>
          <t xml:space="preserve">-</t>
        </is>
      </c>
      <c r="E317" s="0" t="inlineStr">
        <is>
          <t xml:space="preserve">-</t>
        </is>
      </c>
      <c r="F317" s="0" t="inlineStr">
        <is>
          <t xml:space="preserve">-</t>
        </is>
      </c>
      <c r="G317" s="5">
        <v>3.843087</v>
      </c>
      <c r="H317" s="0" t="inlineStr">
        <is>
          <t xml:space="preserve">supplier</t>
        </is>
      </c>
      <c r="I317" s="0" t="inlineStr">
        <is>
          <t xml:space="preserve">unbucketed</t>
        </is>
      </c>
      <c r="J317" s="0" t="inlineStr">
        <is>
          <t xml:space="preserve">residual</t>
        </is>
      </c>
      <c r="K317" s="5">
        <v>0</v>
      </c>
      <c r="L317" s="5">
        <v>0</v>
      </c>
      <c r="M317" s="5">
        <v>3.843087</v>
      </c>
      <c r="N317" s="5">
        <v>0.0</v>
      </c>
      <c r="O317" s="5">
        <v>1.8298</v>
      </c>
      <c r="P317" s="5">
        <v>0.0</v>
      </c>
      <c r="Q317" s="5">
        <v>2.013287</v>
      </c>
    </row>
    <row r="318" outlineLevel="1">
      <c r="B318" s="0" t="inlineStr">
        <is>
          <t xml:space="preserve">TVAR SOLUTIONS, LLC</t>
        </is>
      </c>
      <c r="C318" s="0" t="inlineStr">
        <is>
          <t xml:space="preserve">E7XWKERHVVD9</t>
        </is>
      </c>
      <c r="D318" s="0" t="inlineStr">
        <is>
          <t xml:space="preserve">-</t>
        </is>
      </c>
      <c r="E318" s="0" t="inlineStr">
        <is>
          <t xml:space="preserve">-</t>
        </is>
      </c>
      <c r="F318" s="0" t="inlineStr">
        <is>
          <t xml:space="preserve">-</t>
        </is>
      </c>
      <c r="G318" s="5">
        <v>3.821685</v>
      </c>
      <c r="H318" s="0" t="inlineStr">
        <is>
          <t xml:space="preserve">supplier</t>
        </is>
      </c>
      <c r="I318" s="0" t="inlineStr">
        <is>
          <t xml:space="preserve">unbucketed</t>
        </is>
      </c>
      <c r="J318" s="0" t="inlineStr">
        <is>
          <t xml:space="preserve">residual</t>
        </is>
      </c>
      <c r="K318" s="5">
        <v>0</v>
      </c>
      <c r="L318" s="5">
        <v>0</v>
      </c>
      <c r="M318" s="5">
        <v>0.0</v>
      </c>
      <c r="N318" s="5">
        <v>0.0</v>
      </c>
      <c r="O318" s="5">
        <v>0.0</v>
      </c>
      <c r="P318" s="5">
        <v>0.0</v>
      </c>
      <c r="Q318" s="5">
        <v>0.0</v>
      </c>
    </row>
    <row r="319" outlineLevel="1">
      <c r="B319" s="0" t="inlineStr">
        <is>
          <t xml:space="preserve">AQUA-CHEM, INC.</t>
        </is>
      </c>
      <c r="C319" s="0" t="inlineStr">
        <is>
          <t xml:space="preserve">E3YNKWRANZ18</t>
        </is>
      </c>
      <c r="D319" s="0" t="inlineStr">
        <is>
          <t xml:space="preserve">-</t>
        </is>
      </c>
      <c r="E319" s="0" t="inlineStr">
        <is>
          <t xml:space="preserve">-</t>
        </is>
      </c>
      <c r="F319" s="0" t="inlineStr">
        <is>
          <t xml:space="preserve">-</t>
        </is>
      </c>
      <c r="G319" s="5">
        <v>3.7590444199999995</v>
      </c>
      <c r="H319" s="0" t="inlineStr">
        <is>
          <t xml:space="preserve">supplier</t>
        </is>
      </c>
      <c r="I319" s="0" t="inlineStr">
        <is>
          <t xml:space="preserve">unbucketed</t>
        </is>
      </c>
      <c r="J319" s="0" t="inlineStr">
        <is>
          <t xml:space="preserve">residual</t>
        </is>
      </c>
      <c r="K319" s="5">
        <v>0</v>
      </c>
      <c r="L319" s="5">
        <v>0</v>
      </c>
      <c r="M319" s="5">
        <v>3.7590444199999995</v>
      </c>
      <c r="N319" s="5">
        <v>0.0</v>
      </c>
      <c r="O319" s="5">
        <v>0.0</v>
      </c>
      <c r="P319" s="5">
        <v>3.3085499999999994</v>
      </c>
      <c r="Q319" s="5">
        <v>0.0</v>
      </c>
    </row>
    <row r="320" outlineLevel="1">
      <c r="B320" s="0" t="inlineStr">
        <is>
          <t xml:space="preserve">CORNELL-CARR CO., INC.</t>
        </is>
      </c>
      <c r="C320" s="0" t="inlineStr">
        <is>
          <t xml:space="preserve">JRHJJRY6DWK3</t>
        </is>
      </c>
      <c r="D320" s="0" t="inlineStr">
        <is>
          <t xml:space="preserve">-</t>
        </is>
      </c>
      <c r="E320" s="0" t="inlineStr">
        <is>
          <t xml:space="preserve">-</t>
        </is>
      </c>
      <c r="F320" s="0" t="inlineStr">
        <is>
          <t xml:space="preserve">-</t>
        </is>
      </c>
      <c r="G320" s="5">
        <v>3.75752903</v>
      </c>
      <c r="H320" s="0" t="inlineStr">
        <is>
          <t xml:space="preserve">supplier</t>
        </is>
      </c>
      <c r="I320" s="0" t="inlineStr">
        <is>
          <t xml:space="preserve">unbucketed</t>
        </is>
      </c>
      <c r="J320" s="0" t="inlineStr">
        <is>
          <t xml:space="preserve">residual</t>
        </is>
      </c>
      <c r="K320" s="5">
        <v>0</v>
      </c>
      <c r="L320" s="5">
        <v>0</v>
      </c>
      <c r="M320" s="5">
        <v>3.6511990300000003</v>
      </c>
      <c r="N320" s="5">
        <v>0.0</v>
      </c>
      <c r="O320" s="5">
        <v>0.88910328</v>
      </c>
      <c r="P320" s="5">
        <v>0.87254875</v>
      </c>
      <c r="Q320" s="5">
        <v>0.0</v>
      </c>
    </row>
    <row r="321" outlineLevel="1">
      <c r="B321" s="0" t="inlineStr">
        <is>
          <t xml:space="preserve">REMTEC INC</t>
        </is>
      </c>
      <c r="C321" s="0" t="inlineStr">
        <is>
          <t xml:space="preserve">W3JAYMPSP864</t>
        </is>
      </c>
      <c r="D321" s="0" t="inlineStr">
        <is>
          <t xml:space="preserve">-</t>
        </is>
      </c>
      <c r="E321" s="0" t="inlineStr">
        <is>
          <t xml:space="preserve">-</t>
        </is>
      </c>
      <c r="F321" s="0" t="inlineStr">
        <is>
          <t xml:space="preserve">-</t>
        </is>
      </c>
      <c r="G321" s="5">
        <v>3.757386999999999</v>
      </c>
      <c r="H321" s="0" t="inlineStr">
        <is>
          <t xml:space="preserve">supplier</t>
        </is>
      </c>
      <c r="I321" s="0" t="inlineStr">
        <is>
          <t xml:space="preserve">unbucketed</t>
        </is>
      </c>
      <c r="J321" s="0" t="inlineStr">
        <is>
          <t xml:space="preserve">residual</t>
        </is>
      </c>
      <c r="K321" s="5">
        <v>0</v>
      </c>
      <c r="L321" s="5">
        <v>0</v>
      </c>
      <c r="M321" s="5">
        <v>0.0</v>
      </c>
      <c r="N321" s="5">
        <v>0.0</v>
      </c>
      <c r="O321" s="5">
        <v>0.0</v>
      </c>
      <c r="P321" s="5">
        <v>0.0</v>
      </c>
      <c r="Q321" s="5">
        <v>0.0</v>
      </c>
    </row>
    <row r="322" outlineLevel="1">
      <c r="B322" s="0" t="inlineStr">
        <is>
          <t xml:space="preserve">OPTIMA STANTRON CORP.</t>
        </is>
      </c>
      <c r="C322" s="0" t="inlineStr">
        <is>
          <t xml:space="preserve">SWB8H4CX8JA1</t>
        </is>
      </c>
      <c r="D322" s="0" t="inlineStr">
        <is>
          <t xml:space="preserve">-</t>
        </is>
      </c>
      <c r="E322" s="0" t="inlineStr">
        <is>
          <t xml:space="preserve">-</t>
        </is>
      </c>
      <c r="F322" s="0" t="inlineStr">
        <is>
          <t xml:space="preserve">-</t>
        </is>
      </c>
      <c r="G322" s="5">
        <v>3.744788</v>
      </c>
      <c r="H322" s="0" t="inlineStr">
        <is>
          <t xml:space="preserve">supplier</t>
        </is>
      </c>
      <c r="I322" s="0" t="inlineStr">
        <is>
          <t xml:space="preserve">structural</t>
        </is>
      </c>
      <c r="J322" s="0" t="inlineStr">
        <is>
          <t xml:space="preserve">registry</t>
        </is>
      </c>
      <c r="K322" s="5">
        <v>0</v>
      </c>
      <c r="L322" s="5">
        <v>0</v>
      </c>
      <c r="M322" s="5">
        <v>0.0</v>
      </c>
      <c r="N322" s="5">
        <v>0.0</v>
      </c>
      <c r="O322" s="5">
        <v>0.0</v>
      </c>
      <c r="P322" s="5">
        <v>0.0</v>
      </c>
      <c r="Q322" s="5">
        <v>0.0</v>
      </c>
    </row>
    <row r="323" outlineLevel="1">
      <c r="B323" s="0" t="inlineStr">
        <is>
          <t xml:space="preserve">OPHIR RF, INC.</t>
        </is>
      </c>
      <c r="C323" s="0" t="inlineStr">
        <is>
          <t xml:space="preserve">M8NBRKLUNG51</t>
        </is>
      </c>
      <c r="D323" s="0" t="inlineStr">
        <is>
          <t xml:space="preserve">-</t>
        </is>
      </c>
      <c r="E323" s="0" t="inlineStr">
        <is>
          <t xml:space="preserve">-</t>
        </is>
      </c>
      <c r="F323" s="0" t="inlineStr">
        <is>
          <t xml:space="preserve">-</t>
        </is>
      </c>
      <c r="G323" s="5">
        <v>3.7102470000000003</v>
      </c>
      <c r="H323" s="0" t="inlineStr">
        <is>
          <t xml:space="preserve">supplier</t>
        </is>
      </c>
      <c r="I323" s="0" t="inlineStr">
        <is>
          <t xml:space="preserve">unbucketed</t>
        </is>
      </c>
      <c r="J323" s="0" t="inlineStr">
        <is>
          <t xml:space="preserve">residual</t>
        </is>
      </c>
      <c r="K323" s="5">
        <v>0</v>
      </c>
      <c r="L323" s="5">
        <v>0</v>
      </c>
      <c r="M323" s="5">
        <v>0.0</v>
      </c>
      <c r="N323" s="5">
        <v>0.0</v>
      </c>
      <c r="O323" s="5">
        <v>0.0</v>
      </c>
      <c r="P323" s="5">
        <v>0.0</v>
      </c>
      <c r="Q323" s="5">
        <v>0.0</v>
      </c>
    </row>
    <row r="324" outlineLevel="1">
      <c r="B324" s="0" t="inlineStr">
        <is>
          <t xml:space="preserve">BIRD-JOHNSON PROPELLER COMPANY, LLC</t>
        </is>
      </c>
      <c r="C324" s="0" t="inlineStr">
        <is>
          <t xml:space="preserve">Y9LLF354DH36</t>
        </is>
      </c>
      <c r="D324" s="0" t="inlineStr">
        <is>
          <t xml:space="preserve">-</t>
        </is>
      </c>
      <c r="E324" s="0" t="inlineStr">
        <is>
          <t xml:space="preserve">-</t>
        </is>
      </c>
      <c r="F324" s="0" t="inlineStr">
        <is>
          <t xml:space="preserve">-</t>
        </is>
      </c>
      <c r="G324" s="5">
        <v>3.698282</v>
      </c>
      <c r="H324" s="0" t="inlineStr">
        <is>
          <t xml:space="preserve">supplier</t>
        </is>
      </c>
      <c r="I324" s="0" t="inlineStr">
        <is>
          <t xml:space="preserve">unbucketed</t>
        </is>
      </c>
      <c r="J324" s="0" t="inlineStr">
        <is>
          <t xml:space="preserve">residual</t>
        </is>
      </c>
      <c r="K324" s="5">
        <v>0</v>
      </c>
      <c r="L324" s="5">
        <v>0</v>
      </c>
      <c r="M324" s="5">
        <v>3.698282</v>
      </c>
      <c r="N324" s="5">
        <v>0.0</v>
      </c>
      <c r="O324" s="5">
        <v>0.0</v>
      </c>
      <c r="P324" s="5">
        <v>0.0</v>
      </c>
      <c r="Q324" s="5">
        <v>0.0</v>
      </c>
    </row>
    <row r="325" outlineLevel="1">
      <c r="B325" s="0" t="inlineStr">
        <is>
          <t xml:space="preserve">FEDTECH INC</t>
        </is>
      </c>
      <c r="C325" s="0" t="inlineStr">
        <is>
          <t xml:space="preserve">GV95CCPKRQX1</t>
        </is>
      </c>
      <c r="D325" s="0" t="inlineStr">
        <is>
          <t xml:space="preserve">-</t>
        </is>
      </c>
      <c r="E325" s="0" t="inlineStr">
        <is>
          <t xml:space="preserve">-</t>
        </is>
      </c>
      <c r="F325" s="0" t="inlineStr">
        <is>
          <t xml:space="preserve">-</t>
        </is>
      </c>
      <c r="G325" s="5">
        <v>3.6971674500000007</v>
      </c>
      <c r="H325" s="0" t="inlineStr">
        <is>
          <t xml:space="preserve">supplier</t>
        </is>
      </c>
      <c r="I325" s="0" t="inlineStr">
        <is>
          <t xml:space="preserve">unbucketed</t>
        </is>
      </c>
      <c r="J325" s="0" t="inlineStr">
        <is>
          <t xml:space="preserve">residual</t>
        </is>
      </c>
      <c r="K325" s="5">
        <v>0</v>
      </c>
      <c r="L325" s="5">
        <v>0</v>
      </c>
      <c r="M325" s="5">
        <v>0.0</v>
      </c>
      <c r="N325" s="5">
        <v>0.0</v>
      </c>
      <c r="O325" s="5">
        <v>0.0</v>
      </c>
      <c r="P325" s="5">
        <v>0.0</v>
      </c>
      <c r="Q325" s="5">
        <v>0.0</v>
      </c>
    </row>
    <row r="326" outlineLevel="1">
      <c r="B326" s="0" t="inlineStr">
        <is>
          <t xml:space="preserve">CIZION LLC</t>
        </is>
      </c>
      <c r="C326" s="0" t="inlineStr">
        <is>
          <t xml:space="preserve">GUDSCKALM855</t>
        </is>
      </c>
      <c r="D326" s="0" t="inlineStr">
        <is>
          <t xml:space="preserve">-</t>
        </is>
      </c>
      <c r="E326" s="0" t="inlineStr">
        <is>
          <t xml:space="preserve">-</t>
        </is>
      </c>
      <c r="F326" s="0" t="inlineStr">
        <is>
          <t xml:space="preserve">-</t>
        </is>
      </c>
      <c r="G326" s="5">
        <v>3.688779909999999</v>
      </c>
      <c r="H326" s="0" t="inlineStr">
        <is>
          <t xml:space="preserve">supplier</t>
        </is>
      </c>
      <c r="I326" s="0" t="inlineStr">
        <is>
          <t xml:space="preserve">unbucketed</t>
        </is>
      </c>
      <c r="J326" s="0" t="inlineStr">
        <is>
          <t xml:space="preserve">residual</t>
        </is>
      </c>
      <c r="K326" s="5">
        <v>0</v>
      </c>
      <c r="L326" s="5">
        <v>0</v>
      </c>
      <c r="M326" s="5">
        <v>0.0</v>
      </c>
      <c r="N326" s="5">
        <v>0.0</v>
      </c>
      <c r="O326" s="5">
        <v>0.0</v>
      </c>
      <c r="P326" s="5">
        <v>0.0</v>
      </c>
      <c r="Q326" s="5">
        <v>0.0</v>
      </c>
    </row>
    <row r="327" outlineLevel="1">
      <c r="B327" s="0" t="inlineStr">
        <is>
          <t xml:space="preserve">ARROW ELECTRONICS, INC.</t>
        </is>
      </c>
      <c r="C327" s="0" t="inlineStr">
        <is>
          <t xml:space="preserve">W9DNU9K3MJE5</t>
        </is>
      </c>
      <c r="D327" s="0" t="inlineStr">
        <is>
          <t xml:space="preserve">-</t>
        </is>
      </c>
      <c r="E327" s="0" t="inlineStr">
        <is>
          <t xml:space="preserve">-</t>
        </is>
      </c>
      <c r="F327" s="0" t="inlineStr">
        <is>
          <t xml:space="preserve">-</t>
        </is>
      </c>
      <c r="G327" s="5">
        <v>3.67407685</v>
      </c>
      <c r="H327" s="0" t="inlineStr">
        <is>
          <t xml:space="preserve">supplier</t>
        </is>
      </c>
      <c r="I327" s="0" t="inlineStr">
        <is>
          <t xml:space="preserve">unbucketed</t>
        </is>
      </c>
      <c r="J327" s="0" t="inlineStr">
        <is>
          <t xml:space="preserve">residual</t>
        </is>
      </c>
      <c r="K327" s="5">
        <v>0</v>
      </c>
      <c r="L327" s="5">
        <v>0</v>
      </c>
      <c r="M327" s="5">
        <v>0.0</v>
      </c>
      <c r="N327" s="5">
        <v>0.0</v>
      </c>
      <c r="O327" s="5">
        <v>0.0</v>
      </c>
      <c r="P327" s="5">
        <v>0.0</v>
      </c>
      <c r="Q327" s="5">
        <v>0.0</v>
      </c>
    </row>
    <row r="328" outlineLevel="1">
      <c r="B328" s="0" t="inlineStr">
        <is>
          <t xml:space="preserve">MACKAY CONSOLIDATED INDUSTRIES PTY. LIMITED</t>
        </is>
      </c>
      <c r="C328" s="0" t="inlineStr">
        <is>
          <t xml:space="preserve">R5RFNWBXMSM7</t>
        </is>
      </c>
      <c r="D328" s="0" t="inlineStr">
        <is>
          <t xml:space="preserve">Foreign</t>
        </is>
      </c>
      <c r="E328" s="0" t="inlineStr">
        <is>
          <t xml:space="preserve">-</t>
        </is>
      </c>
      <c r="F328" s="0" t="inlineStr">
        <is>
          <t xml:space="preserve">-</t>
        </is>
      </c>
      <c r="G328" s="5">
        <v>3.66118091</v>
      </c>
      <c r="H328" s="0" t="inlineStr">
        <is>
          <t xml:space="preserve">foreign_fms</t>
        </is>
      </c>
      <c r="I328" s="0" t="inlineStr">
        <is>
          <t xml:space="preserve">-</t>
        </is>
      </c>
      <c r="J328" s="0" t="inlineStr">
        <is>
          <t xml:space="preserve">foreign flag</t>
        </is>
      </c>
      <c r="K328" s="5">
        <v>0</v>
      </c>
      <c r="L328" s="5">
        <v>0</v>
      </c>
      <c r="M328" s="5">
        <v>0.0</v>
      </c>
      <c r="N328" s="5">
        <v>0.0</v>
      </c>
      <c r="O328" s="5">
        <v>0.0</v>
      </c>
      <c r="P328" s="5">
        <v>0.0</v>
      </c>
      <c r="Q328" s="5">
        <v>0.0</v>
      </c>
    </row>
    <row r="329" outlineLevel="1">
      <c r="B329" s="0" t="inlineStr">
        <is>
          <t xml:space="preserve">JUNIPER ELBOW CO INC</t>
        </is>
      </c>
      <c r="C329" s="0" t="inlineStr">
        <is>
          <t xml:space="preserve">KLDTZDR12ZB7</t>
        </is>
      </c>
      <c r="D329" s="0" t="inlineStr">
        <is>
          <t xml:space="preserve">-</t>
        </is>
      </c>
      <c r="E329" s="0" t="inlineStr">
        <is>
          <t xml:space="preserve">-</t>
        </is>
      </c>
      <c r="F329" s="0" t="inlineStr">
        <is>
          <t xml:space="preserve">-</t>
        </is>
      </c>
      <c r="G329" s="5">
        <v>3.6128876699999997</v>
      </c>
      <c r="H329" s="0" t="inlineStr">
        <is>
          <t xml:space="preserve">supplier</t>
        </is>
      </c>
      <c r="I329" s="0" t="inlineStr">
        <is>
          <t xml:space="preserve">unbucketed</t>
        </is>
      </c>
      <c r="J329" s="0" t="inlineStr">
        <is>
          <t xml:space="preserve">residual</t>
        </is>
      </c>
      <c r="K329" s="5">
        <v>0</v>
      </c>
      <c r="L329" s="5">
        <v>0</v>
      </c>
      <c r="M329" s="5">
        <v>3.6128876699999997</v>
      </c>
      <c r="N329" s="5">
        <v>0.0</v>
      </c>
      <c r="O329" s="5">
        <v>0.46034977000000005</v>
      </c>
      <c r="P329" s="5">
        <v>3.1525378999999996</v>
      </c>
      <c r="Q329" s="5">
        <v>0.0</v>
      </c>
    </row>
    <row r="330" outlineLevel="1">
      <c r="B330" s="0" t="inlineStr">
        <is>
          <t xml:space="preserve">TACTICAL ENGINEERING &amp; ANALYSIS INC</t>
        </is>
      </c>
      <c r="C330" s="0" t="inlineStr">
        <is>
          <t xml:space="preserve">V1MVHTMMJNV5</t>
        </is>
      </c>
      <c r="D330" s="0" t="inlineStr">
        <is>
          <t xml:space="preserve">USA</t>
        </is>
      </c>
      <c r="E330" s="0" t="inlineStr">
        <is>
          <t xml:space="preserve">5413</t>
        </is>
      </c>
      <c r="F330" s="0" t="inlineStr">
        <is>
          <t xml:space="preserve">Engineering Services</t>
        </is>
      </c>
      <c r="G330" s="5">
        <v>3.575</v>
      </c>
      <c r="H330" s="0" t="inlineStr">
        <is>
          <t xml:space="preserve">service</t>
        </is>
      </c>
      <c r="I330" s="0" t="inlineStr">
        <is>
          <t xml:space="preserve">-</t>
        </is>
      </c>
      <c r="J330" s="0" t="inlineStr">
        <is>
          <t xml:space="preserve">registry</t>
        </is>
      </c>
      <c r="K330" s="5">
        <v>0</v>
      </c>
      <c r="L330" s="5">
        <v>0</v>
      </c>
      <c r="M330" s="5">
        <v>0.0</v>
      </c>
      <c r="N330" s="5">
        <v>0.0</v>
      </c>
      <c r="O330" s="5">
        <v>0.0</v>
      </c>
      <c r="P330" s="5">
        <v>0.0</v>
      </c>
      <c r="Q330" s="5">
        <v>0.0</v>
      </c>
    </row>
    <row r="331" outlineLevel="1">
      <c r="B331" s="0" t="inlineStr">
        <is>
          <t xml:space="preserve">R.M. PATON NOMINEES PTY. LIMITED</t>
        </is>
      </c>
      <c r="C331" s="0" t="inlineStr">
        <is>
          <t xml:space="preserve">R5RFNWBXMSM7</t>
        </is>
      </c>
      <c r="D331" s="0" t="inlineStr">
        <is>
          <t xml:space="preserve">Foreign</t>
        </is>
      </c>
      <c r="E331" s="0" t="inlineStr">
        <is>
          <t xml:space="preserve">-</t>
        </is>
      </c>
      <c r="F331" s="0" t="inlineStr">
        <is>
          <t xml:space="preserve">-</t>
        </is>
      </c>
      <c r="G331" s="5">
        <v>3.5749755000000003</v>
      </c>
      <c r="H331" s="0" t="inlineStr">
        <is>
          <t xml:space="preserve">foreign_fms</t>
        </is>
      </c>
      <c r="I331" s="0" t="inlineStr">
        <is>
          <t xml:space="preserve">-</t>
        </is>
      </c>
      <c r="J331" s="0" t="inlineStr">
        <is>
          <t xml:space="preserve">foreign flag</t>
        </is>
      </c>
      <c r="K331" s="5">
        <v>0</v>
      </c>
      <c r="L331" s="5">
        <v>0</v>
      </c>
      <c r="M331" s="5">
        <v>0.0</v>
      </c>
      <c r="N331" s="5">
        <v>0.0</v>
      </c>
      <c r="O331" s="5">
        <v>0.0</v>
      </c>
      <c r="P331" s="5">
        <v>0.0</v>
      </c>
      <c r="Q331" s="5">
        <v>0.0</v>
      </c>
    </row>
    <row r="332" outlineLevel="1">
      <c r="B332" s="0" t="inlineStr">
        <is>
          <t xml:space="preserve">B.N.L. INDUSTRIES, INC.</t>
        </is>
      </c>
      <c r="C332" s="0" t="inlineStr">
        <is>
          <t xml:space="preserve">PJRYS7EFXQD9</t>
        </is>
      </c>
      <c r="D332" s="0" t="inlineStr">
        <is>
          <t xml:space="preserve">-</t>
        </is>
      </c>
      <c r="E332" s="0" t="inlineStr">
        <is>
          <t xml:space="preserve">-</t>
        </is>
      </c>
      <c r="F332" s="0" t="inlineStr">
        <is>
          <t xml:space="preserve">-</t>
        </is>
      </c>
      <c r="G332" s="5">
        <v>3.56088693</v>
      </c>
      <c r="H332" s="0" t="inlineStr">
        <is>
          <t xml:space="preserve">supplier</t>
        </is>
      </c>
      <c r="I332" s="0" t="inlineStr">
        <is>
          <t xml:space="preserve">unbucketed</t>
        </is>
      </c>
      <c r="J332" s="0" t="inlineStr">
        <is>
          <t xml:space="preserve">residual</t>
        </is>
      </c>
      <c r="K332" s="5">
        <v>0</v>
      </c>
      <c r="L332" s="5">
        <v>0</v>
      </c>
      <c r="M332" s="5">
        <v>3.56088693</v>
      </c>
      <c r="N332" s="5">
        <v>1.05122</v>
      </c>
      <c r="O332" s="5">
        <v>0.14791700000000002</v>
      </c>
      <c r="P332" s="5">
        <v>0.0</v>
      </c>
      <c r="Q332" s="5">
        <v>0.0</v>
      </c>
    </row>
    <row r="333" outlineLevel="1">
      <c r="B333" s="0" t="inlineStr">
        <is>
          <t xml:space="preserve">HOWDEN NORTH AMERICA INC.</t>
        </is>
      </c>
      <c r="C333" s="0" t="inlineStr">
        <is>
          <t xml:space="preserve">JW6PXX1WALN4</t>
        </is>
      </c>
      <c r="D333" s="0" t="inlineStr">
        <is>
          <t xml:space="preserve">-</t>
        </is>
      </c>
      <c r="E333" s="0" t="inlineStr">
        <is>
          <t xml:space="preserve">-</t>
        </is>
      </c>
      <c r="F333" s="0" t="inlineStr">
        <is>
          <t xml:space="preserve">-</t>
        </is>
      </c>
      <c r="G333" s="5">
        <v>3.5496950000000007</v>
      </c>
      <c r="H333" s="0" t="inlineStr">
        <is>
          <t xml:space="preserve">supplier</t>
        </is>
      </c>
      <c r="I333" s="0" t="inlineStr">
        <is>
          <t xml:space="preserve">hvac</t>
        </is>
      </c>
      <c r="J333" s="0" t="inlineStr">
        <is>
          <t xml:space="preserve">registry</t>
        </is>
      </c>
      <c r="K333" s="5">
        <v>0</v>
      </c>
      <c r="L333" s="5">
        <v>0</v>
      </c>
      <c r="M333" s="5">
        <v>3.5496950000000007</v>
      </c>
      <c r="N333" s="5">
        <v>3.2424280000000003</v>
      </c>
      <c r="O333" s="5">
        <v>0.307267</v>
      </c>
      <c r="P333" s="5">
        <v>0.0</v>
      </c>
      <c r="Q333" s="5">
        <v>0.0</v>
      </c>
    </row>
    <row r="334" outlineLevel="1">
      <c r="B334" s="0" t="inlineStr">
        <is>
          <t xml:space="preserve">SCHLEIFRING NORTH AMERICA, LLC</t>
        </is>
      </c>
      <c r="C334" s="0" t="inlineStr">
        <is>
          <t xml:space="preserve">DNA8LAUX38G8</t>
        </is>
      </c>
      <c r="D334" s="0" t="inlineStr">
        <is>
          <t xml:space="preserve">-</t>
        </is>
      </c>
      <c r="E334" s="0" t="inlineStr">
        <is>
          <t xml:space="preserve">-</t>
        </is>
      </c>
      <c r="F334" s="0" t="inlineStr">
        <is>
          <t xml:space="preserve">-</t>
        </is>
      </c>
      <c r="G334" s="5">
        <v>3.520608</v>
      </c>
      <c r="H334" s="0" t="inlineStr">
        <is>
          <t xml:space="preserve">supplier</t>
        </is>
      </c>
      <c r="I334" s="0" t="inlineStr">
        <is>
          <t xml:space="preserve">unbucketed</t>
        </is>
      </c>
      <c r="J334" s="0" t="inlineStr">
        <is>
          <t xml:space="preserve">residual</t>
        </is>
      </c>
      <c r="K334" s="5">
        <v>0</v>
      </c>
      <c r="L334" s="5">
        <v>0</v>
      </c>
      <c r="M334" s="5">
        <v>0.0</v>
      </c>
      <c r="N334" s="5">
        <v>0.0</v>
      </c>
      <c r="O334" s="5">
        <v>0.0</v>
      </c>
      <c r="P334" s="5">
        <v>0.0</v>
      </c>
      <c r="Q334" s="5">
        <v>0.0</v>
      </c>
    </row>
    <row r="335" outlineLevel="1">
      <c r="B335" s="0" t="inlineStr">
        <is>
          <t xml:space="preserve">CORNING INCORPORATED</t>
        </is>
      </c>
      <c r="C335" s="0" t="inlineStr">
        <is>
          <t xml:space="preserve">GFU8MJ6GLC96</t>
        </is>
      </c>
      <c r="D335" s="0" t="inlineStr">
        <is>
          <t xml:space="preserve">USA</t>
        </is>
      </c>
      <c r="E335" s="0" t="inlineStr">
        <is>
          <t xml:space="preserve">3272</t>
        </is>
      </c>
      <c r="F335" s="0" t="inlineStr">
        <is>
          <t xml:space="preserve">Other Pressed and Blown Glass and Glassware Manufacturing</t>
        </is>
      </c>
      <c r="G335" s="5">
        <v>3.51066247</v>
      </c>
      <c r="H335" s="0" t="inlineStr">
        <is>
          <t xml:space="preserve">supplier</t>
        </is>
      </c>
      <c r="I335" s="0" t="inlineStr">
        <is>
          <t xml:space="preserve">unbucketed</t>
        </is>
      </c>
      <c r="J335" s="0" t="inlineStr">
        <is>
          <t xml:space="preserve">residual</t>
        </is>
      </c>
      <c r="K335" s="5">
        <v>0</v>
      </c>
      <c r="L335" s="5">
        <v>0</v>
      </c>
      <c r="M335" s="5">
        <v>0.0</v>
      </c>
      <c r="N335" s="5">
        <v>0.0</v>
      </c>
      <c r="O335" s="5">
        <v>0.0</v>
      </c>
      <c r="P335" s="5">
        <v>0.0</v>
      </c>
      <c r="Q335" s="5">
        <v>0.0</v>
      </c>
    </row>
    <row r="336" outlineLevel="1">
      <c r="B336" s="0" t="inlineStr">
        <is>
          <t xml:space="preserve">INDUSTRIAL CORROSION CONTROL, INC.</t>
        </is>
      </c>
      <c r="C336" s="0" t="inlineStr">
        <is>
          <t xml:space="preserve">DQ35GXAUTW61</t>
        </is>
      </c>
      <c r="D336" s="0" t="inlineStr">
        <is>
          <t xml:space="preserve">-</t>
        </is>
      </c>
      <c r="E336" s="0" t="inlineStr">
        <is>
          <t xml:space="preserve">-</t>
        </is>
      </c>
      <c r="F336" s="0" t="inlineStr">
        <is>
          <t xml:space="preserve">-</t>
        </is>
      </c>
      <c r="G336" s="5">
        <v>3.5006157200000003</v>
      </c>
      <c r="H336" s="0" t="inlineStr">
        <is>
          <t xml:space="preserve">supplier</t>
        </is>
      </c>
      <c r="I336" s="0" t="inlineStr">
        <is>
          <t xml:space="preserve">coatings</t>
        </is>
      </c>
      <c r="J336" s="0" t="inlineStr">
        <is>
          <t xml:space="preserve">registry</t>
        </is>
      </c>
      <c r="K336" s="5">
        <v>0</v>
      </c>
      <c r="L336" s="5">
        <v>0</v>
      </c>
      <c r="M336" s="5">
        <v>3.5006157200000003</v>
      </c>
      <c r="N336" s="5">
        <v>1.88232912</v>
      </c>
      <c r="O336" s="5">
        <v>0.0</v>
      </c>
      <c r="P336" s="5">
        <v>0.0</v>
      </c>
      <c r="Q336" s="5">
        <v>0.0</v>
      </c>
    </row>
    <row r="337" outlineLevel="1">
      <c r="B337" s="0" t="inlineStr">
        <is>
          <t xml:space="preserve">ALTRA INDUSTRIAL MOTION CORP.</t>
        </is>
      </c>
      <c r="C337" s="0" t="inlineStr">
        <is>
          <t xml:space="preserve">EXKBGDDB8ME9</t>
        </is>
      </c>
      <c r="D337" s="0" t="inlineStr">
        <is>
          <t xml:space="preserve">USA</t>
        </is>
      </c>
      <c r="E337" s="0" t="inlineStr">
        <is>
          <t xml:space="preserve">5511</t>
        </is>
      </c>
      <c r="F337" s="0" t="inlineStr">
        <is>
          <t xml:space="preserve">Corporate, Subsidiary, and Regional Managing Offices</t>
        </is>
      </c>
      <c r="G337" s="5">
        <v>3.485197</v>
      </c>
      <c r="H337" s="0" t="inlineStr">
        <is>
          <t xml:space="preserve">holding</t>
        </is>
      </c>
      <c r="I337" s="0" t="inlineStr">
        <is>
          <t xml:space="preserve">-</t>
        </is>
      </c>
      <c r="J337" s="0" t="inlineStr">
        <is>
          <t xml:space="preserve">holding-co (5511)</t>
        </is>
      </c>
      <c r="K337" s="5">
        <v>0</v>
      </c>
      <c r="L337" s="5">
        <v>0</v>
      </c>
      <c r="M337" s="5">
        <v>0.0</v>
      </c>
      <c r="N337" s="5">
        <v>0.0</v>
      </c>
      <c r="O337" s="5">
        <v>0.0</v>
      </c>
      <c r="P337" s="5">
        <v>0.0</v>
      </c>
      <c r="Q337" s="5">
        <v>0.0</v>
      </c>
    </row>
    <row r="338" outlineLevel="1">
      <c r="B338" s="0" t="inlineStr">
        <is>
          <t xml:space="preserve">WHITING DOOR MANUFACTURING CORP.</t>
        </is>
      </c>
      <c r="C338" s="0" t="inlineStr">
        <is>
          <t xml:space="preserve">FFZLXPAQCMD8</t>
        </is>
      </c>
      <c r="D338" s="0" t="inlineStr">
        <is>
          <t xml:space="preserve">-</t>
        </is>
      </c>
      <c r="E338" s="0" t="inlineStr">
        <is>
          <t xml:space="preserve">-</t>
        </is>
      </c>
      <c r="F338" s="0" t="inlineStr">
        <is>
          <t xml:space="preserve">-</t>
        </is>
      </c>
      <c r="G338" s="5">
        <v>3.4851622499999992</v>
      </c>
      <c r="H338" s="0" t="inlineStr">
        <is>
          <t xml:space="preserve">supplier</t>
        </is>
      </c>
      <c r="I338" s="0" t="inlineStr">
        <is>
          <t xml:space="preserve">unbucketed</t>
        </is>
      </c>
      <c r="J338" s="0" t="inlineStr">
        <is>
          <t xml:space="preserve">residual</t>
        </is>
      </c>
      <c r="K338" s="5">
        <v>0</v>
      </c>
      <c r="L338" s="5">
        <v>0</v>
      </c>
      <c r="M338" s="5">
        <v>3.4851622499999992</v>
      </c>
      <c r="N338" s="5">
        <v>0.146131</v>
      </c>
      <c r="O338" s="5">
        <v>0.7604025</v>
      </c>
      <c r="P338" s="5">
        <v>0.63997375</v>
      </c>
      <c r="Q338" s="5">
        <v>0.0</v>
      </c>
    </row>
    <row r="339" outlineLevel="1">
      <c r="B339" s="0" t="inlineStr">
        <is>
          <t xml:space="preserve">W.R. DAVIS ENGINEERING LIMITED</t>
        </is>
      </c>
      <c r="C339" s="0" t="inlineStr">
        <is>
          <t xml:space="preserve">S1LJCH88WHT5</t>
        </is>
      </c>
      <c r="D339" s="0" t="inlineStr">
        <is>
          <t xml:space="preserve">Foreign</t>
        </is>
      </c>
      <c r="E339" s="0" t="inlineStr">
        <is>
          <t xml:space="preserve">-</t>
        </is>
      </c>
      <c r="F339" s="0" t="inlineStr">
        <is>
          <t xml:space="preserve">-</t>
        </is>
      </c>
      <c r="G339" s="5">
        <v>3.4571347599999998</v>
      </c>
      <c r="H339" s="0" t="inlineStr">
        <is>
          <t xml:space="preserve">foreign_fms</t>
        </is>
      </c>
      <c r="I339" s="0" t="inlineStr">
        <is>
          <t xml:space="preserve">-</t>
        </is>
      </c>
      <c r="J339" s="0" t="inlineStr">
        <is>
          <t xml:space="preserve">foreign flag</t>
        </is>
      </c>
      <c r="K339" s="5">
        <v>0</v>
      </c>
      <c r="L339" s="5">
        <v>0</v>
      </c>
      <c r="M339" s="5">
        <v>3.4571347599999998</v>
      </c>
      <c r="N339" s="5">
        <v>0.0</v>
      </c>
      <c r="O339" s="5">
        <v>0.0</v>
      </c>
      <c r="P339" s="5">
        <v>0.0</v>
      </c>
      <c r="Q339" s="5">
        <v>0.0</v>
      </c>
    </row>
    <row r="340" outlineLevel="1">
      <c r="B340" s="0" t="inlineStr">
        <is>
          <t xml:space="preserve">SAMPA KOGYO K.K.</t>
        </is>
      </c>
      <c r="C340" s="0" t="inlineStr">
        <is>
          <t xml:space="preserve">HDSAERUQLNZ6</t>
        </is>
      </c>
      <c r="D340" s="0" t="inlineStr">
        <is>
          <t xml:space="preserve">Foreign</t>
        </is>
      </c>
      <c r="E340" s="0" t="inlineStr">
        <is>
          <t xml:space="preserve">-</t>
        </is>
      </c>
      <c r="F340" s="0" t="inlineStr">
        <is>
          <t xml:space="preserve">-</t>
        </is>
      </c>
      <c r="G340" s="5">
        <v>3.4422241</v>
      </c>
      <c r="H340" s="0" t="inlineStr">
        <is>
          <t xml:space="preserve">foreign_fms</t>
        </is>
      </c>
      <c r="I340" s="0" t="inlineStr">
        <is>
          <t xml:space="preserve">-</t>
        </is>
      </c>
      <c r="J340" s="0" t="inlineStr">
        <is>
          <t xml:space="preserve">foreign flag</t>
        </is>
      </c>
      <c r="K340" s="5">
        <v>0</v>
      </c>
      <c r="L340" s="5">
        <v>0</v>
      </c>
      <c r="M340" s="5">
        <v>0.0</v>
      </c>
      <c r="N340" s="5">
        <v>0.0</v>
      </c>
      <c r="O340" s="5">
        <v>0.0</v>
      </c>
      <c r="P340" s="5">
        <v>0.0</v>
      </c>
      <c r="Q340" s="5">
        <v>0.0</v>
      </c>
    </row>
    <row r="341" outlineLevel="1">
      <c r="B341" s="0" t="inlineStr">
        <is>
          <t xml:space="preserve">MARTIN ENERGY SERVICES, LLC</t>
        </is>
      </c>
      <c r="C341" s="0" t="inlineStr">
        <is>
          <t xml:space="preserve">LCZDJ6YPNYG6</t>
        </is>
      </c>
      <c r="D341" s="0" t="inlineStr">
        <is>
          <t xml:space="preserve">-</t>
        </is>
      </c>
      <c r="E341" s="0" t="inlineStr">
        <is>
          <t xml:space="preserve">-</t>
        </is>
      </c>
      <c r="F341" s="0" t="inlineStr">
        <is>
          <t xml:space="preserve">-</t>
        </is>
      </c>
      <c r="G341" s="5">
        <v>3.4282515</v>
      </c>
      <c r="H341" s="0" t="inlineStr">
        <is>
          <t xml:space="preserve">supplier</t>
        </is>
      </c>
      <c r="I341" s="0" t="inlineStr">
        <is>
          <t xml:space="preserve">unbucketed</t>
        </is>
      </c>
      <c r="J341" s="0" t="inlineStr">
        <is>
          <t xml:space="preserve">residual</t>
        </is>
      </c>
      <c r="K341" s="5">
        <v>0</v>
      </c>
      <c r="L341" s="5">
        <v>0</v>
      </c>
      <c r="M341" s="5">
        <v>3.4282515</v>
      </c>
      <c r="N341" s="5">
        <v>0.0</v>
      </c>
      <c r="O341" s="5">
        <v>0.0</v>
      </c>
      <c r="P341" s="5">
        <v>0.7724875</v>
      </c>
      <c r="Q341" s="5">
        <v>1.2542149999999999</v>
      </c>
    </row>
    <row r="342" outlineLevel="1">
      <c r="B342" s="0" t="inlineStr">
        <is>
          <t xml:space="preserve">METALTEK INTERNATIONAL, INC.</t>
        </is>
      </c>
      <c r="C342" s="0" t="inlineStr">
        <is>
          <t xml:space="preserve">JK4WJKLD44G9</t>
        </is>
      </c>
      <c r="D342" s="0" t="inlineStr">
        <is>
          <t xml:space="preserve">-</t>
        </is>
      </c>
      <c r="E342" s="0" t="inlineStr">
        <is>
          <t xml:space="preserve">-</t>
        </is>
      </c>
      <c r="F342" s="0" t="inlineStr">
        <is>
          <t xml:space="preserve">-</t>
        </is>
      </c>
      <c r="G342" s="5">
        <v>3.3984462300000007</v>
      </c>
      <c r="H342" s="0" t="inlineStr">
        <is>
          <t xml:space="preserve">supplier</t>
        </is>
      </c>
      <c r="I342" s="0" t="inlineStr">
        <is>
          <t xml:space="preserve">unbucketed</t>
        </is>
      </c>
      <c r="J342" s="0" t="inlineStr">
        <is>
          <t xml:space="preserve">residual</t>
        </is>
      </c>
      <c r="K342" s="5">
        <v>0</v>
      </c>
      <c r="L342" s="5">
        <v>0</v>
      </c>
      <c r="M342" s="5">
        <v>0.76672623</v>
      </c>
      <c r="N342" s="5">
        <v>0.0</v>
      </c>
      <c r="O342" s="5">
        <v>0.0</v>
      </c>
      <c r="P342" s="5">
        <v>0.07519</v>
      </c>
      <c r="Q342" s="5">
        <v>0.07519</v>
      </c>
    </row>
    <row r="343" outlineLevel="1">
      <c r="B343" s="0" t="inlineStr">
        <is>
          <t xml:space="preserve">OCTOPUS INDUSTRIES, INC.</t>
        </is>
      </c>
      <c r="C343" s="0" t="inlineStr">
        <is>
          <t xml:space="preserve">ZLM5NQE8LSR8</t>
        </is>
      </c>
      <c r="D343" s="0" t="inlineStr">
        <is>
          <t xml:space="preserve">-</t>
        </is>
      </c>
      <c r="E343" s="0" t="inlineStr">
        <is>
          <t xml:space="preserve">-</t>
        </is>
      </c>
      <c r="F343" s="0" t="inlineStr">
        <is>
          <t xml:space="preserve">-</t>
        </is>
      </c>
      <c r="G343" s="5">
        <v>3.39163616</v>
      </c>
      <c r="H343" s="0" t="inlineStr">
        <is>
          <t xml:space="preserve">supplier</t>
        </is>
      </c>
      <c r="I343" s="0" t="inlineStr">
        <is>
          <t xml:space="preserve">unbucketed</t>
        </is>
      </c>
      <c r="J343" s="0" t="inlineStr">
        <is>
          <t xml:space="preserve">residual</t>
        </is>
      </c>
      <c r="K343" s="5">
        <v>0</v>
      </c>
      <c r="L343" s="5">
        <v>0</v>
      </c>
      <c r="M343" s="5">
        <v>3.39163616</v>
      </c>
      <c r="N343" s="5">
        <v>0.0</v>
      </c>
      <c r="O343" s="5">
        <v>0.0</v>
      </c>
      <c r="P343" s="5">
        <v>0.0</v>
      </c>
      <c r="Q343" s="5">
        <v>0.0</v>
      </c>
    </row>
    <row r="344" outlineLevel="1">
      <c r="B344" s="0" t="inlineStr">
        <is>
          <t xml:space="preserve">RICHLIND METAL FABRICATORS, LLC</t>
        </is>
      </c>
      <c r="C344" s="0" t="inlineStr">
        <is>
          <t xml:space="preserve">MS9XWCRV8XD8</t>
        </is>
      </c>
      <c r="D344" s="0" t="inlineStr">
        <is>
          <t xml:space="preserve">USA</t>
        </is>
      </c>
      <c r="E344" s="0" t="inlineStr">
        <is>
          <t xml:space="preserve">3329</t>
        </is>
      </c>
      <c r="F344" s="0" t="inlineStr">
        <is>
          <t xml:space="preserve">All Other Miscellaneous Fabricated Metal Product Manufacturing</t>
        </is>
      </c>
      <c r="G344" s="5">
        <v>3.3737862</v>
      </c>
      <c r="H344" s="0" t="inlineStr">
        <is>
          <t xml:space="preserve">supplier</t>
        </is>
      </c>
      <c r="I344" s="0" t="inlineStr">
        <is>
          <t xml:space="preserve">structural</t>
        </is>
      </c>
      <c r="J344" s="0" t="inlineStr">
        <is>
          <t xml:space="preserve">registry</t>
        </is>
      </c>
      <c r="K344" s="5">
        <v>0</v>
      </c>
      <c r="L344" s="5">
        <v>0</v>
      </c>
      <c r="M344" s="5">
        <v>0.0</v>
      </c>
      <c r="N344" s="5">
        <v>0.0</v>
      </c>
      <c r="O344" s="5">
        <v>0.0</v>
      </c>
      <c r="P344" s="5">
        <v>0.0</v>
      </c>
      <c r="Q344" s="5">
        <v>0.0</v>
      </c>
    </row>
    <row r="345" outlineLevel="1">
      <c r="B345" s="0" t="inlineStr">
        <is>
          <t xml:space="preserve">BAE SYSTEMS PLC</t>
        </is>
      </c>
      <c r="C345" s="0" t="inlineStr">
        <is>
          <t xml:space="preserve">FMK3LU77W4G6</t>
        </is>
      </c>
      <c r="D345" s="0" t="inlineStr">
        <is>
          <t xml:space="preserve">-</t>
        </is>
      </c>
      <c r="E345" s="0" t="inlineStr">
        <is>
          <t xml:space="preserve">-</t>
        </is>
      </c>
      <c r="F345" s="0" t="inlineStr">
        <is>
          <t xml:space="preserve">-</t>
        </is>
      </c>
      <c r="G345" s="5">
        <v>3.3721628999999997</v>
      </c>
      <c r="H345" s="0" t="inlineStr">
        <is>
          <t xml:space="preserve">supplier</t>
        </is>
      </c>
      <c r="I345" s="0" t="inlineStr">
        <is>
          <t xml:space="preserve">unbucketed</t>
        </is>
      </c>
      <c r="J345" s="0" t="inlineStr">
        <is>
          <t xml:space="preserve">residual</t>
        </is>
      </c>
      <c r="K345" s="5">
        <v>0</v>
      </c>
      <c r="L345" s="5">
        <v>0</v>
      </c>
      <c r="M345" s="5">
        <v>0.0</v>
      </c>
      <c r="N345" s="5">
        <v>0.0</v>
      </c>
      <c r="O345" s="5">
        <v>0.0</v>
      </c>
      <c r="P345" s="5">
        <v>0.0</v>
      </c>
      <c r="Q345" s="5">
        <v>0.0</v>
      </c>
    </row>
    <row r="346" outlineLevel="1">
      <c r="B346" s="0" t="inlineStr">
        <is>
          <t xml:space="preserve">MEGGITT PLC</t>
        </is>
      </c>
      <c r="C346" s="0" t="inlineStr">
        <is>
          <t xml:space="preserve">T4RCBDVMPVM4</t>
        </is>
      </c>
      <c r="D346" s="0" t="inlineStr">
        <is>
          <t xml:space="preserve">-</t>
        </is>
      </c>
      <c r="E346" s="0" t="inlineStr">
        <is>
          <t xml:space="preserve">-</t>
        </is>
      </c>
      <c r="F346" s="0" t="inlineStr">
        <is>
          <t xml:space="preserve">-</t>
        </is>
      </c>
      <c r="G346" s="5">
        <v>3.3691429900000007</v>
      </c>
      <c r="H346" s="0" t="inlineStr">
        <is>
          <t xml:space="preserve">supplier</t>
        </is>
      </c>
      <c r="I346" s="0" t="inlineStr">
        <is>
          <t xml:space="preserve">unbucketed</t>
        </is>
      </c>
      <c r="J346" s="0" t="inlineStr">
        <is>
          <t xml:space="preserve">residual</t>
        </is>
      </c>
      <c r="K346" s="5">
        <v>0</v>
      </c>
      <c r="L346" s="5">
        <v>0</v>
      </c>
      <c r="M346" s="5">
        <v>3.3691429900000007</v>
      </c>
      <c r="N346" s="5">
        <v>0.0</v>
      </c>
      <c r="O346" s="5">
        <v>0.0</v>
      </c>
      <c r="P346" s="5">
        <v>0.0</v>
      </c>
      <c r="Q346" s="5">
        <v>0.0</v>
      </c>
    </row>
    <row r="347" outlineLevel="1">
      <c r="B347" s="0" t="inlineStr">
        <is>
          <t xml:space="preserve">ARCLINE INVESTMENT MANAGEMENT LP</t>
        </is>
      </c>
      <c r="C347" s="0" t="inlineStr">
        <is>
          <t xml:space="preserve">MKXMUFJJYLY5</t>
        </is>
      </c>
      <c r="D347" s="0" t="inlineStr">
        <is>
          <t xml:space="preserve">USA</t>
        </is>
      </c>
      <c r="E347" s="0" t="inlineStr">
        <is>
          <t xml:space="preserve">3353</t>
        </is>
      </c>
      <c r="F347" s="0" t="inlineStr">
        <is>
          <t xml:space="preserve">Motor and Generator Manufacturing</t>
        </is>
      </c>
      <c r="G347" s="5">
        <v>3.3624579999999993</v>
      </c>
      <c r="H347" s="0" t="inlineStr">
        <is>
          <t xml:space="preserve">supplier</t>
        </is>
      </c>
      <c r="I347" s="0" t="inlineStr">
        <is>
          <t xml:space="preserve">electrical</t>
        </is>
      </c>
      <c r="J347" s="0" t="inlineStr">
        <is>
          <t xml:space="preserve">registry</t>
        </is>
      </c>
      <c r="K347" s="5">
        <v>0</v>
      </c>
      <c r="L347" s="5">
        <v>0</v>
      </c>
      <c r="M347" s="5">
        <v>0.0</v>
      </c>
      <c r="N347" s="5">
        <v>0.0</v>
      </c>
      <c r="O347" s="5">
        <v>0.0</v>
      </c>
      <c r="P347" s="5">
        <v>0.0</v>
      </c>
      <c r="Q347" s="5">
        <v>0.0</v>
      </c>
    </row>
    <row r="348" outlineLevel="1">
      <c r="B348" s="0" t="inlineStr">
        <is>
          <t xml:space="preserve">LEONARDO SPA</t>
        </is>
      </c>
      <c r="C348" s="0" t="inlineStr">
        <is>
          <t xml:space="preserve">NQKEVF8KEMP1</t>
        </is>
      </c>
      <c r="D348" s="0" t="inlineStr">
        <is>
          <t xml:space="preserve">ITA</t>
        </is>
      </c>
      <c r="E348" s="0" t="inlineStr">
        <is>
          <t xml:space="preserve">3364</t>
        </is>
      </c>
      <c r="F348" s="0" t="inlineStr">
        <is>
          <t xml:space="preserve">Aircraft Manufacturing</t>
        </is>
      </c>
      <c r="G348" s="5">
        <v>3.3455164400000004</v>
      </c>
      <c r="H348" s="0" t="inlineStr">
        <is>
          <t xml:space="preserve">supplier</t>
        </is>
      </c>
      <c r="I348" s="0" t="inlineStr">
        <is>
          <t xml:space="preserve">unbucketed</t>
        </is>
      </c>
      <c r="J348" s="0" t="inlineStr">
        <is>
          <t xml:space="preserve">residual</t>
        </is>
      </c>
      <c r="K348" s="5">
        <v>0</v>
      </c>
      <c r="L348" s="5">
        <v>0</v>
      </c>
      <c r="M348" s="5">
        <v>3.3455164400000004</v>
      </c>
      <c r="N348" s="5">
        <v>0.0</v>
      </c>
      <c r="O348" s="5">
        <v>0.0</v>
      </c>
      <c r="P348" s="5">
        <v>0.0</v>
      </c>
      <c r="Q348" s="5">
        <v>0.7896299999999999</v>
      </c>
    </row>
    <row r="349" outlineLevel="1">
      <c r="B349" s="0" t="inlineStr">
        <is>
          <t xml:space="preserve">ONEX CORPORATION</t>
        </is>
      </c>
      <c r="C349" s="0" t="inlineStr">
        <is>
          <t xml:space="preserve">LL67KU1V52Y8</t>
        </is>
      </c>
      <c r="D349" s="0" t="inlineStr">
        <is>
          <t xml:space="preserve">-</t>
        </is>
      </c>
      <c r="E349" s="0" t="inlineStr">
        <is>
          <t xml:space="preserve">-</t>
        </is>
      </c>
      <c r="F349" s="0" t="inlineStr">
        <is>
          <t xml:space="preserve">-</t>
        </is>
      </c>
      <c r="G349" s="5">
        <v>3.3367752900000003</v>
      </c>
      <c r="H349" s="0" t="inlineStr">
        <is>
          <t xml:space="preserve">supplier</t>
        </is>
      </c>
      <c r="I349" s="0" t="inlineStr">
        <is>
          <t xml:space="preserve">unbucketed</t>
        </is>
      </c>
      <c r="J349" s="0" t="inlineStr">
        <is>
          <t xml:space="preserve">residual</t>
        </is>
      </c>
      <c r="K349" s="5">
        <v>0</v>
      </c>
      <c r="L349" s="5">
        <v>0</v>
      </c>
      <c r="M349" s="5">
        <v>0.0</v>
      </c>
      <c r="N349" s="5">
        <v>0.0</v>
      </c>
      <c r="O349" s="5">
        <v>0.0</v>
      </c>
      <c r="P349" s="5">
        <v>0.0</v>
      </c>
      <c r="Q349" s="5">
        <v>0.0</v>
      </c>
    </row>
    <row r="350" outlineLevel="1">
      <c r="B350" s="0" t="inlineStr">
        <is>
          <t xml:space="preserve">KEY TRONIC CORPORATION</t>
        </is>
      </c>
      <c r="C350" s="0" t="inlineStr">
        <is>
          <t xml:space="preserve">D748TKRXDCY7</t>
        </is>
      </c>
      <c r="D350" s="0" t="inlineStr">
        <is>
          <t xml:space="preserve">-</t>
        </is>
      </c>
      <c r="E350" s="0" t="inlineStr">
        <is>
          <t xml:space="preserve">-</t>
        </is>
      </c>
      <c r="F350" s="0" t="inlineStr">
        <is>
          <t xml:space="preserve">-</t>
        </is>
      </c>
      <c r="G350" s="5">
        <v>3.3007362799999997</v>
      </c>
      <c r="H350" s="0" t="inlineStr">
        <is>
          <t xml:space="preserve">supplier</t>
        </is>
      </c>
      <c r="I350" s="0" t="inlineStr">
        <is>
          <t xml:space="preserve">unbucketed</t>
        </is>
      </c>
      <c r="J350" s="0" t="inlineStr">
        <is>
          <t xml:space="preserve">residual</t>
        </is>
      </c>
      <c r="K350" s="5">
        <v>0</v>
      </c>
      <c r="L350" s="5">
        <v>0</v>
      </c>
      <c r="M350" s="5">
        <v>0.0</v>
      </c>
      <c r="N350" s="5">
        <v>0.0</v>
      </c>
      <c r="O350" s="5">
        <v>0.0</v>
      </c>
      <c r="P350" s="5">
        <v>0.0</v>
      </c>
      <c r="Q350" s="5">
        <v>0.0</v>
      </c>
    </row>
    <row r="351" outlineLevel="1">
      <c r="B351" s="0" t="inlineStr">
        <is>
          <t xml:space="preserve">PRECISION PRODUCTS INC</t>
        </is>
      </c>
      <c r="C351" s="0" t="inlineStr">
        <is>
          <t xml:space="preserve">D44RA79E3K57</t>
        </is>
      </c>
      <c r="D351" s="0" t="inlineStr">
        <is>
          <t xml:space="preserve">-</t>
        </is>
      </c>
      <c r="E351" s="0" t="inlineStr">
        <is>
          <t xml:space="preserve">-</t>
        </is>
      </c>
      <c r="F351" s="0" t="inlineStr">
        <is>
          <t xml:space="preserve">-</t>
        </is>
      </c>
      <c r="G351" s="5">
        <v>3.29587826</v>
      </c>
      <c r="H351" s="0" t="inlineStr">
        <is>
          <t xml:space="preserve">supplier</t>
        </is>
      </c>
      <c r="I351" s="0" t="inlineStr">
        <is>
          <t xml:space="preserve">unbucketed</t>
        </is>
      </c>
      <c r="J351" s="0" t="inlineStr">
        <is>
          <t xml:space="preserve">residual</t>
        </is>
      </c>
      <c r="K351" s="5">
        <v>0</v>
      </c>
      <c r="L351" s="5">
        <v>0</v>
      </c>
      <c r="M351" s="5">
        <v>3.29587826</v>
      </c>
      <c r="N351" s="5">
        <v>0.0325</v>
      </c>
      <c r="O351" s="5">
        <v>1.29715614</v>
      </c>
      <c r="P351" s="5">
        <v>0.305123</v>
      </c>
      <c r="Q351" s="5">
        <v>1.6610991200000003</v>
      </c>
    </row>
    <row r="352" outlineLevel="1">
      <c r="B352" s="0" t="inlineStr">
        <is>
          <t xml:space="preserve">TTM TECHNOLOGIES, INC.</t>
        </is>
      </c>
      <c r="C352" s="0" t="inlineStr">
        <is>
          <t xml:space="preserve">J632BG3ZB8L9</t>
        </is>
      </c>
      <c r="D352" s="0" t="inlineStr">
        <is>
          <t xml:space="preserve">USA</t>
        </is>
      </c>
      <c r="E352" s="0" t="inlineStr">
        <is>
          <t xml:space="preserve">3344</t>
        </is>
      </c>
      <c r="F352" s="0" t="inlineStr">
        <is>
          <t xml:space="preserve">Bare Printed Circuit Board Manufacturing</t>
        </is>
      </c>
      <c r="G352" s="5">
        <v>3.28387534</v>
      </c>
      <c r="H352" s="0" t="inlineStr">
        <is>
          <t xml:space="preserve">supplier</t>
        </is>
      </c>
      <c r="I352" s="0" t="inlineStr">
        <is>
          <t xml:space="preserve">unbucketed</t>
        </is>
      </c>
      <c r="J352" s="0" t="inlineStr">
        <is>
          <t xml:space="preserve">residual</t>
        </is>
      </c>
      <c r="K352" s="5">
        <v>0</v>
      </c>
      <c r="L352" s="5">
        <v>0</v>
      </c>
      <c r="M352" s="5">
        <v>0.0</v>
      </c>
      <c r="N352" s="5">
        <v>0.0</v>
      </c>
      <c r="O352" s="5">
        <v>0.0</v>
      </c>
      <c r="P352" s="5">
        <v>0.0</v>
      </c>
      <c r="Q352" s="5">
        <v>0.0</v>
      </c>
    </row>
    <row r="353" outlineLevel="1">
      <c r="B353" s="0" t="inlineStr">
        <is>
          <t xml:space="preserve">ACCU-FAB AND CONSTRUCTION, INC.</t>
        </is>
      </c>
      <c r="C353" s="0" t="inlineStr">
        <is>
          <t xml:space="preserve">G7SQBKZNPRN4</t>
        </is>
      </c>
      <c r="D353" s="0" t="inlineStr">
        <is>
          <t xml:space="preserve">-</t>
        </is>
      </c>
      <c r="E353" s="0" t="inlineStr">
        <is>
          <t xml:space="preserve">-</t>
        </is>
      </c>
      <c r="F353" s="0" t="inlineStr">
        <is>
          <t xml:space="preserve">-</t>
        </is>
      </c>
      <c r="G353" s="5">
        <v>3.2663625200000004</v>
      </c>
      <c r="H353" s="0" t="inlineStr">
        <is>
          <t xml:space="preserve">supplier</t>
        </is>
      </c>
      <c r="I353" s="0" t="inlineStr">
        <is>
          <t xml:space="preserve">unbucketed</t>
        </is>
      </c>
      <c r="J353" s="0" t="inlineStr">
        <is>
          <t xml:space="preserve">residual</t>
        </is>
      </c>
      <c r="K353" s="5">
        <v>0</v>
      </c>
      <c r="L353" s="5">
        <v>0</v>
      </c>
      <c r="M353" s="5">
        <v>3.2663625200000004</v>
      </c>
      <c r="N353" s="5">
        <v>0.0</v>
      </c>
      <c r="O353" s="5">
        <v>1.72667452</v>
      </c>
      <c r="P353" s="5">
        <v>0.363814</v>
      </c>
      <c r="Q353" s="5">
        <v>0.0</v>
      </c>
    </row>
    <row r="354" outlineLevel="1">
      <c r="B354" s="0" t="inlineStr">
        <is>
          <t xml:space="preserve">DEVICE ENGINEERING INC</t>
        </is>
      </c>
      <c r="C354" s="0" t="inlineStr">
        <is>
          <t xml:space="preserve">PG3BKD2UKHB9</t>
        </is>
      </c>
      <c r="D354" s="0" t="inlineStr">
        <is>
          <t xml:space="preserve">-</t>
        </is>
      </c>
      <c r="E354" s="0" t="inlineStr">
        <is>
          <t xml:space="preserve">-</t>
        </is>
      </c>
      <c r="F354" s="0" t="inlineStr">
        <is>
          <t xml:space="preserve">-</t>
        </is>
      </c>
      <c r="G354" s="5">
        <v>3.258363000000001</v>
      </c>
      <c r="H354" s="0" t="inlineStr">
        <is>
          <t xml:space="preserve">supplier</t>
        </is>
      </c>
      <c r="I354" s="0" t="inlineStr">
        <is>
          <t xml:space="preserve">unbucketed</t>
        </is>
      </c>
      <c r="J354" s="0" t="inlineStr">
        <is>
          <t xml:space="preserve">residual</t>
        </is>
      </c>
      <c r="K354" s="5">
        <v>0</v>
      </c>
      <c r="L354" s="5">
        <v>0</v>
      </c>
      <c r="M354" s="5">
        <v>0.0</v>
      </c>
      <c r="N354" s="5">
        <v>0.0</v>
      </c>
      <c r="O354" s="5">
        <v>0.0</v>
      </c>
      <c r="P354" s="5">
        <v>0.0</v>
      </c>
      <c r="Q354" s="5">
        <v>0.0</v>
      </c>
    </row>
    <row r="355" outlineLevel="1">
      <c r="B355" s="0" t="inlineStr">
        <is>
          <t xml:space="preserve">THE CARLYLE GROUP L P</t>
        </is>
      </c>
      <c r="C355" s="0" t="inlineStr">
        <is>
          <t xml:space="preserve">N6P1AGPMV456</t>
        </is>
      </c>
      <c r="D355" s="0" t="inlineStr">
        <is>
          <t xml:space="preserve">-</t>
        </is>
      </c>
      <c r="E355" s="0" t="inlineStr">
        <is>
          <t xml:space="preserve">-</t>
        </is>
      </c>
      <c r="F355" s="0" t="inlineStr">
        <is>
          <t xml:space="preserve">-</t>
        </is>
      </c>
      <c r="G355" s="5">
        <v>3.25245236</v>
      </c>
      <c r="H355" s="0" t="inlineStr">
        <is>
          <t xml:space="preserve">supplier</t>
        </is>
      </c>
      <c r="I355" s="0" t="inlineStr">
        <is>
          <t xml:space="preserve">piping</t>
        </is>
      </c>
      <c r="J355" s="0" t="inlineStr">
        <is>
          <t xml:space="preserve">registry</t>
        </is>
      </c>
      <c r="K355" s="5">
        <v>0</v>
      </c>
      <c r="L355" s="5">
        <v>0</v>
      </c>
      <c r="M355" s="5">
        <v>3.25245236</v>
      </c>
      <c r="N355" s="5">
        <v>0.0</v>
      </c>
      <c r="O355" s="5">
        <v>0.0</v>
      </c>
      <c r="P355" s="5">
        <v>0.0</v>
      </c>
      <c r="Q355" s="5">
        <v>0.0</v>
      </c>
    </row>
    <row r="356" outlineLevel="1">
      <c r="B356" s="0" t="inlineStr">
        <is>
          <t xml:space="preserve">SIGNATURE AVIATION PLC</t>
        </is>
      </c>
      <c r="C356" s="0" t="inlineStr">
        <is>
          <t xml:space="preserve">GMLHMNMB79G9</t>
        </is>
      </c>
      <c r="D356" s="0" t="inlineStr">
        <is>
          <t xml:space="preserve">-</t>
        </is>
      </c>
      <c r="E356" s="0" t="inlineStr">
        <is>
          <t xml:space="preserve">-</t>
        </is>
      </c>
      <c r="F356" s="0" t="inlineStr">
        <is>
          <t xml:space="preserve">-</t>
        </is>
      </c>
      <c r="G356" s="5">
        <v>3.2514108</v>
      </c>
      <c r="H356" s="0" t="inlineStr">
        <is>
          <t xml:space="preserve">supplier</t>
        </is>
      </c>
      <c r="I356" s="0" t="inlineStr">
        <is>
          <t xml:space="preserve">unbucketed</t>
        </is>
      </c>
      <c r="J356" s="0" t="inlineStr">
        <is>
          <t xml:space="preserve">residual</t>
        </is>
      </c>
      <c r="K356" s="5">
        <v>0</v>
      </c>
      <c r="L356" s="5">
        <v>0</v>
      </c>
      <c r="M356" s="5">
        <v>0.0</v>
      </c>
      <c r="N356" s="5">
        <v>0.0</v>
      </c>
      <c r="O356" s="5">
        <v>0.0</v>
      </c>
      <c r="P356" s="5">
        <v>0.0</v>
      </c>
      <c r="Q356" s="5">
        <v>0.0</v>
      </c>
    </row>
    <row r="357" outlineLevel="1">
      <c r="B357" s="0" t="inlineStr">
        <is>
          <t xml:space="preserve">HOWDEN AMERICAN FAN COMPANY</t>
        </is>
      </c>
      <c r="C357" s="0" t="inlineStr">
        <is>
          <t xml:space="preserve">YHGHMGTME7A5</t>
        </is>
      </c>
      <c r="D357" s="0" t="inlineStr">
        <is>
          <t xml:space="preserve">-</t>
        </is>
      </c>
      <c r="E357" s="0" t="inlineStr">
        <is>
          <t xml:space="preserve">-</t>
        </is>
      </c>
      <c r="F357" s="0" t="inlineStr">
        <is>
          <t xml:space="preserve">-</t>
        </is>
      </c>
      <c r="G357" s="5">
        <v>3.2500176499999998</v>
      </c>
      <c r="H357" s="0" t="inlineStr">
        <is>
          <t xml:space="preserve">supplier</t>
        </is>
      </c>
      <c r="I357" s="0" t="inlineStr">
        <is>
          <t xml:space="preserve">unbucketed</t>
        </is>
      </c>
      <c r="J357" s="0" t="inlineStr">
        <is>
          <t xml:space="preserve">residual</t>
        </is>
      </c>
      <c r="K357" s="5">
        <v>0</v>
      </c>
      <c r="L357" s="5">
        <v>0</v>
      </c>
      <c r="M357" s="5">
        <v>3.2500176499999998</v>
      </c>
      <c r="N357" s="5">
        <v>0.0</v>
      </c>
      <c r="O357" s="5">
        <v>1.582296</v>
      </c>
      <c r="P357" s="5">
        <v>1.66772165</v>
      </c>
      <c r="Q357" s="5">
        <v>0.0</v>
      </c>
    </row>
    <row r="358" outlineLevel="1">
      <c r="B358" s="0" t="inlineStr">
        <is>
          <t xml:space="preserve">CARVER PUMP COMPANY</t>
        </is>
      </c>
      <c r="C358" s="0" t="inlineStr">
        <is>
          <t xml:space="preserve">W547TUQXJ8Y4</t>
        </is>
      </c>
      <c r="D358" s="0" t="inlineStr">
        <is>
          <t xml:space="preserve">-</t>
        </is>
      </c>
      <c r="E358" s="0" t="inlineStr">
        <is>
          <t xml:space="preserve">-</t>
        </is>
      </c>
      <c r="F358" s="0" t="inlineStr">
        <is>
          <t xml:space="preserve">-</t>
        </is>
      </c>
      <c r="G358" s="5">
        <v>3.2274255799999985</v>
      </c>
      <c r="H358" s="0" t="inlineStr">
        <is>
          <t xml:space="preserve">supplier</t>
        </is>
      </c>
      <c r="I358" s="0" t="inlineStr">
        <is>
          <t xml:space="preserve">unbucketed</t>
        </is>
      </c>
      <c r="J358" s="0" t="inlineStr">
        <is>
          <t xml:space="preserve">residual</t>
        </is>
      </c>
      <c r="K358" s="5">
        <v>0</v>
      </c>
      <c r="L358" s="5">
        <v>0</v>
      </c>
      <c r="M358" s="5">
        <v>0.27171858</v>
      </c>
      <c r="N358" s="5">
        <v>0.0</v>
      </c>
      <c r="O358" s="5">
        <v>0.0</v>
      </c>
      <c r="P358" s="5">
        <v>0.27171858</v>
      </c>
      <c r="Q358" s="5">
        <v>0.0</v>
      </c>
    </row>
    <row r="359" outlineLevel="1">
      <c r="B359" s="0" t="inlineStr">
        <is>
          <t xml:space="preserve">RAMBUS INC.</t>
        </is>
      </c>
      <c r="C359" s="0" t="inlineStr">
        <is>
          <t xml:space="preserve">CRB3FMNFE343</t>
        </is>
      </c>
      <c r="D359" s="0" t="inlineStr">
        <is>
          <t xml:space="preserve">USA</t>
        </is>
      </c>
      <c r="E359" s="0" t="inlineStr">
        <is>
          <t xml:space="preserve">3344</t>
        </is>
      </c>
      <c r="F359" s="0" t="inlineStr">
        <is>
          <t xml:space="preserve">Semiconductor and Related Device Manufacturing</t>
        </is>
      </c>
      <c r="G359" s="5">
        <v>3.193165</v>
      </c>
      <c r="H359" s="0" t="inlineStr">
        <is>
          <t xml:space="preserve">mission_systems</t>
        </is>
      </c>
      <c r="I359" s="0" t="inlineStr">
        <is>
          <t xml:space="preserve">-</t>
        </is>
      </c>
      <c r="J359" s="0" t="inlineStr">
        <is>
          <t xml:space="preserve">registry</t>
        </is>
      </c>
      <c r="K359" s="5">
        <v>0</v>
      </c>
      <c r="L359" s="5">
        <v>0</v>
      </c>
      <c r="M359" s="5">
        <v>0.0</v>
      </c>
      <c r="N359" s="5">
        <v>0.0</v>
      </c>
      <c r="O359" s="5">
        <v>0.0</v>
      </c>
      <c r="P359" s="5">
        <v>0.0</v>
      </c>
      <c r="Q359" s="5">
        <v>0.0</v>
      </c>
    </row>
    <row r="360" outlineLevel="1">
      <c r="B360" s="0" t="inlineStr">
        <is>
          <t xml:space="preserve">TRANSCON TECHNOLOGIES, LLC</t>
        </is>
      </c>
      <c r="C360" s="0" t="inlineStr">
        <is>
          <t xml:space="preserve">FW1UZ1LGHAX6</t>
        </is>
      </c>
      <c r="D360" s="0" t="inlineStr">
        <is>
          <t xml:space="preserve">-</t>
        </is>
      </c>
      <c r="E360" s="0" t="inlineStr">
        <is>
          <t xml:space="preserve">-</t>
        </is>
      </c>
      <c r="F360" s="0" t="inlineStr">
        <is>
          <t xml:space="preserve">-</t>
        </is>
      </c>
      <c r="G360" s="5">
        <v>3.181089</v>
      </c>
      <c r="H360" s="0" t="inlineStr">
        <is>
          <t xml:space="preserve">supplier</t>
        </is>
      </c>
      <c r="I360" s="0" t="inlineStr">
        <is>
          <t xml:space="preserve">unbucketed</t>
        </is>
      </c>
      <c r="J360" s="0" t="inlineStr">
        <is>
          <t xml:space="preserve">residual</t>
        </is>
      </c>
      <c r="K360" s="5">
        <v>0</v>
      </c>
      <c r="L360" s="5">
        <v>0</v>
      </c>
      <c r="M360" s="5">
        <v>0.0</v>
      </c>
      <c r="N360" s="5">
        <v>0.0</v>
      </c>
      <c r="O360" s="5">
        <v>0.0</v>
      </c>
      <c r="P360" s="5">
        <v>0.0</v>
      </c>
      <c r="Q360" s="5">
        <v>0.0</v>
      </c>
    </row>
    <row r="361" outlineLevel="1">
      <c r="B361" s="0" t="inlineStr">
        <is>
          <t xml:space="preserve">VISHAY INTERTECHNOLOGY, INC.</t>
        </is>
      </c>
      <c r="C361" s="0" t="inlineStr">
        <is>
          <t xml:space="preserve">W4SMDAY7TP43</t>
        </is>
      </c>
      <c r="D361" s="0" t="inlineStr">
        <is>
          <t xml:space="preserve">-</t>
        </is>
      </c>
      <c r="E361" s="0" t="inlineStr">
        <is>
          <t xml:space="preserve">-</t>
        </is>
      </c>
      <c r="F361" s="0" t="inlineStr">
        <is>
          <t xml:space="preserve">-</t>
        </is>
      </c>
      <c r="G361" s="5">
        <v>3.1760965600000004</v>
      </c>
      <c r="H361" s="0" t="inlineStr">
        <is>
          <t xml:space="preserve">supplier</t>
        </is>
      </c>
      <c r="I361" s="0" t="inlineStr">
        <is>
          <t xml:space="preserve">unbucketed</t>
        </is>
      </c>
      <c r="J361" s="0" t="inlineStr">
        <is>
          <t xml:space="preserve">residual</t>
        </is>
      </c>
      <c r="K361" s="5">
        <v>0</v>
      </c>
      <c r="L361" s="5">
        <v>0</v>
      </c>
      <c r="M361" s="5">
        <v>0.0</v>
      </c>
      <c r="N361" s="5">
        <v>0.0</v>
      </c>
      <c r="O361" s="5">
        <v>0.0</v>
      </c>
      <c r="P361" s="5">
        <v>0.0</v>
      </c>
      <c r="Q361" s="5">
        <v>0.0</v>
      </c>
    </row>
    <row r="362" outlineLevel="1">
      <c r="B362" s="0" t="inlineStr">
        <is>
          <t xml:space="preserve">SOUTH BAY SAND BLASTING AND TANK CLEANING, INC.</t>
        </is>
      </c>
      <c r="C362" s="0" t="inlineStr">
        <is>
          <t xml:space="preserve">CZZNRBJ1HUM4</t>
        </is>
      </c>
      <c r="D362" s="0" t="inlineStr">
        <is>
          <t xml:space="preserve">-</t>
        </is>
      </c>
      <c r="E362" s="0" t="inlineStr">
        <is>
          <t xml:space="preserve">-</t>
        </is>
      </c>
      <c r="F362" s="0" t="inlineStr">
        <is>
          <t xml:space="preserve">-</t>
        </is>
      </c>
      <c r="G362" s="5">
        <v>3.1734772500000004</v>
      </c>
      <c r="H362" s="0" t="inlineStr">
        <is>
          <t xml:space="preserve">supplier</t>
        </is>
      </c>
      <c r="I362" s="0" t="inlineStr">
        <is>
          <t xml:space="preserve">unbucketed</t>
        </is>
      </c>
      <c r="J362" s="0" t="inlineStr">
        <is>
          <t xml:space="preserve">residual</t>
        </is>
      </c>
      <c r="K362" s="5">
        <v>0</v>
      </c>
      <c r="L362" s="5">
        <v>0</v>
      </c>
      <c r="M362" s="5">
        <v>0.0</v>
      </c>
      <c r="N362" s="5">
        <v>0.0</v>
      </c>
      <c r="O362" s="5">
        <v>0.0</v>
      </c>
      <c r="P362" s="5">
        <v>0.0</v>
      </c>
      <c r="Q362" s="5">
        <v>0.0</v>
      </c>
    </row>
    <row r="363" outlineLevel="1">
      <c r="B363" s="0" t="inlineStr">
        <is>
          <t xml:space="preserve">BASIC ELECTRONICS, INC.</t>
        </is>
      </c>
      <c r="C363" s="0" t="inlineStr">
        <is>
          <t xml:space="preserve">HX6NMRNXGGL5</t>
        </is>
      </c>
      <c r="D363" s="0" t="inlineStr">
        <is>
          <t xml:space="preserve">-</t>
        </is>
      </c>
      <c r="E363" s="0" t="inlineStr">
        <is>
          <t xml:space="preserve">-</t>
        </is>
      </c>
      <c r="F363" s="0" t="inlineStr">
        <is>
          <t xml:space="preserve">-</t>
        </is>
      </c>
      <c r="G363" s="5">
        <v>3.1560699999999997</v>
      </c>
      <c r="H363" s="0" t="inlineStr">
        <is>
          <t xml:space="preserve">supplier</t>
        </is>
      </c>
      <c r="I363" s="0" t="inlineStr">
        <is>
          <t xml:space="preserve">unbucketed</t>
        </is>
      </c>
      <c r="J363" s="0" t="inlineStr">
        <is>
          <t xml:space="preserve">residual</t>
        </is>
      </c>
      <c r="K363" s="5">
        <v>0</v>
      </c>
      <c r="L363" s="5">
        <v>0</v>
      </c>
      <c r="M363" s="5">
        <v>0.0</v>
      </c>
      <c r="N363" s="5">
        <v>0.0</v>
      </c>
      <c r="O363" s="5">
        <v>0.0</v>
      </c>
      <c r="P363" s="5">
        <v>0.0</v>
      </c>
      <c r="Q363" s="5">
        <v>0.0</v>
      </c>
    </row>
    <row r="364" outlineLevel="1">
      <c r="B364" s="0" t="inlineStr">
        <is>
          <t xml:space="preserve">AMETEK INC.</t>
        </is>
      </c>
      <c r="C364" s="0" t="inlineStr">
        <is>
          <t xml:space="preserve">SMZQB2YVYM66</t>
        </is>
      </c>
      <c r="D364" s="0" t="inlineStr">
        <is>
          <t xml:space="preserve">USA</t>
        </is>
      </c>
      <c r="E364" s="0" t="inlineStr">
        <is>
          <t xml:space="preserve">3359</t>
        </is>
      </c>
      <c r="F364" s="0" t="inlineStr">
        <is>
          <t xml:space="preserve">All Other Miscellaneous Electrical Equipment and Component Manufacturing</t>
        </is>
      </c>
      <c r="G364" s="5">
        <v>3.139297000000001</v>
      </c>
      <c r="H364" s="0" t="inlineStr">
        <is>
          <t xml:space="preserve">supplier</t>
        </is>
      </c>
      <c r="I364" s="0" t="inlineStr">
        <is>
          <t xml:space="preserve">electrical</t>
        </is>
      </c>
      <c r="J364" s="0" t="inlineStr">
        <is>
          <t xml:space="preserve">naics4</t>
        </is>
      </c>
      <c r="K364" s="5">
        <v>0</v>
      </c>
      <c r="L364" s="5">
        <v>0</v>
      </c>
      <c r="M364" s="5">
        <v>0.0</v>
      </c>
      <c r="N364" s="5">
        <v>0.0</v>
      </c>
      <c r="O364" s="5">
        <v>0.0</v>
      </c>
      <c r="P364" s="5">
        <v>0.0</v>
      </c>
      <c r="Q364" s="5">
        <v>0.0</v>
      </c>
    </row>
    <row r="365" outlineLevel="1">
      <c r="B365" s="0" t="inlineStr">
        <is>
          <t xml:space="preserve">AMPHENOL CORPORATION</t>
        </is>
      </c>
      <c r="C365" s="0" t="inlineStr">
        <is>
          <t xml:space="preserve">S7HXJ97WWKT5</t>
        </is>
      </c>
      <c r="D365" s="0" t="inlineStr">
        <is>
          <t xml:space="preserve">-</t>
        </is>
      </c>
      <c r="E365" s="0" t="inlineStr">
        <is>
          <t xml:space="preserve">-</t>
        </is>
      </c>
      <c r="F365" s="0" t="inlineStr">
        <is>
          <t xml:space="preserve">-</t>
        </is>
      </c>
      <c r="G365" s="5">
        <v>3.1064976600000005</v>
      </c>
      <c r="H365" s="0" t="inlineStr">
        <is>
          <t xml:space="preserve">supplier</t>
        </is>
      </c>
      <c r="I365" s="0" t="inlineStr">
        <is>
          <t xml:space="preserve">electrical</t>
        </is>
      </c>
      <c r="J365" s="0" t="inlineStr">
        <is>
          <t xml:space="preserve">registry</t>
        </is>
      </c>
      <c r="K365" s="5">
        <v>0</v>
      </c>
      <c r="L365" s="5">
        <v>0</v>
      </c>
      <c r="M365" s="5">
        <v>0.0</v>
      </c>
      <c r="N365" s="5">
        <v>0.0</v>
      </c>
      <c r="O365" s="5">
        <v>0.0</v>
      </c>
      <c r="P365" s="5">
        <v>0.0</v>
      </c>
      <c r="Q365" s="5">
        <v>0.0</v>
      </c>
    </row>
    <row r="366" outlineLevel="1">
      <c r="B366" s="0" t="inlineStr">
        <is>
          <t xml:space="preserve">PARKER-HANNIFIN CORPORATION</t>
        </is>
      </c>
      <c r="C366" s="0" t="inlineStr">
        <is>
          <t xml:space="preserve">E8YHQMBM7K77</t>
        </is>
      </c>
      <c r="D366" s="0" t="inlineStr">
        <is>
          <t xml:space="preserve">-</t>
        </is>
      </c>
      <c r="E366" s="0" t="inlineStr">
        <is>
          <t xml:space="preserve">-</t>
        </is>
      </c>
      <c r="F366" s="0" t="inlineStr">
        <is>
          <t xml:space="preserve">-</t>
        </is>
      </c>
      <c r="G366" s="5">
        <v>3.096375</v>
      </c>
      <c r="H366" s="0" t="inlineStr">
        <is>
          <t xml:space="preserve">supplier</t>
        </is>
      </c>
      <c r="I366" s="0" t="inlineStr">
        <is>
          <t xml:space="preserve">unbucketed</t>
        </is>
      </c>
      <c r="J366" s="0" t="inlineStr">
        <is>
          <t xml:space="preserve">residual</t>
        </is>
      </c>
      <c r="K366" s="5">
        <v>0</v>
      </c>
      <c r="L366" s="5">
        <v>0</v>
      </c>
      <c r="M366" s="5">
        <v>0.0</v>
      </c>
      <c r="N366" s="5">
        <v>0.0</v>
      </c>
      <c r="O366" s="5">
        <v>0.0</v>
      </c>
      <c r="P366" s="5">
        <v>0.0</v>
      </c>
      <c r="Q366" s="5">
        <v>0.0</v>
      </c>
    </row>
    <row r="367" outlineLevel="1">
      <c r="B367" s="0" t="inlineStr">
        <is>
          <t xml:space="preserve">ELECTRO IMPULSE LABORATORY INC.</t>
        </is>
      </c>
      <c r="C367" s="0" t="inlineStr">
        <is>
          <t xml:space="preserve">S6MCFRNAKXG3</t>
        </is>
      </c>
      <c r="D367" s="0" t="inlineStr">
        <is>
          <t xml:space="preserve">-</t>
        </is>
      </c>
      <c r="E367" s="0" t="inlineStr">
        <is>
          <t xml:space="preserve">-</t>
        </is>
      </c>
      <c r="F367" s="0" t="inlineStr">
        <is>
          <t xml:space="preserve">-</t>
        </is>
      </c>
      <c r="G367" s="5">
        <v>3.071426</v>
      </c>
      <c r="H367" s="0" t="inlineStr">
        <is>
          <t xml:space="preserve">supplier</t>
        </is>
      </c>
      <c r="I367" s="0" t="inlineStr">
        <is>
          <t xml:space="preserve">unbucketed</t>
        </is>
      </c>
      <c r="J367" s="0" t="inlineStr">
        <is>
          <t xml:space="preserve">residual</t>
        </is>
      </c>
      <c r="K367" s="5">
        <v>0</v>
      </c>
      <c r="L367" s="5">
        <v>0</v>
      </c>
      <c r="M367" s="5">
        <v>0.0</v>
      </c>
      <c r="N367" s="5">
        <v>0.0</v>
      </c>
      <c r="O367" s="5">
        <v>0.0</v>
      </c>
      <c r="P367" s="5">
        <v>0.0</v>
      </c>
      <c r="Q367" s="5">
        <v>0.0</v>
      </c>
    </row>
    <row r="368" outlineLevel="1">
      <c r="B368" s="0" t="inlineStr">
        <is>
          <t xml:space="preserve">R. E. DARLING CO., INC.</t>
        </is>
      </c>
      <c r="C368" s="0" t="inlineStr">
        <is>
          <t xml:space="preserve">Q98EVCAE4SB8</t>
        </is>
      </c>
      <c r="D368" s="0" t="inlineStr">
        <is>
          <t xml:space="preserve">-</t>
        </is>
      </c>
      <c r="E368" s="0" t="inlineStr">
        <is>
          <t xml:space="preserve">-</t>
        </is>
      </c>
      <c r="F368" s="0" t="inlineStr">
        <is>
          <t xml:space="preserve">-</t>
        </is>
      </c>
      <c r="G368" s="5">
        <v>3.058766</v>
      </c>
      <c r="H368" s="0" t="inlineStr">
        <is>
          <t xml:space="preserve">supplier</t>
        </is>
      </c>
      <c r="I368" s="0" t="inlineStr">
        <is>
          <t xml:space="preserve">unbucketed</t>
        </is>
      </c>
      <c r="J368" s="0" t="inlineStr">
        <is>
          <t xml:space="preserve">residual</t>
        </is>
      </c>
      <c r="K368" s="5">
        <v>0</v>
      </c>
      <c r="L368" s="5">
        <v>0</v>
      </c>
      <c r="M368" s="5">
        <v>0.0</v>
      </c>
      <c r="N368" s="5">
        <v>0.0</v>
      </c>
      <c r="O368" s="5">
        <v>0.0</v>
      </c>
      <c r="P368" s="5">
        <v>0.0</v>
      </c>
      <c r="Q368" s="5">
        <v>0.0</v>
      </c>
    </row>
    <row r="369" outlineLevel="1">
      <c r="B369" s="0" t="inlineStr">
        <is>
          <t xml:space="preserve">SPARTRONICS PLAISTOW, INC.</t>
        </is>
      </c>
      <c r="C369" s="0" t="inlineStr">
        <is>
          <t xml:space="preserve">NNZAKLWMDZ66</t>
        </is>
      </c>
      <c r="D369" s="0" t="inlineStr">
        <is>
          <t xml:space="preserve">-</t>
        </is>
      </c>
      <c r="E369" s="0" t="inlineStr">
        <is>
          <t xml:space="preserve">-</t>
        </is>
      </c>
      <c r="F369" s="0" t="inlineStr">
        <is>
          <t xml:space="preserve">-</t>
        </is>
      </c>
      <c r="G369" s="5">
        <v>3.056047</v>
      </c>
      <c r="H369" s="0" t="inlineStr">
        <is>
          <t xml:space="preserve">supplier</t>
        </is>
      </c>
      <c r="I369" s="0" t="inlineStr">
        <is>
          <t xml:space="preserve">unbucketed</t>
        </is>
      </c>
      <c r="J369" s="0" t="inlineStr">
        <is>
          <t xml:space="preserve">residual</t>
        </is>
      </c>
      <c r="K369" s="5">
        <v>0</v>
      </c>
      <c r="L369" s="5">
        <v>0</v>
      </c>
      <c r="M369" s="5">
        <v>0.0</v>
      </c>
      <c r="N369" s="5">
        <v>0.0</v>
      </c>
      <c r="O369" s="5">
        <v>0.0</v>
      </c>
      <c r="P369" s="5">
        <v>0.0</v>
      </c>
      <c r="Q369" s="5">
        <v>0.0</v>
      </c>
    </row>
    <row r="370" outlineLevel="1">
      <c r="B370" s="0" t="inlineStr">
        <is>
          <t xml:space="preserve">REGAL REXNORD CORPORATION</t>
        </is>
      </c>
      <c r="C370" s="0" t="inlineStr">
        <is>
          <t xml:space="preserve">EXKBGDDB8ME9</t>
        </is>
      </c>
      <c r="D370" s="0" t="inlineStr">
        <is>
          <t xml:space="preserve">-</t>
        </is>
      </c>
      <c r="E370" s="0" t="inlineStr">
        <is>
          <t xml:space="preserve">-</t>
        </is>
      </c>
      <c r="F370" s="0" t="inlineStr">
        <is>
          <t xml:space="preserve">-</t>
        </is>
      </c>
      <c r="G370" s="5">
        <v>3.055643</v>
      </c>
      <c r="H370" s="0" t="inlineStr">
        <is>
          <t xml:space="preserve">supplier</t>
        </is>
      </c>
      <c r="I370" s="0" t="inlineStr">
        <is>
          <t xml:space="preserve">unbucketed</t>
        </is>
      </c>
      <c r="J370" s="0" t="inlineStr">
        <is>
          <t xml:space="preserve">residual</t>
        </is>
      </c>
      <c r="K370" s="5">
        <v>0</v>
      </c>
      <c r="L370" s="5">
        <v>0</v>
      </c>
      <c r="M370" s="5">
        <v>0.0</v>
      </c>
      <c r="N370" s="5">
        <v>0.0</v>
      </c>
      <c r="O370" s="5">
        <v>0.0</v>
      </c>
      <c r="P370" s="5">
        <v>0.0</v>
      </c>
      <c r="Q370" s="5">
        <v>0.0</v>
      </c>
    </row>
    <row r="371" outlineLevel="1">
      <c r="B371" s="0" t="inlineStr">
        <is>
          <t xml:space="preserve">MAGNATROL VALVE CORPORATION</t>
        </is>
      </c>
      <c r="C371" s="0" t="inlineStr">
        <is>
          <t xml:space="preserve">GE1BLXASGDJ5</t>
        </is>
      </c>
      <c r="D371" s="0" t="inlineStr">
        <is>
          <t xml:space="preserve">-</t>
        </is>
      </c>
      <c r="E371" s="0" t="inlineStr">
        <is>
          <t xml:space="preserve">-</t>
        </is>
      </c>
      <c r="F371" s="0" t="inlineStr">
        <is>
          <t xml:space="preserve">-</t>
        </is>
      </c>
      <c r="G371" s="5">
        <v>3.051996</v>
      </c>
      <c r="H371" s="0" t="inlineStr">
        <is>
          <t xml:space="preserve">supplier</t>
        </is>
      </c>
      <c r="I371" s="0" t="inlineStr">
        <is>
          <t xml:space="preserve">unbucketed</t>
        </is>
      </c>
      <c r="J371" s="0" t="inlineStr">
        <is>
          <t xml:space="preserve">residual</t>
        </is>
      </c>
      <c r="K371" s="5">
        <v>0</v>
      </c>
      <c r="L371" s="5">
        <v>0</v>
      </c>
      <c r="M371" s="5">
        <v>0.0</v>
      </c>
      <c r="N371" s="5">
        <v>0.0</v>
      </c>
      <c r="O371" s="5">
        <v>0.0</v>
      </c>
      <c r="P371" s="5">
        <v>0.0</v>
      </c>
      <c r="Q371" s="5">
        <v>0.0</v>
      </c>
    </row>
    <row r="372" outlineLevel="1">
      <c r="B372" s="0" t="inlineStr">
        <is>
          <t xml:space="preserve">U.S. PIONEER, L.L.C.</t>
        </is>
      </c>
      <c r="C372" s="0" t="inlineStr">
        <is>
          <t xml:space="preserve">QEP4TKLKQDV3</t>
        </is>
      </c>
      <c r="D372" s="0" t="inlineStr">
        <is>
          <t xml:space="preserve">-</t>
        </is>
      </c>
      <c r="E372" s="0" t="inlineStr">
        <is>
          <t xml:space="preserve">-</t>
        </is>
      </c>
      <c r="F372" s="0" t="inlineStr">
        <is>
          <t xml:space="preserve">-</t>
        </is>
      </c>
      <c r="G372" s="5">
        <v>3.038111110000001</v>
      </c>
      <c r="H372" s="0" t="inlineStr">
        <is>
          <t xml:space="preserve">supplier</t>
        </is>
      </c>
      <c r="I372" s="0" t="inlineStr">
        <is>
          <t xml:space="preserve">unbucketed</t>
        </is>
      </c>
      <c r="J372" s="0" t="inlineStr">
        <is>
          <t xml:space="preserve">residual</t>
        </is>
      </c>
      <c r="K372" s="5">
        <v>0</v>
      </c>
      <c r="L372" s="5">
        <v>0</v>
      </c>
      <c r="M372" s="5">
        <v>2.2236891099999996</v>
      </c>
      <c r="N372" s="5">
        <v>0.034908</v>
      </c>
      <c r="O372" s="5">
        <v>0.291014</v>
      </c>
      <c r="P372" s="5">
        <v>0.44343021000000005</v>
      </c>
      <c r="Q372" s="5">
        <v>0.4948028</v>
      </c>
    </row>
    <row r="373" outlineLevel="1">
      <c r="B373" s="0" t="inlineStr">
        <is>
          <t xml:space="preserve">BUILDERS INC.</t>
        </is>
      </c>
      <c r="C373" s="0" t="inlineStr">
        <is>
          <t xml:space="preserve">G3F6JNWKHCZ3</t>
        </is>
      </c>
      <c r="D373" s="0" t="inlineStr">
        <is>
          <t xml:space="preserve">-</t>
        </is>
      </c>
      <c r="E373" s="0" t="inlineStr">
        <is>
          <t xml:space="preserve">-</t>
        </is>
      </c>
      <c r="F373" s="0" t="inlineStr">
        <is>
          <t xml:space="preserve">-</t>
        </is>
      </c>
      <c r="G373" s="5">
        <v>3.01430671</v>
      </c>
      <c r="H373" s="0" t="inlineStr">
        <is>
          <t xml:space="preserve">supplier</t>
        </is>
      </c>
      <c r="I373" s="0" t="inlineStr">
        <is>
          <t xml:space="preserve">unbucketed</t>
        </is>
      </c>
      <c r="J373" s="0" t="inlineStr">
        <is>
          <t xml:space="preserve">residual</t>
        </is>
      </c>
      <c r="K373" s="5">
        <v>0</v>
      </c>
      <c r="L373" s="5">
        <v>0</v>
      </c>
      <c r="M373" s="5">
        <v>0.0</v>
      </c>
      <c r="N373" s="5">
        <v>0.0</v>
      </c>
      <c r="O373" s="5">
        <v>0.0</v>
      </c>
      <c r="P373" s="5">
        <v>0.0</v>
      </c>
      <c r="Q373" s="5">
        <v>0.0</v>
      </c>
    </row>
    <row r="374" outlineLevel="1">
      <c r="B374" s="0" t="inlineStr">
        <is>
          <t xml:space="preserve">ITT INC</t>
        </is>
      </c>
      <c r="C374" s="0" t="inlineStr">
        <is>
          <t xml:space="preserve">NHA2LDXZPES3</t>
        </is>
      </c>
      <c r="D374" s="0" t="inlineStr">
        <is>
          <t xml:space="preserve">-</t>
        </is>
      </c>
      <c r="E374" s="0" t="inlineStr">
        <is>
          <t xml:space="preserve">-</t>
        </is>
      </c>
      <c r="F374" s="0" t="inlineStr">
        <is>
          <t xml:space="preserve">-</t>
        </is>
      </c>
      <c r="G374" s="5">
        <v>3.00328672</v>
      </c>
      <c r="H374" s="0" t="inlineStr">
        <is>
          <t xml:space="preserve">supplier</t>
        </is>
      </c>
      <c r="I374" s="0" t="inlineStr">
        <is>
          <t xml:space="preserve">unbucketed</t>
        </is>
      </c>
      <c r="J374" s="0" t="inlineStr">
        <is>
          <t xml:space="preserve">residual</t>
        </is>
      </c>
      <c r="K374" s="5">
        <v>0</v>
      </c>
      <c r="L374" s="5">
        <v>0</v>
      </c>
      <c r="M374" s="5">
        <v>0.0</v>
      </c>
      <c r="N374" s="5">
        <v>0.0</v>
      </c>
      <c r="O374" s="5">
        <v>0.0</v>
      </c>
      <c r="P374" s="5">
        <v>0.0</v>
      </c>
      <c r="Q374" s="5">
        <v>0.0</v>
      </c>
    </row>
    <row r="375" outlineLevel="1">
      <c r="B375" s="0" t="inlineStr">
        <is>
          <t xml:space="preserve">HUNTINGTON INGALLS INDUSTRIES, INC</t>
        </is>
      </c>
      <c r="C375" s="0" t="inlineStr">
        <is>
          <t xml:space="preserve">VGCPT3NSM831</t>
        </is>
      </c>
      <c r="D375" s="0" t="inlineStr">
        <is>
          <t xml:space="preserve">-</t>
        </is>
      </c>
      <c r="E375" s="0" t="inlineStr">
        <is>
          <t xml:space="preserve">-</t>
        </is>
      </c>
      <c r="F375" s="0" t="inlineStr">
        <is>
          <t xml:space="preserve">-</t>
        </is>
      </c>
      <c r="G375" s="5">
        <v>2.9842579</v>
      </c>
      <c r="H375" s="0" t="inlineStr">
        <is>
          <t xml:space="preserve">co_prime</t>
        </is>
      </c>
      <c r="I375" s="0" t="inlineStr">
        <is>
          <t xml:space="preserve">-</t>
        </is>
      </c>
      <c r="J375" s="0" t="inlineStr">
        <is>
          <t xml:space="preserve">prime/co-prime name</t>
        </is>
      </c>
      <c r="K375" s="5">
        <v>0</v>
      </c>
      <c r="L375" s="5">
        <v>0</v>
      </c>
      <c r="M375" s="5">
        <v>2.9842579</v>
      </c>
      <c r="N375" s="5">
        <v>0.0</v>
      </c>
      <c r="O375" s="5">
        <v>0.0</v>
      </c>
      <c r="P375" s="5">
        <v>0.577826</v>
      </c>
      <c r="Q375" s="5">
        <v>2.4064319</v>
      </c>
    </row>
    <row r="376" outlineLevel="1">
      <c r="B376" s="0" t="inlineStr">
        <is>
          <t xml:space="preserve">AMERICAN METAL BEARING CO</t>
        </is>
      </c>
      <c r="C376" s="0" t="inlineStr">
        <is>
          <t xml:space="preserve">XYNDM1Y7XGG7</t>
        </is>
      </c>
      <c r="D376" s="0" t="inlineStr">
        <is>
          <t xml:space="preserve">-</t>
        </is>
      </c>
      <c r="E376" s="0" t="inlineStr">
        <is>
          <t xml:space="preserve">-</t>
        </is>
      </c>
      <c r="F376" s="0" t="inlineStr">
        <is>
          <t xml:space="preserve">-</t>
        </is>
      </c>
      <c r="G376" s="5">
        <v>2.9767270200000002</v>
      </c>
      <c r="H376" s="0" t="inlineStr">
        <is>
          <t xml:space="preserve">supplier</t>
        </is>
      </c>
      <c r="I376" s="0" t="inlineStr">
        <is>
          <t xml:space="preserve">machining</t>
        </is>
      </c>
      <c r="J376" s="0" t="inlineStr">
        <is>
          <t xml:space="preserve">registry</t>
        </is>
      </c>
      <c r="K376" s="5">
        <v>0</v>
      </c>
      <c r="L376" s="5">
        <v>0</v>
      </c>
      <c r="M376" s="5">
        <v>2.9767270200000002</v>
      </c>
      <c r="N376" s="5">
        <v>0.0</v>
      </c>
      <c r="O376" s="5">
        <v>0.0</v>
      </c>
      <c r="P376" s="5">
        <v>0.0</v>
      </c>
      <c r="Q376" s="5">
        <v>2.9767270200000002</v>
      </c>
    </row>
    <row r="377" outlineLevel="1">
      <c r="B377" s="0" t="inlineStr">
        <is>
          <t xml:space="preserve">REAL-TIME INNOVATIONS, INC.</t>
        </is>
      </c>
      <c r="C377" s="0" t="inlineStr">
        <is>
          <t xml:space="preserve">H293LTV8R2U3</t>
        </is>
      </c>
      <c r="D377" s="0" t="inlineStr">
        <is>
          <t xml:space="preserve">USA</t>
        </is>
      </c>
      <c r="E377" s="0" t="inlineStr">
        <is>
          <t xml:space="preserve">5132</t>
        </is>
      </c>
      <c r="F377" s="0" t="inlineStr">
        <is>
          <t xml:space="preserve">Software Publishers</t>
        </is>
      </c>
      <c r="G377" s="5">
        <v>2.975788000000001</v>
      </c>
      <c r="H377" s="0" t="inlineStr">
        <is>
          <t xml:space="preserve">service</t>
        </is>
      </c>
      <c r="I377" s="0" t="inlineStr">
        <is>
          <t xml:space="preserve">-</t>
        </is>
      </c>
      <c r="J377" s="0" t="inlineStr">
        <is>
          <t xml:space="preserve">service NAICS</t>
        </is>
      </c>
      <c r="K377" s="5">
        <v>0</v>
      </c>
      <c r="L377" s="5">
        <v>0</v>
      </c>
      <c r="M377" s="5">
        <v>0.0</v>
      </c>
      <c r="N377" s="5">
        <v>0.0</v>
      </c>
      <c r="O377" s="5">
        <v>0.0</v>
      </c>
      <c r="P377" s="5">
        <v>0.0</v>
      </c>
      <c r="Q377" s="5">
        <v>0.0</v>
      </c>
    </row>
    <row r="378" outlineLevel="1">
      <c r="B378" s="0" t="inlineStr">
        <is>
          <t xml:space="preserve">VELAN VALVE CORP.</t>
        </is>
      </c>
      <c r="C378" s="0" t="inlineStr">
        <is>
          <t xml:space="preserve">FYS6F3284LN3</t>
        </is>
      </c>
      <c r="D378" s="0" t="inlineStr">
        <is>
          <t xml:space="preserve">-</t>
        </is>
      </c>
      <c r="E378" s="0" t="inlineStr">
        <is>
          <t xml:space="preserve">-</t>
        </is>
      </c>
      <c r="F378" s="0" t="inlineStr">
        <is>
          <t xml:space="preserve">-</t>
        </is>
      </c>
      <c r="G378" s="5">
        <v>2.9525570100000005</v>
      </c>
      <c r="H378" s="0" t="inlineStr">
        <is>
          <t xml:space="preserve">supplier</t>
        </is>
      </c>
      <c r="I378" s="0" t="inlineStr">
        <is>
          <t xml:space="preserve">unbucketed</t>
        </is>
      </c>
      <c r="J378" s="0" t="inlineStr">
        <is>
          <t xml:space="preserve">residual</t>
        </is>
      </c>
      <c r="K378" s="5">
        <v>0</v>
      </c>
      <c r="L378" s="5">
        <v>0</v>
      </c>
      <c r="M378" s="5">
        <v>2.9525570100000005</v>
      </c>
      <c r="N378" s="5">
        <v>0.08298271</v>
      </c>
      <c r="O378" s="5">
        <v>1.7669673000000001</v>
      </c>
      <c r="P378" s="5">
        <v>0.5349370000000001</v>
      </c>
      <c r="Q378" s="5">
        <v>0.56767</v>
      </c>
    </row>
    <row r="379" outlineLevel="1">
      <c r="B379" s="0" t="inlineStr">
        <is>
          <t xml:space="preserve">LTP MODERN MACHINE INC</t>
        </is>
      </c>
      <c r="C379" s="0" t="inlineStr">
        <is>
          <t xml:space="preserve">FHMCZVLTW7H8</t>
        </is>
      </c>
      <c r="D379" s="0" t="inlineStr">
        <is>
          <t xml:space="preserve">-</t>
        </is>
      </c>
      <c r="E379" s="0" t="inlineStr">
        <is>
          <t xml:space="preserve">-</t>
        </is>
      </c>
      <c r="F379" s="0" t="inlineStr">
        <is>
          <t xml:space="preserve">-</t>
        </is>
      </c>
      <c r="G379" s="5">
        <v>2.9293193599999996</v>
      </c>
      <c r="H379" s="0" t="inlineStr">
        <is>
          <t xml:space="preserve">supplier</t>
        </is>
      </c>
      <c r="I379" s="0" t="inlineStr">
        <is>
          <t xml:space="preserve">unbucketed</t>
        </is>
      </c>
      <c r="J379" s="0" t="inlineStr">
        <is>
          <t xml:space="preserve">residual</t>
        </is>
      </c>
      <c r="K379" s="5">
        <v>0</v>
      </c>
      <c r="L379" s="5">
        <v>0</v>
      </c>
      <c r="M379" s="5">
        <v>0.0</v>
      </c>
      <c r="N379" s="5">
        <v>0.0</v>
      </c>
      <c r="O379" s="5">
        <v>0.0</v>
      </c>
      <c r="P379" s="5">
        <v>0.0</v>
      </c>
      <c r="Q379" s="5">
        <v>0.0</v>
      </c>
    </row>
    <row r="380" outlineLevel="1">
      <c r="B380" s="0" t="inlineStr">
        <is>
          <t xml:space="preserve">D &amp; G MACHINE PRODUCTS INC</t>
        </is>
      </c>
      <c r="C380" s="0" t="inlineStr">
        <is>
          <t xml:space="preserve">Z41NS9V1TZH7</t>
        </is>
      </c>
      <c r="D380" s="0" t="inlineStr">
        <is>
          <t xml:space="preserve">-</t>
        </is>
      </c>
      <c r="E380" s="0" t="inlineStr">
        <is>
          <t xml:space="preserve">-</t>
        </is>
      </c>
      <c r="F380" s="0" t="inlineStr">
        <is>
          <t xml:space="preserve">-</t>
        </is>
      </c>
      <c r="G380" s="5">
        <v>2.916978</v>
      </c>
      <c r="H380" s="0" t="inlineStr">
        <is>
          <t xml:space="preserve">supplier</t>
        </is>
      </c>
      <c r="I380" s="0" t="inlineStr">
        <is>
          <t xml:space="preserve">unbucketed</t>
        </is>
      </c>
      <c r="J380" s="0" t="inlineStr">
        <is>
          <t xml:space="preserve">residual</t>
        </is>
      </c>
      <c r="K380" s="5">
        <v>0</v>
      </c>
      <c r="L380" s="5">
        <v>0</v>
      </c>
      <c r="M380" s="5">
        <v>0.0</v>
      </c>
      <c r="N380" s="5">
        <v>0.0</v>
      </c>
      <c r="O380" s="5">
        <v>0.0</v>
      </c>
      <c r="P380" s="5">
        <v>0.0</v>
      </c>
      <c r="Q380" s="5">
        <v>0.0</v>
      </c>
    </row>
    <row r="381" outlineLevel="1">
      <c r="B381" s="0" t="inlineStr">
        <is>
          <t xml:space="preserve">HOUDSTERMAATSCHAPPIJ WILG B.V.</t>
        </is>
      </c>
      <c r="C381" s="0" t="inlineStr">
        <is>
          <t xml:space="preserve">SSD8KRDXKG46</t>
        </is>
      </c>
      <c r="D381" s="0" t="inlineStr">
        <is>
          <t xml:space="preserve">USA</t>
        </is>
      </c>
      <c r="E381" s="0" t="inlineStr">
        <is>
          <t xml:space="preserve">2382</t>
        </is>
      </c>
      <c r="F381" s="0" t="inlineStr">
        <is>
          <t xml:space="preserve">Electrical Contractors and Other Wiring Installation Contractors</t>
        </is>
      </c>
      <c r="G381" s="5">
        <v>2.9082395799999996</v>
      </c>
      <c r="H381" s="0" t="inlineStr">
        <is>
          <t xml:space="preserve">supplier</t>
        </is>
      </c>
      <c r="I381" s="0" t="inlineStr">
        <is>
          <t xml:space="preserve">piping</t>
        </is>
      </c>
      <c r="J381" s="0" t="inlineStr">
        <is>
          <t xml:space="preserve">registry</t>
        </is>
      </c>
      <c r="K381" s="5">
        <v>0</v>
      </c>
      <c r="L381" s="5">
        <v>0</v>
      </c>
      <c r="M381" s="5">
        <v>2.9082395799999996</v>
      </c>
      <c r="N381" s="5">
        <v>0.0</v>
      </c>
      <c r="O381" s="5">
        <v>0.0</v>
      </c>
      <c r="P381" s="5">
        <v>0.0</v>
      </c>
      <c r="Q381" s="5">
        <v>0.0</v>
      </c>
    </row>
    <row r="382" outlineLevel="1">
      <c r="B382" s="0" t="inlineStr">
        <is>
          <t xml:space="preserve">HERMETIC SOLUTIONS GROUP INC.</t>
        </is>
      </c>
      <c r="C382" s="0" t="inlineStr">
        <is>
          <t xml:space="preserve">UJL7ULNK2K94</t>
        </is>
      </c>
      <c r="D382" s="0" t="inlineStr">
        <is>
          <t xml:space="preserve">-</t>
        </is>
      </c>
      <c r="E382" s="0" t="inlineStr">
        <is>
          <t xml:space="preserve">-</t>
        </is>
      </c>
      <c r="F382" s="0" t="inlineStr">
        <is>
          <t xml:space="preserve">-</t>
        </is>
      </c>
      <c r="G382" s="5">
        <v>2.8945664200000003</v>
      </c>
      <c r="H382" s="0" t="inlineStr">
        <is>
          <t xml:space="preserve">supplier</t>
        </is>
      </c>
      <c r="I382" s="0" t="inlineStr">
        <is>
          <t xml:space="preserve">unbucketed</t>
        </is>
      </c>
      <c r="J382" s="0" t="inlineStr">
        <is>
          <t xml:space="preserve">residual</t>
        </is>
      </c>
      <c r="K382" s="5">
        <v>0</v>
      </c>
      <c r="L382" s="5">
        <v>0</v>
      </c>
      <c r="M382" s="5">
        <v>0.0</v>
      </c>
      <c r="N382" s="5">
        <v>0.0</v>
      </c>
      <c r="O382" s="5">
        <v>0.0</v>
      </c>
      <c r="P382" s="5">
        <v>0.0</v>
      </c>
      <c r="Q382" s="5">
        <v>0.0</v>
      </c>
    </row>
    <row r="383" outlineLevel="1">
      <c r="B383" s="0" t="inlineStr">
        <is>
          <t xml:space="preserve">REMTEC, INCORPORATED</t>
        </is>
      </c>
      <c r="C383" s="0" t="inlineStr">
        <is>
          <t xml:space="preserve">W3JAYMPSP864</t>
        </is>
      </c>
      <c r="D383" s="0" t="inlineStr">
        <is>
          <t xml:space="preserve">-</t>
        </is>
      </c>
      <c r="E383" s="0" t="inlineStr">
        <is>
          <t xml:space="preserve">-</t>
        </is>
      </c>
      <c r="F383" s="0" t="inlineStr">
        <is>
          <t xml:space="preserve">-</t>
        </is>
      </c>
      <c r="G383" s="5">
        <v>2.894441</v>
      </c>
      <c r="H383" s="0" t="inlineStr">
        <is>
          <t xml:space="preserve">supplier</t>
        </is>
      </c>
      <c r="I383" s="0" t="inlineStr">
        <is>
          <t xml:space="preserve">unbucketed</t>
        </is>
      </c>
      <c r="J383" s="0" t="inlineStr">
        <is>
          <t xml:space="preserve">residual</t>
        </is>
      </c>
      <c r="K383" s="5">
        <v>0</v>
      </c>
      <c r="L383" s="5">
        <v>0</v>
      </c>
      <c r="M383" s="5">
        <v>0.0</v>
      </c>
      <c r="N383" s="5">
        <v>0.0</v>
      </c>
      <c r="O383" s="5">
        <v>0.0</v>
      </c>
      <c r="P383" s="5">
        <v>0.0</v>
      </c>
      <c r="Q383" s="5">
        <v>0.0</v>
      </c>
    </row>
    <row r="384" outlineLevel="1">
      <c r="B384" s="0" t="inlineStr">
        <is>
          <t xml:space="preserve">PACIFIC SHIPYARDS INTERNATIONAL, LLC</t>
        </is>
      </c>
      <c r="C384" s="0" t="inlineStr">
        <is>
          <t xml:space="preserve">K84MXRVQ8BW5</t>
        </is>
      </c>
      <c r="D384" s="0" t="inlineStr">
        <is>
          <t xml:space="preserve">-</t>
        </is>
      </c>
      <c r="E384" s="0" t="inlineStr">
        <is>
          <t xml:space="preserve">-</t>
        </is>
      </c>
      <c r="F384" s="0" t="inlineStr">
        <is>
          <t xml:space="preserve">-</t>
        </is>
      </c>
      <c r="G384" s="5">
        <v>2.8565</v>
      </c>
      <c r="H384" s="0" t="inlineStr">
        <is>
          <t xml:space="preserve">supplier</t>
        </is>
      </c>
      <c r="I384" s="0" t="inlineStr">
        <is>
          <t xml:space="preserve">unbucketed</t>
        </is>
      </c>
      <c r="J384" s="0" t="inlineStr">
        <is>
          <t xml:space="preserve">residual</t>
        </is>
      </c>
      <c r="K384" s="5">
        <v>0</v>
      </c>
      <c r="L384" s="5">
        <v>0</v>
      </c>
      <c r="M384" s="5">
        <v>2.8565</v>
      </c>
      <c r="N384" s="5">
        <v>0.0</v>
      </c>
      <c r="O384" s="5">
        <v>0.0</v>
      </c>
      <c r="P384" s="5">
        <v>0.0</v>
      </c>
      <c r="Q384" s="5">
        <v>2.8565</v>
      </c>
    </row>
    <row r="385" outlineLevel="1">
      <c r="B385" s="0" t="inlineStr">
        <is>
          <t xml:space="preserve">ITT ENIDINE INC.</t>
        </is>
      </c>
      <c r="C385" s="0" t="inlineStr">
        <is>
          <t xml:space="preserve">NHA2LDXZPES3</t>
        </is>
      </c>
      <c r="D385" s="0" t="inlineStr">
        <is>
          <t xml:space="preserve">-</t>
        </is>
      </c>
      <c r="E385" s="0" t="inlineStr">
        <is>
          <t xml:space="preserve">-</t>
        </is>
      </c>
      <c r="F385" s="0" t="inlineStr">
        <is>
          <t xml:space="preserve">-</t>
        </is>
      </c>
      <c r="G385" s="5">
        <v>2.8560115600000002</v>
      </c>
      <c r="H385" s="0" t="inlineStr">
        <is>
          <t xml:space="preserve">supplier</t>
        </is>
      </c>
      <c r="I385" s="0" t="inlineStr">
        <is>
          <t xml:space="preserve">unbucketed</t>
        </is>
      </c>
      <c r="J385" s="0" t="inlineStr">
        <is>
          <t xml:space="preserve">residual</t>
        </is>
      </c>
      <c r="K385" s="5">
        <v>0</v>
      </c>
      <c r="L385" s="5">
        <v>0</v>
      </c>
      <c r="M385" s="5">
        <v>0.0</v>
      </c>
      <c r="N385" s="5">
        <v>0.0</v>
      </c>
      <c r="O385" s="5">
        <v>0.0</v>
      </c>
      <c r="P385" s="5">
        <v>0.0</v>
      </c>
      <c r="Q385" s="5">
        <v>0.0</v>
      </c>
    </row>
    <row r="386" outlineLevel="1">
      <c r="B386" s="0" t="inlineStr">
        <is>
          <t xml:space="preserve">CRANE PUMPS &amp; SYSTEMS PFT CORP</t>
        </is>
      </c>
      <c r="C386" s="0" t="inlineStr">
        <is>
          <t xml:space="preserve">ZJYJB7MBFE56</t>
        </is>
      </c>
      <c r="D386" s="0" t="inlineStr">
        <is>
          <t xml:space="preserve">-</t>
        </is>
      </c>
      <c r="E386" s="0" t="inlineStr">
        <is>
          <t xml:space="preserve">-</t>
        </is>
      </c>
      <c r="F386" s="0" t="inlineStr">
        <is>
          <t xml:space="preserve">-</t>
        </is>
      </c>
      <c r="G386" s="5">
        <v>2.8457875399999994</v>
      </c>
      <c r="H386" s="0" t="inlineStr">
        <is>
          <t xml:space="preserve">supplier</t>
        </is>
      </c>
      <c r="I386" s="0" t="inlineStr">
        <is>
          <t xml:space="preserve">unbucketed</t>
        </is>
      </c>
      <c r="J386" s="0" t="inlineStr">
        <is>
          <t xml:space="preserve">residual</t>
        </is>
      </c>
      <c r="K386" s="5">
        <v>0</v>
      </c>
      <c r="L386" s="5">
        <v>0</v>
      </c>
      <c r="M386" s="5">
        <v>2.7425175399999997</v>
      </c>
      <c r="N386" s="5">
        <v>0.0</v>
      </c>
      <c r="O386" s="5">
        <v>0.20006900000000002</v>
      </c>
      <c r="P386" s="5">
        <v>2.4458245799999996</v>
      </c>
      <c r="Q386" s="5">
        <v>0.09662396000000001</v>
      </c>
    </row>
    <row r="387" outlineLevel="1">
      <c r="B387" s="0" t="inlineStr">
        <is>
          <t xml:space="preserve">LOGUS MANUFACTURING CORP.</t>
        </is>
      </c>
      <c r="C387" s="0" t="inlineStr">
        <is>
          <t xml:space="preserve">CFA6Y78KK6Z3</t>
        </is>
      </c>
      <c r="D387" s="0" t="inlineStr">
        <is>
          <t xml:space="preserve">-</t>
        </is>
      </c>
      <c r="E387" s="0" t="inlineStr">
        <is>
          <t xml:space="preserve">-</t>
        </is>
      </c>
      <c r="F387" s="0" t="inlineStr">
        <is>
          <t xml:space="preserve">-</t>
        </is>
      </c>
      <c r="G387" s="5">
        <v>2.845696949999999</v>
      </c>
      <c r="H387" s="0" t="inlineStr">
        <is>
          <t xml:space="preserve">supplier</t>
        </is>
      </c>
      <c r="I387" s="0" t="inlineStr">
        <is>
          <t xml:space="preserve">unbucketed</t>
        </is>
      </c>
      <c r="J387" s="0" t="inlineStr">
        <is>
          <t xml:space="preserve">residual</t>
        </is>
      </c>
      <c r="K387" s="5">
        <v>0</v>
      </c>
      <c r="L387" s="5">
        <v>0</v>
      </c>
      <c r="M387" s="5">
        <v>0.0</v>
      </c>
      <c r="N387" s="5">
        <v>0.0</v>
      </c>
      <c r="O387" s="5">
        <v>0.0</v>
      </c>
      <c r="P387" s="5">
        <v>0.0</v>
      </c>
      <c r="Q387" s="5">
        <v>0.0</v>
      </c>
    </row>
    <row r="388" outlineLevel="1">
      <c r="B388" s="0" t="inlineStr">
        <is>
          <t xml:space="preserve">WILLIAM E WILLIAMS, VALVE CORP</t>
        </is>
      </c>
      <c r="C388" s="0" t="inlineStr">
        <is>
          <t xml:space="preserve">L2EDH4DX27J5</t>
        </is>
      </c>
      <c r="D388" s="0" t="inlineStr">
        <is>
          <t xml:space="preserve">-</t>
        </is>
      </c>
      <c r="E388" s="0" t="inlineStr">
        <is>
          <t xml:space="preserve">-</t>
        </is>
      </c>
      <c r="F388" s="0" t="inlineStr">
        <is>
          <t xml:space="preserve">-</t>
        </is>
      </c>
      <c r="G388" s="5">
        <v>2.8202019999999997</v>
      </c>
      <c r="H388" s="0" t="inlineStr">
        <is>
          <t xml:space="preserve">supplier</t>
        </is>
      </c>
      <c r="I388" s="0" t="inlineStr">
        <is>
          <t xml:space="preserve">unbucketed</t>
        </is>
      </c>
      <c r="J388" s="0" t="inlineStr">
        <is>
          <t xml:space="preserve">residual</t>
        </is>
      </c>
      <c r="K388" s="5">
        <v>0</v>
      </c>
      <c r="L388" s="5">
        <v>0</v>
      </c>
      <c r="M388" s="5">
        <v>2.8202019999999997</v>
      </c>
      <c r="N388" s="5">
        <v>1.8482660000000004</v>
      </c>
      <c r="O388" s="5">
        <v>0.514551</v>
      </c>
      <c r="P388" s="5">
        <v>0.0</v>
      </c>
      <c r="Q388" s="5">
        <v>0.0</v>
      </c>
    </row>
    <row r="389" outlineLevel="1">
      <c r="B389" s="0" t="inlineStr">
        <is>
          <t xml:space="preserve">CURTISS-WRIGHT FLOW CONTROL CORPORATION</t>
        </is>
      </c>
      <c r="C389" s="0" t="inlineStr">
        <is>
          <t xml:space="preserve">NYGUEDY27AM8</t>
        </is>
      </c>
      <c r="D389" s="0" t="inlineStr">
        <is>
          <t xml:space="preserve">-</t>
        </is>
      </c>
      <c r="E389" s="0" t="inlineStr">
        <is>
          <t xml:space="preserve">-</t>
        </is>
      </c>
      <c r="F389" s="0" t="inlineStr">
        <is>
          <t xml:space="preserve">-</t>
        </is>
      </c>
      <c r="G389" s="5">
        <v>2.794549</v>
      </c>
      <c r="H389" s="0" t="inlineStr">
        <is>
          <t xml:space="preserve">supplier</t>
        </is>
      </c>
      <c r="I389" s="0" t="inlineStr">
        <is>
          <t xml:space="preserve">piping</t>
        </is>
      </c>
      <c r="J389" s="0" t="inlineStr">
        <is>
          <t xml:space="preserve">registry</t>
        </is>
      </c>
      <c r="K389" s="5">
        <v>0</v>
      </c>
      <c r="L389" s="5">
        <v>0</v>
      </c>
      <c r="M389" s="5">
        <v>2.794549</v>
      </c>
      <c r="N389" s="5">
        <v>0.0</v>
      </c>
      <c r="O389" s="5">
        <v>0.0</v>
      </c>
      <c r="P389" s="5">
        <v>2.763602</v>
      </c>
      <c r="Q389" s="5">
        <v>0.030947</v>
      </c>
    </row>
    <row r="390" outlineLevel="1">
      <c r="B390" s="0" t="inlineStr">
        <is>
          <t xml:space="preserve">MICRO-MODE PRODUCTS, INC.</t>
        </is>
      </c>
      <c r="C390" s="0" t="inlineStr">
        <is>
          <t xml:space="preserve">Q4J5MACCLQR3</t>
        </is>
      </c>
      <c r="D390" s="0" t="inlineStr">
        <is>
          <t xml:space="preserve">-</t>
        </is>
      </c>
      <c r="E390" s="0" t="inlineStr">
        <is>
          <t xml:space="preserve">-</t>
        </is>
      </c>
      <c r="F390" s="0" t="inlineStr">
        <is>
          <t xml:space="preserve">-</t>
        </is>
      </c>
      <c r="G390" s="5">
        <v>2.7760779999999996</v>
      </c>
      <c r="H390" s="0" t="inlineStr">
        <is>
          <t xml:space="preserve">supplier</t>
        </is>
      </c>
      <c r="I390" s="0" t="inlineStr">
        <is>
          <t xml:space="preserve">unbucketed</t>
        </is>
      </c>
      <c r="J390" s="0" t="inlineStr">
        <is>
          <t xml:space="preserve">residual</t>
        </is>
      </c>
      <c r="K390" s="5">
        <v>0</v>
      </c>
      <c r="L390" s="5">
        <v>0</v>
      </c>
      <c r="M390" s="5">
        <v>0.0</v>
      </c>
      <c r="N390" s="5">
        <v>0.0</v>
      </c>
      <c r="O390" s="5">
        <v>0.0</v>
      </c>
      <c r="P390" s="5">
        <v>0.0</v>
      </c>
      <c r="Q390" s="5">
        <v>0.0</v>
      </c>
    </row>
    <row r="391" outlineLevel="1">
      <c r="B391" s="0" t="inlineStr">
        <is>
          <t xml:space="preserve">HUBER+SUHNER ASTROLAB, INC.</t>
        </is>
      </c>
      <c r="C391" s="0" t="inlineStr">
        <is>
          <t xml:space="preserve">LDZLUVBL2WM5</t>
        </is>
      </c>
      <c r="D391" s="0" t="inlineStr">
        <is>
          <t xml:space="preserve">-</t>
        </is>
      </c>
      <c r="E391" s="0" t="inlineStr">
        <is>
          <t xml:space="preserve">-</t>
        </is>
      </c>
      <c r="F391" s="0" t="inlineStr">
        <is>
          <t xml:space="preserve">-</t>
        </is>
      </c>
      <c r="G391" s="5">
        <v>2.7547549999999994</v>
      </c>
      <c r="H391" s="0" t="inlineStr">
        <is>
          <t xml:space="preserve">supplier</t>
        </is>
      </c>
      <c r="I391" s="0" t="inlineStr">
        <is>
          <t xml:space="preserve">unbucketed</t>
        </is>
      </c>
      <c r="J391" s="0" t="inlineStr">
        <is>
          <t xml:space="preserve">residual</t>
        </is>
      </c>
      <c r="K391" s="5">
        <v>0</v>
      </c>
      <c r="L391" s="5">
        <v>0</v>
      </c>
      <c r="M391" s="5">
        <v>0.0</v>
      </c>
      <c r="N391" s="5">
        <v>0.0</v>
      </c>
      <c r="O391" s="5">
        <v>0.0</v>
      </c>
      <c r="P391" s="5">
        <v>0.0</v>
      </c>
      <c r="Q391" s="5">
        <v>0.0</v>
      </c>
    </row>
    <row r="392" outlineLevel="1">
      <c r="B392" s="0" t="inlineStr">
        <is>
          <t xml:space="preserve">AVNET, INC.</t>
        </is>
      </c>
      <c r="C392" s="0" t="inlineStr">
        <is>
          <t xml:space="preserve">F12SCV4VEDE1</t>
        </is>
      </c>
      <c r="D392" s="0" t="inlineStr">
        <is>
          <t xml:space="preserve">-</t>
        </is>
      </c>
      <c r="E392" s="0" t="inlineStr">
        <is>
          <t xml:space="preserve">-</t>
        </is>
      </c>
      <c r="F392" s="0" t="inlineStr">
        <is>
          <t xml:space="preserve">-</t>
        </is>
      </c>
      <c r="G392" s="5">
        <v>2.75322234</v>
      </c>
      <c r="H392" s="0" t="inlineStr">
        <is>
          <t xml:space="preserve">supplier</t>
        </is>
      </c>
      <c r="I392" s="0" t="inlineStr">
        <is>
          <t xml:space="preserve">unbucketed</t>
        </is>
      </c>
      <c r="J392" s="0" t="inlineStr">
        <is>
          <t xml:space="preserve">residual</t>
        </is>
      </c>
      <c r="K392" s="5">
        <v>0</v>
      </c>
      <c r="L392" s="5">
        <v>0</v>
      </c>
      <c r="M392" s="5">
        <v>0.0</v>
      </c>
      <c r="N392" s="5">
        <v>0.0</v>
      </c>
      <c r="O392" s="5">
        <v>0.0</v>
      </c>
      <c r="P392" s="5">
        <v>0.0</v>
      </c>
      <c r="Q392" s="5">
        <v>0.0</v>
      </c>
    </row>
    <row r="393" outlineLevel="1">
      <c r="B393" s="0" t="inlineStr">
        <is>
          <t xml:space="preserve">FCX SYSTEMS, INC.</t>
        </is>
      </c>
      <c r="C393" s="0" t="inlineStr">
        <is>
          <t xml:space="preserve">ZU51LS7JZ8L5</t>
        </is>
      </c>
      <c r="D393" s="0" t="inlineStr">
        <is>
          <t xml:space="preserve">-</t>
        </is>
      </c>
      <c r="E393" s="0" t="inlineStr">
        <is>
          <t xml:space="preserve">-</t>
        </is>
      </c>
      <c r="F393" s="0" t="inlineStr">
        <is>
          <t xml:space="preserve">-</t>
        </is>
      </c>
      <c r="G393" s="5">
        <v>2.75070118</v>
      </c>
      <c r="H393" s="0" t="inlineStr">
        <is>
          <t xml:space="preserve">supplier</t>
        </is>
      </c>
      <c r="I393" s="0" t="inlineStr">
        <is>
          <t xml:space="preserve">unbucketed</t>
        </is>
      </c>
      <c r="J393" s="0" t="inlineStr">
        <is>
          <t xml:space="preserve">residual</t>
        </is>
      </c>
      <c r="K393" s="5">
        <v>0</v>
      </c>
      <c r="L393" s="5">
        <v>0</v>
      </c>
      <c r="M393" s="5">
        <v>2.75070118</v>
      </c>
      <c r="N393" s="5">
        <v>2.622083</v>
      </c>
      <c r="O393" s="5">
        <v>0.0</v>
      </c>
      <c r="P393" s="5">
        <v>0.0</v>
      </c>
      <c r="Q393" s="5">
        <v>0.0</v>
      </c>
    </row>
    <row r="394" outlineLevel="1">
      <c r="B394" s="0" t="inlineStr">
        <is>
          <t xml:space="preserve">OROLIA GOVERNMENT SYSTEMS INC</t>
        </is>
      </c>
      <c r="C394" s="0" t="inlineStr">
        <is>
          <t xml:space="preserve">CJQKS54NSXU7</t>
        </is>
      </c>
      <c r="D394" s="0" t="inlineStr">
        <is>
          <t xml:space="preserve">-</t>
        </is>
      </c>
      <c r="E394" s="0" t="inlineStr">
        <is>
          <t xml:space="preserve">-</t>
        </is>
      </c>
      <c r="F394" s="0" t="inlineStr">
        <is>
          <t xml:space="preserve">-</t>
        </is>
      </c>
      <c r="G394" s="5">
        <v>2.7305</v>
      </c>
      <c r="H394" s="0" t="inlineStr">
        <is>
          <t xml:space="preserve">supplier</t>
        </is>
      </c>
      <c r="I394" s="0" t="inlineStr">
        <is>
          <t xml:space="preserve">unbucketed</t>
        </is>
      </c>
      <c r="J394" s="0" t="inlineStr">
        <is>
          <t xml:space="preserve">residual</t>
        </is>
      </c>
      <c r="K394" s="5">
        <v>0</v>
      </c>
      <c r="L394" s="5">
        <v>0</v>
      </c>
      <c r="M394" s="5">
        <v>0.0</v>
      </c>
      <c r="N394" s="5">
        <v>0.0</v>
      </c>
      <c r="O394" s="5">
        <v>0.0</v>
      </c>
      <c r="P394" s="5">
        <v>0.0</v>
      </c>
      <c r="Q394" s="5">
        <v>0.0</v>
      </c>
    </row>
    <row r="395" outlineLevel="1">
      <c r="B395" s="0" t="inlineStr">
        <is>
          <t xml:space="preserve">MB AEROSPACE STERLING HEIGHTS, INC.</t>
        </is>
      </c>
      <c r="C395" s="0" t="inlineStr">
        <is>
          <t xml:space="preserve">GME7GBC2EXU9</t>
        </is>
      </c>
      <c r="D395" s="0" t="inlineStr">
        <is>
          <t xml:space="preserve">-</t>
        </is>
      </c>
      <c r="E395" s="0" t="inlineStr">
        <is>
          <t xml:space="preserve">-</t>
        </is>
      </c>
      <c r="F395" s="0" t="inlineStr">
        <is>
          <t xml:space="preserve">-</t>
        </is>
      </c>
      <c r="G395" s="5">
        <v>2.71631996</v>
      </c>
      <c r="H395" s="0" t="inlineStr">
        <is>
          <t xml:space="preserve">supplier</t>
        </is>
      </c>
      <c r="I395" s="0" t="inlineStr">
        <is>
          <t xml:space="preserve">unbucketed</t>
        </is>
      </c>
      <c r="J395" s="0" t="inlineStr">
        <is>
          <t xml:space="preserve">residual</t>
        </is>
      </c>
      <c r="K395" s="5">
        <v>0</v>
      </c>
      <c r="L395" s="5">
        <v>0</v>
      </c>
      <c r="M395" s="5">
        <v>0.0</v>
      </c>
      <c r="N395" s="5">
        <v>0.0</v>
      </c>
      <c r="O395" s="5">
        <v>0.0</v>
      </c>
      <c r="P395" s="5">
        <v>0.0</v>
      </c>
      <c r="Q395" s="5">
        <v>0.0</v>
      </c>
    </row>
    <row r="396" outlineLevel="1">
      <c r="B396" s="0" t="inlineStr">
        <is>
          <t xml:space="preserve">B N L INDUSTRIES INC</t>
        </is>
      </c>
      <c r="C396" s="0" t="inlineStr">
        <is>
          <t xml:space="preserve">PJRYS7EFXQD9</t>
        </is>
      </c>
      <c r="D396" s="0" t="inlineStr">
        <is>
          <t xml:space="preserve">-</t>
        </is>
      </c>
      <c r="E396" s="0" t="inlineStr">
        <is>
          <t xml:space="preserve">-</t>
        </is>
      </c>
      <c r="F396" s="0" t="inlineStr">
        <is>
          <t xml:space="preserve">-</t>
        </is>
      </c>
      <c r="G396" s="5">
        <v>2.70048405</v>
      </c>
      <c r="H396" s="0" t="inlineStr">
        <is>
          <t xml:space="preserve">supplier</t>
        </is>
      </c>
      <c r="I396" s="0" t="inlineStr">
        <is>
          <t xml:space="preserve">unbucketed</t>
        </is>
      </c>
      <c r="J396" s="0" t="inlineStr">
        <is>
          <t xml:space="preserve">residual</t>
        </is>
      </c>
      <c r="K396" s="5">
        <v>0</v>
      </c>
      <c r="L396" s="5">
        <v>0</v>
      </c>
      <c r="M396" s="5">
        <v>2.70048405</v>
      </c>
      <c r="N396" s="5">
        <v>0.0</v>
      </c>
      <c r="O396" s="5">
        <v>0.99275853</v>
      </c>
      <c r="P396" s="5">
        <v>0.34790998</v>
      </c>
      <c r="Q396" s="5">
        <v>1.3598155399999998</v>
      </c>
    </row>
    <row r="397" outlineLevel="1">
      <c r="B397" s="0" t="inlineStr">
        <is>
          <t xml:space="preserve">KAPCO INC</t>
        </is>
      </c>
      <c r="C397" s="0" t="inlineStr">
        <is>
          <t xml:space="preserve">LYBAK1CL2JK3</t>
        </is>
      </c>
      <c r="D397" s="0" t="inlineStr">
        <is>
          <t xml:space="preserve">-</t>
        </is>
      </c>
      <c r="E397" s="0" t="inlineStr">
        <is>
          <t xml:space="preserve">-</t>
        </is>
      </c>
      <c r="F397" s="0" t="inlineStr">
        <is>
          <t xml:space="preserve">-</t>
        </is>
      </c>
      <c r="G397" s="5">
        <v>2.68621853</v>
      </c>
      <c r="H397" s="0" t="inlineStr">
        <is>
          <t xml:space="preserve">supplier</t>
        </is>
      </c>
      <c r="I397" s="0" t="inlineStr">
        <is>
          <t xml:space="preserve">unbucketed</t>
        </is>
      </c>
      <c r="J397" s="0" t="inlineStr">
        <is>
          <t xml:space="preserve">residual</t>
        </is>
      </c>
      <c r="K397" s="5">
        <v>0</v>
      </c>
      <c r="L397" s="5">
        <v>0</v>
      </c>
      <c r="M397" s="5">
        <v>0.0</v>
      </c>
      <c r="N397" s="5">
        <v>0.0</v>
      </c>
      <c r="O397" s="5">
        <v>0.0</v>
      </c>
      <c r="P397" s="5">
        <v>0.0</v>
      </c>
      <c r="Q397" s="5">
        <v>0.0</v>
      </c>
    </row>
    <row r="398" outlineLevel="1">
      <c r="B398" s="0" t="inlineStr">
        <is>
          <t xml:space="preserve">SMITHS GROUP PLC</t>
        </is>
      </c>
      <c r="C398" s="0" t="inlineStr">
        <is>
          <t xml:space="preserve">LXM1WU4Y1Q63</t>
        </is>
      </c>
      <c r="D398" s="0" t="inlineStr">
        <is>
          <t xml:space="preserve">-</t>
        </is>
      </c>
      <c r="E398" s="0" t="inlineStr">
        <is>
          <t xml:space="preserve">-</t>
        </is>
      </c>
      <c r="F398" s="0" t="inlineStr">
        <is>
          <t xml:space="preserve">-</t>
        </is>
      </c>
      <c r="G398" s="5">
        <v>2.67560932</v>
      </c>
      <c r="H398" s="0" t="inlineStr">
        <is>
          <t xml:space="preserve">supplier</t>
        </is>
      </c>
      <c r="I398" s="0" t="inlineStr">
        <is>
          <t xml:space="preserve">unbucketed</t>
        </is>
      </c>
      <c r="J398" s="0" t="inlineStr">
        <is>
          <t xml:space="preserve">residual</t>
        </is>
      </c>
      <c r="K398" s="5">
        <v>0</v>
      </c>
      <c r="L398" s="5">
        <v>0</v>
      </c>
      <c r="M398" s="5">
        <v>0.0</v>
      </c>
      <c r="N398" s="5">
        <v>0.0</v>
      </c>
      <c r="O398" s="5">
        <v>0.0</v>
      </c>
      <c r="P398" s="5">
        <v>0.0</v>
      </c>
      <c r="Q398" s="5">
        <v>0.0</v>
      </c>
    </row>
    <row r="399" outlineLevel="1">
      <c r="B399" s="0" t="inlineStr">
        <is>
          <t xml:space="preserve">AMETEK INC</t>
        </is>
      </c>
      <c r="C399" s="0" t="inlineStr">
        <is>
          <t xml:space="preserve">SMZQB2YVYM66</t>
        </is>
      </c>
      <c r="D399" s="0" t="inlineStr">
        <is>
          <t xml:space="preserve">USA</t>
        </is>
      </c>
      <c r="E399" s="0" t="inlineStr">
        <is>
          <t xml:space="preserve">3359</t>
        </is>
      </c>
      <c r="F399" s="0" t="inlineStr">
        <is>
          <t xml:space="preserve">All Other Miscellaneous Electrical Equipment and Component Manufacturing</t>
        </is>
      </c>
      <c r="G399" s="5">
        <v>2.6746250000000003</v>
      </c>
      <c r="H399" s="0" t="inlineStr">
        <is>
          <t xml:space="preserve">supplier</t>
        </is>
      </c>
      <c r="I399" s="0" t="inlineStr">
        <is>
          <t xml:space="preserve">electrical</t>
        </is>
      </c>
      <c r="J399" s="0" t="inlineStr">
        <is>
          <t xml:space="preserve">naics4</t>
        </is>
      </c>
      <c r="K399" s="5">
        <v>0</v>
      </c>
      <c r="L399" s="5">
        <v>0</v>
      </c>
      <c r="M399" s="5">
        <v>0.0</v>
      </c>
      <c r="N399" s="5">
        <v>0.0</v>
      </c>
      <c r="O399" s="5">
        <v>0.0</v>
      </c>
      <c r="P399" s="5">
        <v>0.0</v>
      </c>
      <c r="Q399" s="5">
        <v>0.0</v>
      </c>
    </row>
    <row r="400" outlineLevel="1">
      <c r="B400" s="0" t="inlineStr">
        <is>
          <t xml:space="preserve">GENERAL ELECTRIC COMPANY</t>
        </is>
      </c>
      <c r="C400" s="0" t="inlineStr">
        <is>
          <t xml:space="preserve">U864F3HRME53</t>
        </is>
      </c>
      <c r="D400" s="0" t="inlineStr">
        <is>
          <t xml:space="preserve">USA</t>
        </is>
      </c>
      <c r="E400" s="0" t="inlineStr">
        <is>
          <t xml:space="preserve">3364</t>
        </is>
      </c>
      <c r="F400" s="0" t="inlineStr">
        <is>
          <t xml:space="preserve">Aircraft Engine and Engine Parts Manufacturing</t>
        </is>
      </c>
      <c r="G400" s="5">
        <v>2.67234438</v>
      </c>
      <c r="H400" s="0" t="inlineStr">
        <is>
          <t xml:space="preserve">supplier</t>
        </is>
      </c>
      <c r="I400" s="0" t="inlineStr">
        <is>
          <t xml:space="preserve">unbucketed</t>
        </is>
      </c>
      <c r="J400" s="0" t="inlineStr">
        <is>
          <t xml:space="preserve">residual</t>
        </is>
      </c>
      <c r="K400" s="5">
        <v>0</v>
      </c>
      <c r="L400" s="5">
        <v>0</v>
      </c>
      <c r="M400" s="5">
        <v>2.33915838</v>
      </c>
      <c r="N400" s="5">
        <v>0.530062</v>
      </c>
      <c r="O400" s="5">
        <v>1.61804738</v>
      </c>
      <c r="P400" s="5">
        <v>0.0</v>
      </c>
      <c r="Q400" s="5">
        <v>0.0</v>
      </c>
    </row>
    <row r="401" outlineLevel="1">
      <c r="B401" s="0" t="inlineStr">
        <is>
          <t xml:space="preserve">CARLYLE HOLDING CORP</t>
        </is>
      </c>
      <c r="C401" s="0" t="inlineStr">
        <is>
          <t xml:space="preserve">EDNNTCM7SUS8</t>
        </is>
      </c>
      <c r="D401" s="0" t="inlineStr">
        <is>
          <t xml:space="preserve">-</t>
        </is>
      </c>
      <c r="E401" s="0" t="inlineStr">
        <is>
          <t xml:space="preserve">-</t>
        </is>
      </c>
      <c r="F401" s="0" t="inlineStr">
        <is>
          <t xml:space="preserve">-</t>
        </is>
      </c>
      <c r="G401" s="5">
        <v>2.658104050000001</v>
      </c>
      <c r="H401" s="0" t="inlineStr">
        <is>
          <t xml:space="preserve">supplier</t>
        </is>
      </c>
      <c r="I401" s="0" t="inlineStr">
        <is>
          <t xml:space="preserve">unbucketed</t>
        </is>
      </c>
      <c r="J401" s="0" t="inlineStr">
        <is>
          <t xml:space="preserve">residual</t>
        </is>
      </c>
      <c r="K401" s="5">
        <v>0</v>
      </c>
      <c r="L401" s="5">
        <v>0</v>
      </c>
      <c r="M401" s="5">
        <v>2.658104050000001</v>
      </c>
      <c r="N401" s="5">
        <v>0.0</v>
      </c>
      <c r="O401" s="5">
        <v>0.0</v>
      </c>
      <c r="P401" s="5">
        <v>0.0</v>
      </c>
      <c r="Q401" s="5">
        <v>1.80332605</v>
      </c>
    </row>
    <row r="402" outlineLevel="1">
      <c r="B402" s="0" t="inlineStr">
        <is>
          <t xml:space="preserve">MYTHICS, INC.</t>
        </is>
      </c>
      <c r="C402" s="0" t="inlineStr">
        <is>
          <t xml:space="preserve">NUNVJJM2UYY1</t>
        </is>
      </c>
      <c r="D402" s="0" t="inlineStr">
        <is>
          <t xml:space="preserve">-</t>
        </is>
      </c>
      <c r="E402" s="0" t="inlineStr">
        <is>
          <t xml:space="preserve">-</t>
        </is>
      </c>
      <c r="F402" s="0" t="inlineStr">
        <is>
          <t xml:space="preserve">-</t>
        </is>
      </c>
      <c r="G402" s="5">
        <v>2.63757895</v>
      </c>
      <c r="H402" s="0" t="inlineStr">
        <is>
          <t xml:space="preserve">supplier</t>
        </is>
      </c>
      <c r="I402" s="0" t="inlineStr">
        <is>
          <t xml:space="preserve">unbucketed</t>
        </is>
      </c>
      <c r="J402" s="0" t="inlineStr">
        <is>
          <t xml:space="preserve">residual</t>
        </is>
      </c>
      <c r="K402" s="5">
        <v>0</v>
      </c>
      <c r="L402" s="5">
        <v>0</v>
      </c>
      <c r="M402" s="5">
        <v>0.0</v>
      </c>
      <c r="N402" s="5">
        <v>0.0</v>
      </c>
      <c r="O402" s="5">
        <v>0.0</v>
      </c>
      <c r="P402" s="5">
        <v>0.0</v>
      </c>
      <c r="Q402" s="5">
        <v>0.0</v>
      </c>
    </row>
    <row r="403" outlineLevel="1">
      <c r="B403" s="0" t="inlineStr">
        <is>
          <t xml:space="preserve">ELECTRO SWITCH CORP.</t>
        </is>
      </c>
      <c r="C403" s="0" t="inlineStr">
        <is>
          <t xml:space="preserve">DE76A79MSAR7</t>
        </is>
      </c>
      <c r="D403" s="0" t="inlineStr">
        <is>
          <t xml:space="preserve">-</t>
        </is>
      </c>
      <c r="E403" s="0" t="inlineStr">
        <is>
          <t xml:space="preserve">-</t>
        </is>
      </c>
      <c r="F403" s="0" t="inlineStr">
        <is>
          <t xml:space="preserve">-</t>
        </is>
      </c>
      <c r="G403" s="5">
        <v>2.63121633</v>
      </c>
      <c r="H403" s="0" t="inlineStr">
        <is>
          <t xml:space="preserve">supplier</t>
        </is>
      </c>
      <c r="I403" s="0" t="inlineStr">
        <is>
          <t xml:space="preserve">unbucketed</t>
        </is>
      </c>
      <c r="J403" s="0" t="inlineStr">
        <is>
          <t xml:space="preserve">residual</t>
        </is>
      </c>
      <c r="K403" s="5">
        <v>0</v>
      </c>
      <c r="L403" s="5">
        <v>0</v>
      </c>
      <c r="M403" s="5">
        <v>0.0</v>
      </c>
      <c r="N403" s="5">
        <v>0.0</v>
      </c>
      <c r="O403" s="5">
        <v>0.0</v>
      </c>
      <c r="P403" s="5">
        <v>0.0</v>
      </c>
      <c r="Q403" s="5">
        <v>0.0</v>
      </c>
    </row>
    <row r="404" outlineLevel="1">
      <c r="B404" s="0" t="inlineStr">
        <is>
          <t xml:space="preserve">NAG, LLC</t>
        </is>
      </c>
      <c r="C404" s="0" t="inlineStr">
        <is>
          <t xml:space="preserve">F3XKPA82MHQ5</t>
        </is>
      </c>
      <c r="D404" s="0" t="inlineStr">
        <is>
          <t xml:space="preserve">-</t>
        </is>
      </c>
      <c r="E404" s="0" t="inlineStr">
        <is>
          <t xml:space="preserve">-</t>
        </is>
      </c>
      <c r="F404" s="0" t="inlineStr">
        <is>
          <t xml:space="preserve">-</t>
        </is>
      </c>
      <c r="G404" s="5">
        <v>2.6203580700000004</v>
      </c>
      <c r="H404" s="0" t="inlineStr">
        <is>
          <t xml:space="preserve">supplier</t>
        </is>
      </c>
      <c r="I404" s="0" t="inlineStr">
        <is>
          <t xml:space="preserve">unbucketed</t>
        </is>
      </c>
      <c r="J404" s="0" t="inlineStr">
        <is>
          <t xml:space="preserve">residual</t>
        </is>
      </c>
      <c r="K404" s="5">
        <v>0</v>
      </c>
      <c r="L404" s="5">
        <v>0</v>
      </c>
      <c r="M404" s="5">
        <v>2.6203580700000004</v>
      </c>
      <c r="N404" s="5">
        <v>0.0</v>
      </c>
      <c r="O404" s="5">
        <v>1.8710732399999999</v>
      </c>
      <c r="P404" s="5">
        <v>0.0</v>
      </c>
      <c r="Q404" s="5">
        <v>0.0</v>
      </c>
    </row>
    <row r="405" outlineLevel="1">
      <c r="B405" s="0" t="inlineStr">
        <is>
          <t xml:space="preserve">MILWAUKEE VALVE CO, INC</t>
        </is>
      </c>
      <c r="C405" s="0" t="inlineStr">
        <is>
          <t xml:space="preserve">MC77SUMRLXY5</t>
        </is>
      </c>
      <c r="D405" s="0" t="inlineStr">
        <is>
          <t xml:space="preserve">-</t>
        </is>
      </c>
      <c r="E405" s="0" t="inlineStr">
        <is>
          <t xml:space="preserve">-</t>
        </is>
      </c>
      <c r="F405" s="0" t="inlineStr">
        <is>
          <t xml:space="preserve">-</t>
        </is>
      </c>
      <c r="G405" s="5">
        <v>2.6079724</v>
      </c>
      <c r="H405" s="0" t="inlineStr">
        <is>
          <t xml:space="preserve">supplier</t>
        </is>
      </c>
      <c r="I405" s="0" t="inlineStr">
        <is>
          <t xml:space="preserve">piping</t>
        </is>
      </c>
      <c r="J405" s="0" t="inlineStr">
        <is>
          <t xml:space="preserve">registry</t>
        </is>
      </c>
      <c r="K405" s="5">
        <v>0</v>
      </c>
      <c r="L405" s="5">
        <v>0</v>
      </c>
      <c r="M405" s="5">
        <v>2.6079724</v>
      </c>
      <c r="N405" s="5">
        <v>0.0</v>
      </c>
      <c r="O405" s="5">
        <v>0.0</v>
      </c>
      <c r="P405" s="5">
        <v>0.0</v>
      </c>
      <c r="Q405" s="5">
        <v>2.6079724</v>
      </c>
    </row>
    <row r="406" outlineLevel="1">
      <c r="B406" s="0" t="inlineStr">
        <is>
          <t xml:space="preserve">HARMONY ENGINEERING, CORP</t>
        </is>
      </c>
      <c r="C406" s="0" t="inlineStr">
        <is>
          <t xml:space="preserve">FQ9ECUGUSKZ8</t>
        </is>
      </c>
      <c r="D406" s="0" t="inlineStr">
        <is>
          <t xml:space="preserve">-</t>
        </is>
      </c>
      <c r="E406" s="0" t="inlineStr">
        <is>
          <t xml:space="preserve">-</t>
        </is>
      </c>
      <c r="F406" s="0" t="inlineStr">
        <is>
          <t xml:space="preserve">-</t>
        </is>
      </c>
      <c r="G406" s="5">
        <v>2.60356233</v>
      </c>
      <c r="H406" s="0" t="inlineStr">
        <is>
          <t xml:space="preserve">supplier</t>
        </is>
      </c>
      <c r="I406" s="0" t="inlineStr">
        <is>
          <t xml:space="preserve">unbucketed</t>
        </is>
      </c>
      <c r="J406" s="0" t="inlineStr">
        <is>
          <t xml:space="preserve">residual</t>
        </is>
      </c>
      <c r="K406" s="5">
        <v>0</v>
      </c>
      <c r="L406" s="5">
        <v>0</v>
      </c>
      <c r="M406" s="5">
        <v>0.0</v>
      </c>
      <c r="N406" s="5">
        <v>0.0</v>
      </c>
      <c r="O406" s="5">
        <v>0.0</v>
      </c>
      <c r="P406" s="5">
        <v>0.0</v>
      </c>
      <c r="Q406" s="5">
        <v>0.0</v>
      </c>
    </row>
    <row r="407" outlineLevel="1">
      <c r="B407" s="0" t="inlineStr">
        <is>
          <t xml:space="preserve">MID-CONTINENT ENGINEERING, INC.</t>
        </is>
      </c>
      <c r="C407" s="0" t="inlineStr">
        <is>
          <t xml:space="preserve">UTLBMJZK7M61</t>
        </is>
      </c>
      <c r="D407" s="0" t="inlineStr">
        <is>
          <t xml:space="preserve">-</t>
        </is>
      </c>
      <c r="E407" s="0" t="inlineStr">
        <is>
          <t xml:space="preserve">-</t>
        </is>
      </c>
      <c r="F407" s="0" t="inlineStr">
        <is>
          <t xml:space="preserve">-</t>
        </is>
      </c>
      <c r="G407" s="5">
        <v>2.5805575600000004</v>
      </c>
      <c r="H407" s="0" t="inlineStr">
        <is>
          <t xml:space="preserve">supplier</t>
        </is>
      </c>
      <c r="I407" s="0" t="inlineStr">
        <is>
          <t xml:space="preserve">unbucketed</t>
        </is>
      </c>
      <c r="J407" s="0" t="inlineStr">
        <is>
          <t xml:space="preserve">residual</t>
        </is>
      </c>
      <c r="K407" s="5">
        <v>0</v>
      </c>
      <c r="L407" s="5">
        <v>0</v>
      </c>
      <c r="M407" s="5">
        <v>0.0</v>
      </c>
      <c r="N407" s="5">
        <v>0.0</v>
      </c>
      <c r="O407" s="5">
        <v>0.0</v>
      </c>
      <c r="P407" s="5">
        <v>0.0</v>
      </c>
      <c r="Q407" s="5">
        <v>0.0</v>
      </c>
    </row>
    <row r="408" outlineLevel="1">
      <c r="B408" s="0" t="inlineStr">
        <is>
          <t xml:space="preserve">L3HARRIS TECHNOLOGIES, INC.</t>
        </is>
      </c>
      <c r="C408" s="0" t="inlineStr">
        <is>
          <t xml:space="preserve">QRSWLGWF65E9</t>
        </is>
      </c>
      <c r="D408" s="0" t="inlineStr">
        <is>
          <t xml:space="preserve">USA</t>
        </is>
      </c>
      <c r="E408" s="0" t="inlineStr">
        <is>
          <t xml:space="preserve">3345</t>
        </is>
      </c>
      <c r="F408" s="0" t="inlineStr">
        <is>
          <t xml:space="preserve">Search, Detection, Navigation, Guidance, Aeronautical, and Nautical System and Instrument Manufacturing</t>
        </is>
      </c>
      <c r="G408" s="5">
        <v>2.5704175</v>
      </c>
      <c r="H408" s="0" t="inlineStr">
        <is>
          <t xml:space="preserve">gfe_mib</t>
        </is>
      </c>
      <c r="I408" s="0" t="inlineStr">
        <is>
          <t xml:space="preserve">-</t>
        </is>
      </c>
      <c r="J408" s="0" t="inlineStr">
        <is>
          <t xml:space="preserve">GFE/MIB name</t>
        </is>
      </c>
      <c r="K408" s="5">
        <v>0</v>
      </c>
      <c r="L408" s="5">
        <v>0</v>
      </c>
      <c r="M408" s="5">
        <v>0.0</v>
      </c>
      <c r="N408" s="5">
        <v>0.0</v>
      </c>
      <c r="O408" s="5">
        <v>0.0</v>
      </c>
      <c r="P408" s="5">
        <v>0.0</v>
      </c>
      <c r="Q408" s="5">
        <v>0.0</v>
      </c>
    </row>
    <row r="409" outlineLevel="1">
      <c r="B409" s="0" t="inlineStr">
        <is>
          <t xml:space="preserve">LISTER CHAIN AND FORGE, INC.</t>
        </is>
      </c>
      <c r="C409" s="0" t="inlineStr">
        <is>
          <t xml:space="preserve">FLQJXSFMNQP6</t>
        </is>
      </c>
      <c r="D409" s="0" t="inlineStr">
        <is>
          <t xml:space="preserve">-</t>
        </is>
      </c>
      <c r="E409" s="0" t="inlineStr">
        <is>
          <t xml:space="preserve">-</t>
        </is>
      </c>
      <c r="F409" s="0" t="inlineStr">
        <is>
          <t xml:space="preserve">-</t>
        </is>
      </c>
      <c r="G409" s="5">
        <v>2.566838</v>
      </c>
      <c r="H409" s="0" t="inlineStr">
        <is>
          <t xml:space="preserve">supplier</t>
        </is>
      </c>
      <c r="I409" s="0" t="inlineStr">
        <is>
          <t xml:space="preserve">unbucketed</t>
        </is>
      </c>
      <c r="J409" s="0" t="inlineStr">
        <is>
          <t xml:space="preserve">residual</t>
        </is>
      </c>
      <c r="K409" s="5">
        <v>0</v>
      </c>
      <c r="L409" s="5">
        <v>0</v>
      </c>
      <c r="M409" s="5">
        <v>2.492732</v>
      </c>
      <c r="N409" s="5">
        <v>2.492732</v>
      </c>
      <c r="O409" s="5">
        <v>0.0</v>
      </c>
      <c r="P409" s="5">
        <v>0.0</v>
      </c>
      <c r="Q409" s="5">
        <v>0.0</v>
      </c>
    </row>
    <row r="410" outlineLevel="1">
      <c r="B410" s="0" t="inlineStr">
        <is>
          <t xml:space="preserve">RAYTHEON TECHNOLOGIES CORPORATION</t>
        </is>
      </c>
      <c r="C410" s="0" t="inlineStr">
        <is>
          <t xml:space="preserve">XZQMCCC6P5T6</t>
        </is>
      </c>
      <c r="D410" s="0" t="inlineStr">
        <is>
          <t xml:space="preserve">-</t>
        </is>
      </c>
      <c r="E410" s="0" t="inlineStr">
        <is>
          <t xml:space="preserve">-</t>
        </is>
      </c>
      <c r="F410" s="0" t="inlineStr">
        <is>
          <t xml:space="preserve">-</t>
        </is>
      </c>
      <c r="G410" s="5">
        <v>2.5650199999999996</v>
      </c>
      <c r="H410" s="0" t="inlineStr">
        <is>
          <t xml:space="preserve">gfe_mib</t>
        </is>
      </c>
      <c r="I410" s="0" t="inlineStr">
        <is>
          <t xml:space="preserve">-</t>
        </is>
      </c>
      <c r="J410" s="0" t="inlineStr">
        <is>
          <t xml:space="preserve">GFE/MIB name</t>
        </is>
      </c>
      <c r="K410" s="5">
        <v>0</v>
      </c>
      <c r="L410" s="5">
        <v>0</v>
      </c>
      <c r="M410" s="5">
        <v>0.0</v>
      </c>
      <c r="N410" s="5">
        <v>0.0</v>
      </c>
      <c r="O410" s="5">
        <v>0.0</v>
      </c>
      <c r="P410" s="5">
        <v>0.0</v>
      </c>
      <c r="Q410" s="5">
        <v>0.0</v>
      </c>
    </row>
    <row r="411" outlineLevel="1">
      <c r="B411" s="0" t="inlineStr">
        <is>
          <t xml:space="preserve">GREAT LAKES SOUND &amp; VIBRATION INC</t>
        </is>
      </c>
      <c r="C411" s="0" t="inlineStr">
        <is>
          <t xml:space="preserve">KH1SMVPKSHY4</t>
        </is>
      </c>
      <c r="D411" s="0" t="inlineStr">
        <is>
          <t xml:space="preserve">-</t>
        </is>
      </c>
      <c r="E411" s="0" t="inlineStr">
        <is>
          <t xml:space="preserve">-</t>
        </is>
      </c>
      <c r="F411" s="0" t="inlineStr">
        <is>
          <t xml:space="preserve">-</t>
        </is>
      </c>
      <c r="G411" s="5">
        <v>2.5503671900000002</v>
      </c>
      <c r="H411" s="0" t="inlineStr">
        <is>
          <t xml:space="preserve">supplier</t>
        </is>
      </c>
      <c r="I411" s="0" t="inlineStr">
        <is>
          <t xml:space="preserve">unbucketed</t>
        </is>
      </c>
      <c r="J411" s="0" t="inlineStr">
        <is>
          <t xml:space="preserve">residual</t>
        </is>
      </c>
      <c r="K411" s="5">
        <v>0</v>
      </c>
      <c r="L411" s="5">
        <v>0</v>
      </c>
      <c r="M411" s="5">
        <v>2.5503671900000002</v>
      </c>
      <c r="N411" s="5">
        <v>0.0</v>
      </c>
      <c r="O411" s="5">
        <v>0.0</v>
      </c>
      <c r="P411" s="5">
        <v>2.5503671900000002</v>
      </c>
      <c r="Q411" s="5">
        <v>0.0</v>
      </c>
    </row>
    <row r="412" outlineLevel="1">
      <c r="B412" s="0" t="inlineStr">
        <is>
          <t xml:space="preserve">FOX VALLEY METAL TECH, INCORPORATED</t>
        </is>
      </c>
      <c r="C412" s="0" t="inlineStr">
        <is>
          <t xml:space="preserve">JCVKA8HHMMT5</t>
        </is>
      </c>
      <c r="D412" s="0" t="inlineStr">
        <is>
          <t xml:space="preserve">-</t>
        </is>
      </c>
      <c r="E412" s="0" t="inlineStr">
        <is>
          <t xml:space="preserve">-</t>
        </is>
      </c>
      <c r="F412" s="0" t="inlineStr">
        <is>
          <t xml:space="preserve">-</t>
        </is>
      </c>
      <c r="G412" s="5">
        <v>2.543045200000001</v>
      </c>
      <c r="H412" s="0" t="inlineStr">
        <is>
          <t xml:space="preserve">supplier</t>
        </is>
      </c>
      <c r="I412" s="0" t="inlineStr">
        <is>
          <t xml:space="preserve">unbucketed</t>
        </is>
      </c>
      <c r="J412" s="0" t="inlineStr">
        <is>
          <t xml:space="preserve">residual</t>
        </is>
      </c>
      <c r="K412" s="5">
        <v>0</v>
      </c>
      <c r="L412" s="5">
        <v>0</v>
      </c>
      <c r="M412" s="5">
        <v>0.0</v>
      </c>
      <c r="N412" s="5">
        <v>0.0</v>
      </c>
      <c r="O412" s="5">
        <v>0.0</v>
      </c>
      <c r="P412" s="5">
        <v>0.0</v>
      </c>
      <c r="Q412" s="5">
        <v>0.0</v>
      </c>
    </row>
    <row r="413" outlineLevel="1">
      <c r="B413" s="0" t="inlineStr">
        <is>
          <t xml:space="preserve">HEILIND ELECTRONICS, INC</t>
        </is>
      </c>
      <c r="C413" s="0" t="inlineStr">
        <is>
          <t xml:space="preserve">EPK7A98BB4B6</t>
        </is>
      </c>
      <c r="D413" s="0" t="inlineStr">
        <is>
          <t xml:space="preserve">-</t>
        </is>
      </c>
      <c r="E413" s="0" t="inlineStr">
        <is>
          <t xml:space="preserve">-</t>
        </is>
      </c>
      <c r="F413" s="0" t="inlineStr">
        <is>
          <t xml:space="preserve">-</t>
        </is>
      </c>
      <c r="G413" s="5">
        <v>2.53475328</v>
      </c>
      <c r="H413" s="0" t="inlineStr">
        <is>
          <t xml:space="preserve">supplier</t>
        </is>
      </c>
      <c r="I413" s="0" t="inlineStr">
        <is>
          <t xml:space="preserve">unbucketed</t>
        </is>
      </c>
      <c r="J413" s="0" t="inlineStr">
        <is>
          <t xml:space="preserve">residual</t>
        </is>
      </c>
      <c r="K413" s="5">
        <v>0</v>
      </c>
      <c r="L413" s="5">
        <v>0</v>
      </c>
      <c r="M413" s="5">
        <v>0.0</v>
      </c>
      <c r="N413" s="5">
        <v>0.0</v>
      </c>
      <c r="O413" s="5">
        <v>0.0</v>
      </c>
      <c r="P413" s="5">
        <v>0.0</v>
      </c>
      <c r="Q413" s="5">
        <v>0.0</v>
      </c>
    </row>
    <row r="414" outlineLevel="1">
      <c r="B414" s="0" t="inlineStr">
        <is>
          <t xml:space="preserve">CENTRAL RADIO COMPANY INC</t>
        </is>
      </c>
      <c r="C414" s="0" t="inlineStr">
        <is>
          <t xml:space="preserve">L1K5Y97JCLF9</t>
        </is>
      </c>
      <c r="D414" s="0" t="inlineStr">
        <is>
          <t xml:space="preserve">-</t>
        </is>
      </c>
      <c r="E414" s="0" t="inlineStr">
        <is>
          <t xml:space="preserve">-</t>
        </is>
      </c>
      <c r="F414" s="0" t="inlineStr">
        <is>
          <t xml:space="preserve">-</t>
        </is>
      </c>
      <c r="G414" s="5">
        <v>2.514151</v>
      </c>
      <c r="H414" s="0" t="inlineStr">
        <is>
          <t xml:space="preserve">supplier</t>
        </is>
      </c>
      <c r="I414" s="0" t="inlineStr">
        <is>
          <t xml:space="preserve">unbucketed</t>
        </is>
      </c>
      <c r="J414" s="0" t="inlineStr">
        <is>
          <t xml:space="preserve">residual</t>
        </is>
      </c>
      <c r="K414" s="5">
        <v>0</v>
      </c>
      <c r="L414" s="5">
        <v>0</v>
      </c>
      <c r="M414" s="5">
        <v>0.0</v>
      </c>
      <c r="N414" s="5">
        <v>0.0</v>
      </c>
      <c r="O414" s="5">
        <v>0.0</v>
      </c>
      <c r="P414" s="5">
        <v>0.0</v>
      </c>
      <c r="Q414" s="5">
        <v>0.0</v>
      </c>
    </row>
    <row r="415" outlineLevel="1">
      <c r="B415" s="0" t="inlineStr">
        <is>
          <t xml:space="preserve">ENGINEERED COIL CO</t>
        </is>
      </c>
      <c r="C415" s="0" t="inlineStr">
        <is>
          <t xml:space="preserve">VJMTKNLENX24</t>
        </is>
      </c>
      <c r="D415" s="0" t="inlineStr">
        <is>
          <t xml:space="preserve">-</t>
        </is>
      </c>
      <c r="E415" s="0" t="inlineStr">
        <is>
          <t xml:space="preserve">-</t>
        </is>
      </c>
      <c r="F415" s="0" t="inlineStr">
        <is>
          <t xml:space="preserve">-</t>
        </is>
      </c>
      <c r="G415" s="5">
        <v>2.4687299899999995</v>
      </c>
      <c r="H415" s="0" t="inlineStr">
        <is>
          <t xml:space="preserve">supplier</t>
        </is>
      </c>
      <c r="I415" s="0" t="inlineStr">
        <is>
          <t xml:space="preserve">hvac</t>
        </is>
      </c>
      <c r="J415" s="0" t="inlineStr">
        <is>
          <t xml:space="preserve">registry</t>
        </is>
      </c>
      <c r="K415" s="5">
        <v>0</v>
      </c>
      <c r="L415" s="5">
        <v>0</v>
      </c>
      <c r="M415" s="5">
        <v>2.4687299899999995</v>
      </c>
      <c r="N415" s="5">
        <v>0.0</v>
      </c>
      <c r="O415" s="5">
        <v>2.4687299899999995</v>
      </c>
      <c r="P415" s="5">
        <v>0.0</v>
      </c>
      <c r="Q415" s="5">
        <v>0.0</v>
      </c>
    </row>
    <row r="416" outlineLevel="1">
      <c r="B416" s="0" t="inlineStr">
        <is>
          <t xml:space="preserve">ARROW ELECTRONICS, INC.</t>
        </is>
      </c>
      <c r="C416" s="0" t="inlineStr">
        <is>
          <t xml:space="preserve">CD2FBNHK3ME1</t>
        </is>
      </c>
      <c r="D416" s="0" t="inlineStr">
        <is>
          <t xml:space="preserve">USA</t>
        </is>
      </c>
      <c r="E416" s="0" t="inlineStr">
        <is>
          <t xml:space="preserve">4236</t>
        </is>
      </c>
      <c r="F416" s="0" t="inlineStr">
        <is>
          <t xml:space="preserve">Other Electronic Parts and Equipment Merchant Wholesalers</t>
        </is>
      </c>
      <c r="G416" s="5">
        <v>2.46295165</v>
      </c>
      <c r="H416" s="0" t="inlineStr">
        <is>
          <t xml:space="preserve">service</t>
        </is>
      </c>
      <c r="I416" s="0" t="inlineStr">
        <is>
          <t xml:space="preserve">-</t>
        </is>
      </c>
      <c r="J416" s="0" t="inlineStr">
        <is>
          <t xml:space="preserve">service NAICS</t>
        </is>
      </c>
      <c r="K416" s="5">
        <v>0</v>
      </c>
      <c r="L416" s="5">
        <v>0</v>
      </c>
      <c r="M416" s="5">
        <v>0.0</v>
      </c>
      <c r="N416" s="5">
        <v>0.0</v>
      </c>
      <c r="O416" s="5">
        <v>0.0</v>
      </c>
      <c r="P416" s="5">
        <v>0.0</v>
      </c>
      <c r="Q416" s="5">
        <v>0.0</v>
      </c>
    </row>
    <row r="417" outlineLevel="1">
      <c r="B417" s="0" t="inlineStr">
        <is>
          <t xml:space="preserve">TRELLEBORG SEALING SOLUTIONS US, INC.</t>
        </is>
      </c>
      <c r="C417" s="0" t="inlineStr">
        <is>
          <t xml:space="preserve">E2BDMEJG1399</t>
        </is>
      </c>
      <c r="D417" s="0" t="inlineStr">
        <is>
          <t xml:space="preserve">-</t>
        </is>
      </c>
      <c r="E417" s="0" t="inlineStr">
        <is>
          <t xml:space="preserve">-</t>
        </is>
      </c>
      <c r="F417" s="0" t="inlineStr">
        <is>
          <t xml:space="preserve">-</t>
        </is>
      </c>
      <c r="G417" s="5">
        <v>2.41156027</v>
      </c>
      <c r="H417" s="0" t="inlineStr">
        <is>
          <t xml:space="preserve">supplier</t>
        </is>
      </c>
      <c r="I417" s="0" t="inlineStr">
        <is>
          <t xml:space="preserve">unbucketed</t>
        </is>
      </c>
      <c r="J417" s="0" t="inlineStr">
        <is>
          <t xml:space="preserve">residual</t>
        </is>
      </c>
      <c r="K417" s="5">
        <v>0</v>
      </c>
      <c r="L417" s="5">
        <v>0</v>
      </c>
      <c r="M417" s="5">
        <v>0.0</v>
      </c>
      <c r="N417" s="5">
        <v>0.0</v>
      </c>
      <c r="O417" s="5">
        <v>0.0</v>
      </c>
      <c r="P417" s="5">
        <v>0.0</v>
      </c>
      <c r="Q417" s="5">
        <v>0.0</v>
      </c>
    </row>
    <row r="418" outlineLevel="1">
      <c r="B418" s="0" t="inlineStr">
        <is>
          <t xml:space="preserve">MACOM TECHNOLOGY SOLUTIONS HOLDINGS, INC.</t>
        </is>
      </c>
      <c r="C418" s="0" t="inlineStr">
        <is>
          <t xml:space="preserve">P7Z6EXT3R5M5</t>
        </is>
      </c>
      <c r="D418" s="0" t="inlineStr">
        <is>
          <t xml:space="preserve">-</t>
        </is>
      </c>
      <c r="E418" s="0" t="inlineStr">
        <is>
          <t xml:space="preserve">-</t>
        </is>
      </c>
      <c r="F418" s="0" t="inlineStr">
        <is>
          <t xml:space="preserve">-</t>
        </is>
      </c>
      <c r="G418" s="5">
        <v>2.40664573</v>
      </c>
      <c r="H418" s="0" t="inlineStr">
        <is>
          <t xml:space="preserve">supplier</t>
        </is>
      </c>
      <c r="I418" s="0" t="inlineStr">
        <is>
          <t xml:space="preserve">unbucketed</t>
        </is>
      </c>
      <c r="J418" s="0" t="inlineStr">
        <is>
          <t xml:space="preserve">residual</t>
        </is>
      </c>
      <c r="K418" s="5">
        <v>0</v>
      </c>
      <c r="L418" s="5">
        <v>0</v>
      </c>
      <c r="M418" s="5">
        <v>0.0</v>
      </c>
      <c r="N418" s="5">
        <v>0.0</v>
      </c>
      <c r="O418" s="5">
        <v>0.0</v>
      </c>
      <c r="P418" s="5">
        <v>0.0</v>
      </c>
      <c r="Q418" s="5">
        <v>0.0</v>
      </c>
    </row>
    <row r="419" outlineLevel="1">
      <c r="B419" s="0" t="inlineStr">
        <is>
          <t xml:space="preserve">ELMA ELECTRONIC AG</t>
        </is>
      </c>
      <c r="C419" s="0" t="inlineStr">
        <is>
          <t xml:space="preserve">SWB8H4CX8JA1</t>
        </is>
      </c>
      <c r="D419" s="0" t="inlineStr">
        <is>
          <t xml:space="preserve">-</t>
        </is>
      </c>
      <c r="E419" s="0" t="inlineStr">
        <is>
          <t xml:space="preserve">-</t>
        </is>
      </c>
      <c r="F419" s="0" t="inlineStr">
        <is>
          <t xml:space="preserve">-</t>
        </is>
      </c>
      <c r="G419" s="5">
        <v>2.40552</v>
      </c>
      <c r="H419" s="0" t="inlineStr">
        <is>
          <t xml:space="preserve">supplier</t>
        </is>
      </c>
      <c r="I419" s="0" t="inlineStr">
        <is>
          <t xml:space="preserve">structural</t>
        </is>
      </c>
      <c r="J419" s="0" t="inlineStr">
        <is>
          <t xml:space="preserve">registry</t>
        </is>
      </c>
      <c r="K419" s="5">
        <v>0</v>
      </c>
      <c r="L419" s="5">
        <v>0</v>
      </c>
      <c r="M419" s="5">
        <v>0.0</v>
      </c>
      <c r="N419" s="5">
        <v>0.0</v>
      </c>
      <c r="O419" s="5">
        <v>0.0</v>
      </c>
      <c r="P419" s="5">
        <v>0.0</v>
      </c>
      <c r="Q419" s="5">
        <v>0.0</v>
      </c>
    </row>
    <row r="420" outlineLevel="1">
      <c r="B420" s="0" t="inlineStr">
        <is>
          <t xml:space="preserve">GULF FASTENER, INC.</t>
        </is>
      </c>
      <c r="C420" s="0" t="inlineStr">
        <is>
          <t xml:space="preserve">EANJVKFHMSZ8</t>
        </is>
      </c>
      <c r="D420" s="0" t="inlineStr">
        <is>
          <t xml:space="preserve">-</t>
        </is>
      </c>
      <c r="E420" s="0" t="inlineStr">
        <is>
          <t xml:space="preserve">-</t>
        </is>
      </c>
      <c r="F420" s="0" t="inlineStr">
        <is>
          <t xml:space="preserve">-</t>
        </is>
      </c>
      <c r="G420" s="5">
        <v>2.372757</v>
      </c>
      <c r="H420" s="0" t="inlineStr">
        <is>
          <t xml:space="preserve">supplier</t>
        </is>
      </c>
      <c r="I420" s="0" t="inlineStr">
        <is>
          <t xml:space="preserve">unbucketed</t>
        </is>
      </c>
      <c r="J420" s="0" t="inlineStr">
        <is>
          <t xml:space="preserve">residual</t>
        </is>
      </c>
      <c r="K420" s="5">
        <v>0</v>
      </c>
      <c r="L420" s="5">
        <v>0</v>
      </c>
      <c r="M420" s="5">
        <v>2.372757</v>
      </c>
      <c r="N420" s="5">
        <v>0.0</v>
      </c>
      <c r="O420" s="5">
        <v>0.025725</v>
      </c>
      <c r="P420" s="5">
        <v>0.05834</v>
      </c>
      <c r="Q420" s="5">
        <v>0.0</v>
      </c>
    </row>
    <row r="421" outlineLevel="1">
      <c r="B421" s="0" t="inlineStr">
        <is>
          <t xml:space="preserve">SYSTEL, INC.</t>
        </is>
      </c>
      <c r="C421" s="0" t="inlineStr">
        <is>
          <t xml:space="preserve">FMHAF7KDLFD5</t>
        </is>
      </c>
      <c r="D421" s="0" t="inlineStr">
        <is>
          <t xml:space="preserve">-</t>
        </is>
      </c>
      <c r="E421" s="0" t="inlineStr">
        <is>
          <t xml:space="preserve">-</t>
        </is>
      </c>
      <c r="F421" s="0" t="inlineStr">
        <is>
          <t xml:space="preserve">-</t>
        </is>
      </c>
      <c r="G421" s="5">
        <v>2.3697672599999997</v>
      </c>
      <c r="H421" s="0" t="inlineStr">
        <is>
          <t xml:space="preserve">supplier</t>
        </is>
      </c>
      <c r="I421" s="0" t="inlineStr">
        <is>
          <t xml:space="preserve">unbucketed</t>
        </is>
      </c>
      <c r="J421" s="0" t="inlineStr">
        <is>
          <t xml:space="preserve">residual</t>
        </is>
      </c>
      <c r="K421" s="5">
        <v>0</v>
      </c>
      <c r="L421" s="5">
        <v>0</v>
      </c>
      <c r="M421" s="5">
        <v>0.0</v>
      </c>
      <c r="N421" s="5">
        <v>0.0</v>
      </c>
      <c r="O421" s="5">
        <v>0.0</v>
      </c>
      <c r="P421" s="5">
        <v>0.0</v>
      </c>
      <c r="Q421" s="5">
        <v>0.0</v>
      </c>
    </row>
    <row r="422" outlineLevel="1">
      <c r="B422" s="0" t="inlineStr">
        <is>
          <t xml:space="preserve">SAFRAN POWER USA, LLC</t>
        </is>
      </c>
      <c r="C422" s="0" t="inlineStr">
        <is>
          <t xml:space="preserve">LNZRL5H3F315</t>
        </is>
      </c>
      <c r="D422" s="0" t="inlineStr">
        <is>
          <t xml:space="preserve">-</t>
        </is>
      </c>
      <c r="E422" s="0" t="inlineStr">
        <is>
          <t xml:space="preserve">-</t>
        </is>
      </c>
      <c r="F422" s="0" t="inlineStr">
        <is>
          <t xml:space="preserve">-</t>
        </is>
      </c>
      <c r="G422" s="5">
        <v>2.35399689</v>
      </c>
      <c r="H422" s="0" t="inlineStr">
        <is>
          <t xml:space="preserve">supplier</t>
        </is>
      </c>
      <c r="I422" s="0" t="inlineStr">
        <is>
          <t xml:space="preserve">unbucketed</t>
        </is>
      </c>
      <c r="J422" s="0" t="inlineStr">
        <is>
          <t xml:space="preserve">residual</t>
        </is>
      </c>
      <c r="K422" s="5">
        <v>0</v>
      </c>
      <c r="L422" s="5">
        <v>0</v>
      </c>
      <c r="M422" s="5">
        <v>0.0</v>
      </c>
      <c r="N422" s="5">
        <v>0.0</v>
      </c>
      <c r="O422" s="5">
        <v>0.0</v>
      </c>
      <c r="P422" s="5">
        <v>0.0</v>
      </c>
      <c r="Q422" s="5">
        <v>0.0</v>
      </c>
    </row>
    <row r="423" outlineLevel="1">
      <c r="B423" s="0" t="inlineStr">
        <is>
          <t xml:space="preserve">ROLLS-ROYCE MARINE NORTH AMERICA INC.</t>
        </is>
      </c>
      <c r="C423" s="0" t="inlineStr">
        <is>
          <t xml:space="preserve">HLVBPCA2LH41</t>
        </is>
      </c>
      <c r="D423" s="0" t="inlineStr">
        <is>
          <t xml:space="preserve">-</t>
        </is>
      </c>
      <c r="E423" s="0" t="inlineStr">
        <is>
          <t xml:space="preserve">-</t>
        </is>
      </c>
      <c r="F423" s="0" t="inlineStr">
        <is>
          <t xml:space="preserve">-</t>
        </is>
      </c>
      <c r="G423" s="5">
        <v>2.3507220400000004</v>
      </c>
      <c r="H423" s="0" t="inlineStr">
        <is>
          <t xml:space="preserve">supplier</t>
        </is>
      </c>
      <c r="I423" s="0" t="inlineStr">
        <is>
          <t xml:space="preserve">machining</t>
        </is>
      </c>
      <c r="J423" s="0" t="inlineStr">
        <is>
          <t xml:space="preserve">registry</t>
        </is>
      </c>
      <c r="K423" s="5">
        <v>0</v>
      </c>
      <c r="L423" s="5">
        <v>0</v>
      </c>
      <c r="M423" s="5">
        <v>2.3385617500000007</v>
      </c>
      <c r="N423" s="5">
        <v>0.806449</v>
      </c>
      <c r="O423" s="5">
        <v>0.33926825</v>
      </c>
      <c r="P423" s="5">
        <v>0.7517367999999999</v>
      </c>
      <c r="Q423" s="5">
        <v>0.22381469999999998</v>
      </c>
    </row>
    <row r="424" outlineLevel="1">
      <c r="B424" s="0" t="inlineStr">
        <is>
          <t xml:space="preserve">COBHAM PLC</t>
        </is>
      </c>
      <c r="C424" s="0" t="inlineStr">
        <is>
          <t xml:space="preserve">Q9HFNQQM2AD9</t>
        </is>
      </c>
      <c r="D424" s="0" t="inlineStr">
        <is>
          <t xml:space="preserve">-</t>
        </is>
      </c>
      <c r="E424" s="0" t="inlineStr">
        <is>
          <t xml:space="preserve">-</t>
        </is>
      </c>
      <c r="F424" s="0" t="inlineStr">
        <is>
          <t xml:space="preserve">-</t>
        </is>
      </c>
      <c r="G424" s="5">
        <v>2.34839254</v>
      </c>
      <c r="H424" s="0" t="inlineStr">
        <is>
          <t xml:space="preserve">supplier</t>
        </is>
      </c>
      <c r="I424" s="0" t="inlineStr">
        <is>
          <t xml:space="preserve">unbucketed</t>
        </is>
      </c>
      <c r="J424" s="0" t="inlineStr">
        <is>
          <t xml:space="preserve">residual</t>
        </is>
      </c>
      <c r="K424" s="5">
        <v>0</v>
      </c>
      <c r="L424" s="5">
        <v>0</v>
      </c>
      <c r="M424" s="5">
        <v>0.0</v>
      </c>
      <c r="N424" s="5">
        <v>0.0</v>
      </c>
      <c r="O424" s="5">
        <v>0.0</v>
      </c>
      <c r="P424" s="5">
        <v>0.0</v>
      </c>
      <c r="Q424" s="5">
        <v>0.0</v>
      </c>
    </row>
    <row r="425" outlineLevel="1">
      <c r="B425" s="0" t="inlineStr">
        <is>
          <t xml:space="preserve">ARROW ELECTRONICS, INC.</t>
        </is>
      </c>
      <c r="C425" s="0" t="inlineStr">
        <is>
          <t xml:space="preserve">YA36Z8R2H4T4</t>
        </is>
      </c>
      <c r="D425" s="0" t="inlineStr">
        <is>
          <t xml:space="preserve">USA</t>
        </is>
      </c>
      <c r="E425" s="0" t="inlineStr">
        <is>
          <t xml:space="preserve">4236</t>
        </is>
      </c>
      <c r="F425" s="0" t="inlineStr">
        <is>
          <t xml:space="preserve">Other Electronic Parts and Equipment Merchant Wholesalers</t>
        </is>
      </c>
      <c r="G425" s="5">
        <v>2.3438602600000005</v>
      </c>
      <c r="H425" s="0" t="inlineStr">
        <is>
          <t xml:space="preserve">service</t>
        </is>
      </c>
      <c r="I425" s="0" t="inlineStr">
        <is>
          <t xml:space="preserve">-</t>
        </is>
      </c>
      <c r="J425" s="0" t="inlineStr">
        <is>
          <t xml:space="preserve">service NAICS</t>
        </is>
      </c>
      <c r="K425" s="5">
        <v>0</v>
      </c>
      <c r="L425" s="5">
        <v>0</v>
      </c>
      <c r="M425" s="5">
        <v>0.0</v>
      </c>
      <c r="N425" s="5">
        <v>0.0</v>
      </c>
      <c r="O425" s="5">
        <v>0.0</v>
      </c>
      <c r="P425" s="5">
        <v>0.0</v>
      </c>
      <c r="Q425" s="5">
        <v>0.0</v>
      </c>
    </row>
    <row r="426" outlineLevel="1">
      <c r="B426" s="0" t="inlineStr">
        <is>
          <t xml:space="preserve">ALLEGHENY TECHNOLOGIES INCORPORATED</t>
        </is>
      </c>
      <c r="C426" s="0" t="inlineStr">
        <is>
          <t xml:space="preserve">MWCVNKNHLF53</t>
        </is>
      </c>
      <c r="D426" s="0" t="inlineStr">
        <is>
          <t xml:space="preserve">-</t>
        </is>
      </c>
      <c r="E426" s="0" t="inlineStr">
        <is>
          <t xml:space="preserve">-</t>
        </is>
      </c>
      <c r="F426" s="0" t="inlineStr">
        <is>
          <t xml:space="preserve">-</t>
        </is>
      </c>
      <c r="G426" s="5">
        <v>2.3403680000000002</v>
      </c>
      <c r="H426" s="0" t="inlineStr">
        <is>
          <t xml:space="preserve">supplier</t>
        </is>
      </c>
      <c r="I426" s="0" t="inlineStr">
        <is>
          <t xml:space="preserve">unbucketed</t>
        </is>
      </c>
      <c r="J426" s="0" t="inlineStr">
        <is>
          <t xml:space="preserve">residual</t>
        </is>
      </c>
      <c r="K426" s="5">
        <v>0</v>
      </c>
      <c r="L426" s="5">
        <v>0</v>
      </c>
      <c r="M426" s="5">
        <v>0.0</v>
      </c>
      <c r="N426" s="5">
        <v>0.0</v>
      </c>
      <c r="O426" s="5">
        <v>0.0</v>
      </c>
      <c r="P426" s="5">
        <v>0.0</v>
      </c>
      <c r="Q426" s="5">
        <v>0.0</v>
      </c>
    </row>
    <row r="427" outlineLevel="1">
      <c r="B427" s="0" t="inlineStr">
        <is>
          <t xml:space="preserve">WÄRTSILÄ OYJ ABP</t>
        </is>
      </c>
      <c r="C427" s="0" t="inlineStr">
        <is>
          <t xml:space="preserve">JA2KCX21NL48</t>
        </is>
      </c>
      <c r="D427" s="0" t="inlineStr">
        <is>
          <t xml:space="preserve">-</t>
        </is>
      </c>
      <c r="E427" s="0" t="inlineStr">
        <is>
          <t xml:space="preserve">-</t>
        </is>
      </c>
      <c r="F427" s="0" t="inlineStr">
        <is>
          <t xml:space="preserve">-</t>
        </is>
      </c>
      <c r="G427" s="5">
        <v>2.32970174</v>
      </c>
      <c r="H427" s="0" t="inlineStr">
        <is>
          <t xml:space="preserve">supplier</t>
        </is>
      </c>
      <c r="I427" s="0" t="inlineStr">
        <is>
          <t xml:space="preserve">machining</t>
        </is>
      </c>
      <c r="J427" s="0" t="inlineStr">
        <is>
          <t xml:space="preserve">registry</t>
        </is>
      </c>
      <c r="K427" s="5">
        <v>0</v>
      </c>
      <c r="L427" s="5">
        <v>0</v>
      </c>
      <c r="M427" s="5">
        <v>2.13274974</v>
      </c>
      <c r="N427" s="5">
        <v>0.0</v>
      </c>
      <c r="O427" s="5">
        <v>0.0</v>
      </c>
      <c r="P427" s="5">
        <v>0.0</v>
      </c>
      <c r="Q427" s="5">
        <v>0.0</v>
      </c>
    </row>
    <row r="428" outlineLevel="1">
      <c r="B428" s="0" t="inlineStr">
        <is>
          <t xml:space="preserve">MMC METROLOGY LAB, INC.</t>
        </is>
      </c>
      <c r="C428" s="0" t="inlineStr">
        <is>
          <t xml:space="preserve">JU2ME5ZK8VL3</t>
        </is>
      </c>
      <c r="D428" s="0" t="inlineStr">
        <is>
          <t xml:space="preserve">-</t>
        </is>
      </c>
      <c r="E428" s="0" t="inlineStr">
        <is>
          <t xml:space="preserve">-</t>
        </is>
      </c>
      <c r="F428" s="0" t="inlineStr">
        <is>
          <t xml:space="preserve">-</t>
        </is>
      </c>
      <c r="G428" s="5">
        <v>2.3255329999999996</v>
      </c>
      <c r="H428" s="0" t="inlineStr">
        <is>
          <t xml:space="preserve">supplier</t>
        </is>
      </c>
      <c r="I428" s="0" t="inlineStr">
        <is>
          <t xml:space="preserve">unbucketed</t>
        </is>
      </c>
      <c r="J428" s="0" t="inlineStr">
        <is>
          <t xml:space="preserve">residual</t>
        </is>
      </c>
      <c r="K428" s="5">
        <v>0</v>
      </c>
      <c r="L428" s="5">
        <v>0</v>
      </c>
      <c r="M428" s="5">
        <v>2.3255329999999996</v>
      </c>
      <c r="N428" s="5">
        <v>0.0</v>
      </c>
      <c r="O428" s="5">
        <v>0.39963499999999996</v>
      </c>
      <c r="P428" s="5">
        <v>0.23706800000000003</v>
      </c>
      <c r="Q428" s="5">
        <v>1.6888299999999998</v>
      </c>
    </row>
    <row r="429" outlineLevel="1">
      <c r="B429" s="0" t="inlineStr">
        <is>
          <t xml:space="preserve">BARNES GROUP INC</t>
        </is>
      </c>
      <c r="C429" s="0" t="inlineStr">
        <is>
          <t xml:space="preserve">TFJMUN5RL718</t>
        </is>
      </c>
      <c r="D429" s="0" t="inlineStr">
        <is>
          <t xml:space="preserve">-</t>
        </is>
      </c>
      <c r="E429" s="0" t="inlineStr">
        <is>
          <t xml:space="preserve">-</t>
        </is>
      </c>
      <c r="F429" s="0" t="inlineStr">
        <is>
          <t xml:space="preserve">-</t>
        </is>
      </c>
      <c r="G429" s="5">
        <v>2.308967</v>
      </c>
      <c r="H429" s="0" t="inlineStr">
        <is>
          <t xml:space="preserve">supplier</t>
        </is>
      </c>
      <c r="I429" s="0" t="inlineStr">
        <is>
          <t xml:space="preserve">machining</t>
        </is>
      </c>
      <c r="J429" s="0" t="inlineStr">
        <is>
          <t xml:space="preserve">registry</t>
        </is>
      </c>
      <c r="K429" s="5">
        <v>0</v>
      </c>
      <c r="L429" s="5">
        <v>0</v>
      </c>
      <c r="M429" s="5">
        <v>0.0</v>
      </c>
      <c r="N429" s="5">
        <v>0.0</v>
      </c>
      <c r="O429" s="5">
        <v>0.0</v>
      </c>
      <c r="P429" s="5">
        <v>0.0</v>
      </c>
      <c r="Q429" s="5">
        <v>0.0</v>
      </c>
    </row>
    <row r="430" outlineLevel="1">
      <c r="B430" s="0" t="inlineStr">
        <is>
          <t xml:space="preserve">DEMUSZ MFG. CO., INC.</t>
        </is>
      </c>
      <c r="C430" s="0" t="inlineStr">
        <is>
          <t xml:space="preserve">XL9BYN8K3L61</t>
        </is>
      </c>
      <c r="D430" s="0" t="inlineStr">
        <is>
          <t xml:space="preserve">-</t>
        </is>
      </c>
      <c r="E430" s="0" t="inlineStr">
        <is>
          <t xml:space="preserve">-</t>
        </is>
      </c>
      <c r="F430" s="0" t="inlineStr">
        <is>
          <t xml:space="preserve">-</t>
        </is>
      </c>
      <c r="G430" s="5">
        <v>2.2943580000000003</v>
      </c>
      <c r="H430" s="0" t="inlineStr">
        <is>
          <t xml:space="preserve">supplier</t>
        </is>
      </c>
      <c r="I430" s="0" t="inlineStr">
        <is>
          <t xml:space="preserve">unbucketed</t>
        </is>
      </c>
      <c r="J430" s="0" t="inlineStr">
        <is>
          <t xml:space="preserve">residual</t>
        </is>
      </c>
      <c r="K430" s="5">
        <v>0</v>
      </c>
      <c r="L430" s="5">
        <v>0</v>
      </c>
      <c r="M430" s="5">
        <v>0.0</v>
      </c>
      <c r="N430" s="5">
        <v>0.0</v>
      </c>
      <c r="O430" s="5">
        <v>0.0</v>
      </c>
      <c r="P430" s="5">
        <v>0.0</v>
      </c>
      <c r="Q430" s="5">
        <v>0.0</v>
      </c>
    </row>
    <row r="431" outlineLevel="1">
      <c r="B431" s="0" t="inlineStr">
        <is>
          <t xml:space="preserve">DEDICATED COMPUTING LLC</t>
        </is>
      </c>
      <c r="C431" s="0" t="inlineStr">
        <is>
          <t xml:space="preserve">JCXKM7U9WDR9</t>
        </is>
      </c>
      <c r="D431" s="0" t="inlineStr">
        <is>
          <t xml:space="preserve">-</t>
        </is>
      </c>
      <c r="E431" s="0" t="inlineStr">
        <is>
          <t xml:space="preserve">-</t>
        </is>
      </c>
      <c r="F431" s="0" t="inlineStr">
        <is>
          <t xml:space="preserve">-</t>
        </is>
      </c>
      <c r="G431" s="5">
        <v>2.28895</v>
      </c>
      <c r="H431" s="0" t="inlineStr">
        <is>
          <t xml:space="preserve">supplier</t>
        </is>
      </c>
      <c r="I431" s="0" t="inlineStr">
        <is>
          <t xml:space="preserve">unbucketed</t>
        </is>
      </c>
      <c r="J431" s="0" t="inlineStr">
        <is>
          <t xml:space="preserve">residual</t>
        </is>
      </c>
      <c r="K431" s="5">
        <v>0</v>
      </c>
      <c r="L431" s="5">
        <v>0</v>
      </c>
      <c r="M431" s="5">
        <v>0.0</v>
      </c>
      <c r="N431" s="5">
        <v>0.0</v>
      </c>
      <c r="O431" s="5">
        <v>0.0</v>
      </c>
      <c r="P431" s="5">
        <v>0.0</v>
      </c>
      <c r="Q431" s="5">
        <v>0.0</v>
      </c>
    </row>
    <row r="432" outlineLevel="1">
      <c r="B432" s="0" t="inlineStr">
        <is>
          <t xml:space="preserve">FORTIVE CORPORATION</t>
        </is>
      </c>
      <c r="C432" s="0" t="inlineStr">
        <is>
          <t xml:space="preserve">M4ANYAZ8Q6H8</t>
        </is>
      </c>
      <c r="D432" s="0" t="inlineStr">
        <is>
          <t xml:space="preserve">-</t>
        </is>
      </c>
      <c r="E432" s="0" t="inlineStr">
        <is>
          <t xml:space="preserve">-</t>
        </is>
      </c>
      <c r="F432" s="0" t="inlineStr">
        <is>
          <t xml:space="preserve">-</t>
        </is>
      </c>
      <c r="G432" s="5">
        <v>2.2819281</v>
      </c>
      <c r="H432" s="0" t="inlineStr">
        <is>
          <t xml:space="preserve">supplier</t>
        </is>
      </c>
      <c r="I432" s="0" t="inlineStr">
        <is>
          <t xml:space="preserve">unbucketed</t>
        </is>
      </c>
      <c r="J432" s="0" t="inlineStr">
        <is>
          <t xml:space="preserve">residual</t>
        </is>
      </c>
      <c r="K432" s="5">
        <v>0</v>
      </c>
      <c r="L432" s="5">
        <v>0</v>
      </c>
      <c r="M432" s="5">
        <v>2.2152489</v>
      </c>
      <c r="N432" s="5">
        <v>0.0</v>
      </c>
      <c r="O432" s="5">
        <v>0.0</v>
      </c>
      <c r="P432" s="5">
        <v>0.0</v>
      </c>
      <c r="Q432" s="5">
        <v>0.0</v>
      </c>
    </row>
    <row r="433" outlineLevel="1">
      <c r="B433" s="0" t="inlineStr">
        <is>
          <t xml:space="preserve">AMPHENOL CORPORATION</t>
        </is>
      </c>
      <c r="C433" s="0" t="inlineStr">
        <is>
          <t xml:space="preserve">MSJ9F7PLJHX4</t>
        </is>
      </c>
      <c r="D433" s="0" t="inlineStr">
        <is>
          <t xml:space="preserve">-</t>
        </is>
      </c>
      <c r="E433" s="0" t="inlineStr">
        <is>
          <t xml:space="preserve">-</t>
        </is>
      </c>
      <c r="F433" s="0" t="inlineStr">
        <is>
          <t xml:space="preserve">-</t>
        </is>
      </c>
      <c r="G433" s="5">
        <v>2.27966234</v>
      </c>
      <c r="H433" s="0" t="inlineStr">
        <is>
          <t xml:space="preserve">supplier</t>
        </is>
      </c>
      <c r="I433" s="0" t="inlineStr">
        <is>
          <t xml:space="preserve">electrical</t>
        </is>
      </c>
      <c r="J433" s="0" t="inlineStr">
        <is>
          <t xml:space="preserve">registry</t>
        </is>
      </c>
      <c r="K433" s="5">
        <v>0</v>
      </c>
      <c r="L433" s="5">
        <v>0</v>
      </c>
      <c r="M433" s="5">
        <v>0.0</v>
      </c>
      <c r="N433" s="5">
        <v>0.0</v>
      </c>
      <c r="O433" s="5">
        <v>0.0</v>
      </c>
      <c r="P433" s="5">
        <v>0.0</v>
      </c>
      <c r="Q433" s="5">
        <v>0.0</v>
      </c>
    </row>
    <row r="434" outlineLevel="1">
      <c r="B434" s="0" t="inlineStr">
        <is>
          <t xml:space="preserve">IRWIN &amp; LEIGHTON, INC.</t>
        </is>
      </c>
      <c r="C434" s="0" t="inlineStr">
        <is>
          <t xml:space="preserve">FR1NLWKHKDB7</t>
        </is>
      </c>
      <c r="D434" s="0" t="inlineStr">
        <is>
          <t xml:space="preserve">-</t>
        </is>
      </c>
      <c r="E434" s="0" t="inlineStr">
        <is>
          <t xml:space="preserve">-</t>
        </is>
      </c>
      <c r="F434" s="0" t="inlineStr">
        <is>
          <t xml:space="preserve">-</t>
        </is>
      </c>
      <c r="G434" s="5">
        <v>2.278712</v>
      </c>
      <c r="H434" s="0" t="inlineStr">
        <is>
          <t xml:space="preserve">supplier</t>
        </is>
      </c>
      <c r="I434" s="0" t="inlineStr">
        <is>
          <t xml:space="preserve">unbucketed</t>
        </is>
      </c>
      <c r="J434" s="0" t="inlineStr">
        <is>
          <t xml:space="preserve">residual</t>
        </is>
      </c>
      <c r="K434" s="5">
        <v>0</v>
      </c>
      <c r="L434" s="5">
        <v>0</v>
      </c>
      <c r="M434" s="5">
        <v>0.0</v>
      </c>
      <c r="N434" s="5">
        <v>0.0</v>
      </c>
      <c r="O434" s="5">
        <v>0.0</v>
      </c>
      <c r="P434" s="5">
        <v>0.0</v>
      </c>
      <c r="Q434" s="5">
        <v>0.0</v>
      </c>
    </row>
    <row r="435" outlineLevel="1">
      <c r="B435" s="0" t="inlineStr">
        <is>
          <t xml:space="preserve">HARMONY CASTINGS LLC</t>
        </is>
      </c>
      <c r="C435" s="0" t="inlineStr">
        <is>
          <t xml:space="preserve">G9XYJGCPDL77</t>
        </is>
      </c>
      <c r="D435" s="0" t="inlineStr">
        <is>
          <t xml:space="preserve">-</t>
        </is>
      </c>
      <c r="E435" s="0" t="inlineStr">
        <is>
          <t xml:space="preserve">-</t>
        </is>
      </c>
      <c r="F435" s="0" t="inlineStr">
        <is>
          <t xml:space="preserve">-</t>
        </is>
      </c>
      <c r="G435" s="5">
        <v>2.2748877</v>
      </c>
      <c r="H435" s="0" t="inlineStr">
        <is>
          <t xml:space="preserve">supplier</t>
        </is>
      </c>
      <c r="I435" s="0" t="inlineStr">
        <is>
          <t xml:space="preserve">unbucketed</t>
        </is>
      </c>
      <c r="J435" s="0" t="inlineStr">
        <is>
          <t xml:space="preserve">residual</t>
        </is>
      </c>
      <c r="K435" s="5">
        <v>0</v>
      </c>
      <c r="L435" s="5">
        <v>0</v>
      </c>
      <c r="M435" s="5">
        <v>0.0</v>
      </c>
      <c r="N435" s="5">
        <v>0.0</v>
      </c>
      <c r="O435" s="5">
        <v>0.0</v>
      </c>
      <c r="P435" s="5">
        <v>0.0</v>
      </c>
      <c r="Q435" s="5">
        <v>0.0</v>
      </c>
    </row>
    <row r="436" outlineLevel="1">
      <c r="B436" s="0" t="inlineStr">
        <is>
          <t xml:space="preserve">COBHAM ADVANCED ELECTRONIC SOLUTIONS INC.</t>
        </is>
      </c>
      <c r="C436" s="0" t="inlineStr">
        <is>
          <t xml:space="preserve">Q9HFNQQM2AD9</t>
        </is>
      </c>
      <c r="D436" s="0" t="inlineStr">
        <is>
          <t xml:space="preserve">-</t>
        </is>
      </c>
      <c r="E436" s="0" t="inlineStr">
        <is>
          <t xml:space="preserve">-</t>
        </is>
      </c>
      <c r="F436" s="0" t="inlineStr">
        <is>
          <t xml:space="preserve">-</t>
        </is>
      </c>
      <c r="G436" s="5">
        <v>2.27091</v>
      </c>
      <c r="H436" s="0" t="inlineStr">
        <is>
          <t xml:space="preserve">supplier</t>
        </is>
      </c>
      <c r="I436" s="0" t="inlineStr">
        <is>
          <t xml:space="preserve">unbucketed</t>
        </is>
      </c>
      <c r="J436" s="0" t="inlineStr">
        <is>
          <t xml:space="preserve">residual</t>
        </is>
      </c>
      <c r="K436" s="5">
        <v>0</v>
      </c>
      <c r="L436" s="5">
        <v>0</v>
      </c>
      <c r="M436" s="5">
        <v>0.0</v>
      </c>
      <c r="N436" s="5">
        <v>0.0</v>
      </c>
      <c r="O436" s="5">
        <v>0.0</v>
      </c>
      <c r="P436" s="5">
        <v>0.0</v>
      </c>
      <c r="Q436" s="5">
        <v>0.0</v>
      </c>
    </row>
    <row r="437" outlineLevel="1">
      <c r="B437" s="0" t="inlineStr">
        <is>
          <t xml:space="preserve">TRANSDIGM GROUP INCORPORATED</t>
        </is>
      </c>
      <c r="C437" s="0" t="inlineStr">
        <is>
          <t xml:space="preserve">DKELCSLYGDK5</t>
        </is>
      </c>
      <c r="D437" s="0" t="inlineStr">
        <is>
          <t xml:space="preserve">-</t>
        </is>
      </c>
      <c r="E437" s="0" t="inlineStr">
        <is>
          <t xml:space="preserve">-</t>
        </is>
      </c>
      <c r="F437" s="0" t="inlineStr">
        <is>
          <t xml:space="preserve">-</t>
        </is>
      </c>
      <c r="G437" s="5">
        <v>2.2681537</v>
      </c>
      <c r="H437" s="0" t="inlineStr">
        <is>
          <t xml:space="preserve">supplier</t>
        </is>
      </c>
      <c r="I437" s="0" t="inlineStr">
        <is>
          <t xml:space="preserve">unbucketed</t>
        </is>
      </c>
      <c r="J437" s="0" t="inlineStr">
        <is>
          <t xml:space="preserve">residual</t>
        </is>
      </c>
      <c r="K437" s="5">
        <v>0</v>
      </c>
      <c r="L437" s="5">
        <v>0</v>
      </c>
      <c r="M437" s="5">
        <v>0.0</v>
      </c>
      <c r="N437" s="5">
        <v>0.0</v>
      </c>
      <c r="O437" s="5">
        <v>0.0</v>
      </c>
      <c r="P437" s="5">
        <v>0.0</v>
      </c>
      <c r="Q437" s="5">
        <v>0.0</v>
      </c>
    </row>
    <row r="438" outlineLevel="1">
      <c r="B438" s="0" t="inlineStr">
        <is>
          <t xml:space="preserve">MARCH ELECTRONICS INC</t>
        </is>
      </c>
      <c r="C438" s="0" t="inlineStr">
        <is>
          <t xml:space="preserve">CELUQLJ64TZ9</t>
        </is>
      </c>
      <c r="D438" s="0" t="inlineStr">
        <is>
          <t xml:space="preserve">-</t>
        </is>
      </c>
      <c r="E438" s="0" t="inlineStr">
        <is>
          <t xml:space="preserve">-</t>
        </is>
      </c>
      <c r="F438" s="0" t="inlineStr">
        <is>
          <t xml:space="preserve">-</t>
        </is>
      </c>
      <c r="G438" s="5">
        <v>2.26359436</v>
      </c>
      <c r="H438" s="0" t="inlineStr">
        <is>
          <t xml:space="preserve">supplier</t>
        </is>
      </c>
      <c r="I438" s="0" t="inlineStr">
        <is>
          <t xml:space="preserve">unbucketed</t>
        </is>
      </c>
      <c r="J438" s="0" t="inlineStr">
        <is>
          <t xml:space="preserve">residual</t>
        </is>
      </c>
      <c r="K438" s="5">
        <v>0</v>
      </c>
      <c r="L438" s="5">
        <v>0</v>
      </c>
      <c r="M438" s="5">
        <v>0.0</v>
      </c>
      <c r="N438" s="5">
        <v>0.0</v>
      </c>
      <c r="O438" s="5">
        <v>0.0</v>
      </c>
      <c r="P438" s="5">
        <v>0.0</v>
      </c>
      <c r="Q438" s="5">
        <v>0.0</v>
      </c>
    </row>
    <row r="439" outlineLevel="1">
      <c r="B439" s="0" t="inlineStr">
        <is>
          <t xml:space="preserve">PIONEER MACHINE &amp; TOOL CO. INC.</t>
        </is>
      </c>
      <c r="C439" s="0" t="inlineStr">
        <is>
          <t xml:space="preserve">S6LCKJZGKFZ5</t>
        </is>
      </c>
      <c r="D439" s="0" t="inlineStr">
        <is>
          <t xml:space="preserve">-</t>
        </is>
      </c>
      <c r="E439" s="0" t="inlineStr">
        <is>
          <t xml:space="preserve">-</t>
        </is>
      </c>
      <c r="F439" s="0" t="inlineStr">
        <is>
          <t xml:space="preserve">-</t>
        </is>
      </c>
      <c r="G439" s="5">
        <v>2.2400759999999997</v>
      </c>
      <c r="H439" s="0" t="inlineStr">
        <is>
          <t xml:space="preserve">supplier</t>
        </is>
      </c>
      <c r="I439" s="0" t="inlineStr">
        <is>
          <t xml:space="preserve">unbucketed</t>
        </is>
      </c>
      <c r="J439" s="0" t="inlineStr">
        <is>
          <t xml:space="preserve">residual</t>
        </is>
      </c>
      <c r="K439" s="5">
        <v>0</v>
      </c>
      <c r="L439" s="5">
        <v>0</v>
      </c>
      <c r="M439" s="5">
        <v>0.0</v>
      </c>
      <c r="N439" s="5">
        <v>0.0</v>
      </c>
      <c r="O439" s="5">
        <v>0.0</v>
      </c>
      <c r="P439" s="5">
        <v>0.0</v>
      </c>
      <c r="Q439" s="5">
        <v>0.0</v>
      </c>
    </row>
    <row r="440" outlineLevel="1">
      <c r="B440" s="0" t="inlineStr">
        <is>
          <t xml:space="preserve">MUELLER INDUSTRIES, INC.</t>
        </is>
      </c>
      <c r="C440" s="0" t="inlineStr">
        <is>
          <t xml:space="preserve">P6GTLUMFA7X3</t>
        </is>
      </c>
      <c r="D440" s="0" t="inlineStr">
        <is>
          <t xml:space="preserve">-</t>
        </is>
      </c>
      <c r="E440" s="0" t="inlineStr">
        <is>
          <t xml:space="preserve">-</t>
        </is>
      </c>
      <c r="F440" s="0" t="inlineStr">
        <is>
          <t xml:space="preserve">-</t>
        </is>
      </c>
      <c r="G440" s="5">
        <v>2.2306362599999994</v>
      </c>
      <c r="H440" s="0" t="inlineStr">
        <is>
          <t xml:space="preserve">supplier</t>
        </is>
      </c>
      <c r="I440" s="0" t="inlineStr">
        <is>
          <t xml:space="preserve">unbucketed</t>
        </is>
      </c>
      <c r="J440" s="0" t="inlineStr">
        <is>
          <t xml:space="preserve">residual</t>
        </is>
      </c>
      <c r="K440" s="5">
        <v>0</v>
      </c>
      <c r="L440" s="5">
        <v>0</v>
      </c>
      <c r="M440" s="5">
        <v>0.0</v>
      </c>
      <c r="N440" s="5">
        <v>0.0</v>
      </c>
      <c r="O440" s="5">
        <v>0.0</v>
      </c>
      <c r="P440" s="5">
        <v>0.0</v>
      </c>
      <c r="Q440" s="5">
        <v>0.0</v>
      </c>
    </row>
    <row r="441" outlineLevel="1">
      <c r="B441" s="0" t="inlineStr">
        <is>
          <t xml:space="preserve">MINNESOTA WATERJET, INC.</t>
        </is>
      </c>
      <c r="C441" s="0" t="inlineStr">
        <is>
          <t xml:space="preserve">Y2Y9A5LJ6K28</t>
        </is>
      </c>
      <c r="D441" s="0" t="inlineStr">
        <is>
          <t xml:space="preserve">-</t>
        </is>
      </c>
      <c r="E441" s="0" t="inlineStr">
        <is>
          <t xml:space="preserve">-</t>
        </is>
      </c>
      <c r="F441" s="0" t="inlineStr">
        <is>
          <t xml:space="preserve">-</t>
        </is>
      </c>
      <c r="G441" s="5">
        <v>2.2172793100000003</v>
      </c>
      <c r="H441" s="0" t="inlineStr">
        <is>
          <t xml:space="preserve">supplier</t>
        </is>
      </c>
      <c r="I441" s="0" t="inlineStr">
        <is>
          <t xml:space="preserve">unbucketed</t>
        </is>
      </c>
      <c r="J441" s="0" t="inlineStr">
        <is>
          <t xml:space="preserve">residual</t>
        </is>
      </c>
      <c r="K441" s="5">
        <v>0</v>
      </c>
      <c r="L441" s="5">
        <v>0</v>
      </c>
      <c r="M441" s="5">
        <v>0.0</v>
      </c>
      <c r="N441" s="5">
        <v>0.0</v>
      </c>
      <c r="O441" s="5">
        <v>0.0</v>
      </c>
      <c r="P441" s="5">
        <v>0.0</v>
      </c>
      <c r="Q441" s="5">
        <v>0.0</v>
      </c>
    </row>
    <row r="442" outlineLevel="1">
      <c r="B442" s="0" t="inlineStr">
        <is>
          <t xml:space="preserve">MAGNETIKA, INC.</t>
        </is>
      </c>
      <c r="C442" s="0" t="inlineStr">
        <is>
          <t xml:space="preserve">PZVZG95MCMD9</t>
        </is>
      </c>
      <c r="D442" s="0" t="inlineStr">
        <is>
          <t xml:space="preserve">-</t>
        </is>
      </c>
      <c r="E442" s="0" t="inlineStr">
        <is>
          <t xml:space="preserve">-</t>
        </is>
      </c>
      <c r="F442" s="0" t="inlineStr">
        <is>
          <t xml:space="preserve">-</t>
        </is>
      </c>
      <c r="G442" s="5">
        <v>2.20944</v>
      </c>
      <c r="H442" s="0" t="inlineStr">
        <is>
          <t xml:space="preserve">supplier</t>
        </is>
      </c>
      <c r="I442" s="0" t="inlineStr">
        <is>
          <t xml:space="preserve">unbucketed</t>
        </is>
      </c>
      <c r="J442" s="0" t="inlineStr">
        <is>
          <t xml:space="preserve">residual</t>
        </is>
      </c>
      <c r="K442" s="5">
        <v>0</v>
      </c>
      <c r="L442" s="5">
        <v>0</v>
      </c>
      <c r="M442" s="5">
        <v>0.0</v>
      </c>
      <c r="N442" s="5">
        <v>0.0</v>
      </c>
      <c r="O442" s="5">
        <v>0.0</v>
      </c>
      <c r="P442" s="5">
        <v>0.0</v>
      </c>
      <c r="Q442" s="5">
        <v>0.0</v>
      </c>
    </row>
    <row r="443" outlineLevel="1">
      <c r="B443" s="0" t="inlineStr">
        <is>
          <t xml:space="preserve">HITACHI, LTD.</t>
        </is>
      </c>
      <c r="C443" s="0" t="inlineStr">
        <is>
          <t xml:space="preserve">VJHFDLA3NLG8</t>
        </is>
      </c>
      <c r="D443" s="0" t="inlineStr">
        <is>
          <t xml:space="preserve">-</t>
        </is>
      </c>
      <c r="E443" s="0" t="inlineStr">
        <is>
          <t xml:space="preserve">-</t>
        </is>
      </c>
      <c r="F443" s="0" t="inlineStr">
        <is>
          <t xml:space="preserve">-</t>
        </is>
      </c>
      <c r="G443" s="5">
        <v>2.20256033</v>
      </c>
      <c r="H443" s="0" t="inlineStr">
        <is>
          <t xml:space="preserve">supplier</t>
        </is>
      </c>
      <c r="I443" s="0" t="inlineStr">
        <is>
          <t xml:space="preserve">unbucketed</t>
        </is>
      </c>
      <c r="J443" s="0" t="inlineStr">
        <is>
          <t xml:space="preserve">residual</t>
        </is>
      </c>
      <c r="K443" s="5">
        <v>0</v>
      </c>
      <c r="L443" s="5">
        <v>0</v>
      </c>
      <c r="M443" s="5">
        <v>2.20256033</v>
      </c>
      <c r="N443" s="5">
        <v>0.0</v>
      </c>
      <c r="O443" s="5">
        <v>0.0</v>
      </c>
      <c r="P443" s="5">
        <v>0.399893</v>
      </c>
      <c r="Q443" s="5">
        <v>1.80266733</v>
      </c>
    </row>
    <row r="444" outlineLevel="1">
      <c r="B444" s="0" t="inlineStr">
        <is>
          <t xml:space="preserve">ELECTRO SWITCH BUSINESS TRUST</t>
        </is>
      </c>
      <c r="C444" s="0" t="inlineStr">
        <is>
          <t xml:space="preserve">NJ6LF9NUB5Z3</t>
        </is>
      </c>
      <c r="D444" s="0" t="inlineStr">
        <is>
          <t xml:space="preserve">-</t>
        </is>
      </c>
      <c r="E444" s="0" t="inlineStr">
        <is>
          <t xml:space="preserve">-</t>
        </is>
      </c>
      <c r="F444" s="0" t="inlineStr">
        <is>
          <t xml:space="preserve">-</t>
        </is>
      </c>
      <c r="G444" s="5">
        <v>2.1988641300000005</v>
      </c>
      <c r="H444" s="0" t="inlineStr">
        <is>
          <t xml:space="preserve">supplier</t>
        </is>
      </c>
      <c r="I444" s="0" t="inlineStr">
        <is>
          <t xml:space="preserve">unbucketed</t>
        </is>
      </c>
      <c r="J444" s="0" t="inlineStr">
        <is>
          <t xml:space="preserve">residual</t>
        </is>
      </c>
      <c r="K444" s="5">
        <v>0</v>
      </c>
      <c r="L444" s="5">
        <v>0</v>
      </c>
      <c r="M444" s="5">
        <v>0.0</v>
      </c>
      <c r="N444" s="5">
        <v>0.0</v>
      </c>
      <c r="O444" s="5">
        <v>0.0</v>
      </c>
      <c r="P444" s="5">
        <v>0.0</v>
      </c>
      <c r="Q444" s="5">
        <v>0.0</v>
      </c>
    </row>
    <row r="445" outlineLevel="1">
      <c r="B445" s="0" t="inlineStr">
        <is>
          <t xml:space="preserve">EXCEL GEAR, INC.</t>
        </is>
      </c>
      <c r="C445" s="0" t="inlineStr">
        <is>
          <t xml:space="preserve">KEMMV4Q7MVM6</t>
        </is>
      </c>
      <c r="D445" s="0" t="inlineStr">
        <is>
          <t xml:space="preserve">-</t>
        </is>
      </c>
      <c r="E445" s="0" t="inlineStr">
        <is>
          <t xml:space="preserve">-</t>
        </is>
      </c>
      <c r="F445" s="0" t="inlineStr">
        <is>
          <t xml:space="preserve">-</t>
        </is>
      </c>
      <c r="G445" s="5">
        <v>2.197928</v>
      </c>
      <c r="H445" s="0" t="inlineStr">
        <is>
          <t xml:space="preserve">supplier</t>
        </is>
      </c>
      <c r="I445" s="0" t="inlineStr">
        <is>
          <t xml:space="preserve">unbucketed</t>
        </is>
      </c>
      <c r="J445" s="0" t="inlineStr">
        <is>
          <t xml:space="preserve">residual</t>
        </is>
      </c>
      <c r="K445" s="5">
        <v>0</v>
      </c>
      <c r="L445" s="5">
        <v>0</v>
      </c>
      <c r="M445" s="5">
        <v>0.0</v>
      </c>
      <c r="N445" s="5">
        <v>0.0</v>
      </c>
      <c r="O445" s="5">
        <v>0.0</v>
      </c>
      <c r="P445" s="5">
        <v>0.0</v>
      </c>
      <c r="Q445" s="5">
        <v>0.0</v>
      </c>
    </row>
    <row r="446" outlineLevel="1">
      <c r="B446" s="0" t="inlineStr">
        <is>
          <t xml:space="preserve">MILWAUKEE VALVE CO INC</t>
        </is>
      </c>
      <c r="C446" s="0" t="inlineStr">
        <is>
          <t xml:space="preserve">MC77SUMRLXY5</t>
        </is>
      </c>
      <c r="D446" s="0" t="inlineStr">
        <is>
          <t xml:space="preserve">-</t>
        </is>
      </c>
      <c r="E446" s="0" t="inlineStr">
        <is>
          <t xml:space="preserve">-</t>
        </is>
      </c>
      <c r="F446" s="0" t="inlineStr">
        <is>
          <t xml:space="preserve">-</t>
        </is>
      </c>
      <c r="G446" s="5">
        <v>2.17917875</v>
      </c>
      <c r="H446" s="0" t="inlineStr">
        <is>
          <t xml:space="preserve">supplier</t>
        </is>
      </c>
      <c r="I446" s="0" t="inlineStr">
        <is>
          <t xml:space="preserve">piping</t>
        </is>
      </c>
      <c r="J446" s="0" t="inlineStr">
        <is>
          <t xml:space="preserve">registry</t>
        </is>
      </c>
      <c r="K446" s="5">
        <v>0</v>
      </c>
      <c r="L446" s="5">
        <v>0</v>
      </c>
      <c r="M446" s="5">
        <v>2.17917875</v>
      </c>
      <c r="N446" s="5">
        <v>0.0</v>
      </c>
      <c r="O446" s="5">
        <v>0.6284471300000001</v>
      </c>
      <c r="P446" s="5">
        <v>1.33092757</v>
      </c>
      <c r="Q446" s="5">
        <v>0.21980405000000003</v>
      </c>
    </row>
    <row r="447" outlineLevel="1">
      <c r="B447" s="0" t="inlineStr">
        <is>
          <t xml:space="preserve">L3HARRIS TECHNOLOGIES, INC.</t>
        </is>
      </c>
      <c r="C447" s="0" t="inlineStr">
        <is>
          <t xml:space="preserve">XXP4PLFFFGK9</t>
        </is>
      </c>
      <c r="D447" s="0" t="inlineStr">
        <is>
          <t xml:space="preserve">USA</t>
        </is>
      </c>
      <c r="E447" s="0" t="inlineStr">
        <is>
          <t xml:space="preserve">3345</t>
        </is>
      </c>
      <c r="F447" s="0" t="inlineStr">
        <is>
          <t xml:space="preserve">Search, Detection, Navigation, Guidance, Aeronautical, and Nautical System and Instrument Manufacturing</t>
        </is>
      </c>
      <c r="G447" s="5">
        <v>2.1775610000000003</v>
      </c>
      <c r="H447" s="0" t="inlineStr">
        <is>
          <t xml:space="preserve">gfe_mib</t>
        </is>
      </c>
      <c r="I447" s="0" t="inlineStr">
        <is>
          <t xml:space="preserve">-</t>
        </is>
      </c>
      <c r="J447" s="0" t="inlineStr">
        <is>
          <t xml:space="preserve">GFE/MIB name</t>
        </is>
      </c>
      <c r="K447" s="5">
        <v>0</v>
      </c>
      <c r="L447" s="5">
        <v>0</v>
      </c>
      <c r="M447" s="5">
        <v>0.0</v>
      </c>
      <c r="N447" s="5">
        <v>0.0</v>
      </c>
      <c r="O447" s="5">
        <v>0.0</v>
      </c>
      <c r="P447" s="5">
        <v>0.0</v>
      </c>
      <c r="Q447" s="5">
        <v>0.0</v>
      </c>
    </row>
    <row r="448" outlineLevel="1">
      <c r="B448" s="0" t="inlineStr">
        <is>
          <t xml:space="preserve">S.E.A. WIRE &amp; CABLE, INC.</t>
        </is>
      </c>
      <c r="C448" s="0" t="inlineStr">
        <is>
          <t xml:space="preserve">FMMAEB6M4C29</t>
        </is>
      </c>
      <c r="D448" s="0" t="inlineStr">
        <is>
          <t xml:space="preserve">-</t>
        </is>
      </c>
      <c r="E448" s="0" t="inlineStr">
        <is>
          <t xml:space="preserve">-</t>
        </is>
      </c>
      <c r="F448" s="0" t="inlineStr">
        <is>
          <t xml:space="preserve">-</t>
        </is>
      </c>
      <c r="G448" s="5">
        <v>2.168265800000001</v>
      </c>
      <c r="H448" s="0" t="inlineStr">
        <is>
          <t xml:space="preserve">supplier</t>
        </is>
      </c>
      <c r="I448" s="0" t="inlineStr">
        <is>
          <t xml:space="preserve">unbucketed</t>
        </is>
      </c>
      <c r="J448" s="0" t="inlineStr">
        <is>
          <t xml:space="preserve">residual</t>
        </is>
      </c>
      <c r="K448" s="5">
        <v>0</v>
      </c>
      <c r="L448" s="5">
        <v>0</v>
      </c>
      <c r="M448" s="5">
        <v>0.0</v>
      </c>
      <c r="N448" s="5">
        <v>0.0</v>
      </c>
      <c r="O448" s="5">
        <v>0.0</v>
      </c>
      <c r="P448" s="5">
        <v>0.0</v>
      </c>
      <c r="Q448" s="5">
        <v>0.0</v>
      </c>
    </row>
    <row r="449" outlineLevel="1">
      <c r="B449" s="0" t="inlineStr">
        <is>
          <t xml:space="preserve">THUNDERBOLT SOFTWARE LLC</t>
        </is>
      </c>
      <c r="C449" s="0" t="inlineStr">
        <is>
          <t xml:space="preserve">RJBXUNF9XYX5</t>
        </is>
      </c>
      <c r="D449" s="0" t="inlineStr">
        <is>
          <t xml:space="preserve">-</t>
        </is>
      </c>
      <c r="E449" s="0" t="inlineStr">
        <is>
          <t xml:space="preserve">-</t>
        </is>
      </c>
      <c r="F449" s="0" t="inlineStr">
        <is>
          <t xml:space="preserve">-</t>
        </is>
      </c>
      <c r="G449" s="5">
        <v>2.1568612699999994</v>
      </c>
      <c r="H449" s="0" t="inlineStr">
        <is>
          <t xml:space="preserve">supplier</t>
        </is>
      </c>
      <c r="I449" s="0" t="inlineStr">
        <is>
          <t xml:space="preserve">unbucketed</t>
        </is>
      </c>
      <c r="J449" s="0" t="inlineStr">
        <is>
          <t xml:space="preserve">residual</t>
        </is>
      </c>
      <c r="K449" s="5">
        <v>0</v>
      </c>
      <c r="L449" s="5">
        <v>0</v>
      </c>
      <c r="M449" s="5">
        <v>0.0</v>
      </c>
      <c r="N449" s="5">
        <v>0.0</v>
      </c>
      <c r="O449" s="5">
        <v>0.0</v>
      </c>
      <c r="P449" s="5">
        <v>0.0</v>
      </c>
      <c r="Q449" s="5">
        <v>0.0</v>
      </c>
    </row>
    <row r="450" outlineLevel="1">
      <c r="B450" s="0" t="inlineStr">
        <is>
          <t xml:space="preserve">TTM TECHNOLOGIES, INC.</t>
        </is>
      </c>
      <c r="C450" s="0" t="inlineStr">
        <is>
          <t xml:space="preserve">GZMNALVP4ME3</t>
        </is>
      </c>
      <c r="D450" s="0" t="inlineStr">
        <is>
          <t xml:space="preserve">USA</t>
        </is>
      </c>
      <c r="E450" s="0" t="inlineStr">
        <is>
          <t xml:space="preserve">3344</t>
        </is>
      </c>
      <c r="F450" s="0" t="inlineStr">
        <is>
          <t xml:space="preserve">Bare Printed Circuit Board Manufacturing</t>
        </is>
      </c>
      <c r="G450" s="5">
        <v>2.14561175</v>
      </c>
      <c r="H450" s="0" t="inlineStr">
        <is>
          <t xml:space="preserve">supplier</t>
        </is>
      </c>
      <c r="I450" s="0" t="inlineStr">
        <is>
          <t xml:space="preserve">unbucketed</t>
        </is>
      </c>
      <c r="J450" s="0" t="inlineStr">
        <is>
          <t xml:space="preserve">residual</t>
        </is>
      </c>
      <c r="K450" s="5">
        <v>0</v>
      </c>
      <c r="L450" s="5">
        <v>0</v>
      </c>
      <c r="M450" s="5">
        <v>0.0</v>
      </c>
      <c r="N450" s="5">
        <v>0.0</v>
      </c>
      <c r="O450" s="5">
        <v>0.0</v>
      </c>
      <c r="P450" s="5">
        <v>0.0</v>
      </c>
      <c r="Q450" s="5">
        <v>0.0</v>
      </c>
    </row>
    <row r="451" outlineLevel="1">
      <c r="B451" s="0" t="inlineStr">
        <is>
          <t xml:space="preserve">DRS TRAINING &amp; CONTROL SYSTEMS, LLC</t>
        </is>
      </c>
      <c r="C451" s="0" t="inlineStr">
        <is>
          <t xml:space="preserve">T2VFE1NGR3G5</t>
        </is>
      </c>
      <c r="D451" s="0" t="inlineStr">
        <is>
          <t xml:space="preserve">-</t>
        </is>
      </c>
      <c r="E451" s="0" t="inlineStr">
        <is>
          <t xml:space="preserve">-</t>
        </is>
      </c>
      <c r="F451" s="0" t="inlineStr">
        <is>
          <t xml:space="preserve">-</t>
        </is>
      </c>
      <c r="G451" s="5">
        <v>2.1441730499999996</v>
      </c>
      <c r="H451" s="0" t="inlineStr">
        <is>
          <t xml:space="preserve">mission_systems</t>
        </is>
      </c>
      <c r="I451" s="0" t="inlineStr">
        <is>
          <t xml:space="preserve">-</t>
        </is>
      </c>
      <c r="J451" s="0" t="inlineStr">
        <is>
          <t xml:space="preserve">registry</t>
        </is>
      </c>
      <c r="K451" s="5">
        <v>0</v>
      </c>
      <c r="L451" s="5">
        <v>1</v>
      </c>
      <c r="M451" s="5">
        <v>0.38917817</v>
      </c>
      <c r="N451" s="5">
        <v>0.0</v>
      </c>
      <c r="O451" s="5">
        <v>0.38917817</v>
      </c>
      <c r="P451" s="5">
        <v>0.0</v>
      </c>
      <c r="Q451" s="5">
        <v>0.0</v>
      </c>
    </row>
    <row r="452" outlineLevel="1">
      <c r="B452" s="0" t="inlineStr">
        <is>
          <t xml:space="preserve">MAGNOLIA ADVANCED MATERIALS, INC.</t>
        </is>
      </c>
      <c r="C452" s="0" t="inlineStr">
        <is>
          <t xml:space="preserve">HCL7JA5646X9</t>
        </is>
      </c>
      <c r="D452" s="0" t="inlineStr">
        <is>
          <t xml:space="preserve">-</t>
        </is>
      </c>
      <c r="E452" s="0" t="inlineStr">
        <is>
          <t xml:space="preserve">-</t>
        </is>
      </c>
      <c r="F452" s="0" t="inlineStr">
        <is>
          <t xml:space="preserve">-</t>
        </is>
      </c>
      <c r="G452" s="5">
        <v>2.1317493199999995</v>
      </c>
      <c r="H452" s="0" t="inlineStr">
        <is>
          <t xml:space="preserve">supplier</t>
        </is>
      </c>
      <c r="I452" s="0" t="inlineStr">
        <is>
          <t xml:space="preserve">unbucketed</t>
        </is>
      </c>
      <c r="J452" s="0" t="inlineStr">
        <is>
          <t xml:space="preserve">residual</t>
        </is>
      </c>
      <c r="K452" s="5">
        <v>0</v>
      </c>
      <c r="L452" s="5">
        <v>0</v>
      </c>
      <c r="M452" s="5">
        <v>0.0</v>
      </c>
      <c r="N452" s="5">
        <v>0.0</v>
      </c>
      <c r="O452" s="5">
        <v>0.0</v>
      </c>
      <c r="P452" s="5">
        <v>0.0</v>
      </c>
      <c r="Q452" s="5">
        <v>0.0</v>
      </c>
    </row>
    <row r="453" outlineLevel="1">
      <c r="B453" s="0" t="inlineStr">
        <is>
          <t xml:space="preserve">COINING, INC.</t>
        </is>
      </c>
      <c r="C453" s="0" t="inlineStr">
        <is>
          <t xml:space="preserve">UR6FKNWNG626</t>
        </is>
      </c>
      <c r="D453" s="0" t="inlineStr">
        <is>
          <t xml:space="preserve">-</t>
        </is>
      </c>
      <c r="E453" s="0" t="inlineStr">
        <is>
          <t xml:space="preserve">-</t>
        </is>
      </c>
      <c r="F453" s="0" t="inlineStr">
        <is>
          <t xml:space="preserve">-</t>
        </is>
      </c>
      <c r="G453" s="5">
        <v>2.123152</v>
      </c>
      <c r="H453" s="0" t="inlineStr">
        <is>
          <t xml:space="preserve">supplier</t>
        </is>
      </c>
      <c r="I453" s="0" t="inlineStr">
        <is>
          <t xml:space="preserve">unbucketed</t>
        </is>
      </c>
      <c r="J453" s="0" t="inlineStr">
        <is>
          <t xml:space="preserve">residual</t>
        </is>
      </c>
      <c r="K453" s="5">
        <v>0</v>
      </c>
      <c r="L453" s="5">
        <v>0</v>
      </c>
      <c r="M453" s="5">
        <v>0.0</v>
      </c>
      <c r="N453" s="5">
        <v>0.0</v>
      </c>
      <c r="O453" s="5">
        <v>0.0</v>
      </c>
      <c r="P453" s="5">
        <v>0.0</v>
      </c>
      <c r="Q453" s="5">
        <v>0.0</v>
      </c>
    </row>
    <row r="454" outlineLevel="1">
      <c r="B454" s="0" t="inlineStr">
        <is>
          <t xml:space="preserve">MASTER INTERNATIONAL CORP</t>
        </is>
      </c>
      <c r="C454" s="0" t="inlineStr">
        <is>
          <t xml:space="preserve">CASZKA1CMGH3</t>
        </is>
      </c>
      <c r="D454" s="0" t="inlineStr">
        <is>
          <t xml:space="preserve">-</t>
        </is>
      </c>
      <c r="E454" s="0" t="inlineStr">
        <is>
          <t xml:space="preserve">-</t>
        </is>
      </c>
      <c r="F454" s="0" t="inlineStr">
        <is>
          <t xml:space="preserve">-</t>
        </is>
      </c>
      <c r="G454" s="5">
        <v>2.12040562</v>
      </c>
      <c r="H454" s="0" t="inlineStr">
        <is>
          <t xml:space="preserve">supplier</t>
        </is>
      </c>
      <c r="I454" s="0" t="inlineStr">
        <is>
          <t xml:space="preserve">unbucketed</t>
        </is>
      </c>
      <c r="J454" s="0" t="inlineStr">
        <is>
          <t xml:space="preserve">residual</t>
        </is>
      </c>
      <c r="K454" s="5">
        <v>0</v>
      </c>
      <c r="L454" s="5">
        <v>0</v>
      </c>
      <c r="M454" s="5">
        <v>0.0</v>
      </c>
      <c r="N454" s="5">
        <v>0.0</v>
      </c>
      <c r="O454" s="5">
        <v>0.0</v>
      </c>
      <c r="P454" s="5">
        <v>0.0</v>
      </c>
      <c r="Q454" s="5">
        <v>0.0</v>
      </c>
    </row>
    <row r="455" outlineLevel="1">
      <c r="B455" s="0" t="inlineStr">
        <is>
          <t xml:space="preserve">EVAC NORTH AMERICA INC</t>
        </is>
      </c>
      <c r="C455" s="0" t="inlineStr">
        <is>
          <t xml:space="preserve">N6P1AGPMV456</t>
        </is>
      </c>
      <c r="D455" s="0" t="inlineStr">
        <is>
          <t xml:space="preserve">-</t>
        </is>
      </c>
      <c r="E455" s="0" t="inlineStr">
        <is>
          <t xml:space="preserve">-</t>
        </is>
      </c>
      <c r="F455" s="0" t="inlineStr">
        <is>
          <t xml:space="preserve">-</t>
        </is>
      </c>
      <c r="G455" s="5">
        <v>2.118792</v>
      </c>
      <c r="H455" s="0" t="inlineStr">
        <is>
          <t xml:space="preserve">supplier</t>
        </is>
      </c>
      <c r="I455" s="0" t="inlineStr">
        <is>
          <t xml:space="preserve">piping</t>
        </is>
      </c>
      <c r="J455" s="0" t="inlineStr">
        <is>
          <t xml:space="preserve">registry</t>
        </is>
      </c>
      <c r="K455" s="5">
        <v>0</v>
      </c>
      <c r="L455" s="5">
        <v>0</v>
      </c>
      <c r="M455" s="5">
        <v>2.118792</v>
      </c>
      <c r="N455" s="5">
        <v>0.0</v>
      </c>
      <c r="O455" s="5">
        <v>0.0</v>
      </c>
      <c r="P455" s="5">
        <v>2.118792</v>
      </c>
      <c r="Q455" s="5">
        <v>0.0</v>
      </c>
    </row>
    <row r="456" outlineLevel="1">
      <c r="B456" s="0" t="inlineStr">
        <is>
          <t xml:space="preserve">J.F. LEHMAN &amp; COMPANY, INC.</t>
        </is>
      </c>
      <c r="C456" s="0" t="inlineStr">
        <is>
          <t xml:space="preserve">KCYPSYNH1M94</t>
        </is>
      </c>
      <c r="D456" s="0" t="inlineStr">
        <is>
          <t xml:space="preserve">-</t>
        </is>
      </c>
      <c r="E456" s="0" t="inlineStr">
        <is>
          <t xml:space="preserve">-</t>
        </is>
      </c>
      <c r="F456" s="0" t="inlineStr">
        <is>
          <t xml:space="preserve">-</t>
        </is>
      </c>
      <c r="G456" s="5">
        <v>2.1115190000000004</v>
      </c>
      <c r="H456" s="0" t="inlineStr">
        <is>
          <t xml:space="preserve">supplier</t>
        </is>
      </c>
      <c r="I456" s="0" t="inlineStr">
        <is>
          <t xml:space="preserve">unbucketed</t>
        </is>
      </c>
      <c r="J456" s="0" t="inlineStr">
        <is>
          <t xml:space="preserve">residual</t>
        </is>
      </c>
      <c r="K456" s="5">
        <v>0</v>
      </c>
      <c r="L456" s="5">
        <v>0</v>
      </c>
      <c r="M456" s="5">
        <v>2.1115190000000004</v>
      </c>
      <c r="N456" s="5">
        <v>0.0</v>
      </c>
      <c r="O456" s="5">
        <v>0.0</v>
      </c>
      <c r="P456" s="5">
        <v>0.0</v>
      </c>
      <c r="Q456" s="5">
        <v>0.0</v>
      </c>
    </row>
    <row r="457" outlineLevel="1">
      <c r="B457" s="0" t="inlineStr">
        <is>
          <t xml:space="preserve">DARLING INDUSTRIES, INC.</t>
        </is>
      </c>
      <c r="C457" s="0" t="inlineStr">
        <is>
          <t xml:space="preserve">Q98EVCAE4SB8</t>
        </is>
      </c>
      <c r="D457" s="0" t="inlineStr">
        <is>
          <t xml:space="preserve">-</t>
        </is>
      </c>
      <c r="E457" s="0" t="inlineStr">
        <is>
          <t xml:space="preserve">-</t>
        </is>
      </c>
      <c r="F457" s="0" t="inlineStr">
        <is>
          <t xml:space="preserve">-</t>
        </is>
      </c>
      <c r="G457" s="5">
        <v>2.104273</v>
      </c>
      <c r="H457" s="0" t="inlineStr">
        <is>
          <t xml:space="preserve">supplier</t>
        </is>
      </c>
      <c r="I457" s="0" t="inlineStr">
        <is>
          <t xml:space="preserve">unbucketed</t>
        </is>
      </c>
      <c r="J457" s="0" t="inlineStr">
        <is>
          <t xml:space="preserve">residual</t>
        </is>
      </c>
      <c r="K457" s="5">
        <v>0</v>
      </c>
      <c r="L457" s="5">
        <v>0</v>
      </c>
      <c r="M457" s="5">
        <v>0.0</v>
      </c>
      <c r="N457" s="5">
        <v>0.0</v>
      </c>
      <c r="O457" s="5">
        <v>0.0</v>
      </c>
      <c r="P457" s="5">
        <v>0.0</v>
      </c>
      <c r="Q457" s="5">
        <v>0.0</v>
      </c>
    </row>
    <row r="458" outlineLevel="1">
      <c r="B458" s="0" t="inlineStr">
        <is>
          <t xml:space="preserve">MERRILL TOOL HOLDING COMPANY</t>
        </is>
      </c>
      <c r="C458" s="0" t="inlineStr">
        <is>
          <t xml:space="preserve">MH99WUDS5PX5</t>
        </is>
      </c>
      <c r="D458" s="0" t="inlineStr">
        <is>
          <t xml:space="preserve">USA</t>
        </is>
      </c>
      <c r="E458" s="0" t="inlineStr">
        <is>
          <t xml:space="preserve">3329</t>
        </is>
      </c>
      <c r="F458" s="0" t="inlineStr">
        <is>
          <t xml:space="preserve">All Other Miscellaneous Fabricated Metal Product Manufacturing</t>
        </is>
      </c>
      <c r="G458" s="5">
        <v>2.0953065100000003</v>
      </c>
      <c r="H458" s="0" t="inlineStr">
        <is>
          <t xml:space="preserve">supplier</t>
        </is>
      </c>
      <c r="I458" s="0" t="inlineStr">
        <is>
          <t xml:space="preserve">piping</t>
        </is>
      </c>
      <c r="J458" s="0" t="inlineStr">
        <is>
          <t xml:space="preserve">naics4</t>
        </is>
      </c>
      <c r="K458" s="5">
        <v>0</v>
      </c>
      <c r="L458" s="5">
        <v>0</v>
      </c>
      <c r="M458" s="5">
        <v>0.0</v>
      </c>
      <c r="N458" s="5">
        <v>0.0</v>
      </c>
      <c r="O458" s="5">
        <v>0.0</v>
      </c>
      <c r="P458" s="5">
        <v>0.0</v>
      </c>
      <c r="Q458" s="5">
        <v>0.0</v>
      </c>
    </row>
    <row r="459" outlineLevel="1">
      <c r="B459" s="0" t="inlineStr">
        <is>
          <t xml:space="preserve">FLAME ENTERPRISES, INC.</t>
        </is>
      </c>
      <c r="C459" s="0" t="inlineStr">
        <is>
          <t xml:space="preserve">SLEPYXMKG1H4</t>
        </is>
      </c>
      <c r="D459" s="0" t="inlineStr">
        <is>
          <t xml:space="preserve">-</t>
        </is>
      </c>
      <c r="E459" s="0" t="inlineStr">
        <is>
          <t xml:space="preserve">-</t>
        </is>
      </c>
      <c r="F459" s="0" t="inlineStr">
        <is>
          <t xml:space="preserve">-</t>
        </is>
      </c>
      <c r="G459" s="5">
        <v>2.09154586</v>
      </c>
      <c r="H459" s="0" t="inlineStr">
        <is>
          <t xml:space="preserve">supplier</t>
        </is>
      </c>
      <c r="I459" s="0" t="inlineStr">
        <is>
          <t xml:space="preserve">unbucketed</t>
        </is>
      </c>
      <c r="J459" s="0" t="inlineStr">
        <is>
          <t xml:space="preserve">residual</t>
        </is>
      </c>
      <c r="K459" s="5">
        <v>0</v>
      </c>
      <c r="L459" s="5">
        <v>0</v>
      </c>
      <c r="M459" s="5">
        <v>0.0</v>
      </c>
      <c r="N459" s="5">
        <v>0.0</v>
      </c>
      <c r="O459" s="5">
        <v>0.0</v>
      </c>
      <c r="P459" s="5">
        <v>0.0</v>
      </c>
      <c r="Q459" s="5">
        <v>0.0</v>
      </c>
    </row>
    <row r="460" outlineLevel="1">
      <c r="B460" s="0" t="inlineStr">
        <is>
          <t xml:space="preserve">J.F. LEHMAN &amp; COMPANY, INC.</t>
        </is>
      </c>
      <c r="C460" s="0" t="inlineStr">
        <is>
          <t xml:space="preserve">LM35HWEVUPH3</t>
        </is>
      </c>
      <c r="D460" s="0" t="inlineStr">
        <is>
          <t xml:space="preserve">USA</t>
        </is>
      </c>
      <c r="E460" s="0" t="inlineStr">
        <is>
          <t xml:space="preserve">5416</t>
        </is>
      </c>
      <c r="F460" s="0" t="inlineStr">
        <is>
          <t xml:space="preserve">Marketing Consulting Services</t>
        </is>
      </c>
      <c r="G460" s="5">
        <v>2.0909551</v>
      </c>
      <c r="H460" s="0" t="inlineStr">
        <is>
          <t xml:space="preserve">service</t>
        </is>
      </c>
      <c r="I460" s="0" t="inlineStr">
        <is>
          <t xml:space="preserve">-</t>
        </is>
      </c>
      <c r="J460" s="0" t="inlineStr">
        <is>
          <t xml:space="preserve">registry</t>
        </is>
      </c>
      <c r="K460" s="5">
        <v>0</v>
      </c>
      <c r="L460" s="5">
        <v>0</v>
      </c>
      <c r="M460" s="5">
        <v>2.0909551</v>
      </c>
      <c r="N460" s="5">
        <v>0.0</v>
      </c>
      <c r="O460" s="5">
        <v>0.0</v>
      </c>
      <c r="P460" s="5">
        <v>0.0</v>
      </c>
      <c r="Q460" s="5">
        <v>0.0</v>
      </c>
    </row>
    <row r="461" outlineLevel="1">
      <c r="B461" s="0" t="inlineStr">
        <is>
          <t xml:space="preserve">MAGNA MACHINE CO.</t>
        </is>
      </c>
      <c r="C461" s="0" t="inlineStr">
        <is>
          <t xml:space="preserve">LRGLM5X3XQ65</t>
        </is>
      </c>
      <c r="D461" s="0" t="inlineStr">
        <is>
          <t xml:space="preserve">-</t>
        </is>
      </c>
      <c r="E461" s="0" t="inlineStr">
        <is>
          <t xml:space="preserve">-</t>
        </is>
      </c>
      <c r="F461" s="0" t="inlineStr">
        <is>
          <t xml:space="preserve">-</t>
        </is>
      </c>
      <c r="G461" s="5">
        <v>2.078005</v>
      </c>
      <c r="H461" s="0" t="inlineStr">
        <is>
          <t xml:space="preserve">supplier</t>
        </is>
      </c>
      <c r="I461" s="0" t="inlineStr">
        <is>
          <t xml:space="preserve">unbucketed</t>
        </is>
      </c>
      <c r="J461" s="0" t="inlineStr">
        <is>
          <t xml:space="preserve">residual</t>
        </is>
      </c>
      <c r="K461" s="5">
        <v>0</v>
      </c>
      <c r="L461" s="5">
        <v>0</v>
      </c>
      <c r="M461" s="5">
        <v>0.0</v>
      </c>
      <c r="N461" s="5">
        <v>0.0</v>
      </c>
      <c r="O461" s="5">
        <v>0.0</v>
      </c>
      <c r="P461" s="5">
        <v>0.0</v>
      </c>
      <c r="Q461" s="5">
        <v>0.0</v>
      </c>
    </row>
    <row r="462" outlineLevel="1">
      <c r="B462" s="0" t="inlineStr">
        <is>
          <t xml:space="preserve">MAGNATROL VALVE CORP</t>
        </is>
      </c>
      <c r="C462" s="0" t="inlineStr">
        <is>
          <t xml:space="preserve">GE1BLXASGDJ5</t>
        </is>
      </c>
      <c r="D462" s="0" t="inlineStr">
        <is>
          <t xml:space="preserve">-</t>
        </is>
      </c>
      <c r="E462" s="0" t="inlineStr">
        <is>
          <t xml:space="preserve">-</t>
        </is>
      </c>
      <c r="F462" s="0" t="inlineStr">
        <is>
          <t xml:space="preserve">-</t>
        </is>
      </c>
      <c r="G462" s="5">
        <v>2.07636225</v>
      </c>
      <c r="H462" s="0" t="inlineStr">
        <is>
          <t xml:space="preserve">supplier</t>
        </is>
      </c>
      <c r="I462" s="0" t="inlineStr">
        <is>
          <t xml:space="preserve">unbucketed</t>
        </is>
      </c>
      <c r="J462" s="0" t="inlineStr">
        <is>
          <t xml:space="preserve">residual</t>
        </is>
      </c>
      <c r="K462" s="5">
        <v>0</v>
      </c>
      <c r="L462" s="5">
        <v>0</v>
      </c>
      <c r="M462" s="5">
        <v>0.0</v>
      </c>
      <c r="N462" s="5">
        <v>0.0</v>
      </c>
      <c r="O462" s="5">
        <v>0.0</v>
      </c>
      <c r="P462" s="5">
        <v>0.0</v>
      </c>
      <c r="Q462" s="5">
        <v>0.0</v>
      </c>
    </row>
    <row r="463" outlineLevel="1">
      <c r="B463" s="0" t="inlineStr">
        <is>
          <t xml:space="preserve">EATON CORPORATION PUBLIC LIMITED COMPANY</t>
        </is>
      </c>
      <c r="C463" s="0" t="inlineStr">
        <is>
          <t xml:space="preserve">JG8AJY4Q9PE8</t>
        </is>
      </c>
      <c r="D463" s="0" t="inlineStr">
        <is>
          <t xml:space="preserve">-</t>
        </is>
      </c>
      <c r="E463" s="0" t="inlineStr">
        <is>
          <t xml:space="preserve">-</t>
        </is>
      </c>
      <c r="F463" s="0" t="inlineStr">
        <is>
          <t xml:space="preserve">-</t>
        </is>
      </c>
      <c r="G463" s="5">
        <v>2.0700393100000007</v>
      </c>
      <c r="H463" s="0" t="inlineStr">
        <is>
          <t xml:space="preserve">supplier</t>
        </is>
      </c>
      <c r="I463" s="0" t="inlineStr">
        <is>
          <t xml:space="preserve">unbucketed</t>
        </is>
      </c>
      <c r="J463" s="0" t="inlineStr">
        <is>
          <t xml:space="preserve">residual</t>
        </is>
      </c>
      <c r="K463" s="5">
        <v>0</v>
      </c>
      <c r="L463" s="5">
        <v>0</v>
      </c>
      <c r="M463" s="5">
        <v>0.0</v>
      </c>
      <c r="N463" s="5">
        <v>0.0</v>
      </c>
      <c r="O463" s="5">
        <v>0.0</v>
      </c>
      <c r="P463" s="5">
        <v>0.0</v>
      </c>
      <c r="Q463" s="5">
        <v>0.0</v>
      </c>
    </row>
    <row r="464" outlineLevel="1">
      <c r="B464" s="0" t="inlineStr">
        <is>
          <t xml:space="preserve">ROTATING PRECISION MECHANISMS, INC.</t>
        </is>
      </c>
      <c r="C464" s="0" t="inlineStr">
        <is>
          <t xml:space="preserve">E4KGA1HAQ8U5</t>
        </is>
      </c>
      <c r="D464" s="0" t="inlineStr">
        <is>
          <t xml:space="preserve">-</t>
        </is>
      </c>
      <c r="E464" s="0" t="inlineStr">
        <is>
          <t xml:space="preserve">-</t>
        </is>
      </c>
      <c r="F464" s="0" t="inlineStr">
        <is>
          <t xml:space="preserve">-</t>
        </is>
      </c>
      <c r="G464" s="5">
        <v>2.0682</v>
      </c>
      <c r="H464" s="0" t="inlineStr">
        <is>
          <t xml:space="preserve">supplier</t>
        </is>
      </c>
      <c r="I464" s="0" t="inlineStr">
        <is>
          <t xml:space="preserve">unbucketed</t>
        </is>
      </c>
      <c r="J464" s="0" t="inlineStr">
        <is>
          <t xml:space="preserve">residual</t>
        </is>
      </c>
      <c r="K464" s="5">
        <v>0</v>
      </c>
      <c r="L464" s="5">
        <v>0</v>
      </c>
      <c r="M464" s="5">
        <v>0.0</v>
      </c>
      <c r="N464" s="5">
        <v>0.0</v>
      </c>
      <c r="O464" s="5">
        <v>0.0</v>
      </c>
      <c r="P464" s="5">
        <v>0.0</v>
      </c>
      <c r="Q464" s="5">
        <v>0.0</v>
      </c>
    </row>
    <row r="465" outlineLevel="1">
      <c r="B465" s="0" t="inlineStr">
        <is>
          <t xml:space="preserve">COASTAL MARINE SERVICES, INC.</t>
        </is>
      </c>
      <c r="C465" s="0" t="inlineStr">
        <is>
          <t xml:space="preserve">JY88JJ3HNS44</t>
        </is>
      </c>
      <c r="D465" s="0" t="inlineStr">
        <is>
          <t xml:space="preserve">-</t>
        </is>
      </c>
      <c r="E465" s="0" t="inlineStr">
        <is>
          <t xml:space="preserve">-</t>
        </is>
      </c>
      <c r="F465" s="0" t="inlineStr">
        <is>
          <t xml:space="preserve">-</t>
        </is>
      </c>
      <c r="G465" s="5">
        <v>2.062005</v>
      </c>
      <c r="H465" s="0" t="inlineStr">
        <is>
          <t xml:space="preserve">supplier</t>
        </is>
      </c>
      <c r="I465" s="0" t="inlineStr">
        <is>
          <t xml:space="preserve">unbucketed</t>
        </is>
      </c>
      <c r="J465" s="0" t="inlineStr">
        <is>
          <t xml:space="preserve">residual</t>
        </is>
      </c>
      <c r="K465" s="5">
        <v>0</v>
      </c>
      <c r="L465" s="5">
        <v>0</v>
      </c>
      <c r="M465" s="5">
        <v>0.0</v>
      </c>
      <c r="N465" s="5">
        <v>0.0</v>
      </c>
      <c r="O465" s="5">
        <v>0.0</v>
      </c>
      <c r="P465" s="5">
        <v>0.0</v>
      </c>
      <c r="Q465" s="5">
        <v>0.0</v>
      </c>
    </row>
    <row r="466" outlineLevel="1">
      <c r="B466" s="0" t="inlineStr">
        <is>
          <t xml:space="preserve">RANOR INC.</t>
        </is>
      </c>
      <c r="C466" s="0" t="inlineStr">
        <is>
          <t xml:space="preserve">MF1LU8RPCMB8</t>
        </is>
      </c>
      <c r="D466" s="0" t="inlineStr">
        <is>
          <t xml:space="preserve">-</t>
        </is>
      </c>
      <c r="E466" s="0" t="inlineStr">
        <is>
          <t xml:space="preserve">-</t>
        </is>
      </c>
      <c r="F466" s="0" t="inlineStr">
        <is>
          <t xml:space="preserve">-</t>
        </is>
      </c>
      <c r="G466" s="5">
        <v>2.0615580600000003</v>
      </c>
      <c r="H466" s="0" t="inlineStr">
        <is>
          <t xml:space="preserve">supplier</t>
        </is>
      </c>
      <c r="I466" s="0" t="inlineStr">
        <is>
          <t xml:space="preserve">unbucketed</t>
        </is>
      </c>
      <c r="J466" s="0" t="inlineStr">
        <is>
          <t xml:space="preserve">residual</t>
        </is>
      </c>
      <c r="K466" s="5">
        <v>0</v>
      </c>
      <c r="L466" s="5">
        <v>0</v>
      </c>
      <c r="M466" s="5">
        <v>0.0</v>
      </c>
      <c r="N466" s="5">
        <v>0.0</v>
      </c>
      <c r="O466" s="5">
        <v>0.0</v>
      </c>
      <c r="P466" s="5">
        <v>0.0</v>
      </c>
      <c r="Q466" s="5">
        <v>0.0</v>
      </c>
    </row>
    <row r="467" outlineLevel="1">
      <c r="B467" s="0" t="inlineStr">
        <is>
          <t xml:space="preserve">UNITED TECHNOLOGIES CORPORATION</t>
        </is>
      </c>
      <c r="C467" s="0" t="inlineStr">
        <is>
          <t xml:space="preserve">CBMZJ3Z5SC89</t>
        </is>
      </c>
      <c r="D467" s="0" t="inlineStr">
        <is>
          <t xml:space="preserve">-</t>
        </is>
      </c>
      <c r="E467" s="0" t="inlineStr">
        <is>
          <t xml:space="preserve">-</t>
        </is>
      </c>
      <c r="F467" s="0" t="inlineStr">
        <is>
          <t xml:space="preserve">-</t>
        </is>
      </c>
      <c r="G467" s="5">
        <v>2.05881182</v>
      </c>
      <c r="H467" s="0" t="inlineStr">
        <is>
          <t xml:space="preserve">supplier</t>
        </is>
      </c>
      <c r="I467" s="0" t="inlineStr">
        <is>
          <t xml:space="preserve">coatings</t>
        </is>
      </c>
      <c r="J467" s="0" t="inlineStr">
        <is>
          <t xml:space="preserve">registry</t>
        </is>
      </c>
      <c r="K467" s="5">
        <v>0</v>
      </c>
      <c r="L467" s="5">
        <v>0</v>
      </c>
      <c r="M467" s="5">
        <v>0.05024882</v>
      </c>
      <c r="N467" s="5">
        <v>0.0</v>
      </c>
      <c r="O467" s="5">
        <v>0.0</v>
      </c>
      <c r="P467" s="5">
        <v>0.0</v>
      </c>
      <c r="Q467" s="5">
        <v>0.0</v>
      </c>
    </row>
    <row r="468" outlineLevel="1">
      <c r="B468" s="0" t="inlineStr">
        <is>
          <t xml:space="preserve">PORT ELECTRONICS CORPORATION</t>
        </is>
      </c>
      <c r="C468" s="0" t="inlineStr">
        <is>
          <t xml:space="preserve">LRNPUBGWKNA1</t>
        </is>
      </c>
      <c r="D468" s="0" t="inlineStr">
        <is>
          <t xml:space="preserve">USA</t>
        </is>
      </c>
      <c r="E468" s="0" t="inlineStr">
        <is>
          <t xml:space="preserve">4236</t>
        </is>
      </c>
      <c r="F468" s="0" t="inlineStr">
        <is>
          <t xml:space="preserve">Other Electronic Parts and Equipment Merchant Wholesalers</t>
        </is>
      </c>
      <c r="G468" s="5">
        <v>2.0543798</v>
      </c>
      <c r="H468" s="0" t="inlineStr">
        <is>
          <t xml:space="preserve">service</t>
        </is>
      </c>
      <c r="I468" s="0" t="inlineStr">
        <is>
          <t xml:space="preserve">-</t>
        </is>
      </c>
      <c r="J468" s="0" t="inlineStr">
        <is>
          <t xml:space="preserve">service NAICS</t>
        </is>
      </c>
      <c r="K468" s="5">
        <v>0</v>
      </c>
      <c r="L468" s="5">
        <v>0</v>
      </c>
      <c r="M468" s="5">
        <v>0.0</v>
      </c>
      <c r="N468" s="5">
        <v>0.0</v>
      </c>
      <c r="O468" s="5">
        <v>0.0</v>
      </c>
      <c r="P468" s="5">
        <v>0.0</v>
      </c>
      <c r="Q468" s="5">
        <v>0.0</v>
      </c>
    </row>
    <row r="469" outlineLevel="1">
      <c r="B469" s="0" t="inlineStr">
        <is>
          <t xml:space="preserve">CORTRON, INC.</t>
        </is>
      </c>
      <c r="C469" s="0" t="inlineStr">
        <is>
          <t xml:space="preserve">DT1KM4G6SLK7</t>
        </is>
      </c>
      <c r="D469" s="0" t="inlineStr">
        <is>
          <t xml:space="preserve">-</t>
        </is>
      </c>
      <c r="E469" s="0" t="inlineStr">
        <is>
          <t xml:space="preserve">-</t>
        </is>
      </c>
      <c r="F469" s="0" t="inlineStr">
        <is>
          <t xml:space="preserve">-</t>
        </is>
      </c>
      <c r="G469" s="5">
        <v>2.0288078</v>
      </c>
      <c r="H469" s="0" t="inlineStr">
        <is>
          <t xml:space="preserve">supplier</t>
        </is>
      </c>
      <c r="I469" s="0" t="inlineStr">
        <is>
          <t xml:space="preserve">unbucketed</t>
        </is>
      </c>
      <c r="J469" s="0" t="inlineStr">
        <is>
          <t xml:space="preserve">residual</t>
        </is>
      </c>
      <c r="K469" s="5">
        <v>0</v>
      </c>
      <c r="L469" s="5">
        <v>0</v>
      </c>
      <c r="M469" s="5">
        <v>0.0</v>
      </c>
      <c r="N469" s="5">
        <v>0.0</v>
      </c>
      <c r="O469" s="5">
        <v>0.0</v>
      </c>
      <c r="P469" s="5">
        <v>0.0</v>
      </c>
      <c r="Q469" s="5">
        <v>0.0</v>
      </c>
    </row>
    <row r="470" outlineLevel="1">
      <c r="B470" s="0" t="inlineStr">
        <is>
          <t xml:space="preserve">LIDGERWOOD MANUFACTURING COMPANY (INC)</t>
        </is>
      </c>
      <c r="C470" s="0" t="inlineStr">
        <is>
          <t xml:space="preserve">QVTKQ7LJE196</t>
        </is>
      </c>
      <c r="D470" s="0" t="inlineStr">
        <is>
          <t xml:space="preserve">-</t>
        </is>
      </c>
      <c r="E470" s="0" t="inlineStr">
        <is>
          <t xml:space="preserve">-</t>
        </is>
      </c>
      <c r="F470" s="0" t="inlineStr">
        <is>
          <t xml:space="preserve">-</t>
        </is>
      </c>
      <c r="G470" s="5">
        <v>2.0280143300000004</v>
      </c>
      <c r="H470" s="0" t="inlineStr">
        <is>
          <t xml:space="preserve">supplier</t>
        </is>
      </c>
      <c r="I470" s="0" t="inlineStr">
        <is>
          <t xml:space="preserve">unbucketed</t>
        </is>
      </c>
      <c r="J470" s="0" t="inlineStr">
        <is>
          <t xml:space="preserve">residual</t>
        </is>
      </c>
      <c r="K470" s="5">
        <v>0</v>
      </c>
      <c r="L470" s="5">
        <v>0</v>
      </c>
      <c r="M470" s="5">
        <v>2.0280143300000004</v>
      </c>
      <c r="N470" s="5">
        <v>0.0</v>
      </c>
      <c r="O470" s="5">
        <v>0.46702007</v>
      </c>
      <c r="P470" s="5">
        <v>0.0</v>
      </c>
      <c r="Q470" s="5">
        <v>0.0</v>
      </c>
    </row>
    <row r="471" outlineLevel="1">
      <c r="B471" s="0" t="inlineStr">
        <is>
          <t xml:space="preserve">STEIN SEAL COMPANY</t>
        </is>
      </c>
      <c r="C471" s="0" t="inlineStr">
        <is>
          <t xml:space="preserve">HXNDDLVPK338</t>
        </is>
      </c>
      <c r="D471" s="0" t="inlineStr">
        <is>
          <t xml:space="preserve">-</t>
        </is>
      </c>
      <c r="E471" s="0" t="inlineStr">
        <is>
          <t xml:space="preserve">-</t>
        </is>
      </c>
      <c r="F471" s="0" t="inlineStr">
        <is>
          <t xml:space="preserve">-</t>
        </is>
      </c>
      <c r="G471" s="5">
        <v>2.0273044799999997</v>
      </c>
      <c r="H471" s="0" t="inlineStr">
        <is>
          <t xml:space="preserve">supplier</t>
        </is>
      </c>
      <c r="I471" s="0" t="inlineStr">
        <is>
          <t xml:space="preserve">unbucketed</t>
        </is>
      </c>
      <c r="J471" s="0" t="inlineStr">
        <is>
          <t xml:space="preserve">residual</t>
        </is>
      </c>
      <c r="K471" s="5">
        <v>0</v>
      </c>
      <c r="L471" s="5">
        <v>0</v>
      </c>
      <c r="M471" s="5">
        <v>0.0</v>
      </c>
      <c r="N471" s="5">
        <v>0.0</v>
      </c>
      <c r="O471" s="5">
        <v>0.0</v>
      </c>
      <c r="P471" s="5">
        <v>0.0</v>
      </c>
      <c r="Q471" s="5">
        <v>0.0</v>
      </c>
    </row>
    <row r="472" outlineLevel="1">
      <c r="B472" s="0" t="inlineStr">
        <is>
          <t xml:space="preserve">MC2 SABTECH HOLDINGS, INC.</t>
        </is>
      </c>
      <c r="C472" s="0" t="inlineStr">
        <is>
          <t xml:space="preserve">J1HRLJ1Q1NT6</t>
        </is>
      </c>
      <c r="D472" s="0" t="inlineStr">
        <is>
          <t xml:space="preserve">-</t>
        </is>
      </c>
      <c r="E472" s="0" t="inlineStr">
        <is>
          <t xml:space="preserve">-</t>
        </is>
      </c>
      <c r="F472" s="0" t="inlineStr">
        <is>
          <t xml:space="preserve">-</t>
        </is>
      </c>
      <c r="G472" s="5">
        <v>1.9987804999999996</v>
      </c>
      <c r="H472" s="0" t="inlineStr">
        <is>
          <t xml:space="preserve">supplier</t>
        </is>
      </c>
      <c r="I472" s="0" t="inlineStr">
        <is>
          <t xml:space="preserve">unbucketed</t>
        </is>
      </c>
      <c r="J472" s="0" t="inlineStr">
        <is>
          <t xml:space="preserve">residual</t>
        </is>
      </c>
      <c r="K472" s="5">
        <v>0</v>
      </c>
      <c r="L472" s="5">
        <v>0</v>
      </c>
      <c r="M472" s="5">
        <v>0.0</v>
      </c>
      <c r="N472" s="5">
        <v>0.0</v>
      </c>
      <c r="O472" s="5">
        <v>0.0</v>
      </c>
      <c r="P472" s="5">
        <v>0.0</v>
      </c>
      <c r="Q472" s="5">
        <v>0.0</v>
      </c>
    </row>
    <row r="473" outlineLevel="1">
      <c r="B473" s="0" t="inlineStr">
        <is>
          <t xml:space="preserve">BAE SYSTEMS PLC</t>
        </is>
      </c>
      <c r="C473" s="0" t="inlineStr">
        <is>
          <t xml:space="preserve">ZMBFGXHLGLM3</t>
        </is>
      </c>
      <c r="D473" s="0" t="inlineStr">
        <is>
          <t xml:space="preserve">-</t>
        </is>
      </c>
      <c r="E473" s="0" t="inlineStr">
        <is>
          <t xml:space="preserve">-</t>
        </is>
      </c>
      <c r="F473" s="0" t="inlineStr">
        <is>
          <t xml:space="preserve">-</t>
        </is>
      </c>
      <c r="G473" s="5">
        <v>1.9937712200000002</v>
      </c>
      <c r="H473" s="0" t="inlineStr">
        <is>
          <t xml:space="preserve">supplier</t>
        </is>
      </c>
      <c r="I473" s="0" t="inlineStr">
        <is>
          <t xml:space="preserve">unbucketed</t>
        </is>
      </c>
      <c r="J473" s="0" t="inlineStr">
        <is>
          <t xml:space="preserve">residual</t>
        </is>
      </c>
      <c r="K473" s="5">
        <v>0</v>
      </c>
      <c r="L473" s="5">
        <v>0</v>
      </c>
      <c r="M473" s="5">
        <v>1.9937712200000002</v>
      </c>
      <c r="N473" s="5">
        <v>0.0</v>
      </c>
      <c r="O473" s="5">
        <v>0.0</v>
      </c>
      <c r="P473" s="5">
        <v>0.0</v>
      </c>
      <c r="Q473" s="5">
        <v>0.0</v>
      </c>
    </row>
    <row r="474" outlineLevel="1">
      <c r="B474" s="0" t="inlineStr">
        <is>
          <t xml:space="preserve">TECHNOLOGY SERVICE CORPORATION</t>
        </is>
      </c>
      <c r="C474" s="0" t="inlineStr">
        <is>
          <t xml:space="preserve">NY98VECEW8H6</t>
        </is>
      </c>
      <c r="D474" s="0" t="inlineStr">
        <is>
          <t xml:space="preserve">-</t>
        </is>
      </c>
      <c r="E474" s="0" t="inlineStr">
        <is>
          <t xml:space="preserve">-</t>
        </is>
      </c>
      <c r="F474" s="0" t="inlineStr">
        <is>
          <t xml:space="preserve">-</t>
        </is>
      </c>
      <c r="G474" s="5">
        <v>1.9909956500000001</v>
      </c>
      <c r="H474" s="0" t="inlineStr">
        <is>
          <t xml:space="preserve">supplier</t>
        </is>
      </c>
      <c r="I474" s="0" t="inlineStr">
        <is>
          <t xml:space="preserve">unbucketed</t>
        </is>
      </c>
      <c r="J474" s="0" t="inlineStr">
        <is>
          <t xml:space="preserve">residual</t>
        </is>
      </c>
      <c r="K474" s="5">
        <v>0</v>
      </c>
      <c r="L474" s="5">
        <v>0</v>
      </c>
      <c r="M474" s="5">
        <v>0.0</v>
      </c>
      <c r="N474" s="5">
        <v>0.0</v>
      </c>
      <c r="O474" s="5">
        <v>0.0</v>
      </c>
      <c r="P474" s="5">
        <v>0.0</v>
      </c>
      <c r="Q474" s="5">
        <v>0.0</v>
      </c>
    </row>
    <row r="475" outlineLevel="1">
      <c r="B475" s="0" t="inlineStr">
        <is>
          <t xml:space="preserve">SEA WIRE AND CABLE INC</t>
        </is>
      </c>
      <c r="C475" s="0" t="inlineStr">
        <is>
          <t xml:space="preserve">FMMAEB6M4C29</t>
        </is>
      </c>
      <c r="D475" s="0" t="inlineStr">
        <is>
          <t xml:space="preserve">-</t>
        </is>
      </c>
      <c r="E475" s="0" t="inlineStr">
        <is>
          <t xml:space="preserve">-</t>
        </is>
      </c>
      <c r="F475" s="0" t="inlineStr">
        <is>
          <t xml:space="preserve">-</t>
        </is>
      </c>
      <c r="G475" s="5">
        <v>1.9863345499999998</v>
      </c>
      <c r="H475" s="0" t="inlineStr">
        <is>
          <t xml:space="preserve">supplier</t>
        </is>
      </c>
      <c r="I475" s="0" t="inlineStr">
        <is>
          <t xml:space="preserve">unbucketed</t>
        </is>
      </c>
      <c r="J475" s="0" t="inlineStr">
        <is>
          <t xml:space="preserve">residual</t>
        </is>
      </c>
      <c r="K475" s="5">
        <v>0</v>
      </c>
      <c r="L475" s="5">
        <v>0</v>
      </c>
      <c r="M475" s="5">
        <v>0.0</v>
      </c>
      <c r="N475" s="5">
        <v>0.0</v>
      </c>
      <c r="O475" s="5">
        <v>0.0</v>
      </c>
      <c r="P475" s="5">
        <v>0.0</v>
      </c>
      <c r="Q475" s="5">
        <v>0.0</v>
      </c>
    </row>
    <row r="476" outlineLevel="1">
      <c r="B476" s="0" t="inlineStr">
        <is>
          <t xml:space="preserve">STEEL TOOL &amp; ENGINEERING CO</t>
        </is>
      </c>
      <c r="C476" s="0" t="inlineStr">
        <is>
          <t xml:space="preserve">NBEGHMFPMN24</t>
        </is>
      </c>
      <c r="D476" s="0" t="inlineStr">
        <is>
          <t xml:space="preserve">-</t>
        </is>
      </c>
      <c r="E476" s="0" t="inlineStr">
        <is>
          <t xml:space="preserve">-</t>
        </is>
      </c>
      <c r="F476" s="0" t="inlineStr">
        <is>
          <t xml:space="preserve">-</t>
        </is>
      </c>
      <c r="G476" s="5">
        <v>1.98273256</v>
      </c>
      <c r="H476" s="0" t="inlineStr">
        <is>
          <t xml:space="preserve">supplier</t>
        </is>
      </c>
      <c r="I476" s="0" t="inlineStr">
        <is>
          <t xml:space="preserve">unbucketed</t>
        </is>
      </c>
      <c r="J476" s="0" t="inlineStr">
        <is>
          <t xml:space="preserve">residual</t>
        </is>
      </c>
      <c r="K476" s="5">
        <v>0</v>
      </c>
      <c r="L476" s="5">
        <v>0</v>
      </c>
      <c r="M476" s="5">
        <v>0.0</v>
      </c>
      <c r="N476" s="5">
        <v>0.0</v>
      </c>
      <c r="O476" s="5">
        <v>0.0</v>
      </c>
      <c r="P476" s="5">
        <v>0.0</v>
      </c>
      <c r="Q476" s="5">
        <v>0.0</v>
      </c>
    </row>
    <row r="477" outlineLevel="1">
      <c r="B477" s="0" t="inlineStr">
        <is>
          <t xml:space="preserve">BERKSHIRE HATHAWAY INC.</t>
        </is>
      </c>
      <c r="C477" s="0" t="inlineStr">
        <is>
          <t xml:space="preserve">LWZMGU7PNGH7</t>
        </is>
      </c>
      <c r="D477" s="0" t="inlineStr">
        <is>
          <t xml:space="preserve">USA</t>
        </is>
      </c>
      <c r="E477" s="0" t="inlineStr">
        <is>
          <t xml:space="preserve">5511</t>
        </is>
      </c>
      <c r="F477" s="0" t="inlineStr">
        <is>
          <t xml:space="preserve">Offices of Other Holding Companies</t>
        </is>
      </c>
      <c r="G477" s="5">
        <v>1.97934147</v>
      </c>
      <c r="H477" s="0" t="inlineStr">
        <is>
          <t xml:space="preserve">holding</t>
        </is>
      </c>
      <c r="I477" s="0" t="inlineStr">
        <is>
          <t xml:space="preserve">-</t>
        </is>
      </c>
      <c r="J477" s="0" t="inlineStr">
        <is>
          <t xml:space="preserve">holding-co (5511)</t>
        </is>
      </c>
      <c r="K477" s="5">
        <v>0</v>
      </c>
      <c r="L477" s="5">
        <v>0</v>
      </c>
      <c r="M477" s="5">
        <v>0.0</v>
      </c>
      <c r="N477" s="5">
        <v>0.0</v>
      </c>
      <c r="O477" s="5">
        <v>0.0</v>
      </c>
      <c r="P477" s="5">
        <v>0.0</v>
      </c>
      <c r="Q477" s="5">
        <v>0.0</v>
      </c>
    </row>
    <row r="478" outlineLevel="1">
      <c r="B478" s="0" t="inlineStr">
        <is>
          <t xml:space="preserve">CARLISLE CO, INCORPORATED</t>
        </is>
      </c>
      <c r="C478" s="0" t="inlineStr">
        <is>
          <t xml:space="preserve">LMQSGJM2N5Y5</t>
        </is>
      </c>
      <c r="D478" s="0" t="inlineStr">
        <is>
          <t xml:space="preserve">-</t>
        </is>
      </c>
      <c r="E478" s="0" t="inlineStr">
        <is>
          <t xml:space="preserve">-</t>
        </is>
      </c>
      <c r="F478" s="0" t="inlineStr">
        <is>
          <t xml:space="preserve">-</t>
        </is>
      </c>
      <c r="G478" s="5">
        <v>1.9705559999999998</v>
      </c>
      <c r="H478" s="0" t="inlineStr">
        <is>
          <t xml:space="preserve">supplier</t>
        </is>
      </c>
      <c r="I478" s="0" t="inlineStr">
        <is>
          <t xml:space="preserve">unbucketed</t>
        </is>
      </c>
      <c r="J478" s="0" t="inlineStr">
        <is>
          <t xml:space="preserve">residual</t>
        </is>
      </c>
      <c r="K478" s="5">
        <v>0</v>
      </c>
      <c r="L478" s="5">
        <v>0</v>
      </c>
      <c r="M478" s="5">
        <v>0.0</v>
      </c>
      <c r="N478" s="5">
        <v>0.0</v>
      </c>
      <c r="O478" s="5">
        <v>0.0</v>
      </c>
      <c r="P478" s="5">
        <v>0.0</v>
      </c>
      <c r="Q478" s="5">
        <v>0.0</v>
      </c>
    </row>
    <row r="479" outlineLevel="1">
      <c r="B479" s="0" t="inlineStr">
        <is>
          <t xml:space="preserve">LTI HOLDINGS, INC.</t>
        </is>
      </c>
      <c r="C479" s="0" t="inlineStr">
        <is>
          <t xml:space="preserve">FJ8NY24LFMM8</t>
        </is>
      </c>
      <c r="D479" s="0" t="inlineStr">
        <is>
          <t xml:space="preserve">-</t>
        </is>
      </c>
      <c r="E479" s="0" t="inlineStr">
        <is>
          <t xml:space="preserve">-</t>
        </is>
      </c>
      <c r="F479" s="0" t="inlineStr">
        <is>
          <t xml:space="preserve">-</t>
        </is>
      </c>
      <c r="G479" s="5">
        <v>1.967684</v>
      </c>
      <c r="H479" s="0" t="inlineStr">
        <is>
          <t xml:space="preserve">supplier</t>
        </is>
      </c>
      <c r="I479" s="0" t="inlineStr">
        <is>
          <t xml:space="preserve">unbucketed</t>
        </is>
      </c>
      <c r="J479" s="0" t="inlineStr">
        <is>
          <t xml:space="preserve">residual</t>
        </is>
      </c>
      <c r="K479" s="5">
        <v>0</v>
      </c>
      <c r="L479" s="5">
        <v>0</v>
      </c>
      <c r="M479" s="5">
        <v>0.0</v>
      </c>
      <c r="N479" s="5">
        <v>0.0</v>
      </c>
      <c r="O479" s="5">
        <v>0.0</v>
      </c>
      <c r="P479" s="5">
        <v>0.0</v>
      </c>
      <c r="Q479" s="5">
        <v>0.0</v>
      </c>
    </row>
    <row r="480" outlineLevel="1">
      <c r="B480" s="0" t="inlineStr">
        <is>
          <t xml:space="preserve">BUNN INDUSTRIES, INCORPORATED</t>
        </is>
      </c>
      <c r="C480" s="0" t="inlineStr">
        <is>
          <t xml:space="preserve">FKLTNTDC8NH5</t>
        </is>
      </c>
      <c r="D480" s="0" t="inlineStr">
        <is>
          <t xml:space="preserve">-</t>
        </is>
      </c>
      <c r="E480" s="0" t="inlineStr">
        <is>
          <t xml:space="preserve">-</t>
        </is>
      </c>
      <c r="F480" s="0" t="inlineStr">
        <is>
          <t xml:space="preserve">-</t>
        </is>
      </c>
      <c r="G480" s="5">
        <v>1.9566668499999997</v>
      </c>
      <c r="H480" s="0" t="inlineStr">
        <is>
          <t xml:space="preserve">supplier</t>
        </is>
      </c>
      <c r="I480" s="0" t="inlineStr">
        <is>
          <t xml:space="preserve">unbucketed</t>
        </is>
      </c>
      <c r="J480" s="0" t="inlineStr">
        <is>
          <t xml:space="preserve">residual</t>
        </is>
      </c>
      <c r="K480" s="5">
        <v>0</v>
      </c>
      <c r="L480" s="5">
        <v>0</v>
      </c>
      <c r="M480" s="5">
        <v>0.0</v>
      </c>
      <c r="N480" s="5">
        <v>0.0</v>
      </c>
      <c r="O480" s="5">
        <v>0.0</v>
      </c>
      <c r="P480" s="5">
        <v>0.0</v>
      </c>
      <c r="Q480" s="5">
        <v>0.0</v>
      </c>
    </row>
    <row r="481" outlineLevel="1">
      <c r="B481" s="0" t="inlineStr">
        <is>
          <t xml:space="preserve">MICROCHIP TECHNOLOGY INCORPORATED</t>
        </is>
      </c>
      <c r="C481" s="0" t="inlineStr">
        <is>
          <t xml:space="preserve">JD2JPX6VH1H5</t>
        </is>
      </c>
      <c r="D481" s="0" t="inlineStr">
        <is>
          <t xml:space="preserve">-</t>
        </is>
      </c>
      <c r="E481" s="0" t="inlineStr">
        <is>
          <t xml:space="preserve">-</t>
        </is>
      </c>
      <c r="F481" s="0" t="inlineStr">
        <is>
          <t xml:space="preserve">-</t>
        </is>
      </c>
      <c r="G481" s="5">
        <v>1.956174</v>
      </c>
      <c r="H481" s="0" t="inlineStr">
        <is>
          <t xml:space="preserve">supplier</t>
        </is>
      </c>
      <c r="I481" s="0" t="inlineStr">
        <is>
          <t xml:space="preserve">unbucketed</t>
        </is>
      </c>
      <c r="J481" s="0" t="inlineStr">
        <is>
          <t xml:space="preserve">residual</t>
        </is>
      </c>
      <c r="K481" s="5">
        <v>0</v>
      </c>
      <c r="L481" s="5">
        <v>0</v>
      </c>
      <c r="M481" s="5">
        <v>0.0</v>
      </c>
      <c r="N481" s="5">
        <v>0.0</v>
      </c>
      <c r="O481" s="5">
        <v>0.0</v>
      </c>
      <c r="P481" s="5">
        <v>0.0</v>
      </c>
      <c r="Q481" s="5">
        <v>0.0</v>
      </c>
    </row>
    <row r="482" outlineLevel="1">
      <c r="B482" s="0" t="inlineStr">
        <is>
          <t xml:space="preserve">MERCURY SYSTEMS, INC.</t>
        </is>
      </c>
      <c r="C482" s="0" t="inlineStr">
        <is>
          <t xml:space="preserve">J92YL9VL1JQ8</t>
        </is>
      </c>
      <c r="D482" s="0" t="inlineStr">
        <is>
          <t xml:space="preserve">USA</t>
        </is>
      </c>
      <c r="E482" s="0" t="inlineStr">
        <is>
          <t xml:space="preserve">3341</t>
        </is>
      </c>
      <c r="F482" s="0" t="inlineStr">
        <is>
          <t xml:space="preserve">Electronic Computer Manufacturing</t>
        </is>
      </c>
      <c r="G482" s="5">
        <v>1.9369745</v>
      </c>
      <c r="H482" s="0" t="inlineStr">
        <is>
          <t xml:space="preserve">mission_systems</t>
        </is>
      </c>
      <c r="I482" s="0" t="inlineStr">
        <is>
          <t xml:space="preserve">-</t>
        </is>
      </c>
      <c r="J482" s="0" t="inlineStr">
        <is>
          <t xml:space="preserve">registry</t>
        </is>
      </c>
      <c r="K482" s="5">
        <v>0</v>
      </c>
      <c r="L482" s="5">
        <v>0</v>
      </c>
      <c r="M482" s="5">
        <v>0.0</v>
      </c>
      <c r="N482" s="5">
        <v>0.0</v>
      </c>
      <c r="O482" s="5">
        <v>0.0</v>
      </c>
      <c r="P482" s="5">
        <v>0.0</v>
      </c>
      <c r="Q482" s="5">
        <v>0.0</v>
      </c>
    </row>
    <row r="483" outlineLevel="1">
      <c r="B483" s="0" t="inlineStr">
        <is>
          <t xml:space="preserve">PRESIDIO COMPONENTS, INC.</t>
        </is>
      </c>
      <c r="C483" s="0" t="inlineStr">
        <is>
          <t xml:space="preserve">GVHULJ2VMWE9</t>
        </is>
      </c>
      <c r="D483" s="0" t="inlineStr">
        <is>
          <t xml:space="preserve">-</t>
        </is>
      </c>
      <c r="E483" s="0" t="inlineStr">
        <is>
          <t xml:space="preserve">-</t>
        </is>
      </c>
      <c r="F483" s="0" t="inlineStr">
        <is>
          <t xml:space="preserve">-</t>
        </is>
      </c>
      <c r="G483" s="5">
        <v>1.9316339999999999</v>
      </c>
      <c r="H483" s="0" t="inlineStr">
        <is>
          <t xml:space="preserve">supplier</t>
        </is>
      </c>
      <c r="I483" s="0" t="inlineStr">
        <is>
          <t xml:space="preserve">unbucketed</t>
        </is>
      </c>
      <c r="J483" s="0" t="inlineStr">
        <is>
          <t xml:space="preserve">residual</t>
        </is>
      </c>
      <c r="K483" s="5">
        <v>0</v>
      </c>
      <c r="L483" s="5">
        <v>0</v>
      </c>
      <c r="M483" s="5">
        <v>0.0</v>
      </c>
      <c r="N483" s="5">
        <v>0.0</v>
      </c>
      <c r="O483" s="5">
        <v>0.0</v>
      </c>
      <c r="P483" s="5">
        <v>0.0</v>
      </c>
      <c r="Q483" s="5">
        <v>0.0</v>
      </c>
    </row>
    <row r="484" outlineLevel="1">
      <c r="B484" s="0" t="inlineStr">
        <is>
          <t xml:space="preserve">CAES SYSTEMS LLC</t>
        </is>
      </c>
      <c r="C484" s="0" t="inlineStr">
        <is>
          <t xml:space="preserve">KUC6XT7KEXN3</t>
        </is>
      </c>
      <c r="D484" s="0" t="inlineStr">
        <is>
          <t xml:space="preserve">USA</t>
        </is>
      </c>
      <c r="E484" s="0" t="inlineStr">
        <is>
          <t xml:space="preserve">3344</t>
        </is>
      </c>
      <c r="F484" s="0" t="inlineStr">
        <is>
          <t xml:space="preserve">Semiconductor and Related Device Manufacturing</t>
        </is>
      </c>
      <c r="G484" s="5">
        <v>1.917748</v>
      </c>
      <c r="H484" s="0" t="inlineStr">
        <is>
          <t xml:space="preserve">mission_systems</t>
        </is>
      </c>
      <c r="I484" s="0" t="inlineStr">
        <is>
          <t xml:space="preserve">-</t>
        </is>
      </c>
      <c r="J484" s="0" t="inlineStr">
        <is>
          <t xml:space="preserve">registry</t>
        </is>
      </c>
      <c r="K484" s="5">
        <v>0</v>
      </c>
      <c r="L484" s="5">
        <v>0</v>
      </c>
      <c r="M484" s="5">
        <v>0.0</v>
      </c>
      <c r="N484" s="5">
        <v>0.0</v>
      </c>
      <c r="O484" s="5">
        <v>0.0</v>
      </c>
      <c r="P484" s="5">
        <v>0.0</v>
      </c>
      <c r="Q484" s="5">
        <v>0.0</v>
      </c>
    </row>
    <row r="485" outlineLevel="1">
      <c r="B485" s="0" t="inlineStr">
        <is>
          <t xml:space="preserve">JADE MANUFACTURING COMPANY, INC.</t>
        </is>
      </c>
      <c r="C485" s="0" t="inlineStr">
        <is>
          <t xml:space="preserve">PJFNTRXKVBN3</t>
        </is>
      </c>
      <c r="D485" s="0" t="inlineStr">
        <is>
          <t xml:space="preserve">-</t>
        </is>
      </c>
      <c r="E485" s="0" t="inlineStr">
        <is>
          <t xml:space="preserve">-</t>
        </is>
      </c>
      <c r="F485" s="0" t="inlineStr">
        <is>
          <t xml:space="preserve">-</t>
        </is>
      </c>
      <c r="G485" s="5">
        <v>1.9171409999999998</v>
      </c>
      <c r="H485" s="0" t="inlineStr">
        <is>
          <t xml:space="preserve">supplier</t>
        </is>
      </c>
      <c r="I485" s="0" t="inlineStr">
        <is>
          <t xml:space="preserve">unbucketed</t>
        </is>
      </c>
      <c r="J485" s="0" t="inlineStr">
        <is>
          <t xml:space="preserve">residual</t>
        </is>
      </c>
      <c r="K485" s="5">
        <v>0</v>
      </c>
      <c r="L485" s="5">
        <v>0</v>
      </c>
      <c r="M485" s="5">
        <v>0.0</v>
      </c>
      <c r="N485" s="5">
        <v>0.0</v>
      </c>
      <c r="O485" s="5">
        <v>0.0</v>
      </c>
      <c r="P485" s="5">
        <v>0.0</v>
      </c>
      <c r="Q485" s="5">
        <v>0.0</v>
      </c>
    </row>
    <row r="486" outlineLevel="1">
      <c r="B486" s="0" t="inlineStr">
        <is>
          <t xml:space="preserve">GEMS SENSORS INC.</t>
        </is>
      </c>
      <c r="C486" s="0" t="inlineStr">
        <is>
          <t xml:space="preserve">M4ANYAZ8Q6H8</t>
        </is>
      </c>
      <c r="D486" s="0" t="inlineStr">
        <is>
          <t xml:space="preserve">-</t>
        </is>
      </c>
      <c r="E486" s="0" t="inlineStr">
        <is>
          <t xml:space="preserve">-</t>
        </is>
      </c>
      <c r="F486" s="0" t="inlineStr">
        <is>
          <t xml:space="preserve">-</t>
        </is>
      </c>
      <c r="G486" s="5">
        <v>1.9050534200000002</v>
      </c>
      <c r="H486" s="0" t="inlineStr">
        <is>
          <t xml:space="preserve">supplier</t>
        </is>
      </c>
      <c r="I486" s="0" t="inlineStr">
        <is>
          <t xml:space="preserve">unbucketed</t>
        </is>
      </c>
      <c r="J486" s="0" t="inlineStr">
        <is>
          <t xml:space="preserve">residual</t>
        </is>
      </c>
      <c r="K486" s="5">
        <v>0</v>
      </c>
      <c r="L486" s="5">
        <v>0</v>
      </c>
      <c r="M486" s="5">
        <v>1.9050534200000002</v>
      </c>
      <c r="N486" s="5">
        <v>0.29289486</v>
      </c>
      <c r="O486" s="5">
        <v>0.15633999999999998</v>
      </c>
      <c r="P486" s="5">
        <v>1.45581856</v>
      </c>
      <c r="Q486" s="5">
        <v>0.0</v>
      </c>
    </row>
    <row r="487" outlineLevel="1">
      <c r="B487" s="0" t="inlineStr">
        <is>
          <t xml:space="preserve">TEVET LLC</t>
        </is>
      </c>
      <c r="C487" s="0" t="inlineStr">
        <is>
          <t xml:space="preserve">CQLFMKPGRUQ3</t>
        </is>
      </c>
      <c r="D487" s="0" t="inlineStr">
        <is>
          <t xml:space="preserve">-</t>
        </is>
      </c>
      <c r="E487" s="0" t="inlineStr">
        <is>
          <t xml:space="preserve">-</t>
        </is>
      </c>
      <c r="F487" s="0" t="inlineStr">
        <is>
          <t xml:space="preserve">-</t>
        </is>
      </c>
      <c r="G487" s="5">
        <v>1.87042848</v>
      </c>
      <c r="H487" s="0" t="inlineStr">
        <is>
          <t xml:space="preserve">supplier</t>
        </is>
      </c>
      <c r="I487" s="0" t="inlineStr">
        <is>
          <t xml:space="preserve">unbucketed</t>
        </is>
      </c>
      <c r="J487" s="0" t="inlineStr">
        <is>
          <t xml:space="preserve">residual</t>
        </is>
      </c>
      <c r="K487" s="5">
        <v>0</v>
      </c>
      <c r="L487" s="5">
        <v>0</v>
      </c>
      <c r="M487" s="5">
        <v>0.0</v>
      </c>
      <c r="N487" s="5">
        <v>0.0</v>
      </c>
      <c r="O487" s="5">
        <v>0.0</v>
      </c>
      <c r="P487" s="5">
        <v>0.0</v>
      </c>
      <c r="Q487" s="5">
        <v>0.0</v>
      </c>
    </row>
    <row r="488" outlineLevel="1">
      <c r="B488" s="0" t="inlineStr">
        <is>
          <t xml:space="preserve">PCX AEROSYSTEMS ENFIELD LLC</t>
        </is>
      </c>
      <c r="C488" s="0" t="inlineStr">
        <is>
          <t xml:space="preserve">MEFDHHQBTBR8</t>
        </is>
      </c>
      <c r="D488" s="0" t="inlineStr">
        <is>
          <t xml:space="preserve">-</t>
        </is>
      </c>
      <c r="E488" s="0" t="inlineStr">
        <is>
          <t xml:space="preserve">-</t>
        </is>
      </c>
      <c r="F488" s="0" t="inlineStr">
        <is>
          <t xml:space="preserve">-</t>
        </is>
      </c>
      <c r="G488" s="5">
        <v>1.86359</v>
      </c>
      <c r="H488" s="0" t="inlineStr">
        <is>
          <t xml:space="preserve">supplier</t>
        </is>
      </c>
      <c r="I488" s="0" t="inlineStr">
        <is>
          <t xml:space="preserve">unbucketed</t>
        </is>
      </c>
      <c r="J488" s="0" t="inlineStr">
        <is>
          <t xml:space="preserve">residual</t>
        </is>
      </c>
      <c r="K488" s="5">
        <v>0</v>
      </c>
      <c r="L488" s="5">
        <v>0</v>
      </c>
      <c r="M488" s="5">
        <v>0.0</v>
      </c>
      <c r="N488" s="5">
        <v>0.0</v>
      </c>
      <c r="O488" s="5">
        <v>0.0</v>
      </c>
      <c r="P488" s="5">
        <v>0.0</v>
      </c>
      <c r="Q488" s="5">
        <v>0.0</v>
      </c>
    </row>
    <row r="489" outlineLevel="1">
      <c r="B489" s="0" t="inlineStr">
        <is>
          <t xml:space="preserve">TELEDYNE TECHNOLOGIES INCORPORATED</t>
        </is>
      </c>
      <c r="C489" s="0" t="inlineStr">
        <is>
          <t xml:space="preserve">TMWKR5J9S4U1</t>
        </is>
      </c>
      <c r="D489" s="0" t="inlineStr">
        <is>
          <t xml:space="preserve">USA</t>
        </is>
      </c>
      <c r="E489" s="0" t="inlineStr">
        <is>
          <t xml:space="preserve">3344</t>
        </is>
      </c>
      <c r="F489" s="0" t="inlineStr">
        <is>
          <t xml:space="preserve">Other Electronic Component Manufacturing</t>
        </is>
      </c>
      <c r="G489" s="5">
        <v>1.85813455</v>
      </c>
      <c r="H489" s="0" t="inlineStr">
        <is>
          <t xml:space="preserve">supplier</t>
        </is>
      </c>
      <c r="I489" s="0" t="inlineStr">
        <is>
          <t xml:space="preserve">unbucketed</t>
        </is>
      </c>
      <c r="J489" s="0" t="inlineStr">
        <is>
          <t xml:space="preserve">residual</t>
        </is>
      </c>
      <c r="K489" s="5">
        <v>0</v>
      </c>
      <c r="L489" s="5">
        <v>0</v>
      </c>
      <c r="M489" s="5">
        <v>0.0</v>
      </c>
      <c r="N489" s="5">
        <v>0.0</v>
      </c>
      <c r="O489" s="5">
        <v>0.0</v>
      </c>
      <c r="P489" s="5">
        <v>0.0</v>
      </c>
      <c r="Q489" s="5">
        <v>0.0</v>
      </c>
    </row>
    <row r="490" outlineLevel="1">
      <c r="B490" s="0" t="inlineStr">
        <is>
          <t xml:space="preserve">SANMINA-SCI CORPORATION</t>
        </is>
      </c>
      <c r="C490" s="0" t="inlineStr">
        <is>
          <t xml:space="preserve">XM7MN67NELT1</t>
        </is>
      </c>
      <c r="D490" s="0" t="inlineStr">
        <is>
          <t xml:space="preserve">-</t>
        </is>
      </c>
      <c r="E490" s="0" t="inlineStr">
        <is>
          <t xml:space="preserve">-</t>
        </is>
      </c>
      <c r="F490" s="0" t="inlineStr">
        <is>
          <t xml:space="preserve">-</t>
        </is>
      </c>
      <c r="G490" s="5">
        <v>1.855063</v>
      </c>
      <c r="H490" s="0" t="inlineStr">
        <is>
          <t xml:space="preserve">supplier</t>
        </is>
      </c>
      <c r="I490" s="0" t="inlineStr">
        <is>
          <t xml:space="preserve">unbucketed</t>
        </is>
      </c>
      <c r="J490" s="0" t="inlineStr">
        <is>
          <t xml:space="preserve">residual</t>
        </is>
      </c>
      <c r="K490" s="5">
        <v>0</v>
      </c>
      <c r="L490" s="5">
        <v>0</v>
      </c>
      <c r="M490" s="5">
        <v>0.0</v>
      </c>
      <c r="N490" s="5">
        <v>0.0</v>
      </c>
      <c r="O490" s="5">
        <v>0.0</v>
      </c>
      <c r="P490" s="5">
        <v>0.0</v>
      </c>
      <c r="Q490" s="5">
        <v>0.0</v>
      </c>
    </row>
    <row r="491" outlineLevel="1">
      <c r="B491" s="0" t="inlineStr">
        <is>
          <t xml:space="preserve">METRO MACHINE WORKS, INC.</t>
        </is>
      </c>
      <c r="C491" s="0" t="inlineStr">
        <is>
          <t xml:space="preserve">EB9VBA96K953</t>
        </is>
      </c>
      <c r="D491" s="0" t="inlineStr">
        <is>
          <t xml:space="preserve">-</t>
        </is>
      </c>
      <c r="E491" s="0" t="inlineStr">
        <is>
          <t xml:space="preserve">-</t>
        </is>
      </c>
      <c r="F491" s="0" t="inlineStr">
        <is>
          <t xml:space="preserve">-</t>
        </is>
      </c>
      <c r="G491" s="5">
        <v>1.8426</v>
      </c>
      <c r="H491" s="0" t="inlineStr">
        <is>
          <t xml:space="preserve">supplier</t>
        </is>
      </c>
      <c r="I491" s="0" t="inlineStr">
        <is>
          <t xml:space="preserve">unbucketed</t>
        </is>
      </c>
      <c r="J491" s="0" t="inlineStr">
        <is>
          <t xml:space="preserve">residual</t>
        </is>
      </c>
      <c r="K491" s="5">
        <v>0</v>
      </c>
      <c r="L491" s="5">
        <v>0</v>
      </c>
      <c r="M491" s="5">
        <v>0.0</v>
      </c>
      <c r="N491" s="5">
        <v>0.0</v>
      </c>
      <c r="O491" s="5">
        <v>0.0</v>
      </c>
      <c r="P491" s="5">
        <v>0.0</v>
      </c>
      <c r="Q491" s="5">
        <v>0.0</v>
      </c>
    </row>
    <row r="492" outlineLevel="1">
      <c r="B492" s="0" t="inlineStr">
        <is>
          <t xml:space="preserve">METHODE ELECTRONICS, INC</t>
        </is>
      </c>
      <c r="C492" s="0" t="inlineStr">
        <is>
          <t xml:space="preserve">DNZAMSY277W8</t>
        </is>
      </c>
      <c r="D492" s="0" t="inlineStr">
        <is>
          <t xml:space="preserve">-</t>
        </is>
      </c>
      <c r="E492" s="0" t="inlineStr">
        <is>
          <t xml:space="preserve">-</t>
        </is>
      </c>
      <c r="F492" s="0" t="inlineStr">
        <is>
          <t xml:space="preserve">-</t>
        </is>
      </c>
      <c r="G492" s="5">
        <v>1.8345099599999999</v>
      </c>
      <c r="H492" s="0" t="inlineStr">
        <is>
          <t xml:space="preserve">supplier</t>
        </is>
      </c>
      <c r="I492" s="0" t="inlineStr">
        <is>
          <t xml:space="preserve">unbucketed</t>
        </is>
      </c>
      <c r="J492" s="0" t="inlineStr">
        <is>
          <t xml:space="preserve">residual</t>
        </is>
      </c>
      <c r="K492" s="5">
        <v>0</v>
      </c>
      <c r="L492" s="5">
        <v>0</v>
      </c>
      <c r="M492" s="5">
        <v>0.0</v>
      </c>
      <c r="N492" s="5">
        <v>0.0</v>
      </c>
      <c r="O492" s="5">
        <v>0.0</v>
      </c>
      <c r="P492" s="5">
        <v>0.0</v>
      </c>
      <c r="Q492" s="5">
        <v>0.0</v>
      </c>
    </row>
    <row r="493" outlineLevel="1">
      <c r="B493" s="0" t="inlineStr">
        <is>
          <t xml:space="preserve">APPLIED COMPANIES</t>
        </is>
      </c>
      <c r="C493" s="0" t="inlineStr">
        <is>
          <t xml:space="preserve">E4LKQUJEKEU6</t>
        </is>
      </c>
      <c r="D493" s="0" t="inlineStr">
        <is>
          <t xml:space="preserve">-</t>
        </is>
      </c>
      <c r="E493" s="0" t="inlineStr">
        <is>
          <t xml:space="preserve">-</t>
        </is>
      </c>
      <c r="F493" s="0" t="inlineStr">
        <is>
          <t xml:space="preserve">-</t>
        </is>
      </c>
      <c r="G493" s="5">
        <v>1.83342158</v>
      </c>
      <c r="H493" s="0" t="inlineStr">
        <is>
          <t xml:space="preserve">supplier</t>
        </is>
      </c>
      <c r="I493" s="0" t="inlineStr">
        <is>
          <t xml:space="preserve">unbucketed</t>
        </is>
      </c>
      <c r="J493" s="0" t="inlineStr">
        <is>
          <t xml:space="preserve">residual</t>
        </is>
      </c>
      <c r="K493" s="5">
        <v>0</v>
      </c>
      <c r="L493" s="5">
        <v>0</v>
      </c>
      <c r="M493" s="5">
        <v>0.0</v>
      </c>
      <c r="N493" s="5">
        <v>0.0</v>
      </c>
      <c r="O493" s="5">
        <v>0.0</v>
      </c>
      <c r="P493" s="5">
        <v>0.0</v>
      </c>
      <c r="Q493" s="5">
        <v>0.0</v>
      </c>
    </row>
    <row r="494" outlineLevel="1">
      <c r="B494" s="0" t="inlineStr">
        <is>
          <t xml:space="preserve">PARKER FASTENERS LLC</t>
        </is>
      </c>
      <c r="C494" s="0" t="inlineStr">
        <is>
          <t xml:space="preserve">VCENN7TCUMY8</t>
        </is>
      </c>
      <c r="D494" s="0" t="inlineStr">
        <is>
          <t xml:space="preserve">-</t>
        </is>
      </c>
      <c r="E494" s="0" t="inlineStr">
        <is>
          <t xml:space="preserve">-</t>
        </is>
      </c>
      <c r="F494" s="0" t="inlineStr">
        <is>
          <t xml:space="preserve">-</t>
        </is>
      </c>
      <c r="G494" s="5">
        <v>1.832402</v>
      </c>
      <c r="H494" s="0" t="inlineStr">
        <is>
          <t xml:space="preserve">supplier</t>
        </is>
      </c>
      <c r="I494" s="0" t="inlineStr">
        <is>
          <t xml:space="preserve">unbucketed</t>
        </is>
      </c>
      <c r="J494" s="0" t="inlineStr">
        <is>
          <t xml:space="preserve">residual</t>
        </is>
      </c>
      <c r="K494" s="5">
        <v>0</v>
      </c>
      <c r="L494" s="5">
        <v>0</v>
      </c>
      <c r="M494" s="5">
        <v>0.0</v>
      </c>
      <c r="N494" s="5">
        <v>0.0</v>
      </c>
      <c r="O494" s="5">
        <v>0.0</v>
      </c>
      <c r="P494" s="5">
        <v>0.0</v>
      </c>
      <c r="Q494" s="5">
        <v>0.0</v>
      </c>
    </row>
    <row r="495" outlineLevel="1">
      <c r="B495" s="0" t="inlineStr">
        <is>
          <t xml:space="preserve">MACOM TECHNOLOGY SOLUTIONS INC.</t>
        </is>
      </c>
      <c r="C495" s="0" t="inlineStr">
        <is>
          <t xml:space="preserve">P7Z6EXT3R5M5</t>
        </is>
      </c>
      <c r="D495" s="0" t="inlineStr">
        <is>
          <t xml:space="preserve">-</t>
        </is>
      </c>
      <c r="E495" s="0" t="inlineStr">
        <is>
          <t xml:space="preserve">-</t>
        </is>
      </c>
      <c r="F495" s="0" t="inlineStr">
        <is>
          <t xml:space="preserve">-</t>
        </is>
      </c>
      <c r="G495" s="5">
        <v>1.81216</v>
      </c>
      <c r="H495" s="0" t="inlineStr">
        <is>
          <t xml:space="preserve">supplier</t>
        </is>
      </c>
      <c r="I495" s="0" t="inlineStr">
        <is>
          <t xml:space="preserve">unbucketed</t>
        </is>
      </c>
      <c r="J495" s="0" t="inlineStr">
        <is>
          <t xml:space="preserve">residual</t>
        </is>
      </c>
      <c r="K495" s="5">
        <v>0</v>
      </c>
      <c r="L495" s="5">
        <v>0</v>
      </c>
      <c r="M495" s="5">
        <v>0.0</v>
      </c>
      <c r="N495" s="5">
        <v>0.0</v>
      </c>
      <c r="O495" s="5">
        <v>0.0</v>
      </c>
      <c r="P495" s="5">
        <v>0.0</v>
      </c>
      <c r="Q495" s="5">
        <v>0.0</v>
      </c>
    </row>
    <row r="496" outlineLevel="1">
      <c r="B496" s="0" t="inlineStr">
        <is>
          <t xml:space="preserve">QUALITY PACIFIC MANUFACTURING INC</t>
        </is>
      </c>
      <c r="C496" s="0" t="inlineStr">
        <is>
          <t xml:space="preserve">C221PQMU9CN3</t>
        </is>
      </c>
      <c r="D496" s="0" t="inlineStr">
        <is>
          <t xml:space="preserve">-</t>
        </is>
      </c>
      <c r="E496" s="0" t="inlineStr">
        <is>
          <t xml:space="preserve">-</t>
        </is>
      </c>
      <c r="F496" s="0" t="inlineStr">
        <is>
          <t xml:space="preserve">-</t>
        </is>
      </c>
      <c r="G496" s="5">
        <v>1.800169</v>
      </c>
      <c r="H496" s="0" t="inlineStr">
        <is>
          <t xml:space="preserve">supplier</t>
        </is>
      </c>
      <c r="I496" s="0" t="inlineStr">
        <is>
          <t xml:space="preserve">unbucketed</t>
        </is>
      </c>
      <c r="J496" s="0" t="inlineStr">
        <is>
          <t xml:space="preserve">residual</t>
        </is>
      </c>
      <c r="K496" s="5">
        <v>0</v>
      </c>
      <c r="L496" s="5">
        <v>0</v>
      </c>
      <c r="M496" s="5">
        <v>0.0</v>
      </c>
      <c r="N496" s="5">
        <v>0.0</v>
      </c>
      <c r="O496" s="5">
        <v>0.0</v>
      </c>
      <c r="P496" s="5">
        <v>0.0</v>
      </c>
      <c r="Q496" s="5">
        <v>0.0</v>
      </c>
    </row>
    <row r="497" outlineLevel="1">
      <c r="B497" s="0" t="inlineStr">
        <is>
          <t xml:space="preserve">CARLISLE COMPANIES INC</t>
        </is>
      </c>
      <c r="C497" s="0" t="inlineStr">
        <is>
          <t xml:space="preserve">LMQSGJM2N5Y5</t>
        </is>
      </c>
      <c r="D497" s="0" t="inlineStr">
        <is>
          <t xml:space="preserve">-</t>
        </is>
      </c>
      <c r="E497" s="0" t="inlineStr">
        <is>
          <t xml:space="preserve">-</t>
        </is>
      </c>
      <c r="F497" s="0" t="inlineStr">
        <is>
          <t xml:space="preserve">-</t>
        </is>
      </c>
      <c r="G497" s="5">
        <v>1.79761</v>
      </c>
      <c r="H497" s="0" t="inlineStr">
        <is>
          <t xml:space="preserve">supplier</t>
        </is>
      </c>
      <c r="I497" s="0" t="inlineStr">
        <is>
          <t xml:space="preserve">unbucketed</t>
        </is>
      </c>
      <c r="J497" s="0" t="inlineStr">
        <is>
          <t xml:space="preserve">residual</t>
        </is>
      </c>
      <c r="K497" s="5">
        <v>0</v>
      </c>
      <c r="L497" s="5">
        <v>0</v>
      </c>
      <c r="M497" s="5">
        <v>0.0</v>
      </c>
      <c r="N497" s="5">
        <v>0.0</v>
      </c>
      <c r="O497" s="5">
        <v>0.0</v>
      </c>
      <c r="P497" s="5">
        <v>0.0</v>
      </c>
      <c r="Q497" s="5">
        <v>0.0</v>
      </c>
    </row>
    <row r="498" outlineLevel="1">
      <c r="B498" s="0" t="inlineStr">
        <is>
          <t xml:space="preserve">CAROLINA POWER SYSTEMS OF SUMTER, INC.</t>
        </is>
      </c>
      <c r="C498" s="0" t="inlineStr">
        <is>
          <t xml:space="preserve">UK6NAHCH8459</t>
        </is>
      </c>
      <c r="D498" s="0" t="inlineStr">
        <is>
          <t xml:space="preserve">-</t>
        </is>
      </c>
      <c r="E498" s="0" t="inlineStr">
        <is>
          <t xml:space="preserve">-</t>
        </is>
      </c>
      <c r="F498" s="0" t="inlineStr">
        <is>
          <t xml:space="preserve">-</t>
        </is>
      </c>
      <c r="G498" s="5">
        <v>1.77944935</v>
      </c>
      <c r="H498" s="0" t="inlineStr">
        <is>
          <t xml:space="preserve">supplier</t>
        </is>
      </c>
      <c r="I498" s="0" t="inlineStr">
        <is>
          <t xml:space="preserve">unbucketed</t>
        </is>
      </c>
      <c r="J498" s="0" t="inlineStr">
        <is>
          <t xml:space="preserve">residual</t>
        </is>
      </c>
      <c r="K498" s="5">
        <v>0</v>
      </c>
      <c r="L498" s="5">
        <v>0</v>
      </c>
      <c r="M498" s="5">
        <v>1.77944935</v>
      </c>
      <c r="N498" s="5">
        <v>0.539266</v>
      </c>
      <c r="O498" s="5">
        <v>0.0</v>
      </c>
      <c r="P498" s="5">
        <v>0.0</v>
      </c>
      <c r="Q498" s="5">
        <v>0.0</v>
      </c>
    </row>
    <row r="499" outlineLevel="1">
      <c r="B499" s="0" t="inlineStr">
        <is>
          <t xml:space="preserve">JGILS, LLC</t>
        </is>
      </c>
      <c r="C499" s="0" t="inlineStr">
        <is>
          <t xml:space="preserve">JNC1BUEVV3B9</t>
        </is>
      </c>
      <c r="D499" s="0" t="inlineStr">
        <is>
          <t xml:space="preserve">-</t>
        </is>
      </c>
      <c r="E499" s="0" t="inlineStr">
        <is>
          <t xml:space="preserve">-</t>
        </is>
      </c>
      <c r="F499" s="0" t="inlineStr">
        <is>
          <t xml:space="preserve">-</t>
        </is>
      </c>
      <c r="G499" s="5">
        <v>1.7786299500000005</v>
      </c>
      <c r="H499" s="0" t="inlineStr">
        <is>
          <t xml:space="preserve">supplier</t>
        </is>
      </c>
      <c r="I499" s="0" t="inlineStr">
        <is>
          <t xml:space="preserve">unbucketed</t>
        </is>
      </c>
      <c r="J499" s="0" t="inlineStr">
        <is>
          <t xml:space="preserve">residual</t>
        </is>
      </c>
      <c r="K499" s="5">
        <v>0</v>
      </c>
      <c r="L499" s="5">
        <v>0</v>
      </c>
      <c r="M499" s="5">
        <v>1.7786299500000005</v>
      </c>
      <c r="N499" s="5">
        <v>0.0</v>
      </c>
      <c r="O499" s="5">
        <v>0.0</v>
      </c>
      <c r="P499" s="5">
        <v>0.0</v>
      </c>
      <c r="Q499" s="5">
        <v>0.0</v>
      </c>
    </row>
    <row r="500" outlineLevel="1">
      <c r="B500" s="0" t="inlineStr">
        <is>
          <t xml:space="preserve">TECHPRECISION CORPORATION</t>
        </is>
      </c>
      <c r="C500" s="0" t="inlineStr">
        <is>
          <t xml:space="preserve">W3ABUD41XU23</t>
        </is>
      </c>
      <c r="D500" s="0" t="inlineStr">
        <is>
          <t xml:space="preserve">-</t>
        </is>
      </c>
      <c r="E500" s="0" t="inlineStr">
        <is>
          <t xml:space="preserve">-</t>
        </is>
      </c>
      <c r="F500" s="0" t="inlineStr">
        <is>
          <t xml:space="preserve">-</t>
        </is>
      </c>
      <c r="G500" s="5">
        <v>1.7782654099999997</v>
      </c>
      <c r="H500" s="0" t="inlineStr">
        <is>
          <t xml:space="preserve">supplier</t>
        </is>
      </c>
      <c r="I500" s="0" t="inlineStr">
        <is>
          <t xml:space="preserve">unbucketed</t>
        </is>
      </c>
      <c r="J500" s="0" t="inlineStr">
        <is>
          <t xml:space="preserve">residual</t>
        </is>
      </c>
      <c r="K500" s="5">
        <v>0</v>
      </c>
      <c r="L500" s="5">
        <v>0</v>
      </c>
      <c r="M500" s="5">
        <v>0.0</v>
      </c>
      <c r="N500" s="5">
        <v>0.0</v>
      </c>
      <c r="O500" s="5">
        <v>0.0</v>
      </c>
      <c r="P500" s="5">
        <v>0.0</v>
      </c>
      <c r="Q500" s="5">
        <v>0.0</v>
      </c>
    </row>
    <row r="501" outlineLevel="1">
      <c r="B501" s="0" t="inlineStr">
        <is>
          <t xml:space="preserve">COMARK, LLC</t>
        </is>
      </c>
      <c r="C501" s="0" t="inlineStr">
        <is>
          <t xml:space="preserve">WNDYZX3ALFB1</t>
        </is>
      </c>
      <c r="D501" s="0" t="inlineStr">
        <is>
          <t xml:space="preserve">-</t>
        </is>
      </c>
      <c r="E501" s="0" t="inlineStr">
        <is>
          <t xml:space="preserve">-</t>
        </is>
      </c>
      <c r="F501" s="0" t="inlineStr">
        <is>
          <t xml:space="preserve">-</t>
        </is>
      </c>
      <c r="G501" s="5">
        <v>1.761344</v>
      </c>
      <c r="H501" s="0" t="inlineStr">
        <is>
          <t xml:space="preserve">supplier</t>
        </is>
      </c>
      <c r="I501" s="0" t="inlineStr">
        <is>
          <t xml:space="preserve">unbucketed</t>
        </is>
      </c>
      <c r="J501" s="0" t="inlineStr">
        <is>
          <t xml:space="preserve">residual</t>
        </is>
      </c>
      <c r="K501" s="5">
        <v>0</v>
      </c>
      <c r="L501" s="5">
        <v>0</v>
      </c>
      <c r="M501" s="5">
        <v>0.0</v>
      </c>
      <c r="N501" s="5">
        <v>0.0</v>
      </c>
      <c r="O501" s="5">
        <v>0.0</v>
      </c>
      <c r="P501" s="5">
        <v>0.0</v>
      </c>
      <c r="Q501" s="5">
        <v>0.0</v>
      </c>
    </row>
    <row r="502" outlineLevel="1">
      <c r="B502" s="0" t="inlineStr">
        <is>
          <t xml:space="preserve">DEFENSE MARITIME SOLUTIONS, INC.</t>
        </is>
      </c>
      <c r="C502" s="0" t="inlineStr">
        <is>
          <t xml:space="preserve">JA2KCX21NL48</t>
        </is>
      </c>
      <c r="D502" s="0" t="inlineStr">
        <is>
          <t xml:space="preserve">-</t>
        </is>
      </c>
      <c r="E502" s="0" t="inlineStr">
        <is>
          <t xml:space="preserve">-</t>
        </is>
      </c>
      <c r="F502" s="0" t="inlineStr">
        <is>
          <t xml:space="preserve">-</t>
        </is>
      </c>
      <c r="G502" s="5">
        <v>1.75785664</v>
      </c>
      <c r="H502" s="0" t="inlineStr">
        <is>
          <t xml:space="preserve">supplier</t>
        </is>
      </c>
      <c r="I502" s="0" t="inlineStr">
        <is>
          <t xml:space="preserve">machining</t>
        </is>
      </c>
      <c r="J502" s="0" t="inlineStr">
        <is>
          <t xml:space="preserve">registry</t>
        </is>
      </c>
      <c r="K502" s="5">
        <v>0</v>
      </c>
      <c r="L502" s="5">
        <v>0</v>
      </c>
      <c r="M502" s="5">
        <v>1.66533</v>
      </c>
      <c r="N502" s="5">
        <v>0.0</v>
      </c>
      <c r="O502" s="5">
        <v>0.0</v>
      </c>
      <c r="P502" s="5">
        <v>1.252524</v>
      </c>
      <c r="Q502" s="5">
        <v>0.37129799999999996</v>
      </c>
    </row>
    <row r="503" outlineLevel="1">
      <c r="B503" s="0" t="inlineStr">
        <is>
          <t xml:space="preserve">CIRCOR INTERNATIONAL, INC.</t>
        </is>
      </c>
      <c r="C503" s="0" t="inlineStr">
        <is>
          <t xml:space="preserve">HUK5MJK4MH39</t>
        </is>
      </c>
      <c r="D503" s="0" t="inlineStr">
        <is>
          <t xml:space="preserve">-</t>
        </is>
      </c>
      <c r="E503" s="0" t="inlineStr">
        <is>
          <t xml:space="preserve">-</t>
        </is>
      </c>
      <c r="F503" s="0" t="inlineStr">
        <is>
          <t xml:space="preserve">-</t>
        </is>
      </c>
      <c r="G503" s="5">
        <v>1.7558836599999998</v>
      </c>
      <c r="H503" s="0" t="inlineStr">
        <is>
          <t xml:space="preserve">supplier</t>
        </is>
      </c>
      <c r="I503" s="0" t="inlineStr">
        <is>
          <t xml:space="preserve">piping</t>
        </is>
      </c>
      <c r="J503" s="0" t="inlineStr">
        <is>
          <t xml:space="preserve">registry</t>
        </is>
      </c>
      <c r="K503" s="5">
        <v>0</v>
      </c>
      <c r="L503" s="5">
        <v>0</v>
      </c>
      <c r="M503" s="5">
        <v>1.7558836599999998</v>
      </c>
      <c r="N503" s="5">
        <v>0.197837</v>
      </c>
      <c r="O503" s="5">
        <v>0.0</v>
      </c>
      <c r="P503" s="5">
        <v>0.0</v>
      </c>
      <c r="Q503" s="5">
        <v>0.0</v>
      </c>
    </row>
    <row r="504" outlineLevel="1">
      <c r="B504" s="0" t="inlineStr">
        <is>
          <t xml:space="preserve">DYSOL INC</t>
        </is>
      </c>
      <c r="C504" s="0" t="inlineStr">
        <is>
          <t xml:space="preserve">LZNQL4SJ2C32</t>
        </is>
      </c>
      <c r="D504" s="0" t="inlineStr">
        <is>
          <t xml:space="preserve">-</t>
        </is>
      </c>
      <c r="E504" s="0" t="inlineStr">
        <is>
          <t xml:space="preserve">-</t>
        </is>
      </c>
      <c r="F504" s="0" t="inlineStr">
        <is>
          <t xml:space="preserve">-</t>
        </is>
      </c>
      <c r="G504" s="5">
        <v>1.75176507</v>
      </c>
      <c r="H504" s="0" t="inlineStr">
        <is>
          <t xml:space="preserve">supplier</t>
        </is>
      </c>
      <c r="I504" s="0" t="inlineStr">
        <is>
          <t xml:space="preserve">unbucketed</t>
        </is>
      </c>
      <c r="J504" s="0" t="inlineStr">
        <is>
          <t xml:space="preserve">residual</t>
        </is>
      </c>
      <c r="K504" s="5">
        <v>0</v>
      </c>
      <c r="L504" s="5">
        <v>0</v>
      </c>
      <c r="M504" s="5">
        <v>0.0</v>
      </c>
      <c r="N504" s="5">
        <v>0.0</v>
      </c>
      <c r="O504" s="5">
        <v>0.0</v>
      </c>
      <c r="P504" s="5">
        <v>0.0</v>
      </c>
      <c r="Q504" s="5">
        <v>0.0</v>
      </c>
    </row>
    <row r="505" outlineLevel="1">
      <c r="B505" s="0" t="inlineStr">
        <is>
          <t xml:space="preserve">NAVAL ENGINEERING SUPPORT INC.</t>
        </is>
      </c>
      <c r="C505" s="0" t="inlineStr">
        <is>
          <t xml:space="preserve">LCYTE2L5JEP4</t>
        </is>
      </c>
      <c r="D505" s="0" t="inlineStr">
        <is>
          <t xml:space="preserve">-</t>
        </is>
      </c>
      <c r="E505" s="0" t="inlineStr">
        <is>
          <t xml:space="preserve">-</t>
        </is>
      </c>
      <c r="F505" s="0" t="inlineStr">
        <is>
          <t xml:space="preserve">-</t>
        </is>
      </c>
      <c r="G505" s="5">
        <v>1.747773</v>
      </c>
      <c r="H505" s="0" t="inlineStr">
        <is>
          <t xml:space="preserve">supplier</t>
        </is>
      </c>
      <c r="I505" s="0" t="inlineStr">
        <is>
          <t xml:space="preserve">unbucketed</t>
        </is>
      </c>
      <c r="J505" s="0" t="inlineStr">
        <is>
          <t xml:space="preserve">residual</t>
        </is>
      </c>
      <c r="K505" s="5">
        <v>0</v>
      </c>
      <c r="L505" s="5">
        <v>0</v>
      </c>
      <c r="M505" s="5">
        <v>1.747773</v>
      </c>
      <c r="N505" s="5">
        <v>0.0</v>
      </c>
      <c r="O505" s="5">
        <v>0.546817</v>
      </c>
      <c r="P505" s="5">
        <v>1.200956</v>
      </c>
      <c r="Q505" s="5">
        <v>0.0</v>
      </c>
    </row>
    <row r="506" outlineLevel="1">
      <c r="B506" s="0" t="inlineStr">
        <is>
          <t xml:space="preserve">KRAYDEN, INC.</t>
        </is>
      </c>
      <c r="C506" s="0" t="inlineStr">
        <is>
          <t xml:space="preserve">JB3FU6NKW1M3</t>
        </is>
      </c>
      <c r="D506" s="0" t="inlineStr">
        <is>
          <t xml:space="preserve">-</t>
        </is>
      </c>
      <c r="E506" s="0" t="inlineStr">
        <is>
          <t xml:space="preserve">-</t>
        </is>
      </c>
      <c r="F506" s="0" t="inlineStr">
        <is>
          <t xml:space="preserve">-</t>
        </is>
      </c>
      <c r="G506" s="5">
        <v>1.7466147400000003</v>
      </c>
      <c r="H506" s="0" t="inlineStr">
        <is>
          <t xml:space="preserve">supplier</t>
        </is>
      </c>
      <c r="I506" s="0" t="inlineStr">
        <is>
          <t xml:space="preserve">unbucketed</t>
        </is>
      </c>
      <c r="J506" s="0" t="inlineStr">
        <is>
          <t xml:space="preserve">residual</t>
        </is>
      </c>
      <c r="K506" s="5">
        <v>0</v>
      </c>
      <c r="L506" s="5">
        <v>0</v>
      </c>
      <c r="M506" s="5">
        <v>0.0</v>
      </c>
      <c r="N506" s="5">
        <v>0.0</v>
      </c>
      <c r="O506" s="5">
        <v>0.0</v>
      </c>
      <c r="P506" s="5">
        <v>0.0</v>
      </c>
      <c r="Q506" s="5">
        <v>0.0</v>
      </c>
    </row>
    <row r="507" outlineLevel="1">
      <c r="B507" s="0" t="inlineStr">
        <is>
          <t xml:space="preserve">ARKWIN INDUSTRIES, INC.</t>
        </is>
      </c>
      <c r="C507" s="0" t="inlineStr">
        <is>
          <t xml:space="preserve">FZY7VTQEZ4G4</t>
        </is>
      </c>
      <c r="D507" s="0" t="inlineStr">
        <is>
          <t xml:space="preserve">-</t>
        </is>
      </c>
      <c r="E507" s="0" t="inlineStr">
        <is>
          <t xml:space="preserve">-</t>
        </is>
      </c>
      <c r="F507" s="0" t="inlineStr">
        <is>
          <t xml:space="preserve">-</t>
        </is>
      </c>
      <c r="G507" s="5">
        <v>1.74184286</v>
      </c>
      <c r="H507" s="0" t="inlineStr">
        <is>
          <t xml:space="preserve">supplier</t>
        </is>
      </c>
      <c r="I507" s="0" t="inlineStr">
        <is>
          <t xml:space="preserve">unbucketed</t>
        </is>
      </c>
      <c r="J507" s="0" t="inlineStr">
        <is>
          <t xml:space="preserve">residual</t>
        </is>
      </c>
      <c r="K507" s="5">
        <v>0</v>
      </c>
      <c r="L507" s="5">
        <v>0</v>
      </c>
      <c r="M507" s="5">
        <v>0.0</v>
      </c>
      <c r="N507" s="5">
        <v>0.0</v>
      </c>
      <c r="O507" s="5">
        <v>0.0</v>
      </c>
      <c r="P507" s="5">
        <v>0.0</v>
      </c>
      <c r="Q507" s="5">
        <v>0.0</v>
      </c>
    </row>
    <row r="508" outlineLevel="1">
      <c r="B508" s="0" t="inlineStr">
        <is>
          <t xml:space="preserve">HABERMAN MACHINE, INC.</t>
        </is>
      </c>
      <c r="C508" s="0" t="inlineStr">
        <is>
          <t xml:space="preserve">D49RVJRMCSJ8</t>
        </is>
      </c>
      <c r="D508" s="0" t="inlineStr">
        <is>
          <t xml:space="preserve">-</t>
        </is>
      </c>
      <c r="E508" s="0" t="inlineStr">
        <is>
          <t xml:space="preserve">-</t>
        </is>
      </c>
      <c r="F508" s="0" t="inlineStr">
        <is>
          <t xml:space="preserve">-</t>
        </is>
      </c>
      <c r="G508" s="5">
        <v>1.7396065999999997</v>
      </c>
      <c r="H508" s="0" t="inlineStr">
        <is>
          <t xml:space="preserve">supplier</t>
        </is>
      </c>
      <c r="I508" s="0" t="inlineStr">
        <is>
          <t xml:space="preserve">unbucketed</t>
        </is>
      </c>
      <c r="J508" s="0" t="inlineStr">
        <is>
          <t xml:space="preserve">residual</t>
        </is>
      </c>
      <c r="K508" s="5">
        <v>0</v>
      </c>
      <c r="L508" s="5">
        <v>0</v>
      </c>
      <c r="M508" s="5">
        <v>0.0</v>
      </c>
      <c r="N508" s="5">
        <v>0.0</v>
      </c>
      <c r="O508" s="5">
        <v>0.0</v>
      </c>
      <c r="P508" s="5">
        <v>0.0</v>
      </c>
      <c r="Q508" s="5">
        <v>0.0</v>
      </c>
    </row>
    <row r="509" outlineLevel="1">
      <c r="B509" s="0" t="inlineStr">
        <is>
          <t xml:space="preserve">TRELLEBORG AB</t>
        </is>
      </c>
      <c r="C509" s="0" t="inlineStr">
        <is>
          <t xml:space="preserve">MFSTPQMMUTA3</t>
        </is>
      </c>
      <c r="D509" s="0" t="inlineStr">
        <is>
          <t xml:space="preserve">-</t>
        </is>
      </c>
      <c r="E509" s="0" t="inlineStr">
        <is>
          <t xml:space="preserve">-</t>
        </is>
      </c>
      <c r="F509" s="0" t="inlineStr">
        <is>
          <t xml:space="preserve">-</t>
        </is>
      </c>
      <c r="G509" s="5">
        <v>1.7315544</v>
      </c>
      <c r="H509" s="0" t="inlineStr">
        <is>
          <t xml:space="preserve">supplier</t>
        </is>
      </c>
      <c r="I509" s="0" t="inlineStr">
        <is>
          <t xml:space="preserve">unbucketed</t>
        </is>
      </c>
      <c r="J509" s="0" t="inlineStr">
        <is>
          <t xml:space="preserve">residual</t>
        </is>
      </c>
      <c r="K509" s="5">
        <v>0</v>
      </c>
      <c r="L509" s="5">
        <v>0</v>
      </c>
      <c r="M509" s="5">
        <v>0.0</v>
      </c>
      <c r="N509" s="5">
        <v>0.0</v>
      </c>
      <c r="O509" s="5">
        <v>0.0</v>
      </c>
      <c r="P509" s="5">
        <v>0.0</v>
      </c>
      <c r="Q509" s="5">
        <v>0.0</v>
      </c>
    </row>
    <row r="510" outlineLevel="1">
      <c r="B510" s="0" t="inlineStr">
        <is>
          <t xml:space="preserve">TRIUMPH GROUP, INC.</t>
        </is>
      </c>
      <c r="C510" s="0" t="inlineStr">
        <is>
          <t xml:space="preserve">N188YZJK1LL1</t>
        </is>
      </c>
      <c r="D510" s="0" t="inlineStr">
        <is>
          <t xml:space="preserve">-</t>
        </is>
      </c>
      <c r="E510" s="0" t="inlineStr">
        <is>
          <t xml:space="preserve">-</t>
        </is>
      </c>
      <c r="F510" s="0" t="inlineStr">
        <is>
          <t xml:space="preserve">-</t>
        </is>
      </c>
      <c r="G510" s="5">
        <v>1.730151</v>
      </c>
      <c r="H510" s="0" t="inlineStr">
        <is>
          <t xml:space="preserve">supplier</t>
        </is>
      </c>
      <c r="I510" s="0" t="inlineStr">
        <is>
          <t xml:space="preserve">unbucketed</t>
        </is>
      </c>
      <c r="J510" s="0" t="inlineStr">
        <is>
          <t xml:space="preserve">residual</t>
        </is>
      </c>
      <c r="K510" s="5">
        <v>0</v>
      </c>
      <c r="L510" s="5">
        <v>0</v>
      </c>
      <c r="M510" s="5">
        <v>0.0</v>
      </c>
      <c r="N510" s="5">
        <v>0.0</v>
      </c>
      <c r="O510" s="5">
        <v>0.0</v>
      </c>
      <c r="P510" s="5">
        <v>0.0</v>
      </c>
      <c r="Q510" s="5">
        <v>0.0</v>
      </c>
    </row>
    <row r="511" outlineLevel="1">
      <c r="B511" s="0" t="inlineStr">
        <is>
          <t xml:space="preserve">KONGSBERG GRUPPEN ASA</t>
        </is>
      </c>
      <c r="C511" s="0" t="inlineStr">
        <is>
          <t xml:space="preserve">GYFNK4D2RN39</t>
        </is>
      </c>
      <c r="D511" s="0" t="inlineStr">
        <is>
          <t xml:space="preserve">Foreign</t>
        </is>
      </c>
      <c r="E511" s="0" t="inlineStr">
        <is>
          <t xml:space="preserve">-</t>
        </is>
      </c>
      <c r="F511" s="0" t="inlineStr">
        <is>
          <t xml:space="preserve">-</t>
        </is>
      </c>
      <c r="G511" s="5">
        <v>1.7149999999999999</v>
      </c>
      <c r="H511" s="0" t="inlineStr">
        <is>
          <t xml:space="preserve">foreign_fms</t>
        </is>
      </c>
      <c r="I511" s="0" t="inlineStr">
        <is>
          <t xml:space="preserve">-</t>
        </is>
      </c>
      <c r="J511" s="0" t="inlineStr">
        <is>
          <t xml:space="preserve">foreign flag</t>
        </is>
      </c>
      <c r="K511" s="5">
        <v>0</v>
      </c>
      <c r="L511" s="5">
        <v>0</v>
      </c>
      <c r="M511" s="5">
        <v>0.0</v>
      </c>
      <c r="N511" s="5">
        <v>0.0</v>
      </c>
      <c r="O511" s="5">
        <v>0.0</v>
      </c>
      <c r="P511" s="5">
        <v>0.0</v>
      </c>
      <c r="Q511" s="5">
        <v>0.0</v>
      </c>
    </row>
    <row r="512" outlineLevel="1">
      <c r="B512" s="0" t="inlineStr">
        <is>
          <t xml:space="preserve">TRANSDIGM INC</t>
        </is>
      </c>
      <c r="C512" s="0" t="inlineStr">
        <is>
          <t xml:space="preserve">KM3DGGLMA444</t>
        </is>
      </c>
      <c r="D512" s="0" t="inlineStr">
        <is>
          <t xml:space="preserve">-</t>
        </is>
      </c>
      <c r="E512" s="0" t="inlineStr">
        <is>
          <t xml:space="preserve">-</t>
        </is>
      </c>
      <c r="F512" s="0" t="inlineStr">
        <is>
          <t xml:space="preserve">-</t>
        </is>
      </c>
      <c r="G512" s="5">
        <v>1.709142</v>
      </c>
      <c r="H512" s="0" t="inlineStr">
        <is>
          <t xml:space="preserve">supplier</t>
        </is>
      </c>
      <c r="I512" s="0" t="inlineStr">
        <is>
          <t xml:space="preserve">unbucketed</t>
        </is>
      </c>
      <c r="J512" s="0" t="inlineStr">
        <is>
          <t xml:space="preserve">residual</t>
        </is>
      </c>
      <c r="K512" s="5">
        <v>0</v>
      </c>
      <c r="L512" s="5">
        <v>0</v>
      </c>
      <c r="M512" s="5">
        <v>0.0</v>
      </c>
      <c r="N512" s="5">
        <v>0.0</v>
      </c>
      <c r="O512" s="5">
        <v>0.0</v>
      </c>
      <c r="P512" s="5">
        <v>0.0</v>
      </c>
      <c r="Q512" s="5">
        <v>0.0</v>
      </c>
    </row>
    <row r="513" outlineLevel="1">
      <c r="B513" s="0" t="inlineStr">
        <is>
          <t xml:space="preserve">ELLWOOD GROUP, INC.</t>
        </is>
      </c>
      <c r="C513" s="0" t="inlineStr">
        <is>
          <t xml:space="preserve">GKPGD2F1LKL5</t>
        </is>
      </c>
      <c r="D513" s="0" t="inlineStr">
        <is>
          <t xml:space="preserve">USA</t>
        </is>
      </c>
      <c r="E513" s="0" t="inlineStr">
        <is>
          <t xml:space="preserve">3321</t>
        </is>
      </c>
      <c r="F513" s="0" t="inlineStr">
        <is>
          <t xml:space="preserve">Iron and Steel Forging</t>
        </is>
      </c>
      <c r="G513" s="5">
        <v>1.6942530800000002</v>
      </c>
      <c r="H513" s="0" t="inlineStr">
        <is>
          <t xml:space="preserve">supplier</t>
        </is>
      </c>
      <c r="I513" s="0" t="inlineStr">
        <is>
          <t xml:space="preserve">castings</t>
        </is>
      </c>
      <c r="J513" s="0" t="inlineStr">
        <is>
          <t xml:space="preserve">naics4</t>
        </is>
      </c>
      <c r="K513" s="5">
        <v>0</v>
      </c>
      <c r="L513" s="5">
        <v>0</v>
      </c>
      <c r="M513" s="5">
        <v>1.6942530800000002</v>
      </c>
      <c r="N513" s="5">
        <v>0.0</v>
      </c>
      <c r="O513" s="5">
        <v>0.0</v>
      </c>
      <c r="P513" s="5">
        <v>0.0</v>
      </c>
      <c r="Q513" s="5">
        <v>0.0</v>
      </c>
    </row>
    <row r="514" outlineLevel="1">
      <c r="B514" s="0" t="inlineStr">
        <is>
          <t xml:space="preserve">L3HARRIS TECHNOLOGIES, INC.</t>
        </is>
      </c>
      <c r="C514" s="0" t="inlineStr">
        <is>
          <t xml:space="preserve">QV38GMJUBJQ3</t>
        </is>
      </c>
      <c r="D514" s="0" t="inlineStr">
        <is>
          <t xml:space="preserve">USA</t>
        </is>
      </c>
      <c r="E514" s="0" t="inlineStr">
        <is>
          <t xml:space="preserve">3345</t>
        </is>
      </c>
      <c r="F514" s="0" t="inlineStr">
        <is>
          <t xml:space="preserve">Search, Detection, Navigation, Guidance, Aeronautical, and Nautical System and Instrument Manufacturing</t>
        </is>
      </c>
      <c r="G514" s="5">
        <v>1.6869273200000001</v>
      </c>
      <c r="H514" s="0" t="inlineStr">
        <is>
          <t xml:space="preserve">gfe_mib</t>
        </is>
      </c>
      <c r="I514" s="0" t="inlineStr">
        <is>
          <t xml:space="preserve">-</t>
        </is>
      </c>
      <c r="J514" s="0" t="inlineStr">
        <is>
          <t xml:space="preserve">GFE/MIB name</t>
        </is>
      </c>
      <c r="K514" s="5">
        <v>0</v>
      </c>
      <c r="L514" s="5">
        <v>0</v>
      </c>
      <c r="M514" s="5">
        <v>0.07304732000000001</v>
      </c>
      <c r="N514" s="5">
        <v>0.0</v>
      </c>
      <c r="O514" s="5">
        <v>0.0</v>
      </c>
      <c r="P514" s="5">
        <v>0.0</v>
      </c>
      <c r="Q514" s="5">
        <v>0.0</v>
      </c>
    </row>
    <row r="515" outlineLevel="1">
      <c r="B515" s="0" t="inlineStr">
        <is>
          <t xml:space="preserve">L3 TECHNOLOGIES, INC.</t>
        </is>
      </c>
      <c r="C515" s="0" t="inlineStr">
        <is>
          <t xml:space="preserve">F3AWTHWK95Q3</t>
        </is>
      </c>
      <c r="D515" s="0" t="inlineStr">
        <is>
          <t xml:space="preserve">USA</t>
        </is>
      </c>
      <c r="E515" s="0" t="inlineStr">
        <is>
          <t xml:space="preserve">3345</t>
        </is>
      </c>
      <c r="F515" s="0" t="inlineStr">
        <is>
          <t xml:space="preserve">Search, Detection, Navigation, Guidance, Aeronautical, and Nautical System and Instrument Manufacturing</t>
        </is>
      </c>
      <c r="G515" s="5">
        <v>1.66925</v>
      </c>
      <c r="H515" s="0" t="inlineStr">
        <is>
          <t xml:space="preserve">supplier</t>
        </is>
      </c>
      <c r="I515" s="0" t="inlineStr">
        <is>
          <t xml:space="preserve">unbucketed</t>
        </is>
      </c>
      <c r="J515" s="0" t="inlineStr">
        <is>
          <t xml:space="preserve">residual</t>
        </is>
      </c>
      <c r="K515" s="5">
        <v>0</v>
      </c>
      <c r="L515" s="5">
        <v>0</v>
      </c>
      <c r="M515" s="5">
        <v>0.0</v>
      </c>
      <c r="N515" s="5">
        <v>0.0</v>
      </c>
      <c r="O515" s="5">
        <v>0.0</v>
      </c>
      <c r="P515" s="5">
        <v>0.0</v>
      </c>
      <c r="Q515" s="5">
        <v>0.0</v>
      </c>
    </row>
    <row r="516" outlineLevel="1">
      <c r="B516" s="0" t="inlineStr">
        <is>
          <t xml:space="preserve">CELLTRON INC</t>
        </is>
      </c>
      <c r="C516" s="0" t="inlineStr">
        <is>
          <t xml:space="preserve">G8LMKLVVNSS4</t>
        </is>
      </c>
      <c r="D516" s="0" t="inlineStr">
        <is>
          <t xml:space="preserve">-</t>
        </is>
      </c>
      <c r="E516" s="0" t="inlineStr">
        <is>
          <t xml:space="preserve">-</t>
        </is>
      </c>
      <c r="F516" s="0" t="inlineStr">
        <is>
          <t xml:space="preserve">-</t>
        </is>
      </c>
      <c r="G516" s="5">
        <v>1.6690376300000003</v>
      </c>
      <c r="H516" s="0" t="inlineStr">
        <is>
          <t xml:space="preserve">supplier</t>
        </is>
      </c>
      <c r="I516" s="0" t="inlineStr">
        <is>
          <t xml:space="preserve">unbucketed</t>
        </is>
      </c>
      <c r="J516" s="0" t="inlineStr">
        <is>
          <t xml:space="preserve">residual</t>
        </is>
      </c>
      <c r="K516" s="5">
        <v>0</v>
      </c>
      <c r="L516" s="5">
        <v>0</v>
      </c>
      <c r="M516" s="5">
        <v>0.0</v>
      </c>
      <c r="N516" s="5">
        <v>0.0</v>
      </c>
      <c r="O516" s="5">
        <v>0.0</v>
      </c>
      <c r="P516" s="5">
        <v>0.0</v>
      </c>
      <c r="Q516" s="5">
        <v>0.0</v>
      </c>
    </row>
    <row r="517" outlineLevel="1">
      <c r="B517" s="0" t="inlineStr">
        <is>
          <t xml:space="preserve">COMPUTER CONVERSIONS CORPORATION</t>
        </is>
      </c>
      <c r="C517" s="0" t="inlineStr">
        <is>
          <t xml:space="preserve">PR7QMALR6TN4</t>
        </is>
      </c>
      <c r="D517" s="0" t="inlineStr">
        <is>
          <t xml:space="preserve">-</t>
        </is>
      </c>
      <c r="E517" s="0" t="inlineStr">
        <is>
          <t xml:space="preserve">-</t>
        </is>
      </c>
      <c r="F517" s="0" t="inlineStr">
        <is>
          <t xml:space="preserve">-</t>
        </is>
      </c>
      <c r="G517" s="5">
        <v>1.667613</v>
      </c>
      <c r="H517" s="0" t="inlineStr">
        <is>
          <t xml:space="preserve">supplier</t>
        </is>
      </c>
      <c r="I517" s="0" t="inlineStr">
        <is>
          <t xml:space="preserve">unbucketed</t>
        </is>
      </c>
      <c r="J517" s="0" t="inlineStr">
        <is>
          <t xml:space="preserve">residual</t>
        </is>
      </c>
      <c r="K517" s="5">
        <v>0</v>
      </c>
      <c r="L517" s="5">
        <v>0</v>
      </c>
      <c r="M517" s="5">
        <v>0.0</v>
      </c>
      <c r="N517" s="5">
        <v>0.0</v>
      </c>
      <c r="O517" s="5">
        <v>0.0</v>
      </c>
      <c r="P517" s="5">
        <v>0.0</v>
      </c>
      <c r="Q517" s="5">
        <v>0.0</v>
      </c>
    </row>
    <row r="518" outlineLevel="1">
      <c r="B518" s="0" t="inlineStr">
        <is>
          <t xml:space="preserve">PARKER-HANNIFIN CORPORATION</t>
        </is>
      </c>
      <c r="C518" s="0" t="inlineStr">
        <is>
          <t xml:space="preserve">MHSFCLPAENE6</t>
        </is>
      </c>
      <c r="D518" s="0" t="inlineStr">
        <is>
          <t xml:space="preserve">USA</t>
        </is>
      </c>
      <c r="E518" s="0" t="inlineStr">
        <is>
          <t xml:space="preserve">5511</t>
        </is>
      </c>
      <c r="F518" s="0" t="inlineStr">
        <is>
          <t xml:space="preserve">Corporate, Subsidiary, and Regional Managing Offices</t>
        </is>
      </c>
      <c r="G518" s="5">
        <v>1.65657</v>
      </c>
      <c r="H518" s="0" t="inlineStr">
        <is>
          <t xml:space="preserve">holding</t>
        </is>
      </c>
      <c r="I518" s="0" t="inlineStr">
        <is>
          <t xml:space="preserve">-</t>
        </is>
      </c>
      <c r="J518" s="0" t="inlineStr">
        <is>
          <t xml:space="preserve">holding-co (5511)</t>
        </is>
      </c>
      <c r="K518" s="5">
        <v>0</v>
      </c>
      <c r="L518" s="5">
        <v>0</v>
      </c>
      <c r="M518" s="5">
        <v>0.0</v>
      </c>
      <c r="N518" s="5">
        <v>0.0</v>
      </c>
      <c r="O518" s="5">
        <v>0.0</v>
      </c>
      <c r="P518" s="5">
        <v>0.0</v>
      </c>
      <c r="Q518" s="5">
        <v>0.0</v>
      </c>
    </row>
    <row r="519" outlineLevel="1">
      <c r="B519" s="0" t="inlineStr">
        <is>
          <t xml:space="preserve">AMPHENOL CORPORATION</t>
        </is>
      </c>
      <c r="C519" s="0" t="inlineStr">
        <is>
          <t xml:space="preserve">YDVUHF6DPM63</t>
        </is>
      </c>
      <c r="D519" s="0" t="inlineStr">
        <is>
          <t xml:space="preserve">-</t>
        </is>
      </c>
      <c r="E519" s="0" t="inlineStr">
        <is>
          <t xml:space="preserve">-</t>
        </is>
      </c>
      <c r="F519" s="0" t="inlineStr">
        <is>
          <t xml:space="preserve">-</t>
        </is>
      </c>
      <c r="G519" s="5">
        <v>1.6534419799999998</v>
      </c>
      <c r="H519" s="0" t="inlineStr">
        <is>
          <t xml:space="preserve">supplier</t>
        </is>
      </c>
      <c r="I519" s="0" t="inlineStr">
        <is>
          <t xml:space="preserve">electrical</t>
        </is>
      </c>
      <c r="J519" s="0" t="inlineStr">
        <is>
          <t xml:space="preserve">registry</t>
        </is>
      </c>
      <c r="K519" s="5">
        <v>0</v>
      </c>
      <c r="L519" s="5">
        <v>0</v>
      </c>
      <c r="M519" s="5">
        <v>0.0</v>
      </c>
      <c r="N519" s="5">
        <v>0.0</v>
      </c>
      <c r="O519" s="5">
        <v>0.0</v>
      </c>
      <c r="P519" s="5">
        <v>0.0</v>
      </c>
      <c r="Q519" s="5">
        <v>0.0</v>
      </c>
    </row>
    <row r="520" outlineLevel="1">
      <c r="B520" s="0" t="inlineStr">
        <is>
          <t xml:space="preserve">WHITMOR COMPANY, INC., THE</t>
        </is>
      </c>
      <c r="C520" s="0" t="inlineStr">
        <is>
          <t xml:space="preserve">EJ8LYVPT4KR9</t>
        </is>
      </c>
      <c r="D520" s="0" t="inlineStr">
        <is>
          <t xml:space="preserve">-</t>
        </is>
      </c>
      <c r="E520" s="0" t="inlineStr">
        <is>
          <t xml:space="preserve">-</t>
        </is>
      </c>
      <c r="F520" s="0" t="inlineStr">
        <is>
          <t xml:space="preserve">-</t>
        </is>
      </c>
      <c r="G520" s="5">
        <v>1.6527889999999998</v>
      </c>
      <c r="H520" s="0" t="inlineStr">
        <is>
          <t xml:space="preserve">supplier</t>
        </is>
      </c>
      <c r="I520" s="0" t="inlineStr">
        <is>
          <t xml:space="preserve">unbucketed</t>
        </is>
      </c>
      <c r="J520" s="0" t="inlineStr">
        <is>
          <t xml:space="preserve">residual</t>
        </is>
      </c>
      <c r="K520" s="5">
        <v>0</v>
      </c>
      <c r="L520" s="5">
        <v>0</v>
      </c>
      <c r="M520" s="5">
        <v>0.067502</v>
      </c>
      <c r="N520" s="5">
        <v>0.0</v>
      </c>
      <c r="O520" s="5">
        <v>0.0</v>
      </c>
      <c r="P520" s="5">
        <v>0.0</v>
      </c>
      <c r="Q520" s="5">
        <v>0.0</v>
      </c>
    </row>
    <row r="521" outlineLevel="1">
      <c r="B521" s="0" t="inlineStr">
        <is>
          <t xml:space="preserve">COBHAM NEW JERSEY INC.</t>
        </is>
      </c>
      <c r="C521" s="0" t="inlineStr">
        <is>
          <t xml:space="preserve">Q9HFNQQM2AD9</t>
        </is>
      </c>
      <c r="D521" s="0" t="inlineStr">
        <is>
          <t xml:space="preserve">-</t>
        </is>
      </c>
      <c r="E521" s="0" t="inlineStr">
        <is>
          <t xml:space="preserve">-</t>
        </is>
      </c>
      <c r="F521" s="0" t="inlineStr">
        <is>
          <t xml:space="preserve">-</t>
        </is>
      </c>
      <c r="G521" s="5">
        <v>1.651977</v>
      </c>
      <c r="H521" s="0" t="inlineStr">
        <is>
          <t xml:space="preserve">supplier</t>
        </is>
      </c>
      <c r="I521" s="0" t="inlineStr">
        <is>
          <t xml:space="preserve">unbucketed</t>
        </is>
      </c>
      <c r="J521" s="0" t="inlineStr">
        <is>
          <t xml:space="preserve">residual</t>
        </is>
      </c>
      <c r="K521" s="5">
        <v>0</v>
      </c>
      <c r="L521" s="5">
        <v>0</v>
      </c>
      <c r="M521" s="5">
        <v>0.0</v>
      </c>
      <c r="N521" s="5">
        <v>0.0</v>
      </c>
      <c r="O521" s="5">
        <v>0.0</v>
      </c>
      <c r="P521" s="5">
        <v>0.0</v>
      </c>
      <c r="Q521" s="5">
        <v>0.0</v>
      </c>
    </row>
    <row r="522" outlineLevel="1">
      <c r="B522" s="0" t="inlineStr">
        <is>
          <t xml:space="preserve">ASSURANCE MFG. CO., INC.</t>
        </is>
      </c>
      <c r="C522" s="0" t="inlineStr">
        <is>
          <t xml:space="preserve">J8CAKJ6WMNB3</t>
        </is>
      </c>
      <c r="D522" s="0" t="inlineStr">
        <is>
          <t xml:space="preserve">-</t>
        </is>
      </c>
      <c r="E522" s="0" t="inlineStr">
        <is>
          <t xml:space="preserve">-</t>
        </is>
      </c>
      <c r="F522" s="0" t="inlineStr">
        <is>
          <t xml:space="preserve">-</t>
        </is>
      </c>
      <c r="G522" s="5">
        <v>1.63769154</v>
      </c>
      <c r="H522" s="0" t="inlineStr">
        <is>
          <t xml:space="preserve">supplier</t>
        </is>
      </c>
      <c r="I522" s="0" t="inlineStr">
        <is>
          <t xml:space="preserve">unbucketed</t>
        </is>
      </c>
      <c r="J522" s="0" t="inlineStr">
        <is>
          <t xml:space="preserve">residual</t>
        </is>
      </c>
      <c r="K522" s="5">
        <v>0</v>
      </c>
      <c r="L522" s="5">
        <v>0</v>
      </c>
      <c r="M522" s="5">
        <v>0.0</v>
      </c>
      <c r="N522" s="5">
        <v>0.0</v>
      </c>
      <c r="O522" s="5">
        <v>0.0</v>
      </c>
      <c r="P522" s="5">
        <v>0.0</v>
      </c>
      <c r="Q522" s="5">
        <v>0.0</v>
      </c>
    </row>
    <row r="523" outlineLevel="1">
      <c r="B523" s="0" t="inlineStr">
        <is>
          <t xml:space="preserve">PARKER-HANNIFIN CORPORATION</t>
        </is>
      </c>
      <c r="C523" s="0" t="inlineStr">
        <is>
          <t xml:space="preserve">KA92TXUDAK17</t>
        </is>
      </c>
      <c r="D523" s="0" t="inlineStr">
        <is>
          <t xml:space="preserve">-</t>
        </is>
      </c>
      <c r="E523" s="0" t="inlineStr">
        <is>
          <t xml:space="preserve">-</t>
        </is>
      </c>
      <c r="F523" s="0" t="inlineStr">
        <is>
          <t xml:space="preserve">-</t>
        </is>
      </c>
      <c r="G523" s="5">
        <v>1.63119722</v>
      </c>
      <c r="H523" s="0" t="inlineStr">
        <is>
          <t xml:space="preserve">supplier</t>
        </is>
      </c>
      <c r="I523" s="0" t="inlineStr">
        <is>
          <t xml:space="preserve">unbucketed</t>
        </is>
      </c>
      <c r="J523" s="0" t="inlineStr">
        <is>
          <t xml:space="preserve">residual</t>
        </is>
      </c>
      <c r="K523" s="5">
        <v>0</v>
      </c>
      <c r="L523" s="5">
        <v>0</v>
      </c>
      <c r="M523" s="5">
        <v>0.0</v>
      </c>
      <c r="N523" s="5">
        <v>0.0</v>
      </c>
      <c r="O523" s="5">
        <v>0.0</v>
      </c>
      <c r="P523" s="5">
        <v>0.0</v>
      </c>
      <c r="Q523" s="5">
        <v>0.0</v>
      </c>
    </row>
    <row r="524" outlineLevel="1">
      <c r="B524" s="0" t="inlineStr">
        <is>
          <t xml:space="preserve">JADE MANUFACTURING CO, INC</t>
        </is>
      </c>
      <c r="C524" s="0" t="inlineStr">
        <is>
          <t xml:space="preserve">PJFNTRXKVBN3</t>
        </is>
      </c>
      <c r="D524" s="0" t="inlineStr">
        <is>
          <t xml:space="preserve">-</t>
        </is>
      </c>
      <c r="E524" s="0" t="inlineStr">
        <is>
          <t xml:space="preserve">-</t>
        </is>
      </c>
      <c r="F524" s="0" t="inlineStr">
        <is>
          <t xml:space="preserve">-</t>
        </is>
      </c>
      <c r="G524" s="5">
        <v>1.630857</v>
      </c>
      <c r="H524" s="0" t="inlineStr">
        <is>
          <t xml:space="preserve">supplier</t>
        </is>
      </c>
      <c r="I524" s="0" t="inlineStr">
        <is>
          <t xml:space="preserve">unbucketed</t>
        </is>
      </c>
      <c r="J524" s="0" t="inlineStr">
        <is>
          <t xml:space="preserve">residual</t>
        </is>
      </c>
      <c r="K524" s="5">
        <v>0</v>
      </c>
      <c r="L524" s="5">
        <v>0</v>
      </c>
      <c r="M524" s="5">
        <v>0.0</v>
      </c>
      <c r="N524" s="5">
        <v>0.0</v>
      </c>
      <c r="O524" s="5">
        <v>0.0</v>
      </c>
      <c r="P524" s="5">
        <v>0.0</v>
      </c>
      <c r="Q524" s="5">
        <v>0.0</v>
      </c>
    </row>
    <row r="525" outlineLevel="1">
      <c r="B525" s="0" t="inlineStr">
        <is>
          <t xml:space="preserve">WESCO AIRCRAFT HOLDINGS, INC.</t>
        </is>
      </c>
      <c r="C525" s="0" t="inlineStr">
        <is>
          <t xml:space="preserve">TH42CKFU5ZL7</t>
        </is>
      </c>
      <c r="D525" s="0" t="inlineStr">
        <is>
          <t xml:space="preserve">-</t>
        </is>
      </c>
      <c r="E525" s="0" t="inlineStr">
        <is>
          <t xml:space="preserve">-</t>
        </is>
      </c>
      <c r="F525" s="0" t="inlineStr">
        <is>
          <t xml:space="preserve">-</t>
        </is>
      </c>
      <c r="G525" s="5">
        <v>1.6278638399999998</v>
      </c>
      <c r="H525" s="0" t="inlineStr">
        <is>
          <t xml:space="preserve">supplier</t>
        </is>
      </c>
      <c r="I525" s="0" t="inlineStr">
        <is>
          <t xml:space="preserve">unbucketed</t>
        </is>
      </c>
      <c r="J525" s="0" t="inlineStr">
        <is>
          <t xml:space="preserve">residual</t>
        </is>
      </c>
      <c r="K525" s="5">
        <v>0</v>
      </c>
      <c r="L525" s="5">
        <v>0</v>
      </c>
      <c r="M525" s="5">
        <v>0.0</v>
      </c>
      <c r="N525" s="5">
        <v>0.0</v>
      </c>
      <c r="O525" s="5">
        <v>0.0</v>
      </c>
      <c r="P525" s="5">
        <v>0.0</v>
      </c>
      <c r="Q525" s="5">
        <v>0.0</v>
      </c>
    </row>
    <row r="526" outlineLevel="1">
      <c r="B526" s="0" t="inlineStr">
        <is>
          <t xml:space="preserve">CDP FASTENER GROUP, INC.</t>
        </is>
      </c>
      <c r="C526" s="0" t="inlineStr">
        <is>
          <t xml:space="preserve">CPNJM695NH15</t>
        </is>
      </c>
      <c r="D526" s="0" t="inlineStr">
        <is>
          <t xml:space="preserve">-</t>
        </is>
      </c>
      <c r="E526" s="0" t="inlineStr">
        <is>
          <t xml:space="preserve">-</t>
        </is>
      </c>
      <c r="F526" s="0" t="inlineStr">
        <is>
          <t xml:space="preserve">-</t>
        </is>
      </c>
      <c r="G526" s="5">
        <v>1.625756</v>
      </c>
      <c r="H526" s="0" t="inlineStr">
        <is>
          <t xml:space="preserve">supplier</t>
        </is>
      </c>
      <c r="I526" s="0" t="inlineStr">
        <is>
          <t xml:space="preserve">unbucketed</t>
        </is>
      </c>
      <c r="J526" s="0" t="inlineStr">
        <is>
          <t xml:space="preserve">residual</t>
        </is>
      </c>
      <c r="K526" s="5">
        <v>0</v>
      </c>
      <c r="L526" s="5">
        <v>0</v>
      </c>
      <c r="M526" s="5">
        <v>0.0</v>
      </c>
      <c r="N526" s="5">
        <v>0.0</v>
      </c>
      <c r="O526" s="5">
        <v>0.0</v>
      </c>
      <c r="P526" s="5">
        <v>0.0</v>
      </c>
      <c r="Q526" s="5">
        <v>0.0</v>
      </c>
    </row>
    <row r="527" outlineLevel="1">
      <c r="B527" s="0" t="inlineStr">
        <is>
          <t xml:space="preserve">INDUSTRIAL GROUP HOLDINGS, LLC</t>
        </is>
      </c>
      <c r="C527" s="0" t="inlineStr">
        <is>
          <t xml:space="preserve">TKM6MD39WER8</t>
        </is>
      </c>
      <c r="D527" s="0" t="inlineStr">
        <is>
          <t xml:space="preserve">-</t>
        </is>
      </c>
      <c r="E527" s="0" t="inlineStr">
        <is>
          <t xml:space="preserve">-</t>
        </is>
      </c>
      <c r="F527" s="0" t="inlineStr">
        <is>
          <t xml:space="preserve">-</t>
        </is>
      </c>
      <c r="G527" s="5">
        <v>1.6257135200000001</v>
      </c>
      <c r="H527" s="0" t="inlineStr">
        <is>
          <t xml:space="preserve">supplier</t>
        </is>
      </c>
      <c r="I527" s="0" t="inlineStr">
        <is>
          <t xml:space="preserve">unbucketed</t>
        </is>
      </c>
      <c r="J527" s="0" t="inlineStr">
        <is>
          <t xml:space="preserve">residual</t>
        </is>
      </c>
      <c r="K527" s="5">
        <v>0</v>
      </c>
      <c r="L527" s="5">
        <v>0</v>
      </c>
      <c r="M527" s="5">
        <v>0.0</v>
      </c>
      <c r="N527" s="5">
        <v>0.0</v>
      </c>
      <c r="O527" s="5">
        <v>0.0</v>
      </c>
      <c r="P527" s="5">
        <v>0.0</v>
      </c>
      <c r="Q527" s="5">
        <v>0.0</v>
      </c>
    </row>
    <row r="528" outlineLevel="1">
      <c r="B528" s="0" t="inlineStr">
        <is>
          <t xml:space="preserve">UNITED PRECISION CORP.</t>
        </is>
      </c>
      <c r="C528" s="0" t="inlineStr">
        <is>
          <t xml:space="preserve">HFALSP1F9ZD3</t>
        </is>
      </c>
      <c r="D528" s="0" t="inlineStr">
        <is>
          <t xml:space="preserve">-</t>
        </is>
      </c>
      <c r="E528" s="0" t="inlineStr">
        <is>
          <t xml:space="preserve">-</t>
        </is>
      </c>
      <c r="F528" s="0" t="inlineStr">
        <is>
          <t xml:space="preserve">-</t>
        </is>
      </c>
      <c r="G528" s="5">
        <v>1.621715</v>
      </c>
      <c r="H528" s="0" t="inlineStr">
        <is>
          <t xml:space="preserve">supplier</t>
        </is>
      </c>
      <c r="I528" s="0" t="inlineStr">
        <is>
          <t xml:space="preserve">unbucketed</t>
        </is>
      </c>
      <c r="J528" s="0" t="inlineStr">
        <is>
          <t xml:space="preserve">residual</t>
        </is>
      </c>
      <c r="K528" s="5">
        <v>0</v>
      </c>
      <c r="L528" s="5">
        <v>0</v>
      </c>
      <c r="M528" s="5">
        <v>0.0</v>
      </c>
      <c r="N528" s="5">
        <v>0.0</v>
      </c>
      <c r="O528" s="5">
        <v>0.0</v>
      </c>
      <c r="P528" s="5">
        <v>0.0</v>
      </c>
      <c r="Q528" s="5">
        <v>0.0</v>
      </c>
    </row>
    <row r="529" outlineLevel="1">
      <c r="B529" s="0" t="inlineStr">
        <is>
          <t xml:space="preserve">CRANE CO</t>
        </is>
      </c>
      <c r="C529" s="0" t="inlineStr">
        <is>
          <t xml:space="preserve">EYSNMM4RPAJ5</t>
        </is>
      </c>
      <c r="D529" s="0" t="inlineStr">
        <is>
          <t xml:space="preserve">-</t>
        </is>
      </c>
      <c r="E529" s="0" t="inlineStr">
        <is>
          <t xml:space="preserve">-</t>
        </is>
      </c>
      <c r="F529" s="0" t="inlineStr">
        <is>
          <t xml:space="preserve">-</t>
        </is>
      </c>
      <c r="G529" s="5">
        <v>1.6216229300000002</v>
      </c>
      <c r="H529" s="0" t="inlineStr">
        <is>
          <t xml:space="preserve">supplier</t>
        </is>
      </c>
      <c r="I529" s="0" t="inlineStr">
        <is>
          <t xml:space="preserve">unbucketed</t>
        </is>
      </c>
      <c r="J529" s="0" t="inlineStr">
        <is>
          <t xml:space="preserve">residual</t>
        </is>
      </c>
      <c r="K529" s="5">
        <v>0</v>
      </c>
      <c r="L529" s="5">
        <v>0</v>
      </c>
      <c r="M529" s="5">
        <v>0.0</v>
      </c>
      <c r="N529" s="5">
        <v>0.0</v>
      </c>
      <c r="O529" s="5">
        <v>0.0</v>
      </c>
      <c r="P529" s="5">
        <v>0.0</v>
      </c>
      <c r="Q529" s="5">
        <v>0.0</v>
      </c>
    </row>
    <row r="530" outlineLevel="1">
      <c r="B530" s="0" t="inlineStr">
        <is>
          <t xml:space="preserve">EFG HOLDINGS, INC.</t>
        </is>
      </c>
      <c r="C530" s="0" t="inlineStr">
        <is>
          <t xml:space="preserve">CZKYJKB7H9J7</t>
        </is>
      </c>
      <c r="D530" s="0" t="inlineStr">
        <is>
          <t xml:space="preserve">-</t>
        </is>
      </c>
      <c r="E530" s="0" t="inlineStr">
        <is>
          <t xml:space="preserve">-</t>
        </is>
      </c>
      <c r="F530" s="0" t="inlineStr">
        <is>
          <t xml:space="preserve">-</t>
        </is>
      </c>
      <c r="G530" s="5">
        <v>1.59441044</v>
      </c>
      <c r="H530" s="0" t="inlineStr">
        <is>
          <t xml:space="preserve">supplier</t>
        </is>
      </c>
      <c r="I530" s="0" t="inlineStr">
        <is>
          <t xml:space="preserve">unbucketed</t>
        </is>
      </c>
      <c r="J530" s="0" t="inlineStr">
        <is>
          <t xml:space="preserve">residual</t>
        </is>
      </c>
      <c r="K530" s="5">
        <v>0</v>
      </c>
      <c r="L530" s="5">
        <v>0</v>
      </c>
      <c r="M530" s="5">
        <v>0.034238</v>
      </c>
      <c r="N530" s="5">
        <v>0.0</v>
      </c>
      <c r="O530" s="5">
        <v>0.0</v>
      </c>
      <c r="P530" s="5">
        <v>0.0</v>
      </c>
      <c r="Q530" s="5">
        <v>0.0</v>
      </c>
    </row>
    <row r="531" outlineLevel="1">
      <c r="B531" s="0" t="inlineStr">
        <is>
          <t xml:space="preserve">COMSACO, INC.</t>
        </is>
      </c>
      <c r="C531" s="0" t="inlineStr">
        <is>
          <t xml:space="preserve">C1B6X8AADFB1</t>
        </is>
      </c>
      <c r="D531" s="0" t="inlineStr">
        <is>
          <t xml:space="preserve">-</t>
        </is>
      </c>
      <c r="E531" s="0" t="inlineStr">
        <is>
          <t xml:space="preserve">-</t>
        </is>
      </c>
      <c r="F531" s="0" t="inlineStr">
        <is>
          <t xml:space="preserve">-</t>
        </is>
      </c>
      <c r="G531" s="5">
        <v>1.5873529999999998</v>
      </c>
      <c r="H531" s="0" t="inlineStr">
        <is>
          <t xml:space="preserve">supplier</t>
        </is>
      </c>
      <c r="I531" s="0" t="inlineStr">
        <is>
          <t xml:space="preserve">unbucketed</t>
        </is>
      </c>
      <c r="J531" s="0" t="inlineStr">
        <is>
          <t xml:space="preserve">residual</t>
        </is>
      </c>
      <c r="K531" s="5">
        <v>0</v>
      </c>
      <c r="L531" s="5">
        <v>0</v>
      </c>
      <c r="M531" s="5">
        <v>1.4246569999999998</v>
      </c>
      <c r="N531" s="5">
        <v>0.36134200000000005</v>
      </c>
      <c r="O531" s="5">
        <v>0.0</v>
      </c>
      <c r="P531" s="5">
        <v>0.0</v>
      </c>
      <c r="Q531" s="5">
        <v>0.0</v>
      </c>
    </row>
    <row r="532" outlineLevel="1">
      <c r="B532" s="0" t="inlineStr">
        <is>
          <t xml:space="preserve">HEILIND ELECTRONICS, INC</t>
        </is>
      </c>
      <c r="C532" s="0" t="inlineStr">
        <is>
          <t xml:space="preserve">ZVKEBJ4HQHB8</t>
        </is>
      </c>
      <c r="D532" s="0" t="inlineStr">
        <is>
          <t xml:space="preserve">-</t>
        </is>
      </c>
      <c r="E532" s="0" t="inlineStr">
        <is>
          <t xml:space="preserve">-</t>
        </is>
      </c>
      <c r="F532" s="0" t="inlineStr">
        <is>
          <t xml:space="preserve">-</t>
        </is>
      </c>
      <c r="G532" s="5">
        <v>1.58160482</v>
      </c>
      <c r="H532" s="0" t="inlineStr">
        <is>
          <t xml:space="preserve">supplier</t>
        </is>
      </c>
      <c r="I532" s="0" t="inlineStr">
        <is>
          <t xml:space="preserve">unbucketed</t>
        </is>
      </c>
      <c r="J532" s="0" t="inlineStr">
        <is>
          <t xml:space="preserve">residual</t>
        </is>
      </c>
      <c r="K532" s="5">
        <v>0</v>
      </c>
      <c r="L532" s="5">
        <v>0</v>
      </c>
      <c r="M532" s="5">
        <v>0.20224711</v>
      </c>
      <c r="N532" s="5">
        <v>0.0</v>
      </c>
      <c r="O532" s="5">
        <v>0.0</v>
      </c>
      <c r="P532" s="5">
        <v>0.0</v>
      </c>
      <c r="Q532" s="5">
        <v>0.0</v>
      </c>
    </row>
    <row r="533" outlineLevel="1">
      <c r="B533" s="0" t="inlineStr">
        <is>
          <t xml:space="preserve">HEILIND MIL-AERO LLC</t>
        </is>
      </c>
      <c r="C533" s="0" t="inlineStr">
        <is>
          <t xml:space="preserve">ZVKEBJ4HQHB8</t>
        </is>
      </c>
      <c r="D533" s="0" t="inlineStr">
        <is>
          <t xml:space="preserve">-</t>
        </is>
      </c>
      <c r="E533" s="0" t="inlineStr">
        <is>
          <t xml:space="preserve">-</t>
        </is>
      </c>
      <c r="F533" s="0" t="inlineStr">
        <is>
          <t xml:space="preserve">-</t>
        </is>
      </c>
      <c r="G533" s="5">
        <v>1.5811037</v>
      </c>
      <c r="H533" s="0" t="inlineStr">
        <is>
          <t xml:space="preserve">supplier</t>
        </is>
      </c>
      <c r="I533" s="0" t="inlineStr">
        <is>
          <t xml:space="preserve">unbucketed</t>
        </is>
      </c>
      <c r="J533" s="0" t="inlineStr">
        <is>
          <t xml:space="preserve">residual</t>
        </is>
      </c>
      <c r="K533" s="5">
        <v>0</v>
      </c>
      <c r="L533" s="5">
        <v>0</v>
      </c>
      <c r="M533" s="5">
        <v>0.7669220000000001</v>
      </c>
      <c r="N533" s="5">
        <v>0.0</v>
      </c>
      <c r="O533" s="5">
        <v>0.50227646</v>
      </c>
      <c r="P533" s="5">
        <v>0.17778154000000002</v>
      </c>
      <c r="Q533" s="5">
        <v>0.086864</v>
      </c>
    </row>
    <row r="534" outlineLevel="1">
      <c r="B534" s="0" t="inlineStr">
        <is>
          <t xml:space="preserve">DANTE VALVE COMPANY INC</t>
        </is>
      </c>
      <c r="C534" s="0" t="inlineStr">
        <is>
          <t xml:space="preserve">MMDRDDVELDX8</t>
        </is>
      </c>
      <c r="D534" s="0" t="inlineStr">
        <is>
          <t xml:space="preserve">-</t>
        </is>
      </c>
      <c r="E534" s="0" t="inlineStr">
        <is>
          <t xml:space="preserve">-</t>
        </is>
      </c>
      <c r="F534" s="0" t="inlineStr">
        <is>
          <t xml:space="preserve">-</t>
        </is>
      </c>
      <c r="G534" s="5">
        <v>1.56887906</v>
      </c>
      <c r="H534" s="0" t="inlineStr">
        <is>
          <t xml:space="preserve">supplier</t>
        </is>
      </c>
      <c r="I534" s="0" t="inlineStr">
        <is>
          <t xml:space="preserve">unbucketed</t>
        </is>
      </c>
      <c r="J534" s="0" t="inlineStr">
        <is>
          <t xml:space="preserve">residual</t>
        </is>
      </c>
      <c r="K534" s="5">
        <v>0</v>
      </c>
      <c r="L534" s="5">
        <v>0</v>
      </c>
      <c r="M534" s="5">
        <v>1.56887906</v>
      </c>
      <c r="N534" s="5">
        <v>0.0</v>
      </c>
      <c r="O534" s="5">
        <v>0.0</v>
      </c>
      <c r="P534" s="5">
        <v>0.0</v>
      </c>
      <c r="Q534" s="5">
        <v>0.0</v>
      </c>
    </row>
    <row r="535" outlineLevel="1">
      <c r="B535" s="0" t="inlineStr">
        <is>
          <t xml:space="preserve">GRISWOLD INDUSTRIES</t>
        </is>
      </c>
      <c r="C535" s="0" t="inlineStr">
        <is>
          <t xml:space="preserve">LGL1LNBH8KM5</t>
        </is>
      </c>
      <c r="D535" s="0" t="inlineStr">
        <is>
          <t xml:space="preserve">-</t>
        </is>
      </c>
      <c r="E535" s="0" t="inlineStr">
        <is>
          <t xml:space="preserve">-</t>
        </is>
      </c>
      <c r="F535" s="0" t="inlineStr">
        <is>
          <t xml:space="preserve">-</t>
        </is>
      </c>
      <c r="G535" s="5">
        <v>1.56533392</v>
      </c>
      <c r="H535" s="0" t="inlineStr">
        <is>
          <t xml:space="preserve">supplier</t>
        </is>
      </c>
      <c r="I535" s="0" t="inlineStr">
        <is>
          <t xml:space="preserve">unbucketed</t>
        </is>
      </c>
      <c r="J535" s="0" t="inlineStr">
        <is>
          <t xml:space="preserve">residual</t>
        </is>
      </c>
      <c r="K535" s="5">
        <v>0</v>
      </c>
      <c r="L535" s="5">
        <v>0</v>
      </c>
      <c r="M535" s="5">
        <v>1.56533392</v>
      </c>
      <c r="N535" s="5">
        <v>0.0</v>
      </c>
      <c r="O535" s="5">
        <v>0.0</v>
      </c>
      <c r="P535" s="5">
        <v>0.19251337999999998</v>
      </c>
      <c r="Q535" s="5">
        <v>1.0763985400000002</v>
      </c>
    </row>
    <row r="536" outlineLevel="1">
      <c r="B536" s="0" t="inlineStr">
        <is>
          <t xml:space="preserve">ESCO TECHNOLOGIES INC.</t>
        </is>
      </c>
      <c r="C536" s="0" t="inlineStr">
        <is>
          <t xml:space="preserve">HMBSX7Z72UK4</t>
        </is>
      </c>
      <c r="D536" s="0" t="inlineStr">
        <is>
          <t xml:space="preserve">-</t>
        </is>
      </c>
      <c r="E536" s="0" t="inlineStr">
        <is>
          <t xml:space="preserve">-</t>
        </is>
      </c>
      <c r="F536" s="0" t="inlineStr">
        <is>
          <t xml:space="preserve">-</t>
        </is>
      </c>
      <c r="G536" s="5">
        <v>1.56308074</v>
      </c>
      <c r="H536" s="0" t="inlineStr">
        <is>
          <t xml:space="preserve">supplier</t>
        </is>
      </c>
      <c r="I536" s="0" t="inlineStr">
        <is>
          <t xml:space="preserve">unbucketed</t>
        </is>
      </c>
      <c r="J536" s="0" t="inlineStr">
        <is>
          <t xml:space="preserve">residual</t>
        </is>
      </c>
      <c r="K536" s="5">
        <v>0</v>
      </c>
      <c r="L536" s="5">
        <v>0</v>
      </c>
      <c r="M536" s="5">
        <v>1.56308074</v>
      </c>
      <c r="N536" s="5">
        <v>0.25789552</v>
      </c>
      <c r="O536" s="5">
        <v>0.35992872</v>
      </c>
      <c r="P536" s="5">
        <v>0.0</v>
      </c>
      <c r="Q536" s="5">
        <v>0.732752</v>
      </c>
    </row>
    <row r="537" outlineLevel="1">
      <c r="B537" s="0" t="inlineStr">
        <is>
          <t xml:space="preserve">SHAPCO INC.</t>
        </is>
      </c>
      <c r="C537" s="0" t="inlineStr">
        <is>
          <t xml:space="preserve">MKY7HU1KB5S1</t>
        </is>
      </c>
      <c r="D537" s="0" t="inlineStr">
        <is>
          <t xml:space="preserve">-</t>
        </is>
      </c>
      <c r="E537" s="0" t="inlineStr">
        <is>
          <t xml:space="preserve">-</t>
        </is>
      </c>
      <c r="F537" s="0" t="inlineStr">
        <is>
          <t xml:space="preserve">-</t>
        </is>
      </c>
      <c r="G537" s="5">
        <v>1.5620619999999996</v>
      </c>
      <c r="H537" s="0" t="inlineStr">
        <is>
          <t xml:space="preserve">supplier</t>
        </is>
      </c>
      <c r="I537" s="0" t="inlineStr">
        <is>
          <t xml:space="preserve">unbucketed</t>
        </is>
      </c>
      <c r="J537" s="0" t="inlineStr">
        <is>
          <t xml:space="preserve">residual</t>
        </is>
      </c>
      <c r="K537" s="5">
        <v>0</v>
      </c>
      <c r="L537" s="5">
        <v>0</v>
      </c>
      <c r="M537" s="5">
        <v>0.0</v>
      </c>
      <c r="N537" s="5">
        <v>0.0</v>
      </c>
      <c r="O537" s="5">
        <v>0.0</v>
      </c>
      <c r="P537" s="5">
        <v>0.0</v>
      </c>
      <c r="Q537" s="5">
        <v>0.0</v>
      </c>
    </row>
    <row r="538" outlineLevel="1">
      <c r="B538" s="0" t="inlineStr">
        <is>
          <t xml:space="preserve">TELEDYNE TECHNOLOGIES INCORPORATED</t>
        </is>
      </c>
      <c r="C538" s="0" t="inlineStr">
        <is>
          <t xml:space="preserve">L613MLFMP478</t>
        </is>
      </c>
      <c r="D538" s="0" t="inlineStr">
        <is>
          <t xml:space="preserve">USA</t>
        </is>
      </c>
      <c r="E538" s="0" t="inlineStr">
        <is>
          <t xml:space="preserve">3344</t>
        </is>
      </c>
      <c r="F538" s="0" t="inlineStr">
        <is>
          <t xml:space="preserve">Other Electronic Component Manufacturing</t>
        </is>
      </c>
      <c r="G538" s="5">
        <v>1.5608745299999998</v>
      </c>
      <c r="H538" s="0" t="inlineStr">
        <is>
          <t xml:space="preserve">supplier</t>
        </is>
      </c>
      <c r="I538" s="0" t="inlineStr">
        <is>
          <t xml:space="preserve">unbucketed</t>
        </is>
      </c>
      <c r="J538" s="0" t="inlineStr">
        <is>
          <t xml:space="preserve">residual</t>
        </is>
      </c>
      <c r="K538" s="5">
        <v>0</v>
      </c>
      <c r="L538" s="5">
        <v>0</v>
      </c>
      <c r="M538" s="5">
        <v>0.0</v>
      </c>
      <c r="N538" s="5">
        <v>0.0</v>
      </c>
      <c r="O538" s="5">
        <v>0.0</v>
      </c>
      <c r="P538" s="5">
        <v>0.0</v>
      </c>
      <c r="Q538" s="5">
        <v>0.0</v>
      </c>
    </row>
    <row r="539" outlineLevel="1">
      <c r="B539" s="0" t="inlineStr">
        <is>
          <t xml:space="preserve">BLUE TECH INC.</t>
        </is>
      </c>
      <c r="C539" s="0" t="inlineStr">
        <is>
          <t xml:space="preserve">MDC5LDZKQAM4</t>
        </is>
      </c>
      <c r="D539" s="0" t="inlineStr">
        <is>
          <t xml:space="preserve">-</t>
        </is>
      </c>
      <c r="E539" s="0" t="inlineStr">
        <is>
          <t xml:space="preserve">-</t>
        </is>
      </c>
      <c r="F539" s="0" t="inlineStr">
        <is>
          <t xml:space="preserve">-</t>
        </is>
      </c>
      <c r="G539" s="5">
        <v>1.5601504299999998</v>
      </c>
      <c r="H539" s="0" t="inlineStr">
        <is>
          <t xml:space="preserve">supplier</t>
        </is>
      </c>
      <c r="I539" s="0" t="inlineStr">
        <is>
          <t xml:space="preserve">unbucketed</t>
        </is>
      </c>
      <c r="J539" s="0" t="inlineStr">
        <is>
          <t xml:space="preserve">residual</t>
        </is>
      </c>
      <c r="K539" s="5">
        <v>0</v>
      </c>
      <c r="L539" s="5">
        <v>0</v>
      </c>
      <c r="M539" s="5">
        <v>0.0</v>
      </c>
      <c r="N539" s="5">
        <v>0.0</v>
      </c>
      <c r="O539" s="5">
        <v>0.0</v>
      </c>
      <c r="P539" s="5">
        <v>0.0</v>
      </c>
      <c r="Q539" s="5">
        <v>0.0</v>
      </c>
    </row>
    <row r="540" outlineLevel="1">
      <c r="B540" s="0" t="inlineStr">
        <is>
          <t xml:space="preserve">HOUDSTERMAATSCHAPPIJ WILG B.V.</t>
        </is>
      </c>
      <c r="C540" s="0" t="inlineStr">
        <is>
          <t xml:space="preserve">LFVJABJDQVZ9</t>
        </is>
      </c>
      <c r="D540" s="0" t="inlineStr">
        <is>
          <t xml:space="preserve">-</t>
        </is>
      </c>
      <c r="E540" s="0" t="inlineStr">
        <is>
          <t xml:space="preserve">-</t>
        </is>
      </c>
      <c r="F540" s="0" t="inlineStr">
        <is>
          <t xml:space="preserve">-</t>
        </is>
      </c>
      <c r="G540" s="5">
        <v>1.55779025</v>
      </c>
      <c r="H540" s="0" t="inlineStr">
        <is>
          <t xml:space="preserve">supplier</t>
        </is>
      </c>
      <c r="I540" s="0" t="inlineStr">
        <is>
          <t xml:space="preserve">unbucketed</t>
        </is>
      </c>
      <c r="J540" s="0" t="inlineStr">
        <is>
          <t xml:space="preserve">residual</t>
        </is>
      </c>
      <c r="K540" s="5">
        <v>0</v>
      </c>
      <c r="L540" s="5">
        <v>0</v>
      </c>
      <c r="M540" s="5">
        <v>1.55779025</v>
      </c>
      <c r="N540" s="5">
        <v>0.257339</v>
      </c>
      <c r="O540" s="5">
        <v>0.0</v>
      </c>
      <c r="P540" s="5">
        <v>0.0</v>
      </c>
      <c r="Q540" s="5">
        <v>0.0</v>
      </c>
    </row>
    <row r="541" outlineLevel="1">
      <c r="B541" s="0" t="inlineStr">
        <is>
          <t xml:space="preserve">TRI-TEC MANUFACTURING LLC</t>
        </is>
      </c>
      <c r="C541" s="0" t="inlineStr">
        <is>
          <t xml:space="preserve">YMKJUADMJN79</t>
        </is>
      </c>
      <c r="D541" s="0" t="inlineStr">
        <is>
          <t xml:space="preserve">-</t>
        </is>
      </c>
      <c r="E541" s="0" t="inlineStr">
        <is>
          <t xml:space="preserve">-</t>
        </is>
      </c>
      <c r="F541" s="0" t="inlineStr">
        <is>
          <t xml:space="preserve">-</t>
        </is>
      </c>
      <c r="G541" s="5">
        <v>1.555153</v>
      </c>
      <c r="H541" s="0" t="inlineStr">
        <is>
          <t xml:space="preserve">supplier</t>
        </is>
      </c>
      <c r="I541" s="0" t="inlineStr">
        <is>
          <t xml:space="preserve">unbucketed</t>
        </is>
      </c>
      <c r="J541" s="0" t="inlineStr">
        <is>
          <t xml:space="preserve">residual</t>
        </is>
      </c>
      <c r="K541" s="5">
        <v>0</v>
      </c>
      <c r="L541" s="5">
        <v>0</v>
      </c>
      <c r="M541" s="5">
        <v>1.555153</v>
      </c>
      <c r="N541" s="5">
        <v>0.821833</v>
      </c>
      <c r="O541" s="5">
        <v>0.73332</v>
      </c>
      <c r="P541" s="5">
        <v>0.0</v>
      </c>
      <c r="Q541" s="5">
        <v>0.0</v>
      </c>
    </row>
    <row r="542" outlineLevel="1">
      <c r="B542" s="0" t="inlineStr">
        <is>
          <t xml:space="preserve">HYDRAFLOW</t>
        </is>
      </c>
      <c r="C542" s="0" t="inlineStr">
        <is>
          <t xml:space="preserve">PJJPF3BKD7L4</t>
        </is>
      </c>
      <c r="D542" s="0" t="inlineStr">
        <is>
          <t xml:space="preserve">-</t>
        </is>
      </c>
      <c r="E542" s="0" t="inlineStr">
        <is>
          <t xml:space="preserve">-</t>
        </is>
      </c>
      <c r="F542" s="0" t="inlineStr">
        <is>
          <t xml:space="preserve">-</t>
        </is>
      </c>
      <c r="G542" s="5">
        <v>1.55025623</v>
      </c>
      <c r="H542" s="0" t="inlineStr">
        <is>
          <t xml:space="preserve">supplier</t>
        </is>
      </c>
      <c r="I542" s="0" t="inlineStr">
        <is>
          <t xml:space="preserve">unbucketed</t>
        </is>
      </c>
      <c r="J542" s="0" t="inlineStr">
        <is>
          <t xml:space="preserve">residual</t>
        </is>
      </c>
      <c r="K542" s="5">
        <v>0</v>
      </c>
      <c r="L542" s="5">
        <v>0</v>
      </c>
      <c r="M542" s="5">
        <v>0.0</v>
      </c>
      <c r="N542" s="5">
        <v>0.0</v>
      </c>
      <c r="O542" s="5">
        <v>0.0</v>
      </c>
      <c r="P542" s="5">
        <v>0.0</v>
      </c>
      <c r="Q542" s="5">
        <v>0.0</v>
      </c>
    </row>
    <row r="543" outlineLevel="1">
      <c r="B543" s="0" t="inlineStr">
        <is>
          <t xml:space="preserve">COMSACO, LLC</t>
        </is>
      </c>
      <c r="C543" s="0" t="inlineStr">
        <is>
          <t xml:space="preserve">C1B6X8AADFB1</t>
        </is>
      </c>
      <c r="D543" s="0" t="inlineStr">
        <is>
          <t xml:space="preserve">-</t>
        </is>
      </c>
      <c r="E543" s="0" t="inlineStr">
        <is>
          <t xml:space="preserve">-</t>
        </is>
      </c>
      <c r="F543" s="0" t="inlineStr">
        <is>
          <t xml:space="preserve">-</t>
        </is>
      </c>
      <c r="G543" s="5">
        <v>1.5483900000000002</v>
      </c>
      <c r="H543" s="0" t="inlineStr">
        <is>
          <t xml:space="preserve">supplier</t>
        </is>
      </c>
      <c r="I543" s="0" t="inlineStr">
        <is>
          <t xml:space="preserve">unbucketed</t>
        </is>
      </c>
      <c r="J543" s="0" t="inlineStr">
        <is>
          <t xml:space="preserve">residual</t>
        </is>
      </c>
      <c r="K543" s="5">
        <v>0</v>
      </c>
      <c r="L543" s="5">
        <v>0</v>
      </c>
      <c r="M543" s="5">
        <v>1.518339</v>
      </c>
      <c r="N543" s="5">
        <v>0.0</v>
      </c>
      <c r="O543" s="5">
        <v>0.0</v>
      </c>
      <c r="P543" s="5">
        <v>0.0</v>
      </c>
      <c r="Q543" s="5">
        <v>1.518339</v>
      </c>
    </row>
    <row r="544" outlineLevel="1">
      <c r="B544" s="0" t="inlineStr">
        <is>
          <t xml:space="preserve">BEL FUSE INC.</t>
        </is>
      </c>
      <c r="C544" s="0" t="inlineStr">
        <is>
          <t xml:space="preserve">P62KM91K3NJ5</t>
        </is>
      </c>
      <c r="D544" s="0" t="inlineStr">
        <is>
          <t xml:space="preserve">-</t>
        </is>
      </c>
      <c r="E544" s="0" t="inlineStr">
        <is>
          <t xml:space="preserve">-</t>
        </is>
      </c>
      <c r="F544" s="0" t="inlineStr">
        <is>
          <t xml:space="preserve">-</t>
        </is>
      </c>
      <c r="G544" s="5">
        <v>1.5446510699999998</v>
      </c>
      <c r="H544" s="0" t="inlineStr">
        <is>
          <t xml:space="preserve">supplier</t>
        </is>
      </c>
      <c r="I544" s="0" t="inlineStr">
        <is>
          <t xml:space="preserve">unbucketed</t>
        </is>
      </c>
      <c r="J544" s="0" t="inlineStr">
        <is>
          <t xml:space="preserve">residual</t>
        </is>
      </c>
      <c r="K544" s="5">
        <v>0</v>
      </c>
      <c r="L544" s="5">
        <v>0</v>
      </c>
      <c r="M544" s="5">
        <v>0.0</v>
      </c>
      <c r="N544" s="5">
        <v>0.0</v>
      </c>
      <c r="O544" s="5">
        <v>0.0</v>
      </c>
      <c r="P544" s="5">
        <v>0.0</v>
      </c>
      <c r="Q544" s="5">
        <v>0.0</v>
      </c>
    </row>
    <row r="545" outlineLevel="1">
      <c r="B545" s="0" t="inlineStr">
        <is>
          <t xml:space="preserve">RF1 HOLDING COMPANY</t>
        </is>
      </c>
      <c r="C545" s="0" t="inlineStr">
        <is>
          <t xml:space="preserve">H2D7XZEEQLD8</t>
        </is>
      </c>
      <c r="D545" s="0" t="inlineStr">
        <is>
          <t xml:space="preserve">-</t>
        </is>
      </c>
      <c r="E545" s="0" t="inlineStr">
        <is>
          <t xml:space="preserve">-</t>
        </is>
      </c>
      <c r="F545" s="0" t="inlineStr">
        <is>
          <t xml:space="preserve">-</t>
        </is>
      </c>
      <c r="G545" s="5">
        <v>1.53986325</v>
      </c>
      <c r="H545" s="0" t="inlineStr">
        <is>
          <t xml:space="preserve">supplier</t>
        </is>
      </c>
      <c r="I545" s="0" t="inlineStr">
        <is>
          <t xml:space="preserve">unbucketed</t>
        </is>
      </c>
      <c r="J545" s="0" t="inlineStr">
        <is>
          <t xml:space="preserve">residual</t>
        </is>
      </c>
      <c r="K545" s="5">
        <v>0</v>
      </c>
      <c r="L545" s="5">
        <v>0</v>
      </c>
      <c r="M545" s="5">
        <v>0.0</v>
      </c>
      <c r="N545" s="5">
        <v>0.0</v>
      </c>
      <c r="O545" s="5">
        <v>0.0</v>
      </c>
      <c r="P545" s="5">
        <v>0.0</v>
      </c>
      <c r="Q545" s="5">
        <v>0.0</v>
      </c>
    </row>
    <row r="546" outlineLevel="1">
      <c r="B546" s="0" t="inlineStr">
        <is>
          <t xml:space="preserve">HUTCHINSON MANUFACTURING, LLC</t>
        </is>
      </c>
      <c r="C546" s="0" t="inlineStr">
        <is>
          <t xml:space="preserve">SU2FJ9TDBL98</t>
        </is>
      </c>
      <c r="D546" s="0" t="inlineStr">
        <is>
          <t xml:space="preserve">-</t>
        </is>
      </c>
      <c r="E546" s="0" t="inlineStr">
        <is>
          <t xml:space="preserve">-</t>
        </is>
      </c>
      <c r="F546" s="0" t="inlineStr">
        <is>
          <t xml:space="preserve">-</t>
        </is>
      </c>
      <c r="G546" s="5">
        <v>1.5387418800000001</v>
      </c>
      <c r="H546" s="0" t="inlineStr">
        <is>
          <t xml:space="preserve">supplier</t>
        </is>
      </c>
      <c r="I546" s="0" t="inlineStr">
        <is>
          <t xml:space="preserve">unbucketed</t>
        </is>
      </c>
      <c r="J546" s="0" t="inlineStr">
        <is>
          <t xml:space="preserve">residual</t>
        </is>
      </c>
      <c r="K546" s="5">
        <v>0</v>
      </c>
      <c r="L546" s="5">
        <v>0</v>
      </c>
      <c r="M546" s="5">
        <v>0.0</v>
      </c>
      <c r="N546" s="5">
        <v>0.0</v>
      </c>
      <c r="O546" s="5">
        <v>0.0</v>
      </c>
      <c r="P546" s="5">
        <v>0.0</v>
      </c>
      <c r="Q546" s="5">
        <v>0.0</v>
      </c>
    </row>
    <row r="547" outlineLevel="1">
      <c r="B547" s="0" t="inlineStr">
        <is>
          <t xml:space="preserve">WULCO, INC.</t>
        </is>
      </c>
      <c r="C547" s="0" t="inlineStr">
        <is>
          <t xml:space="preserve">XEZ6K1KLTZ99</t>
        </is>
      </c>
      <c r="D547" s="0" t="inlineStr">
        <is>
          <t xml:space="preserve">-</t>
        </is>
      </c>
      <c r="E547" s="0" t="inlineStr">
        <is>
          <t xml:space="preserve">-</t>
        </is>
      </c>
      <c r="F547" s="0" t="inlineStr">
        <is>
          <t xml:space="preserve">-</t>
        </is>
      </c>
      <c r="G547" s="5">
        <v>1.5385469</v>
      </c>
      <c r="H547" s="0" t="inlineStr">
        <is>
          <t xml:space="preserve">supplier</t>
        </is>
      </c>
      <c r="I547" s="0" t="inlineStr">
        <is>
          <t xml:space="preserve">unbucketed</t>
        </is>
      </c>
      <c r="J547" s="0" t="inlineStr">
        <is>
          <t xml:space="preserve">residual</t>
        </is>
      </c>
      <c r="K547" s="5">
        <v>0</v>
      </c>
      <c r="L547" s="5">
        <v>0</v>
      </c>
      <c r="M547" s="5">
        <v>0.0</v>
      </c>
      <c r="N547" s="5">
        <v>0.0</v>
      </c>
      <c r="O547" s="5">
        <v>0.0</v>
      </c>
      <c r="P547" s="5">
        <v>0.0</v>
      </c>
      <c r="Q547" s="5">
        <v>0.0</v>
      </c>
    </row>
    <row r="548" outlineLevel="1">
      <c r="B548" s="0" t="inlineStr">
        <is>
          <t xml:space="preserve">AERO ELECTRONICS SYSTEMS, INC.</t>
        </is>
      </c>
      <c r="C548" s="0" t="inlineStr">
        <is>
          <t xml:space="preserve">Z8E2P5LK5Z13</t>
        </is>
      </c>
      <c r="D548" s="0" t="inlineStr">
        <is>
          <t xml:space="preserve">-</t>
        </is>
      </c>
      <c r="E548" s="0" t="inlineStr">
        <is>
          <t xml:space="preserve">-</t>
        </is>
      </c>
      <c r="F548" s="0" t="inlineStr">
        <is>
          <t xml:space="preserve">-</t>
        </is>
      </c>
      <c r="G548" s="5">
        <v>1.5320049999999998</v>
      </c>
      <c r="H548" s="0" t="inlineStr">
        <is>
          <t xml:space="preserve">supplier</t>
        </is>
      </c>
      <c r="I548" s="0" t="inlineStr">
        <is>
          <t xml:space="preserve">unbucketed</t>
        </is>
      </c>
      <c r="J548" s="0" t="inlineStr">
        <is>
          <t xml:space="preserve">residual</t>
        </is>
      </c>
      <c r="K548" s="5">
        <v>0</v>
      </c>
      <c r="L548" s="5">
        <v>0</v>
      </c>
      <c r="M548" s="5">
        <v>0.0</v>
      </c>
      <c r="N548" s="5">
        <v>0.0</v>
      </c>
      <c r="O548" s="5">
        <v>0.0</v>
      </c>
      <c r="P548" s="5">
        <v>0.0</v>
      </c>
      <c r="Q548" s="5">
        <v>0.0</v>
      </c>
    </row>
    <row r="549" outlineLevel="1">
      <c r="B549" s="0" t="inlineStr">
        <is>
          <t xml:space="preserve">ATRENNE COMPUTING SOLUTIONS, LLC</t>
        </is>
      </c>
      <c r="C549" s="0" t="inlineStr">
        <is>
          <t xml:space="preserve">E6KQEMMCJ9B6</t>
        </is>
      </c>
      <c r="D549" s="0" t="inlineStr">
        <is>
          <t xml:space="preserve">-</t>
        </is>
      </c>
      <c r="E549" s="0" t="inlineStr">
        <is>
          <t xml:space="preserve">-</t>
        </is>
      </c>
      <c r="F549" s="0" t="inlineStr">
        <is>
          <t xml:space="preserve">-</t>
        </is>
      </c>
      <c r="G549" s="5">
        <v>1.5304889999999998</v>
      </c>
      <c r="H549" s="0" t="inlineStr">
        <is>
          <t xml:space="preserve">supplier</t>
        </is>
      </c>
      <c r="I549" s="0" t="inlineStr">
        <is>
          <t xml:space="preserve">unbucketed</t>
        </is>
      </c>
      <c r="J549" s="0" t="inlineStr">
        <is>
          <t xml:space="preserve">residual</t>
        </is>
      </c>
      <c r="K549" s="5">
        <v>0</v>
      </c>
      <c r="L549" s="5">
        <v>0</v>
      </c>
      <c r="M549" s="5">
        <v>0.0</v>
      </c>
      <c r="N549" s="5">
        <v>0.0</v>
      </c>
      <c r="O549" s="5">
        <v>0.0</v>
      </c>
      <c r="P549" s="5">
        <v>0.0</v>
      </c>
      <c r="Q549" s="5">
        <v>0.0</v>
      </c>
    </row>
    <row r="550" outlineLevel="1">
      <c r="B550" s="0" t="inlineStr">
        <is>
          <t xml:space="preserve">ALL FLEX SOLUTIONS, INC.</t>
        </is>
      </c>
      <c r="C550" s="0" t="inlineStr">
        <is>
          <t xml:space="preserve">E3VLQ35ALNP3</t>
        </is>
      </c>
      <c r="D550" s="0" t="inlineStr">
        <is>
          <t xml:space="preserve">-</t>
        </is>
      </c>
      <c r="E550" s="0" t="inlineStr">
        <is>
          <t xml:space="preserve">-</t>
        </is>
      </c>
      <c r="F550" s="0" t="inlineStr">
        <is>
          <t xml:space="preserve">-</t>
        </is>
      </c>
      <c r="G550" s="5">
        <v>1.513635</v>
      </c>
      <c r="H550" s="0" t="inlineStr">
        <is>
          <t xml:space="preserve">supplier</t>
        </is>
      </c>
      <c r="I550" s="0" t="inlineStr">
        <is>
          <t xml:space="preserve">unbucketed</t>
        </is>
      </c>
      <c r="J550" s="0" t="inlineStr">
        <is>
          <t xml:space="preserve">residual</t>
        </is>
      </c>
      <c r="K550" s="5">
        <v>0</v>
      </c>
      <c r="L550" s="5">
        <v>0</v>
      </c>
      <c r="M550" s="5">
        <v>0.0</v>
      </c>
      <c r="N550" s="5">
        <v>0.0</v>
      </c>
      <c r="O550" s="5">
        <v>0.0</v>
      </c>
      <c r="P550" s="5">
        <v>0.0</v>
      </c>
      <c r="Q550" s="5">
        <v>0.0</v>
      </c>
    </row>
    <row r="551" outlineLevel="1">
      <c r="B551" s="0" t="inlineStr">
        <is>
          <t xml:space="preserve">AMERICAN SCAFFOLD</t>
        </is>
      </c>
      <c r="C551" s="0" t="inlineStr">
        <is>
          <t xml:space="preserve">K1YLLHBBMPT1</t>
        </is>
      </c>
      <c r="D551" s="0" t="inlineStr">
        <is>
          <t xml:space="preserve">-</t>
        </is>
      </c>
      <c r="E551" s="0" t="inlineStr">
        <is>
          <t xml:space="preserve">-</t>
        </is>
      </c>
      <c r="F551" s="0" t="inlineStr">
        <is>
          <t xml:space="preserve">-</t>
        </is>
      </c>
      <c r="G551" s="5">
        <v>1.48572</v>
      </c>
      <c r="H551" s="0" t="inlineStr">
        <is>
          <t xml:space="preserve">supplier</t>
        </is>
      </c>
      <c r="I551" s="0" t="inlineStr">
        <is>
          <t xml:space="preserve">unbucketed</t>
        </is>
      </c>
      <c r="J551" s="0" t="inlineStr">
        <is>
          <t xml:space="preserve">residual</t>
        </is>
      </c>
      <c r="K551" s="5">
        <v>0</v>
      </c>
      <c r="L551" s="5">
        <v>0</v>
      </c>
      <c r="M551" s="5">
        <v>0.0</v>
      </c>
      <c r="N551" s="5">
        <v>0.0</v>
      </c>
      <c r="O551" s="5">
        <v>0.0</v>
      </c>
      <c r="P551" s="5">
        <v>0.0</v>
      </c>
      <c r="Q551" s="5">
        <v>0.0</v>
      </c>
    </row>
    <row r="552" outlineLevel="1">
      <c r="B552" s="0" t="inlineStr">
        <is>
          <t xml:space="preserve">LEIDOS INNOVATIONS CORPORATION</t>
        </is>
      </c>
      <c r="C552" s="0" t="inlineStr">
        <is>
          <t xml:space="preserve">LT8MNGK1EL34</t>
        </is>
      </c>
      <c r="D552" s="0" t="inlineStr">
        <is>
          <t xml:space="preserve">-</t>
        </is>
      </c>
      <c r="E552" s="0" t="inlineStr">
        <is>
          <t xml:space="preserve">-</t>
        </is>
      </c>
      <c r="F552" s="0" t="inlineStr">
        <is>
          <t xml:space="preserve">-</t>
        </is>
      </c>
      <c r="G552" s="5">
        <v>1.47233504</v>
      </c>
      <c r="H552" s="0" t="inlineStr">
        <is>
          <t xml:space="preserve">supplier</t>
        </is>
      </c>
      <c r="I552" s="0" t="inlineStr">
        <is>
          <t xml:space="preserve">unbucketed</t>
        </is>
      </c>
      <c r="J552" s="0" t="inlineStr">
        <is>
          <t xml:space="preserve">residual</t>
        </is>
      </c>
      <c r="K552" s="5">
        <v>0</v>
      </c>
      <c r="L552" s="5">
        <v>0</v>
      </c>
      <c r="M552" s="5">
        <v>0.0</v>
      </c>
      <c r="N552" s="5">
        <v>0.0</v>
      </c>
      <c r="O552" s="5">
        <v>0.0</v>
      </c>
      <c r="P552" s="5">
        <v>0.0</v>
      </c>
      <c r="Q552" s="5">
        <v>0.0</v>
      </c>
    </row>
    <row r="553" outlineLevel="1">
      <c r="B553" s="0" t="inlineStr">
        <is>
          <t xml:space="preserve">HEH HOLDINGS LLC</t>
        </is>
      </c>
      <c r="C553" s="0" t="inlineStr">
        <is>
          <t xml:space="preserve">RJGEKQDTZKT8</t>
        </is>
      </c>
      <c r="D553" s="0" t="inlineStr">
        <is>
          <t xml:space="preserve">-</t>
        </is>
      </c>
      <c r="E553" s="0" t="inlineStr">
        <is>
          <t xml:space="preserve">-</t>
        </is>
      </c>
      <c r="F553" s="0" t="inlineStr">
        <is>
          <t xml:space="preserve">-</t>
        </is>
      </c>
      <c r="G553" s="5">
        <v>1.4701508100000003</v>
      </c>
      <c r="H553" s="0" t="inlineStr">
        <is>
          <t xml:space="preserve">supplier</t>
        </is>
      </c>
      <c r="I553" s="0" t="inlineStr">
        <is>
          <t xml:space="preserve">unbucketed</t>
        </is>
      </c>
      <c r="J553" s="0" t="inlineStr">
        <is>
          <t xml:space="preserve">residual</t>
        </is>
      </c>
      <c r="K553" s="5">
        <v>0</v>
      </c>
      <c r="L553" s="5">
        <v>0</v>
      </c>
      <c r="M553" s="5">
        <v>1.4701508100000003</v>
      </c>
      <c r="N553" s="5">
        <v>0.0</v>
      </c>
      <c r="O553" s="5">
        <v>0.0</v>
      </c>
      <c r="P553" s="5">
        <v>0.0</v>
      </c>
      <c r="Q553" s="5">
        <v>0.0</v>
      </c>
    </row>
    <row r="554" outlineLevel="1">
      <c r="B554" s="0" t="inlineStr">
        <is>
          <t xml:space="preserve">LANZEN, INCORPORATED</t>
        </is>
      </c>
      <c r="C554" s="0" t="inlineStr">
        <is>
          <t xml:space="preserve">D7FGJHTABSH8</t>
        </is>
      </c>
      <c r="D554" s="0" t="inlineStr">
        <is>
          <t xml:space="preserve">-</t>
        </is>
      </c>
      <c r="E554" s="0" t="inlineStr">
        <is>
          <t xml:space="preserve">-</t>
        </is>
      </c>
      <c r="F554" s="0" t="inlineStr">
        <is>
          <t xml:space="preserve">-</t>
        </is>
      </c>
      <c r="G554" s="5">
        <v>1.4675054</v>
      </c>
      <c r="H554" s="0" t="inlineStr">
        <is>
          <t xml:space="preserve">supplier</t>
        </is>
      </c>
      <c r="I554" s="0" t="inlineStr">
        <is>
          <t xml:space="preserve">unbucketed</t>
        </is>
      </c>
      <c r="J554" s="0" t="inlineStr">
        <is>
          <t xml:space="preserve">residual</t>
        </is>
      </c>
      <c r="K554" s="5">
        <v>0</v>
      </c>
      <c r="L554" s="5">
        <v>0</v>
      </c>
      <c r="M554" s="5">
        <v>0.0</v>
      </c>
      <c r="N554" s="5">
        <v>0.0</v>
      </c>
      <c r="O554" s="5">
        <v>0.0</v>
      </c>
      <c r="P554" s="5">
        <v>0.0</v>
      </c>
      <c r="Q554" s="5">
        <v>0.0</v>
      </c>
    </row>
    <row r="555" outlineLevel="1">
      <c r="B555" s="0" t="inlineStr">
        <is>
          <t xml:space="preserve">CIS SECURE COMPUTING, INC.</t>
        </is>
      </c>
      <c r="C555" s="0" t="inlineStr">
        <is>
          <t xml:space="preserve">C196SJZ6X6M8</t>
        </is>
      </c>
      <c r="D555" s="0" t="inlineStr">
        <is>
          <t xml:space="preserve">-</t>
        </is>
      </c>
      <c r="E555" s="0" t="inlineStr">
        <is>
          <t xml:space="preserve">-</t>
        </is>
      </c>
      <c r="F555" s="0" t="inlineStr">
        <is>
          <t xml:space="preserve">-</t>
        </is>
      </c>
      <c r="G555" s="5">
        <v>1.46632492</v>
      </c>
      <c r="H555" s="0" t="inlineStr">
        <is>
          <t xml:space="preserve">supplier</t>
        </is>
      </c>
      <c r="I555" s="0" t="inlineStr">
        <is>
          <t xml:space="preserve">unbucketed</t>
        </is>
      </c>
      <c r="J555" s="0" t="inlineStr">
        <is>
          <t xml:space="preserve">residual</t>
        </is>
      </c>
      <c r="K555" s="5">
        <v>0</v>
      </c>
      <c r="L555" s="5">
        <v>0</v>
      </c>
      <c r="M555" s="5">
        <v>0.0</v>
      </c>
      <c r="N555" s="5">
        <v>0.0</v>
      </c>
      <c r="O555" s="5">
        <v>0.0</v>
      </c>
      <c r="P555" s="5">
        <v>0.0</v>
      </c>
      <c r="Q555" s="5">
        <v>0.0</v>
      </c>
    </row>
    <row r="556" outlineLevel="1">
      <c r="B556" s="0" t="inlineStr">
        <is>
          <t xml:space="preserve">GLOBAL, INCORPORATED</t>
        </is>
      </c>
      <c r="C556" s="0" t="inlineStr">
        <is>
          <t xml:space="preserve">K3URF4HUNQS5</t>
        </is>
      </c>
      <c r="D556" s="0" t="inlineStr">
        <is>
          <t xml:space="preserve">-</t>
        </is>
      </c>
      <c r="E556" s="0" t="inlineStr">
        <is>
          <t xml:space="preserve">-</t>
        </is>
      </c>
      <c r="F556" s="0" t="inlineStr">
        <is>
          <t xml:space="preserve">-</t>
        </is>
      </c>
      <c r="G556" s="5">
        <v>1.46401971</v>
      </c>
      <c r="H556" s="0" t="inlineStr">
        <is>
          <t xml:space="preserve">supplier</t>
        </is>
      </c>
      <c r="I556" s="0" t="inlineStr">
        <is>
          <t xml:space="preserve">unbucketed</t>
        </is>
      </c>
      <c r="J556" s="0" t="inlineStr">
        <is>
          <t xml:space="preserve">residual</t>
        </is>
      </c>
      <c r="K556" s="5">
        <v>0</v>
      </c>
      <c r="L556" s="5">
        <v>0</v>
      </c>
      <c r="M556" s="5">
        <v>1.42028471</v>
      </c>
      <c r="N556" s="5">
        <v>0.0</v>
      </c>
      <c r="O556" s="5">
        <v>0.0</v>
      </c>
      <c r="P556" s="5">
        <v>0.0</v>
      </c>
      <c r="Q556" s="5">
        <v>0.0</v>
      </c>
    </row>
    <row r="557" outlineLevel="1">
      <c r="B557" s="0" t="inlineStr">
        <is>
          <t xml:space="preserve">TIMKEN COMPANY, THE</t>
        </is>
      </c>
      <c r="C557" s="0" t="inlineStr">
        <is>
          <t xml:space="preserve">FZPYZ11SFNA6</t>
        </is>
      </c>
      <c r="D557" s="0" t="inlineStr">
        <is>
          <t xml:space="preserve">USA</t>
        </is>
      </c>
      <c r="E557" s="0" t="inlineStr">
        <is>
          <t xml:space="preserve">3336</t>
        </is>
      </c>
      <c r="F557" s="0" t="inlineStr">
        <is>
          <t xml:space="preserve">Speed Changer, Industrial High-Speed Drive, and Gear Manufacturing</t>
        </is>
      </c>
      <c r="G557" s="5">
        <v>1.463125</v>
      </c>
      <c r="H557" s="0" t="inlineStr">
        <is>
          <t xml:space="preserve">supplier</t>
        </is>
      </c>
      <c r="I557" s="0" t="inlineStr">
        <is>
          <t xml:space="preserve">machining</t>
        </is>
      </c>
      <c r="J557" s="0" t="inlineStr">
        <is>
          <t xml:space="preserve">registry</t>
        </is>
      </c>
      <c r="K557" s="5">
        <v>0</v>
      </c>
      <c r="L557" s="5">
        <v>0</v>
      </c>
      <c r="M557" s="5">
        <v>0.099828</v>
      </c>
      <c r="N557" s="5">
        <v>0.0</v>
      </c>
      <c r="O557" s="5">
        <v>0.0</v>
      </c>
      <c r="P557" s="5">
        <v>0.0</v>
      </c>
      <c r="Q557" s="5">
        <v>0.0</v>
      </c>
    </row>
    <row r="558" outlineLevel="1">
      <c r="B558" s="0" t="inlineStr">
        <is>
          <t xml:space="preserve">MEGGITT SAFETY SYSTEMS INC</t>
        </is>
      </c>
      <c r="C558" s="0" t="inlineStr">
        <is>
          <t xml:space="preserve">QYKAR7MJJXL7</t>
        </is>
      </c>
      <c r="D558" s="0" t="inlineStr">
        <is>
          <t xml:space="preserve">-</t>
        </is>
      </c>
      <c r="E558" s="0" t="inlineStr">
        <is>
          <t xml:space="preserve">-</t>
        </is>
      </c>
      <c r="F558" s="0" t="inlineStr">
        <is>
          <t xml:space="preserve">-</t>
        </is>
      </c>
      <c r="G558" s="5">
        <v>1.45628405</v>
      </c>
      <c r="H558" s="0" t="inlineStr">
        <is>
          <t xml:space="preserve">supplier</t>
        </is>
      </c>
      <c r="I558" s="0" t="inlineStr">
        <is>
          <t xml:space="preserve">unbucketed</t>
        </is>
      </c>
      <c r="J558" s="0" t="inlineStr">
        <is>
          <t xml:space="preserve">residual</t>
        </is>
      </c>
      <c r="K558" s="5">
        <v>0</v>
      </c>
      <c r="L558" s="5">
        <v>0</v>
      </c>
      <c r="M558" s="5">
        <v>1.45628405</v>
      </c>
      <c r="N558" s="5">
        <v>0.0</v>
      </c>
      <c r="O558" s="5">
        <v>0.0</v>
      </c>
      <c r="P558" s="5">
        <v>1.25498127</v>
      </c>
      <c r="Q558" s="5">
        <v>0.20130278</v>
      </c>
    </row>
    <row r="559" outlineLevel="1">
      <c r="B559" s="0" t="inlineStr">
        <is>
          <t xml:space="preserve">HOWMET AEROSPACE INC</t>
        </is>
      </c>
      <c r="C559" s="0" t="inlineStr">
        <is>
          <t xml:space="preserve">WQ6KK3G6K2M1</t>
        </is>
      </c>
      <c r="D559" s="0" t="inlineStr">
        <is>
          <t xml:space="preserve">-</t>
        </is>
      </c>
      <c r="E559" s="0" t="inlineStr">
        <is>
          <t xml:space="preserve">-</t>
        </is>
      </c>
      <c r="F559" s="0" t="inlineStr">
        <is>
          <t xml:space="preserve">-</t>
        </is>
      </c>
      <c r="G559" s="5">
        <v>1.449436</v>
      </c>
      <c r="H559" s="0" t="inlineStr">
        <is>
          <t xml:space="preserve">supplier</t>
        </is>
      </c>
      <c r="I559" s="0" t="inlineStr">
        <is>
          <t xml:space="preserve">machining</t>
        </is>
      </c>
      <c r="J559" s="0" t="inlineStr">
        <is>
          <t xml:space="preserve">registry</t>
        </is>
      </c>
      <c r="K559" s="5">
        <v>0</v>
      </c>
      <c r="L559" s="5">
        <v>0</v>
      </c>
      <c r="M559" s="5">
        <v>0.0</v>
      </c>
      <c r="N559" s="5">
        <v>0.0</v>
      </c>
      <c r="O559" s="5">
        <v>0.0</v>
      </c>
      <c r="P559" s="5">
        <v>0.0</v>
      </c>
      <c r="Q559" s="5">
        <v>0.0</v>
      </c>
    </row>
    <row r="560" outlineLevel="1">
      <c r="B560" s="0" t="inlineStr">
        <is>
          <t xml:space="preserve">JC MACHINE, INC</t>
        </is>
      </c>
      <c r="C560" s="0" t="inlineStr">
        <is>
          <t xml:space="preserve">LBP6VZX2ZBV4</t>
        </is>
      </c>
      <c r="D560" s="0" t="inlineStr">
        <is>
          <t xml:space="preserve">-</t>
        </is>
      </c>
      <c r="E560" s="0" t="inlineStr">
        <is>
          <t xml:space="preserve">-</t>
        </is>
      </c>
      <c r="F560" s="0" t="inlineStr">
        <is>
          <t xml:space="preserve">-</t>
        </is>
      </c>
      <c r="G560" s="5">
        <v>1.44698939</v>
      </c>
      <c r="H560" s="0" t="inlineStr">
        <is>
          <t xml:space="preserve">supplier</t>
        </is>
      </c>
      <c r="I560" s="0" t="inlineStr">
        <is>
          <t xml:space="preserve">unbucketed</t>
        </is>
      </c>
      <c r="J560" s="0" t="inlineStr">
        <is>
          <t xml:space="preserve">residual</t>
        </is>
      </c>
      <c r="K560" s="5">
        <v>0</v>
      </c>
      <c r="L560" s="5">
        <v>0</v>
      </c>
      <c r="M560" s="5">
        <v>0.0</v>
      </c>
      <c r="N560" s="5">
        <v>0.0</v>
      </c>
      <c r="O560" s="5">
        <v>0.0</v>
      </c>
      <c r="P560" s="5">
        <v>0.0</v>
      </c>
      <c r="Q560" s="5">
        <v>0.0</v>
      </c>
    </row>
    <row r="561" outlineLevel="1">
      <c r="B561" s="0" t="inlineStr">
        <is>
          <t xml:space="preserve">ABB LTD</t>
        </is>
      </c>
      <c r="C561" s="0" t="inlineStr">
        <is>
          <t xml:space="preserve">YG4QPMKNQUJ4</t>
        </is>
      </c>
      <c r="D561" s="0" t="inlineStr">
        <is>
          <t xml:space="preserve">-</t>
        </is>
      </c>
      <c r="E561" s="0" t="inlineStr">
        <is>
          <t xml:space="preserve">-</t>
        </is>
      </c>
      <c r="F561" s="0" t="inlineStr">
        <is>
          <t xml:space="preserve">-</t>
        </is>
      </c>
      <c r="G561" s="5">
        <v>1.4409649999999998</v>
      </c>
      <c r="H561" s="0" t="inlineStr">
        <is>
          <t xml:space="preserve">supplier</t>
        </is>
      </c>
      <c r="I561" s="0" t="inlineStr">
        <is>
          <t xml:space="preserve">unbucketed</t>
        </is>
      </c>
      <c r="J561" s="0" t="inlineStr">
        <is>
          <t xml:space="preserve">residual</t>
        </is>
      </c>
      <c r="K561" s="5">
        <v>0</v>
      </c>
      <c r="L561" s="5">
        <v>0</v>
      </c>
      <c r="M561" s="5">
        <v>0.0</v>
      </c>
      <c r="N561" s="5">
        <v>0.0</v>
      </c>
      <c r="O561" s="5">
        <v>0.0</v>
      </c>
      <c r="P561" s="5">
        <v>0.0</v>
      </c>
      <c r="Q561" s="5">
        <v>0.0</v>
      </c>
    </row>
    <row r="562" outlineLevel="1">
      <c r="B562" s="0" t="inlineStr">
        <is>
          <t xml:space="preserve">LISTER CHAIN &amp; FORGE INC</t>
        </is>
      </c>
      <c r="C562" s="0" t="inlineStr">
        <is>
          <t xml:space="preserve">FLQJXSFMNQP6</t>
        </is>
      </c>
      <c r="D562" s="0" t="inlineStr">
        <is>
          <t xml:space="preserve">-</t>
        </is>
      </c>
      <c r="E562" s="0" t="inlineStr">
        <is>
          <t xml:space="preserve">-</t>
        </is>
      </c>
      <c r="F562" s="0" t="inlineStr">
        <is>
          <t xml:space="preserve">-</t>
        </is>
      </c>
      <c r="G562" s="5">
        <v>1.44069081</v>
      </c>
      <c r="H562" s="0" t="inlineStr">
        <is>
          <t xml:space="preserve">supplier</t>
        </is>
      </c>
      <c r="I562" s="0" t="inlineStr">
        <is>
          <t xml:space="preserve">unbucketed</t>
        </is>
      </c>
      <c r="J562" s="0" t="inlineStr">
        <is>
          <t xml:space="preserve">residual</t>
        </is>
      </c>
      <c r="K562" s="5">
        <v>0</v>
      </c>
      <c r="L562" s="5">
        <v>0</v>
      </c>
      <c r="M562" s="5">
        <v>1.44069081</v>
      </c>
      <c r="N562" s="5">
        <v>0.0</v>
      </c>
      <c r="O562" s="5">
        <v>0.0</v>
      </c>
      <c r="P562" s="5">
        <v>0.0</v>
      </c>
      <c r="Q562" s="5">
        <v>1.44069081</v>
      </c>
    </row>
    <row r="563" outlineLevel="1">
      <c r="B563" s="0" t="inlineStr">
        <is>
          <t xml:space="preserve">TRANSCON TECHNOLOGIES INC. DBA ECI OR ELECTRONIC COILS</t>
        </is>
      </c>
      <c r="C563" s="0" t="inlineStr">
        <is>
          <t xml:space="preserve">FW1UZ1LGHAX6</t>
        </is>
      </c>
      <c r="D563" s="0" t="inlineStr">
        <is>
          <t xml:space="preserve">-</t>
        </is>
      </c>
      <c r="E563" s="0" t="inlineStr">
        <is>
          <t xml:space="preserve">-</t>
        </is>
      </c>
      <c r="F563" s="0" t="inlineStr">
        <is>
          <t xml:space="preserve">-</t>
        </is>
      </c>
      <c r="G563" s="5">
        <v>1.428746</v>
      </c>
      <c r="H563" s="0" t="inlineStr">
        <is>
          <t xml:space="preserve">supplier</t>
        </is>
      </c>
      <c r="I563" s="0" t="inlineStr">
        <is>
          <t xml:space="preserve">unbucketed</t>
        </is>
      </c>
      <c r="J563" s="0" t="inlineStr">
        <is>
          <t xml:space="preserve">residual</t>
        </is>
      </c>
      <c r="K563" s="5">
        <v>0</v>
      </c>
      <c r="L563" s="5">
        <v>0</v>
      </c>
      <c r="M563" s="5">
        <v>0.0</v>
      </c>
      <c r="N563" s="5">
        <v>0.0</v>
      </c>
      <c r="O563" s="5">
        <v>0.0</v>
      </c>
      <c r="P563" s="5">
        <v>0.0</v>
      </c>
      <c r="Q563" s="5">
        <v>0.0</v>
      </c>
    </row>
    <row r="564" outlineLevel="1">
      <c r="B564" s="0" t="inlineStr">
        <is>
          <t xml:space="preserve">APPLIED COMPOSITE STRUCTURES, INC.</t>
        </is>
      </c>
      <c r="C564" s="0" t="inlineStr">
        <is>
          <t xml:space="preserve">M1LQD44NEJ56</t>
        </is>
      </c>
      <c r="D564" s="0" t="inlineStr">
        <is>
          <t xml:space="preserve">-</t>
        </is>
      </c>
      <c r="E564" s="0" t="inlineStr">
        <is>
          <t xml:space="preserve">-</t>
        </is>
      </c>
      <c r="F564" s="0" t="inlineStr">
        <is>
          <t xml:space="preserve">-</t>
        </is>
      </c>
      <c r="G564" s="5">
        <v>1.42552192</v>
      </c>
      <c r="H564" s="0" t="inlineStr">
        <is>
          <t xml:space="preserve">supplier</t>
        </is>
      </c>
      <c r="I564" s="0" t="inlineStr">
        <is>
          <t xml:space="preserve">coatings</t>
        </is>
      </c>
      <c r="J564" s="0" t="inlineStr">
        <is>
          <t xml:space="preserve">registry</t>
        </is>
      </c>
      <c r="K564" s="5">
        <v>0</v>
      </c>
      <c r="L564" s="5">
        <v>0</v>
      </c>
      <c r="M564" s="5">
        <v>0.0</v>
      </c>
      <c r="N564" s="5">
        <v>0.0</v>
      </c>
      <c r="O564" s="5">
        <v>0.0</v>
      </c>
      <c r="P564" s="5">
        <v>0.0</v>
      </c>
      <c r="Q564" s="5">
        <v>0.0</v>
      </c>
    </row>
    <row r="565" outlineLevel="1">
      <c r="B565" s="0" t="inlineStr">
        <is>
          <t xml:space="preserve">ARROW ELECTRONICS, INC.</t>
        </is>
      </c>
      <c r="C565" s="0" t="inlineStr">
        <is>
          <t xml:space="preserve">W9DNU9K3MJE5</t>
        </is>
      </c>
      <c r="D565" s="0" t="inlineStr">
        <is>
          <t xml:space="preserve">USA</t>
        </is>
      </c>
      <c r="E565" s="0" t="inlineStr">
        <is>
          <t xml:space="preserve">4236</t>
        </is>
      </c>
      <c r="F565" s="0" t="inlineStr">
        <is>
          <t xml:space="preserve">Other Electronic Parts and Equipment Merchant Wholesalers</t>
        </is>
      </c>
      <c r="G565" s="5">
        <v>1.4238745</v>
      </c>
      <c r="H565" s="0" t="inlineStr">
        <is>
          <t xml:space="preserve">service</t>
        </is>
      </c>
      <c r="I565" s="0" t="inlineStr">
        <is>
          <t xml:space="preserve">-</t>
        </is>
      </c>
      <c r="J565" s="0" t="inlineStr">
        <is>
          <t xml:space="preserve">service NAICS</t>
        </is>
      </c>
      <c r="K565" s="5">
        <v>0</v>
      </c>
      <c r="L565" s="5">
        <v>0</v>
      </c>
      <c r="M565" s="5">
        <v>0.0</v>
      </c>
      <c r="N565" s="5">
        <v>0.0</v>
      </c>
      <c r="O565" s="5">
        <v>0.0</v>
      </c>
      <c r="P565" s="5">
        <v>0.0</v>
      </c>
      <c r="Q565" s="5">
        <v>0.0</v>
      </c>
    </row>
    <row r="566" outlineLevel="1">
      <c r="B566" s="0" t="inlineStr">
        <is>
          <t xml:space="preserve">GEMINI COMPONENTS, LLC</t>
        </is>
      </c>
      <c r="C566" s="0" t="inlineStr">
        <is>
          <t xml:space="preserve">UFLRAY4MM7U1</t>
        </is>
      </c>
      <c r="D566" s="0" t="inlineStr">
        <is>
          <t xml:space="preserve">-</t>
        </is>
      </c>
      <c r="E566" s="0" t="inlineStr">
        <is>
          <t xml:space="preserve">-</t>
        </is>
      </c>
      <c r="F566" s="0" t="inlineStr">
        <is>
          <t xml:space="preserve">-</t>
        </is>
      </c>
      <c r="G566" s="5">
        <v>1.4231803099999998</v>
      </c>
      <c r="H566" s="0" t="inlineStr">
        <is>
          <t xml:space="preserve">supplier</t>
        </is>
      </c>
      <c r="I566" s="0" t="inlineStr">
        <is>
          <t xml:space="preserve">unbucketed</t>
        </is>
      </c>
      <c r="J566" s="0" t="inlineStr">
        <is>
          <t xml:space="preserve">residual</t>
        </is>
      </c>
      <c r="K566" s="5">
        <v>0</v>
      </c>
      <c r="L566" s="5">
        <v>0</v>
      </c>
      <c r="M566" s="5">
        <v>0.0</v>
      </c>
      <c r="N566" s="5">
        <v>0.0</v>
      </c>
      <c r="O566" s="5">
        <v>0.0</v>
      </c>
      <c r="P566" s="5">
        <v>0.0</v>
      </c>
      <c r="Q566" s="5">
        <v>0.0</v>
      </c>
    </row>
    <row r="567" outlineLevel="1">
      <c r="B567" s="0" t="inlineStr">
        <is>
          <t xml:space="preserve">PARKER-HANNIFIN CORPORATION</t>
        </is>
      </c>
      <c r="C567" s="0" t="inlineStr">
        <is>
          <t xml:space="preserve">VXL2Z4ELBJL1</t>
        </is>
      </c>
      <c r="D567" s="0" t="inlineStr">
        <is>
          <t xml:space="preserve">-</t>
        </is>
      </c>
      <c r="E567" s="0" t="inlineStr">
        <is>
          <t xml:space="preserve">-</t>
        </is>
      </c>
      <c r="F567" s="0" t="inlineStr">
        <is>
          <t xml:space="preserve">-</t>
        </is>
      </c>
      <c r="G567" s="5">
        <v>1.4228668</v>
      </c>
      <c r="H567" s="0" t="inlineStr">
        <is>
          <t xml:space="preserve">supplier</t>
        </is>
      </c>
      <c r="I567" s="0" t="inlineStr">
        <is>
          <t xml:space="preserve">unbucketed</t>
        </is>
      </c>
      <c r="J567" s="0" t="inlineStr">
        <is>
          <t xml:space="preserve">residual</t>
        </is>
      </c>
      <c r="K567" s="5">
        <v>0</v>
      </c>
      <c r="L567" s="5">
        <v>0</v>
      </c>
      <c r="M567" s="5">
        <v>0.0</v>
      </c>
      <c r="N567" s="5">
        <v>0.0</v>
      </c>
      <c r="O567" s="5">
        <v>0.0</v>
      </c>
      <c r="P567" s="5">
        <v>0.0</v>
      </c>
      <c r="Q567" s="5">
        <v>0.0</v>
      </c>
    </row>
    <row r="568" outlineLevel="1">
      <c r="B568" s="0" t="inlineStr">
        <is>
          <t xml:space="preserve">KSARIA CORPORATION</t>
        </is>
      </c>
      <c r="C568" s="0" t="inlineStr">
        <is>
          <t xml:space="preserve">NTREK31GP8N3</t>
        </is>
      </c>
      <c r="D568" s="0" t="inlineStr">
        <is>
          <t xml:space="preserve">-</t>
        </is>
      </c>
      <c r="E568" s="0" t="inlineStr">
        <is>
          <t xml:space="preserve">-</t>
        </is>
      </c>
      <c r="F568" s="0" t="inlineStr">
        <is>
          <t xml:space="preserve">-</t>
        </is>
      </c>
      <c r="G568" s="5">
        <v>1.4184490099999998</v>
      </c>
      <c r="H568" s="0" t="inlineStr">
        <is>
          <t xml:space="preserve">supplier</t>
        </is>
      </c>
      <c r="I568" s="0" t="inlineStr">
        <is>
          <t xml:space="preserve">electrical</t>
        </is>
      </c>
      <c r="J568" s="0" t="inlineStr">
        <is>
          <t xml:space="preserve">registry</t>
        </is>
      </c>
      <c r="K568" s="5">
        <v>0</v>
      </c>
      <c r="L568" s="5">
        <v>0</v>
      </c>
      <c r="M568" s="5">
        <v>0.057948</v>
      </c>
      <c r="N568" s="5">
        <v>0.0</v>
      </c>
      <c r="O568" s="5">
        <v>0.0</v>
      </c>
      <c r="P568" s="5">
        <v>0.0</v>
      </c>
      <c r="Q568" s="5">
        <v>0.0</v>
      </c>
    </row>
    <row r="569" outlineLevel="1">
      <c r="B569" s="0" t="inlineStr">
        <is>
          <t xml:space="preserve">PARKER-HANNIFIN CORP</t>
        </is>
      </c>
      <c r="C569" s="0" t="inlineStr">
        <is>
          <t xml:space="preserve">MHSFCLPAENE6</t>
        </is>
      </c>
      <c r="D569" s="0" t="inlineStr">
        <is>
          <t xml:space="preserve">-</t>
        </is>
      </c>
      <c r="E569" s="0" t="inlineStr">
        <is>
          <t xml:space="preserve">-</t>
        </is>
      </c>
      <c r="F569" s="0" t="inlineStr">
        <is>
          <t xml:space="preserve">-</t>
        </is>
      </c>
      <c r="G569" s="5">
        <v>1.4091962999999998</v>
      </c>
      <c r="H569" s="0" t="inlineStr">
        <is>
          <t xml:space="preserve">supplier</t>
        </is>
      </c>
      <c r="I569" s="0" t="inlineStr">
        <is>
          <t xml:space="preserve">unbucketed</t>
        </is>
      </c>
      <c r="J569" s="0" t="inlineStr">
        <is>
          <t xml:space="preserve">residual</t>
        </is>
      </c>
      <c r="K569" s="5">
        <v>0</v>
      </c>
      <c r="L569" s="5">
        <v>0</v>
      </c>
      <c r="M569" s="5">
        <v>0.0</v>
      </c>
      <c r="N569" s="5">
        <v>0.0</v>
      </c>
      <c r="O569" s="5">
        <v>0.0</v>
      </c>
      <c r="P569" s="5">
        <v>0.0</v>
      </c>
      <c r="Q569" s="5">
        <v>0.0</v>
      </c>
    </row>
    <row r="570" outlineLevel="1">
      <c r="B570" s="0" t="inlineStr">
        <is>
          <t xml:space="preserve">RAYTHEON TECHNOLOGIES CORPORATION</t>
        </is>
      </c>
      <c r="C570" s="0" t="inlineStr">
        <is>
          <t xml:space="preserve">ENC9Y8JGL3E9</t>
        </is>
      </c>
      <c r="D570" s="0" t="inlineStr">
        <is>
          <t xml:space="preserve">-</t>
        </is>
      </c>
      <c r="E570" s="0" t="inlineStr">
        <is>
          <t xml:space="preserve">-</t>
        </is>
      </c>
      <c r="F570" s="0" t="inlineStr">
        <is>
          <t xml:space="preserve">-</t>
        </is>
      </c>
      <c r="G570" s="5">
        <v>1.4090247100000004</v>
      </c>
      <c r="H570" s="0" t="inlineStr">
        <is>
          <t xml:space="preserve">gfe_mib</t>
        </is>
      </c>
      <c r="I570" s="0" t="inlineStr">
        <is>
          <t xml:space="preserve">-</t>
        </is>
      </c>
      <c r="J570" s="0" t="inlineStr">
        <is>
          <t xml:space="preserve">GFE/MIB name</t>
        </is>
      </c>
      <c r="K570" s="5">
        <v>0</v>
      </c>
      <c r="L570" s="5">
        <v>0</v>
      </c>
      <c r="M570" s="5">
        <v>0.0</v>
      </c>
      <c r="N570" s="5">
        <v>0.0</v>
      </c>
      <c r="O570" s="5">
        <v>0.0</v>
      </c>
      <c r="P570" s="5">
        <v>0.0</v>
      </c>
      <c r="Q570" s="5">
        <v>0.0</v>
      </c>
    </row>
    <row r="571" outlineLevel="1">
      <c r="B571" s="0" t="inlineStr">
        <is>
          <t xml:space="preserve">MIDE TECHNOLOGY CORPORATION</t>
        </is>
      </c>
      <c r="C571" s="0" t="inlineStr">
        <is>
          <t xml:space="preserve">C6C8KS7Y1K76</t>
        </is>
      </c>
      <c r="D571" s="0" t="inlineStr">
        <is>
          <t xml:space="preserve">-</t>
        </is>
      </c>
      <c r="E571" s="0" t="inlineStr">
        <is>
          <t xml:space="preserve">-</t>
        </is>
      </c>
      <c r="F571" s="0" t="inlineStr">
        <is>
          <t xml:space="preserve">-</t>
        </is>
      </c>
      <c r="G571" s="5">
        <v>1.3954411400000002</v>
      </c>
      <c r="H571" s="0" t="inlineStr">
        <is>
          <t xml:space="preserve">supplier</t>
        </is>
      </c>
      <c r="I571" s="0" t="inlineStr">
        <is>
          <t xml:space="preserve">unbucketed</t>
        </is>
      </c>
      <c r="J571" s="0" t="inlineStr">
        <is>
          <t xml:space="preserve">residual</t>
        </is>
      </c>
      <c r="K571" s="5">
        <v>0</v>
      </c>
      <c r="L571" s="5">
        <v>0</v>
      </c>
      <c r="M571" s="5">
        <v>1.3954411400000002</v>
      </c>
      <c r="N571" s="5">
        <v>0.0</v>
      </c>
      <c r="O571" s="5">
        <v>0.13074528</v>
      </c>
      <c r="P571" s="5">
        <v>0.0</v>
      </c>
      <c r="Q571" s="5">
        <v>0.0</v>
      </c>
    </row>
    <row r="572" outlineLevel="1">
      <c r="B572" s="0" t="inlineStr">
        <is>
          <t xml:space="preserve">TROY TUBE &amp; MANUFACTURING CO.</t>
        </is>
      </c>
      <c r="C572" s="0" t="inlineStr">
        <is>
          <t xml:space="preserve">YBGVF28MA725</t>
        </is>
      </c>
      <c r="D572" s="0" t="inlineStr">
        <is>
          <t xml:space="preserve">-</t>
        </is>
      </c>
      <c r="E572" s="0" t="inlineStr">
        <is>
          <t xml:space="preserve">-</t>
        </is>
      </c>
      <c r="F572" s="0" t="inlineStr">
        <is>
          <t xml:space="preserve">-</t>
        </is>
      </c>
      <c r="G572" s="5">
        <v>1.39468631</v>
      </c>
      <c r="H572" s="0" t="inlineStr">
        <is>
          <t xml:space="preserve">supplier</t>
        </is>
      </c>
      <c r="I572" s="0" t="inlineStr">
        <is>
          <t xml:space="preserve">unbucketed</t>
        </is>
      </c>
      <c r="J572" s="0" t="inlineStr">
        <is>
          <t xml:space="preserve">residual</t>
        </is>
      </c>
      <c r="K572" s="5">
        <v>0</v>
      </c>
      <c r="L572" s="5">
        <v>0</v>
      </c>
      <c r="M572" s="5">
        <v>0.0</v>
      </c>
      <c r="N572" s="5">
        <v>0.0</v>
      </c>
      <c r="O572" s="5">
        <v>0.0</v>
      </c>
      <c r="P572" s="5">
        <v>0.0</v>
      </c>
      <c r="Q572" s="5">
        <v>0.0</v>
      </c>
    </row>
    <row r="573" outlineLevel="1">
      <c r="B573" s="0" t="inlineStr">
        <is>
          <t xml:space="preserve">CUBIC CORPORATION</t>
        </is>
      </c>
      <c r="C573" s="0" t="inlineStr">
        <is>
          <t xml:space="preserve">N7NUHPAKNME8</t>
        </is>
      </c>
      <c r="D573" s="0" t="inlineStr">
        <is>
          <t xml:space="preserve">-</t>
        </is>
      </c>
      <c r="E573" s="0" t="inlineStr">
        <is>
          <t xml:space="preserve">-</t>
        </is>
      </c>
      <c r="F573" s="0" t="inlineStr">
        <is>
          <t xml:space="preserve">-</t>
        </is>
      </c>
      <c r="G573" s="5">
        <v>1.39</v>
      </c>
      <c r="H573" s="0" t="inlineStr">
        <is>
          <t xml:space="preserve">supplier</t>
        </is>
      </c>
      <c r="I573" s="0" t="inlineStr">
        <is>
          <t xml:space="preserve">unbucketed</t>
        </is>
      </c>
      <c r="J573" s="0" t="inlineStr">
        <is>
          <t xml:space="preserve">residual</t>
        </is>
      </c>
      <c r="K573" s="5">
        <v>0</v>
      </c>
      <c r="L573" s="5">
        <v>0</v>
      </c>
      <c r="M573" s="5">
        <v>1.39</v>
      </c>
      <c r="N573" s="5">
        <v>0.0</v>
      </c>
      <c r="O573" s="5">
        <v>0.0</v>
      </c>
      <c r="P573" s="5">
        <v>0.0</v>
      </c>
      <c r="Q573" s="5">
        <v>0.0</v>
      </c>
    </row>
    <row r="574" outlineLevel="1">
      <c r="B574" s="0" t="inlineStr">
        <is>
          <t xml:space="preserve">GEORGE INDUSTRIES LLC</t>
        </is>
      </c>
      <c r="C574" s="0" t="inlineStr">
        <is>
          <t xml:space="preserve">ZL86GKAMNA57</t>
        </is>
      </c>
      <c r="D574" s="0" t="inlineStr">
        <is>
          <t xml:space="preserve">-</t>
        </is>
      </c>
      <c r="E574" s="0" t="inlineStr">
        <is>
          <t xml:space="preserve">-</t>
        </is>
      </c>
      <c r="F574" s="0" t="inlineStr">
        <is>
          <t xml:space="preserve">-</t>
        </is>
      </c>
      <c r="G574" s="5">
        <v>1.3802424999999998</v>
      </c>
      <c r="H574" s="0" t="inlineStr">
        <is>
          <t xml:space="preserve">supplier</t>
        </is>
      </c>
      <c r="I574" s="0" t="inlineStr">
        <is>
          <t xml:space="preserve">unbucketed</t>
        </is>
      </c>
      <c r="J574" s="0" t="inlineStr">
        <is>
          <t xml:space="preserve">residual</t>
        </is>
      </c>
      <c r="K574" s="5">
        <v>0</v>
      </c>
      <c r="L574" s="5">
        <v>0</v>
      </c>
      <c r="M574" s="5">
        <v>0.0</v>
      </c>
      <c r="N574" s="5">
        <v>0.0</v>
      </c>
      <c r="O574" s="5">
        <v>0.0</v>
      </c>
      <c r="P574" s="5">
        <v>0.0</v>
      </c>
      <c r="Q574" s="5">
        <v>0.0</v>
      </c>
    </row>
    <row r="575" outlineLevel="1">
      <c r="B575" s="0" t="inlineStr">
        <is>
          <t xml:space="preserve">BERKSHIRE HATHAWAY INC.</t>
        </is>
      </c>
      <c r="C575" s="0" t="inlineStr">
        <is>
          <t xml:space="preserve">UHJDBR3499R9</t>
        </is>
      </c>
      <c r="D575" s="0" t="inlineStr">
        <is>
          <t xml:space="preserve">USA</t>
        </is>
      </c>
      <c r="E575" s="0" t="inlineStr">
        <is>
          <t xml:space="preserve">5511</t>
        </is>
      </c>
      <c r="F575" s="0" t="inlineStr">
        <is>
          <t xml:space="preserve">Offices of Other Holding Companies</t>
        </is>
      </c>
      <c r="G575" s="5">
        <v>1.3714215100000002</v>
      </c>
      <c r="H575" s="0" t="inlineStr">
        <is>
          <t xml:space="preserve">holding</t>
        </is>
      </c>
      <c r="I575" s="0" t="inlineStr">
        <is>
          <t xml:space="preserve">-</t>
        </is>
      </c>
      <c r="J575" s="0" t="inlineStr">
        <is>
          <t xml:space="preserve">holding-co (5511)</t>
        </is>
      </c>
      <c r="K575" s="5">
        <v>0</v>
      </c>
      <c r="L575" s="5">
        <v>0</v>
      </c>
      <c r="M575" s="5">
        <v>0.0</v>
      </c>
      <c r="N575" s="5">
        <v>0.0</v>
      </c>
      <c r="O575" s="5">
        <v>0.0</v>
      </c>
      <c r="P575" s="5">
        <v>0.0</v>
      </c>
      <c r="Q575" s="5">
        <v>0.0</v>
      </c>
    </row>
    <row r="576" outlineLevel="1">
      <c r="B576" s="0" t="inlineStr">
        <is>
          <t xml:space="preserve">ON ASSIGNMENT, INC.</t>
        </is>
      </c>
      <c r="C576" s="0" t="inlineStr">
        <is>
          <t xml:space="preserve">F7J2LEA17J39</t>
        </is>
      </c>
      <c r="D576" s="0" t="inlineStr">
        <is>
          <t xml:space="preserve">-</t>
        </is>
      </c>
      <c r="E576" s="0" t="inlineStr">
        <is>
          <t xml:space="preserve">-</t>
        </is>
      </c>
      <c r="F576" s="0" t="inlineStr">
        <is>
          <t xml:space="preserve">-</t>
        </is>
      </c>
      <c r="G576" s="5">
        <v>1.3694784</v>
      </c>
      <c r="H576" s="0" t="inlineStr">
        <is>
          <t xml:space="preserve">supplier</t>
        </is>
      </c>
      <c r="I576" s="0" t="inlineStr">
        <is>
          <t xml:space="preserve">unbucketed</t>
        </is>
      </c>
      <c r="J576" s="0" t="inlineStr">
        <is>
          <t xml:space="preserve">residual</t>
        </is>
      </c>
      <c r="K576" s="5">
        <v>0</v>
      </c>
      <c r="L576" s="5">
        <v>0</v>
      </c>
      <c r="M576" s="5">
        <v>0.0</v>
      </c>
      <c r="N576" s="5">
        <v>0.0</v>
      </c>
      <c r="O576" s="5">
        <v>0.0</v>
      </c>
      <c r="P576" s="5">
        <v>0.0</v>
      </c>
      <c r="Q576" s="5">
        <v>0.0</v>
      </c>
    </row>
    <row r="577" outlineLevel="1">
      <c r="B577" s="0" t="inlineStr">
        <is>
          <t xml:space="preserve">GET ENGINEERING CORP.</t>
        </is>
      </c>
      <c r="C577" s="0" t="inlineStr">
        <is>
          <t xml:space="preserve">KWAYELLKNP86</t>
        </is>
      </c>
      <c r="D577" s="0" t="inlineStr">
        <is>
          <t xml:space="preserve">-</t>
        </is>
      </c>
      <c r="E577" s="0" t="inlineStr">
        <is>
          <t xml:space="preserve">-</t>
        </is>
      </c>
      <c r="F577" s="0" t="inlineStr">
        <is>
          <t xml:space="preserve">-</t>
        </is>
      </c>
      <c r="G577" s="5">
        <v>1.3661181500000001</v>
      </c>
      <c r="H577" s="0" t="inlineStr">
        <is>
          <t xml:space="preserve">supplier</t>
        </is>
      </c>
      <c r="I577" s="0" t="inlineStr">
        <is>
          <t xml:space="preserve">unbucketed</t>
        </is>
      </c>
      <c r="J577" s="0" t="inlineStr">
        <is>
          <t xml:space="preserve">residual</t>
        </is>
      </c>
      <c r="K577" s="5">
        <v>0</v>
      </c>
      <c r="L577" s="5">
        <v>0</v>
      </c>
      <c r="M577" s="5">
        <v>0.0</v>
      </c>
      <c r="N577" s="5">
        <v>0.0</v>
      </c>
      <c r="O577" s="5">
        <v>0.0</v>
      </c>
      <c r="P577" s="5">
        <v>0.0</v>
      </c>
      <c r="Q577" s="5">
        <v>0.0</v>
      </c>
    </row>
    <row r="578" outlineLevel="1">
      <c r="B578" s="0" t="inlineStr">
        <is>
          <t xml:space="preserve">MICROSS COMPONENTS, INC.</t>
        </is>
      </c>
      <c r="C578" s="0" t="inlineStr">
        <is>
          <t xml:space="preserve">FFJBFCK9WME5</t>
        </is>
      </c>
      <c r="D578" s="0" t="inlineStr">
        <is>
          <t xml:space="preserve">-</t>
        </is>
      </c>
      <c r="E578" s="0" t="inlineStr">
        <is>
          <t xml:space="preserve">-</t>
        </is>
      </c>
      <c r="F578" s="0" t="inlineStr">
        <is>
          <t xml:space="preserve">-</t>
        </is>
      </c>
      <c r="G578" s="5">
        <v>1.3652231500000003</v>
      </c>
      <c r="H578" s="0" t="inlineStr">
        <is>
          <t xml:space="preserve">supplier</t>
        </is>
      </c>
      <c r="I578" s="0" t="inlineStr">
        <is>
          <t xml:space="preserve">unbucketed</t>
        </is>
      </c>
      <c r="J578" s="0" t="inlineStr">
        <is>
          <t xml:space="preserve">residual</t>
        </is>
      </c>
      <c r="K578" s="5">
        <v>0</v>
      </c>
      <c r="L578" s="5">
        <v>0</v>
      </c>
      <c r="M578" s="5">
        <v>0.0</v>
      </c>
      <c r="N578" s="5">
        <v>0.0</v>
      </c>
      <c r="O578" s="5">
        <v>0.0</v>
      </c>
      <c r="P578" s="5">
        <v>0.0</v>
      </c>
      <c r="Q578" s="5">
        <v>0.0</v>
      </c>
    </row>
    <row r="579" outlineLevel="1">
      <c r="B579" s="0" t="inlineStr">
        <is>
          <t xml:space="preserve">KEY TRONIC CORPORATION</t>
        </is>
      </c>
      <c r="C579" s="0" t="inlineStr">
        <is>
          <t xml:space="preserve">VYX7EB53JLK5</t>
        </is>
      </c>
      <c r="D579" s="0" t="inlineStr">
        <is>
          <t xml:space="preserve">-</t>
        </is>
      </c>
      <c r="E579" s="0" t="inlineStr">
        <is>
          <t xml:space="preserve">-</t>
        </is>
      </c>
      <c r="F579" s="0" t="inlineStr">
        <is>
          <t xml:space="preserve">-</t>
        </is>
      </c>
      <c r="G579" s="5">
        <v>1.36156286</v>
      </c>
      <c r="H579" s="0" t="inlineStr">
        <is>
          <t xml:space="preserve">supplier</t>
        </is>
      </c>
      <c r="I579" s="0" t="inlineStr">
        <is>
          <t xml:space="preserve">unbucketed</t>
        </is>
      </c>
      <c r="J579" s="0" t="inlineStr">
        <is>
          <t xml:space="preserve">residual</t>
        </is>
      </c>
      <c r="K579" s="5">
        <v>0</v>
      </c>
      <c r="L579" s="5">
        <v>0</v>
      </c>
      <c r="M579" s="5">
        <v>0.0</v>
      </c>
      <c r="N579" s="5">
        <v>0.0</v>
      </c>
      <c r="O579" s="5">
        <v>0.0</v>
      </c>
      <c r="P579" s="5">
        <v>0.0</v>
      </c>
      <c r="Q579" s="5">
        <v>0.0</v>
      </c>
    </row>
    <row r="580" outlineLevel="1">
      <c r="B580" s="0" t="inlineStr">
        <is>
          <t xml:space="preserve">AMSTED GRAPHITE MATERIALS, LLC</t>
        </is>
      </c>
      <c r="C580" s="0" t="inlineStr">
        <is>
          <t xml:space="preserve">HABHWQS9RGY3</t>
        </is>
      </c>
      <c r="D580" s="0" t="inlineStr">
        <is>
          <t xml:space="preserve">-</t>
        </is>
      </c>
      <c r="E580" s="0" t="inlineStr">
        <is>
          <t xml:space="preserve">-</t>
        </is>
      </c>
      <c r="F580" s="0" t="inlineStr">
        <is>
          <t xml:space="preserve">-</t>
        </is>
      </c>
      <c r="G580" s="5">
        <v>1.360224</v>
      </c>
      <c r="H580" s="0" t="inlineStr">
        <is>
          <t xml:space="preserve">supplier</t>
        </is>
      </c>
      <c r="I580" s="0" t="inlineStr">
        <is>
          <t xml:space="preserve">unbucketed</t>
        </is>
      </c>
      <c r="J580" s="0" t="inlineStr">
        <is>
          <t xml:space="preserve">residual</t>
        </is>
      </c>
      <c r="K580" s="5">
        <v>0</v>
      </c>
      <c r="L580" s="5">
        <v>0</v>
      </c>
      <c r="M580" s="5">
        <v>0.0</v>
      </c>
      <c r="N580" s="5">
        <v>0.0</v>
      </c>
      <c r="O580" s="5">
        <v>0.0</v>
      </c>
      <c r="P580" s="5">
        <v>0.0</v>
      </c>
      <c r="Q580" s="5">
        <v>0.0</v>
      </c>
    </row>
    <row r="581" outlineLevel="1">
      <c r="B581" s="0" t="inlineStr">
        <is>
          <t xml:space="preserve">COASTAL MECHANICAL SYSTEMS, LLC</t>
        </is>
      </c>
      <c r="C581" s="0" t="inlineStr">
        <is>
          <t xml:space="preserve">EP2TN3E6Z624</t>
        </is>
      </c>
      <c r="D581" s="0" t="inlineStr">
        <is>
          <t xml:space="preserve">-</t>
        </is>
      </c>
      <c r="E581" s="0" t="inlineStr">
        <is>
          <t xml:space="preserve">-</t>
        </is>
      </c>
      <c r="F581" s="0" t="inlineStr">
        <is>
          <t xml:space="preserve">-</t>
        </is>
      </c>
      <c r="G581" s="5">
        <v>1.3593149999999998</v>
      </c>
      <c r="H581" s="0" t="inlineStr">
        <is>
          <t xml:space="preserve">supplier</t>
        </is>
      </c>
      <c r="I581" s="0" t="inlineStr">
        <is>
          <t xml:space="preserve">unbucketed</t>
        </is>
      </c>
      <c r="J581" s="0" t="inlineStr">
        <is>
          <t xml:space="preserve">residual</t>
        </is>
      </c>
      <c r="K581" s="5">
        <v>0</v>
      </c>
      <c r="L581" s="5">
        <v>0</v>
      </c>
      <c r="M581" s="5">
        <v>0.0</v>
      </c>
      <c r="N581" s="5">
        <v>0.0</v>
      </c>
      <c r="O581" s="5">
        <v>0.0</v>
      </c>
      <c r="P581" s="5">
        <v>0.0</v>
      </c>
      <c r="Q581" s="5">
        <v>0.0</v>
      </c>
    </row>
    <row r="582" outlineLevel="1">
      <c r="B582" s="0" t="inlineStr">
        <is>
          <t xml:space="preserve">PACIFIC SCIENTIFIC ENERGETIC MATERIALS COMPANY (CALIFORNIA) LLC</t>
        </is>
      </c>
      <c r="C582" s="0" t="inlineStr">
        <is>
          <t xml:space="preserve">ZR5PFWUPJMD3</t>
        </is>
      </c>
      <c r="D582" s="0" t="inlineStr">
        <is>
          <t xml:space="preserve">-</t>
        </is>
      </c>
      <c r="E582" s="0" t="inlineStr">
        <is>
          <t xml:space="preserve">-</t>
        </is>
      </c>
      <c r="F582" s="0" t="inlineStr">
        <is>
          <t xml:space="preserve">-</t>
        </is>
      </c>
      <c r="G582" s="5">
        <v>1.3519809999999999</v>
      </c>
      <c r="H582" s="0" t="inlineStr">
        <is>
          <t xml:space="preserve">supplier</t>
        </is>
      </c>
      <c r="I582" s="0" t="inlineStr">
        <is>
          <t xml:space="preserve">unbucketed</t>
        </is>
      </c>
      <c r="J582" s="0" t="inlineStr">
        <is>
          <t xml:space="preserve">residual</t>
        </is>
      </c>
      <c r="K582" s="5">
        <v>0</v>
      </c>
      <c r="L582" s="5">
        <v>0</v>
      </c>
      <c r="M582" s="5">
        <v>0.0</v>
      </c>
      <c r="N582" s="5">
        <v>0.0</v>
      </c>
      <c r="O582" s="5">
        <v>0.0</v>
      </c>
      <c r="P582" s="5">
        <v>0.0</v>
      </c>
      <c r="Q582" s="5">
        <v>0.0</v>
      </c>
    </row>
    <row r="583" outlineLevel="1">
      <c r="B583" s="0" t="inlineStr">
        <is>
          <t xml:space="preserve">CATALINA INSTRUMENT CORP.</t>
        </is>
      </c>
      <c r="C583" s="0" t="inlineStr">
        <is>
          <t xml:space="preserve">EACJHXZR3C75</t>
        </is>
      </c>
      <c r="D583" s="0" t="inlineStr">
        <is>
          <t xml:space="preserve">-</t>
        </is>
      </c>
      <c r="E583" s="0" t="inlineStr">
        <is>
          <t xml:space="preserve">-</t>
        </is>
      </c>
      <c r="F583" s="0" t="inlineStr">
        <is>
          <t xml:space="preserve">-</t>
        </is>
      </c>
      <c r="G583" s="5">
        <v>1.3519518499999998</v>
      </c>
      <c r="H583" s="0" t="inlineStr">
        <is>
          <t xml:space="preserve">supplier</t>
        </is>
      </c>
      <c r="I583" s="0" t="inlineStr">
        <is>
          <t xml:space="preserve">unbucketed</t>
        </is>
      </c>
      <c r="J583" s="0" t="inlineStr">
        <is>
          <t xml:space="preserve">residual</t>
        </is>
      </c>
      <c r="K583" s="5">
        <v>0</v>
      </c>
      <c r="L583" s="5">
        <v>0</v>
      </c>
      <c r="M583" s="5">
        <v>0.0</v>
      </c>
      <c r="N583" s="5">
        <v>0.0</v>
      </c>
      <c r="O583" s="5">
        <v>0.0</v>
      </c>
      <c r="P583" s="5">
        <v>0.0</v>
      </c>
      <c r="Q583" s="5">
        <v>0.0</v>
      </c>
    </row>
    <row r="584" outlineLevel="1">
      <c r="B584" s="0" t="inlineStr">
        <is>
          <t xml:space="preserve">L3 TECHNOLOGIES, INC.</t>
        </is>
      </c>
      <c r="C584" s="0" t="inlineStr">
        <is>
          <t xml:space="preserve">DMUBVTK28645</t>
        </is>
      </c>
      <c r="D584" s="0" t="inlineStr">
        <is>
          <t xml:space="preserve">USA</t>
        </is>
      </c>
      <c r="E584" s="0" t="inlineStr">
        <is>
          <t xml:space="preserve">3345</t>
        </is>
      </c>
      <c r="F584" s="0" t="inlineStr">
        <is>
          <t xml:space="preserve">Search, Detection, Navigation, Guidance, Aeronautical, and Nautical System and Instrument Manufacturing</t>
        </is>
      </c>
      <c r="G584" s="5">
        <v>1.34976079</v>
      </c>
      <c r="H584" s="0" t="inlineStr">
        <is>
          <t xml:space="preserve">supplier</t>
        </is>
      </c>
      <c r="I584" s="0" t="inlineStr">
        <is>
          <t xml:space="preserve">unbucketed</t>
        </is>
      </c>
      <c r="J584" s="0" t="inlineStr">
        <is>
          <t xml:space="preserve">residual</t>
        </is>
      </c>
      <c r="K584" s="5">
        <v>0</v>
      </c>
      <c r="L584" s="5">
        <v>0</v>
      </c>
      <c r="M584" s="5">
        <v>0.0</v>
      </c>
      <c r="N584" s="5">
        <v>0.0</v>
      </c>
      <c r="O584" s="5">
        <v>0.0</v>
      </c>
      <c r="P584" s="5">
        <v>0.0</v>
      </c>
      <c r="Q584" s="5">
        <v>0.0</v>
      </c>
    </row>
    <row r="585" outlineLevel="1">
      <c r="B585" s="0" t="inlineStr">
        <is>
          <t xml:space="preserve">SPARTON PARENT, INC.</t>
        </is>
      </c>
      <c r="C585" s="0" t="inlineStr">
        <is>
          <t xml:space="preserve">CYJ3L6SQANB4</t>
        </is>
      </c>
      <c r="D585" s="0" t="inlineStr">
        <is>
          <t xml:space="preserve">-</t>
        </is>
      </c>
      <c r="E585" s="0" t="inlineStr">
        <is>
          <t xml:space="preserve">-</t>
        </is>
      </c>
      <c r="F585" s="0" t="inlineStr">
        <is>
          <t xml:space="preserve">-</t>
        </is>
      </c>
      <c r="G585" s="5">
        <v>1.344459</v>
      </c>
      <c r="H585" s="0" t="inlineStr">
        <is>
          <t xml:space="preserve">supplier</t>
        </is>
      </c>
      <c r="I585" s="0" t="inlineStr">
        <is>
          <t xml:space="preserve">unbucketed</t>
        </is>
      </c>
      <c r="J585" s="0" t="inlineStr">
        <is>
          <t xml:space="preserve">residual</t>
        </is>
      </c>
      <c r="K585" s="5">
        <v>0</v>
      </c>
      <c r="L585" s="5">
        <v>0</v>
      </c>
      <c r="M585" s="5">
        <v>0.0</v>
      </c>
      <c r="N585" s="5">
        <v>0.0</v>
      </c>
      <c r="O585" s="5">
        <v>0.0</v>
      </c>
      <c r="P585" s="5">
        <v>0.0</v>
      </c>
      <c r="Q585" s="5">
        <v>0.0</v>
      </c>
    </row>
    <row r="586" outlineLevel="1">
      <c r="B586" s="0" t="inlineStr">
        <is>
          <t xml:space="preserve">INSIGHT EQUITY HOLDINGS LLC</t>
        </is>
      </c>
      <c r="C586" s="0" t="inlineStr">
        <is>
          <t xml:space="preserve">FFJBFCK9WME5</t>
        </is>
      </c>
      <c r="D586" s="0" t="inlineStr">
        <is>
          <t xml:space="preserve">-</t>
        </is>
      </c>
      <c r="E586" s="0" t="inlineStr">
        <is>
          <t xml:space="preserve">-</t>
        </is>
      </c>
      <c r="F586" s="0" t="inlineStr">
        <is>
          <t xml:space="preserve">-</t>
        </is>
      </c>
      <c r="G586" s="5">
        <v>1.33812277</v>
      </c>
      <c r="H586" s="0" t="inlineStr">
        <is>
          <t xml:space="preserve">supplier</t>
        </is>
      </c>
      <c r="I586" s="0" t="inlineStr">
        <is>
          <t xml:space="preserve">unbucketed</t>
        </is>
      </c>
      <c r="J586" s="0" t="inlineStr">
        <is>
          <t xml:space="preserve">residual</t>
        </is>
      </c>
      <c r="K586" s="5">
        <v>0</v>
      </c>
      <c r="L586" s="5">
        <v>0</v>
      </c>
      <c r="M586" s="5">
        <v>0.0</v>
      </c>
      <c r="N586" s="5">
        <v>0.0</v>
      </c>
      <c r="O586" s="5">
        <v>0.0</v>
      </c>
      <c r="P586" s="5">
        <v>0.0</v>
      </c>
      <c r="Q586" s="5">
        <v>0.0</v>
      </c>
    </row>
    <row r="587" outlineLevel="1">
      <c r="B587" s="0" t="inlineStr">
        <is>
          <t xml:space="preserve">MOOG INC.</t>
        </is>
      </c>
      <c r="C587" s="0" t="inlineStr">
        <is>
          <t xml:space="preserve">L4ZMKLM4MPL3</t>
        </is>
      </c>
      <c r="D587" s="0" t="inlineStr">
        <is>
          <t xml:space="preserve">-</t>
        </is>
      </c>
      <c r="E587" s="0" t="inlineStr">
        <is>
          <t xml:space="preserve">-</t>
        </is>
      </c>
      <c r="F587" s="0" t="inlineStr">
        <is>
          <t xml:space="preserve">-</t>
        </is>
      </c>
      <c r="G587" s="5">
        <v>1.33207436</v>
      </c>
      <c r="H587" s="0" t="inlineStr">
        <is>
          <t xml:space="preserve">supplier</t>
        </is>
      </c>
      <c r="I587" s="0" t="inlineStr">
        <is>
          <t xml:space="preserve">unbucketed</t>
        </is>
      </c>
      <c r="J587" s="0" t="inlineStr">
        <is>
          <t xml:space="preserve">residual</t>
        </is>
      </c>
      <c r="K587" s="5">
        <v>0</v>
      </c>
      <c r="L587" s="5">
        <v>0</v>
      </c>
      <c r="M587" s="5">
        <v>0.0</v>
      </c>
      <c r="N587" s="5">
        <v>0.0</v>
      </c>
      <c r="O587" s="5">
        <v>0.0</v>
      </c>
      <c r="P587" s="5">
        <v>0.0</v>
      </c>
      <c r="Q587" s="5">
        <v>0.0</v>
      </c>
    </row>
    <row r="588" outlineLevel="1">
      <c r="B588" s="0" t="inlineStr">
        <is>
          <t xml:space="preserve">PRODUCT DEVELOPMENT ASSOCIATES, INC.</t>
        </is>
      </c>
      <c r="C588" s="0" t="inlineStr">
        <is>
          <t xml:space="preserve">X5BQPZ4DJ8J5</t>
        </is>
      </c>
      <c r="D588" s="0" t="inlineStr">
        <is>
          <t xml:space="preserve">-</t>
        </is>
      </c>
      <c r="E588" s="0" t="inlineStr">
        <is>
          <t xml:space="preserve">-</t>
        </is>
      </c>
      <c r="F588" s="0" t="inlineStr">
        <is>
          <t xml:space="preserve">-</t>
        </is>
      </c>
      <c r="G588" s="5">
        <v>1.3293</v>
      </c>
      <c r="H588" s="0" t="inlineStr">
        <is>
          <t xml:space="preserve">supplier</t>
        </is>
      </c>
      <c r="I588" s="0" t="inlineStr">
        <is>
          <t xml:space="preserve">unbucketed</t>
        </is>
      </c>
      <c r="J588" s="0" t="inlineStr">
        <is>
          <t xml:space="preserve">residual</t>
        </is>
      </c>
      <c r="K588" s="5">
        <v>0</v>
      </c>
      <c r="L588" s="5">
        <v>0</v>
      </c>
      <c r="M588" s="5">
        <v>0.0</v>
      </c>
      <c r="N588" s="5">
        <v>0.0</v>
      </c>
      <c r="O588" s="5">
        <v>0.0</v>
      </c>
      <c r="P588" s="5">
        <v>0.0</v>
      </c>
      <c r="Q588" s="5">
        <v>0.0</v>
      </c>
    </row>
    <row r="589" outlineLevel="1">
      <c r="B589" s="0" t="inlineStr">
        <is>
          <t xml:space="preserve">QED SYSTEMS, INC.</t>
        </is>
      </c>
      <c r="C589" s="0" t="inlineStr">
        <is>
          <t xml:space="preserve">N62LME8FBJL6</t>
        </is>
      </c>
      <c r="D589" s="0" t="inlineStr">
        <is>
          <t xml:space="preserve">-</t>
        </is>
      </c>
      <c r="E589" s="0" t="inlineStr">
        <is>
          <t xml:space="preserve">-</t>
        </is>
      </c>
      <c r="F589" s="0" t="inlineStr">
        <is>
          <t xml:space="preserve">-</t>
        </is>
      </c>
      <c r="G589" s="5">
        <v>1.3284108500000003</v>
      </c>
      <c r="H589" s="0" t="inlineStr">
        <is>
          <t xml:space="preserve">supplier</t>
        </is>
      </c>
      <c r="I589" s="0" t="inlineStr">
        <is>
          <t xml:space="preserve">unbucketed</t>
        </is>
      </c>
      <c r="J589" s="0" t="inlineStr">
        <is>
          <t xml:space="preserve">residual</t>
        </is>
      </c>
      <c r="K589" s="5">
        <v>0</v>
      </c>
      <c r="L589" s="5">
        <v>0</v>
      </c>
      <c r="M589" s="5">
        <v>0.0</v>
      </c>
      <c r="N589" s="5">
        <v>0.0</v>
      </c>
      <c r="O589" s="5">
        <v>0.0</v>
      </c>
      <c r="P589" s="5">
        <v>0.0</v>
      </c>
      <c r="Q589" s="5">
        <v>0.0</v>
      </c>
    </row>
    <row r="590" outlineLevel="1">
      <c r="B590" s="0" t="inlineStr">
        <is>
          <t xml:space="preserve">J T MANUFACTURING CORP</t>
        </is>
      </c>
      <c r="C590" s="0" t="inlineStr">
        <is>
          <t xml:space="preserve">K4APKLUE4S98</t>
        </is>
      </c>
      <c r="D590" s="0" t="inlineStr">
        <is>
          <t xml:space="preserve">-</t>
        </is>
      </c>
      <c r="E590" s="0" t="inlineStr">
        <is>
          <t xml:space="preserve">-</t>
        </is>
      </c>
      <c r="F590" s="0" t="inlineStr">
        <is>
          <t xml:space="preserve">-</t>
        </is>
      </c>
      <c r="G590" s="5">
        <v>1.3254420000000002</v>
      </c>
      <c r="H590" s="0" t="inlineStr">
        <is>
          <t xml:space="preserve">supplier</t>
        </is>
      </c>
      <c r="I590" s="0" t="inlineStr">
        <is>
          <t xml:space="preserve">unbucketed</t>
        </is>
      </c>
      <c r="J590" s="0" t="inlineStr">
        <is>
          <t xml:space="preserve">residual</t>
        </is>
      </c>
      <c r="K590" s="5">
        <v>0</v>
      </c>
      <c r="L590" s="5">
        <v>0</v>
      </c>
      <c r="M590" s="5">
        <v>0.0</v>
      </c>
      <c r="N590" s="5">
        <v>0.0</v>
      </c>
      <c r="O590" s="5">
        <v>0.0</v>
      </c>
      <c r="P590" s="5">
        <v>0.0</v>
      </c>
      <c r="Q590" s="5">
        <v>0.0</v>
      </c>
    </row>
    <row r="591" outlineLevel="1">
      <c r="B591" s="0" t="inlineStr">
        <is>
          <t xml:space="preserve">PNY TECHNOLOGIES INC</t>
        </is>
      </c>
      <c r="C591" s="0" t="inlineStr">
        <is>
          <t xml:space="preserve">C8RHMP5H2FR7</t>
        </is>
      </c>
      <c r="D591" s="0" t="inlineStr">
        <is>
          <t xml:space="preserve">-</t>
        </is>
      </c>
      <c r="E591" s="0" t="inlineStr">
        <is>
          <t xml:space="preserve">-</t>
        </is>
      </c>
      <c r="F591" s="0" t="inlineStr">
        <is>
          <t xml:space="preserve">-</t>
        </is>
      </c>
      <c r="G591" s="5">
        <v>1.3250000000000002</v>
      </c>
      <c r="H591" s="0" t="inlineStr">
        <is>
          <t xml:space="preserve">supplier</t>
        </is>
      </c>
      <c r="I591" s="0" t="inlineStr">
        <is>
          <t xml:space="preserve">unbucketed</t>
        </is>
      </c>
      <c r="J591" s="0" t="inlineStr">
        <is>
          <t xml:space="preserve">residual</t>
        </is>
      </c>
      <c r="K591" s="5">
        <v>0</v>
      </c>
      <c r="L591" s="5">
        <v>0</v>
      </c>
      <c r="M591" s="5">
        <v>0.0</v>
      </c>
      <c r="N591" s="5">
        <v>0.0</v>
      </c>
      <c r="O591" s="5">
        <v>0.0</v>
      </c>
      <c r="P591" s="5">
        <v>0.0</v>
      </c>
      <c r="Q591" s="5">
        <v>0.0</v>
      </c>
    </row>
    <row r="592" outlineLevel="1">
      <c r="B592" s="0" t="inlineStr">
        <is>
          <t xml:space="preserve">CURTISS-WRIGHT CORPORATION</t>
        </is>
      </c>
      <c r="C592" s="0" t="inlineStr">
        <is>
          <t xml:space="preserve">NYGUEDY27AM8</t>
        </is>
      </c>
      <c r="D592" s="0" t="inlineStr">
        <is>
          <t xml:space="preserve">USA</t>
        </is>
      </c>
      <c r="E592" s="0" t="inlineStr">
        <is>
          <t xml:space="preserve">3329</t>
        </is>
      </c>
      <c r="F592" s="0" t="inlineStr">
        <is>
          <t xml:space="preserve">Industrial Valve Manufacturing</t>
        </is>
      </c>
      <c r="G592" s="5">
        <v>1.32203081</v>
      </c>
      <c r="H592" s="0" t="inlineStr">
        <is>
          <t xml:space="preserve">supplier</t>
        </is>
      </c>
      <c r="I592" s="0" t="inlineStr">
        <is>
          <t xml:space="preserve">piping</t>
        </is>
      </c>
      <c r="J592" s="0" t="inlineStr">
        <is>
          <t xml:space="preserve">registry</t>
        </is>
      </c>
      <c r="K592" s="5">
        <v>0</v>
      </c>
      <c r="L592" s="5">
        <v>0</v>
      </c>
      <c r="M592" s="5">
        <v>1.32203081</v>
      </c>
      <c r="N592" s="5">
        <v>0.0</v>
      </c>
      <c r="O592" s="5">
        <v>1.32203081</v>
      </c>
      <c r="P592" s="5">
        <v>0.0</v>
      </c>
      <c r="Q592" s="5">
        <v>0.0</v>
      </c>
    </row>
    <row r="593" outlineLevel="1">
      <c r="B593" s="0" t="inlineStr">
        <is>
          <t xml:space="preserve">SPECTRUM CONTROL INC</t>
        </is>
      </c>
      <c r="C593" s="0" t="inlineStr">
        <is>
          <t xml:space="preserve">FVENB2MJ1NM3</t>
        </is>
      </c>
      <c r="D593" s="0" t="inlineStr">
        <is>
          <t xml:space="preserve">-</t>
        </is>
      </c>
      <c r="E593" s="0" t="inlineStr">
        <is>
          <t xml:space="preserve">-</t>
        </is>
      </c>
      <c r="F593" s="0" t="inlineStr">
        <is>
          <t xml:space="preserve">-</t>
        </is>
      </c>
      <c r="G593" s="5">
        <v>1.3179859999999999</v>
      </c>
      <c r="H593" s="0" t="inlineStr">
        <is>
          <t xml:space="preserve">supplier</t>
        </is>
      </c>
      <c r="I593" s="0" t="inlineStr">
        <is>
          <t xml:space="preserve">unbucketed</t>
        </is>
      </c>
      <c r="J593" s="0" t="inlineStr">
        <is>
          <t xml:space="preserve">residual</t>
        </is>
      </c>
      <c r="K593" s="5">
        <v>0</v>
      </c>
      <c r="L593" s="5">
        <v>0</v>
      </c>
      <c r="M593" s="5">
        <v>0.0</v>
      </c>
      <c r="N593" s="5">
        <v>0.0</v>
      </c>
      <c r="O593" s="5">
        <v>0.0</v>
      </c>
      <c r="P593" s="5">
        <v>0.0</v>
      </c>
      <c r="Q593" s="5">
        <v>0.0</v>
      </c>
    </row>
    <row r="594" outlineLevel="1">
      <c r="B594" s="0" t="inlineStr">
        <is>
          <t xml:space="preserve">EATON CORPORATION PUBLIC LIMITED COMPANY</t>
        </is>
      </c>
      <c r="C594" s="0" t="inlineStr">
        <is>
          <t xml:space="preserve">TKGTLGBAXQ17</t>
        </is>
      </c>
      <c r="D594" s="0" t="inlineStr">
        <is>
          <t xml:space="preserve">-</t>
        </is>
      </c>
      <c r="E594" s="0" t="inlineStr">
        <is>
          <t xml:space="preserve">-</t>
        </is>
      </c>
      <c r="F594" s="0" t="inlineStr">
        <is>
          <t xml:space="preserve">-</t>
        </is>
      </c>
      <c r="G594" s="5">
        <v>1.3154227700000003</v>
      </c>
      <c r="H594" s="0" t="inlineStr">
        <is>
          <t xml:space="preserve">supplier</t>
        </is>
      </c>
      <c r="I594" s="0" t="inlineStr">
        <is>
          <t xml:space="preserve">unbucketed</t>
        </is>
      </c>
      <c r="J594" s="0" t="inlineStr">
        <is>
          <t xml:space="preserve">residual</t>
        </is>
      </c>
      <c r="K594" s="5">
        <v>0</v>
      </c>
      <c r="L594" s="5">
        <v>0</v>
      </c>
      <c r="M594" s="5">
        <v>0.0</v>
      </c>
      <c r="N594" s="5">
        <v>0.0</v>
      </c>
      <c r="O594" s="5">
        <v>0.0</v>
      </c>
      <c r="P594" s="5">
        <v>0.0</v>
      </c>
      <c r="Q594" s="5">
        <v>0.0</v>
      </c>
    </row>
    <row r="595" outlineLevel="1">
      <c r="B595" s="0" t="inlineStr">
        <is>
          <t xml:space="preserve">ZURN WATER SOLUTIONS CORPORATION</t>
        </is>
      </c>
      <c r="C595" s="0" t="inlineStr">
        <is>
          <t xml:space="preserve">PGEDBXWCG9Q5</t>
        </is>
      </c>
      <c r="D595" s="0" t="inlineStr">
        <is>
          <t xml:space="preserve">-</t>
        </is>
      </c>
      <c r="E595" s="0" t="inlineStr">
        <is>
          <t xml:space="preserve">-</t>
        </is>
      </c>
      <c r="F595" s="0" t="inlineStr">
        <is>
          <t xml:space="preserve">-</t>
        </is>
      </c>
      <c r="G595" s="5">
        <v>1.31472</v>
      </c>
      <c r="H595" s="0" t="inlineStr">
        <is>
          <t xml:space="preserve">supplier</t>
        </is>
      </c>
      <c r="I595" s="0" t="inlineStr">
        <is>
          <t xml:space="preserve">unbucketed</t>
        </is>
      </c>
      <c r="J595" s="0" t="inlineStr">
        <is>
          <t xml:space="preserve">residual</t>
        </is>
      </c>
      <c r="K595" s="5">
        <v>0</v>
      </c>
      <c r="L595" s="5">
        <v>0</v>
      </c>
      <c r="M595" s="5">
        <v>0.0</v>
      </c>
      <c r="N595" s="5">
        <v>0.0</v>
      </c>
      <c r="O595" s="5">
        <v>0.0</v>
      </c>
      <c r="P595" s="5">
        <v>0.0</v>
      </c>
      <c r="Q595" s="5">
        <v>0.0</v>
      </c>
    </row>
    <row r="596" outlineLevel="1">
      <c r="B596" s="0" t="inlineStr">
        <is>
          <t xml:space="preserve">APEX SYSTEMS, LLC</t>
        </is>
      </c>
      <c r="C596" s="0" t="inlineStr">
        <is>
          <t xml:space="preserve">F7J2LEA17J39</t>
        </is>
      </c>
      <c r="D596" s="0" t="inlineStr">
        <is>
          <t xml:space="preserve">-</t>
        </is>
      </c>
      <c r="E596" s="0" t="inlineStr">
        <is>
          <t xml:space="preserve">-</t>
        </is>
      </c>
      <c r="F596" s="0" t="inlineStr">
        <is>
          <t xml:space="preserve">-</t>
        </is>
      </c>
      <c r="G596" s="5">
        <v>1.30456893</v>
      </c>
      <c r="H596" s="0" t="inlineStr">
        <is>
          <t xml:space="preserve">supplier</t>
        </is>
      </c>
      <c r="I596" s="0" t="inlineStr">
        <is>
          <t xml:space="preserve">unbucketed</t>
        </is>
      </c>
      <c r="J596" s="0" t="inlineStr">
        <is>
          <t xml:space="preserve">residual</t>
        </is>
      </c>
      <c r="K596" s="5">
        <v>0</v>
      </c>
      <c r="L596" s="5">
        <v>0</v>
      </c>
      <c r="M596" s="5">
        <v>0.0</v>
      </c>
      <c r="N596" s="5">
        <v>0.0</v>
      </c>
      <c r="O596" s="5">
        <v>0.0</v>
      </c>
      <c r="P596" s="5">
        <v>0.0</v>
      </c>
      <c r="Q596" s="5">
        <v>0.0</v>
      </c>
    </row>
    <row r="597" outlineLevel="1">
      <c r="B597" s="0" t="inlineStr">
        <is>
          <t xml:space="preserve">DELL FEDERAL SYSTEMS L.P.</t>
        </is>
      </c>
      <c r="C597" s="0" t="inlineStr">
        <is>
          <t xml:space="preserve">N1C5QLNPJLS4</t>
        </is>
      </c>
      <c r="D597" s="0" t="inlineStr">
        <is>
          <t xml:space="preserve">-</t>
        </is>
      </c>
      <c r="E597" s="0" t="inlineStr">
        <is>
          <t xml:space="preserve">-</t>
        </is>
      </c>
      <c r="F597" s="0" t="inlineStr">
        <is>
          <t xml:space="preserve">-</t>
        </is>
      </c>
      <c r="G597" s="5">
        <v>1.3035116700000002</v>
      </c>
      <c r="H597" s="0" t="inlineStr">
        <is>
          <t xml:space="preserve">supplier</t>
        </is>
      </c>
      <c r="I597" s="0" t="inlineStr">
        <is>
          <t xml:space="preserve">unbucketed</t>
        </is>
      </c>
      <c r="J597" s="0" t="inlineStr">
        <is>
          <t xml:space="preserve">residual</t>
        </is>
      </c>
      <c r="K597" s="5">
        <v>0</v>
      </c>
      <c r="L597" s="5">
        <v>0</v>
      </c>
      <c r="M597" s="5">
        <v>0.0</v>
      </c>
      <c r="N597" s="5">
        <v>0.0</v>
      </c>
      <c r="O597" s="5">
        <v>0.0</v>
      </c>
      <c r="P597" s="5">
        <v>0.0</v>
      </c>
      <c r="Q597" s="5">
        <v>0.0</v>
      </c>
    </row>
    <row r="598" outlineLevel="1">
      <c r="B598" s="0" t="inlineStr">
        <is>
          <t xml:space="preserve">THE WHITMOR CO. INC.</t>
        </is>
      </c>
      <c r="C598" s="0" t="inlineStr">
        <is>
          <t xml:space="preserve">EJ8LYVPT4KR9</t>
        </is>
      </c>
      <c r="D598" s="0" t="inlineStr">
        <is>
          <t xml:space="preserve">-</t>
        </is>
      </c>
      <c r="E598" s="0" t="inlineStr">
        <is>
          <t xml:space="preserve">-</t>
        </is>
      </c>
      <c r="F598" s="0" t="inlineStr">
        <is>
          <t xml:space="preserve">-</t>
        </is>
      </c>
      <c r="G598" s="5">
        <v>1.30196</v>
      </c>
      <c r="H598" s="0" t="inlineStr">
        <is>
          <t xml:space="preserve">supplier</t>
        </is>
      </c>
      <c r="I598" s="0" t="inlineStr">
        <is>
          <t xml:space="preserve">unbucketed</t>
        </is>
      </c>
      <c r="J598" s="0" t="inlineStr">
        <is>
          <t xml:space="preserve">residual</t>
        </is>
      </c>
      <c r="K598" s="5">
        <v>0</v>
      </c>
      <c r="L598" s="5">
        <v>0</v>
      </c>
      <c r="M598" s="5">
        <v>0.199002</v>
      </c>
      <c r="N598" s="5">
        <v>0.0</v>
      </c>
      <c r="O598" s="5">
        <v>0.0</v>
      </c>
      <c r="P598" s="5">
        <v>0.050245</v>
      </c>
      <c r="Q598" s="5">
        <v>0.097546</v>
      </c>
    </row>
    <row r="599" outlineLevel="1">
      <c r="B599" s="0" t="inlineStr">
        <is>
          <t xml:space="preserve">SPIRAX-SARCO ENGINEERING PLC</t>
        </is>
      </c>
      <c r="C599" s="0" t="inlineStr">
        <is>
          <t xml:space="preserve">M8ZHL8ZXGQP5</t>
        </is>
      </c>
      <c r="D599" s="0" t="inlineStr">
        <is>
          <t xml:space="preserve">-</t>
        </is>
      </c>
      <c r="E599" s="0" t="inlineStr">
        <is>
          <t xml:space="preserve">-</t>
        </is>
      </c>
      <c r="F599" s="0" t="inlineStr">
        <is>
          <t xml:space="preserve">-</t>
        </is>
      </c>
      <c r="G599" s="5">
        <v>1.2995002599999999</v>
      </c>
      <c r="H599" s="0" t="inlineStr">
        <is>
          <t xml:space="preserve">supplier</t>
        </is>
      </c>
      <c r="I599" s="0" t="inlineStr">
        <is>
          <t xml:space="preserve">unbucketed</t>
        </is>
      </c>
      <c r="J599" s="0" t="inlineStr">
        <is>
          <t xml:space="preserve">residual</t>
        </is>
      </c>
      <c r="K599" s="5">
        <v>0</v>
      </c>
      <c r="L599" s="5">
        <v>0</v>
      </c>
      <c r="M599" s="5">
        <v>0.59972351</v>
      </c>
      <c r="N599" s="5">
        <v>0.0</v>
      </c>
      <c r="O599" s="5">
        <v>0.0</v>
      </c>
      <c r="P599" s="5">
        <v>0.0</v>
      </c>
      <c r="Q599" s="5">
        <v>0.0</v>
      </c>
    </row>
    <row r="600" outlineLevel="1">
      <c r="B600" s="0" t="inlineStr">
        <is>
          <t xml:space="preserve">EVAC NORTH AMERICA INC.</t>
        </is>
      </c>
      <c r="C600" s="0" t="inlineStr">
        <is>
          <t xml:space="preserve">N6P1AGPMV456</t>
        </is>
      </c>
      <c r="D600" s="0" t="inlineStr">
        <is>
          <t xml:space="preserve">-</t>
        </is>
      </c>
      <c r="E600" s="0" t="inlineStr">
        <is>
          <t xml:space="preserve">-</t>
        </is>
      </c>
      <c r="F600" s="0" t="inlineStr">
        <is>
          <t xml:space="preserve">-</t>
        </is>
      </c>
      <c r="G600" s="5">
        <v>1.29717517</v>
      </c>
      <c r="H600" s="0" t="inlineStr">
        <is>
          <t xml:space="preserve">supplier</t>
        </is>
      </c>
      <c r="I600" s="0" t="inlineStr">
        <is>
          <t xml:space="preserve">piping</t>
        </is>
      </c>
      <c r="J600" s="0" t="inlineStr">
        <is>
          <t xml:space="preserve">registry</t>
        </is>
      </c>
      <c r="K600" s="5">
        <v>0</v>
      </c>
      <c r="L600" s="5">
        <v>0</v>
      </c>
      <c r="M600" s="5">
        <v>1.29717517</v>
      </c>
      <c r="N600" s="5">
        <v>0.24764836</v>
      </c>
      <c r="O600" s="5">
        <v>1.0495268100000001</v>
      </c>
      <c r="P600" s="5">
        <v>0.0</v>
      </c>
      <c r="Q600" s="5">
        <v>0.0</v>
      </c>
    </row>
    <row r="601" outlineLevel="1">
      <c r="B601" s="0" t="inlineStr">
        <is>
          <t xml:space="preserve">WOOLF AIRCRAFT PRODUCTS, INC</t>
        </is>
      </c>
      <c r="C601" s="0" t="inlineStr">
        <is>
          <t xml:space="preserve">DUBENSKH21G8</t>
        </is>
      </c>
      <c r="D601" s="0" t="inlineStr">
        <is>
          <t xml:space="preserve">-</t>
        </is>
      </c>
      <c r="E601" s="0" t="inlineStr">
        <is>
          <t xml:space="preserve">-</t>
        </is>
      </c>
      <c r="F601" s="0" t="inlineStr">
        <is>
          <t xml:space="preserve">-</t>
        </is>
      </c>
      <c r="G601" s="5">
        <v>1.294171</v>
      </c>
      <c r="H601" s="0" t="inlineStr">
        <is>
          <t xml:space="preserve">supplier</t>
        </is>
      </c>
      <c r="I601" s="0" t="inlineStr">
        <is>
          <t xml:space="preserve">unbucketed</t>
        </is>
      </c>
      <c r="J601" s="0" t="inlineStr">
        <is>
          <t xml:space="preserve">residual</t>
        </is>
      </c>
      <c r="K601" s="5">
        <v>0</v>
      </c>
      <c r="L601" s="5">
        <v>0</v>
      </c>
      <c r="M601" s="5">
        <v>0.0</v>
      </c>
      <c r="N601" s="5">
        <v>0.0</v>
      </c>
      <c r="O601" s="5">
        <v>0.0</v>
      </c>
      <c r="P601" s="5">
        <v>0.0</v>
      </c>
      <c r="Q601" s="5">
        <v>0.0</v>
      </c>
    </row>
    <row r="602" outlineLevel="1">
      <c r="B602" s="0" t="inlineStr">
        <is>
          <t xml:space="preserve">TCH DISTRIBUTORS, LLC</t>
        </is>
      </c>
      <c r="C602" s="0" t="inlineStr">
        <is>
          <t xml:space="preserve">FUNJJEK23XN5</t>
        </is>
      </c>
      <c r="D602" s="0" t="inlineStr">
        <is>
          <t xml:space="preserve">-</t>
        </is>
      </c>
      <c r="E602" s="0" t="inlineStr">
        <is>
          <t xml:space="preserve">-</t>
        </is>
      </c>
      <c r="F602" s="0" t="inlineStr">
        <is>
          <t xml:space="preserve">-</t>
        </is>
      </c>
      <c r="G602" s="5">
        <v>1.2940926499999998</v>
      </c>
      <c r="H602" s="0" t="inlineStr">
        <is>
          <t xml:space="preserve">supplier</t>
        </is>
      </c>
      <c r="I602" s="0" t="inlineStr">
        <is>
          <t xml:space="preserve">unbucketed</t>
        </is>
      </c>
      <c r="J602" s="0" t="inlineStr">
        <is>
          <t xml:space="preserve">residual</t>
        </is>
      </c>
      <c r="K602" s="5">
        <v>0</v>
      </c>
      <c r="L602" s="5">
        <v>0</v>
      </c>
      <c r="M602" s="5">
        <v>1.2940926499999998</v>
      </c>
      <c r="N602" s="5">
        <v>0.12937365</v>
      </c>
      <c r="O602" s="5">
        <v>0.0</v>
      </c>
      <c r="P602" s="5">
        <v>0.0</v>
      </c>
      <c r="Q602" s="5">
        <v>0.980319</v>
      </c>
    </row>
    <row r="603" outlineLevel="1">
      <c r="B603" s="0" t="inlineStr">
        <is>
          <t xml:space="preserve">KATO ENGINEERING INC.</t>
        </is>
      </c>
      <c r="C603" s="0" t="inlineStr">
        <is>
          <t xml:space="preserve">M467BSNHK9J8</t>
        </is>
      </c>
      <c r="D603" s="0" t="inlineStr">
        <is>
          <t xml:space="preserve">-</t>
        </is>
      </c>
      <c r="E603" s="0" t="inlineStr">
        <is>
          <t xml:space="preserve">-</t>
        </is>
      </c>
      <c r="F603" s="0" t="inlineStr">
        <is>
          <t xml:space="preserve">-</t>
        </is>
      </c>
      <c r="G603" s="5">
        <v>1.2926043600000001</v>
      </c>
      <c r="H603" s="0" t="inlineStr">
        <is>
          <t xml:space="preserve">supplier</t>
        </is>
      </c>
      <c r="I603" s="0" t="inlineStr">
        <is>
          <t xml:space="preserve">unbucketed</t>
        </is>
      </c>
      <c r="J603" s="0" t="inlineStr">
        <is>
          <t xml:space="preserve">residual</t>
        </is>
      </c>
      <c r="K603" s="5">
        <v>0</v>
      </c>
      <c r="L603" s="5">
        <v>0</v>
      </c>
      <c r="M603" s="5">
        <v>1.2926043600000001</v>
      </c>
      <c r="N603" s="5">
        <v>0.0</v>
      </c>
      <c r="O603" s="5">
        <v>0.0</v>
      </c>
      <c r="P603" s="5">
        <v>1.2926043600000001</v>
      </c>
      <c r="Q603" s="5">
        <v>0.0</v>
      </c>
    </row>
    <row r="604" outlineLevel="1">
      <c r="B604" s="0" t="inlineStr">
        <is>
          <t xml:space="preserve">RHOADS INDUSTRIES, INC.</t>
        </is>
      </c>
      <c r="C604" s="0" t="inlineStr">
        <is>
          <t xml:space="preserve">LPY6KXBKHMK8</t>
        </is>
      </c>
      <c r="D604" s="0" t="inlineStr">
        <is>
          <t xml:space="preserve">-</t>
        </is>
      </c>
      <c r="E604" s="0" t="inlineStr">
        <is>
          <t xml:space="preserve">-</t>
        </is>
      </c>
      <c r="F604" s="0" t="inlineStr">
        <is>
          <t xml:space="preserve">-</t>
        </is>
      </c>
      <c r="G604" s="5">
        <v>1.29</v>
      </c>
      <c r="H604" s="0" t="inlineStr">
        <is>
          <t xml:space="preserve">supplier</t>
        </is>
      </c>
      <c r="I604" s="0" t="inlineStr">
        <is>
          <t xml:space="preserve">unbucketed</t>
        </is>
      </c>
      <c r="J604" s="0" t="inlineStr">
        <is>
          <t xml:space="preserve">residual</t>
        </is>
      </c>
      <c r="K604" s="5">
        <v>0</v>
      </c>
      <c r="L604" s="5">
        <v>0</v>
      </c>
      <c r="M604" s="5">
        <v>0.0</v>
      </c>
      <c r="N604" s="5">
        <v>0.0</v>
      </c>
      <c r="O604" s="5">
        <v>0.0</v>
      </c>
      <c r="P604" s="5">
        <v>0.0</v>
      </c>
      <c r="Q604" s="5">
        <v>0.0</v>
      </c>
    </row>
    <row r="605" outlineLevel="1">
      <c r="B605" s="0" t="inlineStr">
        <is>
          <t xml:space="preserve">KAPCO, INC.</t>
        </is>
      </c>
      <c r="C605" s="0" t="inlineStr">
        <is>
          <t xml:space="preserve">LYBAK1CL2JK3</t>
        </is>
      </c>
      <c r="D605" s="0" t="inlineStr">
        <is>
          <t xml:space="preserve">-</t>
        </is>
      </c>
      <c r="E605" s="0" t="inlineStr">
        <is>
          <t xml:space="preserve">-</t>
        </is>
      </c>
      <c r="F605" s="0" t="inlineStr">
        <is>
          <t xml:space="preserve">-</t>
        </is>
      </c>
      <c r="G605" s="5">
        <v>1.28593748</v>
      </c>
      <c r="H605" s="0" t="inlineStr">
        <is>
          <t xml:space="preserve">supplier</t>
        </is>
      </c>
      <c r="I605" s="0" t="inlineStr">
        <is>
          <t xml:space="preserve">unbucketed</t>
        </is>
      </c>
      <c r="J605" s="0" t="inlineStr">
        <is>
          <t xml:space="preserve">residual</t>
        </is>
      </c>
      <c r="K605" s="5">
        <v>0</v>
      </c>
      <c r="L605" s="5">
        <v>0</v>
      </c>
      <c r="M605" s="5">
        <v>0.0</v>
      </c>
      <c r="N605" s="5">
        <v>0.0</v>
      </c>
      <c r="O605" s="5">
        <v>0.0</v>
      </c>
      <c r="P605" s="5">
        <v>0.0</v>
      </c>
      <c r="Q605" s="5">
        <v>0.0</v>
      </c>
    </row>
    <row r="606" outlineLevel="1">
      <c r="B606" s="0" t="inlineStr">
        <is>
          <t xml:space="preserve">GENERAL DYNAMICS CORPORATION</t>
        </is>
      </c>
      <c r="C606" s="0" t="inlineStr">
        <is>
          <t xml:space="preserve">KGF2CHWGJRK8</t>
        </is>
      </c>
      <c r="D606" s="0" t="inlineStr">
        <is>
          <t xml:space="preserve">USA</t>
        </is>
      </c>
      <c r="E606" s="0" t="inlineStr">
        <is>
          <t xml:space="preserve">3369</t>
        </is>
      </c>
      <c r="F606" s="0" t="inlineStr">
        <is>
          <t xml:space="preserve">Military Armored Vehicle, Tank, and Tank Component Manufacturing</t>
        </is>
      </c>
      <c r="G606" s="5">
        <v>1.278108</v>
      </c>
      <c r="H606" s="0" t="inlineStr">
        <is>
          <t xml:space="preserve">prime</t>
        </is>
      </c>
      <c r="I606" s="0" t="inlineStr">
        <is>
          <t xml:space="preserve">-</t>
        </is>
      </c>
      <c r="J606" s="0" t="inlineStr">
        <is>
          <t xml:space="preserve">prime/co-prime name</t>
        </is>
      </c>
      <c r="K606" s="5">
        <v>0</v>
      </c>
      <c r="L606" s="5">
        <v>0</v>
      </c>
      <c r="M606" s="5">
        <v>0.0</v>
      </c>
      <c r="N606" s="5">
        <v>0.0</v>
      </c>
      <c r="O606" s="5">
        <v>0.0</v>
      </c>
      <c r="P606" s="5">
        <v>0.0</v>
      </c>
      <c r="Q606" s="5">
        <v>0.0</v>
      </c>
    </row>
    <row r="607" outlineLevel="1">
      <c r="B607" s="0" t="inlineStr">
        <is>
          <t xml:space="preserve">AZTEC GLOBAL SOLUTIONS, INC.</t>
        </is>
      </c>
      <c r="C607" s="0" t="inlineStr">
        <is>
          <t xml:space="preserve">CAKCE9S4WL78</t>
        </is>
      </c>
      <c r="D607" s="0" t="inlineStr">
        <is>
          <t xml:space="preserve">-</t>
        </is>
      </c>
      <c r="E607" s="0" t="inlineStr">
        <is>
          <t xml:space="preserve">-</t>
        </is>
      </c>
      <c r="F607" s="0" t="inlineStr">
        <is>
          <t xml:space="preserve">-</t>
        </is>
      </c>
      <c r="G607" s="5">
        <v>1.27598576</v>
      </c>
      <c r="H607" s="0" t="inlineStr">
        <is>
          <t xml:space="preserve">supplier</t>
        </is>
      </c>
      <c r="I607" s="0" t="inlineStr">
        <is>
          <t xml:space="preserve">unbucketed</t>
        </is>
      </c>
      <c r="J607" s="0" t="inlineStr">
        <is>
          <t xml:space="preserve">residual</t>
        </is>
      </c>
      <c r="K607" s="5">
        <v>0</v>
      </c>
      <c r="L607" s="5">
        <v>0</v>
      </c>
      <c r="M607" s="5">
        <v>1.27598576</v>
      </c>
      <c r="N607" s="5">
        <v>0.09781883999999999</v>
      </c>
      <c r="O607" s="5">
        <v>0.5271114599999999</v>
      </c>
      <c r="P607" s="5">
        <v>0.07364704</v>
      </c>
      <c r="Q607" s="5">
        <v>0.0</v>
      </c>
    </row>
    <row r="608" outlineLevel="1">
      <c r="B608" s="0" t="inlineStr">
        <is>
          <t xml:space="preserve">L.C.DOANE COMPANY,THE</t>
        </is>
      </c>
      <c r="C608" s="0" t="inlineStr">
        <is>
          <t xml:space="preserve">XFM4VGW1NBE4</t>
        </is>
      </c>
      <c r="D608" s="0" t="inlineStr">
        <is>
          <t xml:space="preserve">-</t>
        </is>
      </c>
      <c r="E608" s="0" t="inlineStr">
        <is>
          <t xml:space="preserve">-</t>
        </is>
      </c>
      <c r="F608" s="0" t="inlineStr">
        <is>
          <t xml:space="preserve">-</t>
        </is>
      </c>
      <c r="G608" s="5">
        <v>1.27488</v>
      </c>
      <c r="H608" s="0" t="inlineStr">
        <is>
          <t xml:space="preserve">supplier</t>
        </is>
      </c>
      <c r="I608" s="0" t="inlineStr">
        <is>
          <t xml:space="preserve">unbucketed</t>
        </is>
      </c>
      <c r="J608" s="0" t="inlineStr">
        <is>
          <t xml:space="preserve">residual</t>
        </is>
      </c>
      <c r="K608" s="5">
        <v>0</v>
      </c>
      <c r="L608" s="5">
        <v>0</v>
      </c>
      <c r="M608" s="5">
        <v>1.27488</v>
      </c>
      <c r="N608" s="5">
        <v>0.131011</v>
      </c>
      <c r="O608" s="5">
        <v>0.0</v>
      </c>
      <c r="P608" s="5">
        <v>0.0</v>
      </c>
      <c r="Q608" s="5">
        <v>0.0</v>
      </c>
    </row>
    <row r="609" outlineLevel="1">
      <c r="B609" s="0" t="inlineStr">
        <is>
          <t xml:space="preserve">TTI INC</t>
        </is>
      </c>
      <c r="C609" s="0" t="inlineStr">
        <is>
          <t xml:space="preserve">R2AVDXVQ4BC5</t>
        </is>
      </c>
      <c r="D609" s="0" t="inlineStr">
        <is>
          <t xml:space="preserve">-</t>
        </is>
      </c>
      <c r="E609" s="0" t="inlineStr">
        <is>
          <t xml:space="preserve">-</t>
        </is>
      </c>
      <c r="F609" s="0" t="inlineStr">
        <is>
          <t xml:space="preserve">-</t>
        </is>
      </c>
      <c r="G609" s="5">
        <v>1.2734029999999998</v>
      </c>
      <c r="H609" s="0" t="inlineStr">
        <is>
          <t xml:space="preserve">supplier</t>
        </is>
      </c>
      <c r="I609" s="0" t="inlineStr">
        <is>
          <t xml:space="preserve">unbucketed</t>
        </is>
      </c>
      <c r="J609" s="0" t="inlineStr">
        <is>
          <t xml:space="preserve">residual</t>
        </is>
      </c>
      <c r="K609" s="5">
        <v>0</v>
      </c>
      <c r="L609" s="5">
        <v>0</v>
      </c>
      <c r="M609" s="5">
        <v>0.0</v>
      </c>
      <c r="N609" s="5">
        <v>0.0</v>
      </c>
      <c r="O609" s="5">
        <v>0.0</v>
      </c>
      <c r="P609" s="5">
        <v>0.0</v>
      </c>
      <c r="Q609" s="5">
        <v>0.0</v>
      </c>
    </row>
    <row r="610" outlineLevel="1">
      <c r="B610" s="0" t="inlineStr">
        <is>
          <t xml:space="preserve">M.T. DAVIDSON COMPANY</t>
        </is>
      </c>
      <c r="C610" s="0" t="inlineStr">
        <is>
          <t xml:space="preserve">QVTKQ7LJE196</t>
        </is>
      </c>
      <c r="D610" s="0" t="inlineStr">
        <is>
          <t xml:space="preserve">-</t>
        </is>
      </c>
      <c r="E610" s="0" t="inlineStr">
        <is>
          <t xml:space="preserve">-</t>
        </is>
      </c>
      <c r="F610" s="0" t="inlineStr">
        <is>
          <t xml:space="preserve">-</t>
        </is>
      </c>
      <c r="G610" s="5">
        <v>1.2705592799999998</v>
      </c>
      <c r="H610" s="0" t="inlineStr">
        <is>
          <t xml:space="preserve">supplier</t>
        </is>
      </c>
      <c r="I610" s="0" t="inlineStr">
        <is>
          <t xml:space="preserve">unbucketed</t>
        </is>
      </c>
      <c r="J610" s="0" t="inlineStr">
        <is>
          <t xml:space="preserve">residual</t>
        </is>
      </c>
      <c r="K610" s="5">
        <v>0</v>
      </c>
      <c r="L610" s="5">
        <v>0</v>
      </c>
      <c r="M610" s="5">
        <v>1.2705592799999998</v>
      </c>
      <c r="N610" s="5">
        <v>0.0</v>
      </c>
      <c r="O610" s="5">
        <v>0.06262580000000001</v>
      </c>
      <c r="P610" s="5">
        <v>1.0690072599999998</v>
      </c>
      <c r="Q610" s="5">
        <v>0.13892622</v>
      </c>
    </row>
    <row r="611" outlineLevel="1">
      <c r="B611" s="0" t="inlineStr">
        <is>
          <t xml:space="preserve">INTRITEC</t>
        </is>
      </c>
      <c r="C611" s="0" t="inlineStr">
        <is>
          <t xml:space="preserve">G9JTK7A4JL35</t>
        </is>
      </c>
      <c r="D611" s="0" t="inlineStr">
        <is>
          <t xml:space="preserve">-</t>
        </is>
      </c>
      <c r="E611" s="0" t="inlineStr">
        <is>
          <t xml:space="preserve">-</t>
        </is>
      </c>
      <c r="F611" s="0" t="inlineStr">
        <is>
          <t xml:space="preserve">-</t>
        </is>
      </c>
      <c r="G611" s="5">
        <v>1.2673265199999997</v>
      </c>
      <c r="H611" s="0" t="inlineStr">
        <is>
          <t xml:space="preserve">supplier</t>
        </is>
      </c>
      <c r="I611" s="0" t="inlineStr">
        <is>
          <t xml:space="preserve">unbucketed</t>
        </is>
      </c>
      <c r="J611" s="0" t="inlineStr">
        <is>
          <t xml:space="preserve">residual</t>
        </is>
      </c>
      <c r="K611" s="5">
        <v>0</v>
      </c>
      <c r="L611" s="5">
        <v>0</v>
      </c>
      <c r="M611" s="5">
        <v>0.0</v>
      </c>
      <c r="N611" s="5">
        <v>0.0</v>
      </c>
      <c r="O611" s="5">
        <v>0.0</v>
      </c>
      <c r="P611" s="5">
        <v>0.0</v>
      </c>
      <c r="Q611" s="5">
        <v>0.0</v>
      </c>
    </row>
    <row r="612" outlineLevel="1">
      <c r="B612" s="0" t="inlineStr">
        <is>
          <t xml:space="preserve">KUDZU INTERNATIONAL INCORPORATED</t>
        </is>
      </c>
      <c r="C612" s="0" t="inlineStr">
        <is>
          <t xml:space="preserve">SMLSDML8NKE4</t>
        </is>
      </c>
      <c r="D612" s="0" t="inlineStr">
        <is>
          <t xml:space="preserve">-</t>
        </is>
      </c>
      <c r="E612" s="0" t="inlineStr">
        <is>
          <t xml:space="preserve">-</t>
        </is>
      </c>
      <c r="F612" s="0" t="inlineStr">
        <is>
          <t xml:space="preserve">-</t>
        </is>
      </c>
      <c r="G612" s="5">
        <v>1.26707787</v>
      </c>
      <c r="H612" s="0" t="inlineStr">
        <is>
          <t xml:space="preserve">supplier</t>
        </is>
      </c>
      <c r="I612" s="0" t="inlineStr">
        <is>
          <t xml:space="preserve">unbucketed</t>
        </is>
      </c>
      <c r="J612" s="0" t="inlineStr">
        <is>
          <t xml:space="preserve">residual</t>
        </is>
      </c>
      <c r="K612" s="5">
        <v>0</v>
      </c>
      <c r="L612" s="5">
        <v>0</v>
      </c>
      <c r="M612" s="5">
        <v>0.0</v>
      </c>
      <c r="N612" s="5">
        <v>0.0</v>
      </c>
      <c r="O612" s="5">
        <v>0.0</v>
      </c>
      <c r="P612" s="5">
        <v>0.0</v>
      </c>
      <c r="Q612" s="5">
        <v>0.0</v>
      </c>
    </row>
    <row r="613" outlineLevel="1">
      <c r="B613" s="0" t="inlineStr">
        <is>
          <t xml:space="preserve">BOLLINGER SHIPYARDS, INC</t>
        </is>
      </c>
      <c r="C613" s="0" t="inlineStr">
        <is>
          <t xml:space="preserve">J8ATNVMEGLK1</t>
        </is>
      </c>
      <c r="D613" s="0" t="inlineStr">
        <is>
          <t xml:space="preserve">-</t>
        </is>
      </c>
      <c r="E613" s="0" t="inlineStr">
        <is>
          <t xml:space="preserve">-</t>
        </is>
      </c>
      <c r="F613" s="0" t="inlineStr">
        <is>
          <t xml:space="preserve">-</t>
        </is>
      </c>
      <c r="G613" s="5">
        <v>1.2657348500000003</v>
      </c>
      <c r="H613" s="0" t="inlineStr">
        <is>
          <t xml:space="preserve">supplier</t>
        </is>
      </c>
      <c r="I613" s="0" t="inlineStr">
        <is>
          <t xml:space="preserve">unbucketed</t>
        </is>
      </c>
      <c r="J613" s="0" t="inlineStr">
        <is>
          <t xml:space="preserve">residual</t>
        </is>
      </c>
      <c r="K613" s="5">
        <v>0</v>
      </c>
      <c r="L613" s="5">
        <v>0</v>
      </c>
      <c r="M613" s="5">
        <v>1.2657348500000003</v>
      </c>
      <c r="N613" s="5">
        <v>0.07340992</v>
      </c>
      <c r="O613" s="5">
        <v>0.028109400000000003</v>
      </c>
      <c r="P613" s="5">
        <v>0.0</v>
      </c>
      <c r="Q613" s="5">
        <v>0.0</v>
      </c>
    </row>
    <row r="614" outlineLevel="1">
      <c r="B614" s="0" t="inlineStr">
        <is>
          <t xml:space="preserve">BOMCO, INC</t>
        </is>
      </c>
      <c r="C614" s="0" t="inlineStr">
        <is>
          <t xml:space="preserve">C194DZAJCFA3</t>
        </is>
      </c>
      <c r="D614" s="0" t="inlineStr">
        <is>
          <t xml:space="preserve">-</t>
        </is>
      </c>
      <c r="E614" s="0" t="inlineStr">
        <is>
          <t xml:space="preserve">-</t>
        </is>
      </c>
      <c r="F614" s="0" t="inlineStr">
        <is>
          <t xml:space="preserve">-</t>
        </is>
      </c>
      <c r="G614" s="5">
        <v>1.262376</v>
      </c>
      <c r="H614" s="0" t="inlineStr">
        <is>
          <t xml:space="preserve">supplier</t>
        </is>
      </c>
      <c r="I614" s="0" t="inlineStr">
        <is>
          <t xml:space="preserve">unbucketed</t>
        </is>
      </c>
      <c r="J614" s="0" t="inlineStr">
        <is>
          <t xml:space="preserve">residual</t>
        </is>
      </c>
      <c r="K614" s="5">
        <v>0</v>
      </c>
      <c r="L614" s="5">
        <v>0</v>
      </c>
      <c r="M614" s="5">
        <v>0.0</v>
      </c>
      <c r="N614" s="5">
        <v>0.0</v>
      </c>
      <c r="O614" s="5">
        <v>0.0</v>
      </c>
      <c r="P614" s="5">
        <v>0.0</v>
      </c>
      <c r="Q614" s="5">
        <v>0.0</v>
      </c>
    </row>
    <row r="615" outlineLevel="1">
      <c r="B615" s="0" t="inlineStr">
        <is>
          <t xml:space="preserve">SPARTON CORPORATION</t>
        </is>
      </c>
      <c r="C615" s="0" t="inlineStr">
        <is>
          <t xml:space="preserve">CYJ3L6SQANB4</t>
        </is>
      </c>
      <c r="D615" s="0" t="inlineStr">
        <is>
          <t xml:space="preserve">-</t>
        </is>
      </c>
      <c r="E615" s="0" t="inlineStr">
        <is>
          <t xml:space="preserve">-</t>
        </is>
      </c>
      <c r="F615" s="0" t="inlineStr">
        <is>
          <t xml:space="preserve">-</t>
        </is>
      </c>
      <c r="G615" s="5">
        <v>1.25746332</v>
      </c>
      <c r="H615" s="0" t="inlineStr">
        <is>
          <t xml:space="preserve">supplier</t>
        </is>
      </c>
      <c r="I615" s="0" t="inlineStr">
        <is>
          <t xml:space="preserve">unbucketed</t>
        </is>
      </c>
      <c r="J615" s="0" t="inlineStr">
        <is>
          <t xml:space="preserve">residual</t>
        </is>
      </c>
      <c r="K615" s="5">
        <v>0</v>
      </c>
      <c r="L615" s="5">
        <v>0</v>
      </c>
      <c r="M615" s="5">
        <v>0.060256</v>
      </c>
      <c r="N615" s="5">
        <v>0.0</v>
      </c>
      <c r="O615" s="5">
        <v>0.0</v>
      </c>
      <c r="P615" s="5">
        <v>0.0</v>
      </c>
      <c r="Q615" s="5">
        <v>0.0</v>
      </c>
    </row>
    <row r="616" outlineLevel="1">
      <c r="B616" s="0" t="inlineStr">
        <is>
          <t xml:space="preserve">AVNET, INC.</t>
        </is>
      </c>
      <c r="C616" s="0" t="inlineStr">
        <is>
          <t xml:space="preserve">J8WCYWJQKJE9</t>
        </is>
      </c>
      <c r="D616" s="0" t="inlineStr">
        <is>
          <t xml:space="preserve">-</t>
        </is>
      </c>
      <c r="E616" s="0" t="inlineStr">
        <is>
          <t xml:space="preserve">-</t>
        </is>
      </c>
      <c r="F616" s="0" t="inlineStr">
        <is>
          <t xml:space="preserve">-</t>
        </is>
      </c>
      <c r="G616" s="5">
        <v>1.2541329000000003</v>
      </c>
      <c r="H616" s="0" t="inlineStr">
        <is>
          <t xml:space="preserve">supplier</t>
        </is>
      </c>
      <c r="I616" s="0" t="inlineStr">
        <is>
          <t xml:space="preserve">unbucketed</t>
        </is>
      </c>
      <c r="J616" s="0" t="inlineStr">
        <is>
          <t xml:space="preserve">residual</t>
        </is>
      </c>
      <c r="K616" s="5">
        <v>0</v>
      </c>
      <c r="L616" s="5">
        <v>0</v>
      </c>
      <c r="M616" s="5">
        <v>0.0</v>
      </c>
      <c r="N616" s="5">
        <v>0.0</v>
      </c>
      <c r="O616" s="5">
        <v>0.0</v>
      </c>
      <c r="P616" s="5">
        <v>0.0</v>
      </c>
      <c r="Q616" s="5">
        <v>0.0</v>
      </c>
    </row>
    <row r="617" outlineLevel="1">
      <c r="B617" s="0" t="inlineStr">
        <is>
          <t xml:space="preserve">ELECTRIC HEATER CO</t>
        </is>
      </c>
      <c r="C617" s="0" t="inlineStr">
        <is>
          <t xml:space="preserve">RJGEKQDTZKT8</t>
        </is>
      </c>
      <c r="D617" s="0" t="inlineStr">
        <is>
          <t xml:space="preserve">-</t>
        </is>
      </c>
      <c r="E617" s="0" t="inlineStr">
        <is>
          <t xml:space="preserve">-</t>
        </is>
      </c>
      <c r="F617" s="0" t="inlineStr">
        <is>
          <t xml:space="preserve">-</t>
        </is>
      </c>
      <c r="G617" s="5">
        <v>1.2510830400000001</v>
      </c>
      <c r="H617" s="0" t="inlineStr">
        <is>
          <t xml:space="preserve">supplier</t>
        </is>
      </c>
      <c r="I617" s="0" t="inlineStr">
        <is>
          <t xml:space="preserve">unbucketed</t>
        </is>
      </c>
      <c r="J617" s="0" t="inlineStr">
        <is>
          <t xml:space="preserve">residual</t>
        </is>
      </c>
      <c r="K617" s="5">
        <v>0</v>
      </c>
      <c r="L617" s="5">
        <v>0</v>
      </c>
      <c r="M617" s="5">
        <v>1.2510830400000001</v>
      </c>
      <c r="N617" s="5">
        <v>0.0</v>
      </c>
      <c r="O617" s="5">
        <v>0.0</v>
      </c>
      <c r="P617" s="5">
        <v>1.2510830400000001</v>
      </c>
      <c r="Q617" s="5">
        <v>0.0</v>
      </c>
    </row>
    <row r="618" outlineLevel="1">
      <c r="B618" s="0" t="inlineStr">
        <is>
          <t xml:space="preserve">AIRCRAFT APPLIANCES AND EQUIPMENT LIMITED</t>
        </is>
      </c>
      <c r="C618" s="0" t="inlineStr">
        <is>
          <t xml:space="preserve">G78MQ69BN636</t>
        </is>
      </c>
      <c r="D618" s="0" t="inlineStr">
        <is>
          <t xml:space="preserve">Foreign</t>
        </is>
      </c>
      <c r="E618" s="0" t="inlineStr">
        <is>
          <t xml:space="preserve">-</t>
        </is>
      </c>
      <c r="F618" s="0" t="inlineStr">
        <is>
          <t xml:space="preserve">-</t>
        </is>
      </c>
      <c r="G618" s="5">
        <v>1.24743206</v>
      </c>
      <c r="H618" s="0" t="inlineStr">
        <is>
          <t xml:space="preserve">foreign_fms</t>
        </is>
      </c>
      <c r="I618" s="0" t="inlineStr">
        <is>
          <t xml:space="preserve">-</t>
        </is>
      </c>
      <c r="J618" s="0" t="inlineStr">
        <is>
          <t xml:space="preserve">foreign flag</t>
        </is>
      </c>
      <c r="K618" s="5">
        <v>0</v>
      </c>
      <c r="L618" s="5">
        <v>0</v>
      </c>
      <c r="M618" s="5">
        <v>1.24743206</v>
      </c>
      <c r="N618" s="5">
        <v>1.05450406</v>
      </c>
      <c r="O618" s="5">
        <v>0.192928</v>
      </c>
      <c r="P618" s="5">
        <v>0.0</v>
      </c>
      <c r="Q618" s="5">
        <v>0.0</v>
      </c>
    </row>
    <row r="619" outlineLevel="1">
      <c r="B619" s="0" t="inlineStr">
        <is>
          <t xml:space="preserve">ITT CORPORATION</t>
        </is>
      </c>
      <c r="C619" s="0" t="inlineStr">
        <is>
          <t xml:space="preserve">NHA2LDXZPES3</t>
        </is>
      </c>
      <c r="D619" s="0" t="inlineStr">
        <is>
          <t xml:space="preserve">-</t>
        </is>
      </c>
      <c r="E619" s="0" t="inlineStr">
        <is>
          <t xml:space="preserve">-</t>
        </is>
      </c>
      <c r="F619" s="0" t="inlineStr">
        <is>
          <t xml:space="preserve">-</t>
        </is>
      </c>
      <c r="G619" s="5">
        <v>1.24728472</v>
      </c>
      <c r="H619" s="0" t="inlineStr">
        <is>
          <t xml:space="preserve">supplier</t>
        </is>
      </c>
      <c r="I619" s="0" t="inlineStr">
        <is>
          <t xml:space="preserve">unbucketed</t>
        </is>
      </c>
      <c r="J619" s="0" t="inlineStr">
        <is>
          <t xml:space="preserve">residual</t>
        </is>
      </c>
      <c r="K619" s="5">
        <v>0</v>
      </c>
      <c r="L619" s="5">
        <v>0</v>
      </c>
      <c r="M619" s="5">
        <v>0.0</v>
      </c>
      <c r="N619" s="5">
        <v>0.0</v>
      </c>
      <c r="O619" s="5">
        <v>0.0</v>
      </c>
      <c r="P619" s="5">
        <v>0.0</v>
      </c>
      <c r="Q619" s="5">
        <v>0.0</v>
      </c>
    </row>
    <row r="620" outlineLevel="1">
      <c r="B620" s="0" t="inlineStr">
        <is>
          <t xml:space="preserve">CRANE CO</t>
        </is>
      </c>
      <c r="C620" s="0" t="inlineStr">
        <is>
          <t xml:space="preserve">ZJYJB7MBFE56</t>
        </is>
      </c>
      <c r="D620" s="0" t="inlineStr">
        <is>
          <t xml:space="preserve">-</t>
        </is>
      </c>
      <c r="E620" s="0" t="inlineStr">
        <is>
          <t xml:space="preserve">-</t>
        </is>
      </c>
      <c r="F620" s="0" t="inlineStr">
        <is>
          <t xml:space="preserve">-</t>
        </is>
      </c>
      <c r="G620" s="5">
        <v>1.2434479999999999</v>
      </c>
      <c r="H620" s="0" t="inlineStr">
        <is>
          <t xml:space="preserve">supplier</t>
        </is>
      </c>
      <c r="I620" s="0" t="inlineStr">
        <is>
          <t xml:space="preserve">unbucketed</t>
        </is>
      </c>
      <c r="J620" s="0" t="inlineStr">
        <is>
          <t xml:space="preserve">residual</t>
        </is>
      </c>
      <c r="K620" s="5">
        <v>0</v>
      </c>
      <c r="L620" s="5">
        <v>0</v>
      </c>
      <c r="M620" s="5">
        <v>0.0</v>
      </c>
      <c r="N620" s="5">
        <v>0.0</v>
      </c>
      <c r="O620" s="5">
        <v>0.0</v>
      </c>
      <c r="P620" s="5">
        <v>0.0</v>
      </c>
      <c r="Q620" s="5">
        <v>0.0</v>
      </c>
    </row>
    <row r="621" outlineLevel="1">
      <c r="B621" s="0" t="inlineStr">
        <is>
          <t xml:space="preserve">XCHANGER MANUFACTURING CORPORATION</t>
        </is>
      </c>
      <c r="C621" s="0" t="inlineStr">
        <is>
          <t xml:space="preserve">VDGQNU1VJC64</t>
        </is>
      </c>
      <c r="D621" s="0" t="inlineStr">
        <is>
          <t xml:space="preserve">-</t>
        </is>
      </c>
      <c r="E621" s="0" t="inlineStr">
        <is>
          <t xml:space="preserve">-</t>
        </is>
      </c>
      <c r="F621" s="0" t="inlineStr">
        <is>
          <t xml:space="preserve">-</t>
        </is>
      </c>
      <c r="G621" s="5">
        <v>1.2354699999999998</v>
      </c>
      <c r="H621" s="0" t="inlineStr">
        <is>
          <t xml:space="preserve">supplier</t>
        </is>
      </c>
      <c r="I621" s="0" t="inlineStr">
        <is>
          <t xml:space="preserve">unbucketed</t>
        </is>
      </c>
      <c r="J621" s="0" t="inlineStr">
        <is>
          <t xml:space="preserve">residual</t>
        </is>
      </c>
      <c r="K621" s="5">
        <v>0</v>
      </c>
      <c r="L621" s="5">
        <v>0</v>
      </c>
      <c r="M621" s="5">
        <v>1.2354699999999998</v>
      </c>
      <c r="N621" s="5">
        <v>0.0</v>
      </c>
      <c r="O621" s="5">
        <v>0.0</v>
      </c>
      <c r="P621" s="5">
        <v>0.76542</v>
      </c>
      <c r="Q621" s="5">
        <v>0.0</v>
      </c>
    </row>
    <row r="622" outlineLevel="1">
      <c r="B622" s="0" t="inlineStr">
        <is>
          <t xml:space="preserve">PHOENIX GROUP OF VIRGINIA, INC.</t>
        </is>
      </c>
      <c r="C622" s="0" t="inlineStr">
        <is>
          <t xml:space="preserve">DW33W8L3N1P8</t>
        </is>
      </c>
      <c r="D622" s="0" t="inlineStr">
        <is>
          <t xml:space="preserve">-</t>
        </is>
      </c>
      <c r="E622" s="0" t="inlineStr">
        <is>
          <t xml:space="preserve">-</t>
        </is>
      </c>
      <c r="F622" s="0" t="inlineStr">
        <is>
          <t xml:space="preserve">-</t>
        </is>
      </c>
      <c r="G622" s="5">
        <v>1.2263941100000002</v>
      </c>
      <c r="H622" s="0" t="inlineStr">
        <is>
          <t xml:space="preserve">supplier</t>
        </is>
      </c>
      <c r="I622" s="0" t="inlineStr">
        <is>
          <t xml:space="preserve">unbucketed</t>
        </is>
      </c>
      <c r="J622" s="0" t="inlineStr">
        <is>
          <t xml:space="preserve">residual</t>
        </is>
      </c>
      <c r="K622" s="5">
        <v>0</v>
      </c>
      <c r="L622" s="5">
        <v>0</v>
      </c>
      <c r="M622" s="5">
        <v>1.2263941100000002</v>
      </c>
      <c r="N622" s="5">
        <v>0.215885</v>
      </c>
      <c r="O622" s="5">
        <v>0.0</v>
      </c>
      <c r="P622" s="5">
        <v>0.0</v>
      </c>
      <c r="Q622" s="5">
        <v>0.0</v>
      </c>
    </row>
    <row r="623" outlineLevel="1">
      <c r="B623" s="0" t="inlineStr">
        <is>
          <t xml:space="preserve">CAROLINA POWER SYSTEMS OF SUMTER INC</t>
        </is>
      </c>
      <c r="C623" s="0" t="inlineStr">
        <is>
          <t xml:space="preserve">UK6NAHCH8459</t>
        </is>
      </c>
      <c r="D623" s="0" t="inlineStr">
        <is>
          <t xml:space="preserve">-</t>
        </is>
      </c>
      <c r="E623" s="0" t="inlineStr">
        <is>
          <t xml:space="preserve">-</t>
        </is>
      </c>
      <c r="F623" s="0" t="inlineStr">
        <is>
          <t xml:space="preserve">-</t>
        </is>
      </c>
      <c r="G623" s="5">
        <v>1.2247101900000001</v>
      </c>
      <c r="H623" s="0" t="inlineStr">
        <is>
          <t xml:space="preserve">supplier</t>
        </is>
      </c>
      <c r="I623" s="0" t="inlineStr">
        <is>
          <t xml:space="preserve">unbucketed</t>
        </is>
      </c>
      <c r="J623" s="0" t="inlineStr">
        <is>
          <t xml:space="preserve">residual</t>
        </is>
      </c>
      <c r="K623" s="5">
        <v>0</v>
      </c>
      <c r="L623" s="5">
        <v>0</v>
      </c>
      <c r="M623" s="5">
        <v>1.2247101900000001</v>
      </c>
      <c r="N623" s="5">
        <v>0.0</v>
      </c>
      <c r="O623" s="5">
        <v>0.0</v>
      </c>
      <c r="P623" s="5">
        <v>1.0689821899999998</v>
      </c>
      <c r="Q623" s="5">
        <v>0.0</v>
      </c>
    </row>
    <row r="624" outlineLevel="1">
      <c r="B624" s="0" t="inlineStr">
        <is>
          <t xml:space="preserve">ABACO SYSTEMS, INC.</t>
        </is>
      </c>
      <c r="C624" s="0" t="inlineStr">
        <is>
          <t xml:space="preserve">WLHBRDWEW7T4</t>
        </is>
      </c>
      <c r="D624" s="0" t="inlineStr">
        <is>
          <t xml:space="preserve">USA</t>
        </is>
      </c>
      <c r="E624" s="0" t="inlineStr">
        <is>
          <t xml:space="preserve">3344</t>
        </is>
      </c>
      <c r="F624" s="0" t="inlineStr">
        <is>
          <t xml:space="preserve">Printed Circuit Assembly (Electronic Assembly) Manufacturing</t>
        </is>
      </c>
      <c r="G624" s="5">
        <v>1.2158606699999999</v>
      </c>
      <c r="H624" s="0" t="inlineStr">
        <is>
          <t xml:space="preserve">supplier</t>
        </is>
      </c>
      <c r="I624" s="0" t="inlineStr">
        <is>
          <t xml:space="preserve">unbucketed</t>
        </is>
      </c>
      <c r="J624" s="0" t="inlineStr">
        <is>
          <t xml:space="preserve">residual</t>
        </is>
      </c>
      <c r="K624" s="5">
        <v>0</v>
      </c>
      <c r="L624" s="5">
        <v>0</v>
      </c>
      <c r="M624" s="5">
        <v>0.0</v>
      </c>
      <c r="N624" s="5">
        <v>0.0</v>
      </c>
      <c r="O624" s="5">
        <v>0.0</v>
      </c>
      <c r="P624" s="5">
        <v>0.0</v>
      </c>
      <c r="Q624" s="5">
        <v>0.0</v>
      </c>
    </row>
    <row r="625" outlineLevel="1">
      <c r="B625" s="0" t="inlineStr">
        <is>
          <t xml:space="preserve">MARWAY POWER SYSTEMS, INC</t>
        </is>
      </c>
      <c r="C625" s="0" t="inlineStr">
        <is>
          <t xml:space="preserve">UXVTFYJT5PN7</t>
        </is>
      </c>
      <c r="D625" s="0" t="inlineStr">
        <is>
          <t xml:space="preserve">-</t>
        </is>
      </c>
      <c r="E625" s="0" t="inlineStr">
        <is>
          <t xml:space="preserve">-</t>
        </is>
      </c>
      <c r="F625" s="0" t="inlineStr">
        <is>
          <t xml:space="preserve">-</t>
        </is>
      </c>
      <c r="G625" s="5">
        <v>1.212742</v>
      </c>
      <c r="H625" s="0" t="inlineStr">
        <is>
          <t xml:space="preserve">supplier</t>
        </is>
      </c>
      <c r="I625" s="0" t="inlineStr">
        <is>
          <t xml:space="preserve">unbucketed</t>
        </is>
      </c>
      <c r="J625" s="0" t="inlineStr">
        <is>
          <t xml:space="preserve">residual</t>
        </is>
      </c>
      <c r="K625" s="5">
        <v>0</v>
      </c>
      <c r="L625" s="5">
        <v>0</v>
      </c>
      <c r="M625" s="5">
        <v>0.0</v>
      </c>
      <c r="N625" s="5">
        <v>0.0</v>
      </c>
      <c r="O625" s="5">
        <v>0.0</v>
      </c>
      <c r="P625" s="5">
        <v>0.0</v>
      </c>
      <c r="Q625" s="5">
        <v>0.0</v>
      </c>
    </row>
    <row r="626" outlineLevel="1">
      <c r="B626" s="0" t="inlineStr">
        <is>
          <t xml:space="preserve">QUALITY PERFORMANCE INC</t>
        </is>
      </c>
      <c r="C626" s="0" t="inlineStr">
        <is>
          <t xml:space="preserve">NBM4G4SAFQM3</t>
        </is>
      </c>
      <c r="D626" s="0" t="inlineStr">
        <is>
          <t xml:space="preserve">-</t>
        </is>
      </c>
      <c r="E626" s="0" t="inlineStr">
        <is>
          <t xml:space="preserve">-</t>
        </is>
      </c>
      <c r="F626" s="0" t="inlineStr">
        <is>
          <t xml:space="preserve">-</t>
        </is>
      </c>
      <c r="G626" s="5">
        <v>1.20768479</v>
      </c>
      <c r="H626" s="0" t="inlineStr">
        <is>
          <t xml:space="preserve">supplier</t>
        </is>
      </c>
      <c r="I626" s="0" t="inlineStr">
        <is>
          <t xml:space="preserve">unbucketed</t>
        </is>
      </c>
      <c r="J626" s="0" t="inlineStr">
        <is>
          <t xml:space="preserve">residual</t>
        </is>
      </c>
      <c r="K626" s="5">
        <v>0</v>
      </c>
      <c r="L626" s="5">
        <v>0</v>
      </c>
      <c r="M626" s="5">
        <v>1.20768479</v>
      </c>
      <c r="N626" s="5">
        <v>0.28869729</v>
      </c>
      <c r="O626" s="5">
        <v>0.9189874999999998</v>
      </c>
      <c r="P626" s="5">
        <v>0.0</v>
      </c>
      <c r="Q626" s="5">
        <v>0.0</v>
      </c>
    </row>
    <row r="627" outlineLevel="1">
      <c r="B627" s="0" t="inlineStr">
        <is>
          <t xml:space="preserve">C. A. SPALDING COMPANY</t>
        </is>
      </c>
      <c r="C627" s="0" t="inlineStr">
        <is>
          <t xml:space="preserve">JHJ2EFQB4718</t>
        </is>
      </c>
      <c r="D627" s="0" t="inlineStr">
        <is>
          <t xml:space="preserve">-</t>
        </is>
      </c>
      <c r="E627" s="0" t="inlineStr">
        <is>
          <t xml:space="preserve">-</t>
        </is>
      </c>
      <c r="F627" s="0" t="inlineStr">
        <is>
          <t xml:space="preserve">-</t>
        </is>
      </c>
      <c r="G627" s="5">
        <v>1.2061802799999999</v>
      </c>
      <c r="H627" s="0" t="inlineStr">
        <is>
          <t xml:space="preserve">supplier</t>
        </is>
      </c>
      <c r="I627" s="0" t="inlineStr">
        <is>
          <t xml:space="preserve">unbucketed</t>
        </is>
      </c>
      <c r="J627" s="0" t="inlineStr">
        <is>
          <t xml:space="preserve">residual</t>
        </is>
      </c>
      <c r="K627" s="5">
        <v>0</v>
      </c>
      <c r="L627" s="5">
        <v>0</v>
      </c>
      <c r="M627" s="5">
        <v>0.0</v>
      </c>
      <c r="N627" s="5">
        <v>0.0</v>
      </c>
      <c r="O627" s="5">
        <v>0.0</v>
      </c>
      <c r="P627" s="5">
        <v>0.0</v>
      </c>
      <c r="Q627" s="5">
        <v>0.0</v>
      </c>
    </row>
    <row r="628" outlineLevel="1">
      <c r="B628" s="0" t="inlineStr">
        <is>
          <t xml:space="preserve">NAC GROUP, INC.</t>
        </is>
      </c>
      <c r="C628" s="0" t="inlineStr">
        <is>
          <t xml:space="preserve">J7JJKMJGC7K1</t>
        </is>
      </c>
      <c r="D628" s="0" t="inlineStr">
        <is>
          <t xml:space="preserve">-</t>
        </is>
      </c>
      <c r="E628" s="0" t="inlineStr">
        <is>
          <t xml:space="preserve">-</t>
        </is>
      </c>
      <c r="F628" s="0" t="inlineStr">
        <is>
          <t xml:space="preserve">-</t>
        </is>
      </c>
      <c r="G628" s="5">
        <v>1.1998185000000001</v>
      </c>
      <c r="H628" s="0" t="inlineStr">
        <is>
          <t xml:space="preserve">supplier</t>
        </is>
      </c>
      <c r="I628" s="0" t="inlineStr">
        <is>
          <t xml:space="preserve">unbucketed</t>
        </is>
      </c>
      <c r="J628" s="0" t="inlineStr">
        <is>
          <t xml:space="preserve">residual</t>
        </is>
      </c>
      <c r="K628" s="5">
        <v>0</v>
      </c>
      <c r="L628" s="5">
        <v>0</v>
      </c>
      <c r="M628" s="5">
        <v>1.02044138</v>
      </c>
      <c r="N628" s="5">
        <v>0.0</v>
      </c>
      <c r="O628" s="5">
        <v>0.15639387999999999</v>
      </c>
      <c r="P628" s="5">
        <v>0.0</v>
      </c>
      <c r="Q628" s="5">
        <v>0.30878308</v>
      </c>
    </row>
    <row r="629" outlineLevel="1">
      <c r="B629" s="0" t="inlineStr">
        <is>
          <t xml:space="preserve">THE JORDAN COMPANY L P</t>
        </is>
      </c>
      <c r="C629" s="0" t="inlineStr">
        <is>
          <t xml:space="preserve">CHKKPGHNUYX1</t>
        </is>
      </c>
      <c r="D629" s="0" t="inlineStr">
        <is>
          <t xml:space="preserve">-</t>
        </is>
      </c>
      <c r="E629" s="0" t="inlineStr">
        <is>
          <t xml:space="preserve">-</t>
        </is>
      </c>
      <c r="F629" s="0" t="inlineStr">
        <is>
          <t xml:space="preserve">-</t>
        </is>
      </c>
      <c r="G629" s="5">
        <v>1.19337103</v>
      </c>
      <c r="H629" s="0" t="inlineStr">
        <is>
          <t xml:space="preserve">supplier</t>
        </is>
      </c>
      <c r="I629" s="0" t="inlineStr">
        <is>
          <t xml:space="preserve">unbucketed</t>
        </is>
      </c>
      <c r="J629" s="0" t="inlineStr">
        <is>
          <t xml:space="preserve">residual</t>
        </is>
      </c>
      <c r="K629" s="5">
        <v>0</v>
      </c>
      <c r="L629" s="5">
        <v>0</v>
      </c>
      <c r="M629" s="5">
        <v>0.0</v>
      </c>
      <c r="N629" s="5">
        <v>0.0</v>
      </c>
      <c r="O629" s="5">
        <v>0.0</v>
      </c>
      <c r="P629" s="5">
        <v>0.0</v>
      </c>
      <c r="Q629" s="5">
        <v>0.0</v>
      </c>
    </row>
    <row r="630" outlineLevel="1">
      <c r="B630" s="0" t="inlineStr">
        <is>
          <t xml:space="preserve">NAVAL ENGINEERING SUPPORT INC</t>
        </is>
      </c>
      <c r="C630" s="0" t="inlineStr">
        <is>
          <t xml:space="preserve">LCYTE2L5JEP4</t>
        </is>
      </c>
      <c r="D630" s="0" t="inlineStr">
        <is>
          <t xml:space="preserve">-</t>
        </is>
      </c>
      <c r="E630" s="0" t="inlineStr">
        <is>
          <t xml:space="preserve">-</t>
        </is>
      </c>
      <c r="F630" s="0" t="inlineStr">
        <is>
          <t xml:space="preserve">-</t>
        </is>
      </c>
      <c r="G630" s="5">
        <v>1.1923620000000001</v>
      </c>
      <c r="H630" s="0" t="inlineStr">
        <is>
          <t xml:space="preserve">supplier</t>
        </is>
      </c>
      <c r="I630" s="0" t="inlineStr">
        <is>
          <t xml:space="preserve">unbucketed</t>
        </is>
      </c>
      <c r="J630" s="0" t="inlineStr">
        <is>
          <t xml:space="preserve">residual</t>
        </is>
      </c>
      <c r="K630" s="5">
        <v>0</v>
      </c>
      <c r="L630" s="5">
        <v>0</v>
      </c>
      <c r="M630" s="5">
        <v>1.1923620000000001</v>
      </c>
      <c r="N630" s="5">
        <v>0.0</v>
      </c>
      <c r="O630" s="5">
        <v>0.0</v>
      </c>
      <c r="P630" s="5">
        <v>0.996722</v>
      </c>
      <c r="Q630" s="5">
        <v>0.267063</v>
      </c>
    </row>
    <row r="631" outlineLevel="1">
      <c r="B631" s="0" t="inlineStr">
        <is>
          <t xml:space="preserve">BHE RENEWABLES LLC</t>
        </is>
      </c>
      <c r="C631" s="0" t="inlineStr">
        <is>
          <t xml:space="preserve">U6JRN865H4E3</t>
        </is>
      </c>
      <c r="D631" s="0" t="inlineStr">
        <is>
          <t xml:space="preserve">USA</t>
        </is>
      </c>
      <c r="E631" s="0" t="inlineStr">
        <is>
          <t xml:space="preserve">4236</t>
        </is>
      </c>
      <c r="F631" s="0" t="inlineStr">
        <is>
          <t xml:space="preserve">Other Electronic Parts and Equipment Merchant Wholesalers</t>
        </is>
      </c>
      <c r="G631" s="5">
        <v>1.191782</v>
      </c>
      <c r="H631" s="0" t="inlineStr">
        <is>
          <t xml:space="preserve">service</t>
        </is>
      </c>
      <c r="I631" s="0" t="inlineStr">
        <is>
          <t xml:space="preserve">-</t>
        </is>
      </c>
      <c r="J631" s="0" t="inlineStr">
        <is>
          <t xml:space="preserve">service NAICS</t>
        </is>
      </c>
      <c r="K631" s="5">
        <v>0</v>
      </c>
      <c r="L631" s="5">
        <v>0</v>
      </c>
      <c r="M631" s="5">
        <v>0.0</v>
      </c>
      <c r="N631" s="5">
        <v>0.0</v>
      </c>
      <c r="O631" s="5">
        <v>0.0</v>
      </c>
      <c r="P631" s="5">
        <v>0.0</v>
      </c>
      <c r="Q631" s="5">
        <v>0.0</v>
      </c>
    </row>
    <row r="632" outlineLevel="1">
      <c r="B632" s="0" t="inlineStr">
        <is>
          <t xml:space="preserve">ELECTRO ADAPTER INC</t>
        </is>
      </c>
      <c r="C632" s="0" t="inlineStr">
        <is>
          <t xml:space="preserve">G9JTK7A4JL35</t>
        </is>
      </c>
      <c r="D632" s="0" t="inlineStr">
        <is>
          <t xml:space="preserve">-</t>
        </is>
      </c>
      <c r="E632" s="0" t="inlineStr">
        <is>
          <t xml:space="preserve">-</t>
        </is>
      </c>
      <c r="F632" s="0" t="inlineStr">
        <is>
          <t xml:space="preserve">-</t>
        </is>
      </c>
      <c r="G632" s="5">
        <v>1.18748392</v>
      </c>
      <c r="H632" s="0" t="inlineStr">
        <is>
          <t xml:space="preserve">supplier</t>
        </is>
      </c>
      <c r="I632" s="0" t="inlineStr">
        <is>
          <t xml:space="preserve">unbucketed</t>
        </is>
      </c>
      <c r="J632" s="0" t="inlineStr">
        <is>
          <t xml:space="preserve">residual</t>
        </is>
      </c>
      <c r="K632" s="5">
        <v>0</v>
      </c>
      <c r="L632" s="5">
        <v>0</v>
      </c>
      <c r="M632" s="5">
        <v>0.0</v>
      </c>
      <c r="N632" s="5">
        <v>0.0</v>
      </c>
      <c r="O632" s="5">
        <v>0.0</v>
      </c>
      <c r="P632" s="5">
        <v>0.0</v>
      </c>
      <c r="Q632" s="5">
        <v>0.0</v>
      </c>
    </row>
    <row r="633" outlineLevel="1">
      <c r="B633" s="0" t="inlineStr">
        <is>
          <t xml:space="preserve">COLONNA'S SHIP YARD INCORPORATED</t>
        </is>
      </c>
      <c r="C633" s="0" t="inlineStr">
        <is>
          <t xml:space="preserve">JSAXGRLNEJ63</t>
        </is>
      </c>
      <c r="D633" s="0" t="inlineStr">
        <is>
          <t xml:space="preserve">-</t>
        </is>
      </c>
      <c r="E633" s="0" t="inlineStr">
        <is>
          <t xml:space="preserve">-</t>
        </is>
      </c>
      <c r="F633" s="0" t="inlineStr">
        <is>
          <t xml:space="preserve">-</t>
        </is>
      </c>
      <c r="G633" s="5">
        <v>1.18479752</v>
      </c>
      <c r="H633" s="0" t="inlineStr">
        <is>
          <t xml:space="preserve">supplier</t>
        </is>
      </c>
      <c r="I633" s="0" t="inlineStr">
        <is>
          <t xml:space="preserve">unbucketed</t>
        </is>
      </c>
      <c r="J633" s="0" t="inlineStr">
        <is>
          <t xml:space="preserve">residual</t>
        </is>
      </c>
      <c r="K633" s="5">
        <v>0</v>
      </c>
      <c r="L633" s="5">
        <v>0</v>
      </c>
      <c r="M633" s="5">
        <v>1.18479752</v>
      </c>
      <c r="N633" s="5">
        <v>0.0</v>
      </c>
      <c r="O633" s="5">
        <v>1.18479752</v>
      </c>
      <c r="P633" s="5">
        <v>0.0</v>
      </c>
      <c r="Q633" s="5">
        <v>0.0</v>
      </c>
    </row>
    <row r="634" outlineLevel="1">
      <c r="B634" s="0" t="inlineStr">
        <is>
          <t xml:space="preserve">MASTER MACHINE, INC.</t>
        </is>
      </c>
      <c r="C634" s="0" t="inlineStr">
        <is>
          <t xml:space="preserve">D8LCXTGXHJJ3</t>
        </is>
      </c>
      <c r="D634" s="0" t="inlineStr">
        <is>
          <t xml:space="preserve">-</t>
        </is>
      </c>
      <c r="E634" s="0" t="inlineStr">
        <is>
          <t xml:space="preserve">-</t>
        </is>
      </c>
      <c r="F634" s="0" t="inlineStr">
        <is>
          <t xml:space="preserve">-</t>
        </is>
      </c>
      <c r="G634" s="5">
        <v>1.18418446</v>
      </c>
      <c r="H634" s="0" t="inlineStr">
        <is>
          <t xml:space="preserve">supplier</t>
        </is>
      </c>
      <c r="I634" s="0" t="inlineStr">
        <is>
          <t xml:space="preserve">unbucketed</t>
        </is>
      </c>
      <c r="J634" s="0" t="inlineStr">
        <is>
          <t xml:space="preserve">residual</t>
        </is>
      </c>
      <c r="K634" s="5">
        <v>0</v>
      </c>
      <c r="L634" s="5">
        <v>0</v>
      </c>
      <c r="M634" s="5">
        <v>0.0</v>
      </c>
      <c r="N634" s="5">
        <v>0.0</v>
      </c>
      <c r="O634" s="5">
        <v>0.0</v>
      </c>
      <c r="P634" s="5">
        <v>0.0</v>
      </c>
      <c r="Q634" s="5">
        <v>0.0</v>
      </c>
    </row>
    <row r="635" outlineLevel="1">
      <c r="B635" s="0" t="inlineStr">
        <is>
          <t xml:space="preserve">UNITED RENTALS, INC.</t>
        </is>
      </c>
      <c r="C635" s="0" t="inlineStr">
        <is>
          <t xml:space="preserve">QFG7EC12DQK4</t>
        </is>
      </c>
      <c r="D635" s="0" t="inlineStr">
        <is>
          <t xml:space="preserve">-</t>
        </is>
      </c>
      <c r="E635" s="0" t="inlineStr">
        <is>
          <t xml:space="preserve">-</t>
        </is>
      </c>
      <c r="F635" s="0" t="inlineStr">
        <is>
          <t xml:space="preserve">-</t>
        </is>
      </c>
      <c r="G635" s="5">
        <v>1.1754169999999997</v>
      </c>
      <c r="H635" s="0" t="inlineStr">
        <is>
          <t xml:space="preserve">supplier</t>
        </is>
      </c>
      <c r="I635" s="0" t="inlineStr">
        <is>
          <t xml:space="preserve">unbucketed</t>
        </is>
      </c>
      <c r="J635" s="0" t="inlineStr">
        <is>
          <t xml:space="preserve">residual</t>
        </is>
      </c>
      <c r="K635" s="5">
        <v>0</v>
      </c>
      <c r="L635" s="5">
        <v>0</v>
      </c>
      <c r="M635" s="5">
        <v>0.073552</v>
      </c>
      <c r="N635" s="5">
        <v>0.0</v>
      </c>
      <c r="O635" s="5">
        <v>0.0</v>
      </c>
      <c r="P635" s="5">
        <v>0.0</v>
      </c>
      <c r="Q635" s="5">
        <v>0.0</v>
      </c>
    </row>
    <row r="636" outlineLevel="1">
      <c r="B636" s="0" t="inlineStr">
        <is>
          <t xml:space="preserve">WILLIAM E WILLIAMS VALVE CORP</t>
        </is>
      </c>
      <c r="C636" s="0" t="inlineStr">
        <is>
          <t xml:space="preserve">L2EDH4DX27J5</t>
        </is>
      </c>
      <c r="D636" s="0" t="inlineStr">
        <is>
          <t xml:space="preserve">-</t>
        </is>
      </c>
      <c r="E636" s="0" t="inlineStr">
        <is>
          <t xml:space="preserve">-</t>
        </is>
      </c>
      <c r="F636" s="0" t="inlineStr">
        <is>
          <t xml:space="preserve">-</t>
        </is>
      </c>
      <c r="G636" s="5">
        <v>1.172823</v>
      </c>
      <c r="H636" s="0" t="inlineStr">
        <is>
          <t xml:space="preserve">supplier</t>
        </is>
      </c>
      <c r="I636" s="0" t="inlineStr">
        <is>
          <t xml:space="preserve">unbucketed</t>
        </is>
      </c>
      <c r="J636" s="0" t="inlineStr">
        <is>
          <t xml:space="preserve">residual</t>
        </is>
      </c>
      <c r="K636" s="5">
        <v>0</v>
      </c>
      <c r="L636" s="5">
        <v>0</v>
      </c>
      <c r="M636" s="5">
        <v>1.172823</v>
      </c>
      <c r="N636" s="5">
        <v>0.0</v>
      </c>
      <c r="O636" s="5">
        <v>0.0</v>
      </c>
      <c r="P636" s="5">
        <v>0.5892820000000001</v>
      </c>
      <c r="Q636" s="5">
        <v>0.583541</v>
      </c>
    </row>
    <row r="637" outlineLevel="1">
      <c r="B637" s="0" t="inlineStr">
        <is>
          <t xml:space="preserve">MISSISSIPPI SECURITY POLICE, INC.</t>
        </is>
      </c>
      <c r="C637" s="0" t="inlineStr">
        <is>
          <t xml:space="preserve">KB45YQR3KSL5</t>
        </is>
      </c>
      <c r="D637" s="0" t="inlineStr">
        <is>
          <t xml:space="preserve">-</t>
        </is>
      </c>
      <c r="E637" s="0" t="inlineStr">
        <is>
          <t xml:space="preserve">-</t>
        </is>
      </c>
      <c r="F637" s="0" t="inlineStr">
        <is>
          <t xml:space="preserve">-</t>
        </is>
      </c>
      <c r="G637" s="5">
        <v>1.1717386099999998</v>
      </c>
      <c r="H637" s="0" t="inlineStr">
        <is>
          <t xml:space="preserve">supplier</t>
        </is>
      </c>
      <c r="I637" s="0" t="inlineStr">
        <is>
          <t xml:space="preserve">unbucketed</t>
        </is>
      </c>
      <c r="J637" s="0" t="inlineStr">
        <is>
          <t xml:space="preserve">residual</t>
        </is>
      </c>
      <c r="K637" s="5">
        <v>0</v>
      </c>
      <c r="L637" s="5">
        <v>0</v>
      </c>
      <c r="M637" s="5">
        <v>1.1717386099999998</v>
      </c>
      <c r="N637" s="5">
        <v>0.42464567</v>
      </c>
      <c r="O637" s="5">
        <v>0.0</v>
      </c>
      <c r="P637" s="5">
        <v>0.0</v>
      </c>
      <c r="Q637" s="5">
        <v>0.0</v>
      </c>
    </row>
    <row r="638" outlineLevel="1">
      <c r="B638" s="0" t="inlineStr">
        <is>
          <t xml:space="preserve">COMTECH TELECOMMUNICATIONS CORP.</t>
        </is>
      </c>
      <c r="C638" s="0" t="inlineStr">
        <is>
          <t xml:space="preserve">ZJUMT9NT3SE5</t>
        </is>
      </c>
      <c r="D638" s="0" t="inlineStr">
        <is>
          <t xml:space="preserve">-</t>
        </is>
      </c>
      <c r="E638" s="0" t="inlineStr">
        <is>
          <t xml:space="preserve">-</t>
        </is>
      </c>
      <c r="F638" s="0" t="inlineStr">
        <is>
          <t xml:space="preserve">-</t>
        </is>
      </c>
      <c r="G638" s="5">
        <v>1.16929</v>
      </c>
      <c r="H638" s="0" t="inlineStr">
        <is>
          <t xml:space="preserve">supplier</t>
        </is>
      </c>
      <c r="I638" s="0" t="inlineStr">
        <is>
          <t xml:space="preserve">unbucketed</t>
        </is>
      </c>
      <c r="J638" s="0" t="inlineStr">
        <is>
          <t xml:space="preserve">residual</t>
        </is>
      </c>
      <c r="K638" s="5">
        <v>0</v>
      </c>
      <c r="L638" s="5">
        <v>0</v>
      </c>
      <c r="M638" s="5">
        <v>0.0</v>
      </c>
      <c r="N638" s="5">
        <v>0.0</v>
      </c>
      <c r="O638" s="5">
        <v>0.0</v>
      </c>
      <c r="P638" s="5">
        <v>0.0</v>
      </c>
      <c r="Q638" s="5">
        <v>0.0</v>
      </c>
    </row>
    <row r="639" outlineLevel="1">
      <c r="B639" s="0" t="inlineStr">
        <is>
          <t xml:space="preserve">MERSEN USA EP CORP.</t>
        </is>
      </c>
      <c r="C639" s="0" t="inlineStr">
        <is>
          <t xml:space="preserve">SBXLQDRBH8Q8</t>
        </is>
      </c>
      <c r="D639" s="0" t="inlineStr">
        <is>
          <t xml:space="preserve">-</t>
        </is>
      </c>
      <c r="E639" s="0" t="inlineStr">
        <is>
          <t xml:space="preserve">-</t>
        </is>
      </c>
      <c r="F639" s="0" t="inlineStr">
        <is>
          <t xml:space="preserve">-</t>
        </is>
      </c>
      <c r="G639" s="5">
        <v>1.16681</v>
      </c>
      <c r="H639" s="0" t="inlineStr">
        <is>
          <t xml:space="preserve">supplier</t>
        </is>
      </c>
      <c r="I639" s="0" t="inlineStr">
        <is>
          <t xml:space="preserve">unbucketed</t>
        </is>
      </c>
      <c r="J639" s="0" t="inlineStr">
        <is>
          <t xml:space="preserve">residual</t>
        </is>
      </c>
      <c r="K639" s="5">
        <v>0</v>
      </c>
      <c r="L639" s="5">
        <v>0</v>
      </c>
      <c r="M639" s="5">
        <v>0.0</v>
      </c>
      <c r="N639" s="5">
        <v>0.0</v>
      </c>
      <c r="O639" s="5">
        <v>0.0</v>
      </c>
      <c r="P639" s="5">
        <v>0.0</v>
      </c>
      <c r="Q639" s="5">
        <v>0.0</v>
      </c>
    </row>
    <row r="640" outlineLevel="1">
      <c r="B640" s="0" t="inlineStr">
        <is>
          <t xml:space="preserve">FORTIVE CORP</t>
        </is>
      </c>
      <c r="C640" s="0" t="inlineStr">
        <is>
          <t xml:space="preserve">ZR5PFWUPJMD3</t>
        </is>
      </c>
      <c r="D640" s="0" t="inlineStr">
        <is>
          <t xml:space="preserve">-</t>
        </is>
      </c>
      <c r="E640" s="0" t="inlineStr">
        <is>
          <t xml:space="preserve">-</t>
        </is>
      </c>
      <c r="F640" s="0" t="inlineStr">
        <is>
          <t xml:space="preserve">-</t>
        </is>
      </c>
      <c r="G640" s="5">
        <v>1.166749</v>
      </c>
      <c r="H640" s="0" t="inlineStr">
        <is>
          <t xml:space="preserve">supplier</t>
        </is>
      </c>
      <c r="I640" s="0" t="inlineStr">
        <is>
          <t xml:space="preserve">unbucketed</t>
        </is>
      </c>
      <c r="J640" s="0" t="inlineStr">
        <is>
          <t xml:space="preserve">residual</t>
        </is>
      </c>
      <c r="K640" s="5">
        <v>0</v>
      </c>
      <c r="L640" s="5">
        <v>0</v>
      </c>
      <c r="M640" s="5">
        <v>0.0</v>
      </c>
      <c r="N640" s="5">
        <v>0.0</v>
      </c>
      <c r="O640" s="5">
        <v>0.0</v>
      </c>
      <c r="P640" s="5">
        <v>0.0</v>
      </c>
      <c r="Q640" s="5">
        <v>0.0</v>
      </c>
    </row>
    <row r="641" outlineLevel="1">
      <c r="B641" s="0" t="inlineStr">
        <is>
          <t xml:space="preserve">SERCO GROUP PLC</t>
        </is>
      </c>
      <c r="C641" s="0" t="inlineStr">
        <is>
          <t xml:space="preserve">DKJ1R5ABCN48</t>
        </is>
      </c>
      <c r="D641" s="0" t="inlineStr">
        <is>
          <t xml:space="preserve">-</t>
        </is>
      </c>
      <c r="E641" s="0" t="inlineStr">
        <is>
          <t xml:space="preserve">-</t>
        </is>
      </c>
      <c r="F641" s="0" t="inlineStr">
        <is>
          <t xml:space="preserve">-</t>
        </is>
      </c>
      <c r="G641" s="5">
        <v>1.1620740600000001</v>
      </c>
      <c r="H641" s="0" t="inlineStr">
        <is>
          <t xml:space="preserve">supplier</t>
        </is>
      </c>
      <c r="I641" s="0" t="inlineStr">
        <is>
          <t xml:space="preserve">unbucketed</t>
        </is>
      </c>
      <c r="J641" s="0" t="inlineStr">
        <is>
          <t xml:space="preserve">residual</t>
        </is>
      </c>
      <c r="K641" s="5">
        <v>0</v>
      </c>
      <c r="L641" s="5">
        <v>0</v>
      </c>
      <c r="M641" s="5">
        <v>0.77453006</v>
      </c>
      <c r="N641" s="5">
        <v>0.0</v>
      </c>
      <c r="O641" s="5">
        <v>0.0</v>
      </c>
      <c r="P641" s="5">
        <v>0.0</v>
      </c>
      <c r="Q641" s="5">
        <v>0.0</v>
      </c>
    </row>
    <row r="642" outlineLevel="1">
      <c r="B642" s="0" t="inlineStr">
        <is>
          <t xml:space="preserve">AERO METALS INC</t>
        </is>
      </c>
      <c r="C642" s="0" t="inlineStr">
        <is>
          <t xml:space="preserve">G3ZKBEBM7Z61</t>
        </is>
      </c>
      <c r="D642" s="0" t="inlineStr">
        <is>
          <t xml:space="preserve">-</t>
        </is>
      </c>
      <c r="E642" s="0" t="inlineStr">
        <is>
          <t xml:space="preserve">-</t>
        </is>
      </c>
      <c r="F642" s="0" t="inlineStr">
        <is>
          <t xml:space="preserve">-</t>
        </is>
      </c>
      <c r="G642" s="5">
        <v>1.1585455100000002</v>
      </c>
      <c r="H642" s="0" t="inlineStr">
        <is>
          <t xml:space="preserve">supplier</t>
        </is>
      </c>
      <c r="I642" s="0" t="inlineStr">
        <is>
          <t xml:space="preserve">unbucketed</t>
        </is>
      </c>
      <c r="J642" s="0" t="inlineStr">
        <is>
          <t xml:space="preserve">residual</t>
        </is>
      </c>
      <c r="K642" s="5">
        <v>0</v>
      </c>
      <c r="L642" s="5">
        <v>0</v>
      </c>
      <c r="M642" s="5">
        <v>0.0</v>
      </c>
      <c r="N642" s="5">
        <v>0.0</v>
      </c>
      <c r="O642" s="5">
        <v>0.0</v>
      </c>
      <c r="P642" s="5">
        <v>0.0</v>
      </c>
      <c r="Q642" s="5">
        <v>0.0</v>
      </c>
    </row>
    <row r="643" outlineLevel="1">
      <c r="B643" s="0" t="inlineStr">
        <is>
          <t xml:space="preserve">BRANFORD CASTLE, INC.</t>
        </is>
      </c>
      <c r="C643" s="0" t="inlineStr">
        <is>
          <t xml:space="preserve">FLQJXSFMNQP6</t>
        </is>
      </c>
      <c r="D643" s="0" t="inlineStr">
        <is>
          <t xml:space="preserve">-</t>
        </is>
      </c>
      <c r="E643" s="0" t="inlineStr">
        <is>
          <t xml:space="preserve">-</t>
        </is>
      </c>
      <c r="F643" s="0" t="inlineStr">
        <is>
          <t xml:space="preserve">-</t>
        </is>
      </c>
      <c r="G643" s="5">
        <v>1.15093986</v>
      </c>
      <c r="H643" s="0" t="inlineStr">
        <is>
          <t xml:space="preserve">supplier</t>
        </is>
      </c>
      <c r="I643" s="0" t="inlineStr">
        <is>
          <t xml:space="preserve">unbucketed</t>
        </is>
      </c>
      <c r="J643" s="0" t="inlineStr">
        <is>
          <t xml:space="preserve">residual</t>
        </is>
      </c>
      <c r="K643" s="5">
        <v>0</v>
      </c>
      <c r="L643" s="5">
        <v>0</v>
      </c>
      <c r="M643" s="5">
        <v>1.15093986</v>
      </c>
      <c r="N643" s="5">
        <v>0.027079</v>
      </c>
      <c r="O643" s="5">
        <v>0.0</v>
      </c>
      <c r="P643" s="5">
        <v>0.0</v>
      </c>
      <c r="Q643" s="5">
        <v>0.0</v>
      </c>
    </row>
    <row r="644" outlineLevel="1">
      <c r="B644" s="0" t="inlineStr">
        <is>
          <t xml:space="preserve">SIEMENS INDUSTRY, INC.</t>
        </is>
      </c>
      <c r="C644" s="0" t="inlineStr">
        <is>
          <t xml:space="preserve">F9ZENVS243U3</t>
        </is>
      </c>
      <c r="D644" s="0" t="inlineStr">
        <is>
          <t xml:space="preserve">-</t>
        </is>
      </c>
      <c r="E644" s="0" t="inlineStr">
        <is>
          <t xml:space="preserve">-</t>
        </is>
      </c>
      <c r="F644" s="0" t="inlineStr">
        <is>
          <t xml:space="preserve">-</t>
        </is>
      </c>
      <c r="G644" s="5">
        <v>1.15084205</v>
      </c>
      <c r="H644" s="0" t="inlineStr">
        <is>
          <t xml:space="preserve">supplier</t>
        </is>
      </c>
      <c r="I644" s="0" t="inlineStr">
        <is>
          <t xml:space="preserve">unbucketed</t>
        </is>
      </c>
      <c r="J644" s="0" t="inlineStr">
        <is>
          <t xml:space="preserve">residual</t>
        </is>
      </c>
      <c r="K644" s="5">
        <v>0</v>
      </c>
      <c r="L644" s="5">
        <v>0</v>
      </c>
      <c r="M644" s="5">
        <v>0.0</v>
      </c>
      <c r="N644" s="5">
        <v>0.0</v>
      </c>
      <c r="O644" s="5">
        <v>0.0</v>
      </c>
      <c r="P644" s="5">
        <v>0.0</v>
      </c>
      <c r="Q644" s="5">
        <v>0.0</v>
      </c>
    </row>
    <row r="645" outlineLevel="1">
      <c r="B645" s="0" t="inlineStr">
        <is>
          <t xml:space="preserve">SFC VALVE CORPORATION</t>
        </is>
      </c>
      <c r="C645" s="0" t="inlineStr">
        <is>
          <t xml:space="preserve">LG8PRS9MR697</t>
        </is>
      </c>
      <c r="D645" s="0" t="inlineStr">
        <is>
          <t xml:space="preserve">-</t>
        </is>
      </c>
      <c r="E645" s="0" t="inlineStr">
        <is>
          <t xml:space="preserve">-</t>
        </is>
      </c>
      <c r="F645" s="0" t="inlineStr">
        <is>
          <t xml:space="preserve">-</t>
        </is>
      </c>
      <c r="G645" s="5">
        <v>1.15063503</v>
      </c>
      <c r="H645" s="0" t="inlineStr">
        <is>
          <t xml:space="preserve">supplier</t>
        </is>
      </c>
      <c r="I645" s="0" t="inlineStr">
        <is>
          <t xml:space="preserve">unbucketed</t>
        </is>
      </c>
      <c r="J645" s="0" t="inlineStr">
        <is>
          <t xml:space="preserve">residual</t>
        </is>
      </c>
      <c r="K645" s="5">
        <v>0</v>
      </c>
      <c r="L645" s="5">
        <v>0</v>
      </c>
      <c r="M645" s="5">
        <v>1.15063503</v>
      </c>
      <c r="N645" s="5">
        <v>0.0</v>
      </c>
      <c r="O645" s="5">
        <v>0.101771</v>
      </c>
      <c r="P645" s="5">
        <v>0.26032177999999995</v>
      </c>
      <c r="Q645" s="5">
        <v>0.7885422499999999</v>
      </c>
    </row>
    <row r="646" outlineLevel="1">
      <c r="B646" s="0" t="inlineStr">
        <is>
          <t xml:space="preserve">CONTROLLED MOTION SOLUTIONS, INC.</t>
        </is>
      </c>
      <c r="C646" s="0" t="inlineStr">
        <is>
          <t xml:space="preserve">F1KGBDG9RSA7</t>
        </is>
      </c>
      <c r="D646" s="0" t="inlineStr">
        <is>
          <t xml:space="preserve">-</t>
        </is>
      </c>
      <c r="E646" s="0" t="inlineStr">
        <is>
          <t xml:space="preserve">-</t>
        </is>
      </c>
      <c r="F646" s="0" t="inlineStr">
        <is>
          <t xml:space="preserve">-</t>
        </is>
      </c>
      <c r="G646" s="5">
        <v>1.15028429</v>
      </c>
      <c r="H646" s="0" t="inlineStr">
        <is>
          <t xml:space="preserve">supplier</t>
        </is>
      </c>
      <c r="I646" s="0" t="inlineStr">
        <is>
          <t xml:space="preserve">unbucketed</t>
        </is>
      </c>
      <c r="J646" s="0" t="inlineStr">
        <is>
          <t xml:space="preserve">residual</t>
        </is>
      </c>
      <c r="K646" s="5">
        <v>0</v>
      </c>
      <c r="L646" s="5">
        <v>0</v>
      </c>
      <c r="M646" s="5">
        <v>0.0</v>
      </c>
      <c r="N646" s="5">
        <v>0.0</v>
      </c>
      <c r="O646" s="5">
        <v>0.0</v>
      </c>
      <c r="P646" s="5">
        <v>0.0</v>
      </c>
      <c r="Q646" s="5">
        <v>0.0</v>
      </c>
    </row>
    <row r="647" outlineLevel="1">
      <c r="B647" s="0" t="inlineStr">
        <is>
          <t xml:space="preserve">INDEECO LLC</t>
        </is>
      </c>
      <c r="C647" s="0" t="inlineStr">
        <is>
          <t xml:space="preserve">FLMQAKFEMG64</t>
        </is>
      </c>
      <c r="D647" s="0" t="inlineStr">
        <is>
          <t xml:space="preserve">-</t>
        </is>
      </c>
      <c r="E647" s="0" t="inlineStr">
        <is>
          <t xml:space="preserve">-</t>
        </is>
      </c>
      <c r="F647" s="0" t="inlineStr">
        <is>
          <t xml:space="preserve">-</t>
        </is>
      </c>
      <c r="G647" s="5">
        <v>1.13903565</v>
      </c>
      <c r="H647" s="0" t="inlineStr">
        <is>
          <t xml:space="preserve">supplier</t>
        </is>
      </c>
      <c r="I647" s="0" t="inlineStr">
        <is>
          <t xml:space="preserve">unbucketed</t>
        </is>
      </c>
      <c r="J647" s="0" t="inlineStr">
        <is>
          <t xml:space="preserve">residual</t>
        </is>
      </c>
      <c r="K647" s="5">
        <v>0</v>
      </c>
      <c r="L647" s="5">
        <v>0</v>
      </c>
      <c r="M647" s="5">
        <v>1.04465565</v>
      </c>
      <c r="N647" s="5">
        <v>0.0</v>
      </c>
      <c r="O647" s="5">
        <v>0.15701405</v>
      </c>
      <c r="P647" s="5">
        <v>0.27640333</v>
      </c>
      <c r="Q647" s="5">
        <v>0.6112382700000001</v>
      </c>
    </row>
    <row r="648" outlineLevel="1">
      <c r="B648" s="0" t="inlineStr">
        <is>
          <t xml:space="preserve">MARINE AIR SUPPLY CO., INC.</t>
        </is>
      </c>
      <c r="C648" s="0" t="inlineStr">
        <is>
          <t xml:space="preserve">D3NDZT2XLW83</t>
        </is>
      </c>
      <c r="D648" s="0" t="inlineStr">
        <is>
          <t xml:space="preserve">-</t>
        </is>
      </c>
      <c r="E648" s="0" t="inlineStr">
        <is>
          <t xml:space="preserve">-</t>
        </is>
      </c>
      <c r="F648" s="0" t="inlineStr">
        <is>
          <t xml:space="preserve">-</t>
        </is>
      </c>
      <c r="G648" s="5">
        <v>1.13573754</v>
      </c>
      <c r="H648" s="0" t="inlineStr">
        <is>
          <t xml:space="preserve">supplier</t>
        </is>
      </c>
      <c r="I648" s="0" t="inlineStr">
        <is>
          <t xml:space="preserve">unbucketed</t>
        </is>
      </c>
      <c r="J648" s="0" t="inlineStr">
        <is>
          <t xml:space="preserve">residual</t>
        </is>
      </c>
      <c r="K648" s="5">
        <v>0</v>
      </c>
      <c r="L648" s="5">
        <v>0</v>
      </c>
      <c r="M648" s="5">
        <v>0.0</v>
      </c>
      <c r="N648" s="5">
        <v>0.0</v>
      </c>
      <c r="O648" s="5">
        <v>0.0</v>
      </c>
      <c r="P648" s="5">
        <v>0.0</v>
      </c>
      <c r="Q648" s="5">
        <v>0.0</v>
      </c>
    </row>
    <row r="649" outlineLevel="1">
      <c r="B649" s="0" t="inlineStr">
        <is>
          <t xml:space="preserve">BOYD CORPORATION (WOBURN) INC</t>
        </is>
      </c>
      <c r="C649" s="0" t="inlineStr">
        <is>
          <t xml:space="preserve">FJ8NY24LFMM8</t>
        </is>
      </c>
      <c r="D649" s="0" t="inlineStr">
        <is>
          <t xml:space="preserve">-</t>
        </is>
      </c>
      <c r="E649" s="0" t="inlineStr">
        <is>
          <t xml:space="preserve">-</t>
        </is>
      </c>
      <c r="F649" s="0" t="inlineStr">
        <is>
          <t xml:space="preserve">-</t>
        </is>
      </c>
      <c r="G649" s="5">
        <v>1.1324932100000002</v>
      </c>
      <c r="H649" s="0" t="inlineStr">
        <is>
          <t xml:space="preserve">supplier</t>
        </is>
      </c>
      <c r="I649" s="0" t="inlineStr">
        <is>
          <t xml:space="preserve">unbucketed</t>
        </is>
      </c>
      <c r="J649" s="0" t="inlineStr">
        <is>
          <t xml:space="preserve">residual</t>
        </is>
      </c>
      <c r="K649" s="5">
        <v>0</v>
      </c>
      <c r="L649" s="5">
        <v>0</v>
      </c>
      <c r="M649" s="5">
        <v>0.0</v>
      </c>
      <c r="N649" s="5">
        <v>0.0</v>
      </c>
      <c r="O649" s="5">
        <v>0.0</v>
      </c>
      <c r="P649" s="5">
        <v>0.0</v>
      </c>
      <c r="Q649" s="5">
        <v>0.0</v>
      </c>
    </row>
    <row r="650" outlineLevel="1">
      <c r="B650" s="0" t="inlineStr">
        <is>
          <t xml:space="preserve">DCX-CHOL ENTERPRISES, INC.</t>
        </is>
      </c>
      <c r="C650" s="0" t="inlineStr">
        <is>
          <t xml:space="preserve">ZLTUJL2H4LZ1</t>
        </is>
      </c>
      <c r="D650" s="0" t="inlineStr">
        <is>
          <t xml:space="preserve">-</t>
        </is>
      </c>
      <c r="E650" s="0" t="inlineStr">
        <is>
          <t xml:space="preserve">-</t>
        </is>
      </c>
      <c r="F650" s="0" t="inlineStr">
        <is>
          <t xml:space="preserve">-</t>
        </is>
      </c>
      <c r="G650" s="5">
        <v>1.12344496</v>
      </c>
      <c r="H650" s="0" t="inlineStr">
        <is>
          <t xml:space="preserve">supplier</t>
        </is>
      </c>
      <c r="I650" s="0" t="inlineStr">
        <is>
          <t xml:space="preserve">unbucketed</t>
        </is>
      </c>
      <c r="J650" s="0" t="inlineStr">
        <is>
          <t xml:space="preserve">residual</t>
        </is>
      </c>
      <c r="K650" s="5">
        <v>0</v>
      </c>
      <c r="L650" s="5">
        <v>0</v>
      </c>
      <c r="M650" s="5">
        <v>0.0</v>
      </c>
      <c r="N650" s="5">
        <v>0.0</v>
      </c>
      <c r="O650" s="5">
        <v>0.0</v>
      </c>
      <c r="P650" s="5">
        <v>0.0</v>
      </c>
      <c r="Q650" s="5">
        <v>0.0</v>
      </c>
    </row>
    <row r="651" outlineLevel="1">
      <c r="B651" s="0" t="inlineStr">
        <is>
          <t xml:space="preserve">TEVET, LLC</t>
        </is>
      </c>
      <c r="C651" s="0" t="inlineStr">
        <is>
          <t xml:space="preserve">E14YFBHJACT5</t>
        </is>
      </c>
      <c r="D651" s="0" t="inlineStr">
        <is>
          <t xml:space="preserve">-</t>
        </is>
      </c>
      <c r="E651" s="0" t="inlineStr">
        <is>
          <t xml:space="preserve">-</t>
        </is>
      </c>
      <c r="F651" s="0" t="inlineStr">
        <is>
          <t xml:space="preserve">-</t>
        </is>
      </c>
      <c r="G651" s="5">
        <v>1.12228905</v>
      </c>
      <c r="H651" s="0" t="inlineStr">
        <is>
          <t xml:space="preserve">supplier</t>
        </is>
      </c>
      <c r="I651" s="0" t="inlineStr">
        <is>
          <t xml:space="preserve">unbucketed</t>
        </is>
      </c>
      <c r="J651" s="0" t="inlineStr">
        <is>
          <t xml:space="preserve">residual</t>
        </is>
      </c>
      <c r="K651" s="5">
        <v>0</v>
      </c>
      <c r="L651" s="5">
        <v>0</v>
      </c>
      <c r="M651" s="5">
        <v>0.0</v>
      </c>
      <c r="N651" s="5">
        <v>0.0</v>
      </c>
      <c r="O651" s="5">
        <v>0.0</v>
      </c>
      <c r="P651" s="5">
        <v>0.0</v>
      </c>
      <c r="Q651" s="5">
        <v>0.0</v>
      </c>
    </row>
    <row r="652" outlineLevel="1">
      <c r="B652" s="0" t="inlineStr">
        <is>
          <t xml:space="preserve">HEXCEL CORPORATION</t>
        </is>
      </c>
      <c r="C652" s="0" t="inlineStr">
        <is>
          <t xml:space="preserve">TSF5X5B2YLS4</t>
        </is>
      </c>
      <c r="D652" s="0" t="inlineStr">
        <is>
          <t xml:space="preserve">-</t>
        </is>
      </c>
      <c r="E652" s="0" t="inlineStr">
        <is>
          <t xml:space="preserve">-</t>
        </is>
      </c>
      <c r="F652" s="0" t="inlineStr">
        <is>
          <t xml:space="preserve">-</t>
        </is>
      </c>
      <c r="G652" s="5">
        <v>1.12110076</v>
      </c>
      <c r="H652" s="0" t="inlineStr">
        <is>
          <t xml:space="preserve">supplier</t>
        </is>
      </c>
      <c r="I652" s="0" t="inlineStr">
        <is>
          <t xml:space="preserve">unbucketed</t>
        </is>
      </c>
      <c r="J652" s="0" t="inlineStr">
        <is>
          <t xml:space="preserve">residual</t>
        </is>
      </c>
      <c r="K652" s="5">
        <v>0</v>
      </c>
      <c r="L652" s="5">
        <v>0</v>
      </c>
      <c r="M652" s="5">
        <v>0.0</v>
      </c>
      <c r="N652" s="5">
        <v>0.0</v>
      </c>
      <c r="O652" s="5">
        <v>0.0</v>
      </c>
      <c r="P652" s="5">
        <v>0.0</v>
      </c>
      <c r="Q652" s="5">
        <v>0.0</v>
      </c>
    </row>
    <row r="653" outlineLevel="1">
      <c r="B653" s="0" t="inlineStr">
        <is>
          <t xml:space="preserve">JONATHAN MFG DE MEXICO S. DE R.L. DE C.V.</t>
        </is>
      </c>
      <c r="C653" s="0" t="inlineStr">
        <is>
          <t xml:space="preserve">YFAZLMPNXQ91</t>
        </is>
      </c>
      <c r="D653" s="0" t="inlineStr">
        <is>
          <t xml:space="preserve">Foreign</t>
        </is>
      </c>
      <c r="E653" s="0" t="inlineStr">
        <is>
          <t xml:space="preserve">-</t>
        </is>
      </c>
      <c r="F653" s="0" t="inlineStr">
        <is>
          <t xml:space="preserve">-</t>
        </is>
      </c>
      <c r="G653" s="5">
        <v>1.11639605</v>
      </c>
      <c r="H653" s="0" t="inlineStr">
        <is>
          <t xml:space="preserve">foreign_fms</t>
        </is>
      </c>
      <c r="I653" s="0" t="inlineStr">
        <is>
          <t xml:space="preserve">-</t>
        </is>
      </c>
      <c r="J653" s="0" t="inlineStr">
        <is>
          <t xml:space="preserve">foreign flag</t>
        </is>
      </c>
      <c r="K653" s="5">
        <v>0</v>
      </c>
      <c r="L653" s="5">
        <v>0</v>
      </c>
      <c r="M653" s="5">
        <v>0.0</v>
      </c>
      <c r="N653" s="5">
        <v>0.0</v>
      </c>
      <c r="O653" s="5">
        <v>0.0</v>
      </c>
      <c r="P653" s="5">
        <v>0.0</v>
      </c>
      <c r="Q653" s="5">
        <v>0.0</v>
      </c>
    </row>
    <row r="654" outlineLevel="1">
      <c r="B654" s="0" t="inlineStr">
        <is>
          <t xml:space="preserve">TE CONNECTIVITY LTD.</t>
        </is>
      </c>
      <c r="C654" s="0" t="inlineStr">
        <is>
          <t xml:space="preserve">NR7CPKGJP5Y1</t>
        </is>
      </c>
      <c r="D654" s="0" t="inlineStr">
        <is>
          <t xml:space="preserve">-</t>
        </is>
      </c>
      <c r="E654" s="0" t="inlineStr">
        <is>
          <t xml:space="preserve">-</t>
        </is>
      </c>
      <c r="F654" s="0" t="inlineStr">
        <is>
          <t xml:space="preserve">-</t>
        </is>
      </c>
      <c r="G654" s="5">
        <v>1.11512723</v>
      </c>
      <c r="H654" s="0" t="inlineStr">
        <is>
          <t xml:space="preserve">supplier</t>
        </is>
      </c>
      <c r="I654" s="0" t="inlineStr">
        <is>
          <t xml:space="preserve">unbucketed</t>
        </is>
      </c>
      <c r="J654" s="0" t="inlineStr">
        <is>
          <t xml:space="preserve">residual</t>
        </is>
      </c>
      <c r="K654" s="5">
        <v>0</v>
      </c>
      <c r="L654" s="5">
        <v>0</v>
      </c>
      <c r="M654" s="5">
        <v>0.0</v>
      </c>
      <c r="N654" s="5">
        <v>0.0</v>
      </c>
      <c r="O654" s="5">
        <v>0.0</v>
      </c>
      <c r="P654" s="5">
        <v>0.0</v>
      </c>
      <c r="Q654" s="5">
        <v>0.0</v>
      </c>
    </row>
    <row r="655" outlineLevel="1">
      <c r="B655" s="0" t="inlineStr">
        <is>
          <t xml:space="preserve">PACIFIC ALLIANCE CAPITAL INC.</t>
        </is>
      </c>
      <c r="C655" s="0" t="inlineStr">
        <is>
          <t xml:space="preserve">QVVVKBXLM7A1</t>
        </is>
      </c>
      <c r="D655" s="0" t="inlineStr">
        <is>
          <t xml:space="preserve">-</t>
        </is>
      </c>
      <c r="E655" s="0" t="inlineStr">
        <is>
          <t xml:space="preserve">-</t>
        </is>
      </c>
      <c r="F655" s="0" t="inlineStr">
        <is>
          <t xml:space="preserve">-</t>
        </is>
      </c>
      <c r="G655" s="5">
        <v>1.1119439999999998</v>
      </c>
      <c r="H655" s="0" t="inlineStr">
        <is>
          <t xml:space="preserve">supplier</t>
        </is>
      </c>
      <c r="I655" s="0" t="inlineStr">
        <is>
          <t xml:space="preserve">unbucketed</t>
        </is>
      </c>
      <c r="J655" s="0" t="inlineStr">
        <is>
          <t xml:space="preserve">residual</t>
        </is>
      </c>
      <c r="K655" s="5">
        <v>0</v>
      </c>
      <c r="L655" s="5">
        <v>0</v>
      </c>
      <c r="M655" s="5">
        <v>0.0</v>
      </c>
      <c r="N655" s="5">
        <v>0.0</v>
      </c>
      <c r="O655" s="5">
        <v>0.0</v>
      </c>
      <c r="P655" s="5">
        <v>0.0</v>
      </c>
      <c r="Q655" s="5">
        <v>0.0</v>
      </c>
    </row>
    <row r="656" outlineLevel="1">
      <c r="B656" s="0" t="inlineStr">
        <is>
          <t xml:space="preserve">SCHOELLHORN - ALBRECHT MACHINE CO INC</t>
        </is>
      </c>
      <c r="C656" s="0" t="inlineStr">
        <is>
          <t xml:space="preserve">P4XPJNTCHB68</t>
        </is>
      </c>
      <c r="D656" s="0" t="inlineStr">
        <is>
          <t xml:space="preserve">-</t>
        </is>
      </c>
      <c r="E656" s="0" t="inlineStr">
        <is>
          <t xml:space="preserve">-</t>
        </is>
      </c>
      <c r="F656" s="0" t="inlineStr">
        <is>
          <t xml:space="preserve">-</t>
        </is>
      </c>
      <c r="G656" s="5">
        <v>1.1102260000000002</v>
      </c>
      <c r="H656" s="0" t="inlineStr">
        <is>
          <t xml:space="preserve">supplier</t>
        </is>
      </c>
      <c r="I656" s="0" t="inlineStr">
        <is>
          <t xml:space="preserve">unbucketed</t>
        </is>
      </c>
      <c r="J656" s="0" t="inlineStr">
        <is>
          <t xml:space="preserve">residual</t>
        </is>
      </c>
      <c r="K656" s="5">
        <v>0</v>
      </c>
      <c r="L656" s="5">
        <v>0</v>
      </c>
      <c r="M656" s="5">
        <v>1.1102260000000002</v>
      </c>
      <c r="N656" s="5">
        <v>0.0</v>
      </c>
      <c r="O656" s="5">
        <v>0.0</v>
      </c>
      <c r="P656" s="5">
        <v>0.0672</v>
      </c>
      <c r="Q656" s="5">
        <v>0.8107880000000002</v>
      </c>
    </row>
    <row r="657" outlineLevel="1">
      <c r="B657" s="0" t="inlineStr">
        <is>
          <t xml:space="preserve">LOCKHEED MARTIN CORPORATION</t>
        </is>
      </c>
      <c r="C657" s="0" t="inlineStr">
        <is>
          <t xml:space="preserve">H11HD5VHGHN3</t>
        </is>
      </c>
      <c r="D657" s="0" t="inlineStr">
        <is>
          <t xml:space="preserve">-</t>
        </is>
      </c>
      <c r="E657" s="0" t="inlineStr">
        <is>
          <t xml:space="preserve">-</t>
        </is>
      </c>
      <c r="F657" s="0" t="inlineStr">
        <is>
          <t xml:space="preserve">-</t>
        </is>
      </c>
      <c r="G657" s="5">
        <v>1.109105</v>
      </c>
      <c r="H657" s="0" t="inlineStr">
        <is>
          <t xml:space="preserve">gfe_mib</t>
        </is>
      </c>
      <c r="I657" s="0" t="inlineStr">
        <is>
          <t xml:space="preserve">-</t>
        </is>
      </c>
      <c r="J657" s="0" t="inlineStr">
        <is>
          <t xml:space="preserve">GFE/MIB name</t>
        </is>
      </c>
      <c r="K657" s="5">
        <v>0</v>
      </c>
      <c r="L657" s="5">
        <v>0</v>
      </c>
      <c r="M657" s="5">
        <v>0.550909</v>
      </c>
      <c r="N657" s="5">
        <v>0.0</v>
      </c>
      <c r="O657" s="5">
        <v>0.0</v>
      </c>
      <c r="P657" s="5">
        <v>0.0</v>
      </c>
      <c r="Q657" s="5">
        <v>0.550909</v>
      </c>
    </row>
    <row r="658" outlineLevel="1">
      <c r="B658" s="0" t="inlineStr">
        <is>
          <t xml:space="preserve">QUANTUMVISION CORP.</t>
        </is>
      </c>
      <c r="C658" s="0" t="inlineStr">
        <is>
          <t xml:space="preserve">SEJVKETJB4G6</t>
        </is>
      </c>
      <c r="D658" s="0" t="inlineStr">
        <is>
          <t xml:space="preserve">-</t>
        </is>
      </c>
      <c r="E658" s="0" t="inlineStr">
        <is>
          <t xml:space="preserve">-</t>
        </is>
      </c>
      <c r="F658" s="0" t="inlineStr">
        <is>
          <t xml:space="preserve">-</t>
        </is>
      </c>
      <c r="G658" s="5">
        <v>1.108104</v>
      </c>
      <c r="H658" s="0" t="inlineStr">
        <is>
          <t xml:space="preserve">supplier</t>
        </is>
      </c>
      <c r="I658" s="0" t="inlineStr">
        <is>
          <t xml:space="preserve">unbucketed</t>
        </is>
      </c>
      <c r="J658" s="0" t="inlineStr">
        <is>
          <t xml:space="preserve">residual</t>
        </is>
      </c>
      <c r="K658" s="5">
        <v>0</v>
      </c>
      <c r="L658" s="5">
        <v>0</v>
      </c>
      <c r="M658" s="5">
        <v>0.0</v>
      </c>
      <c r="N658" s="5">
        <v>0.0</v>
      </c>
      <c r="O658" s="5">
        <v>0.0</v>
      </c>
      <c r="P658" s="5">
        <v>0.0</v>
      </c>
      <c r="Q658" s="5">
        <v>0.0</v>
      </c>
    </row>
    <row r="659" outlineLevel="1">
      <c r="B659" s="0" t="inlineStr">
        <is>
          <t xml:space="preserve">SAVINE HOLDING COMPANY, INC.</t>
        </is>
      </c>
      <c r="C659" s="0" t="inlineStr">
        <is>
          <t xml:space="preserve">QRMQQ2U1LVJ3</t>
        </is>
      </c>
      <c r="D659" s="0" t="inlineStr">
        <is>
          <t xml:space="preserve">-</t>
        </is>
      </c>
      <c r="E659" s="0" t="inlineStr">
        <is>
          <t xml:space="preserve">-</t>
        </is>
      </c>
      <c r="F659" s="0" t="inlineStr">
        <is>
          <t xml:space="preserve">-</t>
        </is>
      </c>
      <c r="G659" s="5">
        <v>1.1009089999999997</v>
      </c>
      <c r="H659" s="0" t="inlineStr">
        <is>
          <t xml:space="preserve">supplier</t>
        </is>
      </c>
      <c r="I659" s="0" t="inlineStr">
        <is>
          <t xml:space="preserve">unbucketed</t>
        </is>
      </c>
      <c r="J659" s="0" t="inlineStr">
        <is>
          <t xml:space="preserve">residual</t>
        </is>
      </c>
      <c r="K659" s="5">
        <v>0</v>
      </c>
      <c r="L659" s="5">
        <v>0</v>
      </c>
      <c r="M659" s="5">
        <v>0.0</v>
      </c>
      <c r="N659" s="5">
        <v>0.0</v>
      </c>
      <c r="O659" s="5">
        <v>0.0</v>
      </c>
      <c r="P659" s="5">
        <v>0.0</v>
      </c>
      <c r="Q659" s="5">
        <v>0.0</v>
      </c>
    </row>
    <row r="660" outlineLevel="1">
      <c r="B660" s="0" t="inlineStr">
        <is>
          <t xml:space="preserve">CARVER PUMP COMPANY (INC)</t>
        </is>
      </c>
      <c r="C660" s="0" t="inlineStr">
        <is>
          <t xml:space="preserve">W547TUQXJ8Y4</t>
        </is>
      </c>
      <c r="D660" s="0" t="inlineStr">
        <is>
          <t xml:space="preserve">-</t>
        </is>
      </c>
      <c r="E660" s="0" t="inlineStr">
        <is>
          <t xml:space="preserve">-</t>
        </is>
      </c>
      <c r="F660" s="0" t="inlineStr">
        <is>
          <t xml:space="preserve">-</t>
        </is>
      </c>
      <c r="G660" s="5">
        <v>1.096147</v>
      </c>
      <c r="H660" s="0" t="inlineStr">
        <is>
          <t xml:space="preserve">supplier</t>
        </is>
      </c>
      <c r="I660" s="0" t="inlineStr">
        <is>
          <t xml:space="preserve">unbucketed</t>
        </is>
      </c>
      <c r="J660" s="0" t="inlineStr">
        <is>
          <t xml:space="preserve">residual</t>
        </is>
      </c>
      <c r="K660" s="5">
        <v>0</v>
      </c>
      <c r="L660" s="5">
        <v>0</v>
      </c>
      <c r="M660" s="5">
        <v>0.034159</v>
      </c>
      <c r="N660" s="5">
        <v>0.0</v>
      </c>
      <c r="O660" s="5">
        <v>0.0</v>
      </c>
      <c r="P660" s="5">
        <v>0.0</v>
      </c>
      <c r="Q660" s="5">
        <v>0.0</v>
      </c>
    </row>
    <row r="661" outlineLevel="1">
      <c r="B661" s="0" t="inlineStr">
        <is>
          <t xml:space="preserve">MURPHY RIGGING AND ERECTING, INC.</t>
        </is>
      </c>
      <c r="C661" s="0" t="inlineStr">
        <is>
          <t xml:space="preserve">T2FBBL2MHN31</t>
        </is>
      </c>
      <c r="D661" s="0" t="inlineStr">
        <is>
          <t xml:space="preserve">-</t>
        </is>
      </c>
      <c r="E661" s="0" t="inlineStr">
        <is>
          <t xml:space="preserve">-</t>
        </is>
      </c>
      <c r="F661" s="0" t="inlineStr">
        <is>
          <t xml:space="preserve">-</t>
        </is>
      </c>
      <c r="G661" s="5">
        <v>1.0911920000000004</v>
      </c>
      <c r="H661" s="0" t="inlineStr">
        <is>
          <t xml:space="preserve">supplier</t>
        </is>
      </c>
      <c r="I661" s="0" t="inlineStr">
        <is>
          <t xml:space="preserve">unbucketed</t>
        </is>
      </c>
      <c r="J661" s="0" t="inlineStr">
        <is>
          <t xml:space="preserve">residual</t>
        </is>
      </c>
      <c r="K661" s="5">
        <v>0</v>
      </c>
      <c r="L661" s="5">
        <v>0</v>
      </c>
      <c r="M661" s="5">
        <v>0.0</v>
      </c>
      <c r="N661" s="5">
        <v>0.0</v>
      </c>
      <c r="O661" s="5">
        <v>0.0</v>
      </c>
      <c r="P661" s="5">
        <v>0.0</v>
      </c>
      <c r="Q661" s="5">
        <v>0.0</v>
      </c>
    </row>
    <row r="662" outlineLevel="1">
      <c r="B662" s="0" t="inlineStr">
        <is>
          <t xml:space="preserve">NUMET MACHINING TECHNIQUES, LLC</t>
        </is>
      </c>
      <c r="C662" s="0" t="inlineStr">
        <is>
          <t xml:space="preserve">KQB2LLLUDF22</t>
        </is>
      </c>
      <c r="D662" s="0" t="inlineStr">
        <is>
          <t xml:space="preserve">-</t>
        </is>
      </c>
      <c r="E662" s="0" t="inlineStr">
        <is>
          <t xml:space="preserve">-</t>
        </is>
      </c>
      <c r="F662" s="0" t="inlineStr">
        <is>
          <t xml:space="preserve">-</t>
        </is>
      </c>
      <c r="G662" s="5">
        <v>1.0896109999999999</v>
      </c>
      <c r="H662" s="0" t="inlineStr">
        <is>
          <t xml:space="preserve">supplier</t>
        </is>
      </c>
      <c r="I662" s="0" t="inlineStr">
        <is>
          <t xml:space="preserve">unbucketed</t>
        </is>
      </c>
      <c r="J662" s="0" t="inlineStr">
        <is>
          <t xml:space="preserve">residual</t>
        </is>
      </c>
      <c r="K662" s="5">
        <v>0</v>
      </c>
      <c r="L662" s="5">
        <v>0</v>
      </c>
      <c r="M662" s="5">
        <v>0.0</v>
      </c>
      <c r="N662" s="5">
        <v>0.0</v>
      </c>
      <c r="O662" s="5">
        <v>0.0</v>
      </c>
      <c r="P662" s="5">
        <v>0.0</v>
      </c>
      <c r="Q662" s="5">
        <v>0.0</v>
      </c>
    </row>
    <row r="663" outlineLevel="1">
      <c r="B663" s="0" t="inlineStr">
        <is>
          <t xml:space="preserve">MIDSTATE INDUSTRIAL SUPPLY, INC.</t>
        </is>
      </c>
      <c r="C663" s="0" t="inlineStr">
        <is>
          <t xml:space="preserve">KHN9PQ6VZ756</t>
        </is>
      </c>
      <c r="D663" s="0" t="inlineStr">
        <is>
          <t xml:space="preserve">-</t>
        </is>
      </c>
      <c r="E663" s="0" t="inlineStr">
        <is>
          <t xml:space="preserve">-</t>
        </is>
      </c>
      <c r="F663" s="0" t="inlineStr">
        <is>
          <t xml:space="preserve">-</t>
        </is>
      </c>
      <c r="G663" s="5">
        <v>1.08375341</v>
      </c>
      <c r="H663" s="0" t="inlineStr">
        <is>
          <t xml:space="preserve">supplier</t>
        </is>
      </c>
      <c r="I663" s="0" t="inlineStr">
        <is>
          <t xml:space="preserve">unbucketed</t>
        </is>
      </c>
      <c r="J663" s="0" t="inlineStr">
        <is>
          <t xml:space="preserve">residual</t>
        </is>
      </c>
      <c r="K663" s="5">
        <v>0</v>
      </c>
      <c r="L663" s="5">
        <v>0</v>
      </c>
      <c r="M663" s="5">
        <v>0.0</v>
      </c>
      <c r="N663" s="5">
        <v>0.0</v>
      </c>
      <c r="O663" s="5">
        <v>0.0</v>
      </c>
      <c r="P663" s="5">
        <v>0.0</v>
      </c>
      <c r="Q663" s="5">
        <v>0.0</v>
      </c>
    </row>
    <row r="664" outlineLevel="1">
      <c r="B664" s="0" t="inlineStr">
        <is>
          <t xml:space="preserve">TE CONNECTIVITY CORPORATION</t>
        </is>
      </c>
      <c r="C664" s="0" t="inlineStr">
        <is>
          <t xml:space="preserve">NR7CPKGJP5Y1</t>
        </is>
      </c>
      <c r="D664" s="0" t="inlineStr">
        <is>
          <t xml:space="preserve">-</t>
        </is>
      </c>
      <c r="E664" s="0" t="inlineStr">
        <is>
          <t xml:space="preserve">-</t>
        </is>
      </c>
      <c r="F664" s="0" t="inlineStr">
        <is>
          <t xml:space="preserve">-</t>
        </is>
      </c>
      <c r="G664" s="5">
        <v>1.07790804</v>
      </c>
      <c r="H664" s="0" t="inlineStr">
        <is>
          <t xml:space="preserve">supplier</t>
        </is>
      </c>
      <c r="I664" s="0" t="inlineStr">
        <is>
          <t xml:space="preserve">unbucketed</t>
        </is>
      </c>
      <c r="J664" s="0" t="inlineStr">
        <is>
          <t xml:space="preserve">residual</t>
        </is>
      </c>
      <c r="K664" s="5">
        <v>0</v>
      </c>
      <c r="L664" s="5">
        <v>0</v>
      </c>
      <c r="M664" s="5">
        <v>0.0</v>
      </c>
      <c r="N664" s="5">
        <v>0.0</v>
      </c>
      <c r="O664" s="5">
        <v>0.0</v>
      </c>
      <c r="P664" s="5">
        <v>0.0</v>
      </c>
      <c r="Q664" s="5">
        <v>0.0</v>
      </c>
    </row>
    <row r="665" outlineLevel="1">
      <c r="B665" s="0" t="inlineStr">
        <is>
          <t xml:space="preserve">CENTURY TOOL INC</t>
        </is>
      </c>
      <c r="C665" s="0" t="inlineStr">
        <is>
          <t xml:space="preserve">NUL8Z35S3LJ5</t>
        </is>
      </c>
      <c r="D665" s="0" t="inlineStr">
        <is>
          <t xml:space="preserve">USA</t>
        </is>
      </c>
      <c r="E665" s="0" t="inlineStr">
        <is>
          <t xml:space="preserve">3327</t>
        </is>
      </c>
      <c r="F665" s="0" t="inlineStr">
        <is>
          <t xml:space="preserve">Machine Shops</t>
        </is>
      </c>
      <c r="G665" s="5">
        <v>1.07417769</v>
      </c>
      <c r="H665" s="0" t="inlineStr">
        <is>
          <t xml:space="preserve">supplier</t>
        </is>
      </c>
      <c r="I665" s="0" t="inlineStr">
        <is>
          <t xml:space="preserve">machining</t>
        </is>
      </c>
      <c r="J665" s="0" t="inlineStr">
        <is>
          <t xml:space="preserve">naics4</t>
        </is>
      </c>
      <c r="K665" s="5">
        <v>0</v>
      </c>
      <c r="L665" s="5">
        <v>0</v>
      </c>
      <c r="M665" s="5">
        <v>0.0</v>
      </c>
      <c r="N665" s="5">
        <v>0.0</v>
      </c>
      <c r="O665" s="5">
        <v>0.0</v>
      </c>
      <c r="P665" s="5">
        <v>0.0</v>
      </c>
      <c r="Q665" s="5">
        <v>0.0</v>
      </c>
    </row>
    <row r="666" outlineLevel="1">
      <c r="B666" s="0" t="inlineStr">
        <is>
          <t xml:space="preserve">MAR-VAC PRODUCTS INC</t>
        </is>
      </c>
      <c r="C666" s="0" t="inlineStr">
        <is>
          <t xml:space="preserve">DV6YQV71ME11</t>
        </is>
      </c>
      <c r="D666" s="0" t="inlineStr">
        <is>
          <t xml:space="preserve">-</t>
        </is>
      </c>
      <c r="E666" s="0" t="inlineStr">
        <is>
          <t xml:space="preserve">-</t>
        </is>
      </c>
      <c r="F666" s="0" t="inlineStr">
        <is>
          <t xml:space="preserve">-</t>
        </is>
      </c>
      <c r="G666" s="5">
        <v>1.07374613</v>
      </c>
      <c r="H666" s="0" t="inlineStr">
        <is>
          <t xml:space="preserve">supplier</t>
        </is>
      </c>
      <c r="I666" s="0" t="inlineStr">
        <is>
          <t xml:space="preserve">unbucketed</t>
        </is>
      </c>
      <c r="J666" s="0" t="inlineStr">
        <is>
          <t xml:space="preserve">residual</t>
        </is>
      </c>
      <c r="K666" s="5">
        <v>0</v>
      </c>
      <c r="L666" s="5">
        <v>0</v>
      </c>
      <c r="M666" s="5">
        <v>1.07374613</v>
      </c>
      <c r="N666" s="5">
        <v>0.382595</v>
      </c>
      <c r="O666" s="5">
        <v>0.0</v>
      </c>
      <c r="P666" s="5">
        <v>0.0</v>
      </c>
      <c r="Q666" s="5">
        <v>0.0</v>
      </c>
    </row>
    <row r="667" outlineLevel="1">
      <c r="B667" s="0" t="inlineStr">
        <is>
          <t xml:space="preserve">RANDOLPH &amp; BALDWIN, INC.</t>
        </is>
      </c>
      <c r="C667" s="0" t="inlineStr">
        <is>
          <t xml:space="preserve">XZ19XA317MA8</t>
        </is>
      </c>
      <c r="D667" s="0" t="inlineStr">
        <is>
          <t xml:space="preserve">-</t>
        </is>
      </c>
      <c r="E667" s="0" t="inlineStr">
        <is>
          <t xml:space="preserve">-</t>
        </is>
      </c>
      <c r="F667" s="0" t="inlineStr">
        <is>
          <t xml:space="preserve">-</t>
        </is>
      </c>
      <c r="G667" s="5">
        <v>1.0736219999999999</v>
      </c>
      <c r="H667" s="0" t="inlineStr">
        <is>
          <t xml:space="preserve">supplier</t>
        </is>
      </c>
      <c r="I667" s="0" t="inlineStr">
        <is>
          <t xml:space="preserve">unbucketed</t>
        </is>
      </c>
      <c r="J667" s="0" t="inlineStr">
        <is>
          <t xml:space="preserve">residual</t>
        </is>
      </c>
      <c r="K667" s="5">
        <v>0</v>
      </c>
      <c r="L667" s="5">
        <v>0</v>
      </c>
      <c r="M667" s="5">
        <v>0.0</v>
      </c>
      <c r="N667" s="5">
        <v>0.0</v>
      </c>
      <c r="O667" s="5">
        <v>0.0</v>
      </c>
      <c r="P667" s="5">
        <v>0.0</v>
      </c>
      <c r="Q667" s="5">
        <v>0.0</v>
      </c>
    </row>
    <row r="668" outlineLevel="1">
      <c r="B668" s="0" t="inlineStr">
        <is>
          <t xml:space="preserve">QUASAR POWER &amp; TECHNOLOGIES INC.</t>
        </is>
      </c>
      <c r="C668" s="0" t="inlineStr">
        <is>
          <t xml:space="preserve">N88VHXESBD88</t>
        </is>
      </c>
      <c r="D668" s="0" t="inlineStr">
        <is>
          <t xml:space="preserve">-</t>
        </is>
      </c>
      <c r="E668" s="0" t="inlineStr">
        <is>
          <t xml:space="preserve">-</t>
        </is>
      </c>
      <c r="F668" s="0" t="inlineStr">
        <is>
          <t xml:space="preserve">-</t>
        </is>
      </c>
      <c r="G668" s="5">
        <v>1.071479</v>
      </c>
      <c r="H668" s="0" t="inlineStr">
        <is>
          <t xml:space="preserve">supplier</t>
        </is>
      </c>
      <c r="I668" s="0" t="inlineStr">
        <is>
          <t xml:space="preserve">unbucketed</t>
        </is>
      </c>
      <c r="J668" s="0" t="inlineStr">
        <is>
          <t xml:space="preserve">residual</t>
        </is>
      </c>
      <c r="K668" s="5">
        <v>0</v>
      </c>
      <c r="L668" s="5">
        <v>0</v>
      </c>
      <c r="M668" s="5">
        <v>0.0</v>
      </c>
      <c r="N668" s="5">
        <v>0.0</v>
      </c>
      <c r="O668" s="5">
        <v>0.0</v>
      </c>
      <c r="P668" s="5">
        <v>0.0</v>
      </c>
      <c r="Q668" s="5">
        <v>0.0</v>
      </c>
    </row>
    <row r="669" outlineLevel="1">
      <c r="B669" s="0" t="inlineStr">
        <is>
          <t xml:space="preserve">J &amp; E MANUFACTURING LLC</t>
        </is>
      </c>
      <c r="C669" s="0" t="inlineStr">
        <is>
          <t xml:space="preserve">FQ9ECUGUSKZ8</t>
        </is>
      </c>
      <c r="D669" s="0" t="inlineStr">
        <is>
          <t xml:space="preserve">-</t>
        </is>
      </c>
      <c r="E669" s="0" t="inlineStr">
        <is>
          <t xml:space="preserve">-</t>
        </is>
      </c>
      <c r="F669" s="0" t="inlineStr">
        <is>
          <t xml:space="preserve">-</t>
        </is>
      </c>
      <c r="G669" s="5">
        <v>1.070914</v>
      </c>
      <c r="H669" s="0" t="inlineStr">
        <is>
          <t xml:space="preserve">supplier</t>
        </is>
      </c>
      <c r="I669" s="0" t="inlineStr">
        <is>
          <t xml:space="preserve">unbucketed</t>
        </is>
      </c>
      <c r="J669" s="0" t="inlineStr">
        <is>
          <t xml:space="preserve">residual</t>
        </is>
      </c>
      <c r="K669" s="5">
        <v>0</v>
      </c>
      <c r="L669" s="5">
        <v>0</v>
      </c>
      <c r="M669" s="5">
        <v>0.0</v>
      </c>
      <c r="N669" s="5">
        <v>0.0</v>
      </c>
      <c r="O669" s="5">
        <v>0.0</v>
      </c>
      <c r="P669" s="5">
        <v>0.0</v>
      </c>
      <c r="Q669" s="5">
        <v>0.0</v>
      </c>
    </row>
    <row r="670" outlineLevel="1">
      <c r="B670" s="0" t="inlineStr">
        <is>
          <t xml:space="preserve">PRESIDIO COMPONENTS INC</t>
        </is>
      </c>
      <c r="C670" s="0" t="inlineStr">
        <is>
          <t xml:space="preserve">GVHULJ2VMWE9</t>
        </is>
      </c>
      <c r="D670" s="0" t="inlineStr">
        <is>
          <t xml:space="preserve">-</t>
        </is>
      </c>
      <c r="E670" s="0" t="inlineStr">
        <is>
          <t xml:space="preserve">-</t>
        </is>
      </c>
      <c r="F670" s="0" t="inlineStr">
        <is>
          <t xml:space="preserve">-</t>
        </is>
      </c>
      <c r="G670" s="5">
        <v>1.062987</v>
      </c>
      <c r="H670" s="0" t="inlineStr">
        <is>
          <t xml:space="preserve">supplier</t>
        </is>
      </c>
      <c r="I670" s="0" t="inlineStr">
        <is>
          <t xml:space="preserve">unbucketed</t>
        </is>
      </c>
      <c r="J670" s="0" t="inlineStr">
        <is>
          <t xml:space="preserve">residual</t>
        </is>
      </c>
      <c r="K670" s="5">
        <v>0</v>
      </c>
      <c r="L670" s="5">
        <v>0</v>
      </c>
      <c r="M670" s="5">
        <v>0.0</v>
      </c>
      <c r="N670" s="5">
        <v>0.0</v>
      </c>
      <c r="O670" s="5">
        <v>0.0</v>
      </c>
      <c r="P670" s="5">
        <v>0.0</v>
      </c>
      <c r="Q670" s="5">
        <v>0.0</v>
      </c>
    </row>
    <row r="671" outlineLevel="1">
      <c r="B671" s="0" t="inlineStr">
        <is>
          <t xml:space="preserve">SIEMENS AKTIENGESELLSCHAFT</t>
        </is>
      </c>
      <c r="C671" s="0" t="inlineStr">
        <is>
          <t xml:space="preserve">F9ZENVS243U3</t>
        </is>
      </c>
      <c r="D671" s="0" t="inlineStr">
        <is>
          <t xml:space="preserve">-</t>
        </is>
      </c>
      <c r="E671" s="0" t="inlineStr">
        <is>
          <t xml:space="preserve">-</t>
        </is>
      </c>
      <c r="F671" s="0" t="inlineStr">
        <is>
          <t xml:space="preserve">-</t>
        </is>
      </c>
      <c r="G671" s="5">
        <v>1.05735315</v>
      </c>
      <c r="H671" s="0" t="inlineStr">
        <is>
          <t xml:space="preserve">supplier</t>
        </is>
      </c>
      <c r="I671" s="0" t="inlineStr">
        <is>
          <t xml:space="preserve">unbucketed</t>
        </is>
      </c>
      <c r="J671" s="0" t="inlineStr">
        <is>
          <t xml:space="preserve">residual</t>
        </is>
      </c>
      <c r="K671" s="5">
        <v>0</v>
      </c>
      <c r="L671" s="5">
        <v>0</v>
      </c>
      <c r="M671" s="5">
        <v>0.0</v>
      </c>
      <c r="N671" s="5">
        <v>0.0</v>
      </c>
      <c r="O671" s="5">
        <v>0.0</v>
      </c>
      <c r="P671" s="5">
        <v>0.0</v>
      </c>
      <c r="Q671" s="5">
        <v>0.0</v>
      </c>
    </row>
    <row r="672" outlineLevel="1">
      <c r="B672" s="0" t="inlineStr">
        <is>
          <t xml:space="preserve">PARKER-HANNIFIN CORPORATION</t>
        </is>
      </c>
      <c r="C672" s="0" t="inlineStr">
        <is>
          <t xml:space="preserve">CSY2M7L3TMB8</t>
        </is>
      </c>
      <c r="D672" s="0" t="inlineStr">
        <is>
          <t xml:space="preserve">-</t>
        </is>
      </c>
      <c r="E672" s="0" t="inlineStr">
        <is>
          <t xml:space="preserve">-</t>
        </is>
      </c>
      <c r="F672" s="0" t="inlineStr">
        <is>
          <t xml:space="preserve">-</t>
        </is>
      </c>
      <c r="G672" s="5">
        <v>1.04851</v>
      </c>
      <c r="H672" s="0" t="inlineStr">
        <is>
          <t xml:space="preserve">supplier</t>
        </is>
      </c>
      <c r="I672" s="0" t="inlineStr">
        <is>
          <t xml:space="preserve">unbucketed</t>
        </is>
      </c>
      <c r="J672" s="0" t="inlineStr">
        <is>
          <t xml:space="preserve">residual</t>
        </is>
      </c>
      <c r="K672" s="5">
        <v>0</v>
      </c>
      <c r="L672" s="5">
        <v>0</v>
      </c>
      <c r="M672" s="5">
        <v>0.0</v>
      </c>
      <c r="N672" s="5">
        <v>0.0</v>
      </c>
      <c r="O672" s="5">
        <v>0.0</v>
      </c>
      <c r="P672" s="5">
        <v>0.0</v>
      </c>
      <c r="Q672" s="5">
        <v>0.0</v>
      </c>
    </row>
    <row r="673" outlineLevel="1">
      <c r="B673" s="0" t="inlineStr">
        <is>
          <t xml:space="preserve">HANWHA AEROSPACE USA LLC</t>
        </is>
      </c>
      <c r="C673" s="0" t="inlineStr">
        <is>
          <t xml:space="preserve">RCCFHJBQZ5G6</t>
        </is>
      </c>
      <c r="D673" s="0" t="inlineStr">
        <is>
          <t xml:space="preserve">-</t>
        </is>
      </c>
      <c r="E673" s="0" t="inlineStr">
        <is>
          <t xml:space="preserve">-</t>
        </is>
      </c>
      <c r="F673" s="0" t="inlineStr">
        <is>
          <t xml:space="preserve">-</t>
        </is>
      </c>
      <c r="G673" s="5">
        <v>1.0476</v>
      </c>
      <c r="H673" s="0" t="inlineStr">
        <is>
          <t xml:space="preserve">supplier</t>
        </is>
      </c>
      <c r="I673" s="0" t="inlineStr">
        <is>
          <t xml:space="preserve">unbucketed</t>
        </is>
      </c>
      <c r="J673" s="0" t="inlineStr">
        <is>
          <t xml:space="preserve">residual</t>
        </is>
      </c>
      <c r="K673" s="5">
        <v>0</v>
      </c>
      <c r="L673" s="5">
        <v>0</v>
      </c>
      <c r="M673" s="5">
        <v>0.0</v>
      </c>
      <c r="N673" s="5">
        <v>0.0</v>
      </c>
      <c r="O673" s="5">
        <v>0.0</v>
      </c>
      <c r="P673" s="5">
        <v>0.0</v>
      </c>
      <c r="Q673" s="5">
        <v>0.0</v>
      </c>
    </row>
    <row r="674" outlineLevel="1">
      <c r="B674" s="0" t="inlineStr">
        <is>
          <t xml:space="preserve">MANSON CONSTRUCTION HOLDING COMPANY</t>
        </is>
      </c>
      <c r="C674" s="0" t="inlineStr">
        <is>
          <t xml:space="preserve">UJGKNVYG6UZ3</t>
        </is>
      </c>
      <c r="D674" s="0" t="inlineStr">
        <is>
          <t xml:space="preserve">-</t>
        </is>
      </c>
      <c r="E674" s="0" t="inlineStr">
        <is>
          <t xml:space="preserve">-</t>
        </is>
      </c>
      <c r="F674" s="0" t="inlineStr">
        <is>
          <t xml:space="preserve">-</t>
        </is>
      </c>
      <c r="G674" s="5">
        <v>1.045</v>
      </c>
      <c r="H674" s="0" t="inlineStr">
        <is>
          <t xml:space="preserve">supplier</t>
        </is>
      </c>
      <c r="I674" s="0" t="inlineStr">
        <is>
          <t xml:space="preserve">unbucketed</t>
        </is>
      </c>
      <c r="J674" s="0" t="inlineStr">
        <is>
          <t xml:space="preserve">residual</t>
        </is>
      </c>
      <c r="K674" s="5">
        <v>0</v>
      </c>
      <c r="L674" s="5">
        <v>0</v>
      </c>
      <c r="M674" s="5">
        <v>0.0</v>
      </c>
      <c r="N674" s="5">
        <v>0.0</v>
      </c>
      <c r="O674" s="5">
        <v>0.0</v>
      </c>
      <c r="P674" s="5">
        <v>0.0</v>
      </c>
      <c r="Q674" s="5">
        <v>0.0</v>
      </c>
    </row>
    <row r="675" outlineLevel="1">
      <c r="B675" s="0" t="inlineStr">
        <is>
          <t xml:space="preserve">RUGGED INFORMATION TECHNOLOGY EQUIPMENT CORPORATION</t>
        </is>
      </c>
      <c r="C675" s="0" t="inlineStr">
        <is>
          <t xml:space="preserve">YC2MMREDU3N1</t>
        </is>
      </c>
      <c r="D675" s="0" t="inlineStr">
        <is>
          <t xml:space="preserve">-</t>
        </is>
      </c>
      <c r="E675" s="0" t="inlineStr">
        <is>
          <t xml:space="preserve">-</t>
        </is>
      </c>
      <c r="F675" s="0" t="inlineStr">
        <is>
          <t xml:space="preserve">-</t>
        </is>
      </c>
      <c r="G675" s="5">
        <v>1.04148001</v>
      </c>
      <c r="H675" s="0" t="inlineStr">
        <is>
          <t xml:space="preserve">supplier</t>
        </is>
      </c>
      <c r="I675" s="0" t="inlineStr">
        <is>
          <t xml:space="preserve">unbucketed</t>
        </is>
      </c>
      <c r="J675" s="0" t="inlineStr">
        <is>
          <t xml:space="preserve">residual</t>
        </is>
      </c>
      <c r="K675" s="5">
        <v>0</v>
      </c>
      <c r="L675" s="5">
        <v>0</v>
      </c>
      <c r="M675" s="5">
        <v>0.0</v>
      </c>
      <c r="N675" s="5">
        <v>0.0</v>
      </c>
      <c r="O675" s="5">
        <v>0.0</v>
      </c>
      <c r="P675" s="5">
        <v>0.0</v>
      </c>
      <c r="Q675" s="5">
        <v>0.0</v>
      </c>
    </row>
    <row r="676" outlineLevel="1">
      <c r="B676" s="0" t="inlineStr">
        <is>
          <t xml:space="preserve">BASIC ELECTRONICS INC</t>
        </is>
      </c>
      <c r="C676" s="0" t="inlineStr">
        <is>
          <t xml:space="preserve">HX6NMRNXGGL5</t>
        </is>
      </c>
      <c r="D676" s="0" t="inlineStr">
        <is>
          <t xml:space="preserve">-</t>
        </is>
      </c>
      <c r="E676" s="0" t="inlineStr">
        <is>
          <t xml:space="preserve">-</t>
        </is>
      </c>
      <c r="F676" s="0" t="inlineStr">
        <is>
          <t xml:space="preserve">-</t>
        </is>
      </c>
      <c r="G676" s="5">
        <v>1.040515</v>
      </c>
      <c r="H676" s="0" t="inlineStr">
        <is>
          <t xml:space="preserve">supplier</t>
        </is>
      </c>
      <c r="I676" s="0" t="inlineStr">
        <is>
          <t xml:space="preserve">unbucketed</t>
        </is>
      </c>
      <c r="J676" s="0" t="inlineStr">
        <is>
          <t xml:space="preserve">residual</t>
        </is>
      </c>
      <c r="K676" s="5">
        <v>0</v>
      </c>
      <c r="L676" s="5">
        <v>0</v>
      </c>
      <c r="M676" s="5">
        <v>0.0</v>
      </c>
      <c r="N676" s="5">
        <v>0.0</v>
      </c>
      <c r="O676" s="5">
        <v>0.0</v>
      </c>
      <c r="P676" s="5">
        <v>0.0</v>
      </c>
      <c r="Q676" s="5">
        <v>0.0</v>
      </c>
    </row>
    <row r="677" outlineLevel="1">
      <c r="B677" s="0" t="inlineStr">
        <is>
          <t xml:space="preserve">A TO Z MACHINE COMPANY, INC.</t>
        </is>
      </c>
      <c r="C677" s="0" t="inlineStr">
        <is>
          <t xml:space="preserve">J6G2YP3QZMZ3</t>
        </is>
      </c>
      <c r="D677" s="0" t="inlineStr">
        <is>
          <t xml:space="preserve">-</t>
        </is>
      </c>
      <c r="E677" s="0" t="inlineStr">
        <is>
          <t xml:space="preserve">-</t>
        </is>
      </c>
      <c r="F677" s="0" t="inlineStr">
        <is>
          <t xml:space="preserve">-</t>
        </is>
      </c>
      <c r="G677" s="5">
        <v>1.03866</v>
      </c>
      <c r="H677" s="0" t="inlineStr">
        <is>
          <t xml:space="preserve">supplier</t>
        </is>
      </c>
      <c r="I677" s="0" t="inlineStr">
        <is>
          <t xml:space="preserve">unbucketed</t>
        </is>
      </c>
      <c r="J677" s="0" t="inlineStr">
        <is>
          <t xml:space="preserve">residual</t>
        </is>
      </c>
      <c r="K677" s="5">
        <v>0</v>
      </c>
      <c r="L677" s="5">
        <v>0</v>
      </c>
      <c r="M677" s="5">
        <v>0.0</v>
      </c>
      <c r="N677" s="5">
        <v>0.0</v>
      </c>
      <c r="O677" s="5">
        <v>0.0</v>
      </c>
      <c r="P677" s="5">
        <v>0.0</v>
      </c>
      <c r="Q677" s="5">
        <v>0.0</v>
      </c>
    </row>
    <row r="678" outlineLevel="1">
      <c r="B678" s="0" t="inlineStr">
        <is>
          <t xml:space="preserve">ADVANTECH INDUSTRIES, INC.</t>
        </is>
      </c>
      <c r="C678" s="0" t="inlineStr">
        <is>
          <t xml:space="preserve">T65NL3CZZ9Y8</t>
        </is>
      </c>
      <c r="D678" s="0" t="inlineStr">
        <is>
          <t xml:space="preserve">-</t>
        </is>
      </c>
      <c r="E678" s="0" t="inlineStr">
        <is>
          <t xml:space="preserve">-</t>
        </is>
      </c>
      <c r="F678" s="0" t="inlineStr">
        <is>
          <t xml:space="preserve">-</t>
        </is>
      </c>
      <c r="G678" s="5">
        <v>1.0356665</v>
      </c>
      <c r="H678" s="0" t="inlineStr">
        <is>
          <t xml:space="preserve">supplier</t>
        </is>
      </c>
      <c r="I678" s="0" t="inlineStr">
        <is>
          <t xml:space="preserve">unbucketed</t>
        </is>
      </c>
      <c r="J678" s="0" t="inlineStr">
        <is>
          <t xml:space="preserve">residual</t>
        </is>
      </c>
      <c r="K678" s="5">
        <v>0</v>
      </c>
      <c r="L678" s="5">
        <v>0</v>
      </c>
      <c r="M678" s="5">
        <v>0.0</v>
      </c>
      <c r="N678" s="5">
        <v>0.0</v>
      </c>
      <c r="O678" s="5">
        <v>0.0</v>
      </c>
      <c r="P678" s="5">
        <v>0.0</v>
      </c>
      <c r="Q678" s="5">
        <v>0.0</v>
      </c>
    </row>
    <row r="679" outlineLevel="1">
      <c r="B679" s="0" t="inlineStr">
        <is>
          <t xml:space="preserve">PTC INC.</t>
        </is>
      </c>
      <c r="C679" s="0" t="inlineStr">
        <is>
          <t xml:space="preserve">T6HMTJ6CTRF5</t>
        </is>
      </c>
      <c r="D679" s="0" t="inlineStr">
        <is>
          <t xml:space="preserve">-</t>
        </is>
      </c>
      <c r="E679" s="0" t="inlineStr">
        <is>
          <t xml:space="preserve">-</t>
        </is>
      </c>
      <c r="F679" s="0" t="inlineStr">
        <is>
          <t xml:space="preserve">-</t>
        </is>
      </c>
      <c r="G679" s="5">
        <v>1.03317884</v>
      </c>
      <c r="H679" s="0" t="inlineStr">
        <is>
          <t xml:space="preserve">supplier</t>
        </is>
      </c>
      <c r="I679" s="0" t="inlineStr">
        <is>
          <t xml:space="preserve">unbucketed</t>
        </is>
      </c>
      <c r="J679" s="0" t="inlineStr">
        <is>
          <t xml:space="preserve">residual</t>
        </is>
      </c>
      <c r="K679" s="5">
        <v>0</v>
      </c>
      <c r="L679" s="5">
        <v>0</v>
      </c>
      <c r="M679" s="5">
        <v>0.0</v>
      </c>
      <c r="N679" s="5">
        <v>0.0</v>
      </c>
      <c r="O679" s="5">
        <v>0.0</v>
      </c>
      <c r="P679" s="5">
        <v>0.0</v>
      </c>
      <c r="Q679" s="5">
        <v>0.0</v>
      </c>
    </row>
    <row r="680" outlineLevel="1">
      <c r="B680" s="0" t="inlineStr">
        <is>
          <t xml:space="preserve">HUBER + SUHNER AG</t>
        </is>
      </c>
      <c r="C680" s="0" t="inlineStr">
        <is>
          <t xml:space="preserve">LDZLUVBL2WM5</t>
        </is>
      </c>
      <c r="D680" s="0" t="inlineStr">
        <is>
          <t xml:space="preserve">-</t>
        </is>
      </c>
      <c r="E680" s="0" t="inlineStr">
        <is>
          <t xml:space="preserve">-</t>
        </is>
      </c>
      <c r="F680" s="0" t="inlineStr">
        <is>
          <t xml:space="preserve">-</t>
        </is>
      </c>
      <c r="G680" s="5">
        <v>1.032931</v>
      </c>
      <c r="H680" s="0" t="inlineStr">
        <is>
          <t xml:space="preserve">supplier</t>
        </is>
      </c>
      <c r="I680" s="0" t="inlineStr">
        <is>
          <t xml:space="preserve">unbucketed</t>
        </is>
      </c>
      <c r="J680" s="0" t="inlineStr">
        <is>
          <t xml:space="preserve">residual</t>
        </is>
      </c>
      <c r="K680" s="5">
        <v>0</v>
      </c>
      <c r="L680" s="5">
        <v>0</v>
      </c>
      <c r="M680" s="5">
        <v>0.0</v>
      </c>
      <c r="N680" s="5">
        <v>0.0</v>
      </c>
      <c r="O680" s="5">
        <v>0.0</v>
      </c>
      <c r="P680" s="5">
        <v>0.0</v>
      </c>
      <c r="Q680" s="5">
        <v>0.0</v>
      </c>
    </row>
    <row r="681" outlineLevel="1">
      <c r="B681" s="0" t="inlineStr">
        <is>
          <t xml:space="preserve">SMT, CORP.</t>
        </is>
      </c>
      <c r="C681" s="0" t="inlineStr">
        <is>
          <t xml:space="preserve">JM6RNJN59UK4</t>
        </is>
      </c>
      <c r="D681" s="0" t="inlineStr">
        <is>
          <t xml:space="preserve">-</t>
        </is>
      </c>
      <c r="E681" s="0" t="inlineStr">
        <is>
          <t xml:space="preserve">-</t>
        </is>
      </c>
      <c r="F681" s="0" t="inlineStr">
        <is>
          <t xml:space="preserve">-</t>
        </is>
      </c>
      <c r="G681" s="5">
        <v>1.0325332</v>
      </c>
      <c r="H681" s="0" t="inlineStr">
        <is>
          <t xml:space="preserve">supplier</t>
        </is>
      </c>
      <c r="I681" s="0" t="inlineStr">
        <is>
          <t xml:space="preserve">unbucketed</t>
        </is>
      </c>
      <c r="J681" s="0" t="inlineStr">
        <is>
          <t xml:space="preserve">residual</t>
        </is>
      </c>
      <c r="K681" s="5">
        <v>0</v>
      </c>
      <c r="L681" s="5">
        <v>0</v>
      </c>
      <c r="M681" s="5">
        <v>0.0</v>
      </c>
      <c r="N681" s="5">
        <v>0.0</v>
      </c>
      <c r="O681" s="5">
        <v>0.0</v>
      </c>
      <c r="P681" s="5">
        <v>0.0</v>
      </c>
      <c r="Q681" s="5">
        <v>0.0</v>
      </c>
    </row>
    <row r="682" outlineLevel="1">
      <c r="B682" s="0" t="inlineStr">
        <is>
          <t xml:space="preserve">L3HARRIS TECHNOLOGIES, INC</t>
        </is>
      </c>
      <c r="C682" s="0" t="inlineStr">
        <is>
          <t xml:space="preserve">QV38GMJUBJQ3</t>
        </is>
      </c>
      <c r="D682" s="0" t="inlineStr">
        <is>
          <t xml:space="preserve">USA</t>
        </is>
      </c>
      <c r="E682" s="0" t="inlineStr">
        <is>
          <t xml:space="preserve">3345</t>
        </is>
      </c>
      <c r="F682" s="0" t="inlineStr">
        <is>
          <t xml:space="preserve">Search, Detection, Navigation, Guidance, Aeronautical, and Nautical System and Instrument Manufacturing</t>
        </is>
      </c>
      <c r="G682" s="5">
        <v>1.02988276</v>
      </c>
      <c r="H682" s="0" t="inlineStr">
        <is>
          <t xml:space="preserve">gfe_mib</t>
        </is>
      </c>
      <c r="I682" s="0" t="inlineStr">
        <is>
          <t xml:space="preserve">-</t>
        </is>
      </c>
      <c r="J682" s="0" t="inlineStr">
        <is>
          <t xml:space="preserve">GFE/MIB name</t>
        </is>
      </c>
      <c r="K682" s="5">
        <v>0</v>
      </c>
      <c r="L682" s="5">
        <v>0</v>
      </c>
      <c r="M682" s="5">
        <v>0.61232076</v>
      </c>
      <c r="N682" s="5">
        <v>0.0</v>
      </c>
      <c r="O682" s="5">
        <v>0.0</v>
      </c>
      <c r="P682" s="5">
        <v>0.0</v>
      </c>
      <c r="Q682" s="5">
        <v>0.41594876000000003</v>
      </c>
    </row>
    <row r="683" outlineLevel="1">
      <c r="B683" s="0" t="inlineStr">
        <is>
          <t xml:space="preserve">WHITING DOOR EXPORT CORP.</t>
        </is>
      </c>
      <c r="C683" s="0" t="inlineStr">
        <is>
          <t xml:space="preserve">FFZLXPAQCMD8</t>
        </is>
      </c>
      <c r="D683" s="0" t="inlineStr">
        <is>
          <t xml:space="preserve">-</t>
        </is>
      </c>
      <c r="E683" s="0" t="inlineStr">
        <is>
          <t xml:space="preserve">-</t>
        </is>
      </c>
      <c r="F683" s="0" t="inlineStr">
        <is>
          <t xml:space="preserve">-</t>
        </is>
      </c>
      <c r="G683" s="5">
        <v>1.024011</v>
      </c>
      <c r="H683" s="0" t="inlineStr">
        <is>
          <t xml:space="preserve">supplier</t>
        </is>
      </c>
      <c r="I683" s="0" t="inlineStr">
        <is>
          <t xml:space="preserve">unbucketed</t>
        </is>
      </c>
      <c r="J683" s="0" t="inlineStr">
        <is>
          <t xml:space="preserve">residual</t>
        </is>
      </c>
      <c r="K683" s="5">
        <v>0</v>
      </c>
      <c r="L683" s="5">
        <v>0</v>
      </c>
      <c r="M683" s="5">
        <v>1.024011</v>
      </c>
      <c r="N683" s="5">
        <v>0.0</v>
      </c>
      <c r="O683" s="5">
        <v>0.0</v>
      </c>
      <c r="P683" s="5">
        <v>0.0</v>
      </c>
      <c r="Q683" s="5">
        <v>0.11651</v>
      </c>
    </row>
    <row r="684" outlineLevel="1">
      <c r="B684" s="0" t="inlineStr">
        <is>
          <t xml:space="preserve">CDM ELECTRONICS INC</t>
        </is>
      </c>
      <c r="C684" s="0" t="inlineStr">
        <is>
          <t xml:space="preserve">DJ7MS9GQWDC8</t>
        </is>
      </c>
      <c r="D684" s="0" t="inlineStr">
        <is>
          <t xml:space="preserve">-</t>
        </is>
      </c>
      <c r="E684" s="0" t="inlineStr">
        <is>
          <t xml:space="preserve">-</t>
        </is>
      </c>
      <c r="F684" s="0" t="inlineStr">
        <is>
          <t xml:space="preserve">-</t>
        </is>
      </c>
      <c r="G684" s="5">
        <v>1.0180742600000001</v>
      </c>
      <c r="H684" s="0" t="inlineStr">
        <is>
          <t xml:space="preserve">supplier</t>
        </is>
      </c>
      <c r="I684" s="0" t="inlineStr">
        <is>
          <t xml:space="preserve">unbucketed</t>
        </is>
      </c>
      <c r="J684" s="0" t="inlineStr">
        <is>
          <t xml:space="preserve">residual</t>
        </is>
      </c>
      <c r="K684" s="5">
        <v>0</v>
      </c>
      <c r="L684" s="5">
        <v>0</v>
      </c>
      <c r="M684" s="5">
        <v>0.0</v>
      </c>
      <c r="N684" s="5">
        <v>0.0</v>
      </c>
      <c r="O684" s="5">
        <v>0.0</v>
      </c>
      <c r="P684" s="5">
        <v>0.0</v>
      </c>
      <c r="Q684" s="5">
        <v>0.0</v>
      </c>
    </row>
    <row r="685" outlineLevel="1">
      <c r="B685" s="0" t="inlineStr">
        <is>
          <t xml:space="preserve">BUFFALO PUMPS, INC.</t>
        </is>
      </c>
      <c r="C685" s="0" t="inlineStr">
        <is>
          <t xml:space="preserve">M4ELQDG7JLM5</t>
        </is>
      </c>
      <c r="D685" s="0" t="inlineStr">
        <is>
          <t xml:space="preserve">USA</t>
        </is>
      </c>
      <c r="E685" s="0" t="inlineStr">
        <is>
          <t xml:space="preserve">3339</t>
        </is>
      </c>
      <c r="F685" s="0" t="inlineStr">
        <is>
          <t xml:space="preserve">Measuring, Dispensing, and Other Pumping Equipment Manufacturing</t>
        </is>
      </c>
      <c r="G685" s="5">
        <v>1.007819</v>
      </c>
      <c r="H685" s="0" t="inlineStr">
        <is>
          <t xml:space="preserve">supplier</t>
        </is>
      </c>
      <c r="I685" s="0" t="inlineStr">
        <is>
          <t xml:space="preserve">piping</t>
        </is>
      </c>
      <c r="J685" s="0" t="inlineStr">
        <is>
          <t xml:space="preserve">registry</t>
        </is>
      </c>
      <c r="K685" s="5">
        <v>0</v>
      </c>
      <c r="L685" s="5">
        <v>0</v>
      </c>
      <c r="M685" s="5">
        <v>1.007819</v>
      </c>
      <c r="N685" s="5">
        <v>0.0</v>
      </c>
      <c r="O685" s="5">
        <v>0.121912</v>
      </c>
      <c r="P685" s="5">
        <v>0.0</v>
      </c>
      <c r="Q685" s="5">
        <v>0.0</v>
      </c>
    </row>
    <row r="686" outlineLevel="1">
      <c r="B686" s="0" t="inlineStr">
        <is>
          <t xml:space="preserve">LOCKHEED MARTIN CORPORATION</t>
        </is>
      </c>
      <c r="C686" s="0" t="inlineStr">
        <is>
          <t xml:space="preserve">ZFN2JJXBLZT3</t>
        </is>
      </c>
      <c r="D686" s="0" t="inlineStr">
        <is>
          <t xml:space="preserve">-</t>
        </is>
      </c>
      <c r="E686" s="0" t="inlineStr">
        <is>
          <t xml:space="preserve">-</t>
        </is>
      </c>
      <c r="F686" s="0" t="inlineStr">
        <is>
          <t xml:space="preserve">-</t>
        </is>
      </c>
      <c r="G686" s="5">
        <v>1.001141</v>
      </c>
      <c r="H686" s="0" t="inlineStr">
        <is>
          <t xml:space="preserve">gfe_mib</t>
        </is>
      </c>
      <c r="I686" s="0" t="inlineStr">
        <is>
          <t xml:space="preserve">-</t>
        </is>
      </c>
      <c r="J686" s="0" t="inlineStr">
        <is>
          <t xml:space="preserve">GFE/MIB name</t>
        </is>
      </c>
      <c r="K686" s="5">
        <v>0</v>
      </c>
      <c r="L686" s="5">
        <v>0</v>
      </c>
      <c r="M686" s="5">
        <v>1.001141</v>
      </c>
      <c r="N686" s="5">
        <v>0.0</v>
      </c>
      <c r="O686" s="5">
        <v>0.0</v>
      </c>
      <c r="P686" s="5">
        <v>0.0</v>
      </c>
      <c r="Q686" s="5">
        <v>0.0</v>
      </c>
    </row>
    <row r="687" outlineLevel="1">
      <c r="B687" s="0" t="inlineStr">
        <is>
          <t xml:space="preserve">FARRELL EQUIPMENT &amp; CONTROLS, INC.</t>
        </is>
      </c>
      <c r="C687" s="0" t="inlineStr">
        <is>
          <t xml:space="preserve">E3NJQ3BDHW89</t>
        </is>
      </c>
      <c r="D687" s="0" t="inlineStr">
        <is>
          <t xml:space="preserve">-</t>
        </is>
      </c>
      <c r="E687" s="0" t="inlineStr">
        <is>
          <t xml:space="preserve">-</t>
        </is>
      </c>
      <c r="F687" s="0" t="inlineStr">
        <is>
          <t xml:space="preserve">-</t>
        </is>
      </c>
      <c r="G687" s="5">
        <v>1.000783</v>
      </c>
      <c r="H687" s="0" t="inlineStr">
        <is>
          <t xml:space="preserve">supplier</t>
        </is>
      </c>
      <c r="I687" s="0" t="inlineStr">
        <is>
          <t xml:space="preserve">unbucketed</t>
        </is>
      </c>
      <c r="J687" s="0" t="inlineStr">
        <is>
          <t xml:space="preserve">residual</t>
        </is>
      </c>
      <c r="K687" s="5">
        <v>0</v>
      </c>
      <c r="L687" s="5">
        <v>0</v>
      </c>
      <c r="M687" s="5">
        <v>0.0</v>
      </c>
      <c r="N687" s="5">
        <v>0.0</v>
      </c>
      <c r="O687" s="5">
        <v>0.0</v>
      </c>
      <c r="P687" s="5">
        <v>0.0</v>
      </c>
      <c r="Q687" s="5">
        <v>0.0</v>
      </c>
    </row>
    <row r="688" outlineLevel="1">
      <c r="B688" s="0" t="inlineStr">
        <is>
          <t xml:space="preserve">WOODWARD, INC.</t>
        </is>
      </c>
      <c r="C688" s="0" t="inlineStr">
        <is>
          <t xml:space="preserve">WBJ6T1C4HZF5</t>
        </is>
      </c>
      <c r="D688" s="0" t="inlineStr">
        <is>
          <t xml:space="preserve">-</t>
        </is>
      </c>
      <c r="E688" s="0" t="inlineStr">
        <is>
          <t xml:space="preserve">-</t>
        </is>
      </c>
      <c r="F688" s="0" t="inlineStr">
        <is>
          <t xml:space="preserve">-</t>
        </is>
      </c>
      <c r="G688" s="5">
        <v>1.0</v>
      </c>
      <c r="H688" s="0" t="inlineStr">
        <is>
          <t xml:space="preserve">supplier</t>
        </is>
      </c>
      <c r="I688" s="0" t="inlineStr">
        <is>
          <t xml:space="preserve">unbucketed</t>
        </is>
      </c>
      <c r="J688" s="0" t="inlineStr">
        <is>
          <t xml:space="preserve">residual</t>
        </is>
      </c>
      <c r="K688" s="5">
        <v>0</v>
      </c>
      <c r="L688" s="5">
        <v>0</v>
      </c>
      <c r="M688" s="5">
        <v>0.0</v>
      </c>
      <c r="N688" s="5">
        <v>0.0</v>
      </c>
      <c r="O688" s="5">
        <v>0.0</v>
      </c>
      <c r="P688" s="5">
        <v>0.0</v>
      </c>
      <c r="Q688" s="5">
        <v>0.0</v>
      </c>
    </row>
    <row r="689" outlineLevel="1">
      <c r="B689" s="0" t="inlineStr">
        <is>
          <t xml:space="preserve">CUNICO CORPORATION</t>
        </is>
      </c>
      <c r="C689" s="0" t="inlineStr">
        <is>
          <t xml:space="preserve">RLXQHCXFT513</t>
        </is>
      </c>
      <c r="D689" s="0" t="inlineStr">
        <is>
          <t xml:space="preserve">-</t>
        </is>
      </c>
      <c r="E689" s="0" t="inlineStr">
        <is>
          <t xml:space="preserve">-</t>
        </is>
      </c>
      <c r="F689" s="0" t="inlineStr">
        <is>
          <t xml:space="preserve">-</t>
        </is>
      </c>
      <c r="G689" s="5">
        <v>0.996896</v>
      </c>
      <c r="H689" s="0" t="inlineStr">
        <is>
          <t xml:space="preserve">supplier</t>
        </is>
      </c>
      <c r="I689" s="0" t="inlineStr">
        <is>
          <t xml:space="preserve">piping</t>
        </is>
      </c>
      <c r="J689" s="0" t="inlineStr">
        <is>
          <t xml:space="preserve">registry</t>
        </is>
      </c>
      <c r="K689" s="5">
        <v>0</v>
      </c>
      <c r="L689" s="5">
        <v>0</v>
      </c>
      <c r="M689" s="5">
        <v>0.996896</v>
      </c>
      <c r="N689" s="5">
        <v>0.150591</v>
      </c>
      <c r="O689" s="5">
        <v>0.226647</v>
      </c>
      <c r="P689" s="5">
        <v>0.0</v>
      </c>
      <c r="Q689" s="5">
        <v>0.619658</v>
      </c>
    </row>
    <row r="690" outlineLevel="1">
      <c r="B690" s="0" t="inlineStr">
        <is>
          <t xml:space="preserve">SCIENCE APPLICATIONS INTERNATIONAL CORPORATION</t>
        </is>
      </c>
      <c r="C690" s="0" t="inlineStr">
        <is>
          <t xml:space="preserve">MMLKPW9JLX64</t>
        </is>
      </c>
      <c r="D690" s="0" t="inlineStr">
        <is>
          <t xml:space="preserve">-</t>
        </is>
      </c>
      <c r="E690" s="0" t="inlineStr">
        <is>
          <t xml:space="preserve">-</t>
        </is>
      </c>
      <c r="F690" s="0" t="inlineStr">
        <is>
          <t xml:space="preserve">-</t>
        </is>
      </c>
      <c r="G690" s="5">
        <v>0.9938459100000002</v>
      </c>
      <c r="H690" s="0" t="inlineStr">
        <is>
          <t xml:space="preserve">supplier</t>
        </is>
      </c>
      <c r="I690" s="0" t="inlineStr">
        <is>
          <t xml:space="preserve">unbucketed</t>
        </is>
      </c>
      <c r="J690" s="0" t="inlineStr">
        <is>
          <t xml:space="preserve">residual</t>
        </is>
      </c>
      <c r="K690" s="5">
        <v>0</v>
      </c>
      <c r="L690" s="5">
        <v>0</v>
      </c>
      <c r="M690" s="5">
        <v>0.0</v>
      </c>
      <c r="N690" s="5">
        <v>0.0</v>
      </c>
      <c r="O690" s="5">
        <v>0.0</v>
      </c>
      <c r="P690" s="5">
        <v>0.0</v>
      </c>
      <c r="Q690" s="5">
        <v>0.0</v>
      </c>
    </row>
    <row r="691" outlineLevel="1">
      <c r="B691" s="0" t="inlineStr">
        <is>
          <t xml:space="preserve">GRAYCLIFF PARTNERS, LP</t>
        </is>
      </c>
      <c r="C691" s="0" t="inlineStr">
        <is>
          <t xml:space="preserve">G319AMB56SW5</t>
        </is>
      </c>
      <c r="D691" s="0" t="inlineStr">
        <is>
          <t xml:space="preserve">-</t>
        </is>
      </c>
      <c r="E691" s="0" t="inlineStr">
        <is>
          <t xml:space="preserve">-</t>
        </is>
      </c>
      <c r="F691" s="0" t="inlineStr">
        <is>
          <t xml:space="preserve">-</t>
        </is>
      </c>
      <c r="G691" s="5">
        <v>0.9857290000000001</v>
      </c>
      <c r="H691" s="0" t="inlineStr">
        <is>
          <t xml:space="preserve">supplier</t>
        </is>
      </c>
      <c r="I691" s="0" t="inlineStr">
        <is>
          <t xml:space="preserve">unbucketed</t>
        </is>
      </c>
      <c r="J691" s="0" t="inlineStr">
        <is>
          <t xml:space="preserve">residual</t>
        </is>
      </c>
      <c r="K691" s="5">
        <v>0</v>
      </c>
      <c r="L691" s="5">
        <v>0</v>
      </c>
      <c r="M691" s="5">
        <v>0.0</v>
      </c>
      <c r="N691" s="5">
        <v>0.0</v>
      </c>
      <c r="O691" s="5">
        <v>0.0</v>
      </c>
      <c r="P691" s="5">
        <v>0.0</v>
      </c>
      <c r="Q691" s="5">
        <v>0.0</v>
      </c>
    </row>
    <row r="692" outlineLevel="1">
      <c r="B692" s="0" t="inlineStr">
        <is>
          <t xml:space="preserve">TCS INDUSTRIES, INC.</t>
        </is>
      </c>
      <c r="C692" s="0" t="inlineStr">
        <is>
          <t xml:space="preserve">DQJGYPJARP66</t>
        </is>
      </c>
      <c r="D692" s="0" t="inlineStr">
        <is>
          <t xml:space="preserve">-</t>
        </is>
      </c>
      <c r="E692" s="0" t="inlineStr">
        <is>
          <t xml:space="preserve">-</t>
        </is>
      </c>
      <c r="F692" s="0" t="inlineStr">
        <is>
          <t xml:space="preserve">-</t>
        </is>
      </c>
      <c r="G692" s="5">
        <v>0.9831837500000001</v>
      </c>
      <c r="H692" s="0" t="inlineStr">
        <is>
          <t xml:space="preserve">supplier</t>
        </is>
      </c>
      <c r="I692" s="0" t="inlineStr">
        <is>
          <t xml:space="preserve">unbucketed</t>
        </is>
      </c>
      <c r="J692" s="0" t="inlineStr">
        <is>
          <t xml:space="preserve">residual</t>
        </is>
      </c>
      <c r="K692" s="5">
        <v>0</v>
      </c>
      <c r="L692" s="5">
        <v>0</v>
      </c>
      <c r="M692" s="5">
        <v>0.0</v>
      </c>
      <c r="N692" s="5">
        <v>0.0</v>
      </c>
      <c r="O692" s="5">
        <v>0.0</v>
      </c>
      <c r="P692" s="5">
        <v>0.0</v>
      </c>
      <c r="Q692" s="5">
        <v>0.0</v>
      </c>
    </row>
    <row r="693" outlineLevel="1">
      <c r="B693" s="0" t="inlineStr">
        <is>
          <t xml:space="preserve">MAIN STREET CAPITAL HOLDINGS LLC</t>
        </is>
      </c>
      <c r="C693" s="0" t="inlineStr">
        <is>
          <t xml:space="preserve">UJL7ULNK2K94</t>
        </is>
      </c>
      <c r="D693" s="0" t="inlineStr">
        <is>
          <t xml:space="preserve">-</t>
        </is>
      </c>
      <c r="E693" s="0" t="inlineStr">
        <is>
          <t xml:space="preserve">-</t>
        </is>
      </c>
      <c r="F693" s="0" t="inlineStr">
        <is>
          <t xml:space="preserve">-</t>
        </is>
      </c>
      <c r="G693" s="5">
        <v>0.97827</v>
      </c>
      <c r="H693" s="0" t="inlineStr">
        <is>
          <t xml:space="preserve">supplier</t>
        </is>
      </c>
      <c r="I693" s="0" t="inlineStr">
        <is>
          <t xml:space="preserve">unbucketed</t>
        </is>
      </c>
      <c r="J693" s="0" t="inlineStr">
        <is>
          <t xml:space="preserve">residual</t>
        </is>
      </c>
      <c r="K693" s="5">
        <v>0</v>
      </c>
      <c r="L693" s="5">
        <v>0</v>
      </c>
      <c r="M693" s="5">
        <v>0.0</v>
      </c>
      <c r="N693" s="5">
        <v>0.0</v>
      </c>
      <c r="O693" s="5">
        <v>0.0</v>
      </c>
      <c r="P693" s="5">
        <v>0.0</v>
      </c>
      <c r="Q693" s="5">
        <v>0.0</v>
      </c>
    </row>
    <row r="694" outlineLevel="1">
      <c r="B694" s="0" t="inlineStr">
        <is>
          <t xml:space="preserve">ORACLE CORPORATION</t>
        </is>
      </c>
      <c r="C694" s="0" t="inlineStr">
        <is>
          <t xml:space="preserve">FKUCYGRK1EQ3</t>
        </is>
      </c>
      <c r="D694" s="0" t="inlineStr">
        <is>
          <t xml:space="preserve">-</t>
        </is>
      </c>
      <c r="E694" s="0" t="inlineStr">
        <is>
          <t xml:space="preserve">-</t>
        </is>
      </c>
      <c r="F694" s="0" t="inlineStr">
        <is>
          <t xml:space="preserve">-</t>
        </is>
      </c>
      <c r="G694" s="5">
        <v>0.9766059800000001</v>
      </c>
      <c r="H694" s="0" t="inlineStr">
        <is>
          <t xml:space="preserve">supplier</t>
        </is>
      </c>
      <c r="I694" s="0" t="inlineStr">
        <is>
          <t xml:space="preserve">unbucketed</t>
        </is>
      </c>
      <c r="J694" s="0" t="inlineStr">
        <is>
          <t xml:space="preserve">residual</t>
        </is>
      </c>
      <c r="K694" s="5">
        <v>0</v>
      </c>
      <c r="L694" s="5">
        <v>0</v>
      </c>
      <c r="M694" s="5">
        <v>0.0</v>
      </c>
      <c r="N694" s="5">
        <v>0.0</v>
      </c>
      <c r="O694" s="5">
        <v>0.0</v>
      </c>
      <c r="P694" s="5">
        <v>0.0</v>
      </c>
      <c r="Q694" s="5">
        <v>0.0</v>
      </c>
    </row>
    <row r="695" outlineLevel="1">
      <c r="B695" s="0" t="inlineStr">
        <is>
          <t xml:space="preserve">SOURCE CODE MIDCO, LLC</t>
        </is>
      </c>
      <c r="C695" s="0" t="inlineStr">
        <is>
          <t xml:space="preserve">WNDYZX3ALFB1</t>
        </is>
      </c>
      <c r="D695" s="0" t="inlineStr">
        <is>
          <t xml:space="preserve">-</t>
        </is>
      </c>
      <c r="E695" s="0" t="inlineStr">
        <is>
          <t xml:space="preserve">-</t>
        </is>
      </c>
      <c r="F695" s="0" t="inlineStr">
        <is>
          <t xml:space="preserve">-</t>
        </is>
      </c>
      <c r="G695" s="5">
        <v>0.9718110000000001</v>
      </c>
      <c r="H695" s="0" t="inlineStr">
        <is>
          <t xml:space="preserve">supplier</t>
        </is>
      </c>
      <c r="I695" s="0" t="inlineStr">
        <is>
          <t xml:space="preserve">unbucketed</t>
        </is>
      </c>
      <c r="J695" s="0" t="inlineStr">
        <is>
          <t xml:space="preserve">residual</t>
        </is>
      </c>
      <c r="K695" s="5">
        <v>0</v>
      </c>
      <c r="L695" s="5">
        <v>0</v>
      </c>
      <c r="M695" s="5">
        <v>0.0</v>
      </c>
      <c r="N695" s="5">
        <v>0.0</v>
      </c>
      <c r="O695" s="5">
        <v>0.0</v>
      </c>
      <c r="P695" s="5">
        <v>0.0</v>
      </c>
      <c r="Q695" s="5">
        <v>0.0</v>
      </c>
    </row>
    <row r="696" outlineLevel="1">
      <c r="B696" s="0" t="inlineStr">
        <is>
          <t xml:space="preserve">MILWAUKEE COMPOSITES, INC.</t>
        </is>
      </c>
      <c r="C696" s="0" t="inlineStr">
        <is>
          <t xml:space="preserve">D9T3VK42BLV7</t>
        </is>
      </c>
      <c r="D696" s="0" t="inlineStr">
        <is>
          <t xml:space="preserve">-</t>
        </is>
      </c>
      <c r="E696" s="0" t="inlineStr">
        <is>
          <t xml:space="preserve">-</t>
        </is>
      </c>
      <c r="F696" s="0" t="inlineStr">
        <is>
          <t xml:space="preserve">-</t>
        </is>
      </c>
      <c r="G696" s="5">
        <v>0.9679038400000001</v>
      </c>
      <c r="H696" s="0" t="inlineStr">
        <is>
          <t xml:space="preserve">supplier</t>
        </is>
      </c>
      <c r="I696" s="0" t="inlineStr">
        <is>
          <t xml:space="preserve">unbucketed</t>
        </is>
      </c>
      <c r="J696" s="0" t="inlineStr">
        <is>
          <t xml:space="preserve">residual</t>
        </is>
      </c>
      <c r="K696" s="5">
        <v>0</v>
      </c>
      <c r="L696" s="5">
        <v>0</v>
      </c>
      <c r="M696" s="5">
        <v>0.9679038400000001</v>
      </c>
      <c r="N696" s="5">
        <v>0.0</v>
      </c>
      <c r="O696" s="5">
        <v>0.84965184</v>
      </c>
      <c r="P696" s="5">
        <v>0.0</v>
      </c>
      <c r="Q696" s="5">
        <v>0.118252</v>
      </c>
    </row>
    <row r="697" outlineLevel="1">
      <c r="B697" s="0" t="inlineStr">
        <is>
          <t xml:space="preserve">WOLVERINE INTERMEDIATE HOLDING II CORPORATION</t>
        </is>
      </c>
      <c r="C697" s="0" t="inlineStr">
        <is>
          <t xml:space="preserve">TH42CKFU5ZL7</t>
        </is>
      </c>
      <c r="D697" s="0" t="inlineStr">
        <is>
          <t xml:space="preserve">-</t>
        </is>
      </c>
      <c r="E697" s="0" t="inlineStr">
        <is>
          <t xml:space="preserve">-</t>
        </is>
      </c>
      <c r="F697" s="0" t="inlineStr">
        <is>
          <t xml:space="preserve">-</t>
        </is>
      </c>
      <c r="G697" s="5">
        <v>0.96733425</v>
      </c>
      <c r="H697" s="0" t="inlineStr">
        <is>
          <t xml:space="preserve">supplier</t>
        </is>
      </c>
      <c r="I697" s="0" t="inlineStr">
        <is>
          <t xml:space="preserve">unbucketed</t>
        </is>
      </c>
      <c r="J697" s="0" t="inlineStr">
        <is>
          <t xml:space="preserve">residual</t>
        </is>
      </c>
      <c r="K697" s="5">
        <v>0</v>
      </c>
      <c r="L697" s="5">
        <v>0</v>
      </c>
      <c r="M697" s="5">
        <v>0.0</v>
      </c>
      <c r="N697" s="5">
        <v>0.0</v>
      </c>
      <c r="O697" s="5">
        <v>0.0</v>
      </c>
      <c r="P697" s="5">
        <v>0.0</v>
      </c>
      <c r="Q697" s="5">
        <v>0.0</v>
      </c>
    </row>
    <row r="698" outlineLevel="1">
      <c r="B698" s="0" t="inlineStr">
        <is>
          <t xml:space="preserve">SYSTEL INC</t>
        </is>
      </c>
      <c r="C698" s="0" t="inlineStr">
        <is>
          <t xml:space="preserve">FMHAF7KDLFD5</t>
        </is>
      </c>
      <c r="D698" s="0" t="inlineStr">
        <is>
          <t xml:space="preserve">-</t>
        </is>
      </c>
      <c r="E698" s="0" t="inlineStr">
        <is>
          <t xml:space="preserve">-</t>
        </is>
      </c>
      <c r="F698" s="0" t="inlineStr">
        <is>
          <t xml:space="preserve">-</t>
        </is>
      </c>
      <c r="G698" s="5">
        <v>0.9665269999999998</v>
      </c>
      <c r="H698" s="0" t="inlineStr">
        <is>
          <t xml:space="preserve">supplier</t>
        </is>
      </c>
      <c r="I698" s="0" t="inlineStr">
        <is>
          <t xml:space="preserve">unbucketed</t>
        </is>
      </c>
      <c r="J698" s="0" t="inlineStr">
        <is>
          <t xml:space="preserve">residual</t>
        </is>
      </c>
      <c r="K698" s="5">
        <v>0</v>
      </c>
      <c r="L698" s="5">
        <v>0</v>
      </c>
      <c r="M698" s="5">
        <v>0.0</v>
      </c>
      <c r="N698" s="5">
        <v>0.0</v>
      </c>
      <c r="O698" s="5">
        <v>0.0</v>
      </c>
      <c r="P698" s="5">
        <v>0.0</v>
      </c>
      <c r="Q698" s="5">
        <v>0.0</v>
      </c>
    </row>
    <row r="699" outlineLevel="1">
      <c r="B699" s="0" t="inlineStr">
        <is>
          <t xml:space="preserve">ACCUSEMBLE ELECTRONICS INC</t>
        </is>
      </c>
      <c r="C699" s="0" t="inlineStr">
        <is>
          <t xml:space="preserve">G975T5P8QZ95</t>
        </is>
      </c>
      <c r="D699" s="0" t="inlineStr">
        <is>
          <t xml:space="preserve">-</t>
        </is>
      </c>
      <c r="E699" s="0" t="inlineStr">
        <is>
          <t xml:space="preserve">-</t>
        </is>
      </c>
      <c r="F699" s="0" t="inlineStr">
        <is>
          <t xml:space="preserve">-</t>
        </is>
      </c>
      <c r="G699" s="5">
        <v>0.96596</v>
      </c>
      <c r="H699" s="0" t="inlineStr">
        <is>
          <t xml:space="preserve">supplier</t>
        </is>
      </c>
      <c r="I699" s="0" t="inlineStr">
        <is>
          <t xml:space="preserve">unbucketed</t>
        </is>
      </c>
      <c r="J699" s="0" t="inlineStr">
        <is>
          <t xml:space="preserve">residual</t>
        </is>
      </c>
      <c r="K699" s="5">
        <v>0</v>
      </c>
      <c r="L699" s="5">
        <v>0</v>
      </c>
      <c r="M699" s="5">
        <v>0.0</v>
      </c>
      <c r="N699" s="5">
        <v>0.0</v>
      </c>
      <c r="O699" s="5">
        <v>0.0</v>
      </c>
      <c r="P699" s="5">
        <v>0.0</v>
      </c>
      <c r="Q699" s="5">
        <v>0.0</v>
      </c>
    </row>
    <row r="700" outlineLevel="1">
      <c r="B700" s="0" t="inlineStr">
        <is>
          <t xml:space="preserve">GEMSPRING CAPITAL EXECUTIVE GP I, LLC</t>
        </is>
      </c>
      <c r="C700" s="0" t="inlineStr">
        <is>
          <t xml:space="preserve">D7GHHEGVNK24</t>
        </is>
      </c>
      <c r="D700" s="0" t="inlineStr">
        <is>
          <t xml:space="preserve">-</t>
        </is>
      </c>
      <c r="E700" s="0" t="inlineStr">
        <is>
          <t xml:space="preserve">-</t>
        </is>
      </c>
      <c r="F700" s="0" t="inlineStr">
        <is>
          <t xml:space="preserve">-</t>
        </is>
      </c>
      <c r="G700" s="5">
        <v>0.9659139999999999</v>
      </c>
      <c r="H700" s="0" t="inlineStr">
        <is>
          <t xml:space="preserve">supplier</t>
        </is>
      </c>
      <c r="I700" s="0" t="inlineStr">
        <is>
          <t xml:space="preserve">unbucketed</t>
        </is>
      </c>
      <c r="J700" s="0" t="inlineStr">
        <is>
          <t xml:space="preserve">residual</t>
        </is>
      </c>
      <c r="K700" s="5">
        <v>0</v>
      </c>
      <c r="L700" s="5">
        <v>0</v>
      </c>
      <c r="M700" s="5">
        <v>0.0</v>
      </c>
      <c r="N700" s="5">
        <v>0.0</v>
      </c>
      <c r="O700" s="5">
        <v>0.0</v>
      </c>
      <c r="P700" s="5">
        <v>0.0</v>
      </c>
      <c r="Q700" s="5">
        <v>0.0</v>
      </c>
    </row>
    <row r="701" outlineLevel="1">
      <c r="B701" s="0" t="inlineStr">
        <is>
          <t xml:space="preserve">KONGSBERG GEOSPATIAL LTD.</t>
        </is>
      </c>
      <c r="C701" s="0" t="inlineStr">
        <is>
          <t xml:space="preserve">GYFNK4D2RN39</t>
        </is>
      </c>
      <c r="D701" s="0" t="inlineStr">
        <is>
          <t xml:space="preserve">Foreign</t>
        </is>
      </c>
      <c r="E701" s="0" t="inlineStr">
        <is>
          <t xml:space="preserve">-</t>
        </is>
      </c>
      <c r="F701" s="0" t="inlineStr">
        <is>
          <t xml:space="preserve">-</t>
        </is>
      </c>
      <c r="G701" s="5">
        <v>0.96404843</v>
      </c>
      <c r="H701" s="0" t="inlineStr">
        <is>
          <t xml:space="preserve">foreign_fms</t>
        </is>
      </c>
      <c r="I701" s="0" t="inlineStr">
        <is>
          <t xml:space="preserve">-</t>
        </is>
      </c>
      <c r="J701" s="0" t="inlineStr">
        <is>
          <t xml:space="preserve">foreign flag</t>
        </is>
      </c>
      <c r="K701" s="5">
        <v>0</v>
      </c>
      <c r="L701" s="5">
        <v>0</v>
      </c>
      <c r="M701" s="5">
        <v>0.0</v>
      </c>
      <c r="N701" s="5">
        <v>0.0</v>
      </c>
      <c r="O701" s="5">
        <v>0.0</v>
      </c>
      <c r="P701" s="5">
        <v>0.0</v>
      </c>
      <c r="Q701" s="5">
        <v>0.0</v>
      </c>
    </row>
    <row r="702" outlineLevel="1">
      <c r="B702" s="0" t="inlineStr">
        <is>
          <t xml:space="preserve">GATE PETROLEUM COMPANY</t>
        </is>
      </c>
      <c r="C702" s="0" t="inlineStr">
        <is>
          <t xml:space="preserve">VGHZVYY9NL95</t>
        </is>
      </c>
      <c r="D702" s="0" t="inlineStr">
        <is>
          <t xml:space="preserve">-</t>
        </is>
      </c>
      <c r="E702" s="0" t="inlineStr">
        <is>
          <t xml:space="preserve">-</t>
        </is>
      </c>
      <c r="F702" s="0" t="inlineStr">
        <is>
          <t xml:space="preserve">-</t>
        </is>
      </c>
      <c r="G702" s="5">
        <v>0.9617720000000001</v>
      </c>
      <c r="H702" s="0" t="inlineStr">
        <is>
          <t xml:space="preserve">supplier</t>
        </is>
      </c>
      <c r="I702" s="0" t="inlineStr">
        <is>
          <t xml:space="preserve">unbucketed</t>
        </is>
      </c>
      <c r="J702" s="0" t="inlineStr">
        <is>
          <t xml:space="preserve">residual</t>
        </is>
      </c>
      <c r="K702" s="5">
        <v>0</v>
      </c>
      <c r="L702" s="5">
        <v>0</v>
      </c>
      <c r="M702" s="5">
        <v>0.0</v>
      </c>
      <c r="N702" s="5">
        <v>0.0</v>
      </c>
      <c r="O702" s="5">
        <v>0.0</v>
      </c>
      <c r="P702" s="5">
        <v>0.0</v>
      </c>
      <c r="Q702" s="5">
        <v>0.0</v>
      </c>
    </row>
    <row r="703" outlineLevel="1">
      <c r="B703" s="0" t="inlineStr">
        <is>
          <t xml:space="preserve">COSTA PRECISION MANUFACTURING CORP</t>
        </is>
      </c>
      <c r="C703" s="0" t="inlineStr">
        <is>
          <t xml:space="preserve">NGPLSKUKAVM5</t>
        </is>
      </c>
      <c r="D703" s="0" t="inlineStr">
        <is>
          <t xml:space="preserve">-</t>
        </is>
      </c>
      <c r="E703" s="0" t="inlineStr">
        <is>
          <t xml:space="preserve">-</t>
        </is>
      </c>
      <c r="F703" s="0" t="inlineStr">
        <is>
          <t xml:space="preserve">-</t>
        </is>
      </c>
      <c r="G703" s="5">
        <v>0.9587479999999999</v>
      </c>
      <c r="H703" s="0" t="inlineStr">
        <is>
          <t xml:space="preserve">supplier</t>
        </is>
      </c>
      <c r="I703" s="0" t="inlineStr">
        <is>
          <t xml:space="preserve">unbucketed</t>
        </is>
      </c>
      <c r="J703" s="0" t="inlineStr">
        <is>
          <t xml:space="preserve">residual</t>
        </is>
      </c>
      <c r="K703" s="5">
        <v>0</v>
      </c>
      <c r="L703" s="5">
        <v>0</v>
      </c>
      <c r="M703" s="5">
        <v>0.0</v>
      </c>
      <c r="N703" s="5">
        <v>0.0</v>
      </c>
      <c r="O703" s="5">
        <v>0.0</v>
      </c>
      <c r="P703" s="5">
        <v>0.0</v>
      </c>
      <c r="Q703" s="5">
        <v>0.0</v>
      </c>
    </row>
    <row r="704" outlineLevel="1">
      <c r="B704" s="0" t="inlineStr">
        <is>
          <t xml:space="preserve">LYTRON INCORPORATED</t>
        </is>
      </c>
      <c r="C704" s="0" t="inlineStr">
        <is>
          <t xml:space="preserve">FJ8NY24LFMM8</t>
        </is>
      </c>
      <c r="D704" s="0" t="inlineStr">
        <is>
          <t xml:space="preserve">-</t>
        </is>
      </c>
      <c r="E704" s="0" t="inlineStr">
        <is>
          <t xml:space="preserve">-</t>
        </is>
      </c>
      <c r="F704" s="0" t="inlineStr">
        <is>
          <t xml:space="preserve">-</t>
        </is>
      </c>
      <c r="G704" s="5">
        <v>0.953095</v>
      </c>
      <c r="H704" s="0" t="inlineStr">
        <is>
          <t xml:space="preserve">supplier</t>
        </is>
      </c>
      <c r="I704" s="0" t="inlineStr">
        <is>
          <t xml:space="preserve">unbucketed</t>
        </is>
      </c>
      <c r="J704" s="0" t="inlineStr">
        <is>
          <t xml:space="preserve">residual</t>
        </is>
      </c>
      <c r="K704" s="5">
        <v>0</v>
      </c>
      <c r="L704" s="5">
        <v>0</v>
      </c>
      <c r="M704" s="5">
        <v>0.0</v>
      </c>
      <c r="N704" s="5">
        <v>0.0</v>
      </c>
      <c r="O704" s="5">
        <v>0.0</v>
      </c>
      <c r="P704" s="5">
        <v>0.0</v>
      </c>
      <c r="Q704" s="5">
        <v>0.0</v>
      </c>
    </row>
    <row r="705" outlineLevel="1">
      <c r="B705" s="0" t="inlineStr">
        <is>
          <t xml:space="preserve">CALIFORNIA MARINE CLEANING, INC.</t>
        </is>
      </c>
      <c r="C705" s="0" t="inlineStr">
        <is>
          <t xml:space="preserve">DHGJVCVAFYE3</t>
        </is>
      </c>
      <c r="D705" s="0" t="inlineStr">
        <is>
          <t xml:space="preserve">-</t>
        </is>
      </c>
      <c r="E705" s="0" t="inlineStr">
        <is>
          <t xml:space="preserve">-</t>
        </is>
      </c>
      <c r="F705" s="0" t="inlineStr">
        <is>
          <t xml:space="preserve">-</t>
        </is>
      </c>
      <c r="G705" s="5">
        <v>0.9502780000000001</v>
      </c>
      <c r="H705" s="0" t="inlineStr">
        <is>
          <t xml:space="preserve">supplier</t>
        </is>
      </c>
      <c r="I705" s="0" t="inlineStr">
        <is>
          <t xml:space="preserve">unbucketed</t>
        </is>
      </c>
      <c r="J705" s="0" t="inlineStr">
        <is>
          <t xml:space="preserve">residual</t>
        </is>
      </c>
      <c r="K705" s="5">
        <v>0</v>
      </c>
      <c r="L705" s="5">
        <v>0</v>
      </c>
      <c r="M705" s="5">
        <v>0.035184</v>
      </c>
      <c r="N705" s="5">
        <v>0.035184</v>
      </c>
      <c r="O705" s="5">
        <v>0.0</v>
      </c>
      <c r="P705" s="5">
        <v>0.0</v>
      </c>
      <c r="Q705" s="5">
        <v>0.0</v>
      </c>
    </row>
    <row r="706" outlineLevel="1">
      <c r="B706" s="0" t="inlineStr">
        <is>
          <t xml:space="preserve">EVOQUA WATER TECHNOLOGIES CORP.</t>
        </is>
      </c>
      <c r="C706" s="0" t="inlineStr">
        <is>
          <t xml:space="preserve">CJF6S4UR1LM8</t>
        </is>
      </c>
      <c r="D706" s="0" t="inlineStr">
        <is>
          <t xml:space="preserve">-</t>
        </is>
      </c>
      <c r="E706" s="0" t="inlineStr">
        <is>
          <t xml:space="preserve">-</t>
        </is>
      </c>
      <c r="F706" s="0" t="inlineStr">
        <is>
          <t xml:space="preserve">-</t>
        </is>
      </c>
      <c r="G706" s="5">
        <v>0.9499324</v>
      </c>
      <c r="H706" s="0" t="inlineStr">
        <is>
          <t xml:space="preserve">supplier</t>
        </is>
      </c>
      <c r="I706" s="0" t="inlineStr">
        <is>
          <t xml:space="preserve">unbucketed</t>
        </is>
      </c>
      <c r="J706" s="0" t="inlineStr">
        <is>
          <t xml:space="preserve">residual</t>
        </is>
      </c>
      <c r="K706" s="5">
        <v>0</v>
      </c>
      <c r="L706" s="5">
        <v>0</v>
      </c>
      <c r="M706" s="5">
        <v>0.9499324</v>
      </c>
      <c r="N706" s="5">
        <v>0.0</v>
      </c>
      <c r="O706" s="5">
        <v>0.0</v>
      </c>
      <c r="P706" s="5">
        <v>0.0</v>
      </c>
      <c r="Q706" s="5">
        <v>0.0</v>
      </c>
    </row>
    <row r="707" outlineLevel="1">
      <c r="B707" s="0" t="inlineStr">
        <is>
          <t xml:space="preserve">SIGNET MARITIME CORPORATION</t>
        </is>
      </c>
      <c r="C707" s="0" t="inlineStr">
        <is>
          <t xml:space="preserve">G15JF2TNVBL6</t>
        </is>
      </c>
      <c r="D707" s="0" t="inlineStr">
        <is>
          <t xml:space="preserve">-</t>
        </is>
      </c>
      <c r="E707" s="0" t="inlineStr">
        <is>
          <t xml:space="preserve">-</t>
        </is>
      </c>
      <c r="F707" s="0" t="inlineStr">
        <is>
          <t xml:space="preserve">-</t>
        </is>
      </c>
      <c r="G707" s="5">
        <v>0.9454933300000001</v>
      </c>
      <c r="H707" s="0" t="inlineStr">
        <is>
          <t xml:space="preserve">supplier</t>
        </is>
      </c>
      <c r="I707" s="0" t="inlineStr">
        <is>
          <t xml:space="preserve">unbucketed</t>
        </is>
      </c>
      <c r="J707" s="0" t="inlineStr">
        <is>
          <t xml:space="preserve">residual</t>
        </is>
      </c>
      <c r="K707" s="5">
        <v>0</v>
      </c>
      <c r="L707" s="5">
        <v>0</v>
      </c>
      <c r="M707" s="5">
        <v>0.9454933300000001</v>
      </c>
      <c r="N707" s="5">
        <v>0.03089458</v>
      </c>
      <c r="O707" s="5">
        <v>0.0</v>
      </c>
      <c r="P707" s="5">
        <v>0.0</v>
      </c>
      <c r="Q707" s="5">
        <v>0.0</v>
      </c>
    </row>
    <row r="708" outlineLevel="1">
      <c r="B708" s="0" t="inlineStr">
        <is>
          <t xml:space="preserve">JONATHAN ENGINEERED SOLUTIONS CORP.</t>
        </is>
      </c>
      <c r="C708" s="0" t="inlineStr">
        <is>
          <t xml:space="preserve">K5WVCD4GUK41</t>
        </is>
      </c>
      <c r="D708" s="0" t="inlineStr">
        <is>
          <t xml:space="preserve">-</t>
        </is>
      </c>
      <c r="E708" s="0" t="inlineStr">
        <is>
          <t xml:space="preserve">-</t>
        </is>
      </c>
      <c r="F708" s="0" t="inlineStr">
        <is>
          <t xml:space="preserve">-</t>
        </is>
      </c>
      <c r="G708" s="5">
        <v>0.9451709700000002</v>
      </c>
      <c r="H708" s="0" t="inlineStr">
        <is>
          <t xml:space="preserve">supplier</t>
        </is>
      </c>
      <c r="I708" s="0" t="inlineStr">
        <is>
          <t xml:space="preserve">unbucketed</t>
        </is>
      </c>
      <c r="J708" s="0" t="inlineStr">
        <is>
          <t xml:space="preserve">residual</t>
        </is>
      </c>
      <c r="K708" s="5">
        <v>0</v>
      </c>
      <c r="L708" s="5">
        <v>0</v>
      </c>
      <c r="M708" s="5">
        <v>0.0</v>
      </c>
      <c r="N708" s="5">
        <v>0.0</v>
      </c>
      <c r="O708" s="5">
        <v>0.0</v>
      </c>
      <c r="P708" s="5">
        <v>0.0</v>
      </c>
      <c r="Q708" s="5">
        <v>0.0</v>
      </c>
    </row>
    <row r="709" outlineLevel="1">
      <c r="B709" s="0" t="inlineStr">
        <is>
          <t xml:space="preserve">MOBIWEBCOM LLC</t>
        </is>
      </c>
      <c r="C709" s="0" t="inlineStr">
        <is>
          <t xml:space="preserve">MHSNKLGL36G3</t>
        </is>
      </c>
      <c r="D709" s="0" t="inlineStr">
        <is>
          <t xml:space="preserve">-</t>
        </is>
      </c>
      <c r="E709" s="0" t="inlineStr">
        <is>
          <t xml:space="preserve">-</t>
        </is>
      </c>
      <c r="F709" s="0" t="inlineStr">
        <is>
          <t xml:space="preserve">-</t>
        </is>
      </c>
      <c r="G709" s="5">
        <v>0.93839868</v>
      </c>
      <c r="H709" s="0" t="inlineStr">
        <is>
          <t xml:space="preserve">supplier</t>
        </is>
      </c>
      <c r="I709" s="0" t="inlineStr">
        <is>
          <t xml:space="preserve">unbucketed</t>
        </is>
      </c>
      <c r="J709" s="0" t="inlineStr">
        <is>
          <t xml:space="preserve">residual</t>
        </is>
      </c>
      <c r="K709" s="5">
        <v>0</v>
      </c>
      <c r="L709" s="5">
        <v>0</v>
      </c>
      <c r="M709" s="5">
        <v>0.0</v>
      </c>
      <c r="N709" s="5">
        <v>0.0</v>
      </c>
      <c r="O709" s="5">
        <v>0.0</v>
      </c>
      <c r="P709" s="5">
        <v>0.0</v>
      </c>
      <c r="Q709" s="5">
        <v>0.0</v>
      </c>
    </row>
    <row r="710" outlineLevel="1">
      <c r="B710" s="0" t="inlineStr">
        <is>
          <t xml:space="preserve">LAKOTA TECHNICAL SOLUTIONS, INC.</t>
        </is>
      </c>
      <c r="C710" s="0" t="inlineStr">
        <is>
          <t xml:space="preserve">RPTWUJFKEG64</t>
        </is>
      </c>
      <c r="D710" s="0" t="inlineStr">
        <is>
          <t xml:space="preserve">-</t>
        </is>
      </c>
      <c r="E710" s="0" t="inlineStr">
        <is>
          <t xml:space="preserve">-</t>
        </is>
      </c>
      <c r="F710" s="0" t="inlineStr">
        <is>
          <t xml:space="preserve">-</t>
        </is>
      </c>
      <c r="G710" s="5">
        <v>0.9330423200000002</v>
      </c>
      <c r="H710" s="0" t="inlineStr">
        <is>
          <t xml:space="preserve">supplier</t>
        </is>
      </c>
      <c r="I710" s="0" t="inlineStr">
        <is>
          <t xml:space="preserve">unbucketed</t>
        </is>
      </c>
      <c r="J710" s="0" t="inlineStr">
        <is>
          <t xml:space="preserve">residual</t>
        </is>
      </c>
      <c r="K710" s="5">
        <v>0</v>
      </c>
      <c r="L710" s="5">
        <v>0</v>
      </c>
      <c r="M710" s="5">
        <v>0.0</v>
      </c>
      <c r="N710" s="5">
        <v>0.0</v>
      </c>
      <c r="O710" s="5">
        <v>0.0</v>
      </c>
      <c r="P710" s="5">
        <v>0.0</v>
      </c>
      <c r="Q710" s="5">
        <v>0.0</v>
      </c>
    </row>
    <row r="711" outlineLevel="1">
      <c r="B711" s="0" t="inlineStr">
        <is>
          <t xml:space="preserve">MERRILL TECHNOLOGIES GROUP, LLC</t>
        </is>
      </c>
      <c r="C711" s="0" t="inlineStr">
        <is>
          <t xml:space="preserve">ZRS3MA6VK271</t>
        </is>
      </c>
      <c r="D711" s="0" t="inlineStr">
        <is>
          <t xml:space="preserve">USA</t>
        </is>
      </c>
      <c r="E711" s="0" t="inlineStr">
        <is>
          <t xml:space="preserve">3329</t>
        </is>
      </c>
      <c r="F711" s="0" t="inlineStr">
        <is>
          <t xml:space="preserve">All Other Miscellaneous Fabricated Metal Product Manufacturing</t>
        </is>
      </c>
      <c r="G711" s="5">
        <v>0.93162792</v>
      </c>
      <c r="H711" s="0" t="inlineStr">
        <is>
          <t xml:space="preserve">supplier</t>
        </is>
      </c>
      <c r="I711" s="0" t="inlineStr">
        <is>
          <t xml:space="preserve">machining</t>
        </is>
      </c>
      <c r="J711" s="0" t="inlineStr">
        <is>
          <t xml:space="preserve">registry</t>
        </is>
      </c>
      <c r="K711" s="5">
        <v>0</v>
      </c>
      <c r="L711" s="5">
        <v>0</v>
      </c>
      <c r="M711" s="5">
        <v>0.0</v>
      </c>
      <c r="N711" s="5">
        <v>0.0</v>
      </c>
      <c r="O711" s="5">
        <v>0.0</v>
      </c>
      <c r="P711" s="5">
        <v>0.0</v>
      </c>
      <c r="Q711" s="5">
        <v>0.0</v>
      </c>
    </row>
    <row r="712" outlineLevel="1">
      <c r="B712" s="0" t="inlineStr">
        <is>
          <t xml:space="preserve">SPIRAX-SARCO ENGINEERING PLC</t>
        </is>
      </c>
      <c r="C712" s="0" t="inlineStr">
        <is>
          <t xml:space="preserve">Z85NS892LYA8</t>
        </is>
      </c>
      <c r="D712" s="0" t="inlineStr">
        <is>
          <t xml:space="preserve">-</t>
        </is>
      </c>
      <c r="E712" s="0" t="inlineStr">
        <is>
          <t xml:space="preserve">-</t>
        </is>
      </c>
      <c r="F712" s="0" t="inlineStr">
        <is>
          <t xml:space="preserve">-</t>
        </is>
      </c>
      <c r="G712" s="5">
        <v>0.9293916</v>
      </c>
      <c r="H712" s="0" t="inlineStr">
        <is>
          <t xml:space="preserve">supplier</t>
        </is>
      </c>
      <c r="I712" s="0" t="inlineStr">
        <is>
          <t xml:space="preserve">unbucketed</t>
        </is>
      </c>
      <c r="J712" s="0" t="inlineStr">
        <is>
          <t xml:space="preserve">residual</t>
        </is>
      </c>
      <c r="K712" s="5">
        <v>0</v>
      </c>
      <c r="L712" s="5">
        <v>0</v>
      </c>
      <c r="M712" s="5">
        <v>0.0</v>
      </c>
      <c r="N712" s="5">
        <v>0.0</v>
      </c>
      <c r="O712" s="5">
        <v>0.0</v>
      </c>
      <c r="P712" s="5">
        <v>0.0</v>
      </c>
      <c r="Q712" s="5">
        <v>0.0</v>
      </c>
    </row>
    <row r="713" outlineLevel="1">
      <c r="B713" s="0" t="inlineStr">
        <is>
          <t xml:space="preserve">KEY TRONIC CORP</t>
        </is>
      </c>
      <c r="C713" s="0" t="inlineStr">
        <is>
          <t xml:space="preserve">VYX7EB53JLK5</t>
        </is>
      </c>
      <c r="D713" s="0" t="inlineStr">
        <is>
          <t xml:space="preserve">-</t>
        </is>
      </c>
      <c r="E713" s="0" t="inlineStr">
        <is>
          <t xml:space="preserve">-</t>
        </is>
      </c>
      <c r="F713" s="0" t="inlineStr">
        <is>
          <t xml:space="preserve">-</t>
        </is>
      </c>
      <c r="G713" s="5">
        <v>0.9259249599999999</v>
      </c>
      <c r="H713" s="0" t="inlineStr">
        <is>
          <t xml:space="preserve">supplier</t>
        </is>
      </c>
      <c r="I713" s="0" t="inlineStr">
        <is>
          <t xml:space="preserve">unbucketed</t>
        </is>
      </c>
      <c r="J713" s="0" t="inlineStr">
        <is>
          <t xml:space="preserve">residual</t>
        </is>
      </c>
      <c r="K713" s="5">
        <v>0</v>
      </c>
      <c r="L713" s="5">
        <v>0</v>
      </c>
      <c r="M713" s="5">
        <v>0.0</v>
      </c>
      <c r="N713" s="5">
        <v>0.0</v>
      </c>
      <c r="O713" s="5">
        <v>0.0</v>
      </c>
      <c r="P713" s="5">
        <v>0.0</v>
      </c>
      <c r="Q713" s="5">
        <v>0.0</v>
      </c>
    </row>
    <row r="714" outlineLevel="1">
      <c r="B714" s="0" t="inlineStr">
        <is>
          <t xml:space="preserve">BAUER COMPRESSORS INC</t>
        </is>
      </c>
      <c r="C714" s="0" t="inlineStr">
        <is>
          <t xml:space="preserve">EZVMH8VEGL34</t>
        </is>
      </c>
      <c r="D714" s="0" t="inlineStr">
        <is>
          <t xml:space="preserve">-</t>
        </is>
      </c>
      <c r="E714" s="0" t="inlineStr">
        <is>
          <t xml:space="preserve">-</t>
        </is>
      </c>
      <c r="F714" s="0" t="inlineStr">
        <is>
          <t xml:space="preserve">-</t>
        </is>
      </c>
      <c r="G714" s="5">
        <v>0.924696</v>
      </c>
      <c r="H714" s="0" t="inlineStr">
        <is>
          <t xml:space="preserve">supplier</t>
        </is>
      </c>
      <c r="I714" s="0" t="inlineStr">
        <is>
          <t xml:space="preserve">unbucketed</t>
        </is>
      </c>
      <c r="J714" s="0" t="inlineStr">
        <is>
          <t xml:space="preserve">residual</t>
        </is>
      </c>
      <c r="K714" s="5">
        <v>0</v>
      </c>
      <c r="L714" s="5">
        <v>0</v>
      </c>
      <c r="M714" s="5">
        <v>0.924696</v>
      </c>
      <c r="N714" s="5">
        <v>0.0</v>
      </c>
      <c r="O714" s="5">
        <v>0.0</v>
      </c>
      <c r="P714" s="5">
        <v>0.924696</v>
      </c>
      <c r="Q714" s="5">
        <v>0.0</v>
      </c>
    </row>
    <row r="715" outlineLevel="1">
      <c r="B715" s="0" t="inlineStr">
        <is>
          <t xml:space="preserve">ENJET AERO, LLC</t>
        </is>
      </c>
      <c r="C715" s="0" t="inlineStr">
        <is>
          <t xml:space="preserve">G9BCG1LKYF55</t>
        </is>
      </c>
      <c r="D715" s="0" t="inlineStr">
        <is>
          <t xml:space="preserve">-</t>
        </is>
      </c>
      <c r="E715" s="0" t="inlineStr">
        <is>
          <t xml:space="preserve">-</t>
        </is>
      </c>
      <c r="F715" s="0" t="inlineStr">
        <is>
          <t xml:space="preserve">-</t>
        </is>
      </c>
      <c r="G715" s="5">
        <v>0.922</v>
      </c>
      <c r="H715" s="0" t="inlineStr">
        <is>
          <t xml:space="preserve">supplier</t>
        </is>
      </c>
      <c r="I715" s="0" t="inlineStr">
        <is>
          <t xml:space="preserve">unbucketed</t>
        </is>
      </c>
      <c r="J715" s="0" t="inlineStr">
        <is>
          <t xml:space="preserve">residual</t>
        </is>
      </c>
      <c r="K715" s="5">
        <v>0</v>
      </c>
      <c r="L715" s="5">
        <v>0</v>
      </c>
      <c r="M715" s="5">
        <v>0.0</v>
      </c>
      <c r="N715" s="5">
        <v>0.0</v>
      </c>
      <c r="O715" s="5">
        <v>0.0</v>
      </c>
      <c r="P715" s="5">
        <v>0.0</v>
      </c>
      <c r="Q715" s="5">
        <v>0.0</v>
      </c>
    </row>
    <row r="716" outlineLevel="1">
      <c r="B716" s="0" t="inlineStr">
        <is>
          <t xml:space="preserve">PREMIER SCAFFOLD, INC.</t>
        </is>
      </c>
      <c r="C716" s="0" t="inlineStr">
        <is>
          <t xml:space="preserve">H2UKHSXNJ2K5</t>
        </is>
      </c>
      <c r="D716" s="0" t="inlineStr">
        <is>
          <t xml:space="preserve">-</t>
        </is>
      </c>
      <c r="E716" s="0" t="inlineStr">
        <is>
          <t xml:space="preserve">-</t>
        </is>
      </c>
      <c r="F716" s="0" t="inlineStr">
        <is>
          <t xml:space="preserve">-</t>
        </is>
      </c>
      <c r="G716" s="5">
        <v>0.917658</v>
      </c>
      <c r="H716" s="0" t="inlineStr">
        <is>
          <t xml:space="preserve">supplier</t>
        </is>
      </c>
      <c r="I716" s="0" t="inlineStr">
        <is>
          <t xml:space="preserve">unbucketed</t>
        </is>
      </c>
      <c r="J716" s="0" t="inlineStr">
        <is>
          <t xml:space="preserve">residual</t>
        </is>
      </c>
      <c r="K716" s="5">
        <v>0</v>
      </c>
      <c r="L716" s="5">
        <v>0</v>
      </c>
      <c r="M716" s="5">
        <v>0.0</v>
      </c>
      <c r="N716" s="5">
        <v>0.0</v>
      </c>
      <c r="O716" s="5">
        <v>0.0</v>
      </c>
      <c r="P716" s="5">
        <v>0.0</v>
      </c>
      <c r="Q716" s="5">
        <v>0.0</v>
      </c>
    </row>
    <row r="717" outlineLevel="1">
      <c r="B717" s="0" t="inlineStr">
        <is>
          <t xml:space="preserve">AYON CYBERSECURITY, INC.</t>
        </is>
      </c>
      <c r="C717" s="0" t="inlineStr">
        <is>
          <t xml:space="preserve">D99JMB845P75</t>
        </is>
      </c>
      <c r="D717" s="0" t="inlineStr">
        <is>
          <t xml:space="preserve">-</t>
        </is>
      </c>
      <c r="E717" s="0" t="inlineStr">
        <is>
          <t xml:space="preserve">-</t>
        </is>
      </c>
      <c r="F717" s="0" t="inlineStr">
        <is>
          <t xml:space="preserve">-</t>
        </is>
      </c>
      <c r="G717" s="5">
        <v>0.916936</v>
      </c>
      <c r="H717" s="0" t="inlineStr">
        <is>
          <t xml:space="preserve">supplier</t>
        </is>
      </c>
      <c r="I717" s="0" t="inlineStr">
        <is>
          <t xml:space="preserve">unbucketed</t>
        </is>
      </c>
      <c r="J717" s="0" t="inlineStr">
        <is>
          <t xml:space="preserve">residual</t>
        </is>
      </c>
      <c r="K717" s="5">
        <v>0</v>
      </c>
      <c r="L717" s="5">
        <v>0</v>
      </c>
      <c r="M717" s="5">
        <v>0.0</v>
      </c>
      <c r="N717" s="5">
        <v>0.0</v>
      </c>
      <c r="O717" s="5">
        <v>0.0</v>
      </c>
      <c r="P717" s="5">
        <v>0.0</v>
      </c>
      <c r="Q717" s="5">
        <v>0.0</v>
      </c>
    </row>
    <row r="718" outlineLevel="1">
      <c r="B718" s="0" t="inlineStr">
        <is>
          <t xml:space="preserve">CAES SYSTEMS LLC</t>
        </is>
      </c>
      <c r="C718" s="0" t="inlineStr">
        <is>
          <t xml:space="preserve">Q9HFNQQM2AD9</t>
        </is>
      </c>
      <c r="D718" s="0" t="inlineStr">
        <is>
          <t xml:space="preserve">-</t>
        </is>
      </c>
      <c r="E718" s="0" t="inlineStr">
        <is>
          <t xml:space="preserve">-</t>
        </is>
      </c>
      <c r="F718" s="0" t="inlineStr">
        <is>
          <t xml:space="preserve">-</t>
        </is>
      </c>
      <c r="G718" s="5">
        <v>0.912916</v>
      </c>
      <c r="H718" s="0" t="inlineStr">
        <is>
          <t xml:space="preserve">supplier</t>
        </is>
      </c>
      <c r="I718" s="0" t="inlineStr">
        <is>
          <t xml:space="preserve">unbucketed</t>
        </is>
      </c>
      <c r="J718" s="0" t="inlineStr">
        <is>
          <t xml:space="preserve">residual</t>
        </is>
      </c>
      <c r="K718" s="5">
        <v>0</v>
      </c>
      <c r="L718" s="5">
        <v>0</v>
      </c>
      <c r="M718" s="5">
        <v>0.0</v>
      </c>
      <c r="N718" s="5">
        <v>0.0</v>
      </c>
      <c r="O718" s="5">
        <v>0.0</v>
      </c>
      <c r="P718" s="5">
        <v>0.0</v>
      </c>
      <c r="Q718" s="5">
        <v>0.0</v>
      </c>
    </row>
    <row r="719" outlineLevel="1">
      <c r="B719" s="0" t="inlineStr">
        <is>
          <t xml:space="preserve">ELECTROMECH TECHNOLOGIES LLC</t>
        </is>
      </c>
      <c r="C719" s="0" t="inlineStr">
        <is>
          <t xml:space="preserve">DKELCSLYGDK5</t>
        </is>
      </c>
      <c r="D719" s="0" t="inlineStr">
        <is>
          <t xml:space="preserve">-</t>
        </is>
      </c>
      <c r="E719" s="0" t="inlineStr">
        <is>
          <t xml:space="preserve">-</t>
        </is>
      </c>
      <c r="F719" s="0" t="inlineStr">
        <is>
          <t xml:space="preserve">-</t>
        </is>
      </c>
      <c r="G719" s="5">
        <v>0.9127885</v>
      </c>
      <c r="H719" s="0" t="inlineStr">
        <is>
          <t xml:space="preserve">supplier</t>
        </is>
      </c>
      <c r="I719" s="0" t="inlineStr">
        <is>
          <t xml:space="preserve">unbucketed</t>
        </is>
      </c>
      <c r="J719" s="0" t="inlineStr">
        <is>
          <t xml:space="preserve">residual</t>
        </is>
      </c>
      <c r="K719" s="5">
        <v>0</v>
      </c>
      <c r="L719" s="5">
        <v>0</v>
      </c>
      <c r="M719" s="5">
        <v>0.0</v>
      </c>
      <c r="N719" s="5">
        <v>0.0</v>
      </c>
      <c r="O719" s="5">
        <v>0.0</v>
      </c>
      <c r="P719" s="5">
        <v>0.0</v>
      </c>
      <c r="Q719" s="5">
        <v>0.0</v>
      </c>
    </row>
    <row r="720" outlineLevel="1">
      <c r="B720" s="0" t="inlineStr">
        <is>
          <t xml:space="preserve">DAYTON T. BROWN, INC.</t>
        </is>
      </c>
      <c r="C720" s="0" t="inlineStr">
        <is>
          <t xml:space="preserve">GN84UHWZJMR8</t>
        </is>
      </c>
      <c r="D720" s="0" t="inlineStr">
        <is>
          <t xml:space="preserve">-</t>
        </is>
      </c>
      <c r="E720" s="0" t="inlineStr">
        <is>
          <t xml:space="preserve">-</t>
        </is>
      </c>
      <c r="F720" s="0" t="inlineStr">
        <is>
          <t xml:space="preserve">-</t>
        </is>
      </c>
      <c r="G720" s="5">
        <v>0.911914</v>
      </c>
      <c r="H720" s="0" t="inlineStr">
        <is>
          <t xml:space="preserve">supplier</t>
        </is>
      </c>
      <c r="I720" s="0" t="inlineStr">
        <is>
          <t xml:space="preserve">unbucketed</t>
        </is>
      </c>
      <c r="J720" s="0" t="inlineStr">
        <is>
          <t xml:space="preserve">residual</t>
        </is>
      </c>
      <c r="K720" s="5">
        <v>0</v>
      </c>
      <c r="L720" s="5">
        <v>0</v>
      </c>
      <c r="M720" s="5">
        <v>0.0</v>
      </c>
      <c r="N720" s="5">
        <v>0.0</v>
      </c>
      <c r="O720" s="5">
        <v>0.0</v>
      </c>
      <c r="P720" s="5">
        <v>0.0</v>
      </c>
      <c r="Q720" s="5">
        <v>0.0</v>
      </c>
    </row>
    <row r="721" outlineLevel="1">
      <c r="B721" s="0" t="inlineStr">
        <is>
          <t xml:space="preserve">SCREW-MATIC CORPORATION</t>
        </is>
      </c>
      <c r="C721" s="0" t="inlineStr">
        <is>
          <t xml:space="preserve">KNXCKS7EENP5</t>
        </is>
      </c>
      <c r="D721" s="0" t="inlineStr">
        <is>
          <t xml:space="preserve">-</t>
        </is>
      </c>
      <c r="E721" s="0" t="inlineStr">
        <is>
          <t xml:space="preserve">-</t>
        </is>
      </c>
      <c r="F721" s="0" t="inlineStr">
        <is>
          <t xml:space="preserve">-</t>
        </is>
      </c>
      <c r="G721" s="5">
        <v>0.9</v>
      </c>
      <c r="H721" s="0" t="inlineStr">
        <is>
          <t xml:space="preserve">supplier</t>
        </is>
      </c>
      <c r="I721" s="0" t="inlineStr">
        <is>
          <t xml:space="preserve">unbucketed</t>
        </is>
      </c>
      <c r="J721" s="0" t="inlineStr">
        <is>
          <t xml:space="preserve">residual</t>
        </is>
      </c>
      <c r="K721" s="5">
        <v>0</v>
      </c>
      <c r="L721" s="5">
        <v>0</v>
      </c>
      <c r="M721" s="5">
        <v>0.0</v>
      </c>
      <c r="N721" s="5">
        <v>0.0</v>
      </c>
      <c r="O721" s="5">
        <v>0.0</v>
      </c>
      <c r="P721" s="5">
        <v>0.0</v>
      </c>
      <c r="Q721" s="5">
        <v>0.0</v>
      </c>
    </row>
    <row r="722" outlineLevel="1">
      <c r="B722" s="0" t="inlineStr">
        <is>
          <t xml:space="preserve">P R L INC</t>
        </is>
      </c>
      <c r="C722" s="0" t="inlineStr">
        <is>
          <t xml:space="preserve">CXK2Y51KDBW1</t>
        </is>
      </c>
      <c r="D722" s="0" t="inlineStr">
        <is>
          <t xml:space="preserve">-</t>
        </is>
      </c>
      <c r="E722" s="0" t="inlineStr">
        <is>
          <t xml:space="preserve">-</t>
        </is>
      </c>
      <c r="F722" s="0" t="inlineStr">
        <is>
          <t xml:space="preserve">-</t>
        </is>
      </c>
      <c r="G722" s="5">
        <v>0.89911</v>
      </c>
      <c r="H722" s="0" t="inlineStr">
        <is>
          <t xml:space="preserve">supplier</t>
        </is>
      </c>
      <c r="I722" s="0" t="inlineStr">
        <is>
          <t xml:space="preserve">unbucketed</t>
        </is>
      </c>
      <c r="J722" s="0" t="inlineStr">
        <is>
          <t xml:space="preserve">residual</t>
        </is>
      </c>
      <c r="K722" s="5">
        <v>0</v>
      </c>
      <c r="L722" s="5">
        <v>0</v>
      </c>
      <c r="M722" s="5">
        <v>0.0</v>
      </c>
      <c r="N722" s="5">
        <v>0.0</v>
      </c>
      <c r="O722" s="5">
        <v>0.0</v>
      </c>
      <c r="P722" s="5">
        <v>0.0</v>
      </c>
      <c r="Q722" s="5">
        <v>0.0</v>
      </c>
    </row>
    <row r="723" outlineLevel="1">
      <c r="B723" s="0" t="inlineStr">
        <is>
          <t xml:space="preserve">THE MATHWORKS INC</t>
        </is>
      </c>
      <c r="C723" s="0" t="inlineStr">
        <is>
          <t xml:space="preserve">YQXBZHMXEVE5</t>
        </is>
      </c>
      <c r="D723" s="0" t="inlineStr">
        <is>
          <t xml:space="preserve">-</t>
        </is>
      </c>
      <c r="E723" s="0" t="inlineStr">
        <is>
          <t xml:space="preserve">-</t>
        </is>
      </c>
      <c r="F723" s="0" t="inlineStr">
        <is>
          <t xml:space="preserve">-</t>
        </is>
      </c>
      <c r="G723" s="5">
        <v>0.898656</v>
      </c>
      <c r="H723" s="0" t="inlineStr">
        <is>
          <t xml:space="preserve">supplier</t>
        </is>
      </c>
      <c r="I723" s="0" t="inlineStr">
        <is>
          <t xml:space="preserve">unbucketed</t>
        </is>
      </c>
      <c r="J723" s="0" t="inlineStr">
        <is>
          <t xml:space="preserve">residual</t>
        </is>
      </c>
      <c r="K723" s="5">
        <v>0</v>
      </c>
      <c r="L723" s="5">
        <v>0</v>
      </c>
      <c r="M723" s="5">
        <v>0.0</v>
      </c>
      <c r="N723" s="5">
        <v>0.0</v>
      </c>
      <c r="O723" s="5">
        <v>0.0</v>
      </c>
      <c r="P723" s="5">
        <v>0.0</v>
      </c>
      <c r="Q723" s="5">
        <v>0.0</v>
      </c>
    </row>
    <row r="724" outlineLevel="1">
      <c r="B724" s="0" t="inlineStr">
        <is>
          <t xml:space="preserve">OCKERMAN AUTOMATION CONSULTING, INC.</t>
        </is>
      </c>
      <c r="C724" s="0" t="inlineStr">
        <is>
          <t xml:space="preserve">YJK3WJEE5W97</t>
        </is>
      </c>
      <c r="D724" s="0" t="inlineStr">
        <is>
          <t xml:space="preserve">-</t>
        </is>
      </c>
      <c r="E724" s="0" t="inlineStr">
        <is>
          <t xml:space="preserve">-</t>
        </is>
      </c>
      <c r="F724" s="0" t="inlineStr">
        <is>
          <t xml:space="preserve">-</t>
        </is>
      </c>
      <c r="G724" s="5">
        <v>0.89053</v>
      </c>
      <c r="H724" s="0" t="inlineStr">
        <is>
          <t xml:space="preserve">supplier</t>
        </is>
      </c>
      <c r="I724" s="0" t="inlineStr">
        <is>
          <t xml:space="preserve">unbucketed</t>
        </is>
      </c>
      <c r="J724" s="0" t="inlineStr">
        <is>
          <t xml:space="preserve">residual</t>
        </is>
      </c>
      <c r="K724" s="5">
        <v>0</v>
      </c>
      <c r="L724" s="5">
        <v>0</v>
      </c>
      <c r="M724" s="5">
        <v>0.0</v>
      </c>
      <c r="N724" s="5">
        <v>0.0</v>
      </c>
      <c r="O724" s="5">
        <v>0.0</v>
      </c>
      <c r="P724" s="5">
        <v>0.0</v>
      </c>
      <c r="Q724" s="5">
        <v>0.0</v>
      </c>
    </row>
    <row r="725" outlineLevel="1">
      <c r="B725" s="0" t="inlineStr">
        <is>
          <t xml:space="preserve">FREQUENCY ELECTRONICS, INC.</t>
        </is>
      </c>
      <c r="C725" s="0" t="inlineStr">
        <is>
          <t xml:space="preserve">LQJ8L3UFTVX3</t>
        </is>
      </c>
      <c r="D725" s="0" t="inlineStr">
        <is>
          <t xml:space="preserve">-</t>
        </is>
      </c>
      <c r="E725" s="0" t="inlineStr">
        <is>
          <t xml:space="preserve">-</t>
        </is>
      </c>
      <c r="F725" s="0" t="inlineStr">
        <is>
          <t xml:space="preserve">-</t>
        </is>
      </c>
      <c r="G725" s="5">
        <v>0.89037809</v>
      </c>
      <c r="H725" s="0" t="inlineStr">
        <is>
          <t xml:space="preserve">supplier</t>
        </is>
      </c>
      <c r="I725" s="0" t="inlineStr">
        <is>
          <t xml:space="preserve">unbucketed</t>
        </is>
      </c>
      <c r="J725" s="0" t="inlineStr">
        <is>
          <t xml:space="preserve">residual</t>
        </is>
      </c>
      <c r="K725" s="5">
        <v>0</v>
      </c>
      <c r="L725" s="5">
        <v>0</v>
      </c>
      <c r="M725" s="5">
        <v>0.0</v>
      </c>
      <c r="N725" s="5">
        <v>0.0</v>
      </c>
      <c r="O725" s="5">
        <v>0.0</v>
      </c>
      <c r="P725" s="5">
        <v>0.0</v>
      </c>
      <c r="Q725" s="5">
        <v>0.0</v>
      </c>
    </row>
    <row r="726" outlineLevel="1">
      <c r="B726" s="0" t="inlineStr">
        <is>
          <t xml:space="preserve">TEVET TECHNOLOGY SOLUTIONS, L.L.C.</t>
        </is>
      </c>
      <c r="C726" s="0" t="inlineStr">
        <is>
          <t xml:space="preserve">CQLFMKPGRUQ3</t>
        </is>
      </c>
      <c r="D726" s="0" t="inlineStr">
        <is>
          <t xml:space="preserve">-</t>
        </is>
      </c>
      <c r="E726" s="0" t="inlineStr">
        <is>
          <t xml:space="preserve">-</t>
        </is>
      </c>
      <c r="F726" s="0" t="inlineStr">
        <is>
          <t xml:space="preserve">-</t>
        </is>
      </c>
      <c r="G726" s="5">
        <v>0.88960024</v>
      </c>
      <c r="H726" s="0" t="inlineStr">
        <is>
          <t xml:space="preserve">supplier</t>
        </is>
      </c>
      <c r="I726" s="0" t="inlineStr">
        <is>
          <t xml:space="preserve">unbucketed</t>
        </is>
      </c>
      <c r="J726" s="0" t="inlineStr">
        <is>
          <t xml:space="preserve">residual</t>
        </is>
      </c>
      <c r="K726" s="5">
        <v>0</v>
      </c>
      <c r="L726" s="5">
        <v>0</v>
      </c>
      <c r="M726" s="5">
        <v>0.0</v>
      </c>
      <c r="N726" s="5">
        <v>0.0</v>
      </c>
      <c r="O726" s="5">
        <v>0.0</v>
      </c>
      <c r="P726" s="5">
        <v>0.0</v>
      </c>
      <c r="Q726" s="5">
        <v>0.0</v>
      </c>
    </row>
    <row r="727" outlineLevel="1">
      <c r="B727" s="0" t="inlineStr">
        <is>
          <t xml:space="preserve">MMC METROLOGY LAB, INC</t>
        </is>
      </c>
      <c r="C727" s="0" t="inlineStr">
        <is>
          <t xml:space="preserve">JU2ME5ZK8VL3</t>
        </is>
      </c>
      <c r="D727" s="0" t="inlineStr">
        <is>
          <t xml:space="preserve">-</t>
        </is>
      </c>
      <c r="E727" s="0" t="inlineStr">
        <is>
          <t xml:space="preserve">-</t>
        </is>
      </c>
      <c r="F727" s="0" t="inlineStr">
        <is>
          <t xml:space="preserve">-</t>
        </is>
      </c>
      <c r="G727" s="5">
        <v>0.888774</v>
      </c>
      <c r="H727" s="0" t="inlineStr">
        <is>
          <t xml:space="preserve">supplier</t>
        </is>
      </c>
      <c r="I727" s="0" t="inlineStr">
        <is>
          <t xml:space="preserve">unbucketed</t>
        </is>
      </c>
      <c r="J727" s="0" t="inlineStr">
        <is>
          <t xml:space="preserve">residual</t>
        </is>
      </c>
      <c r="K727" s="5">
        <v>0</v>
      </c>
      <c r="L727" s="5">
        <v>0</v>
      </c>
      <c r="M727" s="5">
        <v>0.888774</v>
      </c>
      <c r="N727" s="5">
        <v>0.40525999999999995</v>
      </c>
      <c r="O727" s="5">
        <v>0.0</v>
      </c>
      <c r="P727" s="5">
        <v>0.0</v>
      </c>
      <c r="Q727" s="5">
        <v>0.0</v>
      </c>
    </row>
    <row r="728" outlineLevel="1">
      <c r="B728" s="0" t="inlineStr">
        <is>
          <t xml:space="preserve">L-3 COMMUNICATIONS WESTWOOD CORPORATION</t>
        </is>
      </c>
      <c r="C728" s="0" t="inlineStr">
        <is>
          <t xml:space="preserve">ZW3UMG9YVNA9</t>
        </is>
      </c>
      <c r="D728" s="0" t="inlineStr">
        <is>
          <t xml:space="preserve">USA</t>
        </is>
      </c>
      <c r="E728" s="0" t="inlineStr">
        <is>
          <t xml:space="preserve">3353</t>
        </is>
      </c>
      <c r="F728" s="0" t="inlineStr">
        <is>
          <t xml:space="preserve">Switchgear and Switchboard Apparatus Manufacturing</t>
        </is>
      </c>
      <c r="G728" s="5">
        <v>0.8809939999999999</v>
      </c>
      <c r="H728" s="0" t="inlineStr">
        <is>
          <t xml:space="preserve">supplier</t>
        </is>
      </c>
      <c r="I728" s="0" t="inlineStr">
        <is>
          <t xml:space="preserve">electrical</t>
        </is>
      </c>
      <c r="J728" s="0" t="inlineStr">
        <is>
          <t xml:space="preserve">registry</t>
        </is>
      </c>
      <c r="K728" s="5">
        <v>0</v>
      </c>
      <c r="L728" s="5">
        <v>0</v>
      </c>
      <c r="M728" s="5">
        <v>0.8809939999999999</v>
      </c>
      <c r="N728" s="5">
        <v>0.0</v>
      </c>
      <c r="O728" s="5">
        <v>0.733405</v>
      </c>
      <c r="P728" s="5">
        <v>0.147589</v>
      </c>
      <c r="Q728" s="5">
        <v>0.0</v>
      </c>
    </row>
    <row r="729" outlineLevel="1">
      <c r="B729" s="0" t="inlineStr">
        <is>
          <t xml:space="preserve">WARREN FABRICATING CORPORATION</t>
        </is>
      </c>
      <c r="C729" s="0" t="inlineStr">
        <is>
          <t xml:space="preserve">VFQMKHY7C5J3</t>
        </is>
      </c>
      <c r="D729" s="0" t="inlineStr">
        <is>
          <t xml:space="preserve">-</t>
        </is>
      </c>
      <c r="E729" s="0" t="inlineStr">
        <is>
          <t xml:space="preserve">-</t>
        </is>
      </c>
      <c r="F729" s="0" t="inlineStr">
        <is>
          <t xml:space="preserve">-</t>
        </is>
      </c>
      <c r="G729" s="5">
        <v>0.8793270000000001</v>
      </c>
      <c r="H729" s="0" t="inlineStr">
        <is>
          <t xml:space="preserve">supplier</t>
        </is>
      </c>
      <c r="I729" s="0" t="inlineStr">
        <is>
          <t xml:space="preserve">unbucketed</t>
        </is>
      </c>
      <c r="J729" s="0" t="inlineStr">
        <is>
          <t xml:space="preserve">residual</t>
        </is>
      </c>
      <c r="K729" s="5">
        <v>0</v>
      </c>
      <c r="L729" s="5">
        <v>0</v>
      </c>
      <c r="M729" s="5">
        <v>0.0</v>
      </c>
      <c r="N729" s="5">
        <v>0.0</v>
      </c>
      <c r="O729" s="5">
        <v>0.0</v>
      </c>
      <c r="P729" s="5">
        <v>0.0</v>
      </c>
      <c r="Q729" s="5">
        <v>0.0</v>
      </c>
    </row>
    <row r="730" outlineLevel="1">
      <c r="B730" s="0" t="inlineStr">
        <is>
          <t xml:space="preserve">TELEDYNE DEFENSE ELECTRONICS, LLC</t>
        </is>
      </c>
      <c r="C730" s="0" t="inlineStr">
        <is>
          <t xml:space="preserve">H9DTZCLEYHD5</t>
        </is>
      </c>
      <c r="D730" s="0" t="inlineStr">
        <is>
          <t xml:space="preserve">-</t>
        </is>
      </c>
      <c r="E730" s="0" t="inlineStr">
        <is>
          <t xml:space="preserve">-</t>
        </is>
      </c>
      <c r="F730" s="0" t="inlineStr">
        <is>
          <t xml:space="preserve">-</t>
        </is>
      </c>
      <c r="G730" s="5">
        <v>0.8775460399999999</v>
      </c>
      <c r="H730" s="0" t="inlineStr">
        <is>
          <t xml:space="preserve">mission_systems</t>
        </is>
      </c>
      <c r="I730" s="0" t="inlineStr">
        <is>
          <t xml:space="preserve">-</t>
        </is>
      </c>
      <c r="J730" s="0" t="inlineStr">
        <is>
          <t xml:space="preserve">registry</t>
        </is>
      </c>
      <c r="K730" s="5">
        <v>0</v>
      </c>
      <c r="L730" s="5">
        <v>0</v>
      </c>
      <c r="M730" s="5">
        <v>0.0</v>
      </c>
      <c r="N730" s="5">
        <v>0.0</v>
      </c>
      <c r="O730" s="5">
        <v>0.0</v>
      </c>
      <c r="P730" s="5">
        <v>0.0</v>
      </c>
      <c r="Q730" s="5">
        <v>0.0</v>
      </c>
    </row>
    <row r="731" outlineLevel="1">
      <c r="B731" s="0" t="inlineStr">
        <is>
          <t xml:space="preserve">GENERAL DYNAMICS CORP</t>
        </is>
      </c>
      <c r="C731" s="0" t="inlineStr">
        <is>
          <t xml:space="preserve">S4ZAF64LJ1G3</t>
        </is>
      </c>
      <c r="D731" s="0" t="inlineStr">
        <is>
          <t xml:space="preserve">USA</t>
        </is>
      </c>
      <c r="E731" s="0" t="inlineStr">
        <is>
          <t xml:space="preserve">3369</t>
        </is>
      </c>
      <c r="F731" s="0" t="inlineStr">
        <is>
          <t xml:space="preserve">Military Armored Vehicle, Tank, and Tank Component Manufacturing</t>
        </is>
      </c>
      <c r="G731" s="5">
        <v>0.87700008</v>
      </c>
      <c r="H731" s="0" t="inlineStr">
        <is>
          <t xml:space="preserve">prime</t>
        </is>
      </c>
      <c r="I731" s="0" t="inlineStr">
        <is>
          <t xml:space="preserve">-</t>
        </is>
      </c>
      <c r="J731" s="0" t="inlineStr">
        <is>
          <t xml:space="preserve">prime/co-prime name</t>
        </is>
      </c>
      <c r="K731" s="5">
        <v>0</v>
      </c>
      <c r="L731" s="5">
        <v>0</v>
      </c>
      <c r="M731" s="5">
        <v>0.87700008</v>
      </c>
      <c r="N731" s="5">
        <v>0.0</v>
      </c>
      <c r="O731" s="5">
        <v>0.87700008</v>
      </c>
      <c r="P731" s="5">
        <v>0.0</v>
      </c>
      <c r="Q731" s="5">
        <v>0.0</v>
      </c>
    </row>
    <row r="732" outlineLevel="1">
      <c r="B732" s="0" t="inlineStr">
        <is>
          <t xml:space="preserve">MMC METROLOGY LAB INC</t>
        </is>
      </c>
      <c r="C732" s="0" t="inlineStr">
        <is>
          <t xml:space="preserve">JU2ME5ZK8VL3</t>
        </is>
      </c>
      <c r="D732" s="0" t="inlineStr">
        <is>
          <t xml:space="preserve">-</t>
        </is>
      </c>
      <c r="E732" s="0" t="inlineStr">
        <is>
          <t xml:space="preserve">-</t>
        </is>
      </c>
      <c r="F732" s="0" t="inlineStr">
        <is>
          <t xml:space="preserve">-</t>
        </is>
      </c>
      <c r="G732" s="5">
        <v>0.87585</v>
      </c>
      <c r="H732" s="0" t="inlineStr">
        <is>
          <t xml:space="preserve">supplier</t>
        </is>
      </c>
      <c r="I732" s="0" t="inlineStr">
        <is>
          <t xml:space="preserve">unbucketed</t>
        </is>
      </c>
      <c r="J732" s="0" t="inlineStr">
        <is>
          <t xml:space="preserve">residual</t>
        </is>
      </c>
      <c r="K732" s="5">
        <v>0</v>
      </c>
      <c r="L732" s="5">
        <v>0</v>
      </c>
      <c r="M732" s="5">
        <v>0.87585</v>
      </c>
      <c r="N732" s="5">
        <v>0.0</v>
      </c>
      <c r="O732" s="5">
        <v>0.87585</v>
      </c>
      <c r="P732" s="5">
        <v>0.0</v>
      </c>
      <c r="Q732" s="5">
        <v>0.0</v>
      </c>
    </row>
    <row r="733" outlineLevel="1">
      <c r="B733" s="0" t="inlineStr">
        <is>
          <t xml:space="preserve">SPARTON AYDIN, LLC</t>
        </is>
      </c>
      <c r="C733" s="0" t="inlineStr">
        <is>
          <t xml:space="preserve">CYJ3L6SQANB4</t>
        </is>
      </c>
      <c r="D733" s="0" t="inlineStr">
        <is>
          <t xml:space="preserve">-</t>
        </is>
      </c>
      <c r="E733" s="0" t="inlineStr">
        <is>
          <t xml:space="preserve">-</t>
        </is>
      </c>
      <c r="F733" s="0" t="inlineStr">
        <is>
          <t xml:space="preserve">-</t>
        </is>
      </c>
      <c r="G733" s="5">
        <v>0.875229</v>
      </c>
      <c r="H733" s="0" t="inlineStr">
        <is>
          <t xml:space="preserve">supplier</t>
        </is>
      </c>
      <c r="I733" s="0" t="inlineStr">
        <is>
          <t xml:space="preserve">unbucketed</t>
        </is>
      </c>
      <c r="J733" s="0" t="inlineStr">
        <is>
          <t xml:space="preserve">residual</t>
        </is>
      </c>
      <c r="K733" s="5">
        <v>0</v>
      </c>
      <c r="L733" s="5">
        <v>0</v>
      </c>
      <c r="M733" s="5">
        <v>0.0</v>
      </c>
      <c r="N733" s="5">
        <v>0.0</v>
      </c>
      <c r="O733" s="5">
        <v>0.0</v>
      </c>
      <c r="P733" s="5">
        <v>0.0</v>
      </c>
      <c r="Q733" s="5">
        <v>0.0</v>
      </c>
    </row>
    <row r="734" outlineLevel="1">
      <c r="B734" s="0" t="inlineStr">
        <is>
          <t xml:space="preserve">SAFRAN</t>
        </is>
      </c>
      <c r="C734" s="0" t="inlineStr">
        <is>
          <t xml:space="preserve">MJB4E1KANKT7</t>
        </is>
      </c>
      <c r="D734" s="0" t="inlineStr">
        <is>
          <t xml:space="preserve">-</t>
        </is>
      </c>
      <c r="E734" s="0" t="inlineStr">
        <is>
          <t xml:space="preserve">-</t>
        </is>
      </c>
      <c r="F734" s="0" t="inlineStr">
        <is>
          <t xml:space="preserve">-</t>
        </is>
      </c>
      <c r="G734" s="5">
        <v>0.87190346</v>
      </c>
      <c r="H734" s="0" t="inlineStr">
        <is>
          <t xml:space="preserve">supplier</t>
        </is>
      </c>
      <c r="I734" s="0" t="inlineStr">
        <is>
          <t xml:space="preserve">unbucketed</t>
        </is>
      </c>
      <c r="J734" s="0" t="inlineStr">
        <is>
          <t xml:space="preserve">residual</t>
        </is>
      </c>
      <c r="K734" s="5">
        <v>0</v>
      </c>
      <c r="L734" s="5">
        <v>0</v>
      </c>
      <c r="M734" s="5">
        <v>0.0</v>
      </c>
      <c r="N734" s="5">
        <v>0.0</v>
      </c>
      <c r="O734" s="5">
        <v>0.0</v>
      </c>
      <c r="P734" s="5">
        <v>0.0</v>
      </c>
      <c r="Q734" s="5">
        <v>0.0</v>
      </c>
    </row>
    <row r="735" outlineLevel="1">
      <c r="B735" s="0" t="inlineStr">
        <is>
          <t xml:space="preserve">FOURTH FACTOR ENGINEERING</t>
        </is>
      </c>
      <c r="C735" s="0" t="inlineStr">
        <is>
          <t xml:space="preserve">EHMMZUCV4NU9</t>
        </is>
      </c>
      <c r="D735" s="0" t="inlineStr">
        <is>
          <t xml:space="preserve">-</t>
        </is>
      </c>
      <c r="E735" s="0" t="inlineStr">
        <is>
          <t xml:space="preserve">-</t>
        </is>
      </c>
      <c r="F735" s="0" t="inlineStr">
        <is>
          <t xml:space="preserve">-</t>
        </is>
      </c>
      <c r="G735" s="5">
        <v>0.871631</v>
      </c>
      <c r="H735" s="0" t="inlineStr">
        <is>
          <t xml:space="preserve">supplier</t>
        </is>
      </c>
      <c r="I735" s="0" t="inlineStr">
        <is>
          <t xml:space="preserve">unbucketed</t>
        </is>
      </c>
      <c r="J735" s="0" t="inlineStr">
        <is>
          <t xml:space="preserve">residual</t>
        </is>
      </c>
      <c r="K735" s="5">
        <v>0</v>
      </c>
      <c r="L735" s="5">
        <v>0</v>
      </c>
      <c r="M735" s="5">
        <v>0.0</v>
      </c>
      <c r="N735" s="5">
        <v>0.0</v>
      </c>
      <c r="O735" s="5">
        <v>0.0</v>
      </c>
      <c r="P735" s="5">
        <v>0.0</v>
      </c>
      <c r="Q735" s="5">
        <v>0.0</v>
      </c>
    </row>
    <row r="736" outlineLevel="1">
      <c r="B736" s="0" t="inlineStr">
        <is>
          <t xml:space="preserve">JRI, INC.</t>
        </is>
      </c>
      <c r="C736" s="0" t="inlineStr">
        <is>
          <t xml:space="preserve">NQAHK9UFAFG6</t>
        </is>
      </c>
      <c r="D736" s="0" t="inlineStr">
        <is>
          <t xml:space="preserve">-</t>
        </is>
      </c>
      <c r="E736" s="0" t="inlineStr">
        <is>
          <t xml:space="preserve">-</t>
        </is>
      </c>
      <c r="F736" s="0" t="inlineStr">
        <is>
          <t xml:space="preserve">-</t>
        </is>
      </c>
      <c r="G736" s="5">
        <v>0.8714609999999999</v>
      </c>
      <c r="H736" s="0" t="inlineStr">
        <is>
          <t xml:space="preserve">supplier</t>
        </is>
      </c>
      <c r="I736" s="0" t="inlineStr">
        <is>
          <t xml:space="preserve">unbucketed</t>
        </is>
      </c>
      <c r="J736" s="0" t="inlineStr">
        <is>
          <t xml:space="preserve">residual</t>
        </is>
      </c>
      <c r="K736" s="5">
        <v>0</v>
      </c>
      <c r="L736" s="5">
        <v>0</v>
      </c>
      <c r="M736" s="5">
        <v>0.0</v>
      </c>
      <c r="N736" s="5">
        <v>0.0</v>
      </c>
      <c r="O736" s="5">
        <v>0.0</v>
      </c>
      <c r="P736" s="5">
        <v>0.0</v>
      </c>
      <c r="Q736" s="5">
        <v>0.0</v>
      </c>
    </row>
    <row r="737" outlineLevel="1">
      <c r="B737" s="0" t="inlineStr">
        <is>
          <t xml:space="preserve">CPI INTERNATIONAL, INC.</t>
        </is>
      </c>
      <c r="C737" s="0" t="inlineStr">
        <is>
          <t xml:space="preserve">D9P7CUAJBG55</t>
        </is>
      </c>
      <c r="D737" s="0" t="inlineStr">
        <is>
          <t xml:space="preserve">-</t>
        </is>
      </c>
      <c r="E737" s="0" t="inlineStr">
        <is>
          <t xml:space="preserve">-</t>
        </is>
      </c>
      <c r="F737" s="0" t="inlineStr">
        <is>
          <t xml:space="preserve">-</t>
        </is>
      </c>
      <c r="G737" s="5">
        <v>0.870352</v>
      </c>
      <c r="H737" s="0" t="inlineStr">
        <is>
          <t xml:space="preserve">supplier</t>
        </is>
      </c>
      <c r="I737" s="0" t="inlineStr">
        <is>
          <t xml:space="preserve">unbucketed</t>
        </is>
      </c>
      <c r="J737" s="0" t="inlineStr">
        <is>
          <t xml:space="preserve">residual</t>
        </is>
      </c>
      <c r="K737" s="5">
        <v>0</v>
      </c>
      <c r="L737" s="5">
        <v>0</v>
      </c>
      <c r="M737" s="5">
        <v>0.0</v>
      </c>
      <c r="N737" s="5">
        <v>0.0</v>
      </c>
      <c r="O737" s="5">
        <v>0.0</v>
      </c>
      <c r="P737" s="5">
        <v>0.0</v>
      </c>
      <c r="Q737" s="5">
        <v>0.0</v>
      </c>
    </row>
    <row r="738" outlineLevel="1">
      <c r="B738" s="0" t="inlineStr">
        <is>
          <t xml:space="preserve">US, INC.</t>
        </is>
      </c>
      <c r="C738" s="0" t="inlineStr">
        <is>
          <t xml:space="preserve">PW9GWUTL4KV5</t>
        </is>
      </c>
      <c r="D738" s="0" t="inlineStr">
        <is>
          <t xml:space="preserve">-</t>
        </is>
      </c>
      <c r="E738" s="0" t="inlineStr">
        <is>
          <t xml:space="preserve">-</t>
        </is>
      </c>
      <c r="F738" s="0" t="inlineStr">
        <is>
          <t xml:space="preserve">-</t>
        </is>
      </c>
      <c r="G738" s="5">
        <v>0.8662425</v>
      </c>
      <c r="H738" s="0" t="inlineStr">
        <is>
          <t xml:space="preserve">supplier</t>
        </is>
      </c>
      <c r="I738" s="0" t="inlineStr">
        <is>
          <t xml:space="preserve">unbucketed</t>
        </is>
      </c>
      <c r="J738" s="0" t="inlineStr">
        <is>
          <t xml:space="preserve">residual</t>
        </is>
      </c>
      <c r="K738" s="5">
        <v>0</v>
      </c>
      <c r="L738" s="5">
        <v>0</v>
      </c>
      <c r="M738" s="5">
        <v>0.8662425</v>
      </c>
      <c r="N738" s="5">
        <v>0.0</v>
      </c>
      <c r="O738" s="5">
        <v>0.31276000000000004</v>
      </c>
      <c r="P738" s="5">
        <v>0.0</v>
      </c>
      <c r="Q738" s="5">
        <v>0.3658185</v>
      </c>
    </row>
    <row r="739" outlineLevel="1">
      <c r="B739" s="0" t="inlineStr">
        <is>
          <t xml:space="preserve">DOVER PUMPS &amp; PROCESS SOLUTIONS SEGMENT, INC.</t>
        </is>
      </c>
      <c r="C739" s="0" t="inlineStr">
        <is>
          <t xml:space="preserve">FCK2D4PSV1L2</t>
        </is>
      </c>
      <c r="D739" s="0" t="inlineStr">
        <is>
          <t xml:space="preserve">USA</t>
        </is>
      </c>
      <c r="E739" s="0" t="inlineStr">
        <is>
          <t xml:space="preserve">3339</t>
        </is>
      </c>
      <c r="F739" s="0" t="inlineStr">
        <is>
          <t xml:space="preserve">Measuring, Dispensing, and Other Pumping Equipment Manufacturing</t>
        </is>
      </c>
      <c r="G739" s="5">
        <v>0.8639285000000001</v>
      </c>
      <c r="H739" s="0" t="inlineStr">
        <is>
          <t xml:space="preserve">supplier</t>
        </is>
      </c>
      <c r="I739" s="0" t="inlineStr">
        <is>
          <t xml:space="preserve">piping</t>
        </is>
      </c>
      <c r="J739" s="0" t="inlineStr">
        <is>
          <t xml:space="preserve">registry</t>
        </is>
      </c>
      <c r="K739" s="5">
        <v>0</v>
      </c>
      <c r="L739" s="5">
        <v>0</v>
      </c>
      <c r="M739" s="5">
        <v>0.8188985000000001</v>
      </c>
      <c r="N739" s="5">
        <v>0.16913796</v>
      </c>
      <c r="O739" s="5">
        <v>0.64976054</v>
      </c>
      <c r="P739" s="5">
        <v>0.0</v>
      </c>
      <c r="Q739" s="5">
        <v>0.0</v>
      </c>
    </row>
    <row r="740" outlineLevel="1">
      <c r="B740" s="0" t="inlineStr">
        <is>
          <t xml:space="preserve">ASHTEAD GROUP PUBLIC LIMITED COMPANY</t>
        </is>
      </c>
      <c r="C740" s="0" t="inlineStr">
        <is>
          <t xml:space="preserve">DLPTJJFY1JD5</t>
        </is>
      </c>
      <c r="D740" s="0" t="inlineStr">
        <is>
          <t xml:space="preserve">-</t>
        </is>
      </c>
      <c r="E740" s="0" t="inlineStr">
        <is>
          <t xml:space="preserve">-</t>
        </is>
      </c>
      <c r="F740" s="0" t="inlineStr">
        <is>
          <t xml:space="preserve">-</t>
        </is>
      </c>
      <c r="G740" s="5">
        <v>0.86228974</v>
      </c>
      <c r="H740" s="0" t="inlineStr">
        <is>
          <t xml:space="preserve">supplier</t>
        </is>
      </c>
      <c r="I740" s="0" t="inlineStr">
        <is>
          <t xml:space="preserve">unbucketed</t>
        </is>
      </c>
      <c r="J740" s="0" t="inlineStr">
        <is>
          <t xml:space="preserve">residual</t>
        </is>
      </c>
      <c r="K740" s="5">
        <v>0</v>
      </c>
      <c r="L740" s="5">
        <v>0</v>
      </c>
      <c r="M740" s="5">
        <v>0.0</v>
      </c>
      <c r="N740" s="5">
        <v>0.0</v>
      </c>
      <c r="O740" s="5">
        <v>0.0</v>
      </c>
      <c r="P740" s="5">
        <v>0.0</v>
      </c>
      <c r="Q740" s="5">
        <v>0.0</v>
      </c>
    </row>
    <row r="741" outlineLevel="1">
      <c r="B741" s="0" t="inlineStr">
        <is>
          <t xml:space="preserve">PACIFIC MARITIME GROUP, INC.</t>
        </is>
      </c>
      <c r="C741" s="0" t="inlineStr">
        <is>
          <t xml:space="preserve">ZRBPR96JCE93</t>
        </is>
      </c>
      <c r="D741" s="0" t="inlineStr">
        <is>
          <t xml:space="preserve">-</t>
        </is>
      </c>
      <c r="E741" s="0" t="inlineStr">
        <is>
          <t xml:space="preserve">-</t>
        </is>
      </c>
      <c r="F741" s="0" t="inlineStr">
        <is>
          <t xml:space="preserve">-</t>
        </is>
      </c>
      <c r="G741" s="5">
        <v>0.861652</v>
      </c>
      <c r="H741" s="0" t="inlineStr">
        <is>
          <t xml:space="preserve">supplier</t>
        </is>
      </c>
      <c r="I741" s="0" t="inlineStr">
        <is>
          <t xml:space="preserve">unbucketed</t>
        </is>
      </c>
      <c r="J741" s="0" t="inlineStr">
        <is>
          <t xml:space="preserve">residual</t>
        </is>
      </c>
      <c r="K741" s="5">
        <v>0</v>
      </c>
      <c r="L741" s="5">
        <v>0</v>
      </c>
      <c r="M741" s="5">
        <v>0.0</v>
      </c>
      <c r="N741" s="5">
        <v>0.0</v>
      </c>
      <c r="O741" s="5">
        <v>0.0</v>
      </c>
      <c r="P741" s="5">
        <v>0.0</v>
      </c>
      <c r="Q741" s="5">
        <v>0.0</v>
      </c>
    </row>
    <row r="742" outlineLevel="1">
      <c r="B742" s="0" t="inlineStr">
        <is>
          <t xml:space="preserve">MASTER MACHINE INC</t>
        </is>
      </c>
      <c r="C742" s="0" t="inlineStr">
        <is>
          <t xml:space="preserve">D8LCXTGXHJJ3</t>
        </is>
      </c>
      <c r="D742" s="0" t="inlineStr">
        <is>
          <t xml:space="preserve">-</t>
        </is>
      </c>
      <c r="E742" s="0" t="inlineStr">
        <is>
          <t xml:space="preserve">-</t>
        </is>
      </c>
      <c r="F742" s="0" t="inlineStr">
        <is>
          <t xml:space="preserve">-</t>
        </is>
      </c>
      <c r="G742" s="5">
        <v>0.8607672799999999</v>
      </c>
      <c r="H742" s="0" t="inlineStr">
        <is>
          <t xml:space="preserve">supplier</t>
        </is>
      </c>
      <c r="I742" s="0" t="inlineStr">
        <is>
          <t xml:space="preserve">unbucketed</t>
        </is>
      </c>
      <c r="J742" s="0" t="inlineStr">
        <is>
          <t xml:space="preserve">residual</t>
        </is>
      </c>
      <c r="K742" s="5">
        <v>0</v>
      </c>
      <c r="L742" s="5">
        <v>0</v>
      </c>
      <c r="M742" s="5">
        <v>0.0</v>
      </c>
      <c r="N742" s="5">
        <v>0.0</v>
      </c>
      <c r="O742" s="5">
        <v>0.0</v>
      </c>
      <c r="P742" s="5">
        <v>0.0</v>
      </c>
      <c r="Q742" s="5">
        <v>0.0</v>
      </c>
    </row>
    <row r="743" outlineLevel="1">
      <c r="B743" s="0" t="inlineStr">
        <is>
          <t xml:space="preserve">AEROSPACE ELITE ELECTRONICS, INC.</t>
        </is>
      </c>
      <c r="C743" s="0" t="inlineStr">
        <is>
          <t xml:space="preserve">XFWNM6S1JML3</t>
        </is>
      </c>
      <c r="D743" s="0" t="inlineStr">
        <is>
          <t xml:space="preserve">-</t>
        </is>
      </c>
      <c r="E743" s="0" t="inlineStr">
        <is>
          <t xml:space="preserve">-</t>
        </is>
      </c>
      <c r="F743" s="0" t="inlineStr">
        <is>
          <t xml:space="preserve">-</t>
        </is>
      </c>
      <c r="G743" s="5">
        <v>0.8590412299999999</v>
      </c>
      <c r="H743" s="0" t="inlineStr">
        <is>
          <t xml:space="preserve">supplier</t>
        </is>
      </c>
      <c r="I743" s="0" t="inlineStr">
        <is>
          <t xml:space="preserve">unbucketed</t>
        </is>
      </c>
      <c r="J743" s="0" t="inlineStr">
        <is>
          <t xml:space="preserve">residual</t>
        </is>
      </c>
      <c r="K743" s="5">
        <v>0</v>
      </c>
      <c r="L743" s="5">
        <v>0</v>
      </c>
      <c r="M743" s="5">
        <v>0.0</v>
      </c>
      <c r="N743" s="5">
        <v>0.0</v>
      </c>
      <c r="O743" s="5">
        <v>0.0</v>
      </c>
      <c r="P743" s="5">
        <v>0.0</v>
      </c>
      <c r="Q743" s="5">
        <v>0.0</v>
      </c>
    </row>
    <row r="744" outlineLevel="1">
      <c r="B744" s="0" t="inlineStr">
        <is>
          <t xml:space="preserve">ASCO POWER TECHNOLOGIES, L.P.</t>
        </is>
      </c>
      <c r="C744" s="0" t="inlineStr">
        <is>
          <t xml:space="preserve">MDH6KH9D4SG7</t>
        </is>
      </c>
      <c r="D744" s="0" t="inlineStr">
        <is>
          <t xml:space="preserve">-</t>
        </is>
      </c>
      <c r="E744" s="0" t="inlineStr">
        <is>
          <t xml:space="preserve">-</t>
        </is>
      </c>
      <c r="F744" s="0" t="inlineStr">
        <is>
          <t xml:space="preserve">-</t>
        </is>
      </c>
      <c r="G744" s="5">
        <v>0.85780333</v>
      </c>
      <c r="H744" s="0" t="inlineStr">
        <is>
          <t xml:space="preserve">supplier</t>
        </is>
      </c>
      <c r="I744" s="0" t="inlineStr">
        <is>
          <t xml:space="preserve">unbucketed</t>
        </is>
      </c>
      <c r="J744" s="0" t="inlineStr">
        <is>
          <t xml:space="preserve">residual</t>
        </is>
      </c>
      <c r="K744" s="5">
        <v>0</v>
      </c>
      <c r="L744" s="5">
        <v>0</v>
      </c>
      <c r="M744" s="5">
        <v>0.85780333</v>
      </c>
      <c r="N744" s="5">
        <v>0.0</v>
      </c>
      <c r="O744" s="5">
        <v>0.82731533</v>
      </c>
      <c r="P744" s="5">
        <v>0.030488</v>
      </c>
      <c r="Q744" s="5">
        <v>0.0</v>
      </c>
    </row>
    <row r="745" outlineLevel="1">
      <c r="B745" s="0" t="inlineStr">
        <is>
          <t xml:space="preserve">BULL MOOSE TUBE COMPANY</t>
        </is>
      </c>
      <c r="C745" s="0" t="inlineStr">
        <is>
          <t xml:space="preserve">KMRUJJMRJSV6</t>
        </is>
      </c>
      <c r="D745" s="0" t="inlineStr">
        <is>
          <t xml:space="preserve">-</t>
        </is>
      </c>
      <c r="E745" s="0" t="inlineStr">
        <is>
          <t xml:space="preserve">-</t>
        </is>
      </c>
      <c r="F745" s="0" t="inlineStr">
        <is>
          <t xml:space="preserve">-</t>
        </is>
      </c>
      <c r="G745" s="5">
        <v>0.85557444</v>
      </c>
      <c r="H745" s="0" t="inlineStr">
        <is>
          <t xml:space="preserve">supplier</t>
        </is>
      </c>
      <c r="I745" s="0" t="inlineStr">
        <is>
          <t xml:space="preserve">unbucketed</t>
        </is>
      </c>
      <c r="J745" s="0" t="inlineStr">
        <is>
          <t xml:space="preserve">residual</t>
        </is>
      </c>
      <c r="K745" s="5">
        <v>0</v>
      </c>
      <c r="L745" s="5">
        <v>0</v>
      </c>
      <c r="M745" s="5">
        <v>0.0</v>
      </c>
      <c r="N745" s="5">
        <v>0.0</v>
      </c>
      <c r="O745" s="5">
        <v>0.0</v>
      </c>
      <c r="P745" s="5">
        <v>0.0</v>
      </c>
      <c r="Q745" s="5">
        <v>0.0</v>
      </c>
    </row>
    <row r="746" outlineLevel="1">
      <c r="B746" s="0" t="inlineStr">
        <is>
          <t xml:space="preserve">SUMMA HOLDINGS, INC.</t>
        </is>
      </c>
      <c r="C746" s="0" t="inlineStr">
        <is>
          <t xml:space="preserve">D2J1SSHB5EB7</t>
        </is>
      </c>
      <c r="D746" s="0" t="inlineStr">
        <is>
          <t xml:space="preserve">-</t>
        </is>
      </c>
      <c r="E746" s="0" t="inlineStr">
        <is>
          <t xml:space="preserve">-</t>
        </is>
      </c>
      <c r="F746" s="0" t="inlineStr">
        <is>
          <t xml:space="preserve">-</t>
        </is>
      </c>
      <c r="G746" s="5">
        <v>0.85320171</v>
      </c>
      <c r="H746" s="0" t="inlineStr">
        <is>
          <t xml:space="preserve">supplier</t>
        </is>
      </c>
      <c r="I746" s="0" t="inlineStr">
        <is>
          <t xml:space="preserve">unbucketed</t>
        </is>
      </c>
      <c r="J746" s="0" t="inlineStr">
        <is>
          <t xml:space="preserve">residual</t>
        </is>
      </c>
      <c r="K746" s="5">
        <v>0</v>
      </c>
      <c r="L746" s="5">
        <v>0</v>
      </c>
      <c r="M746" s="5">
        <v>0.85320171</v>
      </c>
      <c r="N746" s="5">
        <v>0.0</v>
      </c>
      <c r="O746" s="5">
        <v>0.0</v>
      </c>
      <c r="P746" s="5">
        <v>0.0</v>
      </c>
      <c r="Q746" s="5">
        <v>0.0</v>
      </c>
    </row>
    <row r="747" outlineLevel="1">
      <c r="B747" s="0" t="inlineStr">
        <is>
          <t xml:space="preserve">CROWLEY FABRICATING &amp; MACHINING CO., INC.</t>
        </is>
      </c>
      <c r="C747" s="0" t="inlineStr">
        <is>
          <t xml:space="preserve">NMD7DMQSNMK5</t>
        </is>
      </c>
      <c r="D747" s="0" t="inlineStr">
        <is>
          <t xml:space="preserve">-</t>
        </is>
      </c>
      <c r="E747" s="0" t="inlineStr">
        <is>
          <t xml:space="preserve">-</t>
        </is>
      </c>
      <c r="F747" s="0" t="inlineStr">
        <is>
          <t xml:space="preserve">-</t>
        </is>
      </c>
      <c r="G747" s="5">
        <v>0.84727635</v>
      </c>
      <c r="H747" s="0" t="inlineStr">
        <is>
          <t xml:space="preserve">supplier</t>
        </is>
      </c>
      <c r="I747" s="0" t="inlineStr">
        <is>
          <t xml:space="preserve">unbucketed</t>
        </is>
      </c>
      <c r="J747" s="0" t="inlineStr">
        <is>
          <t xml:space="preserve">residual</t>
        </is>
      </c>
      <c r="K747" s="5">
        <v>0</v>
      </c>
      <c r="L747" s="5">
        <v>0</v>
      </c>
      <c r="M747" s="5">
        <v>0.0</v>
      </c>
      <c r="N747" s="5">
        <v>0.0</v>
      </c>
      <c r="O747" s="5">
        <v>0.0</v>
      </c>
      <c r="P747" s="5">
        <v>0.0</v>
      </c>
      <c r="Q747" s="5">
        <v>0.0</v>
      </c>
    </row>
    <row r="748" outlineLevel="1">
      <c r="B748" s="0" t="inlineStr">
        <is>
          <t xml:space="preserve">JBK MANUFACTURING, LLC</t>
        </is>
      </c>
      <c r="C748" s="0" t="inlineStr">
        <is>
          <t xml:space="preserve">QJW7KTT6MGN4</t>
        </is>
      </c>
      <c r="D748" s="0" t="inlineStr">
        <is>
          <t xml:space="preserve">-</t>
        </is>
      </c>
      <c r="E748" s="0" t="inlineStr">
        <is>
          <t xml:space="preserve">-</t>
        </is>
      </c>
      <c r="F748" s="0" t="inlineStr">
        <is>
          <t xml:space="preserve">-</t>
        </is>
      </c>
      <c r="G748" s="5">
        <v>0.8427978200000001</v>
      </c>
      <c r="H748" s="0" t="inlineStr">
        <is>
          <t xml:space="preserve">supplier</t>
        </is>
      </c>
      <c r="I748" s="0" t="inlineStr">
        <is>
          <t xml:space="preserve">unbucketed</t>
        </is>
      </c>
      <c r="J748" s="0" t="inlineStr">
        <is>
          <t xml:space="preserve">residual</t>
        </is>
      </c>
      <c r="K748" s="5">
        <v>0</v>
      </c>
      <c r="L748" s="5">
        <v>0</v>
      </c>
      <c r="M748" s="5">
        <v>0.0</v>
      </c>
      <c r="N748" s="5">
        <v>0.0</v>
      </c>
      <c r="O748" s="5">
        <v>0.0</v>
      </c>
      <c r="P748" s="5">
        <v>0.0</v>
      </c>
      <c r="Q748" s="5">
        <v>0.0</v>
      </c>
    </row>
    <row r="749" outlineLevel="1">
      <c r="B749" s="0" t="inlineStr">
        <is>
          <t xml:space="preserve">VALLEY PRECISION TOOL &amp; TECHNOLOGY, INC.</t>
        </is>
      </c>
      <c r="C749" s="0" t="inlineStr">
        <is>
          <t xml:space="preserve">V3RNMV4H5SP5</t>
        </is>
      </c>
      <c r="D749" s="0" t="inlineStr">
        <is>
          <t xml:space="preserve">-</t>
        </is>
      </c>
      <c r="E749" s="0" t="inlineStr">
        <is>
          <t xml:space="preserve">-</t>
        </is>
      </c>
      <c r="F749" s="0" t="inlineStr">
        <is>
          <t xml:space="preserve">-</t>
        </is>
      </c>
      <c r="G749" s="5">
        <v>0.83618021</v>
      </c>
      <c r="H749" s="0" t="inlineStr">
        <is>
          <t xml:space="preserve">supplier</t>
        </is>
      </c>
      <c r="I749" s="0" t="inlineStr">
        <is>
          <t xml:space="preserve">unbucketed</t>
        </is>
      </c>
      <c r="J749" s="0" t="inlineStr">
        <is>
          <t xml:space="preserve">residual</t>
        </is>
      </c>
      <c r="K749" s="5">
        <v>0</v>
      </c>
      <c r="L749" s="5">
        <v>0</v>
      </c>
      <c r="M749" s="5">
        <v>0.0</v>
      </c>
      <c r="N749" s="5">
        <v>0.0</v>
      </c>
      <c r="O749" s="5">
        <v>0.0</v>
      </c>
      <c r="P749" s="5">
        <v>0.0</v>
      </c>
      <c r="Q749" s="5">
        <v>0.0</v>
      </c>
    </row>
    <row r="750" outlineLevel="1">
      <c r="B750" s="0" t="inlineStr">
        <is>
          <t xml:space="preserve">BERKSHIRE HATHAWAY INC.</t>
        </is>
      </c>
      <c r="C750" s="0" t="inlineStr">
        <is>
          <t xml:space="preserve">EY33EMFRK245</t>
        </is>
      </c>
      <c r="D750" s="0" t="inlineStr">
        <is>
          <t xml:space="preserve">USA</t>
        </is>
      </c>
      <c r="E750" s="0" t="inlineStr">
        <is>
          <t xml:space="preserve">5511</t>
        </is>
      </c>
      <c r="F750" s="0" t="inlineStr">
        <is>
          <t xml:space="preserve">Offices of Other Holding Companies</t>
        </is>
      </c>
      <c r="G750" s="5">
        <v>0.83410218</v>
      </c>
      <c r="H750" s="0" t="inlineStr">
        <is>
          <t xml:space="preserve">holding</t>
        </is>
      </c>
      <c r="I750" s="0" t="inlineStr">
        <is>
          <t xml:space="preserve">-</t>
        </is>
      </c>
      <c r="J750" s="0" t="inlineStr">
        <is>
          <t xml:space="preserve">holding-co (5511)</t>
        </is>
      </c>
      <c r="K750" s="5">
        <v>0</v>
      </c>
      <c r="L750" s="5">
        <v>0</v>
      </c>
      <c r="M750" s="5">
        <v>0.0</v>
      </c>
      <c r="N750" s="5">
        <v>0.0</v>
      </c>
      <c r="O750" s="5">
        <v>0.0</v>
      </c>
      <c r="P750" s="5">
        <v>0.0</v>
      </c>
      <c r="Q750" s="5">
        <v>0.0</v>
      </c>
    </row>
    <row r="751" outlineLevel="1">
      <c r="B751" s="0" t="inlineStr">
        <is>
          <t xml:space="preserve">ELECTRO SWITCH BUSINESS TRUST</t>
        </is>
      </c>
      <c r="C751" s="0" t="inlineStr">
        <is>
          <t xml:space="preserve">DE76A79MSAR7</t>
        </is>
      </c>
      <c r="D751" s="0" t="inlineStr">
        <is>
          <t xml:space="preserve">-</t>
        </is>
      </c>
      <c r="E751" s="0" t="inlineStr">
        <is>
          <t xml:space="preserve">-</t>
        </is>
      </c>
      <c r="F751" s="0" t="inlineStr">
        <is>
          <t xml:space="preserve">-</t>
        </is>
      </c>
      <c r="G751" s="5">
        <v>0.8320953099999999</v>
      </c>
      <c r="H751" s="0" t="inlineStr">
        <is>
          <t xml:space="preserve">supplier</t>
        </is>
      </c>
      <c r="I751" s="0" t="inlineStr">
        <is>
          <t xml:space="preserve">unbucketed</t>
        </is>
      </c>
      <c r="J751" s="0" t="inlineStr">
        <is>
          <t xml:space="preserve">residual</t>
        </is>
      </c>
      <c r="K751" s="5">
        <v>0</v>
      </c>
      <c r="L751" s="5">
        <v>0</v>
      </c>
      <c r="M751" s="5">
        <v>0.0</v>
      </c>
      <c r="N751" s="5">
        <v>0.0</v>
      </c>
      <c r="O751" s="5">
        <v>0.0</v>
      </c>
      <c r="P751" s="5">
        <v>0.0</v>
      </c>
      <c r="Q751" s="5">
        <v>0.0</v>
      </c>
    </row>
    <row r="752" outlineLevel="1">
      <c r="B752" s="0" t="inlineStr">
        <is>
          <t xml:space="preserve">DELTA INFORMATION SYSTEMS, INC.</t>
        </is>
      </c>
      <c r="C752" s="0" t="inlineStr">
        <is>
          <t xml:space="preserve">JKM7K2CCW6U9</t>
        </is>
      </c>
      <c r="D752" s="0" t="inlineStr">
        <is>
          <t xml:space="preserve">-</t>
        </is>
      </c>
      <c r="E752" s="0" t="inlineStr">
        <is>
          <t xml:space="preserve">-</t>
        </is>
      </c>
      <c r="F752" s="0" t="inlineStr">
        <is>
          <t xml:space="preserve">-</t>
        </is>
      </c>
      <c r="G752" s="5">
        <v>0.83202</v>
      </c>
      <c r="H752" s="0" t="inlineStr">
        <is>
          <t xml:space="preserve">supplier</t>
        </is>
      </c>
      <c r="I752" s="0" t="inlineStr">
        <is>
          <t xml:space="preserve">unbucketed</t>
        </is>
      </c>
      <c r="J752" s="0" t="inlineStr">
        <is>
          <t xml:space="preserve">residual</t>
        </is>
      </c>
      <c r="K752" s="5">
        <v>0</v>
      </c>
      <c r="L752" s="5">
        <v>0</v>
      </c>
      <c r="M752" s="5">
        <v>0.0</v>
      </c>
      <c r="N752" s="5">
        <v>0.0</v>
      </c>
      <c r="O752" s="5">
        <v>0.0</v>
      </c>
      <c r="P752" s="5">
        <v>0.0</v>
      </c>
      <c r="Q752" s="5">
        <v>0.0</v>
      </c>
    </row>
    <row r="753" outlineLevel="1">
      <c r="B753" s="0" t="inlineStr">
        <is>
          <t xml:space="preserve">EGAN CO</t>
        </is>
      </c>
      <c r="C753" s="0" t="inlineStr">
        <is>
          <t xml:space="preserve">QEYBH9QVNP23</t>
        </is>
      </c>
      <c r="D753" s="0" t="inlineStr">
        <is>
          <t xml:space="preserve">-</t>
        </is>
      </c>
      <c r="E753" s="0" t="inlineStr">
        <is>
          <t xml:space="preserve">-</t>
        </is>
      </c>
      <c r="F753" s="0" t="inlineStr">
        <is>
          <t xml:space="preserve">-</t>
        </is>
      </c>
      <c r="G753" s="5">
        <v>0.8315500000000001</v>
      </c>
      <c r="H753" s="0" t="inlineStr">
        <is>
          <t xml:space="preserve">supplier</t>
        </is>
      </c>
      <c r="I753" s="0" t="inlineStr">
        <is>
          <t xml:space="preserve">unbucketed</t>
        </is>
      </c>
      <c r="J753" s="0" t="inlineStr">
        <is>
          <t xml:space="preserve">residual</t>
        </is>
      </c>
      <c r="K753" s="5">
        <v>0</v>
      </c>
      <c r="L753" s="5">
        <v>0</v>
      </c>
      <c r="M753" s="5">
        <v>0.0</v>
      </c>
      <c r="N753" s="5">
        <v>0.0</v>
      </c>
      <c r="O753" s="5">
        <v>0.0</v>
      </c>
      <c r="P753" s="5">
        <v>0.0</v>
      </c>
      <c r="Q753" s="5">
        <v>0.0</v>
      </c>
    </row>
    <row r="754" outlineLevel="1">
      <c r="B754" s="0" t="inlineStr">
        <is>
          <t xml:space="preserve">RAYTHEON TECHNOLOGIES CORPORATION</t>
        </is>
      </c>
      <c r="C754" s="0" t="inlineStr">
        <is>
          <t xml:space="preserve">E6UBH1UE4UJ5</t>
        </is>
      </c>
      <c r="D754" s="0" t="inlineStr">
        <is>
          <t xml:space="preserve">-</t>
        </is>
      </c>
      <c r="E754" s="0" t="inlineStr">
        <is>
          <t xml:space="preserve">-</t>
        </is>
      </c>
      <c r="F754" s="0" t="inlineStr">
        <is>
          <t xml:space="preserve">-</t>
        </is>
      </c>
      <c r="G754" s="5">
        <v>0.8296195</v>
      </c>
      <c r="H754" s="0" t="inlineStr">
        <is>
          <t xml:space="preserve">gfe_mib</t>
        </is>
      </c>
      <c r="I754" s="0" t="inlineStr">
        <is>
          <t xml:space="preserve">-</t>
        </is>
      </c>
      <c r="J754" s="0" t="inlineStr">
        <is>
          <t xml:space="preserve">GFE/MIB name</t>
        </is>
      </c>
      <c r="K754" s="5">
        <v>0</v>
      </c>
      <c r="L754" s="5">
        <v>0</v>
      </c>
      <c r="M754" s="5">
        <v>0.0</v>
      </c>
      <c r="N754" s="5">
        <v>0.0</v>
      </c>
      <c r="O754" s="5">
        <v>0.0</v>
      </c>
      <c r="P754" s="5">
        <v>0.0</v>
      </c>
      <c r="Q754" s="5">
        <v>0.0</v>
      </c>
    </row>
    <row r="755" outlineLevel="1">
      <c r="B755" s="0" t="inlineStr">
        <is>
          <t xml:space="preserve">ORACLE AMERICA, INC.</t>
        </is>
      </c>
      <c r="C755" s="0" t="inlineStr">
        <is>
          <t xml:space="preserve">FKUCYGRK1EQ3</t>
        </is>
      </c>
      <c r="D755" s="0" t="inlineStr">
        <is>
          <t xml:space="preserve">-</t>
        </is>
      </c>
      <c r="E755" s="0" t="inlineStr">
        <is>
          <t xml:space="preserve">-</t>
        </is>
      </c>
      <c r="F755" s="0" t="inlineStr">
        <is>
          <t xml:space="preserve">-</t>
        </is>
      </c>
      <c r="G755" s="5">
        <v>0.82910256</v>
      </c>
      <c r="H755" s="0" t="inlineStr">
        <is>
          <t xml:space="preserve">supplier</t>
        </is>
      </c>
      <c r="I755" s="0" t="inlineStr">
        <is>
          <t xml:space="preserve">unbucketed</t>
        </is>
      </c>
      <c r="J755" s="0" t="inlineStr">
        <is>
          <t xml:space="preserve">residual</t>
        </is>
      </c>
      <c r="K755" s="5">
        <v>0</v>
      </c>
      <c r="L755" s="5">
        <v>0</v>
      </c>
      <c r="M755" s="5">
        <v>0.0</v>
      </c>
      <c r="N755" s="5">
        <v>0.0</v>
      </c>
      <c r="O755" s="5">
        <v>0.0</v>
      </c>
      <c r="P755" s="5">
        <v>0.0</v>
      </c>
      <c r="Q755" s="5">
        <v>0.0</v>
      </c>
    </row>
    <row r="756" outlineLevel="1">
      <c r="B756" s="0" t="inlineStr">
        <is>
          <t xml:space="preserve">RF1 HOLDING COMPANY</t>
        </is>
      </c>
      <c r="C756" s="0" t="inlineStr">
        <is>
          <t xml:space="preserve">LB6KV53CNB83</t>
        </is>
      </c>
      <c r="D756" s="0" t="inlineStr">
        <is>
          <t xml:space="preserve">-</t>
        </is>
      </c>
      <c r="E756" s="0" t="inlineStr">
        <is>
          <t xml:space="preserve">-</t>
        </is>
      </c>
      <c r="F756" s="0" t="inlineStr">
        <is>
          <t xml:space="preserve">-</t>
        </is>
      </c>
      <c r="G756" s="5">
        <v>0.82894901</v>
      </c>
      <c r="H756" s="0" t="inlineStr">
        <is>
          <t xml:space="preserve">supplier</t>
        </is>
      </c>
      <c r="I756" s="0" t="inlineStr">
        <is>
          <t xml:space="preserve">unbucketed</t>
        </is>
      </c>
      <c r="J756" s="0" t="inlineStr">
        <is>
          <t xml:space="preserve">residual</t>
        </is>
      </c>
      <c r="K756" s="5">
        <v>0</v>
      </c>
      <c r="L756" s="5">
        <v>0</v>
      </c>
      <c r="M756" s="5">
        <v>0.0</v>
      </c>
      <c r="N756" s="5">
        <v>0.0</v>
      </c>
      <c r="O756" s="5">
        <v>0.0</v>
      </c>
      <c r="P756" s="5">
        <v>0.0</v>
      </c>
      <c r="Q756" s="5">
        <v>0.0</v>
      </c>
    </row>
    <row r="757" outlineLevel="1">
      <c r="B757" s="0" t="inlineStr">
        <is>
          <t xml:space="preserve">MARTIN RESOURCE MANAGEMENT CORPORATION</t>
        </is>
      </c>
      <c r="C757" s="0" t="inlineStr">
        <is>
          <t xml:space="preserve">LCZDJ6YPNYG6</t>
        </is>
      </c>
      <c r="D757" s="0" t="inlineStr">
        <is>
          <t xml:space="preserve">-</t>
        </is>
      </c>
      <c r="E757" s="0" t="inlineStr">
        <is>
          <t xml:space="preserve">-</t>
        </is>
      </c>
      <c r="F757" s="0" t="inlineStr">
        <is>
          <t xml:space="preserve">-</t>
        </is>
      </c>
      <c r="G757" s="5">
        <v>0.8287296799999999</v>
      </c>
      <c r="H757" s="0" t="inlineStr">
        <is>
          <t xml:space="preserve">supplier</t>
        </is>
      </c>
      <c r="I757" s="0" t="inlineStr">
        <is>
          <t xml:space="preserve">unbucketed</t>
        </is>
      </c>
      <c r="J757" s="0" t="inlineStr">
        <is>
          <t xml:space="preserve">residual</t>
        </is>
      </c>
      <c r="K757" s="5">
        <v>0</v>
      </c>
      <c r="L757" s="5">
        <v>0</v>
      </c>
      <c r="M757" s="5">
        <v>0.8287296799999999</v>
      </c>
      <c r="N757" s="5">
        <v>0.0</v>
      </c>
      <c r="O757" s="5">
        <v>0.0</v>
      </c>
      <c r="P757" s="5">
        <v>0.0</v>
      </c>
      <c r="Q757" s="5">
        <v>0.0</v>
      </c>
    </row>
    <row r="758" outlineLevel="1">
      <c r="B758" s="0" t="inlineStr">
        <is>
          <t xml:space="preserve">TRANSDIGM GROUP INC</t>
        </is>
      </c>
      <c r="C758" s="0" t="inlineStr">
        <is>
          <t xml:space="preserve">KM3DGGLMA444</t>
        </is>
      </c>
      <c r="D758" s="0" t="inlineStr">
        <is>
          <t xml:space="preserve">-</t>
        </is>
      </c>
      <c r="E758" s="0" t="inlineStr">
        <is>
          <t xml:space="preserve">-</t>
        </is>
      </c>
      <c r="F758" s="0" t="inlineStr">
        <is>
          <t xml:space="preserve">-</t>
        </is>
      </c>
      <c r="G758" s="5">
        <v>0.82712</v>
      </c>
      <c r="H758" s="0" t="inlineStr">
        <is>
          <t xml:space="preserve">supplier</t>
        </is>
      </c>
      <c r="I758" s="0" t="inlineStr">
        <is>
          <t xml:space="preserve">unbucketed</t>
        </is>
      </c>
      <c r="J758" s="0" t="inlineStr">
        <is>
          <t xml:space="preserve">residual</t>
        </is>
      </c>
      <c r="K758" s="5">
        <v>0</v>
      </c>
      <c r="L758" s="5">
        <v>0</v>
      </c>
      <c r="M758" s="5">
        <v>0.0</v>
      </c>
      <c r="N758" s="5">
        <v>0.0</v>
      </c>
      <c r="O758" s="5">
        <v>0.0</v>
      </c>
      <c r="P758" s="5">
        <v>0.0</v>
      </c>
      <c r="Q758" s="5">
        <v>0.0</v>
      </c>
    </row>
    <row r="759" outlineLevel="1">
      <c r="B759" s="0" t="inlineStr">
        <is>
          <t xml:space="preserve">MEGATRAN INDUSTRIES</t>
        </is>
      </c>
      <c r="C759" s="0" t="inlineStr">
        <is>
          <t xml:space="preserve">FZTAC9UNKBN5</t>
        </is>
      </c>
      <c r="D759" s="0" t="inlineStr">
        <is>
          <t xml:space="preserve">-</t>
        </is>
      </c>
      <c r="E759" s="0" t="inlineStr">
        <is>
          <t xml:space="preserve">-</t>
        </is>
      </c>
      <c r="F759" s="0" t="inlineStr">
        <is>
          <t xml:space="preserve">-</t>
        </is>
      </c>
      <c r="G759" s="5">
        <v>0.827096</v>
      </c>
      <c r="H759" s="0" t="inlineStr">
        <is>
          <t xml:space="preserve">supplier</t>
        </is>
      </c>
      <c r="I759" s="0" t="inlineStr">
        <is>
          <t xml:space="preserve">unbucketed</t>
        </is>
      </c>
      <c r="J759" s="0" t="inlineStr">
        <is>
          <t xml:space="preserve">residual</t>
        </is>
      </c>
      <c r="K759" s="5">
        <v>0</v>
      </c>
      <c r="L759" s="5">
        <v>0</v>
      </c>
      <c r="M759" s="5">
        <v>0.0</v>
      </c>
      <c r="N759" s="5">
        <v>0.0</v>
      </c>
      <c r="O759" s="5">
        <v>0.0</v>
      </c>
      <c r="P759" s="5">
        <v>0.0</v>
      </c>
      <c r="Q759" s="5">
        <v>0.0</v>
      </c>
    </row>
    <row r="760" outlineLevel="1">
      <c r="B760" s="0" t="inlineStr">
        <is>
          <t xml:space="preserve">APPLIED INDUSTRIAL TECHNOLOGIES, INC.</t>
        </is>
      </c>
      <c r="C760" s="0" t="inlineStr">
        <is>
          <t xml:space="preserve">KRMKXJUL6D18</t>
        </is>
      </c>
      <c r="D760" s="0" t="inlineStr">
        <is>
          <t xml:space="preserve">-</t>
        </is>
      </c>
      <c r="E760" s="0" t="inlineStr">
        <is>
          <t xml:space="preserve">-</t>
        </is>
      </c>
      <c r="F760" s="0" t="inlineStr">
        <is>
          <t xml:space="preserve">-</t>
        </is>
      </c>
      <c r="G760" s="5">
        <v>0.82281844</v>
      </c>
      <c r="H760" s="0" t="inlineStr">
        <is>
          <t xml:space="preserve">supplier</t>
        </is>
      </c>
      <c r="I760" s="0" t="inlineStr">
        <is>
          <t xml:space="preserve">unbucketed</t>
        </is>
      </c>
      <c r="J760" s="0" t="inlineStr">
        <is>
          <t xml:space="preserve">residual</t>
        </is>
      </c>
      <c r="K760" s="5">
        <v>0</v>
      </c>
      <c r="L760" s="5">
        <v>0</v>
      </c>
      <c r="M760" s="5">
        <v>0.0</v>
      </c>
      <c r="N760" s="5">
        <v>0.0</v>
      </c>
      <c r="O760" s="5">
        <v>0.0</v>
      </c>
      <c r="P760" s="5">
        <v>0.0</v>
      </c>
      <c r="Q760" s="5">
        <v>0.0</v>
      </c>
    </row>
    <row r="761" outlineLevel="1">
      <c r="B761" s="0" t="inlineStr">
        <is>
          <t xml:space="preserve">AMETEK INC</t>
        </is>
      </c>
      <c r="C761" s="0" t="inlineStr">
        <is>
          <t xml:space="preserve">NJ2XXKQ6M8K3</t>
        </is>
      </c>
      <c r="D761" s="0" t="inlineStr">
        <is>
          <t xml:space="preserve">USA</t>
        </is>
      </c>
      <c r="E761" s="0" t="inlineStr">
        <is>
          <t xml:space="preserve">3359</t>
        </is>
      </c>
      <c r="F761" s="0" t="inlineStr">
        <is>
          <t xml:space="preserve">All Other Miscellaneous Electrical Equipment and Component Manufacturing</t>
        </is>
      </c>
      <c r="G761" s="5">
        <v>0.82066675</v>
      </c>
      <c r="H761" s="0" t="inlineStr">
        <is>
          <t xml:space="preserve">supplier</t>
        </is>
      </c>
      <c r="I761" s="0" t="inlineStr">
        <is>
          <t xml:space="preserve">electrical</t>
        </is>
      </c>
      <c r="J761" s="0" t="inlineStr">
        <is>
          <t xml:space="preserve">naics4</t>
        </is>
      </c>
      <c r="K761" s="5">
        <v>0</v>
      </c>
      <c r="L761" s="5">
        <v>0</v>
      </c>
      <c r="M761" s="5">
        <v>0.0</v>
      </c>
      <c r="N761" s="5">
        <v>0.0</v>
      </c>
      <c r="O761" s="5">
        <v>0.0</v>
      </c>
      <c r="P761" s="5">
        <v>0.0</v>
      </c>
      <c r="Q761" s="5">
        <v>0.0</v>
      </c>
    </row>
    <row r="762" outlineLevel="1">
      <c r="B762" s="0" t="inlineStr">
        <is>
          <t xml:space="preserve">CAMERON ENERGY SERVICES CORP.</t>
        </is>
      </c>
      <c r="C762" s="0" t="inlineStr">
        <is>
          <t xml:space="preserve">C1NAJQ34VWM5</t>
        </is>
      </c>
      <c r="D762" s="0" t="inlineStr">
        <is>
          <t xml:space="preserve">-</t>
        </is>
      </c>
      <c r="E762" s="0" t="inlineStr">
        <is>
          <t xml:space="preserve">-</t>
        </is>
      </c>
      <c r="F762" s="0" t="inlineStr">
        <is>
          <t xml:space="preserve">-</t>
        </is>
      </c>
      <c r="G762" s="5">
        <v>0.8201291099999999</v>
      </c>
      <c r="H762" s="0" t="inlineStr">
        <is>
          <t xml:space="preserve">supplier</t>
        </is>
      </c>
      <c r="I762" s="0" t="inlineStr">
        <is>
          <t xml:space="preserve">unbucketed</t>
        </is>
      </c>
      <c r="J762" s="0" t="inlineStr">
        <is>
          <t xml:space="preserve">residual</t>
        </is>
      </c>
      <c r="K762" s="5">
        <v>0</v>
      </c>
      <c r="L762" s="5">
        <v>0</v>
      </c>
      <c r="M762" s="5">
        <v>0.8201291099999999</v>
      </c>
      <c r="N762" s="5">
        <v>0.0</v>
      </c>
      <c r="O762" s="5">
        <v>0.22206410999999998</v>
      </c>
      <c r="P762" s="5">
        <v>0.0</v>
      </c>
      <c r="Q762" s="5">
        <v>0.598065</v>
      </c>
    </row>
    <row r="763" outlineLevel="1">
      <c r="B763" s="0" t="inlineStr">
        <is>
          <t xml:space="preserve">INERTIA SWITCH, INC.</t>
        </is>
      </c>
      <c r="C763" s="0" t="inlineStr">
        <is>
          <t xml:space="preserve">EWZBB5D1RFQ8</t>
        </is>
      </c>
      <c r="D763" s="0" t="inlineStr">
        <is>
          <t xml:space="preserve">-</t>
        </is>
      </c>
      <c r="E763" s="0" t="inlineStr">
        <is>
          <t xml:space="preserve">-</t>
        </is>
      </c>
      <c r="F763" s="0" t="inlineStr">
        <is>
          <t xml:space="preserve">-</t>
        </is>
      </c>
      <c r="G763" s="5">
        <v>0.81834137</v>
      </c>
      <c r="H763" s="0" t="inlineStr">
        <is>
          <t xml:space="preserve">supplier</t>
        </is>
      </c>
      <c r="I763" s="0" t="inlineStr">
        <is>
          <t xml:space="preserve">unbucketed</t>
        </is>
      </c>
      <c r="J763" s="0" t="inlineStr">
        <is>
          <t xml:space="preserve">residual</t>
        </is>
      </c>
      <c r="K763" s="5">
        <v>0</v>
      </c>
      <c r="L763" s="5">
        <v>0</v>
      </c>
      <c r="M763" s="5">
        <v>0.0</v>
      </c>
      <c r="N763" s="5">
        <v>0.0</v>
      </c>
      <c r="O763" s="5">
        <v>0.0</v>
      </c>
      <c r="P763" s="5">
        <v>0.0</v>
      </c>
      <c r="Q763" s="5">
        <v>0.0</v>
      </c>
    </row>
    <row r="764" outlineLevel="1">
      <c r="B764" s="0" t="inlineStr">
        <is>
          <t xml:space="preserve">SEA WIRE &amp; CABLE INC</t>
        </is>
      </c>
      <c r="C764" s="0" t="inlineStr">
        <is>
          <t xml:space="preserve">FMMAEB6M4C29</t>
        </is>
      </c>
      <c r="D764" s="0" t="inlineStr">
        <is>
          <t xml:space="preserve">-</t>
        </is>
      </c>
      <c r="E764" s="0" t="inlineStr">
        <is>
          <t xml:space="preserve">-</t>
        </is>
      </c>
      <c r="F764" s="0" t="inlineStr">
        <is>
          <t xml:space="preserve">-</t>
        </is>
      </c>
      <c r="G764" s="5">
        <v>0.8179643</v>
      </c>
      <c r="H764" s="0" t="inlineStr">
        <is>
          <t xml:space="preserve">supplier</t>
        </is>
      </c>
      <c r="I764" s="0" t="inlineStr">
        <is>
          <t xml:space="preserve">unbucketed</t>
        </is>
      </c>
      <c r="J764" s="0" t="inlineStr">
        <is>
          <t xml:space="preserve">residual</t>
        </is>
      </c>
      <c r="K764" s="5">
        <v>0</v>
      </c>
      <c r="L764" s="5">
        <v>0</v>
      </c>
      <c r="M764" s="5">
        <v>0.0</v>
      </c>
      <c r="N764" s="5">
        <v>0.0</v>
      </c>
      <c r="O764" s="5">
        <v>0.0</v>
      </c>
      <c r="P764" s="5">
        <v>0.0</v>
      </c>
      <c r="Q764" s="5">
        <v>0.0</v>
      </c>
    </row>
    <row r="765" outlineLevel="1">
      <c r="B765" s="0" t="inlineStr">
        <is>
          <t xml:space="preserve">POWELL ELECTRONICS, INC.</t>
        </is>
      </c>
      <c r="C765" s="0" t="inlineStr">
        <is>
          <t xml:space="preserve">M2XAYNY2P889</t>
        </is>
      </c>
      <c r="D765" s="0" t="inlineStr">
        <is>
          <t xml:space="preserve">-</t>
        </is>
      </c>
      <c r="E765" s="0" t="inlineStr">
        <is>
          <t xml:space="preserve">-</t>
        </is>
      </c>
      <c r="F765" s="0" t="inlineStr">
        <is>
          <t xml:space="preserve">-</t>
        </is>
      </c>
      <c r="G765" s="5">
        <v>0.81486587</v>
      </c>
      <c r="H765" s="0" t="inlineStr">
        <is>
          <t xml:space="preserve">supplier</t>
        </is>
      </c>
      <c r="I765" s="0" t="inlineStr">
        <is>
          <t xml:space="preserve">unbucketed</t>
        </is>
      </c>
      <c r="J765" s="0" t="inlineStr">
        <is>
          <t xml:space="preserve">residual</t>
        </is>
      </c>
      <c r="K765" s="5">
        <v>0</v>
      </c>
      <c r="L765" s="5">
        <v>0</v>
      </c>
      <c r="M765" s="5">
        <v>0.18753041999999998</v>
      </c>
      <c r="N765" s="5">
        <v>0.08384741999999999</v>
      </c>
      <c r="O765" s="5">
        <v>0.0</v>
      </c>
      <c r="P765" s="5">
        <v>0.103683</v>
      </c>
      <c r="Q765" s="5">
        <v>0.0</v>
      </c>
    </row>
    <row r="766" outlineLevel="1">
      <c r="B766" s="0" t="inlineStr">
        <is>
          <t xml:space="preserve">GENERAL MARINE PRODUCTS, INC.</t>
        </is>
      </c>
      <c r="C766" s="0" t="inlineStr">
        <is>
          <t xml:space="preserve">C7QXDAE2EUN1</t>
        </is>
      </c>
      <c r="D766" s="0" t="inlineStr">
        <is>
          <t xml:space="preserve">-</t>
        </is>
      </c>
      <c r="E766" s="0" t="inlineStr">
        <is>
          <t xml:space="preserve">-</t>
        </is>
      </c>
      <c r="F766" s="0" t="inlineStr">
        <is>
          <t xml:space="preserve">-</t>
        </is>
      </c>
      <c r="G766" s="5">
        <v>0.8138399999999999</v>
      </c>
      <c r="H766" s="0" t="inlineStr">
        <is>
          <t xml:space="preserve">supplier</t>
        </is>
      </c>
      <c r="I766" s="0" t="inlineStr">
        <is>
          <t xml:space="preserve">unbucketed</t>
        </is>
      </c>
      <c r="J766" s="0" t="inlineStr">
        <is>
          <t xml:space="preserve">residual</t>
        </is>
      </c>
      <c r="K766" s="5">
        <v>0</v>
      </c>
      <c r="L766" s="5">
        <v>0</v>
      </c>
      <c r="M766" s="5">
        <v>0.8138399999999999</v>
      </c>
      <c r="N766" s="5">
        <v>0.0504</v>
      </c>
      <c r="O766" s="5">
        <v>0.21203999999999998</v>
      </c>
      <c r="P766" s="5">
        <v>0.5514</v>
      </c>
      <c r="Q766" s="5">
        <v>0.0</v>
      </c>
    </row>
    <row r="767" outlineLevel="1">
      <c r="B767" s="0" t="inlineStr">
        <is>
          <t xml:space="preserve">JACKSONVILLE PORT AUTHORITY (INC)</t>
        </is>
      </c>
      <c r="C767" s="0" t="inlineStr">
        <is>
          <t xml:space="preserve">WFPRH5GHJLF8</t>
        </is>
      </c>
      <c r="D767" s="0" t="inlineStr">
        <is>
          <t xml:space="preserve">-</t>
        </is>
      </c>
      <c r="E767" s="0" t="inlineStr">
        <is>
          <t xml:space="preserve">-</t>
        </is>
      </c>
      <c r="F767" s="0" t="inlineStr">
        <is>
          <t xml:space="preserve">-</t>
        </is>
      </c>
      <c r="G767" s="5">
        <v>0.8134</v>
      </c>
      <c r="H767" s="0" t="inlineStr">
        <is>
          <t xml:space="preserve">supplier</t>
        </is>
      </c>
      <c r="I767" s="0" t="inlineStr">
        <is>
          <t xml:space="preserve">unbucketed</t>
        </is>
      </c>
      <c r="J767" s="0" t="inlineStr">
        <is>
          <t xml:space="preserve">residual</t>
        </is>
      </c>
      <c r="K767" s="5">
        <v>0</v>
      </c>
      <c r="L767" s="5">
        <v>0</v>
      </c>
      <c r="M767" s="5">
        <v>0.0</v>
      </c>
      <c r="N767" s="5">
        <v>0.0</v>
      </c>
      <c r="O767" s="5">
        <v>0.0</v>
      </c>
      <c r="P767" s="5">
        <v>0.0</v>
      </c>
      <c r="Q767" s="5">
        <v>0.0</v>
      </c>
    </row>
    <row r="768" outlineLevel="1">
      <c r="B768" s="0" t="inlineStr">
        <is>
          <t xml:space="preserve">FLUIDRA, SA</t>
        </is>
      </c>
      <c r="C768" s="0" t="inlineStr">
        <is>
          <t xml:space="preserve">N6P1AGPMV456</t>
        </is>
      </c>
      <c r="D768" s="0" t="inlineStr">
        <is>
          <t xml:space="preserve">-</t>
        </is>
      </c>
      <c r="E768" s="0" t="inlineStr">
        <is>
          <t xml:space="preserve">-</t>
        </is>
      </c>
      <c r="F768" s="0" t="inlineStr">
        <is>
          <t xml:space="preserve">-</t>
        </is>
      </c>
      <c r="G768" s="5">
        <v>0.8102958499999999</v>
      </c>
      <c r="H768" s="0" t="inlineStr">
        <is>
          <t xml:space="preserve">supplier</t>
        </is>
      </c>
      <c r="I768" s="0" t="inlineStr">
        <is>
          <t xml:space="preserve">piping</t>
        </is>
      </c>
      <c r="J768" s="0" t="inlineStr">
        <is>
          <t xml:space="preserve">registry</t>
        </is>
      </c>
      <c r="K768" s="5">
        <v>0</v>
      </c>
      <c r="L768" s="5">
        <v>0</v>
      </c>
      <c r="M768" s="5">
        <v>0.8102958499999999</v>
      </c>
      <c r="N768" s="5">
        <v>0.0</v>
      </c>
      <c r="O768" s="5">
        <v>0.0</v>
      </c>
      <c r="P768" s="5">
        <v>0.0</v>
      </c>
      <c r="Q768" s="5">
        <v>0.0</v>
      </c>
    </row>
    <row r="769" outlineLevel="1">
      <c r="B769" s="0" t="inlineStr">
        <is>
          <t xml:space="preserve">MERCURY SYSTEMS, INC.</t>
        </is>
      </c>
      <c r="C769" s="0" t="inlineStr">
        <is>
          <t xml:space="preserve">Q9D3LSUU5BN6</t>
        </is>
      </c>
      <c r="D769" s="0" t="inlineStr">
        <is>
          <t xml:space="preserve">USA</t>
        </is>
      </c>
      <c r="E769" s="0" t="inlineStr">
        <is>
          <t xml:space="preserve">3341</t>
        </is>
      </c>
      <c r="F769" s="0" t="inlineStr">
        <is>
          <t xml:space="preserve">Electronic Computer Manufacturing</t>
        </is>
      </c>
      <c r="G769" s="5">
        <v>0.8077867099999999</v>
      </c>
      <c r="H769" s="0" t="inlineStr">
        <is>
          <t xml:space="preserve">mission_systems</t>
        </is>
      </c>
      <c r="I769" s="0" t="inlineStr">
        <is>
          <t xml:space="preserve">-</t>
        </is>
      </c>
      <c r="J769" s="0" t="inlineStr">
        <is>
          <t xml:space="preserve">registry</t>
        </is>
      </c>
      <c r="K769" s="5">
        <v>0</v>
      </c>
      <c r="L769" s="5">
        <v>0</v>
      </c>
      <c r="M769" s="5">
        <v>0.0</v>
      </c>
      <c r="N769" s="5">
        <v>0.0</v>
      </c>
      <c r="O769" s="5">
        <v>0.0</v>
      </c>
      <c r="P769" s="5">
        <v>0.0</v>
      </c>
      <c r="Q769" s="5">
        <v>0.0</v>
      </c>
    </row>
    <row r="770" outlineLevel="1">
      <c r="B770" s="0" t="inlineStr">
        <is>
          <t xml:space="preserve">WOOLF AIRCRAFT PRODUCTS, INC.</t>
        </is>
      </c>
      <c r="C770" s="0" t="inlineStr">
        <is>
          <t xml:space="preserve">DUBENSKH21G8</t>
        </is>
      </c>
      <c r="D770" s="0" t="inlineStr">
        <is>
          <t xml:space="preserve">-</t>
        </is>
      </c>
      <c r="E770" s="0" t="inlineStr">
        <is>
          <t xml:space="preserve">-</t>
        </is>
      </c>
      <c r="F770" s="0" t="inlineStr">
        <is>
          <t xml:space="preserve">-</t>
        </is>
      </c>
      <c r="G770" s="5">
        <v>0.801037</v>
      </c>
      <c r="H770" s="0" t="inlineStr">
        <is>
          <t xml:space="preserve">supplier</t>
        </is>
      </c>
      <c r="I770" s="0" t="inlineStr">
        <is>
          <t xml:space="preserve">unbucketed</t>
        </is>
      </c>
      <c r="J770" s="0" t="inlineStr">
        <is>
          <t xml:space="preserve">residual</t>
        </is>
      </c>
      <c r="K770" s="5">
        <v>0</v>
      </c>
      <c r="L770" s="5">
        <v>0</v>
      </c>
      <c r="M770" s="5">
        <v>0.0</v>
      </c>
      <c r="N770" s="5">
        <v>0.0</v>
      </c>
      <c r="O770" s="5">
        <v>0.0</v>
      </c>
      <c r="P770" s="5">
        <v>0.0</v>
      </c>
      <c r="Q770" s="5">
        <v>0.0</v>
      </c>
    </row>
    <row r="771" outlineLevel="1">
      <c r="B771" s="0" t="inlineStr">
        <is>
          <t xml:space="preserve">ATI INC</t>
        </is>
      </c>
      <c r="C771" s="0" t="inlineStr">
        <is>
          <t xml:space="preserve">SUMZXN4S64L7</t>
        </is>
      </c>
      <c r="D771" s="0" t="inlineStr">
        <is>
          <t xml:space="preserve">-</t>
        </is>
      </c>
      <c r="E771" s="0" t="inlineStr">
        <is>
          <t xml:space="preserve">-</t>
        </is>
      </c>
      <c r="F771" s="0" t="inlineStr">
        <is>
          <t xml:space="preserve">-</t>
        </is>
      </c>
      <c r="G771" s="5">
        <v>0.799137</v>
      </c>
      <c r="H771" s="0" t="inlineStr">
        <is>
          <t xml:space="preserve">supplier</t>
        </is>
      </c>
      <c r="I771" s="0" t="inlineStr">
        <is>
          <t xml:space="preserve">unbucketed</t>
        </is>
      </c>
      <c r="J771" s="0" t="inlineStr">
        <is>
          <t xml:space="preserve">residual</t>
        </is>
      </c>
      <c r="K771" s="5">
        <v>0</v>
      </c>
      <c r="L771" s="5">
        <v>0</v>
      </c>
      <c r="M771" s="5">
        <v>0.0</v>
      </c>
      <c r="N771" s="5">
        <v>0.0</v>
      </c>
      <c r="O771" s="5">
        <v>0.0</v>
      </c>
      <c r="P771" s="5">
        <v>0.0</v>
      </c>
      <c r="Q771" s="5">
        <v>0.0</v>
      </c>
    </row>
    <row r="772" outlineLevel="1">
      <c r="B772" s="0" t="inlineStr">
        <is>
          <t xml:space="preserve">PEMCO-NAVAL ENGINEERING WORKS, INC.</t>
        </is>
      </c>
      <c r="C772" s="0" t="inlineStr">
        <is>
          <t xml:space="preserve">JGNYLKEPEBL4</t>
        </is>
      </c>
      <c r="D772" s="0" t="inlineStr">
        <is>
          <t xml:space="preserve">-</t>
        </is>
      </c>
      <c r="E772" s="0" t="inlineStr">
        <is>
          <t xml:space="preserve">-</t>
        </is>
      </c>
      <c r="F772" s="0" t="inlineStr">
        <is>
          <t xml:space="preserve">-</t>
        </is>
      </c>
      <c r="G772" s="5">
        <v>0.7980108400000001</v>
      </c>
      <c r="H772" s="0" t="inlineStr">
        <is>
          <t xml:space="preserve">supplier</t>
        </is>
      </c>
      <c r="I772" s="0" t="inlineStr">
        <is>
          <t xml:space="preserve">unbucketed</t>
        </is>
      </c>
      <c r="J772" s="0" t="inlineStr">
        <is>
          <t xml:space="preserve">residual</t>
        </is>
      </c>
      <c r="K772" s="5">
        <v>0</v>
      </c>
      <c r="L772" s="5">
        <v>0</v>
      </c>
      <c r="M772" s="5">
        <v>0.7980108400000001</v>
      </c>
      <c r="N772" s="5">
        <v>0.233819</v>
      </c>
      <c r="O772" s="5">
        <v>0.052263</v>
      </c>
      <c r="P772" s="5">
        <v>0.09226000000000001</v>
      </c>
      <c r="Q772" s="5">
        <v>0.0</v>
      </c>
    </row>
    <row r="773" outlineLevel="1">
      <c r="B773" s="0" t="inlineStr">
        <is>
          <t xml:space="preserve">LEONARDO SPA</t>
        </is>
      </c>
      <c r="C773" s="0" t="inlineStr">
        <is>
          <t xml:space="preserve">NL7RNBHWHJQ1</t>
        </is>
      </c>
      <c r="D773" s="0" t="inlineStr">
        <is>
          <t xml:space="preserve">ITA</t>
        </is>
      </c>
      <c r="E773" s="0" t="inlineStr">
        <is>
          <t xml:space="preserve">3364</t>
        </is>
      </c>
      <c r="F773" s="0" t="inlineStr">
        <is>
          <t xml:space="preserve">Aircraft Manufacturing</t>
        </is>
      </c>
      <c r="G773" s="5">
        <v>0.79419257</v>
      </c>
      <c r="H773" s="0" t="inlineStr">
        <is>
          <t xml:space="preserve">supplier</t>
        </is>
      </c>
      <c r="I773" s="0" t="inlineStr">
        <is>
          <t xml:space="preserve">unbucketed</t>
        </is>
      </c>
      <c r="J773" s="0" t="inlineStr">
        <is>
          <t xml:space="preserve">residual</t>
        </is>
      </c>
      <c r="K773" s="5">
        <v>0</v>
      </c>
      <c r="L773" s="5">
        <v>0</v>
      </c>
      <c r="M773" s="5">
        <v>0.79419257</v>
      </c>
      <c r="N773" s="5">
        <v>0.324174</v>
      </c>
      <c r="O773" s="5">
        <v>0.16787215</v>
      </c>
      <c r="P773" s="5">
        <v>0.0</v>
      </c>
      <c r="Q773" s="5">
        <v>0.0</v>
      </c>
    </row>
    <row r="774" outlineLevel="1">
      <c r="B774" s="0" t="inlineStr">
        <is>
          <t xml:space="preserve">APPLIED POWER PRODUCTS INC</t>
        </is>
      </c>
      <c r="C774" s="0" t="inlineStr">
        <is>
          <t xml:space="preserve">YE33G9AY9DB8</t>
        </is>
      </c>
      <c r="D774" s="0" t="inlineStr">
        <is>
          <t xml:space="preserve">-</t>
        </is>
      </c>
      <c r="E774" s="0" t="inlineStr">
        <is>
          <t xml:space="preserve">-</t>
        </is>
      </c>
      <c r="F774" s="0" t="inlineStr">
        <is>
          <t xml:space="preserve">-</t>
        </is>
      </c>
      <c r="G774" s="5">
        <v>0.791924</v>
      </c>
      <c r="H774" s="0" t="inlineStr">
        <is>
          <t xml:space="preserve">supplier</t>
        </is>
      </c>
      <c r="I774" s="0" t="inlineStr">
        <is>
          <t xml:space="preserve">unbucketed</t>
        </is>
      </c>
      <c r="J774" s="0" t="inlineStr">
        <is>
          <t xml:space="preserve">residual</t>
        </is>
      </c>
      <c r="K774" s="5">
        <v>0</v>
      </c>
      <c r="L774" s="5">
        <v>0</v>
      </c>
      <c r="M774" s="5">
        <v>0.0</v>
      </c>
      <c r="N774" s="5">
        <v>0.0</v>
      </c>
      <c r="O774" s="5">
        <v>0.0</v>
      </c>
      <c r="P774" s="5">
        <v>0.0</v>
      </c>
      <c r="Q774" s="5">
        <v>0.0</v>
      </c>
    </row>
    <row r="775" outlineLevel="1">
      <c r="B775" s="0" t="inlineStr">
        <is>
          <t xml:space="preserve">GENERAL DYNAMICS ORDNANCE AND TACTICAL SYSTEMS, INC.</t>
        </is>
      </c>
      <c r="C775" s="0" t="inlineStr">
        <is>
          <t xml:space="preserve">XXCBWV23HC89</t>
        </is>
      </c>
      <c r="D775" s="0" t="inlineStr">
        <is>
          <t xml:space="preserve">-</t>
        </is>
      </c>
      <c r="E775" s="0" t="inlineStr">
        <is>
          <t xml:space="preserve">-</t>
        </is>
      </c>
      <c r="F775" s="0" t="inlineStr">
        <is>
          <t xml:space="preserve">-</t>
        </is>
      </c>
      <c r="G775" s="5">
        <v>0.7895840299999999</v>
      </c>
      <c r="H775" s="0" t="inlineStr">
        <is>
          <t xml:space="preserve">prime</t>
        </is>
      </c>
      <c r="I775" s="0" t="inlineStr">
        <is>
          <t xml:space="preserve">-</t>
        </is>
      </c>
      <c r="J775" s="0" t="inlineStr">
        <is>
          <t xml:space="preserve">prime/co-prime name</t>
        </is>
      </c>
      <c r="K775" s="5">
        <v>0</v>
      </c>
      <c r="L775" s="5">
        <v>0</v>
      </c>
      <c r="M775" s="5">
        <v>0.0</v>
      </c>
      <c r="N775" s="5">
        <v>0.0</v>
      </c>
      <c r="O775" s="5">
        <v>0.0</v>
      </c>
      <c r="P775" s="5">
        <v>0.0</v>
      </c>
      <c r="Q775" s="5">
        <v>0.0</v>
      </c>
    </row>
    <row r="776" outlineLevel="1">
      <c r="B776" s="0" t="inlineStr">
        <is>
          <t xml:space="preserve">AMP UNITED LLC</t>
        </is>
      </c>
      <c r="C776" s="0" t="inlineStr">
        <is>
          <t xml:space="preserve">JCZMSDNMSW57</t>
        </is>
      </c>
      <c r="D776" s="0" t="inlineStr">
        <is>
          <t xml:space="preserve">-</t>
        </is>
      </c>
      <c r="E776" s="0" t="inlineStr">
        <is>
          <t xml:space="preserve">-</t>
        </is>
      </c>
      <c r="F776" s="0" t="inlineStr">
        <is>
          <t xml:space="preserve">-</t>
        </is>
      </c>
      <c r="G776" s="5">
        <v>0.7883780000000001</v>
      </c>
      <c r="H776" s="0" t="inlineStr">
        <is>
          <t xml:space="preserve">supplier</t>
        </is>
      </c>
      <c r="I776" s="0" t="inlineStr">
        <is>
          <t xml:space="preserve">unbucketed</t>
        </is>
      </c>
      <c r="J776" s="0" t="inlineStr">
        <is>
          <t xml:space="preserve">residual</t>
        </is>
      </c>
      <c r="K776" s="5">
        <v>0</v>
      </c>
      <c r="L776" s="5">
        <v>0</v>
      </c>
      <c r="M776" s="5">
        <v>0.0</v>
      </c>
      <c r="N776" s="5">
        <v>0.0</v>
      </c>
      <c r="O776" s="5">
        <v>0.0</v>
      </c>
      <c r="P776" s="5">
        <v>0.0</v>
      </c>
      <c r="Q776" s="5">
        <v>0.0</v>
      </c>
    </row>
    <row r="777" outlineLevel="1">
      <c r="B777" s="0" t="inlineStr">
        <is>
          <t xml:space="preserve">BERKSHIRE HATHAWAY INC.</t>
        </is>
      </c>
      <c r="C777" s="0" t="inlineStr">
        <is>
          <t xml:space="preserve">YX32XDK3NWQ8</t>
        </is>
      </c>
      <c r="D777" s="0" t="inlineStr">
        <is>
          <t xml:space="preserve">USA</t>
        </is>
      </c>
      <c r="E777" s="0" t="inlineStr">
        <is>
          <t xml:space="preserve">5511</t>
        </is>
      </c>
      <c r="F777" s="0" t="inlineStr">
        <is>
          <t xml:space="preserve">Offices of Other Holding Companies</t>
        </is>
      </c>
      <c r="G777" s="5">
        <v>0.787161</v>
      </c>
      <c r="H777" s="0" t="inlineStr">
        <is>
          <t xml:space="preserve">holding</t>
        </is>
      </c>
      <c r="I777" s="0" t="inlineStr">
        <is>
          <t xml:space="preserve">-</t>
        </is>
      </c>
      <c r="J777" s="0" t="inlineStr">
        <is>
          <t xml:space="preserve">holding-co (5511)</t>
        </is>
      </c>
      <c r="K777" s="5">
        <v>0</v>
      </c>
      <c r="L777" s="5">
        <v>0</v>
      </c>
      <c r="M777" s="5">
        <v>0.0</v>
      </c>
      <c r="N777" s="5">
        <v>0.0</v>
      </c>
      <c r="O777" s="5">
        <v>0.0</v>
      </c>
      <c r="P777" s="5">
        <v>0.0</v>
      </c>
      <c r="Q777" s="5">
        <v>0.0</v>
      </c>
    </row>
    <row r="778" outlineLevel="1">
      <c r="B778" s="0" t="inlineStr">
        <is>
          <t xml:space="preserve">SUPERIOR MOTION CONTROLS, INC.</t>
        </is>
      </c>
      <c r="C778" s="0" t="inlineStr">
        <is>
          <t xml:space="preserve">E582KXT4RVH6</t>
        </is>
      </c>
      <c r="D778" s="0" t="inlineStr">
        <is>
          <t xml:space="preserve">USA</t>
        </is>
      </c>
      <c r="E778" s="0" t="inlineStr">
        <is>
          <t xml:space="preserve">3327</t>
        </is>
      </c>
      <c r="F778" s="0" t="inlineStr">
        <is>
          <t xml:space="preserve">Machine Shops</t>
        </is>
      </c>
      <c r="G778" s="5">
        <v>0.78440128</v>
      </c>
      <c r="H778" s="0" t="inlineStr">
        <is>
          <t xml:space="preserve">supplier</t>
        </is>
      </c>
      <c r="I778" s="0" t="inlineStr">
        <is>
          <t xml:space="preserve">machining</t>
        </is>
      </c>
      <c r="J778" s="0" t="inlineStr">
        <is>
          <t xml:space="preserve">registry</t>
        </is>
      </c>
      <c r="K778" s="5">
        <v>0</v>
      </c>
      <c r="L778" s="5">
        <v>0</v>
      </c>
      <c r="M778" s="5">
        <v>0.0</v>
      </c>
      <c r="N778" s="5">
        <v>0.0</v>
      </c>
      <c r="O778" s="5">
        <v>0.0</v>
      </c>
      <c r="P778" s="5">
        <v>0.0</v>
      </c>
      <c r="Q778" s="5">
        <v>0.0</v>
      </c>
    </row>
    <row r="779" outlineLevel="1">
      <c r="B779" s="0" t="inlineStr">
        <is>
          <t xml:space="preserve">ADI AMERICAN DISTRIBUTORS, LLC</t>
        </is>
      </c>
      <c r="C779" s="0" t="inlineStr">
        <is>
          <t xml:space="preserve">UFLRAY4MM7U1</t>
        </is>
      </c>
      <c r="D779" s="0" t="inlineStr">
        <is>
          <t xml:space="preserve">-</t>
        </is>
      </c>
      <c r="E779" s="0" t="inlineStr">
        <is>
          <t xml:space="preserve">-</t>
        </is>
      </c>
      <c r="F779" s="0" t="inlineStr">
        <is>
          <t xml:space="preserve">-</t>
        </is>
      </c>
      <c r="G779" s="5">
        <v>0.7773851599999998</v>
      </c>
      <c r="H779" s="0" t="inlineStr">
        <is>
          <t xml:space="preserve">supplier</t>
        </is>
      </c>
      <c r="I779" s="0" t="inlineStr">
        <is>
          <t xml:space="preserve">unbucketed</t>
        </is>
      </c>
      <c r="J779" s="0" t="inlineStr">
        <is>
          <t xml:space="preserve">residual</t>
        </is>
      </c>
      <c r="K779" s="5">
        <v>0</v>
      </c>
      <c r="L779" s="5">
        <v>0</v>
      </c>
      <c r="M779" s="5">
        <v>0.0</v>
      </c>
      <c r="N779" s="5">
        <v>0.0</v>
      </c>
      <c r="O779" s="5">
        <v>0.0</v>
      </c>
      <c r="P779" s="5">
        <v>0.0</v>
      </c>
      <c r="Q779" s="5">
        <v>0.0</v>
      </c>
    </row>
    <row r="780" outlineLevel="1">
      <c r="B780" s="0" t="inlineStr">
        <is>
          <t xml:space="preserve">HI-REL PRODUCTS, LLC</t>
        </is>
      </c>
      <c r="C780" s="0" t="inlineStr">
        <is>
          <t xml:space="preserve">UJL7ULNK2K94</t>
        </is>
      </c>
      <c r="D780" s="0" t="inlineStr">
        <is>
          <t xml:space="preserve">-</t>
        </is>
      </c>
      <c r="E780" s="0" t="inlineStr">
        <is>
          <t xml:space="preserve">-</t>
        </is>
      </c>
      <c r="F780" s="0" t="inlineStr">
        <is>
          <t xml:space="preserve">-</t>
        </is>
      </c>
      <c r="G780" s="5">
        <v>0.776466</v>
      </c>
      <c r="H780" s="0" t="inlineStr">
        <is>
          <t xml:space="preserve">supplier</t>
        </is>
      </c>
      <c r="I780" s="0" t="inlineStr">
        <is>
          <t xml:space="preserve">unbucketed</t>
        </is>
      </c>
      <c r="J780" s="0" t="inlineStr">
        <is>
          <t xml:space="preserve">residual</t>
        </is>
      </c>
      <c r="K780" s="5">
        <v>0</v>
      </c>
      <c r="L780" s="5">
        <v>0</v>
      </c>
      <c r="M780" s="5">
        <v>0.0</v>
      </c>
      <c r="N780" s="5">
        <v>0.0</v>
      </c>
      <c r="O780" s="5">
        <v>0.0</v>
      </c>
      <c r="P780" s="5">
        <v>0.0</v>
      </c>
      <c r="Q780" s="5">
        <v>0.0</v>
      </c>
    </row>
    <row r="781" outlineLevel="1">
      <c r="B781" s="0" t="inlineStr">
        <is>
          <t xml:space="preserve">BAE SYSTEMS PLC</t>
        </is>
      </c>
      <c r="C781" s="0" t="inlineStr">
        <is>
          <t xml:space="preserve">YNJNTZWVC3H6</t>
        </is>
      </c>
      <c r="D781" s="0" t="inlineStr">
        <is>
          <t xml:space="preserve">-</t>
        </is>
      </c>
      <c r="E781" s="0" t="inlineStr">
        <is>
          <t xml:space="preserve">-</t>
        </is>
      </c>
      <c r="F781" s="0" t="inlineStr">
        <is>
          <t xml:space="preserve">-</t>
        </is>
      </c>
      <c r="G781" s="5">
        <v>0.775741</v>
      </c>
      <c r="H781" s="0" t="inlineStr">
        <is>
          <t xml:space="preserve">mission_systems</t>
        </is>
      </c>
      <c r="I781" s="0" t="inlineStr">
        <is>
          <t xml:space="preserve">-</t>
        </is>
      </c>
      <c r="J781" s="0" t="inlineStr">
        <is>
          <t xml:space="preserve">registry</t>
        </is>
      </c>
      <c r="K781" s="5">
        <v>0</v>
      </c>
      <c r="L781" s="5">
        <v>0</v>
      </c>
      <c r="M781" s="5">
        <v>0.174986</v>
      </c>
      <c r="N781" s="5">
        <v>0.0</v>
      </c>
      <c r="O781" s="5">
        <v>0.0</v>
      </c>
      <c r="P781" s="5">
        <v>0.0</v>
      </c>
      <c r="Q781" s="5">
        <v>0.0</v>
      </c>
    </row>
    <row r="782" outlineLevel="1">
      <c r="B782" s="0" t="inlineStr">
        <is>
          <t xml:space="preserve">NORTHROP GRUMMAN SYSTEMS CORPORATION</t>
        </is>
      </c>
      <c r="C782" s="0" t="inlineStr">
        <is>
          <t xml:space="preserve">PQGNEEY9W5M3</t>
        </is>
      </c>
      <c r="D782" s="0" t="inlineStr">
        <is>
          <t xml:space="preserve">-</t>
        </is>
      </c>
      <c r="E782" s="0" t="inlineStr">
        <is>
          <t xml:space="preserve">-</t>
        </is>
      </c>
      <c r="F782" s="0" t="inlineStr">
        <is>
          <t xml:space="preserve">-</t>
        </is>
      </c>
      <c r="G782" s="5">
        <v>0.77547075</v>
      </c>
      <c r="H782" s="0" t="inlineStr">
        <is>
          <t xml:space="preserve">mission_systems</t>
        </is>
      </c>
      <c r="I782" s="0" t="inlineStr">
        <is>
          <t xml:space="preserve">-</t>
        </is>
      </c>
      <c r="J782" s="0" t="inlineStr">
        <is>
          <t xml:space="preserve">registry</t>
        </is>
      </c>
      <c r="K782" s="5">
        <v>0</v>
      </c>
      <c r="L782" s="5">
        <v>0</v>
      </c>
      <c r="M782" s="5">
        <v>0.77547075</v>
      </c>
      <c r="N782" s="5">
        <v>0.0</v>
      </c>
      <c r="O782" s="5">
        <v>0.0</v>
      </c>
      <c r="P782" s="5">
        <v>0.036613</v>
      </c>
      <c r="Q782" s="5">
        <v>0.73885775</v>
      </c>
    </row>
    <row r="783" outlineLevel="1">
      <c r="B783" s="0" t="inlineStr">
        <is>
          <t xml:space="preserve">HEWLETT PACKARD ENTERPRISE COMPANY</t>
        </is>
      </c>
      <c r="C783" s="0" t="inlineStr">
        <is>
          <t xml:space="preserve">EFAJMASTF3J7</t>
        </is>
      </c>
      <c r="D783" s="0" t="inlineStr">
        <is>
          <t xml:space="preserve">-</t>
        </is>
      </c>
      <c r="E783" s="0" t="inlineStr">
        <is>
          <t xml:space="preserve">-</t>
        </is>
      </c>
      <c r="F783" s="0" t="inlineStr">
        <is>
          <t xml:space="preserve">-</t>
        </is>
      </c>
      <c r="G783" s="5">
        <v>0.7718090999999999</v>
      </c>
      <c r="H783" s="0" t="inlineStr">
        <is>
          <t xml:space="preserve">supplier</t>
        </is>
      </c>
      <c r="I783" s="0" t="inlineStr">
        <is>
          <t xml:space="preserve">unbucketed</t>
        </is>
      </c>
      <c r="J783" s="0" t="inlineStr">
        <is>
          <t xml:space="preserve">residual</t>
        </is>
      </c>
      <c r="K783" s="5">
        <v>0</v>
      </c>
      <c r="L783" s="5">
        <v>0</v>
      </c>
      <c r="M783" s="5">
        <v>0.0</v>
      </c>
      <c r="N783" s="5">
        <v>0.0</v>
      </c>
      <c r="O783" s="5">
        <v>0.0</v>
      </c>
      <c r="P783" s="5">
        <v>0.0</v>
      </c>
      <c r="Q783" s="5">
        <v>0.0</v>
      </c>
    </row>
    <row r="784" outlineLevel="1">
      <c r="B784" s="0" t="inlineStr">
        <is>
          <t xml:space="preserve">TEVET, LLC</t>
        </is>
      </c>
      <c r="C784" s="0" t="inlineStr">
        <is>
          <t xml:space="preserve">CQLFMKPGRUQ3</t>
        </is>
      </c>
      <c r="D784" s="0" t="inlineStr">
        <is>
          <t xml:space="preserve">-</t>
        </is>
      </c>
      <c r="E784" s="0" t="inlineStr">
        <is>
          <t xml:space="preserve">-</t>
        </is>
      </c>
      <c r="F784" s="0" t="inlineStr">
        <is>
          <t xml:space="preserve">-</t>
        </is>
      </c>
      <c r="G784" s="5">
        <v>0.76978267</v>
      </c>
      <c r="H784" s="0" t="inlineStr">
        <is>
          <t xml:space="preserve">supplier</t>
        </is>
      </c>
      <c r="I784" s="0" t="inlineStr">
        <is>
          <t xml:space="preserve">unbucketed</t>
        </is>
      </c>
      <c r="J784" s="0" t="inlineStr">
        <is>
          <t xml:space="preserve">residual</t>
        </is>
      </c>
      <c r="K784" s="5">
        <v>0</v>
      </c>
      <c r="L784" s="5">
        <v>0</v>
      </c>
      <c r="M784" s="5">
        <v>0.0</v>
      </c>
      <c r="N784" s="5">
        <v>0.0</v>
      </c>
      <c r="O784" s="5">
        <v>0.0</v>
      </c>
      <c r="P784" s="5">
        <v>0.0</v>
      </c>
      <c r="Q784" s="5">
        <v>0.0</v>
      </c>
    </row>
    <row r="785" outlineLevel="1">
      <c r="B785" s="0" t="inlineStr">
        <is>
          <t xml:space="preserve">ELECTRO SWITCH BUSINESS TRUST</t>
        </is>
      </c>
      <c r="C785" s="0" t="inlineStr">
        <is>
          <t xml:space="preserve">V9LMYED91357</t>
        </is>
      </c>
      <c r="D785" s="0" t="inlineStr">
        <is>
          <t xml:space="preserve">-</t>
        </is>
      </c>
      <c r="E785" s="0" t="inlineStr">
        <is>
          <t xml:space="preserve">-</t>
        </is>
      </c>
      <c r="F785" s="0" t="inlineStr">
        <is>
          <t xml:space="preserve">-</t>
        </is>
      </c>
      <c r="G785" s="5">
        <v>0.7695334</v>
      </c>
      <c r="H785" s="0" t="inlineStr">
        <is>
          <t xml:space="preserve">supplier</t>
        </is>
      </c>
      <c r="I785" s="0" t="inlineStr">
        <is>
          <t xml:space="preserve">unbucketed</t>
        </is>
      </c>
      <c r="J785" s="0" t="inlineStr">
        <is>
          <t xml:space="preserve">residual</t>
        </is>
      </c>
      <c r="K785" s="5">
        <v>0</v>
      </c>
      <c r="L785" s="5">
        <v>0</v>
      </c>
      <c r="M785" s="5">
        <v>0.0</v>
      </c>
      <c r="N785" s="5">
        <v>0.0</v>
      </c>
      <c r="O785" s="5">
        <v>0.0</v>
      </c>
      <c r="P785" s="5">
        <v>0.0</v>
      </c>
      <c r="Q785" s="5">
        <v>0.0</v>
      </c>
    </row>
    <row r="786" outlineLevel="1">
      <c r="B786" s="0" t="inlineStr">
        <is>
          <t xml:space="preserve">RAVE GEAR LLC</t>
        </is>
      </c>
      <c r="C786" s="0" t="inlineStr">
        <is>
          <t xml:space="preserve">GRFDMDJVVU36</t>
        </is>
      </c>
      <c r="D786" s="0" t="inlineStr">
        <is>
          <t xml:space="preserve">-</t>
        </is>
      </c>
      <c r="E786" s="0" t="inlineStr">
        <is>
          <t xml:space="preserve">-</t>
        </is>
      </c>
      <c r="F786" s="0" t="inlineStr">
        <is>
          <t xml:space="preserve">-</t>
        </is>
      </c>
      <c r="G786" s="5">
        <v>0.7687068</v>
      </c>
      <c r="H786" s="0" t="inlineStr">
        <is>
          <t xml:space="preserve">supplier</t>
        </is>
      </c>
      <c r="I786" s="0" t="inlineStr">
        <is>
          <t xml:space="preserve">unbucketed</t>
        </is>
      </c>
      <c r="J786" s="0" t="inlineStr">
        <is>
          <t xml:space="preserve">residual</t>
        </is>
      </c>
      <c r="K786" s="5">
        <v>0</v>
      </c>
      <c r="L786" s="5">
        <v>0</v>
      </c>
      <c r="M786" s="5">
        <v>0.0</v>
      </c>
      <c r="N786" s="5">
        <v>0.0</v>
      </c>
      <c r="O786" s="5">
        <v>0.0</v>
      </c>
      <c r="P786" s="5">
        <v>0.0</v>
      </c>
      <c r="Q786" s="5">
        <v>0.0</v>
      </c>
    </row>
    <row r="787" outlineLevel="1">
      <c r="B787" s="0" t="inlineStr">
        <is>
          <t xml:space="preserve">ULTI-MATE CONNECTOR, LLC</t>
        </is>
      </c>
      <c r="C787" s="0" t="inlineStr">
        <is>
          <t xml:space="preserve">G5GTNMLCCBB3</t>
        </is>
      </c>
      <c r="D787" s="0" t="inlineStr">
        <is>
          <t xml:space="preserve">-</t>
        </is>
      </c>
      <c r="E787" s="0" t="inlineStr">
        <is>
          <t xml:space="preserve">-</t>
        </is>
      </c>
      <c r="F787" s="0" t="inlineStr">
        <is>
          <t xml:space="preserve">-</t>
        </is>
      </c>
      <c r="G787" s="5">
        <v>0.766816</v>
      </c>
      <c r="H787" s="0" t="inlineStr">
        <is>
          <t xml:space="preserve">supplier</t>
        </is>
      </c>
      <c r="I787" s="0" t="inlineStr">
        <is>
          <t xml:space="preserve">unbucketed</t>
        </is>
      </c>
      <c r="J787" s="0" t="inlineStr">
        <is>
          <t xml:space="preserve">residual</t>
        </is>
      </c>
      <c r="K787" s="5">
        <v>0</v>
      </c>
      <c r="L787" s="5">
        <v>0</v>
      </c>
      <c r="M787" s="5">
        <v>0.0</v>
      </c>
      <c r="N787" s="5">
        <v>0.0</v>
      </c>
      <c r="O787" s="5">
        <v>0.0</v>
      </c>
      <c r="P787" s="5">
        <v>0.0</v>
      </c>
      <c r="Q787" s="5">
        <v>0.0</v>
      </c>
    </row>
    <row r="788" outlineLevel="1">
      <c r="B788" s="0" t="inlineStr">
        <is>
          <t xml:space="preserve">LEACH INTERNATIONAL CORP</t>
        </is>
      </c>
      <c r="C788" s="0" t="inlineStr">
        <is>
          <t xml:space="preserve">Z7AGXEK8Q815</t>
        </is>
      </c>
      <c r="D788" s="0" t="inlineStr">
        <is>
          <t xml:space="preserve">-</t>
        </is>
      </c>
      <c r="E788" s="0" t="inlineStr">
        <is>
          <t xml:space="preserve">-</t>
        </is>
      </c>
      <c r="F788" s="0" t="inlineStr">
        <is>
          <t xml:space="preserve">-</t>
        </is>
      </c>
      <c r="G788" s="5">
        <v>0.76445145</v>
      </c>
      <c r="H788" s="0" t="inlineStr">
        <is>
          <t xml:space="preserve">supplier</t>
        </is>
      </c>
      <c r="I788" s="0" t="inlineStr">
        <is>
          <t xml:space="preserve">unbucketed</t>
        </is>
      </c>
      <c r="J788" s="0" t="inlineStr">
        <is>
          <t xml:space="preserve">residual</t>
        </is>
      </c>
      <c r="K788" s="5">
        <v>0</v>
      </c>
      <c r="L788" s="5">
        <v>0</v>
      </c>
      <c r="M788" s="5">
        <v>0.0</v>
      </c>
      <c r="N788" s="5">
        <v>0.0</v>
      </c>
      <c r="O788" s="5">
        <v>0.0</v>
      </c>
      <c r="P788" s="5">
        <v>0.0</v>
      </c>
      <c r="Q788" s="5">
        <v>0.0</v>
      </c>
    </row>
    <row r="789" outlineLevel="1">
      <c r="B789" s="0" t="inlineStr">
        <is>
          <t xml:space="preserve">GSI CORPORATION</t>
        </is>
      </c>
      <c r="C789" s="0" t="inlineStr">
        <is>
          <t xml:space="preserve">HFLCXAGYK4U7</t>
        </is>
      </c>
      <c r="D789" s="0" t="inlineStr">
        <is>
          <t xml:space="preserve">-</t>
        </is>
      </c>
      <c r="E789" s="0" t="inlineStr">
        <is>
          <t xml:space="preserve">-</t>
        </is>
      </c>
      <c r="F789" s="0" t="inlineStr">
        <is>
          <t xml:space="preserve">-</t>
        </is>
      </c>
      <c r="G789" s="5">
        <v>0.763903</v>
      </c>
      <c r="H789" s="0" t="inlineStr">
        <is>
          <t xml:space="preserve">supplier</t>
        </is>
      </c>
      <c r="I789" s="0" t="inlineStr">
        <is>
          <t xml:space="preserve">unbucketed</t>
        </is>
      </c>
      <c r="J789" s="0" t="inlineStr">
        <is>
          <t xml:space="preserve">residual</t>
        </is>
      </c>
      <c r="K789" s="5">
        <v>0</v>
      </c>
      <c r="L789" s="5">
        <v>0</v>
      </c>
      <c r="M789" s="5">
        <v>0.0</v>
      </c>
      <c r="N789" s="5">
        <v>0.0</v>
      </c>
      <c r="O789" s="5">
        <v>0.0</v>
      </c>
      <c r="P789" s="5">
        <v>0.0</v>
      </c>
      <c r="Q789" s="5">
        <v>0.0</v>
      </c>
    </row>
    <row r="790" outlineLevel="1">
      <c r="B790" s="0" t="inlineStr">
        <is>
          <t xml:space="preserve">UNIVERSAL PROTECTION GP, LLC</t>
        </is>
      </c>
      <c r="C790" s="0" t="inlineStr">
        <is>
          <t xml:space="preserve">MFA2CSSMMA35</t>
        </is>
      </c>
      <c r="D790" s="0" t="inlineStr">
        <is>
          <t xml:space="preserve">-</t>
        </is>
      </c>
      <c r="E790" s="0" t="inlineStr">
        <is>
          <t xml:space="preserve">-</t>
        </is>
      </c>
      <c r="F790" s="0" t="inlineStr">
        <is>
          <t xml:space="preserve">-</t>
        </is>
      </c>
      <c r="G790" s="5">
        <v>0.7502200000000001</v>
      </c>
      <c r="H790" s="0" t="inlineStr">
        <is>
          <t xml:space="preserve">supplier</t>
        </is>
      </c>
      <c r="I790" s="0" t="inlineStr">
        <is>
          <t xml:space="preserve">unbucketed</t>
        </is>
      </c>
      <c r="J790" s="0" t="inlineStr">
        <is>
          <t xml:space="preserve">residual</t>
        </is>
      </c>
      <c r="K790" s="5">
        <v>0</v>
      </c>
      <c r="L790" s="5">
        <v>0</v>
      </c>
      <c r="M790" s="5">
        <v>0.0</v>
      </c>
      <c r="N790" s="5">
        <v>0.0</v>
      </c>
      <c r="O790" s="5">
        <v>0.0</v>
      </c>
      <c r="P790" s="5">
        <v>0.0</v>
      </c>
      <c r="Q790" s="5">
        <v>0.0</v>
      </c>
    </row>
    <row r="791" outlineLevel="1">
      <c r="B791" s="0" t="inlineStr">
        <is>
          <t xml:space="preserve">BIRD TECHNOLOGIES GROUP INC</t>
        </is>
      </c>
      <c r="C791" s="0" t="inlineStr">
        <is>
          <t xml:space="preserve">U6JEJNUSQ9T7</t>
        </is>
      </c>
      <c r="D791" s="0" t="inlineStr">
        <is>
          <t xml:space="preserve">-</t>
        </is>
      </c>
      <c r="E791" s="0" t="inlineStr">
        <is>
          <t xml:space="preserve">-</t>
        </is>
      </c>
      <c r="F791" s="0" t="inlineStr">
        <is>
          <t xml:space="preserve">-</t>
        </is>
      </c>
      <c r="G791" s="5">
        <v>0.749727</v>
      </c>
      <c r="H791" s="0" t="inlineStr">
        <is>
          <t xml:space="preserve">supplier</t>
        </is>
      </c>
      <c r="I791" s="0" t="inlineStr">
        <is>
          <t xml:space="preserve">unbucketed</t>
        </is>
      </c>
      <c r="J791" s="0" t="inlineStr">
        <is>
          <t xml:space="preserve">residual</t>
        </is>
      </c>
      <c r="K791" s="5">
        <v>0</v>
      </c>
      <c r="L791" s="5">
        <v>0</v>
      </c>
      <c r="M791" s="5">
        <v>0.0</v>
      </c>
      <c r="N791" s="5">
        <v>0.0</v>
      </c>
      <c r="O791" s="5">
        <v>0.0</v>
      </c>
      <c r="P791" s="5">
        <v>0.0</v>
      </c>
      <c r="Q791" s="5">
        <v>0.0</v>
      </c>
    </row>
    <row r="792" outlineLevel="1">
      <c r="B792" s="0" t="inlineStr">
        <is>
          <t xml:space="preserve">ACCRABOND CORP</t>
        </is>
      </c>
      <c r="C792" s="0" t="inlineStr">
        <is>
          <t xml:space="preserve">VFLXP2A8AH33</t>
        </is>
      </c>
      <c r="D792" s="0" t="inlineStr">
        <is>
          <t xml:space="preserve">-</t>
        </is>
      </c>
      <c r="E792" s="0" t="inlineStr">
        <is>
          <t xml:space="preserve">-</t>
        </is>
      </c>
      <c r="F792" s="0" t="inlineStr">
        <is>
          <t xml:space="preserve">-</t>
        </is>
      </c>
      <c r="G792" s="5">
        <v>0.74886235</v>
      </c>
      <c r="H792" s="0" t="inlineStr">
        <is>
          <t xml:space="preserve">supplier</t>
        </is>
      </c>
      <c r="I792" s="0" t="inlineStr">
        <is>
          <t xml:space="preserve">unbucketed</t>
        </is>
      </c>
      <c r="J792" s="0" t="inlineStr">
        <is>
          <t xml:space="preserve">residual</t>
        </is>
      </c>
      <c r="K792" s="5">
        <v>0</v>
      </c>
      <c r="L792" s="5">
        <v>0</v>
      </c>
      <c r="M792" s="5">
        <v>0.0</v>
      </c>
      <c r="N792" s="5">
        <v>0.0</v>
      </c>
      <c r="O792" s="5">
        <v>0.0</v>
      </c>
      <c r="P792" s="5">
        <v>0.0</v>
      </c>
      <c r="Q792" s="5">
        <v>0.0</v>
      </c>
    </row>
    <row r="793" outlineLevel="1">
      <c r="B793" s="0" t="inlineStr">
        <is>
          <t xml:space="preserve">C.D.M. ELECTRONICS INC.</t>
        </is>
      </c>
      <c r="C793" s="0" t="inlineStr">
        <is>
          <t xml:space="preserve">DJ7MS9GQWDC8</t>
        </is>
      </c>
      <c r="D793" s="0" t="inlineStr">
        <is>
          <t xml:space="preserve">-</t>
        </is>
      </c>
      <c r="E793" s="0" t="inlineStr">
        <is>
          <t xml:space="preserve">-</t>
        </is>
      </c>
      <c r="F793" s="0" t="inlineStr">
        <is>
          <t xml:space="preserve">-</t>
        </is>
      </c>
      <c r="G793" s="5">
        <v>0.74685762</v>
      </c>
      <c r="H793" s="0" t="inlineStr">
        <is>
          <t xml:space="preserve">supplier</t>
        </is>
      </c>
      <c r="I793" s="0" t="inlineStr">
        <is>
          <t xml:space="preserve">unbucketed</t>
        </is>
      </c>
      <c r="J793" s="0" t="inlineStr">
        <is>
          <t xml:space="preserve">residual</t>
        </is>
      </c>
      <c r="K793" s="5">
        <v>0</v>
      </c>
      <c r="L793" s="5">
        <v>0</v>
      </c>
      <c r="M793" s="5">
        <v>0.0</v>
      </c>
      <c r="N793" s="5">
        <v>0.0</v>
      </c>
      <c r="O793" s="5">
        <v>0.0</v>
      </c>
      <c r="P793" s="5">
        <v>0.0</v>
      </c>
      <c r="Q793" s="5">
        <v>0.0</v>
      </c>
    </row>
    <row r="794" outlineLevel="1">
      <c r="B794" s="0" t="inlineStr">
        <is>
          <t xml:space="preserve">FUJITSU LIMITED</t>
        </is>
      </c>
      <c r="C794" s="0" t="inlineStr">
        <is>
          <t xml:space="preserve">R8UMES4H39C7</t>
        </is>
      </c>
      <c r="D794" s="0" t="inlineStr">
        <is>
          <t xml:space="preserve">Foreign</t>
        </is>
      </c>
      <c r="E794" s="0" t="inlineStr">
        <is>
          <t xml:space="preserve">-</t>
        </is>
      </c>
      <c r="F794" s="0" t="inlineStr">
        <is>
          <t xml:space="preserve">-</t>
        </is>
      </c>
      <c r="G794" s="5">
        <v>0.74659696</v>
      </c>
      <c r="H794" s="0" t="inlineStr">
        <is>
          <t xml:space="preserve">foreign_fms</t>
        </is>
      </c>
      <c r="I794" s="0" t="inlineStr">
        <is>
          <t xml:space="preserve">-</t>
        </is>
      </c>
      <c r="J794" s="0" t="inlineStr">
        <is>
          <t xml:space="preserve">foreign flag</t>
        </is>
      </c>
      <c r="K794" s="5">
        <v>0</v>
      </c>
      <c r="L794" s="5">
        <v>0</v>
      </c>
      <c r="M794" s="5">
        <v>0.0</v>
      </c>
      <c r="N794" s="5">
        <v>0.0</v>
      </c>
      <c r="O794" s="5">
        <v>0.0</v>
      </c>
      <c r="P794" s="5">
        <v>0.0</v>
      </c>
      <c r="Q794" s="5">
        <v>0.0</v>
      </c>
    </row>
    <row r="795" outlineLevel="1">
      <c r="B795" s="0" t="inlineStr">
        <is>
          <t xml:space="preserve">DJ ACQUISITION MANAGEMENT CORP.</t>
        </is>
      </c>
      <c r="C795" s="0" t="inlineStr">
        <is>
          <t xml:space="preserve">K88JMQ5QWFT1</t>
        </is>
      </c>
      <c r="D795" s="0" t="inlineStr">
        <is>
          <t xml:space="preserve">-</t>
        </is>
      </c>
      <c r="E795" s="0" t="inlineStr">
        <is>
          <t xml:space="preserve">-</t>
        </is>
      </c>
      <c r="F795" s="0" t="inlineStr">
        <is>
          <t xml:space="preserve">-</t>
        </is>
      </c>
      <c r="G795" s="5">
        <v>0.745703</v>
      </c>
      <c r="H795" s="0" t="inlineStr">
        <is>
          <t xml:space="preserve">supplier</t>
        </is>
      </c>
      <c r="I795" s="0" t="inlineStr">
        <is>
          <t xml:space="preserve">unbucketed</t>
        </is>
      </c>
      <c r="J795" s="0" t="inlineStr">
        <is>
          <t xml:space="preserve">residual</t>
        </is>
      </c>
      <c r="K795" s="5">
        <v>0</v>
      </c>
      <c r="L795" s="5">
        <v>0</v>
      </c>
      <c r="M795" s="5">
        <v>0.0</v>
      </c>
      <c r="N795" s="5">
        <v>0.0</v>
      </c>
      <c r="O795" s="5">
        <v>0.0</v>
      </c>
      <c r="P795" s="5">
        <v>0.0</v>
      </c>
      <c r="Q795" s="5">
        <v>0.0</v>
      </c>
    </row>
    <row r="796" outlineLevel="1">
      <c r="B796" s="0" t="inlineStr">
        <is>
          <t xml:space="preserve">API TECHNOLOGIES CORP</t>
        </is>
      </c>
      <c r="C796" s="0" t="inlineStr">
        <is>
          <t xml:space="preserve">FVENB2MJ1NM3</t>
        </is>
      </c>
      <c r="D796" s="0" t="inlineStr">
        <is>
          <t xml:space="preserve">-</t>
        </is>
      </c>
      <c r="E796" s="0" t="inlineStr">
        <is>
          <t xml:space="preserve">-</t>
        </is>
      </c>
      <c r="F796" s="0" t="inlineStr">
        <is>
          <t xml:space="preserve">-</t>
        </is>
      </c>
      <c r="G796" s="5">
        <v>0.7444869999999999</v>
      </c>
      <c r="H796" s="0" t="inlineStr">
        <is>
          <t xml:space="preserve">supplier</t>
        </is>
      </c>
      <c r="I796" s="0" t="inlineStr">
        <is>
          <t xml:space="preserve">unbucketed</t>
        </is>
      </c>
      <c r="J796" s="0" t="inlineStr">
        <is>
          <t xml:space="preserve">residual</t>
        </is>
      </c>
      <c r="K796" s="5">
        <v>0</v>
      </c>
      <c r="L796" s="5">
        <v>0</v>
      </c>
      <c r="M796" s="5">
        <v>0.0</v>
      </c>
      <c r="N796" s="5">
        <v>0.0</v>
      </c>
      <c r="O796" s="5">
        <v>0.0</v>
      </c>
      <c r="P796" s="5">
        <v>0.0</v>
      </c>
      <c r="Q796" s="5">
        <v>0.0</v>
      </c>
    </row>
    <row r="797" outlineLevel="1">
      <c r="B797" s="0" t="inlineStr">
        <is>
          <t xml:space="preserve">TTM TECHNOLOGIES, INC.</t>
        </is>
      </c>
      <c r="C797" s="0" t="inlineStr">
        <is>
          <t xml:space="preserve">SCFWLTW9UU58</t>
        </is>
      </c>
      <c r="D797" s="0" t="inlineStr">
        <is>
          <t xml:space="preserve">USA</t>
        </is>
      </c>
      <c r="E797" s="0" t="inlineStr">
        <is>
          <t xml:space="preserve">3344</t>
        </is>
      </c>
      <c r="F797" s="0" t="inlineStr">
        <is>
          <t xml:space="preserve">Bare Printed Circuit Board Manufacturing</t>
        </is>
      </c>
      <c r="G797" s="5">
        <v>0.74420946</v>
      </c>
      <c r="H797" s="0" t="inlineStr">
        <is>
          <t xml:space="preserve">supplier</t>
        </is>
      </c>
      <c r="I797" s="0" t="inlineStr">
        <is>
          <t xml:space="preserve">unbucketed</t>
        </is>
      </c>
      <c r="J797" s="0" t="inlineStr">
        <is>
          <t xml:space="preserve">residual</t>
        </is>
      </c>
      <c r="K797" s="5">
        <v>0</v>
      </c>
      <c r="L797" s="5">
        <v>0</v>
      </c>
      <c r="M797" s="5">
        <v>0.0</v>
      </c>
      <c r="N797" s="5">
        <v>0.0</v>
      </c>
      <c r="O797" s="5">
        <v>0.0</v>
      </c>
      <c r="P797" s="5">
        <v>0.0</v>
      </c>
      <c r="Q797" s="5">
        <v>0.0</v>
      </c>
    </row>
    <row r="798" outlineLevel="1">
      <c r="B798" s="0" t="inlineStr">
        <is>
          <t xml:space="preserve">SECTOR MICROWAVE INDUSTRIES, INC.</t>
        </is>
      </c>
      <c r="C798" s="0" t="inlineStr">
        <is>
          <t xml:space="preserve">JK12LG7ZPSY5</t>
        </is>
      </c>
      <c r="D798" s="0" t="inlineStr">
        <is>
          <t xml:space="preserve">-</t>
        </is>
      </c>
      <c r="E798" s="0" t="inlineStr">
        <is>
          <t xml:space="preserve">-</t>
        </is>
      </c>
      <c r="F798" s="0" t="inlineStr">
        <is>
          <t xml:space="preserve">-</t>
        </is>
      </c>
      <c r="G798" s="5">
        <v>0.7415</v>
      </c>
      <c r="H798" s="0" t="inlineStr">
        <is>
          <t xml:space="preserve">supplier</t>
        </is>
      </c>
      <c r="I798" s="0" t="inlineStr">
        <is>
          <t xml:space="preserve">unbucketed</t>
        </is>
      </c>
      <c r="J798" s="0" t="inlineStr">
        <is>
          <t xml:space="preserve">residual</t>
        </is>
      </c>
      <c r="K798" s="5">
        <v>0</v>
      </c>
      <c r="L798" s="5">
        <v>0</v>
      </c>
      <c r="M798" s="5">
        <v>0.0</v>
      </c>
      <c r="N798" s="5">
        <v>0.0</v>
      </c>
      <c r="O798" s="5">
        <v>0.0</v>
      </c>
      <c r="P798" s="5">
        <v>0.0</v>
      </c>
      <c r="Q798" s="5">
        <v>0.0</v>
      </c>
    </row>
    <row r="799" outlineLevel="1">
      <c r="B799" s="0" t="inlineStr">
        <is>
          <t xml:space="preserve">TRANSDIGM GROUP INCORPORATED</t>
        </is>
      </c>
      <c r="C799" s="0" t="inlineStr">
        <is>
          <t xml:space="preserve">KM3DGGLMA444</t>
        </is>
      </c>
      <c r="D799" s="0" t="inlineStr">
        <is>
          <t xml:space="preserve">-</t>
        </is>
      </c>
      <c r="E799" s="0" t="inlineStr">
        <is>
          <t xml:space="preserve">-</t>
        </is>
      </c>
      <c r="F799" s="0" t="inlineStr">
        <is>
          <t xml:space="preserve">-</t>
        </is>
      </c>
      <c r="G799" s="5">
        <v>0.74096</v>
      </c>
      <c r="H799" s="0" t="inlineStr">
        <is>
          <t xml:space="preserve">supplier</t>
        </is>
      </c>
      <c r="I799" s="0" t="inlineStr">
        <is>
          <t xml:space="preserve">unbucketed</t>
        </is>
      </c>
      <c r="J799" s="0" t="inlineStr">
        <is>
          <t xml:space="preserve">residual</t>
        </is>
      </c>
      <c r="K799" s="5">
        <v>0</v>
      </c>
      <c r="L799" s="5">
        <v>0</v>
      </c>
      <c r="M799" s="5">
        <v>0.0</v>
      </c>
      <c r="N799" s="5">
        <v>0.0</v>
      </c>
      <c r="O799" s="5">
        <v>0.0</v>
      </c>
      <c r="P799" s="5">
        <v>0.0</v>
      </c>
      <c r="Q799" s="5">
        <v>0.0</v>
      </c>
    </row>
    <row r="800" outlineLevel="1">
      <c r="B800" s="0" t="inlineStr">
        <is>
          <t xml:space="preserve">ONEX CORP</t>
        </is>
      </c>
      <c r="C800" s="0" t="inlineStr">
        <is>
          <t xml:space="preserve">V32LJNFLKBT7</t>
        </is>
      </c>
      <c r="D800" s="0" t="inlineStr">
        <is>
          <t xml:space="preserve">-</t>
        </is>
      </c>
      <c r="E800" s="0" t="inlineStr">
        <is>
          <t xml:space="preserve">-</t>
        </is>
      </c>
      <c r="F800" s="0" t="inlineStr">
        <is>
          <t xml:space="preserve">-</t>
        </is>
      </c>
      <c r="G800" s="5">
        <v>0.740622</v>
      </c>
      <c r="H800" s="0" t="inlineStr">
        <is>
          <t xml:space="preserve">supplier</t>
        </is>
      </c>
      <c r="I800" s="0" t="inlineStr">
        <is>
          <t xml:space="preserve">unbucketed</t>
        </is>
      </c>
      <c r="J800" s="0" t="inlineStr">
        <is>
          <t xml:space="preserve">residual</t>
        </is>
      </c>
      <c r="K800" s="5">
        <v>0</v>
      </c>
      <c r="L800" s="5">
        <v>0</v>
      </c>
      <c r="M800" s="5">
        <v>0.740622</v>
      </c>
      <c r="N800" s="5">
        <v>0.0</v>
      </c>
      <c r="O800" s="5">
        <v>0.0</v>
      </c>
      <c r="P800" s="5">
        <v>0.0</v>
      </c>
      <c r="Q800" s="5">
        <v>0.740622</v>
      </c>
    </row>
    <row r="801" outlineLevel="1">
      <c r="B801" s="0" t="inlineStr">
        <is>
          <t xml:space="preserve">RFD BEAUFORT INC.</t>
        </is>
      </c>
      <c r="C801" s="0" t="inlineStr">
        <is>
          <t xml:space="preserve">V32LJNFLKBT7</t>
        </is>
      </c>
      <c r="D801" s="0" t="inlineStr">
        <is>
          <t xml:space="preserve">-</t>
        </is>
      </c>
      <c r="E801" s="0" t="inlineStr">
        <is>
          <t xml:space="preserve">-</t>
        </is>
      </c>
      <c r="F801" s="0" t="inlineStr">
        <is>
          <t xml:space="preserve">-</t>
        </is>
      </c>
      <c r="G801" s="5">
        <v>0.740622</v>
      </c>
      <c r="H801" s="0" t="inlineStr">
        <is>
          <t xml:space="preserve">supplier</t>
        </is>
      </c>
      <c r="I801" s="0" t="inlineStr">
        <is>
          <t xml:space="preserve">unbucketed</t>
        </is>
      </c>
      <c r="J801" s="0" t="inlineStr">
        <is>
          <t xml:space="preserve">residual</t>
        </is>
      </c>
      <c r="K801" s="5">
        <v>0</v>
      </c>
      <c r="L801" s="5">
        <v>0</v>
      </c>
      <c r="M801" s="5">
        <v>0.740622</v>
      </c>
      <c r="N801" s="5">
        <v>0.0</v>
      </c>
      <c r="O801" s="5">
        <v>0.0</v>
      </c>
      <c r="P801" s="5">
        <v>0.740622</v>
      </c>
      <c r="Q801" s="5">
        <v>0.0</v>
      </c>
    </row>
    <row r="802" outlineLevel="1">
      <c r="B802" s="0" t="inlineStr">
        <is>
          <t xml:space="preserve">EATON AEROSPACE LLC</t>
        </is>
      </c>
      <c r="C802" s="0" t="inlineStr">
        <is>
          <t xml:space="preserve">JG8AJY4Q9PE8</t>
        </is>
      </c>
      <c r="D802" s="0" t="inlineStr">
        <is>
          <t xml:space="preserve">-</t>
        </is>
      </c>
      <c r="E802" s="0" t="inlineStr">
        <is>
          <t xml:space="preserve">-</t>
        </is>
      </c>
      <c r="F802" s="0" t="inlineStr">
        <is>
          <t xml:space="preserve">-</t>
        </is>
      </c>
      <c r="G802" s="5">
        <v>0.739169</v>
      </c>
      <c r="H802" s="0" t="inlineStr">
        <is>
          <t xml:space="preserve">supplier</t>
        </is>
      </c>
      <c r="I802" s="0" t="inlineStr">
        <is>
          <t xml:space="preserve">unbucketed</t>
        </is>
      </c>
      <c r="J802" s="0" t="inlineStr">
        <is>
          <t xml:space="preserve">residual</t>
        </is>
      </c>
      <c r="K802" s="5">
        <v>0</v>
      </c>
      <c r="L802" s="5">
        <v>0</v>
      </c>
      <c r="M802" s="5">
        <v>0.0</v>
      </c>
      <c r="N802" s="5">
        <v>0.0</v>
      </c>
      <c r="O802" s="5">
        <v>0.0</v>
      </c>
      <c r="P802" s="5">
        <v>0.0</v>
      </c>
      <c r="Q802" s="5">
        <v>0.0</v>
      </c>
    </row>
    <row r="803" outlineLevel="1">
      <c r="B803" s="0" t="inlineStr">
        <is>
          <t xml:space="preserve">ALCOA INC.</t>
        </is>
      </c>
      <c r="C803" s="0" t="inlineStr">
        <is>
          <t xml:space="preserve">NGRDHHMZT4F3</t>
        </is>
      </c>
      <c r="D803" s="0" t="inlineStr">
        <is>
          <t xml:space="preserve">-</t>
        </is>
      </c>
      <c r="E803" s="0" t="inlineStr">
        <is>
          <t xml:space="preserve">-</t>
        </is>
      </c>
      <c r="F803" s="0" t="inlineStr">
        <is>
          <t xml:space="preserve">-</t>
        </is>
      </c>
      <c r="G803" s="5">
        <v>0.73886</v>
      </c>
      <c r="H803" s="0" t="inlineStr">
        <is>
          <t xml:space="preserve">supplier</t>
        </is>
      </c>
      <c r="I803" s="0" t="inlineStr">
        <is>
          <t xml:space="preserve">unbucketed</t>
        </is>
      </c>
      <c r="J803" s="0" t="inlineStr">
        <is>
          <t xml:space="preserve">residual</t>
        </is>
      </c>
      <c r="K803" s="5">
        <v>0</v>
      </c>
      <c r="L803" s="5">
        <v>0</v>
      </c>
      <c r="M803" s="5">
        <v>0.0</v>
      </c>
      <c r="N803" s="5">
        <v>0.0</v>
      </c>
      <c r="O803" s="5">
        <v>0.0</v>
      </c>
      <c r="P803" s="5">
        <v>0.0</v>
      </c>
      <c r="Q803" s="5">
        <v>0.0</v>
      </c>
    </row>
    <row r="804" outlineLevel="1">
      <c r="B804" s="0" t="inlineStr">
        <is>
          <t xml:space="preserve">NEW ENGLAND DIE CUTTING, INC.</t>
        </is>
      </c>
      <c r="C804" s="0" t="inlineStr">
        <is>
          <t xml:space="preserve">PVKMUGUXDAW5</t>
        </is>
      </c>
      <c r="D804" s="0" t="inlineStr">
        <is>
          <t xml:space="preserve">-</t>
        </is>
      </c>
      <c r="E804" s="0" t="inlineStr">
        <is>
          <t xml:space="preserve">-</t>
        </is>
      </c>
      <c r="F804" s="0" t="inlineStr">
        <is>
          <t xml:space="preserve">-</t>
        </is>
      </c>
      <c r="G804" s="5">
        <v>0.7368439999999999</v>
      </c>
      <c r="H804" s="0" t="inlineStr">
        <is>
          <t xml:space="preserve">supplier</t>
        </is>
      </c>
      <c r="I804" s="0" t="inlineStr">
        <is>
          <t xml:space="preserve">unbucketed</t>
        </is>
      </c>
      <c r="J804" s="0" t="inlineStr">
        <is>
          <t xml:space="preserve">residual</t>
        </is>
      </c>
      <c r="K804" s="5">
        <v>0</v>
      </c>
      <c r="L804" s="5">
        <v>0</v>
      </c>
      <c r="M804" s="5">
        <v>0.0</v>
      </c>
      <c r="N804" s="5">
        <v>0.0</v>
      </c>
      <c r="O804" s="5">
        <v>0.0</v>
      </c>
      <c r="P804" s="5">
        <v>0.0</v>
      </c>
      <c r="Q804" s="5">
        <v>0.0</v>
      </c>
    </row>
    <row r="805" outlineLevel="1">
      <c r="B805" s="0" t="inlineStr">
        <is>
          <t xml:space="preserve">E-Z FASTENING SOLUTIONS INC</t>
        </is>
      </c>
      <c r="C805" s="0" t="inlineStr">
        <is>
          <t xml:space="preserve">H724CJLDD5W3</t>
        </is>
      </c>
      <c r="D805" s="0" t="inlineStr">
        <is>
          <t xml:space="preserve">-</t>
        </is>
      </c>
      <c r="E805" s="0" t="inlineStr">
        <is>
          <t xml:space="preserve">-</t>
        </is>
      </c>
      <c r="F805" s="0" t="inlineStr">
        <is>
          <t xml:space="preserve">-</t>
        </is>
      </c>
      <c r="G805" s="5">
        <v>0.7359470899999999</v>
      </c>
      <c r="H805" s="0" t="inlineStr">
        <is>
          <t xml:space="preserve">supplier</t>
        </is>
      </c>
      <c r="I805" s="0" t="inlineStr">
        <is>
          <t xml:space="preserve">unbucketed</t>
        </is>
      </c>
      <c r="J805" s="0" t="inlineStr">
        <is>
          <t xml:space="preserve">residual</t>
        </is>
      </c>
      <c r="K805" s="5">
        <v>0</v>
      </c>
      <c r="L805" s="5">
        <v>0</v>
      </c>
      <c r="M805" s="5">
        <v>0.0</v>
      </c>
      <c r="N805" s="5">
        <v>0.0</v>
      </c>
      <c r="O805" s="5">
        <v>0.0</v>
      </c>
      <c r="P805" s="5">
        <v>0.0</v>
      </c>
      <c r="Q805" s="5">
        <v>0.0</v>
      </c>
    </row>
    <row r="806" outlineLevel="1">
      <c r="B806" s="0" t="inlineStr">
        <is>
          <t xml:space="preserve">RBC BEARINGS INCORPORATED</t>
        </is>
      </c>
      <c r="C806" s="0" t="inlineStr">
        <is>
          <t xml:space="preserve">JH2CJYVWBME6</t>
        </is>
      </c>
      <c r="D806" s="0" t="inlineStr">
        <is>
          <t xml:space="preserve">-</t>
        </is>
      </c>
      <c r="E806" s="0" t="inlineStr">
        <is>
          <t xml:space="preserve">-</t>
        </is>
      </c>
      <c r="F806" s="0" t="inlineStr">
        <is>
          <t xml:space="preserve">-</t>
        </is>
      </c>
      <c r="G806" s="5">
        <v>0.73514382</v>
      </c>
      <c r="H806" s="0" t="inlineStr">
        <is>
          <t xml:space="preserve">supplier</t>
        </is>
      </c>
      <c r="I806" s="0" t="inlineStr">
        <is>
          <t xml:space="preserve">unbucketed</t>
        </is>
      </c>
      <c r="J806" s="0" t="inlineStr">
        <is>
          <t xml:space="preserve">residual</t>
        </is>
      </c>
      <c r="K806" s="5">
        <v>0</v>
      </c>
      <c r="L806" s="5">
        <v>0</v>
      </c>
      <c r="M806" s="5">
        <v>0.0</v>
      </c>
      <c r="N806" s="5">
        <v>0.0</v>
      </c>
      <c r="O806" s="5">
        <v>0.0</v>
      </c>
      <c r="P806" s="5">
        <v>0.0</v>
      </c>
      <c r="Q806" s="5">
        <v>0.0</v>
      </c>
    </row>
    <row r="807" outlineLevel="1">
      <c r="B807" s="0" t="inlineStr">
        <is>
          <t xml:space="preserve">JET-TEK, LLC</t>
        </is>
      </c>
      <c r="C807" s="0" t="inlineStr">
        <is>
          <t xml:space="preserve">HME8LJBLMUU3</t>
        </is>
      </c>
      <c r="D807" s="0" t="inlineStr">
        <is>
          <t xml:space="preserve">-</t>
        </is>
      </c>
      <c r="E807" s="0" t="inlineStr">
        <is>
          <t xml:space="preserve">-</t>
        </is>
      </c>
      <c r="F807" s="0" t="inlineStr">
        <is>
          <t xml:space="preserve">-</t>
        </is>
      </c>
      <c r="G807" s="5">
        <v>0.73451097</v>
      </c>
      <c r="H807" s="0" t="inlineStr">
        <is>
          <t xml:space="preserve">supplier</t>
        </is>
      </c>
      <c r="I807" s="0" t="inlineStr">
        <is>
          <t xml:space="preserve">unbucketed</t>
        </is>
      </c>
      <c r="J807" s="0" t="inlineStr">
        <is>
          <t xml:space="preserve">residual</t>
        </is>
      </c>
      <c r="K807" s="5">
        <v>0</v>
      </c>
      <c r="L807" s="5">
        <v>0</v>
      </c>
      <c r="M807" s="5">
        <v>0.0</v>
      </c>
      <c r="N807" s="5">
        <v>0.0</v>
      </c>
      <c r="O807" s="5">
        <v>0.0</v>
      </c>
      <c r="P807" s="5">
        <v>0.0</v>
      </c>
      <c r="Q807" s="5">
        <v>0.0</v>
      </c>
    </row>
    <row r="808" outlineLevel="1">
      <c r="B808" s="0" t="inlineStr">
        <is>
          <t xml:space="preserve">APPLIED ENGINEERING, INC.</t>
        </is>
      </c>
      <c r="C808" s="0" t="inlineStr">
        <is>
          <t xml:space="preserve">N7KNM5UXEJD6</t>
        </is>
      </c>
      <c r="D808" s="0" t="inlineStr">
        <is>
          <t xml:space="preserve">-</t>
        </is>
      </c>
      <c r="E808" s="0" t="inlineStr">
        <is>
          <t xml:space="preserve">-</t>
        </is>
      </c>
      <c r="F808" s="0" t="inlineStr">
        <is>
          <t xml:space="preserve">-</t>
        </is>
      </c>
      <c r="G808" s="5">
        <v>0.73063326</v>
      </c>
      <c r="H808" s="0" t="inlineStr">
        <is>
          <t xml:space="preserve">supplier</t>
        </is>
      </c>
      <c r="I808" s="0" t="inlineStr">
        <is>
          <t xml:space="preserve">unbucketed</t>
        </is>
      </c>
      <c r="J808" s="0" t="inlineStr">
        <is>
          <t xml:space="preserve">residual</t>
        </is>
      </c>
      <c r="K808" s="5">
        <v>0</v>
      </c>
      <c r="L808" s="5">
        <v>0</v>
      </c>
      <c r="M808" s="5">
        <v>0.0</v>
      </c>
      <c r="N808" s="5">
        <v>0.0</v>
      </c>
      <c r="O808" s="5">
        <v>0.0</v>
      </c>
      <c r="P808" s="5">
        <v>0.0</v>
      </c>
      <c r="Q808" s="5">
        <v>0.0</v>
      </c>
    </row>
    <row r="809" outlineLevel="1">
      <c r="B809" s="0" t="inlineStr">
        <is>
          <t xml:space="preserve">RAYTHEON COMPANY</t>
        </is>
      </c>
      <c r="C809" s="0" t="inlineStr">
        <is>
          <t xml:space="preserve">YD6LTFVUZNG1</t>
        </is>
      </c>
      <c r="D809" s="0" t="inlineStr">
        <is>
          <t xml:space="preserve">-</t>
        </is>
      </c>
      <c r="E809" s="0" t="inlineStr">
        <is>
          <t xml:space="preserve">-</t>
        </is>
      </c>
      <c r="F809" s="0" t="inlineStr">
        <is>
          <t xml:space="preserve">-</t>
        </is>
      </c>
      <c r="G809" s="5">
        <v>0.728688</v>
      </c>
      <c r="H809" s="0" t="inlineStr">
        <is>
          <t xml:space="preserve">gfe_mib</t>
        </is>
      </c>
      <c r="I809" s="0" t="inlineStr">
        <is>
          <t xml:space="preserve">-</t>
        </is>
      </c>
      <c r="J809" s="0" t="inlineStr">
        <is>
          <t xml:space="preserve">GFE/MIB name</t>
        </is>
      </c>
      <c r="K809" s="5">
        <v>0</v>
      </c>
      <c r="L809" s="5">
        <v>0</v>
      </c>
      <c r="M809" s="5">
        <v>0.728688</v>
      </c>
      <c r="N809" s="5">
        <v>0.0</v>
      </c>
      <c r="O809" s="5">
        <v>0.728688</v>
      </c>
      <c r="P809" s="5">
        <v>0.0</v>
      </c>
      <c r="Q809" s="5">
        <v>0.0</v>
      </c>
    </row>
    <row r="810" outlineLevel="1">
      <c r="B810" s="0" t="inlineStr">
        <is>
          <t xml:space="preserve">POLYMER CORPORATION</t>
        </is>
      </c>
      <c r="C810" s="0" t="inlineStr">
        <is>
          <t xml:space="preserve">ZNKFJSLRBBE4</t>
        </is>
      </c>
      <c r="D810" s="0" t="inlineStr">
        <is>
          <t xml:space="preserve">-</t>
        </is>
      </c>
      <c r="E810" s="0" t="inlineStr">
        <is>
          <t xml:space="preserve">-</t>
        </is>
      </c>
      <c r="F810" s="0" t="inlineStr">
        <is>
          <t xml:space="preserve">-</t>
        </is>
      </c>
      <c r="G810" s="5">
        <v>0.727285</v>
      </c>
      <c r="H810" s="0" t="inlineStr">
        <is>
          <t xml:space="preserve">supplier</t>
        </is>
      </c>
      <c r="I810" s="0" t="inlineStr">
        <is>
          <t xml:space="preserve">unbucketed</t>
        </is>
      </c>
      <c r="J810" s="0" t="inlineStr">
        <is>
          <t xml:space="preserve">residual</t>
        </is>
      </c>
      <c r="K810" s="5">
        <v>0</v>
      </c>
      <c r="L810" s="5">
        <v>0</v>
      </c>
      <c r="M810" s="5">
        <v>0.0</v>
      </c>
      <c r="N810" s="5">
        <v>0.0</v>
      </c>
      <c r="O810" s="5">
        <v>0.0</v>
      </c>
      <c r="P810" s="5">
        <v>0.0</v>
      </c>
      <c r="Q810" s="5">
        <v>0.0</v>
      </c>
    </row>
    <row r="811" outlineLevel="1">
      <c r="B811" s="0" t="inlineStr">
        <is>
          <t xml:space="preserve">SUPERALLOY MANUFACTURING SOLUTIONS CORPORATION</t>
        </is>
      </c>
      <c r="C811" s="0" t="inlineStr">
        <is>
          <t xml:space="preserve">D39YQM6XLKM8</t>
        </is>
      </c>
      <c r="D811" s="0" t="inlineStr">
        <is>
          <t xml:space="preserve">-</t>
        </is>
      </c>
      <c r="E811" s="0" t="inlineStr">
        <is>
          <t xml:space="preserve">-</t>
        </is>
      </c>
      <c r="F811" s="0" t="inlineStr">
        <is>
          <t xml:space="preserve">-</t>
        </is>
      </c>
      <c r="G811" s="5">
        <v>0.726615</v>
      </c>
      <c r="H811" s="0" t="inlineStr">
        <is>
          <t xml:space="preserve">supplier</t>
        </is>
      </c>
      <c r="I811" s="0" t="inlineStr">
        <is>
          <t xml:space="preserve">unbucketed</t>
        </is>
      </c>
      <c r="J811" s="0" t="inlineStr">
        <is>
          <t xml:space="preserve">residual</t>
        </is>
      </c>
      <c r="K811" s="5">
        <v>0</v>
      </c>
      <c r="L811" s="5">
        <v>0</v>
      </c>
      <c r="M811" s="5">
        <v>0.0</v>
      </c>
      <c r="N811" s="5">
        <v>0.0</v>
      </c>
      <c r="O811" s="5">
        <v>0.0</v>
      </c>
      <c r="P811" s="5">
        <v>0.0</v>
      </c>
      <c r="Q811" s="5">
        <v>0.0</v>
      </c>
    </row>
    <row r="812" outlineLevel="1">
      <c r="B812" s="0" t="inlineStr">
        <is>
          <t xml:space="preserve">MCNALLY INDUSTRIES, LLC</t>
        </is>
      </c>
      <c r="C812" s="0" t="inlineStr">
        <is>
          <t xml:space="preserve">J5AJWFZ9H8Q6</t>
        </is>
      </c>
      <c r="D812" s="0" t="inlineStr">
        <is>
          <t xml:space="preserve">-</t>
        </is>
      </c>
      <c r="E812" s="0" t="inlineStr">
        <is>
          <t xml:space="preserve">-</t>
        </is>
      </c>
      <c r="F812" s="0" t="inlineStr">
        <is>
          <t xml:space="preserve">-</t>
        </is>
      </c>
      <c r="G812" s="5">
        <v>0.724005</v>
      </c>
      <c r="H812" s="0" t="inlineStr">
        <is>
          <t xml:space="preserve">supplier</t>
        </is>
      </c>
      <c r="I812" s="0" t="inlineStr">
        <is>
          <t xml:space="preserve">unbucketed</t>
        </is>
      </c>
      <c r="J812" s="0" t="inlineStr">
        <is>
          <t xml:space="preserve">residual</t>
        </is>
      </c>
      <c r="K812" s="5">
        <v>0</v>
      </c>
      <c r="L812" s="5">
        <v>0</v>
      </c>
      <c r="M812" s="5">
        <v>0.04324</v>
      </c>
      <c r="N812" s="5">
        <v>0.0</v>
      </c>
      <c r="O812" s="5">
        <v>0.0</v>
      </c>
      <c r="P812" s="5">
        <v>0.0</v>
      </c>
      <c r="Q812" s="5">
        <v>0.0</v>
      </c>
    </row>
    <row r="813" outlineLevel="1">
      <c r="B813" s="0" t="inlineStr">
        <is>
          <t xml:space="preserve">PHANTOM PRODUCTS, INC.</t>
        </is>
      </c>
      <c r="C813" s="0" t="inlineStr">
        <is>
          <t xml:space="preserve">GYFHPKKHRUR9</t>
        </is>
      </c>
      <c r="D813" s="0" t="inlineStr">
        <is>
          <t xml:space="preserve">-</t>
        </is>
      </c>
      <c r="E813" s="0" t="inlineStr">
        <is>
          <t xml:space="preserve">-</t>
        </is>
      </c>
      <c r="F813" s="0" t="inlineStr">
        <is>
          <t xml:space="preserve">-</t>
        </is>
      </c>
      <c r="G813" s="5">
        <v>0.71884497</v>
      </c>
      <c r="H813" s="0" t="inlineStr">
        <is>
          <t xml:space="preserve">supplier</t>
        </is>
      </c>
      <c r="I813" s="0" t="inlineStr">
        <is>
          <t xml:space="preserve">unbucketed</t>
        </is>
      </c>
      <c r="J813" s="0" t="inlineStr">
        <is>
          <t xml:space="preserve">residual</t>
        </is>
      </c>
      <c r="K813" s="5">
        <v>0</v>
      </c>
      <c r="L813" s="5">
        <v>0</v>
      </c>
      <c r="M813" s="5">
        <v>0.0</v>
      </c>
      <c r="N813" s="5">
        <v>0.0</v>
      </c>
      <c r="O813" s="5">
        <v>0.0</v>
      </c>
      <c r="P813" s="5">
        <v>0.0</v>
      </c>
      <c r="Q813" s="5">
        <v>0.0</v>
      </c>
    </row>
    <row r="814" outlineLevel="1">
      <c r="B814" s="0" t="inlineStr">
        <is>
          <t xml:space="preserve">FCG INC.</t>
        </is>
      </c>
      <c r="C814" s="0" t="inlineStr">
        <is>
          <t xml:space="preserve">UC6ATRPNJGR2</t>
        </is>
      </c>
      <c r="D814" s="0" t="inlineStr">
        <is>
          <t xml:space="preserve">-</t>
        </is>
      </c>
      <c r="E814" s="0" t="inlineStr">
        <is>
          <t xml:space="preserve">-</t>
        </is>
      </c>
      <c r="F814" s="0" t="inlineStr">
        <is>
          <t xml:space="preserve">-</t>
        </is>
      </c>
      <c r="G814" s="5">
        <v>0.7176153300000001</v>
      </c>
      <c r="H814" s="0" t="inlineStr">
        <is>
          <t xml:space="preserve">supplier</t>
        </is>
      </c>
      <c r="I814" s="0" t="inlineStr">
        <is>
          <t xml:space="preserve">unbucketed</t>
        </is>
      </c>
      <c r="J814" s="0" t="inlineStr">
        <is>
          <t xml:space="preserve">residual</t>
        </is>
      </c>
      <c r="K814" s="5">
        <v>0</v>
      </c>
      <c r="L814" s="5">
        <v>0</v>
      </c>
      <c r="M814" s="5">
        <v>0.0</v>
      </c>
      <c r="N814" s="5">
        <v>0.0</v>
      </c>
      <c r="O814" s="5">
        <v>0.0</v>
      </c>
      <c r="P814" s="5">
        <v>0.0</v>
      </c>
      <c r="Q814" s="5">
        <v>0.0</v>
      </c>
    </row>
    <row r="815" outlineLevel="1">
      <c r="B815" s="0" t="inlineStr">
        <is>
          <t xml:space="preserve">INTERNATIONAL WELDING &amp; FABRICATION INC.</t>
        </is>
      </c>
      <c r="C815" s="0" t="inlineStr">
        <is>
          <t xml:space="preserve">NJBMT6E7P7B4</t>
        </is>
      </c>
      <c r="D815" s="0" t="inlineStr">
        <is>
          <t xml:space="preserve">-</t>
        </is>
      </c>
      <c r="E815" s="0" t="inlineStr">
        <is>
          <t xml:space="preserve">-</t>
        </is>
      </c>
      <c r="F815" s="0" t="inlineStr">
        <is>
          <t xml:space="preserve">-</t>
        </is>
      </c>
      <c r="G815" s="5">
        <v>0.71442</v>
      </c>
      <c r="H815" s="0" t="inlineStr">
        <is>
          <t xml:space="preserve">supplier</t>
        </is>
      </c>
      <c r="I815" s="0" t="inlineStr">
        <is>
          <t xml:space="preserve">unbucketed</t>
        </is>
      </c>
      <c r="J815" s="0" t="inlineStr">
        <is>
          <t xml:space="preserve">residual</t>
        </is>
      </c>
      <c r="K815" s="5">
        <v>0</v>
      </c>
      <c r="L815" s="5">
        <v>0</v>
      </c>
      <c r="M815" s="5">
        <v>0.71442</v>
      </c>
      <c r="N815" s="5">
        <v>0.0</v>
      </c>
      <c r="O815" s="5">
        <v>0.71442</v>
      </c>
      <c r="P815" s="5">
        <v>0.0</v>
      </c>
      <c r="Q815" s="5">
        <v>0.0</v>
      </c>
    </row>
    <row r="816" outlineLevel="1">
      <c r="B816" s="0" t="inlineStr">
        <is>
          <t xml:space="preserve">CHROMALOX INC</t>
        </is>
      </c>
      <c r="C816" s="0" t="inlineStr">
        <is>
          <t xml:space="preserve">M8ZHL8ZXGQP5</t>
        </is>
      </c>
      <c r="D816" s="0" t="inlineStr">
        <is>
          <t xml:space="preserve">-</t>
        </is>
      </c>
      <c r="E816" s="0" t="inlineStr">
        <is>
          <t xml:space="preserve">-</t>
        </is>
      </c>
      <c r="F816" s="0" t="inlineStr">
        <is>
          <t xml:space="preserve">-</t>
        </is>
      </c>
      <c r="G816" s="5">
        <v>0.71420305</v>
      </c>
      <c r="H816" s="0" t="inlineStr">
        <is>
          <t xml:space="preserve">supplier</t>
        </is>
      </c>
      <c r="I816" s="0" t="inlineStr">
        <is>
          <t xml:space="preserve">unbucketed</t>
        </is>
      </c>
      <c r="J816" s="0" t="inlineStr">
        <is>
          <t xml:space="preserve">residual</t>
        </is>
      </c>
      <c r="K816" s="5">
        <v>0</v>
      </c>
      <c r="L816" s="5">
        <v>0</v>
      </c>
      <c r="M816" s="5">
        <v>0.0</v>
      </c>
      <c r="N816" s="5">
        <v>0.0</v>
      </c>
      <c r="O816" s="5">
        <v>0.0</v>
      </c>
      <c r="P816" s="5">
        <v>0.0</v>
      </c>
      <c r="Q816" s="5">
        <v>0.0</v>
      </c>
    </row>
    <row r="817" outlineLevel="1">
      <c r="B817" s="0" t="inlineStr">
        <is>
          <t xml:space="preserve">SUPERIOR AEROSPACE, INC.</t>
        </is>
      </c>
      <c r="C817" s="0" t="inlineStr">
        <is>
          <t xml:space="preserve">KT2YQA6NDXF9</t>
        </is>
      </c>
      <c r="D817" s="0" t="inlineStr">
        <is>
          <t xml:space="preserve">-</t>
        </is>
      </c>
      <c r="E817" s="0" t="inlineStr">
        <is>
          <t xml:space="preserve">-</t>
        </is>
      </c>
      <c r="F817" s="0" t="inlineStr">
        <is>
          <t xml:space="preserve">-</t>
        </is>
      </c>
      <c r="G817" s="5">
        <v>0.7123701100000001</v>
      </c>
      <c r="H817" s="0" t="inlineStr">
        <is>
          <t xml:space="preserve">supplier</t>
        </is>
      </c>
      <c r="I817" s="0" t="inlineStr">
        <is>
          <t xml:space="preserve">unbucketed</t>
        </is>
      </c>
      <c r="J817" s="0" t="inlineStr">
        <is>
          <t xml:space="preserve">residual</t>
        </is>
      </c>
      <c r="K817" s="5">
        <v>0</v>
      </c>
      <c r="L817" s="5">
        <v>0</v>
      </c>
      <c r="M817" s="5">
        <v>0.0</v>
      </c>
      <c r="N817" s="5">
        <v>0.0</v>
      </c>
      <c r="O817" s="5">
        <v>0.0</v>
      </c>
      <c r="P817" s="5">
        <v>0.0</v>
      </c>
      <c r="Q817" s="5">
        <v>0.0</v>
      </c>
    </row>
    <row r="818" outlineLevel="1">
      <c r="B818" s="0" t="inlineStr">
        <is>
          <t xml:space="preserve">LANZEN INC</t>
        </is>
      </c>
      <c r="C818" s="0" t="inlineStr">
        <is>
          <t xml:space="preserve">D7FGJHTABSH8</t>
        </is>
      </c>
      <c r="D818" s="0" t="inlineStr">
        <is>
          <t xml:space="preserve">-</t>
        </is>
      </c>
      <c r="E818" s="0" t="inlineStr">
        <is>
          <t xml:space="preserve">-</t>
        </is>
      </c>
      <c r="F818" s="0" t="inlineStr">
        <is>
          <t xml:space="preserve">-</t>
        </is>
      </c>
      <c r="G818" s="5">
        <v>0.7110957</v>
      </c>
      <c r="H818" s="0" t="inlineStr">
        <is>
          <t xml:space="preserve">supplier</t>
        </is>
      </c>
      <c r="I818" s="0" t="inlineStr">
        <is>
          <t xml:space="preserve">unbucketed</t>
        </is>
      </c>
      <c r="J818" s="0" t="inlineStr">
        <is>
          <t xml:space="preserve">residual</t>
        </is>
      </c>
      <c r="K818" s="5">
        <v>0</v>
      </c>
      <c r="L818" s="5">
        <v>0</v>
      </c>
      <c r="M818" s="5">
        <v>0.0</v>
      </c>
      <c r="N818" s="5">
        <v>0.0</v>
      </c>
      <c r="O818" s="5">
        <v>0.0</v>
      </c>
      <c r="P818" s="5">
        <v>0.0</v>
      </c>
      <c r="Q818" s="5">
        <v>0.0</v>
      </c>
    </row>
    <row r="819" outlineLevel="1">
      <c r="B819" s="0" t="inlineStr">
        <is>
          <t xml:space="preserve">ABC APPLICATORS INC</t>
        </is>
      </c>
      <c r="C819" s="0" t="inlineStr">
        <is>
          <t xml:space="preserve">KK9FFUUML8N1</t>
        </is>
      </c>
      <c r="D819" s="0" t="inlineStr">
        <is>
          <t xml:space="preserve">-</t>
        </is>
      </c>
      <c r="E819" s="0" t="inlineStr">
        <is>
          <t xml:space="preserve">-</t>
        </is>
      </c>
      <c r="F819" s="0" t="inlineStr">
        <is>
          <t xml:space="preserve">-</t>
        </is>
      </c>
      <c r="G819" s="5">
        <v>0.71079154</v>
      </c>
      <c r="H819" s="0" t="inlineStr">
        <is>
          <t xml:space="preserve">supplier</t>
        </is>
      </c>
      <c r="I819" s="0" t="inlineStr">
        <is>
          <t xml:space="preserve">unbucketed</t>
        </is>
      </c>
      <c r="J819" s="0" t="inlineStr">
        <is>
          <t xml:space="preserve">residual</t>
        </is>
      </c>
      <c r="K819" s="5">
        <v>0</v>
      </c>
      <c r="L819" s="5">
        <v>0</v>
      </c>
      <c r="M819" s="5">
        <v>0.71079154</v>
      </c>
      <c r="N819" s="5">
        <v>0.0</v>
      </c>
      <c r="O819" s="5">
        <v>0.0</v>
      </c>
      <c r="P819" s="5">
        <v>0.71079154</v>
      </c>
      <c r="Q819" s="5">
        <v>0.0</v>
      </c>
    </row>
    <row r="820" outlineLevel="1">
      <c r="B820" s="0" t="inlineStr">
        <is>
          <t xml:space="preserve">AUTOMATED EDM INCORPORATED</t>
        </is>
      </c>
      <c r="C820" s="0" t="inlineStr">
        <is>
          <t xml:space="preserve">PY9MEJN3NQ54</t>
        </is>
      </c>
      <c r="D820" s="0" t="inlineStr">
        <is>
          <t xml:space="preserve">-</t>
        </is>
      </c>
      <c r="E820" s="0" t="inlineStr">
        <is>
          <t xml:space="preserve">-</t>
        </is>
      </c>
      <c r="F820" s="0" t="inlineStr">
        <is>
          <t xml:space="preserve">-</t>
        </is>
      </c>
      <c r="G820" s="5">
        <v>0.7103200000000001</v>
      </c>
      <c r="H820" s="0" t="inlineStr">
        <is>
          <t xml:space="preserve">supplier</t>
        </is>
      </c>
      <c r="I820" s="0" t="inlineStr">
        <is>
          <t xml:space="preserve">unbucketed</t>
        </is>
      </c>
      <c r="J820" s="0" t="inlineStr">
        <is>
          <t xml:space="preserve">residual</t>
        </is>
      </c>
      <c r="K820" s="5">
        <v>0</v>
      </c>
      <c r="L820" s="5">
        <v>0</v>
      </c>
      <c r="M820" s="5">
        <v>0.0</v>
      </c>
      <c r="N820" s="5">
        <v>0.0</v>
      </c>
      <c r="O820" s="5">
        <v>0.0</v>
      </c>
      <c r="P820" s="5">
        <v>0.0</v>
      </c>
      <c r="Q820" s="5">
        <v>0.0</v>
      </c>
    </row>
    <row r="821" outlineLevel="1">
      <c r="B821" s="0" t="inlineStr">
        <is>
          <t xml:space="preserve">MERCURY SYSTEMS INC</t>
        </is>
      </c>
      <c r="C821" s="0" t="inlineStr">
        <is>
          <t xml:space="preserve">E765XJZCPQQ1</t>
        </is>
      </c>
      <c r="D821" s="0" t="inlineStr">
        <is>
          <t xml:space="preserve">USA</t>
        </is>
      </c>
      <c r="E821" s="0" t="inlineStr">
        <is>
          <t xml:space="preserve">3341</t>
        </is>
      </c>
      <c r="F821" s="0" t="inlineStr">
        <is>
          <t xml:space="preserve">Electronic Computer Manufacturing</t>
        </is>
      </c>
      <c r="G821" s="5">
        <v>0.7091448</v>
      </c>
      <c r="H821" s="0" t="inlineStr">
        <is>
          <t xml:space="preserve">mission_systems</t>
        </is>
      </c>
      <c r="I821" s="0" t="inlineStr">
        <is>
          <t xml:space="preserve">-</t>
        </is>
      </c>
      <c r="J821" s="0" t="inlineStr">
        <is>
          <t xml:space="preserve">registry</t>
        </is>
      </c>
      <c r="K821" s="5">
        <v>0</v>
      </c>
      <c r="L821" s="5">
        <v>0</v>
      </c>
      <c r="M821" s="5">
        <v>0.0</v>
      </c>
      <c r="N821" s="5">
        <v>0.0</v>
      </c>
      <c r="O821" s="5">
        <v>0.0</v>
      </c>
      <c r="P821" s="5">
        <v>0.0</v>
      </c>
      <c r="Q821" s="5">
        <v>0.0</v>
      </c>
    </row>
    <row r="822" outlineLevel="1">
      <c r="B822" s="0" t="inlineStr">
        <is>
          <t xml:space="preserve">ACTRON ENTITIES, INC.</t>
        </is>
      </c>
      <c r="C822" s="0" t="inlineStr">
        <is>
          <t xml:space="preserve">KAMDTHMU3Z83</t>
        </is>
      </c>
      <c r="D822" s="0" t="inlineStr">
        <is>
          <t xml:space="preserve">-</t>
        </is>
      </c>
      <c r="E822" s="0" t="inlineStr">
        <is>
          <t xml:space="preserve">-</t>
        </is>
      </c>
      <c r="F822" s="0" t="inlineStr">
        <is>
          <t xml:space="preserve">-</t>
        </is>
      </c>
      <c r="G822" s="5">
        <v>0.70847091</v>
      </c>
      <c r="H822" s="0" t="inlineStr">
        <is>
          <t xml:space="preserve">supplier</t>
        </is>
      </c>
      <c r="I822" s="0" t="inlineStr">
        <is>
          <t xml:space="preserve">unbucketed</t>
        </is>
      </c>
      <c r="J822" s="0" t="inlineStr">
        <is>
          <t xml:space="preserve">residual</t>
        </is>
      </c>
      <c r="K822" s="5">
        <v>0</v>
      </c>
      <c r="L822" s="5">
        <v>0</v>
      </c>
      <c r="M822" s="5">
        <v>0.0</v>
      </c>
      <c r="N822" s="5">
        <v>0.0</v>
      </c>
      <c r="O822" s="5">
        <v>0.0</v>
      </c>
      <c r="P822" s="5">
        <v>0.0</v>
      </c>
      <c r="Q822" s="5">
        <v>0.0</v>
      </c>
    </row>
    <row r="823" outlineLevel="1">
      <c r="B823" s="0" t="inlineStr">
        <is>
          <t xml:space="preserve">HUNTINGTON INGALLS INDUSTRIES, INC.</t>
        </is>
      </c>
      <c r="C823" s="0" t="inlineStr">
        <is>
          <t xml:space="preserve">JWJDWJ1DFLU9</t>
        </is>
      </c>
      <c r="D823" s="0" t="inlineStr">
        <is>
          <t xml:space="preserve">-</t>
        </is>
      </c>
      <c r="E823" s="0" t="inlineStr">
        <is>
          <t xml:space="preserve">-</t>
        </is>
      </c>
      <c r="F823" s="0" t="inlineStr">
        <is>
          <t xml:space="preserve">-</t>
        </is>
      </c>
      <c r="G823" s="5">
        <v>0.7071040000000001</v>
      </c>
      <c r="H823" s="0" t="inlineStr">
        <is>
          <t xml:space="preserve">co_prime</t>
        </is>
      </c>
      <c r="I823" s="0" t="inlineStr">
        <is>
          <t xml:space="preserve">-</t>
        </is>
      </c>
      <c r="J823" s="0" t="inlineStr">
        <is>
          <t xml:space="preserve">prime/co-prime name</t>
        </is>
      </c>
      <c r="K823" s="5">
        <v>0</v>
      </c>
      <c r="L823" s="5">
        <v>0</v>
      </c>
      <c r="M823" s="5">
        <v>0.0</v>
      </c>
      <c r="N823" s="5">
        <v>0.0</v>
      </c>
      <c r="O823" s="5">
        <v>0.0</v>
      </c>
      <c r="P823" s="5">
        <v>0.0</v>
      </c>
      <c r="Q823" s="5">
        <v>0.0</v>
      </c>
    </row>
    <row r="824" outlineLevel="1">
      <c r="B824" s="0" t="inlineStr">
        <is>
          <t xml:space="preserve">TATE ANDALE, LLC</t>
        </is>
      </c>
      <c r="C824" s="0" t="inlineStr">
        <is>
          <t xml:space="preserve">DQLZFV6PFCB9</t>
        </is>
      </c>
      <c r="D824" s="0" t="inlineStr">
        <is>
          <t xml:space="preserve">-</t>
        </is>
      </c>
      <c r="E824" s="0" t="inlineStr">
        <is>
          <t xml:space="preserve">-</t>
        </is>
      </c>
      <c r="F824" s="0" t="inlineStr">
        <is>
          <t xml:space="preserve">-</t>
        </is>
      </c>
      <c r="G824" s="5">
        <v>0.705854</v>
      </c>
      <c r="H824" s="0" t="inlineStr">
        <is>
          <t xml:space="preserve">supplier</t>
        </is>
      </c>
      <c r="I824" s="0" t="inlineStr">
        <is>
          <t xml:space="preserve">unbucketed</t>
        </is>
      </c>
      <c r="J824" s="0" t="inlineStr">
        <is>
          <t xml:space="preserve">residual</t>
        </is>
      </c>
      <c r="K824" s="5">
        <v>0</v>
      </c>
      <c r="L824" s="5">
        <v>0</v>
      </c>
      <c r="M824" s="5">
        <v>0.705854</v>
      </c>
      <c r="N824" s="5">
        <v>0.04123075</v>
      </c>
      <c r="O824" s="5">
        <v>0.193019</v>
      </c>
      <c r="P824" s="5">
        <v>0.0</v>
      </c>
      <c r="Q824" s="5">
        <v>0.22133525</v>
      </c>
    </row>
    <row r="825" outlineLevel="1">
      <c r="B825" s="0" t="inlineStr">
        <is>
          <t xml:space="preserve">J T MANUFACTURING CORPORATION</t>
        </is>
      </c>
      <c r="C825" s="0" t="inlineStr">
        <is>
          <t xml:space="preserve">K4APKLUE4S98</t>
        </is>
      </c>
      <c r="D825" s="0" t="inlineStr">
        <is>
          <t xml:space="preserve">-</t>
        </is>
      </c>
      <c r="E825" s="0" t="inlineStr">
        <is>
          <t xml:space="preserve">-</t>
        </is>
      </c>
      <c r="F825" s="0" t="inlineStr">
        <is>
          <t xml:space="preserve">-</t>
        </is>
      </c>
      <c r="G825" s="5">
        <v>0.705107</v>
      </c>
      <c r="H825" s="0" t="inlineStr">
        <is>
          <t xml:space="preserve">supplier</t>
        </is>
      </c>
      <c r="I825" s="0" t="inlineStr">
        <is>
          <t xml:space="preserve">unbucketed</t>
        </is>
      </c>
      <c r="J825" s="0" t="inlineStr">
        <is>
          <t xml:space="preserve">residual</t>
        </is>
      </c>
      <c r="K825" s="5">
        <v>0</v>
      </c>
      <c r="L825" s="5">
        <v>0</v>
      </c>
      <c r="M825" s="5">
        <v>0.0</v>
      </c>
      <c r="N825" s="5">
        <v>0.0</v>
      </c>
      <c r="O825" s="5">
        <v>0.0</v>
      </c>
      <c r="P825" s="5">
        <v>0.0</v>
      </c>
      <c r="Q825" s="5">
        <v>0.0</v>
      </c>
    </row>
    <row r="826" outlineLevel="1">
      <c r="B826" s="0" t="inlineStr">
        <is>
          <t xml:space="preserve">OMEGA PRECISION</t>
        </is>
      </c>
      <c r="C826" s="0" t="inlineStr">
        <is>
          <t xml:space="preserve">KMNEP97KAG75</t>
        </is>
      </c>
      <c r="D826" s="0" t="inlineStr">
        <is>
          <t xml:space="preserve">-</t>
        </is>
      </c>
      <c r="E826" s="0" t="inlineStr">
        <is>
          <t xml:space="preserve">-</t>
        </is>
      </c>
      <c r="F826" s="0" t="inlineStr">
        <is>
          <t xml:space="preserve">-</t>
        </is>
      </c>
      <c r="G826" s="5">
        <v>0.70221381</v>
      </c>
      <c r="H826" s="0" t="inlineStr">
        <is>
          <t xml:space="preserve">supplier</t>
        </is>
      </c>
      <c r="I826" s="0" t="inlineStr">
        <is>
          <t xml:space="preserve">unbucketed</t>
        </is>
      </c>
      <c r="J826" s="0" t="inlineStr">
        <is>
          <t xml:space="preserve">residual</t>
        </is>
      </c>
      <c r="K826" s="5">
        <v>0</v>
      </c>
      <c r="L826" s="5">
        <v>0</v>
      </c>
      <c r="M826" s="5">
        <v>0.0</v>
      </c>
      <c r="N826" s="5">
        <v>0.0</v>
      </c>
      <c r="O826" s="5">
        <v>0.0</v>
      </c>
      <c r="P826" s="5">
        <v>0.0</v>
      </c>
      <c r="Q826" s="5">
        <v>0.0</v>
      </c>
    </row>
    <row r="827" outlineLevel="1">
      <c r="B827" s="0" t="inlineStr">
        <is>
          <t xml:space="preserve">UNITED TECHNOLOGIES CORPORATION</t>
        </is>
      </c>
      <c r="C827" s="0" t="inlineStr">
        <is>
          <t xml:space="preserve">E6UBH1UE4UJ5</t>
        </is>
      </c>
      <c r="D827" s="0" t="inlineStr">
        <is>
          <t xml:space="preserve">-</t>
        </is>
      </c>
      <c r="E827" s="0" t="inlineStr">
        <is>
          <t xml:space="preserve">-</t>
        </is>
      </c>
      <c r="F827" s="0" t="inlineStr">
        <is>
          <t xml:space="preserve">-</t>
        </is>
      </c>
      <c r="G827" s="5">
        <v>0.69742</v>
      </c>
      <c r="H827" s="0" t="inlineStr">
        <is>
          <t xml:space="preserve">supplier</t>
        </is>
      </c>
      <c r="I827" s="0" t="inlineStr">
        <is>
          <t xml:space="preserve">unbucketed</t>
        </is>
      </c>
      <c r="J827" s="0" t="inlineStr">
        <is>
          <t xml:space="preserve">residual</t>
        </is>
      </c>
      <c r="K827" s="5">
        <v>0</v>
      </c>
      <c r="L827" s="5">
        <v>0</v>
      </c>
      <c r="M827" s="5">
        <v>0.0</v>
      </c>
      <c r="N827" s="5">
        <v>0.0</v>
      </c>
      <c r="O827" s="5">
        <v>0.0</v>
      </c>
      <c r="P827" s="5">
        <v>0.0</v>
      </c>
      <c r="Q827" s="5">
        <v>0.0</v>
      </c>
    </row>
    <row r="828" outlineLevel="1">
      <c r="B828" s="0" t="inlineStr">
        <is>
          <t xml:space="preserve">MERCURY SYSTEMS, INC.</t>
        </is>
      </c>
      <c r="C828" s="0" t="inlineStr">
        <is>
          <t xml:space="preserve">E765XJZCPQQ1</t>
        </is>
      </c>
      <c r="D828" s="0" t="inlineStr">
        <is>
          <t xml:space="preserve">USA</t>
        </is>
      </c>
      <c r="E828" s="0" t="inlineStr">
        <is>
          <t xml:space="preserve">3341</t>
        </is>
      </c>
      <c r="F828" s="0" t="inlineStr">
        <is>
          <t xml:space="preserve">Electronic Computer Manufacturing</t>
        </is>
      </c>
      <c r="G828" s="5">
        <v>0.6955</v>
      </c>
      <c r="H828" s="0" t="inlineStr">
        <is>
          <t xml:space="preserve">mission_systems</t>
        </is>
      </c>
      <c r="I828" s="0" t="inlineStr">
        <is>
          <t xml:space="preserve">-</t>
        </is>
      </c>
      <c r="J828" s="0" t="inlineStr">
        <is>
          <t xml:space="preserve">registry</t>
        </is>
      </c>
      <c r="K828" s="5">
        <v>0</v>
      </c>
      <c r="L828" s="5">
        <v>0</v>
      </c>
      <c r="M828" s="5">
        <v>0.0</v>
      </c>
      <c r="N828" s="5">
        <v>0.0</v>
      </c>
      <c r="O828" s="5">
        <v>0.0</v>
      </c>
      <c r="P828" s="5">
        <v>0.0</v>
      </c>
      <c r="Q828" s="5">
        <v>0.0</v>
      </c>
    </row>
    <row r="829" outlineLevel="1">
      <c r="B829" s="0" t="inlineStr">
        <is>
          <t xml:space="preserve">MERRILL TOOL HOLDING COMPANY</t>
        </is>
      </c>
      <c r="C829" s="0" t="inlineStr">
        <is>
          <t xml:space="preserve">DLLCKA14LMZ5</t>
        </is>
      </c>
      <c r="D829" s="0" t="inlineStr">
        <is>
          <t xml:space="preserve">-</t>
        </is>
      </c>
      <c r="E829" s="0" t="inlineStr">
        <is>
          <t xml:space="preserve">-</t>
        </is>
      </c>
      <c r="F829" s="0" t="inlineStr">
        <is>
          <t xml:space="preserve">-</t>
        </is>
      </c>
      <c r="G829" s="5">
        <v>0.6902775</v>
      </c>
      <c r="H829" s="0" t="inlineStr">
        <is>
          <t xml:space="preserve">supplier</t>
        </is>
      </c>
      <c r="I829" s="0" t="inlineStr">
        <is>
          <t xml:space="preserve">unbucketed</t>
        </is>
      </c>
      <c r="J829" s="0" t="inlineStr">
        <is>
          <t xml:space="preserve">registry</t>
        </is>
      </c>
      <c r="K829" s="5">
        <v>0</v>
      </c>
      <c r="L829" s="5">
        <v>0</v>
      </c>
      <c r="M829" s="5">
        <v>0.0</v>
      </c>
      <c r="N829" s="5">
        <v>0.0</v>
      </c>
      <c r="O829" s="5">
        <v>0.0</v>
      </c>
      <c r="P829" s="5">
        <v>0.0</v>
      </c>
      <c r="Q829" s="5">
        <v>0.0</v>
      </c>
    </row>
    <row r="830" outlineLevel="1">
      <c r="B830" s="0" t="inlineStr">
        <is>
          <t xml:space="preserve">JO-KELL INC</t>
        </is>
      </c>
      <c r="C830" s="0" t="inlineStr">
        <is>
          <t xml:space="preserve">KNEFNMWXBK39</t>
        </is>
      </c>
      <c r="D830" s="0" t="inlineStr">
        <is>
          <t xml:space="preserve">-</t>
        </is>
      </c>
      <c r="E830" s="0" t="inlineStr">
        <is>
          <t xml:space="preserve">-</t>
        </is>
      </c>
      <c r="F830" s="0" t="inlineStr">
        <is>
          <t xml:space="preserve">-</t>
        </is>
      </c>
      <c r="G830" s="5">
        <v>0.6897190000000001</v>
      </c>
      <c r="H830" s="0" t="inlineStr">
        <is>
          <t xml:space="preserve">supplier</t>
        </is>
      </c>
      <c r="I830" s="0" t="inlineStr">
        <is>
          <t xml:space="preserve">unbucketed</t>
        </is>
      </c>
      <c r="J830" s="0" t="inlineStr">
        <is>
          <t xml:space="preserve">residual</t>
        </is>
      </c>
      <c r="K830" s="5">
        <v>0</v>
      </c>
      <c r="L830" s="5">
        <v>0</v>
      </c>
      <c r="M830" s="5">
        <v>0.6897190000000001</v>
      </c>
      <c r="N830" s="5">
        <v>0.229831</v>
      </c>
      <c r="O830" s="5">
        <v>0.45988799999999996</v>
      </c>
      <c r="P830" s="5">
        <v>0.0</v>
      </c>
      <c r="Q830" s="5">
        <v>0.0</v>
      </c>
    </row>
    <row r="831" outlineLevel="1">
      <c r="B831" s="0" t="inlineStr">
        <is>
          <t xml:space="preserve">QUESTECH SERVICES CORP</t>
        </is>
      </c>
      <c r="C831" s="0" t="inlineStr">
        <is>
          <t xml:space="preserve">FM8UKJP55RA7</t>
        </is>
      </c>
      <c r="D831" s="0" t="inlineStr">
        <is>
          <t xml:space="preserve">-</t>
        </is>
      </c>
      <c r="E831" s="0" t="inlineStr">
        <is>
          <t xml:space="preserve">-</t>
        </is>
      </c>
      <c r="F831" s="0" t="inlineStr">
        <is>
          <t xml:space="preserve">-</t>
        </is>
      </c>
      <c r="G831" s="5">
        <v>0.68885</v>
      </c>
      <c r="H831" s="0" t="inlineStr">
        <is>
          <t xml:space="preserve">supplier</t>
        </is>
      </c>
      <c r="I831" s="0" t="inlineStr">
        <is>
          <t xml:space="preserve">unbucketed</t>
        </is>
      </c>
      <c r="J831" s="0" t="inlineStr">
        <is>
          <t xml:space="preserve">residual</t>
        </is>
      </c>
      <c r="K831" s="5">
        <v>0</v>
      </c>
      <c r="L831" s="5">
        <v>0</v>
      </c>
      <c r="M831" s="5">
        <v>0.0</v>
      </c>
      <c r="N831" s="5">
        <v>0.0</v>
      </c>
      <c r="O831" s="5">
        <v>0.0</v>
      </c>
      <c r="P831" s="5">
        <v>0.0</v>
      </c>
      <c r="Q831" s="5">
        <v>0.0</v>
      </c>
    </row>
    <row r="832" outlineLevel="1">
      <c r="B832" s="0" t="inlineStr">
        <is>
          <t xml:space="preserve">WALZ &amp; KRENZER, INC.</t>
        </is>
      </c>
      <c r="C832" s="0" t="inlineStr">
        <is>
          <t xml:space="preserve">NY66W8KMH427</t>
        </is>
      </c>
      <c r="D832" s="0" t="inlineStr">
        <is>
          <t xml:space="preserve">-</t>
        </is>
      </c>
      <c r="E832" s="0" t="inlineStr">
        <is>
          <t xml:space="preserve">-</t>
        </is>
      </c>
      <c r="F832" s="0" t="inlineStr">
        <is>
          <t xml:space="preserve">-</t>
        </is>
      </c>
      <c r="G832" s="5">
        <v>0.687557</v>
      </c>
      <c r="H832" s="0" t="inlineStr">
        <is>
          <t xml:space="preserve">supplier</t>
        </is>
      </c>
      <c r="I832" s="0" t="inlineStr">
        <is>
          <t xml:space="preserve">unbucketed</t>
        </is>
      </c>
      <c r="J832" s="0" t="inlineStr">
        <is>
          <t xml:space="preserve">residual</t>
        </is>
      </c>
      <c r="K832" s="5">
        <v>0</v>
      </c>
      <c r="L832" s="5">
        <v>0</v>
      </c>
      <c r="M832" s="5">
        <v>0.15786</v>
      </c>
      <c r="N832" s="5">
        <v>0.0</v>
      </c>
      <c r="O832" s="5">
        <v>0.15786</v>
      </c>
      <c r="P832" s="5">
        <v>0.0</v>
      </c>
      <c r="Q832" s="5">
        <v>0.0</v>
      </c>
    </row>
    <row r="833" outlineLevel="1">
      <c r="B833" s="0" t="inlineStr">
        <is>
          <t xml:space="preserve">SAWSTREET LLC</t>
        </is>
      </c>
      <c r="C833" s="0" t="inlineStr">
        <is>
          <t xml:space="preserve">J1E6NRGLUBD5</t>
        </is>
      </c>
      <c r="D833" s="0" t="inlineStr">
        <is>
          <t xml:space="preserve">-</t>
        </is>
      </c>
      <c r="E833" s="0" t="inlineStr">
        <is>
          <t xml:space="preserve">-</t>
        </is>
      </c>
      <c r="F833" s="0" t="inlineStr">
        <is>
          <t xml:space="preserve">-</t>
        </is>
      </c>
      <c r="G833" s="5">
        <v>0.6875</v>
      </c>
      <c r="H833" s="0" t="inlineStr">
        <is>
          <t xml:space="preserve">supplier</t>
        </is>
      </c>
      <c r="I833" s="0" t="inlineStr">
        <is>
          <t xml:space="preserve">unbucketed</t>
        </is>
      </c>
      <c r="J833" s="0" t="inlineStr">
        <is>
          <t xml:space="preserve">residual</t>
        </is>
      </c>
      <c r="K833" s="5">
        <v>0</v>
      </c>
      <c r="L833" s="5">
        <v>0</v>
      </c>
      <c r="M833" s="5">
        <v>0.0</v>
      </c>
      <c r="N833" s="5">
        <v>0.0</v>
      </c>
      <c r="O833" s="5">
        <v>0.0</v>
      </c>
      <c r="P833" s="5">
        <v>0.0</v>
      </c>
      <c r="Q833" s="5">
        <v>0.0</v>
      </c>
    </row>
    <row r="834" outlineLevel="1">
      <c r="B834" s="0" t="inlineStr">
        <is>
          <t xml:space="preserve">L3HARRIS TECHNOLOGIES, INC.</t>
        </is>
      </c>
      <c r="C834" s="0" t="inlineStr">
        <is>
          <t xml:space="preserve">HLE1E2KALJA5</t>
        </is>
      </c>
      <c r="D834" s="0" t="inlineStr">
        <is>
          <t xml:space="preserve">USA</t>
        </is>
      </c>
      <c r="E834" s="0" t="inlineStr">
        <is>
          <t xml:space="preserve">3353</t>
        </is>
      </c>
      <c r="F834" s="0" t="inlineStr">
        <is>
          <t xml:space="preserve">Power, Distribution, and Specialty Transformer Manufacturing</t>
        </is>
      </c>
      <c r="G834" s="5">
        <v>0.686279</v>
      </c>
      <c r="H834" s="0" t="inlineStr">
        <is>
          <t xml:space="preserve">supplier</t>
        </is>
      </c>
      <c r="I834" s="0" t="inlineStr">
        <is>
          <t xml:space="preserve">electrical</t>
        </is>
      </c>
      <c r="J834" s="0" t="inlineStr">
        <is>
          <t xml:space="preserve">registry</t>
        </is>
      </c>
      <c r="K834" s="5">
        <v>0</v>
      </c>
      <c r="L834" s="5">
        <v>0</v>
      </c>
      <c r="M834" s="5">
        <v>0.686279</v>
      </c>
      <c r="N834" s="5">
        <v>0.5879880000000001</v>
      </c>
      <c r="O834" s="5">
        <v>0.09829099999999999</v>
      </c>
      <c r="P834" s="5">
        <v>0.0</v>
      </c>
      <c r="Q834" s="5">
        <v>0.0</v>
      </c>
    </row>
    <row r="835" outlineLevel="1">
      <c r="B835" s="0" t="inlineStr">
        <is>
          <t xml:space="preserve">E &amp; A PRODUCTS, INC.</t>
        </is>
      </c>
      <c r="C835" s="0" t="inlineStr">
        <is>
          <t xml:space="preserve">RF2BMJ23CUK5</t>
        </is>
      </c>
      <c r="D835" s="0" t="inlineStr">
        <is>
          <t xml:space="preserve">-</t>
        </is>
      </c>
      <c r="E835" s="0" t="inlineStr">
        <is>
          <t xml:space="preserve">-</t>
        </is>
      </c>
      <c r="F835" s="0" t="inlineStr">
        <is>
          <t xml:space="preserve">-</t>
        </is>
      </c>
      <c r="G835" s="5">
        <v>0.68555948</v>
      </c>
      <c r="H835" s="0" t="inlineStr">
        <is>
          <t xml:space="preserve">supplier</t>
        </is>
      </c>
      <c r="I835" s="0" t="inlineStr">
        <is>
          <t xml:space="preserve">unbucketed</t>
        </is>
      </c>
      <c r="J835" s="0" t="inlineStr">
        <is>
          <t xml:space="preserve">residual</t>
        </is>
      </c>
      <c r="K835" s="5">
        <v>0</v>
      </c>
      <c r="L835" s="5">
        <v>0</v>
      </c>
      <c r="M835" s="5">
        <v>0.0</v>
      </c>
      <c r="N835" s="5">
        <v>0.0</v>
      </c>
      <c r="O835" s="5">
        <v>0.0</v>
      </c>
      <c r="P835" s="5">
        <v>0.0</v>
      </c>
      <c r="Q835" s="5">
        <v>0.0</v>
      </c>
    </row>
    <row r="836" outlineLevel="1">
      <c r="B836" s="0" t="inlineStr">
        <is>
          <t xml:space="preserve">GROUPE SOCOMORE</t>
        </is>
      </c>
      <c r="C836" s="0" t="inlineStr">
        <is>
          <t xml:space="preserve">LZNQL4SJ2C32</t>
        </is>
      </c>
      <c r="D836" s="0" t="inlineStr">
        <is>
          <t xml:space="preserve">-</t>
        </is>
      </c>
      <c r="E836" s="0" t="inlineStr">
        <is>
          <t xml:space="preserve">-</t>
        </is>
      </c>
      <c r="F836" s="0" t="inlineStr">
        <is>
          <t xml:space="preserve">-</t>
        </is>
      </c>
      <c r="G836" s="5">
        <v>0.68346288</v>
      </c>
      <c r="H836" s="0" t="inlineStr">
        <is>
          <t xml:space="preserve">supplier</t>
        </is>
      </c>
      <c r="I836" s="0" t="inlineStr">
        <is>
          <t xml:space="preserve">unbucketed</t>
        </is>
      </c>
      <c r="J836" s="0" t="inlineStr">
        <is>
          <t xml:space="preserve">residual</t>
        </is>
      </c>
      <c r="K836" s="5">
        <v>0</v>
      </c>
      <c r="L836" s="5">
        <v>0</v>
      </c>
      <c r="M836" s="5">
        <v>0.0</v>
      </c>
      <c r="N836" s="5">
        <v>0.0</v>
      </c>
      <c r="O836" s="5">
        <v>0.0</v>
      </c>
      <c r="P836" s="5">
        <v>0.0</v>
      </c>
      <c r="Q836" s="5">
        <v>0.0</v>
      </c>
    </row>
    <row r="837" outlineLevel="1">
      <c r="B837" s="0" t="inlineStr">
        <is>
          <t xml:space="preserve">AIRBUS SE</t>
        </is>
      </c>
      <c r="C837" s="0" t="inlineStr">
        <is>
          <t xml:space="preserve">HW26DHTPD7Y9</t>
        </is>
      </c>
      <c r="D837" s="0" t="inlineStr">
        <is>
          <t xml:space="preserve">-</t>
        </is>
      </c>
      <c r="E837" s="0" t="inlineStr">
        <is>
          <t xml:space="preserve">-</t>
        </is>
      </c>
      <c r="F837" s="0" t="inlineStr">
        <is>
          <t xml:space="preserve">-</t>
        </is>
      </c>
      <c r="G837" s="5">
        <v>0.6834592</v>
      </c>
      <c r="H837" s="0" t="inlineStr">
        <is>
          <t xml:space="preserve">supplier</t>
        </is>
      </c>
      <c r="I837" s="0" t="inlineStr">
        <is>
          <t xml:space="preserve">unbucketed</t>
        </is>
      </c>
      <c r="J837" s="0" t="inlineStr">
        <is>
          <t xml:space="preserve">residual</t>
        </is>
      </c>
      <c r="K837" s="5">
        <v>0</v>
      </c>
      <c r="L837" s="5">
        <v>0</v>
      </c>
      <c r="M837" s="5">
        <v>0.0</v>
      </c>
      <c r="N837" s="5">
        <v>0.0</v>
      </c>
      <c r="O837" s="5">
        <v>0.0</v>
      </c>
      <c r="P837" s="5">
        <v>0.0</v>
      </c>
      <c r="Q837" s="5">
        <v>0.0</v>
      </c>
    </row>
    <row r="838" outlineLevel="1">
      <c r="B838" s="0" t="inlineStr">
        <is>
          <t xml:space="preserve">SPECTRIS PLC</t>
        </is>
      </c>
      <c r="C838" s="0" t="inlineStr">
        <is>
          <t xml:space="preserve">YK46GJRH4W87</t>
        </is>
      </c>
      <c r="D838" s="0" t="inlineStr">
        <is>
          <t xml:space="preserve">-</t>
        </is>
      </c>
      <c r="E838" s="0" t="inlineStr">
        <is>
          <t xml:space="preserve">-</t>
        </is>
      </c>
      <c r="F838" s="0" t="inlineStr">
        <is>
          <t xml:space="preserve">-</t>
        </is>
      </c>
      <c r="G838" s="5">
        <v>0.680574</v>
      </c>
      <c r="H838" s="0" t="inlineStr">
        <is>
          <t xml:space="preserve">supplier</t>
        </is>
      </c>
      <c r="I838" s="0" t="inlineStr">
        <is>
          <t xml:space="preserve">unbucketed</t>
        </is>
      </c>
      <c r="J838" s="0" t="inlineStr">
        <is>
          <t xml:space="preserve">residual</t>
        </is>
      </c>
      <c r="K838" s="5">
        <v>0</v>
      </c>
      <c r="L838" s="5">
        <v>0</v>
      </c>
      <c r="M838" s="5">
        <v>0.0</v>
      </c>
      <c r="N838" s="5">
        <v>0.0</v>
      </c>
      <c r="O838" s="5">
        <v>0.0</v>
      </c>
      <c r="P838" s="5">
        <v>0.0</v>
      </c>
      <c r="Q838" s="5">
        <v>0.0</v>
      </c>
    </row>
    <row r="839" outlineLevel="1">
      <c r="B839" s="0" t="inlineStr">
        <is>
          <t xml:space="preserve">ELLWOOD CITY FORGE COMPANY</t>
        </is>
      </c>
      <c r="C839" s="0" t="inlineStr">
        <is>
          <t xml:space="preserve">N9DVRB18H324</t>
        </is>
      </c>
      <c r="D839" s="0" t="inlineStr">
        <is>
          <t xml:space="preserve">-</t>
        </is>
      </c>
      <c r="E839" s="0" t="inlineStr">
        <is>
          <t xml:space="preserve">-</t>
        </is>
      </c>
      <c r="F839" s="0" t="inlineStr">
        <is>
          <t xml:space="preserve">-</t>
        </is>
      </c>
      <c r="G839" s="5">
        <v>0.680431</v>
      </c>
      <c r="H839" s="0" t="inlineStr">
        <is>
          <t xml:space="preserve">supplier</t>
        </is>
      </c>
      <c r="I839" s="0" t="inlineStr">
        <is>
          <t xml:space="preserve">unbucketed</t>
        </is>
      </c>
      <c r="J839" s="0" t="inlineStr">
        <is>
          <t xml:space="preserve">residual</t>
        </is>
      </c>
      <c r="K839" s="5">
        <v>0</v>
      </c>
      <c r="L839" s="5">
        <v>0</v>
      </c>
      <c r="M839" s="5">
        <v>0.680431</v>
      </c>
      <c r="N839" s="5">
        <v>0.34998</v>
      </c>
      <c r="O839" s="5">
        <v>0.0</v>
      </c>
      <c r="P839" s="5">
        <v>0.330451</v>
      </c>
      <c r="Q839" s="5">
        <v>0.0</v>
      </c>
    </row>
    <row r="840" outlineLevel="1">
      <c r="B840" s="0" t="inlineStr">
        <is>
          <t xml:space="preserve">AMETEK INC.</t>
        </is>
      </c>
      <c r="C840" s="0" t="inlineStr">
        <is>
          <t xml:space="preserve">GRJNA7M9EUQ5</t>
        </is>
      </c>
      <c r="D840" s="0" t="inlineStr">
        <is>
          <t xml:space="preserve">USA</t>
        </is>
      </c>
      <c r="E840" s="0" t="inlineStr">
        <is>
          <t xml:space="preserve">3359</t>
        </is>
      </c>
      <c r="F840" s="0" t="inlineStr">
        <is>
          <t xml:space="preserve">All Other Miscellaneous Electrical Equipment and Component Manufacturing</t>
        </is>
      </c>
      <c r="G840" s="5">
        <v>0.680404</v>
      </c>
      <c r="H840" s="0" t="inlineStr">
        <is>
          <t xml:space="preserve">supplier</t>
        </is>
      </c>
      <c r="I840" s="0" t="inlineStr">
        <is>
          <t xml:space="preserve">electrical</t>
        </is>
      </c>
      <c r="J840" s="0" t="inlineStr">
        <is>
          <t xml:space="preserve">naics4</t>
        </is>
      </c>
      <c r="K840" s="5">
        <v>0</v>
      </c>
      <c r="L840" s="5">
        <v>0</v>
      </c>
      <c r="M840" s="5">
        <v>0.0</v>
      </c>
      <c r="N840" s="5">
        <v>0.0</v>
      </c>
      <c r="O840" s="5">
        <v>0.0</v>
      </c>
      <c r="P840" s="5">
        <v>0.0</v>
      </c>
      <c r="Q840" s="5">
        <v>0.0</v>
      </c>
    </row>
    <row r="841" outlineLevel="1">
      <c r="B841" s="0" t="inlineStr">
        <is>
          <t xml:space="preserve">FRONTIER ELECTRONIC SYSTEMS CORP.</t>
        </is>
      </c>
      <c r="C841" s="0" t="inlineStr">
        <is>
          <t xml:space="preserve">JMG3R5M8XZH5</t>
        </is>
      </c>
      <c r="D841" s="0" t="inlineStr">
        <is>
          <t xml:space="preserve">-</t>
        </is>
      </c>
      <c r="E841" s="0" t="inlineStr">
        <is>
          <t xml:space="preserve">-</t>
        </is>
      </c>
      <c r="F841" s="0" t="inlineStr">
        <is>
          <t xml:space="preserve">-</t>
        </is>
      </c>
      <c r="G841" s="5">
        <v>0.677077</v>
      </c>
      <c r="H841" s="0" t="inlineStr">
        <is>
          <t xml:space="preserve">supplier</t>
        </is>
      </c>
      <c r="I841" s="0" t="inlineStr">
        <is>
          <t xml:space="preserve">unbucketed</t>
        </is>
      </c>
      <c r="J841" s="0" t="inlineStr">
        <is>
          <t xml:space="preserve">residual</t>
        </is>
      </c>
      <c r="K841" s="5">
        <v>0</v>
      </c>
      <c r="L841" s="5">
        <v>0</v>
      </c>
      <c r="M841" s="5">
        <v>0.0</v>
      </c>
      <c r="N841" s="5">
        <v>0.0</v>
      </c>
      <c r="O841" s="5">
        <v>0.0</v>
      </c>
      <c r="P841" s="5">
        <v>0.0</v>
      </c>
      <c r="Q841" s="5">
        <v>0.0</v>
      </c>
    </row>
    <row r="842" outlineLevel="1">
      <c r="B842" s="0" t="inlineStr">
        <is>
          <t xml:space="preserve">THE FLINCHBAUGH COMPANY, INC.</t>
        </is>
      </c>
      <c r="C842" s="0" t="inlineStr">
        <is>
          <t xml:space="preserve">CGM7BR92JT89</t>
        </is>
      </c>
      <c r="D842" s="0" t="inlineStr">
        <is>
          <t xml:space="preserve">-</t>
        </is>
      </c>
      <c r="E842" s="0" t="inlineStr">
        <is>
          <t xml:space="preserve">-</t>
        </is>
      </c>
      <c r="F842" s="0" t="inlineStr">
        <is>
          <t xml:space="preserve">-</t>
        </is>
      </c>
      <c r="G842" s="5">
        <v>0.67608819</v>
      </c>
      <c r="H842" s="0" t="inlineStr">
        <is>
          <t xml:space="preserve">supplier</t>
        </is>
      </c>
      <c r="I842" s="0" t="inlineStr">
        <is>
          <t xml:space="preserve">unbucketed</t>
        </is>
      </c>
      <c r="J842" s="0" t="inlineStr">
        <is>
          <t xml:space="preserve">residual</t>
        </is>
      </c>
      <c r="K842" s="5">
        <v>0</v>
      </c>
      <c r="L842" s="5">
        <v>0</v>
      </c>
      <c r="M842" s="5">
        <v>0.0</v>
      </c>
      <c r="N842" s="5">
        <v>0.0</v>
      </c>
      <c r="O842" s="5">
        <v>0.0</v>
      </c>
      <c r="P842" s="5">
        <v>0.0</v>
      </c>
      <c r="Q842" s="5">
        <v>0.0</v>
      </c>
    </row>
    <row r="843" outlineLevel="1">
      <c r="B843" s="0" t="inlineStr">
        <is>
          <t xml:space="preserve">VULCAN PAINTERS, INCORPORATED</t>
        </is>
      </c>
      <c r="C843" s="0" t="inlineStr">
        <is>
          <t xml:space="preserve">KC2VLUMHG2S4</t>
        </is>
      </c>
      <c r="D843" s="0" t="inlineStr">
        <is>
          <t xml:space="preserve">-</t>
        </is>
      </c>
      <c r="E843" s="0" t="inlineStr">
        <is>
          <t xml:space="preserve">-</t>
        </is>
      </c>
      <c r="F843" s="0" t="inlineStr">
        <is>
          <t xml:space="preserve">-</t>
        </is>
      </c>
      <c r="G843" s="5">
        <v>0.6759689500000001</v>
      </c>
      <c r="H843" s="0" t="inlineStr">
        <is>
          <t xml:space="preserve">supplier</t>
        </is>
      </c>
      <c r="I843" s="0" t="inlineStr">
        <is>
          <t xml:space="preserve">unbucketed</t>
        </is>
      </c>
      <c r="J843" s="0" t="inlineStr">
        <is>
          <t xml:space="preserve">residual</t>
        </is>
      </c>
      <c r="K843" s="5">
        <v>0</v>
      </c>
      <c r="L843" s="5">
        <v>0</v>
      </c>
      <c r="M843" s="5">
        <v>0.0</v>
      </c>
      <c r="N843" s="5">
        <v>0.0</v>
      </c>
      <c r="O843" s="5">
        <v>0.0</v>
      </c>
      <c r="P843" s="5">
        <v>0.0</v>
      </c>
      <c r="Q843" s="5">
        <v>0.0</v>
      </c>
    </row>
    <row r="844" outlineLevel="1">
      <c r="B844" s="0" t="inlineStr">
        <is>
          <t xml:space="preserve">GENERAL DYNAMICS CORPORATION</t>
        </is>
      </c>
      <c r="C844" s="0" t="inlineStr">
        <is>
          <t xml:space="preserve">SMNWM6HN79X5</t>
        </is>
      </c>
      <c r="D844" s="0" t="inlineStr">
        <is>
          <t xml:space="preserve">USA</t>
        </is>
      </c>
      <c r="E844" s="0" t="inlineStr">
        <is>
          <t xml:space="preserve">3369</t>
        </is>
      </c>
      <c r="F844" s="0" t="inlineStr">
        <is>
          <t xml:space="preserve">Military Armored Vehicle, Tank, and Tank Component Manufacturing</t>
        </is>
      </c>
      <c r="G844" s="5">
        <v>0.6733015200000001</v>
      </c>
      <c r="H844" s="0" t="inlineStr">
        <is>
          <t xml:space="preserve">prime</t>
        </is>
      </c>
      <c r="I844" s="0" t="inlineStr">
        <is>
          <t xml:space="preserve">-</t>
        </is>
      </c>
      <c r="J844" s="0" t="inlineStr">
        <is>
          <t xml:space="preserve">prime/co-prime name</t>
        </is>
      </c>
      <c r="K844" s="5">
        <v>0</v>
      </c>
      <c r="L844" s="5">
        <v>0</v>
      </c>
      <c r="M844" s="5">
        <v>0.0</v>
      </c>
      <c r="N844" s="5">
        <v>0.0</v>
      </c>
      <c r="O844" s="5">
        <v>0.0</v>
      </c>
      <c r="P844" s="5">
        <v>0.0</v>
      </c>
      <c r="Q844" s="5">
        <v>0.0</v>
      </c>
    </row>
    <row r="845" outlineLevel="1">
      <c r="B845" s="0" t="inlineStr">
        <is>
          <t xml:space="preserve">ABRASIVE-FORM INC.</t>
        </is>
      </c>
      <c r="C845" s="0" t="inlineStr">
        <is>
          <t xml:space="preserve">KQZ6EABE3Y37</t>
        </is>
      </c>
      <c r="D845" s="0" t="inlineStr">
        <is>
          <t xml:space="preserve">-</t>
        </is>
      </c>
      <c r="E845" s="0" t="inlineStr">
        <is>
          <t xml:space="preserve">-</t>
        </is>
      </c>
      <c r="F845" s="0" t="inlineStr">
        <is>
          <t xml:space="preserve">-</t>
        </is>
      </c>
      <c r="G845" s="5">
        <v>0.6730953000000001</v>
      </c>
      <c r="H845" s="0" t="inlineStr">
        <is>
          <t xml:space="preserve">supplier</t>
        </is>
      </c>
      <c r="I845" s="0" t="inlineStr">
        <is>
          <t xml:space="preserve">unbucketed</t>
        </is>
      </c>
      <c r="J845" s="0" t="inlineStr">
        <is>
          <t xml:space="preserve">residual</t>
        </is>
      </c>
      <c r="K845" s="5">
        <v>0</v>
      </c>
      <c r="L845" s="5">
        <v>0</v>
      </c>
      <c r="M845" s="5">
        <v>0.0</v>
      </c>
      <c r="N845" s="5">
        <v>0.0</v>
      </c>
      <c r="O845" s="5">
        <v>0.0</v>
      </c>
      <c r="P845" s="5">
        <v>0.0</v>
      </c>
      <c r="Q845" s="5">
        <v>0.0</v>
      </c>
    </row>
    <row r="846" outlineLevel="1">
      <c r="B846" s="0" t="inlineStr">
        <is>
          <t xml:space="preserve">TTM TECHNOLOGIES, INC.</t>
        </is>
      </c>
      <c r="C846" s="0" t="inlineStr">
        <is>
          <t xml:space="preserve">N2JRSLWD1BC5</t>
        </is>
      </c>
      <c r="D846" s="0" t="inlineStr">
        <is>
          <t xml:space="preserve">USA</t>
        </is>
      </c>
      <c r="E846" s="0" t="inlineStr">
        <is>
          <t xml:space="preserve">3344</t>
        </is>
      </c>
      <c r="F846" s="0" t="inlineStr">
        <is>
          <t xml:space="preserve">Bare Printed Circuit Board Manufacturing</t>
        </is>
      </c>
      <c r="G846" s="5">
        <v>0.6706074</v>
      </c>
      <c r="H846" s="0" t="inlineStr">
        <is>
          <t xml:space="preserve">supplier</t>
        </is>
      </c>
      <c r="I846" s="0" t="inlineStr">
        <is>
          <t xml:space="preserve">unbucketed</t>
        </is>
      </c>
      <c r="J846" s="0" t="inlineStr">
        <is>
          <t xml:space="preserve">residual</t>
        </is>
      </c>
      <c r="K846" s="5">
        <v>0</v>
      </c>
      <c r="L846" s="5">
        <v>0</v>
      </c>
      <c r="M846" s="5">
        <v>0.0</v>
      </c>
      <c r="N846" s="5">
        <v>0.0</v>
      </c>
      <c r="O846" s="5">
        <v>0.0</v>
      </c>
      <c r="P846" s="5">
        <v>0.0</v>
      </c>
      <c r="Q846" s="5">
        <v>0.0</v>
      </c>
    </row>
    <row r="847" outlineLevel="1">
      <c r="B847" s="0" t="inlineStr">
        <is>
          <t xml:space="preserve">AIR COMPONENTS, INC.</t>
        </is>
      </c>
      <c r="C847" s="0" t="inlineStr">
        <is>
          <t xml:space="preserve">G9KGAU9Q4D97</t>
        </is>
      </c>
      <c r="D847" s="0" t="inlineStr">
        <is>
          <t xml:space="preserve">-</t>
        </is>
      </c>
      <c r="E847" s="0" t="inlineStr">
        <is>
          <t xml:space="preserve">-</t>
        </is>
      </c>
      <c r="F847" s="0" t="inlineStr">
        <is>
          <t xml:space="preserve">-</t>
        </is>
      </c>
      <c r="G847" s="5">
        <v>0.6675801600000001</v>
      </c>
      <c r="H847" s="0" t="inlineStr">
        <is>
          <t xml:space="preserve">supplier</t>
        </is>
      </c>
      <c r="I847" s="0" t="inlineStr">
        <is>
          <t xml:space="preserve">unbucketed</t>
        </is>
      </c>
      <c r="J847" s="0" t="inlineStr">
        <is>
          <t xml:space="preserve">residual</t>
        </is>
      </c>
      <c r="K847" s="5">
        <v>0</v>
      </c>
      <c r="L847" s="5">
        <v>0</v>
      </c>
      <c r="M847" s="5">
        <v>0.0</v>
      </c>
      <c r="N847" s="5">
        <v>0.0</v>
      </c>
      <c r="O847" s="5">
        <v>0.0</v>
      </c>
      <c r="P847" s="5">
        <v>0.0</v>
      </c>
      <c r="Q847" s="5">
        <v>0.0</v>
      </c>
    </row>
    <row r="848" outlineLevel="1">
      <c r="B848" s="0" t="inlineStr">
        <is>
          <t xml:space="preserve">TROY TUBE &amp; MANUFACTURING CO</t>
        </is>
      </c>
      <c r="C848" s="0" t="inlineStr">
        <is>
          <t xml:space="preserve">YBGVF28MA725</t>
        </is>
      </c>
      <c r="D848" s="0" t="inlineStr">
        <is>
          <t xml:space="preserve">-</t>
        </is>
      </c>
      <c r="E848" s="0" t="inlineStr">
        <is>
          <t xml:space="preserve">-</t>
        </is>
      </c>
      <c r="F848" s="0" t="inlineStr">
        <is>
          <t xml:space="preserve">-</t>
        </is>
      </c>
      <c r="G848" s="5">
        <v>0.6656416500000001</v>
      </c>
      <c r="H848" s="0" t="inlineStr">
        <is>
          <t xml:space="preserve">supplier</t>
        </is>
      </c>
      <c r="I848" s="0" t="inlineStr">
        <is>
          <t xml:space="preserve">unbucketed</t>
        </is>
      </c>
      <c r="J848" s="0" t="inlineStr">
        <is>
          <t xml:space="preserve">residual</t>
        </is>
      </c>
      <c r="K848" s="5">
        <v>0</v>
      </c>
      <c r="L848" s="5">
        <v>0</v>
      </c>
      <c r="M848" s="5">
        <v>0.0</v>
      </c>
      <c r="N848" s="5">
        <v>0.0</v>
      </c>
      <c r="O848" s="5">
        <v>0.0</v>
      </c>
      <c r="P848" s="5">
        <v>0.0</v>
      </c>
      <c r="Q848" s="5">
        <v>0.0</v>
      </c>
    </row>
    <row r="849" outlineLevel="1">
      <c r="B849" s="0" t="inlineStr">
        <is>
          <t xml:space="preserve">GENUINE CABLE GROUP, LLC</t>
        </is>
      </c>
      <c r="C849" s="0" t="inlineStr">
        <is>
          <t xml:space="preserve">EP6JXEP15RF3</t>
        </is>
      </c>
      <c r="D849" s="0" t="inlineStr">
        <is>
          <t xml:space="preserve">-</t>
        </is>
      </c>
      <c r="E849" s="0" t="inlineStr">
        <is>
          <t xml:space="preserve">-</t>
        </is>
      </c>
      <c r="F849" s="0" t="inlineStr">
        <is>
          <t xml:space="preserve">-</t>
        </is>
      </c>
      <c r="G849" s="5">
        <v>0.660281</v>
      </c>
      <c r="H849" s="0" t="inlineStr">
        <is>
          <t xml:space="preserve">supplier</t>
        </is>
      </c>
      <c r="I849" s="0" t="inlineStr">
        <is>
          <t xml:space="preserve">unbucketed</t>
        </is>
      </c>
      <c r="J849" s="0" t="inlineStr">
        <is>
          <t xml:space="preserve">residual</t>
        </is>
      </c>
      <c r="K849" s="5">
        <v>0</v>
      </c>
      <c r="L849" s="5">
        <v>0</v>
      </c>
      <c r="M849" s="5">
        <v>0.660281</v>
      </c>
      <c r="N849" s="5">
        <v>0.0</v>
      </c>
      <c r="O849" s="5">
        <v>0.660281</v>
      </c>
      <c r="P849" s="5">
        <v>0.0</v>
      </c>
      <c r="Q849" s="5">
        <v>0.0</v>
      </c>
    </row>
    <row r="850" outlineLevel="1">
      <c r="B850" s="0" t="inlineStr">
        <is>
          <t xml:space="preserve">CABLE ASSOCIATES INC</t>
        </is>
      </c>
      <c r="C850" s="0" t="inlineStr">
        <is>
          <t xml:space="preserve">C5DYFZEMMLE5</t>
        </is>
      </c>
      <c r="D850" s="0" t="inlineStr">
        <is>
          <t xml:space="preserve">-</t>
        </is>
      </c>
      <c r="E850" s="0" t="inlineStr">
        <is>
          <t xml:space="preserve">-</t>
        </is>
      </c>
      <c r="F850" s="0" t="inlineStr">
        <is>
          <t xml:space="preserve">-</t>
        </is>
      </c>
      <c r="G850" s="5">
        <v>0.66015378</v>
      </c>
      <c r="H850" s="0" t="inlineStr">
        <is>
          <t xml:space="preserve">supplier</t>
        </is>
      </c>
      <c r="I850" s="0" t="inlineStr">
        <is>
          <t xml:space="preserve">unbucketed</t>
        </is>
      </c>
      <c r="J850" s="0" t="inlineStr">
        <is>
          <t xml:space="preserve">residual</t>
        </is>
      </c>
      <c r="K850" s="5">
        <v>0</v>
      </c>
      <c r="L850" s="5">
        <v>0</v>
      </c>
      <c r="M850" s="5">
        <v>0.0</v>
      </c>
      <c r="N850" s="5">
        <v>0.0</v>
      </c>
      <c r="O850" s="5">
        <v>0.0</v>
      </c>
      <c r="P850" s="5">
        <v>0.0</v>
      </c>
      <c r="Q850" s="5">
        <v>0.0</v>
      </c>
    </row>
    <row r="851" outlineLevel="1">
      <c r="B851" s="0" t="inlineStr">
        <is>
          <t xml:space="preserve">SWITCHING POWER INC.</t>
        </is>
      </c>
      <c r="C851" s="0" t="inlineStr">
        <is>
          <t xml:space="preserve">ESHRLYWCL9C7</t>
        </is>
      </c>
      <c r="D851" s="0" t="inlineStr">
        <is>
          <t xml:space="preserve">-</t>
        </is>
      </c>
      <c r="E851" s="0" t="inlineStr">
        <is>
          <t xml:space="preserve">-</t>
        </is>
      </c>
      <c r="F851" s="0" t="inlineStr">
        <is>
          <t xml:space="preserve">-</t>
        </is>
      </c>
      <c r="G851" s="5">
        <v>0.658555</v>
      </c>
      <c r="H851" s="0" t="inlineStr">
        <is>
          <t xml:space="preserve">supplier</t>
        </is>
      </c>
      <c r="I851" s="0" t="inlineStr">
        <is>
          <t xml:space="preserve">unbucketed</t>
        </is>
      </c>
      <c r="J851" s="0" t="inlineStr">
        <is>
          <t xml:space="preserve">residual</t>
        </is>
      </c>
      <c r="K851" s="5">
        <v>0</v>
      </c>
      <c r="L851" s="5">
        <v>0</v>
      </c>
      <c r="M851" s="5">
        <v>0.0</v>
      </c>
      <c r="N851" s="5">
        <v>0.0</v>
      </c>
      <c r="O851" s="5">
        <v>0.0</v>
      </c>
      <c r="P851" s="5">
        <v>0.0</v>
      </c>
      <c r="Q851" s="5">
        <v>0.0</v>
      </c>
    </row>
    <row r="852" outlineLevel="1">
      <c r="B852" s="0" t="inlineStr">
        <is>
          <t xml:space="preserve">3M COMPANY</t>
        </is>
      </c>
      <c r="C852" s="0" t="inlineStr">
        <is>
          <t xml:space="preserve">YLQMY5SGNE55</t>
        </is>
      </c>
      <c r="D852" s="0" t="inlineStr">
        <is>
          <t xml:space="preserve">-</t>
        </is>
      </c>
      <c r="E852" s="0" t="inlineStr">
        <is>
          <t xml:space="preserve">-</t>
        </is>
      </c>
      <c r="F852" s="0" t="inlineStr">
        <is>
          <t xml:space="preserve">-</t>
        </is>
      </c>
      <c r="G852" s="5">
        <v>0.65659712</v>
      </c>
      <c r="H852" s="0" t="inlineStr">
        <is>
          <t xml:space="preserve">supplier</t>
        </is>
      </c>
      <c r="I852" s="0" t="inlineStr">
        <is>
          <t xml:space="preserve">unbucketed</t>
        </is>
      </c>
      <c r="J852" s="0" t="inlineStr">
        <is>
          <t xml:space="preserve">residual</t>
        </is>
      </c>
      <c r="K852" s="5">
        <v>0</v>
      </c>
      <c r="L852" s="5">
        <v>0</v>
      </c>
      <c r="M852" s="5">
        <v>0.0</v>
      </c>
      <c r="N852" s="5">
        <v>0.0</v>
      </c>
      <c r="O852" s="5">
        <v>0.0</v>
      </c>
      <c r="P852" s="5">
        <v>0.0</v>
      </c>
      <c r="Q852" s="5">
        <v>0.0</v>
      </c>
    </row>
    <row r="853" outlineLevel="1">
      <c r="B853" s="0" t="inlineStr">
        <is>
          <t xml:space="preserve">SECURE COMPONENTS, LLC</t>
        </is>
      </c>
      <c r="C853" s="0" t="inlineStr">
        <is>
          <t xml:space="preserve">CPSRQJC6C379</t>
        </is>
      </c>
      <c r="D853" s="0" t="inlineStr">
        <is>
          <t xml:space="preserve">-</t>
        </is>
      </c>
      <c r="E853" s="0" t="inlineStr">
        <is>
          <t xml:space="preserve">-</t>
        </is>
      </c>
      <c r="F853" s="0" t="inlineStr">
        <is>
          <t xml:space="preserve">-</t>
        </is>
      </c>
      <c r="G853" s="5">
        <v>0.64853883</v>
      </c>
      <c r="H853" s="0" t="inlineStr">
        <is>
          <t xml:space="preserve">supplier</t>
        </is>
      </c>
      <c r="I853" s="0" t="inlineStr">
        <is>
          <t xml:space="preserve">unbucketed</t>
        </is>
      </c>
      <c r="J853" s="0" t="inlineStr">
        <is>
          <t xml:space="preserve">residual</t>
        </is>
      </c>
      <c r="K853" s="5">
        <v>0</v>
      </c>
      <c r="L853" s="5">
        <v>0</v>
      </c>
      <c r="M853" s="5">
        <v>0.462545</v>
      </c>
      <c r="N853" s="5">
        <v>0.0</v>
      </c>
      <c r="O853" s="5">
        <v>0.0</v>
      </c>
      <c r="P853" s="5">
        <v>0.0</v>
      </c>
      <c r="Q853" s="5">
        <v>0.0</v>
      </c>
    </row>
    <row r="854" outlineLevel="1">
      <c r="B854" s="0" t="inlineStr">
        <is>
          <t xml:space="preserve">ELECTRO ENTERPRISES INC</t>
        </is>
      </c>
      <c r="C854" s="0" t="inlineStr">
        <is>
          <t xml:space="preserve">V6MCMV4KM841</t>
        </is>
      </c>
      <c r="D854" s="0" t="inlineStr">
        <is>
          <t xml:space="preserve">-</t>
        </is>
      </c>
      <c r="E854" s="0" t="inlineStr">
        <is>
          <t xml:space="preserve">-</t>
        </is>
      </c>
      <c r="F854" s="0" t="inlineStr">
        <is>
          <t xml:space="preserve">-</t>
        </is>
      </c>
      <c r="G854" s="5">
        <v>0.6466481799999999</v>
      </c>
      <c r="H854" s="0" t="inlineStr">
        <is>
          <t xml:space="preserve">supplier</t>
        </is>
      </c>
      <c r="I854" s="0" t="inlineStr">
        <is>
          <t xml:space="preserve">unbucketed</t>
        </is>
      </c>
      <c r="J854" s="0" t="inlineStr">
        <is>
          <t xml:space="preserve">residual</t>
        </is>
      </c>
      <c r="K854" s="5">
        <v>0</v>
      </c>
      <c r="L854" s="5">
        <v>0</v>
      </c>
      <c r="M854" s="5">
        <v>0.0</v>
      </c>
      <c r="N854" s="5">
        <v>0.0</v>
      </c>
      <c r="O854" s="5">
        <v>0.0</v>
      </c>
      <c r="P854" s="5">
        <v>0.0</v>
      </c>
      <c r="Q854" s="5">
        <v>0.0</v>
      </c>
    </row>
    <row r="855" outlineLevel="1">
      <c r="B855" s="0" t="inlineStr">
        <is>
          <t xml:space="preserve">THE TIMKEN COMPANY</t>
        </is>
      </c>
      <c r="C855" s="0" t="inlineStr">
        <is>
          <t xml:space="preserve">G9N1X873CYJ6</t>
        </is>
      </c>
      <c r="D855" s="0" t="inlineStr">
        <is>
          <t xml:space="preserve">-</t>
        </is>
      </c>
      <c r="E855" s="0" t="inlineStr">
        <is>
          <t xml:space="preserve">-</t>
        </is>
      </c>
      <c r="F855" s="0" t="inlineStr">
        <is>
          <t xml:space="preserve">-</t>
        </is>
      </c>
      <c r="G855" s="5">
        <v>0.64300684</v>
      </c>
      <c r="H855" s="0" t="inlineStr">
        <is>
          <t xml:space="preserve">supplier</t>
        </is>
      </c>
      <c r="I855" s="0" t="inlineStr">
        <is>
          <t xml:space="preserve">unbucketed</t>
        </is>
      </c>
      <c r="J855" s="0" t="inlineStr">
        <is>
          <t xml:space="preserve">residual</t>
        </is>
      </c>
      <c r="K855" s="5">
        <v>0</v>
      </c>
      <c r="L855" s="5">
        <v>0</v>
      </c>
      <c r="M855" s="5">
        <v>0.64300684</v>
      </c>
      <c r="N855" s="5">
        <v>0.0</v>
      </c>
      <c r="O855" s="5">
        <v>0.0</v>
      </c>
      <c r="P855" s="5">
        <v>0.0</v>
      </c>
      <c r="Q855" s="5">
        <v>0.37264684000000003</v>
      </c>
    </row>
    <row r="856" outlineLevel="1">
      <c r="B856" s="0" t="inlineStr">
        <is>
          <t xml:space="preserve">ROCKWELL COLLINS, INC.</t>
        </is>
      </c>
      <c r="C856" s="0" t="inlineStr">
        <is>
          <t xml:space="preserve">J5M2DPGJK9U3</t>
        </is>
      </c>
      <c r="D856" s="0" t="inlineStr">
        <is>
          <t xml:space="preserve">-</t>
        </is>
      </c>
      <c r="E856" s="0" t="inlineStr">
        <is>
          <t xml:space="preserve">-</t>
        </is>
      </c>
      <c r="F856" s="0" t="inlineStr">
        <is>
          <t xml:space="preserve">-</t>
        </is>
      </c>
      <c r="G856" s="5">
        <v>0.6426000000000001</v>
      </c>
      <c r="H856" s="0" t="inlineStr">
        <is>
          <t xml:space="preserve">supplier</t>
        </is>
      </c>
      <c r="I856" s="0" t="inlineStr">
        <is>
          <t xml:space="preserve">unbucketed</t>
        </is>
      </c>
      <c r="J856" s="0" t="inlineStr">
        <is>
          <t xml:space="preserve">residual</t>
        </is>
      </c>
      <c r="K856" s="5">
        <v>0</v>
      </c>
      <c r="L856" s="5">
        <v>0</v>
      </c>
      <c r="M856" s="5">
        <v>0.0</v>
      </c>
      <c r="N856" s="5">
        <v>0.0</v>
      </c>
      <c r="O856" s="5">
        <v>0.0</v>
      </c>
      <c r="P856" s="5">
        <v>0.0</v>
      </c>
      <c r="Q856" s="5">
        <v>0.0</v>
      </c>
    </row>
    <row r="857" outlineLevel="1">
      <c r="B857" s="0" t="inlineStr">
        <is>
          <t xml:space="preserve">HOFFER FLOW CONTROLS INC</t>
        </is>
      </c>
      <c r="C857" s="0" t="inlineStr">
        <is>
          <t xml:space="preserve">RU3QHCAJP492</t>
        </is>
      </c>
      <c r="D857" s="0" t="inlineStr">
        <is>
          <t xml:space="preserve">-</t>
        </is>
      </c>
      <c r="E857" s="0" t="inlineStr">
        <is>
          <t xml:space="preserve">-</t>
        </is>
      </c>
      <c r="F857" s="0" t="inlineStr">
        <is>
          <t xml:space="preserve">-</t>
        </is>
      </c>
      <c r="G857" s="5">
        <v>0.642517</v>
      </c>
      <c r="H857" s="0" t="inlineStr">
        <is>
          <t xml:space="preserve">supplier</t>
        </is>
      </c>
      <c r="I857" s="0" t="inlineStr">
        <is>
          <t xml:space="preserve">unbucketed</t>
        </is>
      </c>
      <c r="J857" s="0" t="inlineStr">
        <is>
          <t xml:space="preserve">residual</t>
        </is>
      </c>
      <c r="K857" s="5">
        <v>0</v>
      </c>
      <c r="L857" s="5">
        <v>0</v>
      </c>
      <c r="M857" s="5">
        <v>0.0</v>
      </c>
      <c r="N857" s="5">
        <v>0.0</v>
      </c>
      <c r="O857" s="5">
        <v>0.0</v>
      </c>
      <c r="P857" s="5">
        <v>0.0</v>
      </c>
      <c r="Q857" s="5">
        <v>0.0</v>
      </c>
    </row>
    <row r="858" outlineLevel="1">
      <c r="B858" s="0" t="inlineStr">
        <is>
          <t xml:space="preserve">WESCO INTERNATIONAL, INC.</t>
        </is>
      </c>
      <c r="C858" s="0" t="inlineStr">
        <is>
          <t xml:space="preserve">LQP7LJVDX6M6</t>
        </is>
      </c>
      <c r="D858" s="0" t="inlineStr">
        <is>
          <t xml:space="preserve">-</t>
        </is>
      </c>
      <c r="E858" s="0" t="inlineStr">
        <is>
          <t xml:space="preserve">-</t>
        </is>
      </c>
      <c r="F858" s="0" t="inlineStr">
        <is>
          <t xml:space="preserve">-</t>
        </is>
      </c>
      <c r="G858" s="5">
        <v>0.638435</v>
      </c>
      <c r="H858" s="0" t="inlineStr">
        <is>
          <t xml:space="preserve">supplier</t>
        </is>
      </c>
      <c r="I858" s="0" t="inlineStr">
        <is>
          <t xml:space="preserve">unbucketed</t>
        </is>
      </c>
      <c r="J858" s="0" t="inlineStr">
        <is>
          <t xml:space="preserve">residual</t>
        </is>
      </c>
      <c r="K858" s="5">
        <v>0</v>
      </c>
      <c r="L858" s="5">
        <v>0</v>
      </c>
      <c r="M858" s="5">
        <v>0.638435</v>
      </c>
      <c r="N858" s="5">
        <v>0.0</v>
      </c>
      <c r="O858" s="5">
        <v>0.0</v>
      </c>
      <c r="P858" s="5">
        <v>0.0</v>
      </c>
      <c r="Q858" s="5">
        <v>0.0</v>
      </c>
    </row>
    <row r="859" outlineLevel="1">
      <c r="B859" s="0" t="inlineStr">
        <is>
          <t xml:space="preserve">BARRON INDUSTRIES INC</t>
        </is>
      </c>
      <c r="C859" s="0" t="inlineStr">
        <is>
          <t xml:space="preserve">VU5KBYNYPE89</t>
        </is>
      </c>
      <c r="D859" s="0" t="inlineStr">
        <is>
          <t xml:space="preserve">-</t>
        </is>
      </c>
      <c r="E859" s="0" t="inlineStr">
        <is>
          <t xml:space="preserve">-</t>
        </is>
      </c>
      <c r="F859" s="0" t="inlineStr">
        <is>
          <t xml:space="preserve">-</t>
        </is>
      </c>
      <c r="G859" s="5">
        <v>0.6374324</v>
      </c>
      <c r="H859" s="0" t="inlineStr">
        <is>
          <t xml:space="preserve">supplier</t>
        </is>
      </c>
      <c r="I859" s="0" t="inlineStr">
        <is>
          <t xml:space="preserve">unbucketed</t>
        </is>
      </c>
      <c r="J859" s="0" t="inlineStr">
        <is>
          <t xml:space="preserve">residual</t>
        </is>
      </c>
      <c r="K859" s="5">
        <v>0</v>
      </c>
      <c r="L859" s="5">
        <v>0</v>
      </c>
      <c r="M859" s="5">
        <v>0.0</v>
      </c>
      <c r="N859" s="5">
        <v>0.0</v>
      </c>
      <c r="O859" s="5">
        <v>0.0</v>
      </c>
      <c r="P859" s="5">
        <v>0.0</v>
      </c>
      <c r="Q859" s="5">
        <v>0.0</v>
      </c>
    </row>
    <row r="860" outlineLevel="1">
      <c r="B860" s="0" t="inlineStr">
        <is>
          <t xml:space="preserve">TUSAS MOTOR SANAYI A.S.</t>
        </is>
      </c>
      <c r="C860" s="0" t="inlineStr">
        <is>
          <t xml:space="preserve">KNCPXFQG4RA4</t>
        </is>
      </c>
      <c r="D860" s="0" t="inlineStr">
        <is>
          <t xml:space="preserve">Foreign</t>
        </is>
      </c>
      <c r="E860" s="0" t="inlineStr">
        <is>
          <t xml:space="preserve">-</t>
        </is>
      </c>
      <c r="F860" s="0" t="inlineStr">
        <is>
          <t xml:space="preserve">-</t>
        </is>
      </c>
      <c r="G860" s="5">
        <v>0.636216</v>
      </c>
      <c r="H860" s="0" t="inlineStr">
        <is>
          <t xml:space="preserve">foreign_fms</t>
        </is>
      </c>
      <c r="I860" s="0" t="inlineStr">
        <is>
          <t xml:space="preserve">-</t>
        </is>
      </c>
      <c r="J860" s="0" t="inlineStr">
        <is>
          <t xml:space="preserve">foreign flag</t>
        </is>
      </c>
      <c r="K860" s="5">
        <v>0</v>
      </c>
      <c r="L860" s="5">
        <v>0</v>
      </c>
      <c r="M860" s="5">
        <v>0.0</v>
      </c>
      <c r="N860" s="5">
        <v>0.0</v>
      </c>
      <c r="O860" s="5">
        <v>0.0</v>
      </c>
      <c r="P860" s="5">
        <v>0.0</v>
      </c>
      <c r="Q860" s="5">
        <v>0.0</v>
      </c>
    </row>
    <row r="861" outlineLevel="1">
      <c r="B861" s="0" t="inlineStr">
        <is>
          <t xml:space="preserve">TAT TECHNOLOGIES LTD.</t>
        </is>
      </c>
      <c r="C861" s="0" t="inlineStr">
        <is>
          <t xml:space="preserve">LLNNTHPDWYV1</t>
        </is>
      </c>
      <c r="D861" s="0" t="inlineStr">
        <is>
          <t xml:space="preserve">-</t>
        </is>
      </c>
      <c r="E861" s="0" t="inlineStr">
        <is>
          <t xml:space="preserve">-</t>
        </is>
      </c>
      <c r="F861" s="0" t="inlineStr">
        <is>
          <t xml:space="preserve">-</t>
        </is>
      </c>
      <c r="G861" s="5">
        <v>0.635488</v>
      </c>
      <c r="H861" s="0" t="inlineStr">
        <is>
          <t xml:space="preserve">supplier</t>
        </is>
      </c>
      <c r="I861" s="0" t="inlineStr">
        <is>
          <t xml:space="preserve">unbucketed</t>
        </is>
      </c>
      <c r="J861" s="0" t="inlineStr">
        <is>
          <t xml:space="preserve">residual</t>
        </is>
      </c>
      <c r="K861" s="5">
        <v>0</v>
      </c>
      <c r="L861" s="5">
        <v>0</v>
      </c>
      <c r="M861" s="5">
        <v>0.0</v>
      </c>
      <c r="N861" s="5">
        <v>0.0</v>
      </c>
      <c r="O861" s="5">
        <v>0.0</v>
      </c>
      <c r="P861" s="5">
        <v>0.0</v>
      </c>
      <c r="Q861" s="5">
        <v>0.0</v>
      </c>
    </row>
    <row r="862" outlineLevel="1">
      <c r="B862" s="0" t="inlineStr">
        <is>
          <t xml:space="preserve">SCHAEFFLER AEROSPACE CANADA INC</t>
        </is>
      </c>
      <c r="C862" s="0" t="inlineStr">
        <is>
          <t xml:space="preserve">ELYTLF4DNVL4</t>
        </is>
      </c>
      <c r="D862" s="0" t="inlineStr">
        <is>
          <t xml:space="preserve">Foreign</t>
        </is>
      </c>
      <c r="E862" s="0" t="inlineStr">
        <is>
          <t xml:space="preserve">-</t>
        </is>
      </c>
      <c r="F862" s="0" t="inlineStr">
        <is>
          <t xml:space="preserve">-</t>
        </is>
      </c>
      <c r="G862" s="5">
        <v>0.6351218900000001</v>
      </c>
      <c r="H862" s="0" t="inlineStr">
        <is>
          <t xml:space="preserve">foreign_fms</t>
        </is>
      </c>
      <c r="I862" s="0" t="inlineStr">
        <is>
          <t xml:space="preserve">-</t>
        </is>
      </c>
      <c r="J862" s="0" t="inlineStr">
        <is>
          <t xml:space="preserve">foreign flag</t>
        </is>
      </c>
      <c r="K862" s="5">
        <v>0</v>
      </c>
      <c r="L862" s="5">
        <v>0</v>
      </c>
      <c r="M862" s="5">
        <v>0.0</v>
      </c>
      <c r="N862" s="5">
        <v>0.0</v>
      </c>
      <c r="O862" s="5">
        <v>0.0</v>
      </c>
      <c r="P862" s="5">
        <v>0.0</v>
      </c>
      <c r="Q862" s="5">
        <v>0.0</v>
      </c>
    </row>
    <row r="863" outlineLevel="1">
      <c r="B863" s="0" t="inlineStr">
        <is>
          <t xml:space="preserve">NWI PRECISION TUBE ULC</t>
        </is>
      </c>
      <c r="C863" s="0" t="inlineStr">
        <is>
          <t xml:space="preserve">JNKHFNJMDJ67</t>
        </is>
      </c>
      <c r="D863" s="0" t="inlineStr">
        <is>
          <t xml:space="preserve">Foreign</t>
        </is>
      </c>
      <c r="E863" s="0" t="inlineStr">
        <is>
          <t xml:space="preserve">-</t>
        </is>
      </c>
      <c r="F863" s="0" t="inlineStr">
        <is>
          <t xml:space="preserve">-</t>
        </is>
      </c>
      <c r="G863" s="5">
        <v>0.633476</v>
      </c>
      <c r="H863" s="0" t="inlineStr">
        <is>
          <t xml:space="preserve">foreign_fms</t>
        </is>
      </c>
      <c r="I863" s="0" t="inlineStr">
        <is>
          <t xml:space="preserve">-</t>
        </is>
      </c>
      <c r="J863" s="0" t="inlineStr">
        <is>
          <t xml:space="preserve">foreign flag</t>
        </is>
      </c>
      <c r="K863" s="5">
        <v>0</v>
      </c>
      <c r="L863" s="5">
        <v>0</v>
      </c>
      <c r="M863" s="5">
        <v>0.0</v>
      </c>
      <c r="N863" s="5">
        <v>0.0</v>
      </c>
      <c r="O863" s="5">
        <v>0.0</v>
      </c>
      <c r="P863" s="5">
        <v>0.0</v>
      </c>
      <c r="Q863" s="5">
        <v>0.0</v>
      </c>
    </row>
    <row r="864" outlineLevel="1">
      <c r="B864" s="0" t="inlineStr">
        <is>
          <t xml:space="preserve">ADVANCE MFG.CO., INC.</t>
        </is>
      </c>
      <c r="C864" s="0" t="inlineStr">
        <is>
          <t xml:space="preserve">MMCKJNNMSG23</t>
        </is>
      </c>
      <c r="D864" s="0" t="inlineStr">
        <is>
          <t xml:space="preserve">-</t>
        </is>
      </c>
      <c r="E864" s="0" t="inlineStr">
        <is>
          <t xml:space="preserve">-</t>
        </is>
      </c>
      <c r="F864" s="0" t="inlineStr">
        <is>
          <t xml:space="preserve">-</t>
        </is>
      </c>
      <c r="G864" s="5">
        <v>0.6333150000000001</v>
      </c>
      <c r="H864" s="0" t="inlineStr">
        <is>
          <t xml:space="preserve">supplier</t>
        </is>
      </c>
      <c r="I864" s="0" t="inlineStr">
        <is>
          <t xml:space="preserve">machining</t>
        </is>
      </c>
      <c r="J864" s="0" t="inlineStr">
        <is>
          <t xml:space="preserve">registry</t>
        </is>
      </c>
      <c r="K864" s="5">
        <v>0</v>
      </c>
      <c r="L864" s="5">
        <v>0</v>
      </c>
      <c r="M864" s="5">
        <v>0.0</v>
      </c>
      <c r="N864" s="5">
        <v>0.0</v>
      </c>
      <c r="O864" s="5">
        <v>0.0</v>
      </c>
      <c r="P864" s="5">
        <v>0.0</v>
      </c>
      <c r="Q864" s="5">
        <v>0.0</v>
      </c>
    </row>
    <row r="865" outlineLevel="1">
      <c r="B865" s="0" t="inlineStr">
        <is>
          <t xml:space="preserve">PRIME TIME COATINGS, INC.</t>
        </is>
      </c>
      <c r="C865" s="0" t="inlineStr">
        <is>
          <t xml:space="preserve">M1CJB5A82B85</t>
        </is>
      </c>
      <c r="D865" s="0" t="inlineStr">
        <is>
          <t xml:space="preserve">-</t>
        </is>
      </c>
      <c r="E865" s="0" t="inlineStr">
        <is>
          <t xml:space="preserve">-</t>
        </is>
      </c>
      <c r="F865" s="0" t="inlineStr">
        <is>
          <t xml:space="preserve">-</t>
        </is>
      </c>
      <c r="G865" s="5">
        <v>0.63242</v>
      </c>
      <c r="H865" s="0" t="inlineStr">
        <is>
          <t xml:space="preserve">supplier</t>
        </is>
      </c>
      <c r="I865" s="0" t="inlineStr">
        <is>
          <t xml:space="preserve">unbucketed</t>
        </is>
      </c>
      <c r="J865" s="0" t="inlineStr">
        <is>
          <t xml:space="preserve">residual</t>
        </is>
      </c>
      <c r="K865" s="5">
        <v>0</v>
      </c>
      <c r="L865" s="5">
        <v>0</v>
      </c>
      <c r="M865" s="5">
        <v>0.0</v>
      </c>
      <c r="N865" s="5">
        <v>0.0</v>
      </c>
      <c r="O865" s="5">
        <v>0.0</v>
      </c>
      <c r="P865" s="5">
        <v>0.0</v>
      </c>
      <c r="Q865" s="5">
        <v>0.0</v>
      </c>
    </row>
    <row r="866" outlineLevel="1">
      <c r="B866" s="0" t="inlineStr">
        <is>
          <t xml:space="preserve">SNR SYSTEMS LLC</t>
        </is>
      </c>
      <c r="C866" s="0" t="inlineStr">
        <is>
          <t xml:space="preserve">PBK1J5QBTXB1</t>
        </is>
      </c>
      <c r="D866" s="0" t="inlineStr">
        <is>
          <t xml:space="preserve">-</t>
        </is>
      </c>
      <c r="E866" s="0" t="inlineStr">
        <is>
          <t xml:space="preserve">-</t>
        </is>
      </c>
      <c r="F866" s="0" t="inlineStr">
        <is>
          <t xml:space="preserve">-</t>
        </is>
      </c>
      <c r="G866" s="5">
        <v>0.6321205799999999</v>
      </c>
      <c r="H866" s="0" t="inlineStr">
        <is>
          <t xml:space="preserve">supplier</t>
        </is>
      </c>
      <c r="I866" s="0" t="inlineStr">
        <is>
          <t xml:space="preserve">unbucketed</t>
        </is>
      </c>
      <c r="J866" s="0" t="inlineStr">
        <is>
          <t xml:space="preserve">residual</t>
        </is>
      </c>
      <c r="K866" s="5">
        <v>0</v>
      </c>
      <c r="L866" s="5">
        <v>0</v>
      </c>
      <c r="M866" s="5">
        <v>0.0</v>
      </c>
      <c r="N866" s="5">
        <v>0.0</v>
      </c>
      <c r="O866" s="5">
        <v>0.0</v>
      </c>
      <c r="P866" s="5">
        <v>0.0</v>
      </c>
      <c r="Q866" s="5">
        <v>0.0</v>
      </c>
    </row>
    <row r="867" outlineLevel="1">
      <c r="B867" s="0" t="inlineStr">
        <is>
          <t xml:space="preserve">JOHNSTOWN WELDING &amp; FABRICATION, INC.</t>
        </is>
      </c>
      <c r="C867" s="0" t="inlineStr">
        <is>
          <t xml:space="preserve">K7UKW5JLHVC7</t>
        </is>
      </c>
      <c r="D867" s="0" t="inlineStr">
        <is>
          <t xml:space="preserve">-</t>
        </is>
      </c>
      <c r="E867" s="0" t="inlineStr">
        <is>
          <t xml:space="preserve">-</t>
        </is>
      </c>
      <c r="F867" s="0" t="inlineStr">
        <is>
          <t xml:space="preserve">-</t>
        </is>
      </c>
      <c r="G867" s="5">
        <v>0.63119174</v>
      </c>
      <c r="H867" s="0" t="inlineStr">
        <is>
          <t xml:space="preserve">supplier</t>
        </is>
      </c>
      <c r="I867" s="0" t="inlineStr">
        <is>
          <t xml:space="preserve">unbucketed</t>
        </is>
      </c>
      <c r="J867" s="0" t="inlineStr">
        <is>
          <t xml:space="preserve">residual</t>
        </is>
      </c>
      <c r="K867" s="5">
        <v>0</v>
      </c>
      <c r="L867" s="5">
        <v>0</v>
      </c>
      <c r="M867" s="5">
        <v>0.0</v>
      </c>
      <c r="N867" s="5">
        <v>0.0</v>
      </c>
      <c r="O867" s="5">
        <v>0.0</v>
      </c>
      <c r="P867" s="5">
        <v>0.0</v>
      </c>
      <c r="Q867" s="5">
        <v>0.0</v>
      </c>
    </row>
    <row r="868" outlineLevel="1">
      <c r="B868" s="0" t="inlineStr">
        <is>
          <t xml:space="preserve">ARROW ELECTRONICS, INC.</t>
        </is>
      </c>
      <c r="C868" s="0" t="inlineStr">
        <is>
          <t xml:space="preserve">FV6VAFMWHVG7</t>
        </is>
      </c>
      <c r="D868" s="0" t="inlineStr">
        <is>
          <t xml:space="preserve">USA</t>
        </is>
      </c>
      <c r="E868" s="0" t="inlineStr">
        <is>
          <t xml:space="preserve">4236</t>
        </is>
      </c>
      <c r="F868" s="0" t="inlineStr">
        <is>
          <t xml:space="preserve">Other Electronic Parts and Equipment Merchant Wholesalers</t>
        </is>
      </c>
      <c r="G868" s="5">
        <v>0.630479</v>
      </c>
      <c r="H868" s="0" t="inlineStr">
        <is>
          <t xml:space="preserve">service</t>
        </is>
      </c>
      <c r="I868" s="0" t="inlineStr">
        <is>
          <t xml:space="preserve">-</t>
        </is>
      </c>
      <c r="J868" s="0" t="inlineStr">
        <is>
          <t xml:space="preserve">service NAICS</t>
        </is>
      </c>
      <c r="K868" s="5">
        <v>0</v>
      </c>
      <c r="L868" s="5">
        <v>0</v>
      </c>
      <c r="M868" s="5">
        <v>0.0</v>
      </c>
      <c r="N868" s="5">
        <v>0.0</v>
      </c>
      <c r="O868" s="5">
        <v>0.0</v>
      </c>
      <c r="P868" s="5">
        <v>0.0</v>
      </c>
      <c r="Q868" s="5">
        <v>0.0</v>
      </c>
    </row>
    <row r="869" outlineLevel="1">
      <c r="B869" s="0" t="inlineStr">
        <is>
          <t xml:space="preserve">YORK ELECTRO MECHANICAL CORP</t>
        </is>
      </c>
      <c r="C869" s="0" t="inlineStr">
        <is>
          <t xml:space="preserve">DCT5EZ37RTF5</t>
        </is>
      </c>
      <c r="D869" s="0" t="inlineStr">
        <is>
          <t xml:space="preserve">-</t>
        </is>
      </c>
      <c r="E869" s="0" t="inlineStr">
        <is>
          <t xml:space="preserve">-</t>
        </is>
      </c>
      <c r="F869" s="0" t="inlineStr">
        <is>
          <t xml:space="preserve">-</t>
        </is>
      </c>
      <c r="G869" s="5">
        <v>0.6304200799999999</v>
      </c>
      <c r="H869" s="0" t="inlineStr">
        <is>
          <t xml:space="preserve">supplier</t>
        </is>
      </c>
      <c r="I869" s="0" t="inlineStr">
        <is>
          <t xml:space="preserve">unbucketed</t>
        </is>
      </c>
      <c r="J869" s="0" t="inlineStr">
        <is>
          <t xml:space="preserve">residual</t>
        </is>
      </c>
      <c r="K869" s="5">
        <v>0</v>
      </c>
      <c r="L869" s="5">
        <v>0</v>
      </c>
      <c r="M869" s="5">
        <v>0.0</v>
      </c>
      <c r="N869" s="5">
        <v>0.0</v>
      </c>
      <c r="O869" s="5">
        <v>0.0</v>
      </c>
      <c r="P869" s="5">
        <v>0.0</v>
      </c>
      <c r="Q869" s="5">
        <v>0.0</v>
      </c>
    </row>
    <row r="870" outlineLevel="1">
      <c r="B870" s="0" t="inlineStr">
        <is>
          <t xml:space="preserve">SOUTHERN GEAR &amp; MACHINE, INC.</t>
        </is>
      </c>
      <c r="C870" s="0" t="inlineStr">
        <is>
          <t xml:space="preserve">V7GQF5M7C667</t>
        </is>
      </c>
      <c r="D870" s="0" t="inlineStr">
        <is>
          <t xml:space="preserve">USA</t>
        </is>
      </c>
      <c r="E870" s="0" t="inlineStr">
        <is>
          <t xml:space="preserve">3336</t>
        </is>
      </c>
      <c r="F870" s="0" t="inlineStr">
        <is>
          <t xml:space="preserve">Speed Changer, Industrial High-Speed Drive, and Gear Manufacturing</t>
        </is>
      </c>
      <c r="G870" s="5">
        <v>0.62936729</v>
      </c>
      <c r="H870" s="0" t="inlineStr">
        <is>
          <t xml:space="preserve">supplier</t>
        </is>
      </c>
      <c r="I870" s="0" t="inlineStr">
        <is>
          <t xml:space="preserve">machining</t>
        </is>
      </c>
      <c r="J870" s="0" t="inlineStr">
        <is>
          <t xml:space="preserve">naics4</t>
        </is>
      </c>
      <c r="K870" s="5">
        <v>0</v>
      </c>
      <c r="L870" s="5">
        <v>0</v>
      </c>
      <c r="M870" s="5">
        <v>0.0</v>
      </c>
      <c r="N870" s="5">
        <v>0.0</v>
      </c>
      <c r="O870" s="5">
        <v>0.0</v>
      </c>
      <c r="P870" s="5">
        <v>0.0</v>
      </c>
      <c r="Q870" s="5">
        <v>0.0</v>
      </c>
    </row>
    <row r="871" outlineLevel="1">
      <c r="B871" s="0" t="inlineStr">
        <is>
          <t xml:space="preserve">BAUER COMPRESSORS, INC.</t>
        </is>
      </c>
      <c r="C871" s="0" t="inlineStr">
        <is>
          <t xml:space="preserve">EZVMH8VEGL34</t>
        </is>
      </c>
      <c r="D871" s="0" t="inlineStr">
        <is>
          <t xml:space="preserve">-</t>
        </is>
      </c>
      <c r="E871" s="0" t="inlineStr">
        <is>
          <t xml:space="preserve">-</t>
        </is>
      </c>
      <c r="F871" s="0" t="inlineStr">
        <is>
          <t xml:space="preserve">-</t>
        </is>
      </c>
      <c r="G871" s="5">
        <v>0.62531</v>
      </c>
      <c r="H871" s="0" t="inlineStr">
        <is>
          <t xml:space="preserve">supplier</t>
        </is>
      </c>
      <c r="I871" s="0" t="inlineStr">
        <is>
          <t xml:space="preserve">unbucketed</t>
        </is>
      </c>
      <c r="J871" s="0" t="inlineStr">
        <is>
          <t xml:space="preserve">residual</t>
        </is>
      </c>
      <c r="K871" s="5">
        <v>0</v>
      </c>
      <c r="L871" s="5">
        <v>0</v>
      </c>
      <c r="M871" s="5">
        <v>0.62531</v>
      </c>
      <c r="N871" s="5">
        <v>0.0285</v>
      </c>
      <c r="O871" s="5">
        <v>0.0</v>
      </c>
      <c r="P871" s="5">
        <v>0.0</v>
      </c>
      <c r="Q871" s="5">
        <v>0.0</v>
      </c>
    </row>
    <row r="872" outlineLevel="1">
      <c r="B872" s="0" t="inlineStr">
        <is>
          <t xml:space="preserve">SUPER RADIATOR COILS LIMITED PARTNERSHIP</t>
        </is>
      </c>
      <c r="C872" s="0" t="inlineStr">
        <is>
          <t xml:space="preserve">J9XEK2AAZMW3</t>
        </is>
      </c>
      <c r="D872" s="0" t="inlineStr">
        <is>
          <t xml:space="preserve">-</t>
        </is>
      </c>
      <c r="E872" s="0" t="inlineStr">
        <is>
          <t xml:space="preserve">-</t>
        </is>
      </c>
      <c r="F872" s="0" t="inlineStr">
        <is>
          <t xml:space="preserve">-</t>
        </is>
      </c>
      <c r="G872" s="5">
        <v>0.623883</v>
      </c>
      <c r="H872" s="0" t="inlineStr">
        <is>
          <t xml:space="preserve">supplier</t>
        </is>
      </c>
      <c r="I872" s="0" t="inlineStr">
        <is>
          <t xml:space="preserve">unbucketed</t>
        </is>
      </c>
      <c r="J872" s="0" t="inlineStr">
        <is>
          <t xml:space="preserve">residual</t>
        </is>
      </c>
      <c r="K872" s="5">
        <v>0</v>
      </c>
      <c r="L872" s="5">
        <v>0</v>
      </c>
      <c r="M872" s="5">
        <v>0.0</v>
      </c>
      <c r="N872" s="5">
        <v>0.0</v>
      </c>
      <c r="O872" s="5">
        <v>0.0</v>
      </c>
      <c r="P872" s="5">
        <v>0.0</v>
      </c>
      <c r="Q872" s="5">
        <v>0.0</v>
      </c>
    </row>
    <row r="873" outlineLevel="1">
      <c r="B873" s="0" t="inlineStr">
        <is>
          <t xml:space="preserve">ROCHESTER ELECTRONICS, LLC</t>
        </is>
      </c>
      <c r="C873" s="0" t="inlineStr">
        <is>
          <t xml:space="preserve">KHJBQNXK37Q5</t>
        </is>
      </c>
      <c r="D873" s="0" t="inlineStr">
        <is>
          <t xml:space="preserve">-</t>
        </is>
      </c>
      <c r="E873" s="0" t="inlineStr">
        <is>
          <t xml:space="preserve">-</t>
        </is>
      </c>
      <c r="F873" s="0" t="inlineStr">
        <is>
          <t xml:space="preserve">-</t>
        </is>
      </c>
      <c r="G873" s="5">
        <v>0.6225007499999999</v>
      </c>
      <c r="H873" s="0" t="inlineStr">
        <is>
          <t xml:space="preserve">supplier</t>
        </is>
      </c>
      <c r="I873" s="0" t="inlineStr">
        <is>
          <t xml:space="preserve">unbucketed</t>
        </is>
      </c>
      <c r="J873" s="0" t="inlineStr">
        <is>
          <t xml:space="preserve">residual</t>
        </is>
      </c>
      <c r="K873" s="5">
        <v>0</v>
      </c>
      <c r="L873" s="5">
        <v>0</v>
      </c>
      <c r="M873" s="5">
        <v>0.0</v>
      </c>
      <c r="N873" s="5">
        <v>0.0</v>
      </c>
      <c r="O873" s="5">
        <v>0.0</v>
      </c>
      <c r="P873" s="5">
        <v>0.0</v>
      </c>
      <c r="Q873" s="5">
        <v>0.0</v>
      </c>
    </row>
    <row r="874" outlineLevel="1">
      <c r="B874" s="0" t="inlineStr">
        <is>
          <t xml:space="preserve">WESS TRANSPORTATION SERVICES, INC.</t>
        </is>
      </c>
      <c r="C874" s="0" t="inlineStr">
        <is>
          <t xml:space="preserve">NPLMFYMZDPW6</t>
        </is>
      </c>
      <c r="D874" s="0" t="inlineStr">
        <is>
          <t xml:space="preserve">-</t>
        </is>
      </c>
      <c r="E874" s="0" t="inlineStr">
        <is>
          <t xml:space="preserve">-</t>
        </is>
      </c>
      <c r="F874" s="0" t="inlineStr">
        <is>
          <t xml:space="preserve">-</t>
        </is>
      </c>
      <c r="G874" s="5">
        <v>0.62021</v>
      </c>
      <c r="H874" s="0" t="inlineStr">
        <is>
          <t xml:space="preserve">supplier</t>
        </is>
      </c>
      <c r="I874" s="0" t="inlineStr">
        <is>
          <t xml:space="preserve">unbucketed</t>
        </is>
      </c>
      <c r="J874" s="0" t="inlineStr">
        <is>
          <t xml:space="preserve">residual</t>
        </is>
      </c>
      <c r="K874" s="5">
        <v>0</v>
      </c>
      <c r="L874" s="5">
        <v>0</v>
      </c>
      <c r="M874" s="5">
        <v>0.0</v>
      </c>
      <c r="N874" s="5">
        <v>0.0</v>
      </c>
      <c r="O874" s="5">
        <v>0.0</v>
      </c>
      <c r="P874" s="5">
        <v>0.0</v>
      </c>
      <c r="Q874" s="5">
        <v>0.0</v>
      </c>
    </row>
    <row r="875" outlineLevel="1">
      <c r="B875" s="0" t="inlineStr">
        <is>
          <t xml:space="preserve">CONTROLLED MOTION SOLUTIONS INC</t>
        </is>
      </c>
      <c r="C875" s="0" t="inlineStr">
        <is>
          <t xml:space="preserve">F1KGBDG9RSA7</t>
        </is>
      </c>
      <c r="D875" s="0" t="inlineStr">
        <is>
          <t xml:space="preserve">-</t>
        </is>
      </c>
      <c r="E875" s="0" t="inlineStr">
        <is>
          <t xml:space="preserve">-</t>
        </is>
      </c>
      <c r="F875" s="0" t="inlineStr">
        <is>
          <t xml:space="preserve">-</t>
        </is>
      </c>
      <c r="G875" s="5">
        <v>0.61880893</v>
      </c>
      <c r="H875" s="0" t="inlineStr">
        <is>
          <t xml:space="preserve">supplier</t>
        </is>
      </c>
      <c r="I875" s="0" t="inlineStr">
        <is>
          <t xml:space="preserve">unbucketed</t>
        </is>
      </c>
      <c r="J875" s="0" t="inlineStr">
        <is>
          <t xml:space="preserve">residual</t>
        </is>
      </c>
      <c r="K875" s="5">
        <v>0</v>
      </c>
      <c r="L875" s="5">
        <v>0</v>
      </c>
      <c r="M875" s="5">
        <v>0.0</v>
      </c>
      <c r="N875" s="5">
        <v>0.0</v>
      </c>
      <c r="O875" s="5">
        <v>0.0</v>
      </c>
      <c r="P875" s="5">
        <v>0.0</v>
      </c>
      <c r="Q875" s="5">
        <v>0.0</v>
      </c>
    </row>
    <row r="876" outlineLevel="1">
      <c r="B876" s="0" t="inlineStr">
        <is>
          <t xml:space="preserve">SPECTRONICS, INC.</t>
        </is>
      </c>
      <c r="C876" s="0" t="inlineStr">
        <is>
          <t xml:space="preserve">HNJDANSKDZK9</t>
        </is>
      </c>
      <c r="D876" s="0" t="inlineStr">
        <is>
          <t xml:space="preserve">-</t>
        </is>
      </c>
      <c r="E876" s="0" t="inlineStr">
        <is>
          <t xml:space="preserve">-</t>
        </is>
      </c>
      <c r="F876" s="0" t="inlineStr">
        <is>
          <t xml:space="preserve">-</t>
        </is>
      </c>
      <c r="G876" s="5">
        <v>0.61832526</v>
      </c>
      <c r="H876" s="0" t="inlineStr">
        <is>
          <t xml:space="preserve">supplier</t>
        </is>
      </c>
      <c r="I876" s="0" t="inlineStr">
        <is>
          <t xml:space="preserve">unbucketed</t>
        </is>
      </c>
      <c r="J876" s="0" t="inlineStr">
        <is>
          <t xml:space="preserve">residual</t>
        </is>
      </c>
      <c r="K876" s="5">
        <v>0</v>
      </c>
      <c r="L876" s="5">
        <v>0</v>
      </c>
      <c r="M876" s="5">
        <v>0.61832526</v>
      </c>
      <c r="N876" s="5">
        <v>0.0</v>
      </c>
      <c r="O876" s="5">
        <v>0.0</v>
      </c>
      <c r="P876" s="5">
        <v>0.0794</v>
      </c>
      <c r="Q876" s="5">
        <v>0.20245</v>
      </c>
    </row>
    <row r="877" outlineLevel="1">
      <c r="B877" s="0" t="inlineStr">
        <is>
          <t xml:space="preserve">GENERAL DIGITAL CORP</t>
        </is>
      </c>
      <c r="C877" s="0" t="inlineStr">
        <is>
          <t xml:space="preserve">DWMEGPGHBGY5</t>
        </is>
      </c>
      <c r="D877" s="0" t="inlineStr">
        <is>
          <t xml:space="preserve">-</t>
        </is>
      </c>
      <c r="E877" s="0" t="inlineStr">
        <is>
          <t xml:space="preserve">-</t>
        </is>
      </c>
      <c r="F877" s="0" t="inlineStr">
        <is>
          <t xml:space="preserve">-</t>
        </is>
      </c>
      <c r="G877" s="5">
        <v>0.617853</v>
      </c>
      <c r="H877" s="0" t="inlineStr">
        <is>
          <t xml:space="preserve">supplier</t>
        </is>
      </c>
      <c r="I877" s="0" t="inlineStr">
        <is>
          <t xml:space="preserve">unbucketed</t>
        </is>
      </c>
      <c r="J877" s="0" t="inlineStr">
        <is>
          <t xml:space="preserve">residual</t>
        </is>
      </c>
      <c r="K877" s="5">
        <v>0</v>
      </c>
      <c r="L877" s="5">
        <v>0</v>
      </c>
      <c r="M877" s="5">
        <v>0.0</v>
      </c>
      <c r="N877" s="5">
        <v>0.0</v>
      </c>
      <c r="O877" s="5">
        <v>0.0</v>
      </c>
      <c r="P877" s="5">
        <v>0.0</v>
      </c>
      <c r="Q877" s="5">
        <v>0.0</v>
      </c>
    </row>
    <row r="878" outlineLevel="1">
      <c r="B878" s="0" t="inlineStr">
        <is>
          <t xml:space="preserve">MERCURY SYSTEMS - TRUSTED MISSION SOLUTIONS INC.</t>
        </is>
      </c>
      <c r="C878" s="0" t="inlineStr">
        <is>
          <t xml:space="preserve">K85XUK3ARLX6</t>
        </is>
      </c>
      <c r="D878" s="0" t="inlineStr">
        <is>
          <t xml:space="preserve">-</t>
        </is>
      </c>
      <c r="E878" s="0" t="inlineStr">
        <is>
          <t xml:space="preserve">-</t>
        </is>
      </c>
      <c r="F878" s="0" t="inlineStr">
        <is>
          <t xml:space="preserve">-</t>
        </is>
      </c>
      <c r="G878" s="5">
        <v>0.614077</v>
      </c>
      <c r="H878" s="0" t="inlineStr">
        <is>
          <t xml:space="preserve">supplier</t>
        </is>
      </c>
      <c r="I878" s="0" t="inlineStr">
        <is>
          <t xml:space="preserve">unbucketed</t>
        </is>
      </c>
      <c r="J878" s="0" t="inlineStr">
        <is>
          <t xml:space="preserve">residual</t>
        </is>
      </c>
      <c r="K878" s="5">
        <v>0</v>
      </c>
      <c r="L878" s="5">
        <v>0</v>
      </c>
      <c r="M878" s="5">
        <v>0.0</v>
      </c>
      <c r="N878" s="5">
        <v>0.0</v>
      </c>
      <c r="O878" s="5">
        <v>0.0</v>
      </c>
      <c r="P878" s="5">
        <v>0.0</v>
      </c>
      <c r="Q878" s="5">
        <v>0.0</v>
      </c>
    </row>
    <row r="879" outlineLevel="1">
      <c r="B879" s="0" t="inlineStr">
        <is>
          <t xml:space="preserve">VALKYRIE ENTERPRISES, INC.</t>
        </is>
      </c>
      <c r="C879" s="0" t="inlineStr">
        <is>
          <t xml:space="preserve">NBM4G4SAFQM3</t>
        </is>
      </c>
      <c r="D879" s="0" t="inlineStr">
        <is>
          <t xml:space="preserve">-</t>
        </is>
      </c>
      <c r="E879" s="0" t="inlineStr">
        <is>
          <t xml:space="preserve">-</t>
        </is>
      </c>
      <c r="F879" s="0" t="inlineStr">
        <is>
          <t xml:space="preserve">-</t>
        </is>
      </c>
      <c r="G879" s="5">
        <v>0.61355865</v>
      </c>
      <c r="H879" s="0" t="inlineStr">
        <is>
          <t xml:space="preserve">supplier</t>
        </is>
      </c>
      <c r="I879" s="0" t="inlineStr">
        <is>
          <t xml:space="preserve">unbucketed</t>
        </is>
      </c>
      <c r="J879" s="0" t="inlineStr">
        <is>
          <t xml:space="preserve">residual</t>
        </is>
      </c>
      <c r="K879" s="5">
        <v>0</v>
      </c>
      <c r="L879" s="5">
        <v>0</v>
      </c>
      <c r="M879" s="5">
        <v>0.61355865</v>
      </c>
      <c r="N879" s="5">
        <v>0.0</v>
      </c>
      <c r="O879" s="5">
        <v>0.0</v>
      </c>
      <c r="P879" s="5">
        <v>0.0</v>
      </c>
      <c r="Q879" s="5">
        <v>0.0</v>
      </c>
    </row>
    <row r="880" outlineLevel="1">
      <c r="B880" s="0" t="inlineStr">
        <is>
          <t xml:space="preserve">AVNET INC</t>
        </is>
      </c>
      <c r="C880" s="0" t="inlineStr">
        <is>
          <t xml:space="preserve">LHZRME5MGXR4</t>
        </is>
      </c>
      <c r="D880" s="0" t="inlineStr">
        <is>
          <t xml:space="preserve">-</t>
        </is>
      </c>
      <c r="E880" s="0" t="inlineStr">
        <is>
          <t xml:space="preserve">-</t>
        </is>
      </c>
      <c r="F880" s="0" t="inlineStr">
        <is>
          <t xml:space="preserve">-</t>
        </is>
      </c>
      <c r="G880" s="5">
        <v>0.613219</v>
      </c>
      <c r="H880" s="0" t="inlineStr">
        <is>
          <t xml:space="preserve">supplier</t>
        </is>
      </c>
      <c r="I880" s="0" t="inlineStr">
        <is>
          <t xml:space="preserve">unbucketed</t>
        </is>
      </c>
      <c r="J880" s="0" t="inlineStr">
        <is>
          <t xml:space="preserve">residual</t>
        </is>
      </c>
      <c r="K880" s="5">
        <v>0</v>
      </c>
      <c r="L880" s="5">
        <v>0</v>
      </c>
      <c r="M880" s="5">
        <v>0.0</v>
      </c>
      <c r="N880" s="5">
        <v>0.0</v>
      </c>
      <c r="O880" s="5">
        <v>0.0</v>
      </c>
      <c r="P880" s="5">
        <v>0.0</v>
      </c>
      <c r="Q880" s="5">
        <v>0.0</v>
      </c>
    </row>
    <row r="881" outlineLevel="1">
      <c r="B881" s="0" t="inlineStr">
        <is>
          <t xml:space="preserve">VALKYRIE ENTERPRISES, LLC</t>
        </is>
      </c>
      <c r="C881" s="0" t="inlineStr">
        <is>
          <t xml:space="preserve">NBM4G4SAFQM3</t>
        </is>
      </c>
      <c r="D881" s="0" t="inlineStr">
        <is>
          <t xml:space="preserve">-</t>
        </is>
      </c>
      <c r="E881" s="0" t="inlineStr">
        <is>
          <t xml:space="preserve">-</t>
        </is>
      </c>
      <c r="F881" s="0" t="inlineStr">
        <is>
          <t xml:space="preserve">-</t>
        </is>
      </c>
      <c r="G881" s="5">
        <v>0.61286368</v>
      </c>
      <c r="H881" s="0" t="inlineStr">
        <is>
          <t xml:space="preserve">supplier</t>
        </is>
      </c>
      <c r="I881" s="0" t="inlineStr">
        <is>
          <t xml:space="preserve">unbucketed</t>
        </is>
      </c>
      <c r="J881" s="0" t="inlineStr">
        <is>
          <t xml:space="preserve">residual</t>
        </is>
      </c>
      <c r="K881" s="5">
        <v>0</v>
      </c>
      <c r="L881" s="5">
        <v>0</v>
      </c>
      <c r="M881" s="5">
        <v>0.61286368</v>
      </c>
      <c r="N881" s="5">
        <v>0.0</v>
      </c>
      <c r="O881" s="5">
        <v>0.0</v>
      </c>
      <c r="P881" s="5">
        <v>0.08680067999999999</v>
      </c>
      <c r="Q881" s="5">
        <v>0.526063</v>
      </c>
    </row>
    <row r="882" outlineLevel="1">
      <c r="B882" s="0" t="inlineStr">
        <is>
          <t xml:space="preserve">ITT INC.</t>
        </is>
      </c>
      <c r="C882" s="0" t="inlineStr">
        <is>
          <t xml:space="preserve">YA5MLUTX7W19</t>
        </is>
      </c>
      <c r="D882" s="0" t="inlineStr">
        <is>
          <t xml:space="preserve">-</t>
        </is>
      </c>
      <c r="E882" s="0" t="inlineStr">
        <is>
          <t xml:space="preserve">-</t>
        </is>
      </c>
      <c r="F882" s="0" t="inlineStr">
        <is>
          <t xml:space="preserve">-</t>
        </is>
      </c>
      <c r="G882" s="5">
        <v>0.60242288</v>
      </c>
      <c r="H882" s="0" t="inlineStr">
        <is>
          <t xml:space="preserve">supplier</t>
        </is>
      </c>
      <c r="I882" s="0" t="inlineStr">
        <is>
          <t xml:space="preserve">unbucketed</t>
        </is>
      </c>
      <c r="J882" s="0" t="inlineStr">
        <is>
          <t xml:space="preserve">residual</t>
        </is>
      </c>
      <c r="K882" s="5">
        <v>0</v>
      </c>
      <c r="L882" s="5">
        <v>0</v>
      </c>
      <c r="M882" s="5">
        <v>0.0</v>
      </c>
      <c r="N882" s="5">
        <v>0.0</v>
      </c>
      <c r="O882" s="5">
        <v>0.0</v>
      </c>
      <c r="P882" s="5">
        <v>0.0</v>
      </c>
      <c r="Q882" s="5">
        <v>0.0</v>
      </c>
    </row>
    <row r="883" outlineLevel="1">
      <c r="B883" s="0" t="inlineStr">
        <is>
          <t xml:space="preserve">APTIV PLC</t>
        </is>
      </c>
      <c r="C883" s="0" t="inlineStr">
        <is>
          <t xml:space="preserve">KV2MY9E3H1M1</t>
        </is>
      </c>
      <c r="D883" s="0" t="inlineStr">
        <is>
          <t xml:space="preserve">-</t>
        </is>
      </c>
      <c r="E883" s="0" t="inlineStr">
        <is>
          <t xml:space="preserve">-</t>
        </is>
      </c>
      <c r="F883" s="0" t="inlineStr">
        <is>
          <t xml:space="preserve">-</t>
        </is>
      </c>
      <c r="G883" s="5">
        <v>0.601111</v>
      </c>
      <c r="H883" s="0" t="inlineStr">
        <is>
          <t xml:space="preserve">supplier</t>
        </is>
      </c>
      <c r="I883" s="0" t="inlineStr">
        <is>
          <t xml:space="preserve">unbucketed</t>
        </is>
      </c>
      <c r="J883" s="0" t="inlineStr">
        <is>
          <t xml:space="preserve">residual</t>
        </is>
      </c>
      <c r="K883" s="5">
        <v>0</v>
      </c>
      <c r="L883" s="5">
        <v>0</v>
      </c>
      <c r="M883" s="5">
        <v>0.0</v>
      </c>
      <c r="N883" s="5">
        <v>0.0</v>
      </c>
      <c r="O883" s="5">
        <v>0.0</v>
      </c>
      <c r="P883" s="5">
        <v>0.0</v>
      </c>
      <c r="Q883" s="5">
        <v>0.0</v>
      </c>
    </row>
    <row r="884" outlineLevel="1">
      <c r="B884" s="0" t="inlineStr">
        <is>
          <t xml:space="preserve">MICROSEMI CORPORATION</t>
        </is>
      </c>
      <c r="C884" s="0" t="inlineStr">
        <is>
          <t xml:space="preserve">JD2JPX6VH1H5</t>
        </is>
      </c>
      <c r="D884" s="0" t="inlineStr">
        <is>
          <t xml:space="preserve">-</t>
        </is>
      </c>
      <c r="E884" s="0" t="inlineStr">
        <is>
          <t xml:space="preserve">-</t>
        </is>
      </c>
      <c r="F884" s="0" t="inlineStr">
        <is>
          <t xml:space="preserve">-</t>
        </is>
      </c>
      <c r="G884" s="5">
        <v>0.600852</v>
      </c>
      <c r="H884" s="0" t="inlineStr">
        <is>
          <t xml:space="preserve">supplier</t>
        </is>
      </c>
      <c r="I884" s="0" t="inlineStr">
        <is>
          <t xml:space="preserve">unbucketed</t>
        </is>
      </c>
      <c r="J884" s="0" t="inlineStr">
        <is>
          <t xml:space="preserve">residual</t>
        </is>
      </c>
      <c r="K884" s="5">
        <v>0</v>
      </c>
      <c r="L884" s="5">
        <v>0</v>
      </c>
      <c r="M884" s="5">
        <v>0.0</v>
      </c>
      <c r="N884" s="5">
        <v>0.0</v>
      </c>
      <c r="O884" s="5">
        <v>0.0</v>
      </c>
      <c r="P884" s="5">
        <v>0.0</v>
      </c>
      <c r="Q884" s="5">
        <v>0.0</v>
      </c>
    </row>
    <row r="885" outlineLevel="1">
      <c r="B885" s="0" t="inlineStr">
        <is>
          <t xml:space="preserve">MARKI MICROWAVE INC</t>
        </is>
      </c>
      <c r="C885" s="0" t="inlineStr">
        <is>
          <t xml:space="preserve">J4Q2NPUKSL66</t>
        </is>
      </c>
      <c r="D885" s="0" t="inlineStr">
        <is>
          <t xml:space="preserve">-</t>
        </is>
      </c>
      <c r="E885" s="0" t="inlineStr">
        <is>
          <t xml:space="preserve">-</t>
        </is>
      </c>
      <c r="F885" s="0" t="inlineStr">
        <is>
          <t xml:space="preserve">-</t>
        </is>
      </c>
      <c r="G885" s="5">
        <v>0.6</v>
      </c>
      <c r="H885" s="0" t="inlineStr">
        <is>
          <t xml:space="preserve">supplier</t>
        </is>
      </c>
      <c r="I885" s="0" t="inlineStr">
        <is>
          <t xml:space="preserve">unbucketed</t>
        </is>
      </c>
      <c r="J885" s="0" t="inlineStr">
        <is>
          <t xml:space="preserve">residual</t>
        </is>
      </c>
      <c r="K885" s="5">
        <v>0</v>
      </c>
      <c r="L885" s="5">
        <v>0</v>
      </c>
      <c r="M885" s="5">
        <v>0.0</v>
      </c>
      <c r="N885" s="5">
        <v>0.0</v>
      </c>
      <c r="O885" s="5">
        <v>0.0</v>
      </c>
      <c r="P885" s="5">
        <v>0.0</v>
      </c>
      <c r="Q885" s="5">
        <v>0.0</v>
      </c>
    </row>
    <row r="886" outlineLevel="1">
      <c r="B886" s="0" t="inlineStr">
        <is>
          <t xml:space="preserve">BAE SYSTEMS NORFOLK SHIP REPAIR INC.</t>
        </is>
      </c>
      <c r="C886" s="0" t="inlineStr">
        <is>
          <t xml:space="preserve">ERMDZBE4J8Q9</t>
        </is>
      </c>
      <c r="D886" s="0" t="inlineStr">
        <is>
          <t xml:space="preserve">-</t>
        </is>
      </c>
      <c r="E886" s="0" t="inlineStr">
        <is>
          <t xml:space="preserve">-</t>
        </is>
      </c>
      <c r="F886" s="0" t="inlineStr">
        <is>
          <t xml:space="preserve">-</t>
        </is>
      </c>
      <c r="G886" s="5">
        <v>0.598876</v>
      </c>
      <c r="H886" s="0" t="inlineStr">
        <is>
          <t xml:space="preserve">supplier</t>
        </is>
      </c>
      <c r="I886" s="0" t="inlineStr">
        <is>
          <t xml:space="preserve">unbucketed</t>
        </is>
      </c>
      <c r="J886" s="0" t="inlineStr">
        <is>
          <t xml:space="preserve">residual</t>
        </is>
      </c>
      <c r="K886" s="5">
        <v>0</v>
      </c>
      <c r="L886" s="5">
        <v>0</v>
      </c>
      <c r="M886" s="5">
        <v>0.0</v>
      </c>
      <c r="N886" s="5">
        <v>0.0</v>
      </c>
      <c r="O886" s="5">
        <v>0.0</v>
      </c>
      <c r="P886" s="5">
        <v>0.0</v>
      </c>
      <c r="Q886" s="5">
        <v>0.0</v>
      </c>
    </row>
    <row r="887" outlineLevel="1">
      <c r="B887" s="0" t="inlineStr">
        <is>
          <t xml:space="preserve">CARIBOU THUNDER LLC</t>
        </is>
      </c>
      <c r="C887" s="0" t="inlineStr">
        <is>
          <t xml:space="preserve">HVGZFZ19NXQ9</t>
        </is>
      </c>
      <c r="D887" s="0" t="inlineStr">
        <is>
          <t xml:space="preserve">-</t>
        </is>
      </c>
      <c r="E887" s="0" t="inlineStr">
        <is>
          <t xml:space="preserve">-</t>
        </is>
      </c>
      <c r="F887" s="0" t="inlineStr">
        <is>
          <t xml:space="preserve">-</t>
        </is>
      </c>
      <c r="G887" s="5">
        <v>0.595548</v>
      </c>
      <c r="H887" s="0" t="inlineStr">
        <is>
          <t xml:space="preserve">supplier</t>
        </is>
      </c>
      <c r="I887" s="0" t="inlineStr">
        <is>
          <t xml:space="preserve">unbucketed</t>
        </is>
      </c>
      <c r="J887" s="0" t="inlineStr">
        <is>
          <t xml:space="preserve">residual</t>
        </is>
      </c>
      <c r="K887" s="5">
        <v>0</v>
      </c>
      <c r="L887" s="5">
        <v>0</v>
      </c>
      <c r="M887" s="5">
        <v>0.0</v>
      </c>
      <c r="N887" s="5">
        <v>0.0</v>
      </c>
      <c r="O887" s="5">
        <v>0.0</v>
      </c>
      <c r="P887" s="5">
        <v>0.0</v>
      </c>
      <c r="Q887" s="5">
        <v>0.0</v>
      </c>
    </row>
    <row r="888" outlineLevel="1">
      <c r="B888" s="0" t="inlineStr">
        <is>
          <t xml:space="preserve">ALCO INVESTMENT COMPANY</t>
        </is>
      </c>
      <c r="C888" s="0" t="inlineStr">
        <is>
          <t xml:space="preserve">ZYXHJHYGTNS8</t>
        </is>
      </c>
      <c r="D888" s="0" t="inlineStr">
        <is>
          <t xml:space="preserve">-</t>
        </is>
      </c>
      <c r="E888" s="0" t="inlineStr">
        <is>
          <t xml:space="preserve">-</t>
        </is>
      </c>
      <c r="F888" s="0" t="inlineStr">
        <is>
          <t xml:space="preserve">-</t>
        </is>
      </c>
      <c r="G888" s="5">
        <v>0.59363</v>
      </c>
      <c r="H888" s="0" t="inlineStr">
        <is>
          <t xml:space="preserve">supplier</t>
        </is>
      </c>
      <c r="I888" s="0" t="inlineStr">
        <is>
          <t xml:space="preserve">unbucketed</t>
        </is>
      </c>
      <c r="J888" s="0" t="inlineStr">
        <is>
          <t xml:space="preserve">residual</t>
        </is>
      </c>
      <c r="K888" s="5">
        <v>0</v>
      </c>
      <c r="L888" s="5">
        <v>0</v>
      </c>
      <c r="M888" s="5">
        <v>0.0</v>
      </c>
      <c r="N888" s="5">
        <v>0.0</v>
      </c>
      <c r="O888" s="5">
        <v>0.0</v>
      </c>
      <c r="P888" s="5">
        <v>0.0</v>
      </c>
      <c r="Q888" s="5">
        <v>0.0</v>
      </c>
    </row>
    <row r="889" outlineLevel="1">
      <c r="B889" s="0" t="inlineStr">
        <is>
          <t xml:space="preserve">WALZ &amp; KRENZER INC</t>
        </is>
      </c>
      <c r="C889" s="0" t="inlineStr">
        <is>
          <t xml:space="preserve">NY66W8KMH427</t>
        </is>
      </c>
      <c r="D889" s="0" t="inlineStr">
        <is>
          <t xml:space="preserve">-</t>
        </is>
      </c>
      <c r="E889" s="0" t="inlineStr">
        <is>
          <t xml:space="preserve">-</t>
        </is>
      </c>
      <c r="F889" s="0" t="inlineStr">
        <is>
          <t xml:space="preserve">-</t>
        </is>
      </c>
      <c r="G889" s="5">
        <v>0.5906</v>
      </c>
      <c r="H889" s="0" t="inlineStr">
        <is>
          <t xml:space="preserve">supplier</t>
        </is>
      </c>
      <c r="I889" s="0" t="inlineStr">
        <is>
          <t xml:space="preserve">unbucketed</t>
        </is>
      </c>
      <c r="J889" s="0" t="inlineStr">
        <is>
          <t xml:space="preserve">residual</t>
        </is>
      </c>
      <c r="K889" s="5">
        <v>0</v>
      </c>
      <c r="L889" s="5">
        <v>0</v>
      </c>
      <c r="M889" s="5">
        <v>0.0</v>
      </c>
      <c r="N889" s="5">
        <v>0.0</v>
      </c>
      <c r="O889" s="5">
        <v>0.0</v>
      </c>
      <c r="P889" s="5">
        <v>0.0</v>
      </c>
      <c r="Q889" s="5">
        <v>0.0</v>
      </c>
    </row>
    <row r="890" outlineLevel="1">
      <c r="B890" s="0" t="inlineStr">
        <is>
          <t xml:space="preserve">RTX CORPORATION</t>
        </is>
      </c>
      <c r="C890" s="0" t="inlineStr">
        <is>
          <t xml:space="preserve">XZQMCCC6P5T6</t>
        </is>
      </c>
      <c r="D890" s="0" t="inlineStr">
        <is>
          <t xml:space="preserve">-</t>
        </is>
      </c>
      <c r="E890" s="0" t="inlineStr">
        <is>
          <t xml:space="preserve">-</t>
        </is>
      </c>
      <c r="F890" s="0" t="inlineStr">
        <is>
          <t xml:space="preserve">-</t>
        </is>
      </c>
      <c r="G890" s="5">
        <v>0.589448</v>
      </c>
      <c r="H890" s="0" t="inlineStr">
        <is>
          <t xml:space="preserve">gfe_mib</t>
        </is>
      </c>
      <c r="I890" s="0" t="inlineStr">
        <is>
          <t xml:space="preserve">-</t>
        </is>
      </c>
      <c r="J890" s="0" t="inlineStr">
        <is>
          <t xml:space="preserve">GFE/MIB name</t>
        </is>
      </c>
      <c r="K890" s="5">
        <v>0</v>
      </c>
      <c r="L890" s="5">
        <v>0</v>
      </c>
      <c r="M890" s="5">
        <v>0.0</v>
      </c>
      <c r="N890" s="5">
        <v>0.0</v>
      </c>
      <c r="O890" s="5">
        <v>0.0</v>
      </c>
      <c r="P890" s="5">
        <v>0.0</v>
      </c>
      <c r="Q890" s="5">
        <v>0.0</v>
      </c>
    </row>
    <row r="891" outlineLevel="1">
      <c r="B891" s="0" t="inlineStr">
        <is>
          <t xml:space="preserve">LOAR GROUP INC.</t>
        </is>
      </c>
      <c r="C891" s="0" t="inlineStr">
        <is>
          <t xml:space="preserve">N7KNM5UXEJD6</t>
        </is>
      </c>
      <c r="D891" s="0" t="inlineStr">
        <is>
          <t xml:space="preserve">-</t>
        </is>
      </c>
      <c r="E891" s="0" t="inlineStr">
        <is>
          <t xml:space="preserve">-</t>
        </is>
      </c>
      <c r="F891" s="0" t="inlineStr">
        <is>
          <t xml:space="preserve">-</t>
        </is>
      </c>
      <c r="G891" s="5">
        <v>0.58775467</v>
      </c>
      <c r="H891" s="0" t="inlineStr">
        <is>
          <t xml:space="preserve">supplier</t>
        </is>
      </c>
      <c r="I891" s="0" t="inlineStr">
        <is>
          <t xml:space="preserve">unbucketed</t>
        </is>
      </c>
      <c r="J891" s="0" t="inlineStr">
        <is>
          <t xml:space="preserve">residual</t>
        </is>
      </c>
      <c r="K891" s="5">
        <v>0</v>
      </c>
      <c r="L891" s="5">
        <v>0</v>
      </c>
      <c r="M891" s="5">
        <v>0.0</v>
      </c>
      <c r="N891" s="5">
        <v>0.0</v>
      </c>
      <c r="O891" s="5">
        <v>0.0</v>
      </c>
      <c r="P891" s="5">
        <v>0.0</v>
      </c>
      <c r="Q891" s="5">
        <v>0.0</v>
      </c>
    </row>
    <row r="892" outlineLevel="1">
      <c r="B892" s="0" t="inlineStr">
        <is>
          <t xml:space="preserve">EVEREST KANTO CYLINDER LIMITED</t>
        </is>
      </c>
      <c r="C892" s="0" t="inlineStr">
        <is>
          <t xml:space="preserve">MSYWUDGYPKF5</t>
        </is>
      </c>
      <c r="D892" s="0" t="inlineStr">
        <is>
          <t xml:space="preserve">-</t>
        </is>
      </c>
      <c r="E892" s="0" t="inlineStr">
        <is>
          <t xml:space="preserve">-</t>
        </is>
      </c>
      <c r="F892" s="0" t="inlineStr">
        <is>
          <t xml:space="preserve">-</t>
        </is>
      </c>
      <c r="G892" s="5">
        <v>0.5877249999999998</v>
      </c>
      <c r="H892" s="0" t="inlineStr">
        <is>
          <t xml:space="preserve">supplier</t>
        </is>
      </c>
      <c r="I892" s="0" t="inlineStr">
        <is>
          <t xml:space="preserve">structural</t>
        </is>
      </c>
      <c r="J892" s="0" t="inlineStr">
        <is>
          <t xml:space="preserve">registry</t>
        </is>
      </c>
      <c r="K892" s="5">
        <v>0</v>
      </c>
      <c r="L892" s="5">
        <v>0</v>
      </c>
      <c r="M892" s="5">
        <v>0.5877249999999998</v>
      </c>
      <c r="N892" s="5">
        <v>0.0</v>
      </c>
      <c r="O892" s="5">
        <v>0.0</v>
      </c>
      <c r="P892" s="5">
        <v>0.0</v>
      </c>
      <c r="Q892" s="5">
        <v>0.130515</v>
      </c>
    </row>
    <row r="893" outlineLevel="1">
      <c r="B893" s="0" t="inlineStr">
        <is>
          <t xml:space="preserve">MACHINISTS, INC.</t>
        </is>
      </c>
      <c r="C893" s="0" t="inlineStr">
        <is>
          <t xml:space="preserve">ZQK7N3KY4UF8</t>
        </is>
      </c>
      <c r="D893" s="0" t="inlineStr">
        <is>
          <t xml:space="preserve">-</t>
        </is>
      </c>
      <c r="E893" s="0" t="inlineStr">
        <is>
          <t xml:space="preserve">-</t>
        </is>
      </c>
      <c r="F893" s="0" t="inlineStr">
        <is>
          <t xml:space="preserve">-</t>
        </is>
      </c>
      <c r="G893" s="5">
        <v>0.5873599999999999</v>
      </c>
      <c r="H893" s="0" t="inlineStr">
        <is>
          <t xml:space="preserve">supplier</t>
        </is>
      </c>
      <c r="I893" s="0" t="inlineStr">
        <is>
          <t xml:space="preserve">unbucketed</t>
        </is>
      </c>
      <c r="J893" s="0" t="inlineStr">
        <is>
          <t xml:space="preserve">residual</t>
        </is>
      </c>
      <c r="K893" s="5">
        <v>0</v>
      </c>
      <c r="L893" s="5">
        <v>0</v>
      </c>
      <c r="M893" s="5">
        <v>0.0</v>
      </c>
      <c r="N893" s="5">
        <v>0.0</v>
      </c>
      <c r="O893" s="5">
        <v>0.0</v>
      </c>
      <c r="P893" s="5">
        <v>0.0</v>
      </c>
      <c r="Q893" s="5">
        <v>0.0</v>
      </c>
    </row>
    <row r="894" outlineLevel="1">
      <c r="B894" s="0" t="inlineStr">
        <is>
          <t xml:space="preserve">ALLIED MOTION TECHNOLOGIES INC.</t>
        </is>
      </c>
      <c r="C894" s="0" t="inlineStr">
        <is>
          <t xml:space="preserve">CM2VJP1VKNN3</t>
        </is>
      </c>
      <c r="D894" s="0" t="inlineStr">
        <is>
          <t xml:space="preserve">-</t>
        </is>
      </c>
      <c r="E894" s="0" t="inlineStr">
        <is>
          <t xml:space="preserve">-</t>
        </is>
      </c>
      <c r="F894" s="0" t="inlineStr">
        <is>
          <t xml:space="preserve">-</t>
        </is>
      </c>
      <c r="G894" s="5">
        <v>0.5867373</v>
      </c>
      <c r="H894" s="0" t="inlineStr">
        <is>
          <t xml:space="preserve">supplier</t>
        </is>
      </c>
      <c r="I894" s="0" t="inlineStr">
        <is>
          <t xml:space="preserve">unbucketed</t>
        </is>
      </c>
      <c r="J894" s="0" t="inlineStr">
        <is>
          <t xml:space="preserve">residual</t>
        </is>
      </c>
      <c r="K894" s="5">
        <v>0</v>
      </c>
      <c r="L894" s="5">
        <v>0</v>
      </c>
      <c r="M894" s="5">
        <v>0.0</v>
      </c>
      <c r="N894" s="5">
        <v>0.0</v>
      </c>
      <c r="O894" s="5">
        <v>0.0</v>
      </c>
      <c r="P894" s="5">
        <v>0.0</v>
      </c>
      <c r="Q894" s="5">
        <v>0.0</v>
      </c>
    </row>
    <row r="895" outlineLevel="1">
      <c r="B895" s="0" t="inlineStr">
        <is>
          <t xml:space="preserve">FUJITSU LIMITED</t>
        </is>
      </c>
      <c r="C895" s="0" t="inlineStr">
        <is>
          <t xml:space="preserve">MFW9XQHKYPT5</t>
        </is>
      </c>
      <c r="D895" s="0" t="inlineStr">
        <is>
          <t xml:space="preserve">Foreign</t>
        </is>
      </c>
      <c r="E895" s="0" t="inlineStr">
        <is>
          <t xml:space="preserve">-</t>
        </is>
      </c>
      <c r="F895" s="0" t="inlineStr">
        <is>
          <t xml:space="preserve">-</t>
        </is>
      </c>
      <c r="G895" s="5">
        <v>0.58152037</v>
      </c>
      <c r="H895" s="0" t="inlineStr">
        <is>
          <t xml:space="preserve">foreign_fms</t>
        </is>
      </c>
      <c r="I895" s="0" t="inlineStr">
        <is>
          <t xml:space="preserve">-</t>
        </is>
      </c>
      <c r="J895" s="0" t="inlineStr">
        <is>
          <t xml:space="preserve">foreign flag</t>
        </is>
      </c>
      <c r="K895" s="5">
        <v>0</v>
      </c>
      <c r="L895" s="5">
        <v>0</v>
      </c>
      <c r="M895" s="5">
        <v>0.0</v>
      </c>
      <c r="N895" s="5">
        <v>0.0</v>
      </c>
      <c r="O895" s="5">
        <v>0.0</v>
      </c>
      <c r="P895" s="5">
        <v>0.0</v>
      </c>
      <c r="Q895" s="5">
        <v>0.0</v>
      </c>
    </row>
    <row r="896" outlineLevel="1">
      <c r="B896" s="0" t="inlineStr">
        <is>
          <t xml:space="preserve">MARINO ENTERPRISES, INC.</t>
        </is>
      </c>
      <c r="C896" s="0" t="inlineStr">
        <is>
          <t xml:space="preserve">NY3RN58HQJV3</t>
        </is>
      </c>
      <c r="D896" s="0" t="inlineStr">
        <is>
          <t xml:space="preserve">-</t>
        </is>
      </c>
      <c r="E896" s="0" t="inlineStr">
        <is>
          <t xml:space="preserve">-</t>
        </is>
      </c>
      <c r="F896" s="0" t="inlineStr">
        <is>
          <t xml:space="preserve">-</t>
        </is>
      </c>
      <c r="G896" s="5">
        <v>0.5804199999999999</v>
      </c>
      <c r="H896" s="0" t="inlineStr">
        <is>
          <t xml:space="preserve">supplier</t>
        </is>
      </c>
      <c r="I896" s="0" t="inlineStr">
        <is>
          <t xml:space="preserve">unbucketed</t>
        </is>
      </c>
      <c r="J896" s="0" t="inlineStr">
        <is>
          <t xml:space="preserve">residual</t>
        </is>
      </c>
      <c r="K896" s="5">
        <v>0</v>
      </c>
      <c r="L896" s="5">
        <v>0</v>
      </c>
      <c r="M896" s="5">
        <v>0.0</v>
      </c>
      <c r="N896" s="5">
        <v>0.0</v>
      </c>
      <c r="O896" s="5">
        <v>0.0</v>
      </c>
      <c r="P896" s="5">
        <v>0.0</v>
      </c>
      <c r="Q896" s="5">
        <v>0.0</v>
      </c>
    </row>
    <row r="897" outlineLevel="1">
      <c r="B897" s="0" t="inlineStr">
        <is>
          <t xml:space="preserve">XYLEM INC.</t>
        </is>
      </c>
      <c r="C897" s="0" t="inlineStr">
        <is>
          <t xml:space="preserve">XJWLF38U74P3</t>
        </is>
      </c>
      <c r="D897" s="0" t="inlineStr">
        <is>
          <t xml:space="preserve">-</t>
        </is>
      </c>
      <c r="E897" s="0" t="inlineStr">
        <is>
          <t xml:space="preserve">-</t>
        </is>
      </c>
      <c r="F897" s="0" t="inlineStr">
        <is>
          <t xml:space="preserve">-</t>
        </is>
      </c>
      <c r="G897" s="5">
        <v>0.580233</v>
      </c>
      <c r="H897" s="0" t="inlineStr">
        <is>
          <t xml:space="preserve">supplier</t>
        </is>
      </c>
      <c r="I897" s="0" t="inlineStr">
        <is>
          <t xml:space="preserve">unbucketed</t>
        </is>
      </c>
      <c r="J897" s="0" t="inlineStr">
        <is>
          <t xml:space="preserve">residual</t>
        </is>
      </c>
      <c r="K897" s="5">
        <v>0</v>
      </c>
      <c r="L897" s="5">
        <v>0</v>
      </c>
      <c r="M897" s="5">
        <v>0.040779</v>
      </c>
      <c r="N897" s="5">
        <v>0.040779</v>
      </c>
      <c r="O897" s="5">
        <v>0.0</v>
      </c>
      <c r="P897" s="5">
        <v>0.0</v>
      </c>
      <c r="Q897" s="5">
        <v>0.0</v>
      </c>
    </row>
    <row r="898" outlineLevel="1">
      <c r="B898" s="0" t="inlineStr">
        <is>
          <t xml:space="preserve">CHROMALOX INC</t>
        </is>
      </c>
      <c r="C898" s="0" t="inlineStr">
        <is>
          <t xml:space="preserve">Z85NS892LYA8</t>
        </is>
      </c>
      <c r="D898" s="0" t="inlineStr">
        <is>
          <t xml:space="preserve">-</t>
        </is>
      </c>
      <c r="E898" s="0" t="inlineStr">
        <is>
          <t xml:space="preserve">-</t>
        </is>
      </c>
      <c r="F898" s="0" t="inlineStr">
        <is>
          <t xml:space="preserve">-</t>
        </is>
      </c>
      <c r="G898" s="5">
        <v>0.5776458800000001</v>
      </c>
      <c r="H898" s="0" t="inlineStr">
        <is>
          <t xml:space="preserve">supplier</t>
        </is>
      </c>
      <c r="I898" s="0" t="inlineStr">
        <is>
          <t xml:space="preserve">unbucketed</t>
        </is>
      </c>
      <c r="J898" s="0" t="inlineStr">
        <is>
          <t xml:space="preserve">residual</t>
        </is>
      </c>
      <c r="K898" s="5">
        <v>0</v>
      </c>
      <c r="L898" s="5">
        <v>0</v>
      </c>
      <c r="M898" s="5">
        <v>0.0</v>
      </c>
      <c r="N898" s="5">
        <v>0.0</v>
      </c>
      <c r="O898" s="5">
        <v>0.0</v>
      </c>
      <c r="P898" s="5">
        <v>0.0</v>
      </c>
      <c r="Q898" s="5">
        <v>0.0</v>
      </c>
    </row>
    <row r="899" outlineLevel="1">
      <c r="B899" s="0" t="inlineStr">
        <is>
          <t xml:space="preserve">NAG LLC</t>
        </is>
      </c>
      <c r="C899" s="0" t="inlineStr">
        <is>
          <t xml:space="preserve">F3XKPA82MHQ5</t>
        </is>
      </c>
      <c r="D899" s="0" t="inlineStr">
        <is>
          <t xml:space="preserve">-</t>
        </is>
      </c>
      <c r="E899" s="0" t="inlineStr">
        <is>
          <t xml:space="preserve">-</t>
        </is>
      </c>
      <c r="F899" s="0" t="inlineStr">
        <is>
          <t xml:space="preserve">-</t>
        </is>
      </c>
      <c r="G899" s="5">
        <v>0.5755391000000001</v>
      </c>
      <c r="H899" s="0" t="inlineStr">
        <is>
          <t xml:space="preserve">supplier</t>
        </is>
      </c>
      <c r="I899" s="0" t="inlineStr">
        <is>
          <t xml:space="preserve">unbucketed</t>
        </is>
      </c>
      <c r="J899" s="0" t="inlineStr">
        <is>
          <t xml:space="preserve">residual</t>
        </is>
      </c>
      <c r="K899" s="5">
        <v>0</v>
      </c>
      <c r="L899" s="5">
        <v>0</v>
      </c>
      <c r="M899" s="5">
        <v>0.5755391000000001</v>
      </c>
      <c r="N899" s="5">
        <v>0.5454931000000001</v>
      </c>
      <c r="O899" s="5">
        <v>0.030046</v>
      </c>
      <c r="P899" s="5">
        <v>0.0</v>
      </c>
      <c r="Q899" s="5">
        <v>0.0</v>
      </c>
    </row>
    <row r="900" outlineLevel="1">
      <c r="B900" s="0" t="inlineStr">
        <is>
          <t xml:space="preserve">NORTECH SYSTEMS INCORPORATED</t>
        </is>
      </c>
      <c r="C900" s="0" t="inlineStr">
        <is>
          <t xml:space="preserve">M553NMG2GTR6</t>
        </is>
      </c>
      <c r="D900" s="0" t="inlineStr">
        <is>
          <t xml:space="preserve">-</t>
        </is>
      </c>
      <c r="E900" s="0" t="inlineStr">
        <is>
          <t xml:space="preserve">-</t>
        </is>
      </c>
      <c r="F900" s="0" t="inlineStr">
        <is>
          <t xml:space="preserve">-</t>
        </is>
      </c>
      <c r="G900" s="5">
        <v>0.575502</v>
      </c>
      <c r="H900" s="0" t="inlineStr">
        <is>
          <t xml:space="preserve">supplier</t>
        </is>
      </c>
      <c r="I900" s="0" t="inlineStr">
        <is>
          <t xml:space="preserve">unbucketed</t>
        </is>
      </c>
      <c r="J900" s="0" t="inlineStr">
        <is>
          <t xml:space="preserve">residual</t>
        </is>
      </c>
      <c r="K900" s="5">
        <v>0</v>
      </c>
      <c r="L900" s="5">
        <v>0</v>
      </c>
      <c r="M900" s="5">
        <v>0.0</v>
      </c>
      <c r="N900" s="5">
        <v>0.0</v>
      </c>
      <c r="O900" s="5">
        <v>0.0</v>
      </c>
      <c r="P900" s="5">
        <v>0.0</v>
      </c>
      <c r="Q900" s="5">
        <v>0.0</v>
      </c>
    </row>
    <row r="901" outlineLevel="1">
      <c r="B901" s="0" t="inlineStr">
        <is>
          <t xml:space="preserve">LOC PERFORMANCE PRODUCTS, LLC</t>
        </is>
      </c>
      <c r="C901" s="0" t="inlineStr">
        <is>
          <t xml:space="preserve">M48HRNYWNUD7</t>
        </is>
      </c>
      <c r="D901" s="0" t="inlineStr">
        <is>
          <t xml:space="preserve">-</t>
        </is>
      </c>
      <c r="E901" s="0" t="inlineStr">
        <is>
          <t xml:space="preserve">-</t>
        </is>
      </c>
      <c r="F901" s="0" t="inlineStr">
        <is>
          <t xml:space="preserve">-</t>
        </is>
      </c>
      <c r="G901" s="5">
        <v>0.574632</v>
      </c>
      <c r="H901" s="0" t="inlineStr">
        <is>
          <t xml:space="preserve">supplier</t>
        </is>
      </c>
      <c r="I901" s="0" t="inlineStr">
        <is>
          <t xml:space="preserve">unbucketed</t>
        </is>
      </c>
      <c r="J901" s="0" t="inlineStr">
        <is>
          <t xml:space="preserve">residual</t>
        </is>
      </c>
      <c r="K901" s="5">
        <v>0</v>
      </c>
      <c r="L901" s="5">
        <v>0</v>
      </c>
      <c r="M901" s="5">
        <v>0.0</v>
      </c>
      <c r="N901" s="5">
        <v>0.0</v>
      </c>
      <c r="O901" s="5">
        <v>0.0</v>
      </c>
      <c r="P901" s="5">
        <v>0.0</v>
      </c>
      <c r="Q901" s="5">
        <v>0.0</v>
      </c>
    </row>
    <row r="902" outlineLevel="1">
      <c r="B902" s="0" t="inlineStr">
        <is>
          <t xml:space="preserve">TTM TECHNOLOGIES, INC.</t>
        </is>
      </c>
      <c r="C902" s="0" t="inlineStr">
        <is>
          <t xml:space="preserve">PU9QMDF6FYC6</t>
        </is>
      </c>
      <c r="D902" s="0" t="inlineStr">
        <is>
          <t xml:space="preserve">USA</t>
        </is>
      </c>
      <c r="E902" s="0" t="inlineStr">
        <is>
          <t xml:space="preserve">3344</t>
        </is>
      </c>
      <c r="F902" s="0" t="inlineStr">
        <is>
          <t xml:space="preserve">Bare Printed Circuit Board Manufacturing</t>
        </is>
      </c>
      <c r="G902" s="5">
        <v>0.572778</v>
      </c>
      <c r="H902" s="0" t="inlineStr">
        <is>
          <t xml:space="preserve">supplier</t>
        </is>
      </c>
      <c r="I902" s="0" t="inlineStr">
        <is>
          <t xml:space="preserve">unbucketed</t>
        </is>
      </c>
      <c r="J902" s="0" t="inlineStr">
        <is>
          <t xml:space="preserve">residual</t>
        </is>
      </c>
      <c r="K902" s="5">
        <v>0</v>
      </c>
      <c r="L902" s="5">
        <v>0</v>
      </c>
      <c r="M902" s="5">
        <v>0.0</v>
      </c>
      <c r="N902" s="5">
        <v>0.0</v>
      </c>
      <c r="O902" s="5">
        <v>0.0</v>
      </c>
      <c r="P902" s="5">
        <v>0.0</v>
      </c>
      <c r="Q902" s="5">
        <v>0.0</v>
      </c>
    </row>
    <row r="903" outlineLevel="1">
      <c r="B903" s="0" t="inlineStr">
        <is>
          <t xml:space="preserve">THE CAPTOR CORPORATION</t>
        </is>
      </c>
      <c r="C903" s="0" t="inlineStr">
        <is>
          <t xml:space="preserve">C8CDF5YWF583</t>
        </is>
      </c>
      <c r="D903" s="0" t="inlineStr">
        <is>
          <t xml:space="preserve">-</t>
        </is>
      </c>
      <c r="E903" s="0" t="inlineStr">
        <is>
          <t xml:space="preserve">-</t>
        </is>
      </c>
      <c r="F903" s="0" t="inlineStr">
        <is>
          <t xml:space="preserve">-</t>
        </is>
      </c>
      <c r="G903" s="5">
        <v>0.5708000400000001</v>
      </c>
      <c r="H903" s="0" t="inlineStr">
        <is>
          <t xml:space="preserve">supplier</t>
        </is>
      </c>
      <c r="I903" s="0" t="inlineStr">
        <is>
          <t xml:space="preserve">unbucketed</t>
        </is>
      </c>
      <c r="J903" s="0" t="inlineStr">
        <is>
          <t xml:space="preserve">residual</t>
        </is>
      </c>
      <c r="K903" s="5">
        <v>0</v>
      </c>
      <c r="L903" s="5">
        <v>0</v>
      </c>
      <c r="M903" s="5">
        <v>0.0</v>
      </c>
      <c r="N903" s="5">
        <v>0.0</v>
      </c>
      <c r="O903" s="5">
        <v>0.0</v>
      </c>
      <c r="P903" s="5">
        <v>0.0</v>
      </c>
      <c r="Q903" s="5">
        <v>0.0</v>
      </c>
    </row>
    <row r="904" outlineLevel="1">
      <c r="B904" s="0" t="inlineStr">
        <is>
          <t xml:space="preserve">TRI-TEC MANUFACTURING, LLC</t>
        </is>
      </c>
      <c r="C904" s="0" t="inlineStr">
        <is>
          <t xml:space="preserve">YMKJUADMJN79</t>
        </is>
      </c>
      <c r="D904" s="0" t="inlineStr">
        <is>
          <t xml:space="preserve">-</t>
        </is>
      </c>
      <c r="E904" s="0" t="inlineStr">
        <is>
          <t xml:space="preserve">-</t>
        </is>
      </c>
      <c r="F904" s="0" t="inlineStr">
        <is>
          <t xml:space="preserve">-</t>
        </is>
      </c>
      <c r="G904" s="5">
        <v>0.57001345</v>
      </c>
      <c r="H904" s="0" t="inlineStr">
        <is>
          <t xml:space="preserve">supplier</t>
        </is>
      </c>
      <c r="I904" s="0" t="inlineStr">
        <is>
          <t xml:space="preserve">unbucketed</t>
        </is>
      </c>
      <c r="J904" s="0" t="inlineStr">
        <is>
          <t xml:space="preserve">residual</t>
        </is>
      </c>
      <c r="K904" s="5">
        <v>0</v>
      </c>
      <c r="L904" s="5">
        <v>0</v>
      </c>
      <c r="M904" s="5">
        <v>0.57001345</v>
      </c>
      <c r="N904" s="5">
        <v>0.412676</v>
      </c>
      <c r="O904" s="5">
        <v>0.0</v>
      </c>
      <c r="P904" s="5">
        <v>0.0</v>
      </c>
      <c r="Q904" s="5">
        <v>0.0</v>
      </c>
    </row>
    <row r="905" outlineLevel="1">
      <c r="B905" s="0" t="inlineStr">
        <is>
          <t xml:space="preserve">GICHNER SYSTEMS GROUP, INC.</t>
        </is>
      </c>
      <c r="C905" s="0" t="inlineStr">
        <is>
          <t xml:space="preserve">GL85ACATYXX5</t>
        </is>
      </c>
      <c r="D905" s="0" t="inlineStr">
        <is>
          <t xml:space="preserve">-</t>
        </is>
      </c>
      <c r="E905" s="0" t="inlineStr">
        <is>
          <t xml:space="preserve">-</t>
        </is>
      </c>
      <c r="F905" s="0" t="inlineStr">
        <is>
          <t xml:space="preserve">-</t>
        </is>
      </c>
      <c r="G905" s="5">
        <v>0.568866</v>
      </c>
      <c r="H905" s="0" t="inlineStr">
        <is>
          <t xml:space="preserve">supplier</t>
        </is>
      </c>
      <c r="I905" s="0" t="inlineStr">
        <is>
          <t xml:space="preserve">unbucketed</t>
        </is>
      </c>
      <c r="J905" s="0" t="inlineStr">
        <is>
          <t xml:space="preserve">residual</t>
        </is>
      </c>
      <c r="K905" s="5">
        <v>0</v>
      </c>
      <c r="L905" s="5">
        <v>0</v>
      </c>
      <c r="M905" s="5">
        <v>0.0</v>
      </c>
      <c r="N905" s="5">
        <v>0.0</v>
      </c>
      <c r="O905" s="5">
        <v>0.0</v>
      </c>
      <c r="P905" s="5">
        <v>0.0</v>
      </c>
      <c r="Q905" s="5">
        <v>0.0</v>
      </c>
    </row>
    <row r="906" outlineLevel="1">
      <c r="B906" s="0" t="inlineStr">
        <is>
          <t xml:space="preserve">GEMINI ELECTRONIC COMPONENTS, INC.</t>
        </is>
      </c>
      <c r="C906" s="0" t="inlineStr">
        <is>
          <t xml:space="preserve">UFLRAY4MM7U1</t>
        </is>
      </c>
      <c r="D906" s="0" t="inlineStr">
        <is>
          <t xml:space="preserve">-</t>
        </is>
      </c>
      <c r="E906" s="0" t="inlineStr">
        <is>
          <t xml:space="preserve">-</t>
        </is>
      </c>
      <c r="F906" s="0" t="inlineStr">
        <is>
          <t xml:space="preserve">-</t>
        </is>
      </c>
      <c r="G906" s="5">
        <v>0.5676621500000001</v>
      </c>
      <c r="H906" s="0" t="inlineStr">
        <is>
          <t xml:space="preserve">supplier</t>
        </is>
      </c>
      <c r="I906" s="0" t="inlineStr">
        <is>
          <t xml:space="preserve">unbucketed</t>
        </is>
      </c>
      <c r="J906" s="0" t="inlineStr">
        <is>
          <t xml:space="preserve">residual</t>
        </is>
      </c>
      <c r="K906" s="5">
        <v>0</v>
      </c>
      <c r="L906" s="5">
        <v>0</v>
      </c>
      <c r="M906" s="5">
        <v>0.0</v>
      </c>
      <c r="N906" s="5">
        <v>0.0</v>
      </c>
      <c r="O906" s="5">
        <v>0.0</v>
      </c>
      <c r="P906" s="5">
        <v>0.0</v>
      </c>
      <c r="Q906" s="5">
        <v>0.0</v>
      </c>
    </row>
    <row r="907" outlineLevel="1">
      <c r="B907" s="0" t="inlineStr">
        <is>
          <t xml:space="preserve">TIGER MIDCO, LLC</t>
        </is>
      </c>
      <c r="C907" s="0" t="inlineStr">
        <is>
          <t xml:space="preserve">F1N2KDGBDTU8</t>
        </is>
      </c>
      <c r="D907" s="0" t="inlineStr">
        <is>
          <t xml:space="preserve">-</t>
        </is>
      </c>
      <c r="E907" s="0" t="inlineStr">
        <is>
          <t xml:space="preserve">-</t>
        </is>
      </c>
      <c r="F907" s="0" t="inlineStr">
        <is>
          <t xml:space="preserve">-</t>
        </is>
      </c>
      <c r="G907" s="5">
        <v>0.5672268</v>
      </c>
      <c r="H907" s="0" t="inlineStr">
        <is>
          <t xml:space="preserve">supplier</t>
        </is>
      </c>
      <c r="I907" s="0" t="inlineStr">
        <is>
          <t xml:space="preserve">unbucketed</t>
        </is>
      </c>
      <c r="J907" s="0" t="inlineStr">
        <is>
          <t xml:space="preserve">residual</t>
        </is>
      </c>
      <c r="K907" s="5">
        <v>0</v>
      </c>
      <c r="L907" s="5">
        <v>0</v>
      </c>
      <c r="M907" s="5">
        <v>0.0</v>
      </c>
      <c r="N907" s="5">
        <v>0.0</v>
      </c>
      <c r="O907" s="5">
        <v>0.0</v>
      </c>
      <c r="P907" s="5">
        <v>0.0</v>
      </c>
      <c r="Q907" s="5">
        <v>0.0</v>
      </c>
    </row>
    <row r="908" outlineLevel="1">
      <c r="B908" s="0" t="inlineStr">
        <is>
          <t xml:space="preserve">L3HARRIS TECHNOLOGIES, INC.</t>
        </is>
      </c>
      <c r="C908" s="0" t="inlineStr">
        <is>
          <t xml:space="preserve">FRJQGQHDX4J3</t>
        </is>
      </c>
      <c r="D908" s="0" t="inlineStr">
        <is>
          <t xml:space="preserve">USA</t>
        </is>
      </c>
      <c r="E908" s="0" t="inlineStr">
        <is>
          <t xml:space="preserve">3345</t>
        </is>
      </c>
      <c r="F908" s="0" t="inlineStr">
        <is>
          <t xml:space="preserve">Search, Detection, Navigation, Guidance, Aeronautical, and Nautical System and Instrument Manufacturing</t>
        </is>
      </c>
      <c r="G908" s="5">
        <v>0.5670518</v>
      </c>
      <c r="H908" s="0" t="inlineStr">
        <is>
          <t xml:space="preserve">gfe_mib</t>
        </is>
      </c>
      <c r="I908" s="0" t="inlineStr">
        <is>
          <t xml:space="preserve">-</t>
        </is>
      </c>
      <c r="J908" s="0" t="inlineStr">
        <is>
          <t xml:space="preserve">GFE/MIB name</t>
        </is>
      </c>
      <c r="K908" s="5">
        <v>0</v>
      </c>
      <c r="L908" s="5">
        <v>0</v>
      </c>
      <c r="M908" s="5">
        <v>0.5670518</v>
      </c>
      <c r="N908" s="5">
        <v>0.043266</v>
      </c>
      <c r="O908" s="5">
        <v>0.0</v>
      </c>
      <c r="P908" s="5">
        <v>0.0</v>
      </c>
      <c r="Q908" s="5">
        <v>0.0</v>
      </c>
    </row>
    <row r="909" outlineLevel="1">
      <c r="B909" s="0" t="inlineStr">
        <is>
          <t xml:space="preserve">RAILWAY SPECIALTIES CORPORATION</t>
        </is>
      </c>
      <c r="C909" s="0" t="inlineStr">
        <is>
          <t xml:space="preserve">JU7ZGUDEJA79</t>
        </is>
      </c>
      <c r="D909" s="0" t="inlineStr">
        <is>
          <t xml:space="preserve">-</t>
        </is>
      </c>
      <c r="E909" s="0" t="inlineStr">
        <is>
          <t xml:space="preserve">-</t>
        </is>
      </c>
      <c r="F909" s="0" t="inlineStr">
        <is>
          <t xml:space="preserve">-</t>
        </is>
      </c>
      <c r="G909" s="5">
        <v>0.5647300000000001</v>
      </c>
      <c r="H909" s="0" t="inlineStr">
        <is>
          <t xml:space="preserve">supplier</t>
        </is>
      </c>
      <c r="I909" s="0" t="inlineStr">
        <is>
          <t xml:space="preserve">unbucketed</t>
        </is>
      </c>
      <c r="J909" s="0" t="inlineStr">
        <is>
          <t xml:space="preserve">residual</t>
        </is>
      </c>
      <c r="K909" s="5">
        <v>0</v>
      </c>
      <c r="L909" s="5">
        <v>0</v>
      </c>
      <c r="M909" s="5">
        <v>0.5647300000000001</v>
      </c>
      <c r="N909" s="5">
        <v>0.0</v>
      </c>
      <c r="O909" s="5">
        <v>0.0</v>
      </c>
      <c r="P909" s="5">
        <v>0.0</v>
      </c>
      <c r="Q909" s="5">
        <v>0.0</v>
      </c>
    </row>
    <row r="910" outlineLevel="1">
      <c r="B910" s="0" t="inlineStr">
        <is>
          <t xml:space="preserve">MARCH ELECTRONICS, INC.</t>
        </is>
      </c>
      <c r="C910" s="0" t="inlineStr">
        <is>
          <t xml:space="preserve">J4QNA8Y3M3R4</t>
        </is>
      </c>
      <c r="D910" s="0" t="inlineStr">
        <is>
          <t xml:space="preserve">-</t>
        </is>
      </c>
      <c r="E910" s="0" t="inlineStr">
        <is>
          <t xml:space="preserve">-</t>
        </is>
      </c>
      <c r="F910" s="0" t="inlineStr">
        <is>
          <t xml:space="preserve">-</t>
        </is>
      </c>
      <c r="G910" s="5">
        <v>0.5628508</v>
      </c>
      <c r="H910" s="0" t="inlineStr">
        <is>
          <t xml:space="preserve">supplier</t>
        </is>
      </c>
      <c r="I910" s="0" t="inlineStr">
        <is>
          <t xml:space="preserve">unbucketed</t>
        </is>
      </c>
      <c r="J910" s="0" t="inlineStr">
        <is>
          <t xml:space="preserve">residual</t>
        </is>
      </c>
      <c r="K910" s="5">
        <v>0</v>
      </c>
      <c r="L910" s="5">
        <v>0</v>
      </c>
      <c r="M910" s="5">
        <v>0.0</v>
      </c>
      <c r="N910" s="5">
        <v>0.0</v>
      </c>
      <c r="O910" s="5">
        <v>0.0</v>
      </c>
      <c r="P910" s="5">
        <v>0.0</v>
      </c>
      <c r="Q910" s="5">
        <v>0.0</v>
      </c>
    </row>
    <row r="911" outlineLevel="1">
      <c r="B911" s="0" t="inlineStr">
        <is>
          <t xml:space="preserve">CNI SALES, INC.</t>
        </is>
      </c>
      <c r="C911" s="0" t="inlineStr">
        <is>
          <t xml:space="preserve">MM1KA2UN7L95</t>
        </is>
      </c>
      <c r="D911" s="0" t="inlineStr">
        <is>
          <t xml:space="preserve">-</t>
        </is>
      </c>
      <c r="E911" s="0" t="inlineStr">
        <is>
          <t xml:space="preserve">-</t>
        </is>
      </c>
      <c r="F911" s="0" t="inlineStr">
        <is>
          <t xml:space="preserve">-</t>
        </is>
      </c>
      <c r="G911" s="5">
        <v>0.55738</v>
      </c>
      <c r="H911" s="0" t="inlineStr">
        <is>
          <t xml:space="preserve">supplier</t>
        </is>
      </c>
      <c r="I911" s="0" t="inlineStr">
        <is>
          <t xml:space="preserve">unbucketed</t>
        </is>
      </c>
      <c r="J911" s="0" t="inlineStr">
        <is>
          <t xml:space="preserve">residual</t>
        </is>
      </c>
      <c r="K911" s="5">
        <v>0</v>
      </c>
      <c r="L911" s="5">
        <v>0</v>
      </c>
      <c r="M911" s="5">
        <v>0.0</v>
      </c>
      <c r="N911" s="5">
        <v>0.0</v>
      </c>
      <c r="O911" s="5">
        <v>0.0</v>
      </c>
      <c r="P911" s="5">
        <v>0.0</v>
      </c>
      <c r="Q911" s="5">
        <v>0.0</v>
      </c>
    </row>
    <row r="912" outlineLevel="1">
      <c r="B912" s="0" t="inlineStr">
        <is>
          <t xml:space="preserve">LYME COMPUTER SYSTEMS, INC.</t>
        </is>
      </c>
      <c r="C912" s="0" t="inlineStr">
        <is>
          <t xml:space="preserve">F1UZPBD1VBH9</t>
        </is>
      </c>
      <c r="D912" s="0" t="inlineStr">
        <is>
          <t xml:space="preserve">-</t>
        </is>
      </c>
      <c r="E912" s="0" t="inlineStr">
        <is>
          <t xml:space="preserve">-</t>
        </is>
      </c>
      <c r="F912" s="0" t="inlineStr">
        <is>
          <t xml:space="preserve">-</t>
        </is>
      </c>
      <c r="G912" s="5">
        <v>0.553152</v>
      </c>
      <c r="H912" s="0" t="inlineStr">
        <is>
          <t xml:space="preserve">supplier</t>
        </is>
      </c>
      <c r="I912" s="0" t="inlineStr">
        <is>
          <t xml:space="preserve">unbucketed</t>
        </is>
      </c>
      <c r="J912" s="0" t="inlineStr">
        <is>
          <t xml:space="preserve">residual</t>
        </is>
      </c>
      <c r="K912" s="5">
        <v>0</v>
      </c>
      <c r="L912" s="5">
        <v>0</v>
      </c>
      <c r="M912" s="5">
        <v>0.553152</v>
      </c>
      <c r="N912" s="5">
        <v>0.0</v>
      </c>
      <c r="O912" s="5">
        <v>0.0</v>
      </c>
      <c r="P912" s="5">
        <v>0.0</v>
      </c>
      <c r="Q912" s="5">
        <v>0.0</v>
      </c>
    </row>
    <row r="913" outlineLevel="1">
      <c r="B913" s="0" t="inlineStr">
        <is>
          <t xml:space="preserve">EACO CORPORATION</t>
        </is>
      </c>
      <c r="C913" s="0" t="inlineStr">
        <is>
          <t xml:space="preserve">TAHNTWE2BVN1</t>
        </is>
      </c>
      <c r="D913" s="0" t="inlineStr">
        <is>
          <t xml:space="preserve">-</t>
        </is>
      </c>
      <c r="E913" s="0" t="inlineStr">
        <is>
          <t xml:space="preserve">-</t>
        </is>
      </c>
      <c r="F913" s="0" t="inlineStr">
        <is>
          <t xml:space="preserve">-</t>
        </is>
      </c>
      <c r="G913" s="5">
        <v>0.5530255900000001</v>
      </c>
      <c r="H913" s="0" t="inlineStr">
        <is>
          <t xml:space="preserve">supplier</t>
        </is>
      </c>
      <c r="I913" s="0" t="inlineStr">
        <is>
          <t xml:space="preserve">unbucketed</t>
        </is>
      </c>
      <c r="J913" s="0" t="inlineStr">
        <is>
          <t xml:space="preserve">residual</t>
        </is>
      </c>
      <c r="K913" s="5">
        <v>0</v>
      </c>
      <c r="L913" s="5">
        <v>0</v>
      </c>
      <c r="M913" s="5">
        <v>0.0</v>
      </c>
      <c r="N913" s="5">
        <v>0.0</v>
      </c>
      <c r="O913" s="5">
        <v>0.0</v>
      </c>
      <c r="P913" s="5">
        <v>0.0</v>
      </c>
      <c r="Q913" s="5">
        <v>0.0</v>
      </c>
    </row>
    <row r="914" outlineLevel="1">
      <c r="B914" s="0" t="inlineStr">
        <is>
          <t xml:space="preserve">HEICO CORPORATION</t>
        </is>
      </c>
      <c r="C914" s="0" t="inlineStr">
        <is>
          <t xml:space="preserve">GJGQF5RZMJM9</t>
        </is>
      </c>
      <c r="D914" s="0" t="inlineStr">
        <is>
          <t xml:space="preserve">-</t>
        </is>
      </c>
      <c r="E914" s="0" t="inlineStr">
        <is>
          <t xml:space="preserve">-</t>
        </is>
      </c>
      <c r="F914" s="0" t="inlineStr">
        <is>
          <t xml:space="preserve">-</t>
        </is>
      </c>
      <c r="G914" s="5">
        <v>0.552908</v>
      </c>
      <c r="H914" s="0" t="inlineStr">
        <is>
          <t xml:space="preserve">supplier</t>
        </is>
      </c>
      <c r="I914" s="0" t="inlineStr">
        <is>
          <t xml:space="preserve">unbucketed</t>
        </is>
      </c>
      <c r="J914" s="0" t="inlineStr">
        <is>
          <t xml:space="preserve">residual</t>
        </is>
      </c>
      <c r="K914" s="5">
        <v>0</v>
      </c>
      <c r="L914" s="5">
        <v>0</v>
      </c>
      <c r="M914" s="5">
        <v>0.0</v>
      </c>
      <c r="N914" s="5">
        <v>0.0</v>
      </c>
      <c r="O914" s="5">
        <v>0.0</v>
      </c>
      <c r="P914" s="5">
        <v>0.0</v>
      </c>
      <c r="Q914" s="5">
        <v>0.0</v>
      </c>
    </row>
    <row r="915" outlineLevel="1">
      <c r="B915" s="0" t="inlineStr">
        <is>
          <t xml:space="preserve">CHROMALOX, INC.</t>
        </is>
      </c>
      <c r="C915" s="0" t="inlineStr">
        <is>
          <t xml:space="preserve">M8ZHL8ZXGQP5</t>
        </is>
      </c>
      <c r="D915" s="0" t="inlineStr">
        <is>
          <t xml:space="preserve">-</t>
        </is>
      </c>
      <c r="E915" s="0" t="inlineStr">
        <is>
          <t xml:space="preserve">-</t>
        </is>
      </c>
      <c r="F915" s="0" t="inlineStr">
        <is>
          <t xml:space="preserve">-</t>
        </is>
      </c>
      <c r="G915" s="5">
        <v>0.55239608</v>
      </c>
      <c r="H915" s="0" t="inlineStr">
        <is>
          <t xml:space="preserve">supplier</t>
        </is>
      </c>
      <c r="I915" s="0" t="inlineStr">
        <is>
          <t xml:space="preserve">unbucketed</t>
        </is>
      </c>
      <c r="J915" s="0" t="inlineStr">
        <is>
          <t xml:space="preserve">residual</t>
        </is>
      </c>
      <c r="K915" s="5">
        <v>0</v>
      </c>
      <c r="L915" s="5">
        <v>0</v>
      </c>
      <c r="M915" s="5">
        <v>0.3218328</v>
      </c>
      <c r="N915" s="5">
        <v>0.3218328</v>
      </c>
      <c r="O915" s="5">
        <v>0.0</v>
      </c>
      <c r="P915" s="5">
        <v>0.0</v>
      </c>
      <c r="Q915" s="5">
        <v>0.0</v>
      </c>
    </row>
    <row r="916" outlineLevel="1">
      <c r="B916" s="0" t="inlineStr">
        <is>
          <t xml:space="preserve">ALFA LAVAL INC.</t>
        </is>
      </c>
      <c r="C916" s="0" t="inlineStr">
        <is>
          <t xml:space="preserve">WSK3WRSGKAU1</t>
        </is>
      </c>
      <c r="D916" s="0" t="inlineStr">
        <is>
          <t xml:space="preserve">-</t>
        </is>
      </c>
      <c r="E916" s="0" t="inlineStr">
        <is>
          <t xml:space="preserve">-</t>
        </is>
      </c>
      <c r="F916" s="0" t="inlineStr">
        <is>
          <t xml:space="preserve">-</t>
        </is>
      </c>
      <c r="G916" s="5">
        <v>0.55151055</v>
      </c>
      <c r="H916" s="0" t="inlineStr">
        <is>
          <t xml:space="preserve">supplier</t>
        </is>
      </c>
      <c r="I916" s="0" t="inlineStr">
        <is>
          <t xml:space="preserve">structural</t>
        </is>
      </c>
      <c r="J916" s="0" t="inlineStr">
        <is>
          <t xml:space="preserve">registry</t>
        </is>
      </c>
      <c r="K916" s="5">
        <v>0</v>
      </c>
      <c r="L916" s="5">
        <v>0</v>
      </c>
      <c r="M916" s="5">
        <v>0.1015</v>
      </c>
      <c r="N916" s="5">
        <v>0.1015</v>
      </c>
      <c r="O916" s="5">
        <v>0.0</v>
      </c>
      <c r="P916" s="5">
        <v>0.0</v>
      </c>
      <c r="Q916" s="5">
        <v>0.0</v>
      </c>
    </row>
    <row r="917" outlineLevel="1">
      <c r="B917" s="0" t="inlineStr">
        <is>
          <t xml:space="preserve">KEYSTONE FIRE PROTECTION CO.</t>
        </is>
      </c>
      <c r="C917" s="0" t="inlineStr">
        <is>
          <t xml:space="preserve">KKRXVDJZQ5V5</t>
        </is>
      </c>
      <c r="D917" s="0" t="inlineStr">
        <is>
          <t xml:space="preserve">-</t>
        </is>
      </c>
      <c r="E917" s="0" t="inlineStr">
        <is>
          <t xml:space="preserve">-</t>
        </is>
      </c>
      <c r="F917" s="0" t="inlineStr">
        <is>
          <t xml:space="preserve">-</t>
        </is>
      </c>
      <c r="G917" s="5">
        <v>0.5506476</v>
      </c>
      <c r="H917" s="0" t="inlineStr">
        <is>
          <t xml:space="preserve">supplier</t>
        </is>
      </c>
      <c r="I917" s="0" t="inlineStr">
        <is>
          <t xml:space="preserve">unbucketed</t>
        </is>
      </c>
      <c r="J917" s="0" t="inlineStr">
        <is>
          <t xml:space="preserve">residual</t>
        </is>
      </c>
      <c r="K917" s="5">
        <v>0</v>
      </c>
      <c r="L917" s="5">
        <v>0</v>
      </c>
      <c r="M917" s="5">
        <v>0.10995100000000001</v>
      </c>
      <c r="N917" s="5">
        <v>0.0</v>
      </c>
      <c r="O917" s="5">
        <v>0.0</v>
      </c>
      <c r="P917" s="5">
        <v>0.0</v>
      </c>
      <c r="Q917" s="5">
        <v>0.0</v>
      </c>
    </row>
    <row r="918" outlineLevel="1">
      <c r="B918" s="0" t="inlineStr">
        <is>
          <t xml:space="preserve">CORFIN TINNING SERVICES INC</t>
        </is>
      </c>
      <c r="C918" s="0" t="inlineStr">
        <is>
          <t xml:space="preserve">HRGDKWHPPU52</t>
        </is>
      </c>
      <c r="D918" s="0" t="inlineStr">
        <is>
          <t xml:space="preserve">-</t>
        </is>
      </c>
      <c r="E918" s="0" t="inlineStr">
        <is>
          <t xml:space="preserve">-</t>
        </is>
      </c>
      <c r="F918" s="0" t="inlineStr">
        <is>
          <t xml:space="preserve">-</t>
        </is>
      </c>
      <c r="G918" s="5">
        <v>0.545268</v>
      </c>
      <c r="H918" s="0" t="inlineStr">
        <is>
          <t xml:space="preserve">supplier</t>
        </is>
      </c>
      <c r="I918" s="0" t="inlineStr">
        <is>
          <t xml:space="preserve">unbucketed</t>
        </is>
      </c>
      <c r="J918" s="0" t="inlineStr">
        <is>
          <t xml:space="preserve">residual</t>
        </is>
      </c>
      <c r="K918" s="5">
        <v>0</v>
      </c>
      <c r="L918" s="5">
        <v>0</v>
      </c>
      <c r="M918" s="5">
        <v>0.0</v>
      </c>
      <c r="N918" s="5">
        <v>0.0</v>
      </c>
      <c r="O918" s="5">
        <v>0.0</v>
      </c>
      <c r="P918" s="5">
        <v>0.0</v>
      </c>
      <c r="Q918" s="5">
        <v>0.0</v>
      </c>
    </row>
    <row r="919" outlineLevel="1">
      <c r="B919" s="0" t="inlineStr">
        <is>
          <t xml:space="preserve">VERMILLION INCORPORATED</t>
        </is>
      </c>
      <c r="C919" s="0" t="inlineStr">
        <is>
          <t xml:space="preserve">N1G2S61FTUQ9</t>
        </is>
      </c>
      <c r="D919" s="0" t="inlineStr">
        <is>
          <t xml:space="preserve">-</t>
        </is>
      </c>
      <c r="E919" s="0" t="inlineStr">
        <is>
          <t xml:space="preserve">-</t>
        </is>
      </c>
      <c r="F919" s="0" t="inlineStr">
        <is>
          <t xml:space="preserve">-</t>
        </is>
      </c>
      <c r="G919" s="5">
        <v>0.543871</v>
      </c>
      <c r="H919" s="0" t="inlineStr">
        <is>
          <t xml:space="preserve">supplier</t>
        </is>
      </c>
      <c r="I919" s="0" t="inlineStr">
        <is>
          <t xml:space="preserve">unbucketed</t>
        </is>
      </c>
      <c r="J919" s="0" t="inlineStr">
        <is>
          <t xml:space="preserve">residual</t>
        </is>
      </c>
      <c r="K919" s="5">
        <v>0</v>
      </c>
      <c r="L919" s="5">
        <v>0</v>
      </c>
      <c r="M919" s="5">
        <v>0.0</v>
      </c>
      <c r="N919" s="5">
        <v>0.0</v>
      </c>
      <c r="O919" s="5">
        <v>0.0</v>
      </c>
      <c r="P919" s="5">
        <v>0.0</v>
      </c>
      <c r="Q919" s="5">
        <v>0.0</v>
      </c>
    </row>
    <row r="920" outlineLevel="1">
      <c r="B920" s="0" t="inlineStr">
        <is>
          <t xml:space="preserve">LENTROS ENGINEERING, INC.</t>
        </is>
      </c>
      <c r="C920" s="0" t="inlineStr">
        <is>
          <t xml:space="preserve">CKNWBLHCB9L4</t>
        </is>
      </c>
      <c r="D920" s="0" t="inlineStr">
        <is>
          <t xml:space="preserve">-</t>
        </is>
      </c>
      <c r="E920" s="0" t="inlineStr">
        <is>
          <t xml:space="preserve">-</t>
        </is>
      </c>
      <c r="F920" s="0" t="inlineStr">
        <is>
          <t xml:space="preserve">-</t>
        </is>
      </c>
      <c r="G920" s="5">
        <v>0.5432089999999999</v>
      </c>
      <c r="H920" s="0" t="inlineStr">
        <is>
          <t xml:space="preserve">supplier</t>
        </is>
      </c>
      <c r="I920" s="0" t="inlineStr">
        <is>
          <t xml:space="preserve">unbucketed</t>
        </is>
      </c>
      <c r="J920" s="0" t="inlineStr">
        <is>
          <t xml:space="preserve">residual</t>
        </is>
      </c>
      <c r="K920" s="5">
        <v>0</v>
      </c>
      <c r="L920" s="5">
        <v>0</v>
      </c>
      <c r="M920" s="5">
        <v>0.0</v>
      </c>
      <c r="N920" s="5">
        <v>0.0</v>
      </c>
      <c r="O920" s="5">
        <v>0.0</v>
      </c>
      <c r="P920" s="5">
        <v>0.0</v>
      </c>
      <c r="Q920" s="5">
        <v>0.0</v>
      </c>
    </row>
    <row r="921" outlineLevel="1">
      <c r="B921" s="0" t="inlineStr">
        <is>
          <t xml:space="preserve">HYSPAN PRECISION PRODUCTS, INC.</t>
        </is>
      </c>
      <c r="C921" s="0" t="inlineStr">
        <is>
          <t xml:space="preserve">GKN9NW23L2L9</t>
        </is>
      </c>
      <c r="D921" s="0" t="inlineStr">
        <is>
          <t xml:space="preserve">-</t>
        </is>
      </c>
      <c r="E921" s="0" t="inlineStr">
        <is>
          <t xml:space="preserve">-</t>
        </is>
      </c>
      <c r="F921" s="0" t="inlineStr">
        <is>
          <t xml:space="preserve">-</t>
        </is>
      </c>
      <c r="G921" s="5">
        <v>0.5387280000000001</v>
      </c>
      <c r="H921" s="0" t="inlineStr">
        <is>
          <t xml:space="preserve">supplier</t>
        </is>
      </c>
      <c r="I921" s="0" t="inlineStr">
        <is>
          <t xml:space="preserve">unbucketed</t>
        </is>
      </c>
      <c r="J921" s="0" t="inlineStr">
        <is>
          <t xml:space="preserve">residual</t>
        </is>
      </c>
      <c r="K921" s="5">
        <v>0</v>
      </c>
      <c r="L921" s="5">
        <v>0</v>
      </c>
      <c r="M921" s="5">
        <v>0.5387280000000001</v>
      </c>
      <c r="N921" s="5">
        <v>0.032062</v>
      </c>
      <c r="O921" s="5">
        <v>0.290055</v>
      </c>
      <c r="P921" s="5">
        <v>0.057282</v>
      </c>
      <c r="Q921" s="5">
        <v>0.0</v>
      </c>
    </row>
    <row r="922" outlineLevel="1">
      <c r="B922" s="0" t="inlineStr">
        <is>
          <t xml:space="preserve">E-Z FASTENING SOLUTIONS, INC</t>
        </is>
      </c>
      <c r="C922" s="0" t="inlineStr">
        <is>
          <t xml:space="preserve">H724CJLDD5W3</t>
        </is>
      </c>
      <c r="D922" s="0" t="inlineStr">
        <is>
          <t xml:space="preserve">-</t>
        </is>
      </c>
      <c r="E922" s="0" t="inlineStr">
        <is>
          <t xml:space="preserve">-</t>
        </is>
      </c>
      <c r="F922" s="0" t="inlineStr">
        <is>
          <t xml:space="preserve">-</t>
        </is>
      </c>
      <c r="G922" s="5">
        <v>0.537204</v>
      </c>
      <c r="H922" s="0" t="inlineStr">
        <is>
          <t xml:space="preserve">supplier</t>
        </is>
      </c>
      <c r="I922" s="0" t="inlineStr">
        <is>
          <t xml:space="preserve">unbucketed</t>
        </is>
      </c>
      <c r="J922" s="0" t="inlineStr">
        <is>
          <t xml:space="preserve">residual</t>
        </is>
      </c>
      <c r="K922" s="5">
        <v>0</v>
      </c>
      <c r="L922" s="5">
        <v>0</v>
      </c>
      <c r="M922" s="5">
        <v>0.0</v>
      </c>
      <c r="N922" s="5">
        <v>0.0</v>
      </c>
      <c r="O922" s="5">
        <v>0.0</v>
      </c>
      <c r="P922" s="5">
        <v>0.0</v>
      </c>
      <c r="Q922" s="5">
        <v>0.0</v>
      </c>
    </row>
    <row r="923" outlineLevel="1">
      <c r="B923" s="0" t="inlineStr">
        <is>
          <t xml:space="preserve">TRIUMPH THERMAL SYSTEMS, LLC</t>
        </is>
      </c>
      <c r="C923" s="0" t="inlineStr">
        <is>
          <t xml:space="preserve">NUKZNSL59GY3</t>
        </is>
      </c>
      <c r="D923" s="0" t="inlineStr">
        <is>
          <t xml:space="preserve">-</t>
        </is>
      </c>
      <c r="E923" s="0" t="inlineStr">
        <is>
          <t xml:space="preserve">-</t>
        </is>
      </c>
      <c r="F923" s="0" t="inlineStr">
        <is>
          <t xml:space="preserve">-</t>
        </is>
      </c>
      <c r="G923" s="5">
        <v>0.53611</v>
      </c>
      <c r="H923" s="0" t="inlineStr">
        <is>
          <t xml:space="preserve">supplier</t>
        </is>
      </c>
      <c r="I923" s="0" t="inlineStr">
        <is>
          <t xml:space="preserve">unbucketed</t>
        </is>
      </c>
      <c r="J923" s="0" t="inlineStr">
        <is>
          <t xml:space="preserve">residual</t>
        </is>
      </c>
      <c r="K923" s="5">
        <v>0</v>
      </c>
      <c r="L923" s="5">
        <v>0</v>
      </c>
      <c r="M923" s="5">
        <v>0.0</v>
      </c>
      <c r="N923" s="5">
        <v>0.0</v>
      </c>
      <c r="O923" s="5">
        <v>0.0</v>
      </c>
      <c r="P923" s="5">
        <v>0.0</v>
      </c>
      <c r="Q923" s="5">
        <v>0.0</v>
      </c>
    </row>
    <row r="924" outlineLevel="1">
      <c r="B924" s="0" t="inlineStr">
        <is>
          <t xml:space="preserve">LOR-MAR MECHANICAL SERVICES, INC.</t>
        </is>
      </c>
      <c r="C924" s="0" t="inlineStr">
        <is>
          <t xml:space="preserve">J2JPCJNA37P3</t>
        </is>
      </c>
      <c r="D924" s="0" t="inlineStr">
        <is>
          <t xml:space="preserve">-</t>
        </is>
      </c>
      <c r="E924" s="0" t="inlineStr">
        <is>
          <t xml:space="preserve">-</t>
        </is>
      </c>
      <c r="F924" s="0" t="inlineStr">
        <is>
          <t xml:space="preserve">-</t>
        </is>
      </c>
      <c r="G924" s="5">
        <v>0.534446</v>
      </c>
      <c r="H924" s="0" t="inlineStr">
        <is>
          <t xml:space="preserve">supplier</t>
        </is>
      </c>
      <c r="I924" s="0" t="inlineStr">
        <is>
          <t xml:space="preserve">unbucketed</t>
        </is>
      </c>
      <c r="J924" s="0" t="inlineStr">
        <is>
          <t xml:space="preserve">residual</t>
        </is>
      </c>
      <c r="K924" s="5">
        <v>0</v>
      </c>
      <c r="L924" s="5">
        <v>0</v>
      </c>
      <c r="M924" s="5">
        <v>0.0</v>
      </c>
      <c r="N924" s="5">
        <v>0.0</v>
      </c>
      <c r="O924" s="5">
        <v>0.0</v>
      </c>
      <c r="P924" s="5">
        <v>0.0</v>
      </c>
      <c r="Q924" s="5">
        <v>0.0</v>
      </c>
    </row>
    <row r="925" outlineLevel="1">
      <c r="B925" s="0" t="inlineStr">
        <is>
          <t xml:space="preserve">PARKER-HANNIFIN CORPORATION</t>
        </is>
      </c>
      <c r="C925" s="0" t="inlineStr">
        <is>
          <t xml:space="preserve">VXL2Z4ELBJL1</t>
        </is>
      </c>
      <c r="D925" s="0" t="inlineStr">
        <is>
          <t xml:space="preserve">USA</t>
        </is>
      </c>
      <c r="E925" s="0" t="inlineStr">
        <is>
          <t xml:space="preserve">5511</t>
        </is>
      </c>
      <c r="F925" s="0" t="inlineStr">
        <is>
          <t xml:space="preserve">Corporate, Subsidiary, and Regional Managing Offices</t>
        </is>
      </c>
      <c r="G925" s="5">
        <v>0.534203</v>
      </c>
      <c r="H925" s="0" t="inlineStr">
        <is>
          <t xml:space="preserve">holding</t>
        </is>
      </c>
      <c r="I925" s="0" t="inlineStr">
        <is>
          <t xml:space="preserve">-</t>
        </is>
      </c>
      <c r="J925" s="0" t="inlineStr">
        <is>
          <t xml:space="preserve">holding-co (5511)</t>
        </is>
      </c>
      <c r="K925" s="5">
        <v>0</v>
      </c>
      <c r="L925" s="5">
        <v>0</v>
      </c>
      <c r="M925" s="5">
        <v>0.0</v>
      </c>
      <c r="N925" s="5">
        <v>0.0</v>
      </c>
      <c r="O925" s="5">
        <v>0.0</v>
      </c>
      <c r="P925" s="5">
        <v>0.0</v>
      </c>
      <c r="Q925" s="5">
        <v>0.0</v>
      </c>
    </row>
    <row r="926" outlineLevel="1">
      <c r="B926" s="0" t="inlineStr">
        <is>
          <t xml:space="preserve">REAL TIME ACQUISITION CO.</t>
        </is>
      </c>
      <c r="C926" s="0" t="inlineStr">
        <is>
          <t xml:space="preserve">YK46GJRH4W87</t>
        </is>
      </c>
      <c r="D926" s="0" t="inlineStr">
        <is>
          <t xml:space="preserve">-</t>
        </is>
      </c>
      <c r="E926" s="0" t="inlineStr">
        <is>
          <t xml:space="preserve">-</t>
        </is>
      </c>
      <c r="F926" s="0" t="inlineStr">
        <is>
          <t xml:space="preserve">-</t>
        </is>
      </c>
      <c r="G926" s="5">
        <v>0.532289</v>
      </c>
      <c r="H926" s="0" t="inlineStr">
        <is>
          <t xml:space="preserve">supplier</t>
        </is>
      </c>
      <c r="I926" s="0" t="inlineStr">
        <is>
          <t xml:space="preserve">unbucketed</t>
        </is>
      </c>
      <c r="J926" s="0" t="inlineStr">
        <is>
          <t xml:space="preserve">residual</t>
        </is>
      </c>
      <c r="K926" s="5">
        <v>0</v>
      </c>
      <c r="L926" s="5">
        <v>0</v>
      </c>
      <c r="M926" s="5">
        <v>0.0</v>
      </c>
      <c r="N926" s="5">
        <v>0.0</v>
      </c>
      <c r="O926" s="5">
        <v>0.0</v>
      </c>
      <c r="P926" s="5">
        <v>0.0</v>
      </c>
      <c r="Q926" s="5">
        <v>0.0</v>
      </c>
    </row>
    <row r="927" outlineLevel="1">
      <c r="B927" s="0" t="inlineStr">
        <is>
          <t xml:space="preserve">CORNING INCORPORATED</t>
        </is>
      </c>
      <c r="C927" s="0" t="inlineStr">
        <is>
          <t xml:space="preserve">UEKBTGBTHRN1</t>
        </is>
      </c>
      <c r="D927" s="0" t="inlineStr">
        <is>
          <t xml:space="preserve">USA</t>
        </is>
      </c>
      <c r="E927" s="0" t="inlineStr">
        <is>
          <t xml:space="preserve">3272</t>
        </is>
      </c>
      <c r="F927" s="0" t="inlineStr">
        <is>
          <t xml:space="preserve">Other Pressed and Blown Glass and Glassware Manufacturing</t>
        </is>
      </c>
      <c r="G927" s="5">
        <v>0.53153412</v>
      </c>
      <c r="H927" s="0" t="inlineStr">
        <is>
          <t xml:space="preserve">supplier</t>
        </is>
      </c>
      <c r="I927" s="0" t="inlineStr">
        <is>
          <t xml:space="preserve">unbucketed</t>
        </is>
      </c>
      <c r="J927" s="0" t="inlineStr">
        <is>
          <t xml:space="preserve">residual</t>
        </is>
      </c>
      <c r="K927" s="5">
        <v>0</v>
      </c>
      <c r="L927" s="5">
        <v>0</v>
      </c>
      <c r="M927" s="5">
        <v>0.0</v>
      </c>
      <c r="N927" s="5">
        <v>0.0</v>
      </c>
      <c r="O927" s="5">
        <v>0.0</v>
      </c>
      <c r="P927" s="5">
        <v>0.0</v>
      </c>
      <c r="Q927" s="5">
        <v>0.0</v>
      </c>
    </row>
    <row r="928" outlineLevel="1">
      <c r="B928" s="0" t="inlineStr">
        <is>
          <t xml:space="preserve">PON HOLDINGS B.V.</t>
        </is>
      </c>
      <c r="C928" s="0" t="inlineStr">
        <is>
          <t xml:space="preserve">LFVJABJDQVZ9</t>
        </is>
      </c>
      <c r="D928" s="0" t="inlineStr">
        <is>
          <t xml:space="preserve">-</t>
        </is>
      </c>
      <c r="E928" s="0" t="inlineStr">
        <is>
          <t xml:space="preserve">-</t>
        </is>
      </c>
      <c r="F928" s="0" t="inlineStr">
        <is>
          <t xml:space="preserve">-</t>
        </is>
      </c>
      <c r="G928" s="5">
        <v>0.5312749999999999</v>
      </c>
      <c r="H928" s="0" t="inlineStr">
        <is>
          <t xml:space="preserve">supplier</t>
        </is>
      </c>
      <c r="I928" s="0" t="inlineStr">
        <is>
          <t xml:space="preserve">unbucketed</t>
        </is>
      </c>
      <c r="J928" s="0" t="inlineStr">
        <is>
          <t xml:space="preserve">residual</t>
        </is>
      </c>
      <c r="K928" s="5">
        <v>0</v>
      </c>
      <c r="L928" s="5">
        <v>0</v>
      </c>
      <c r="M928" s="5">
        <v>0.5312749999999999</v>
      </c>
      <c r="N928" s="5">
        <v>0.0</v>
      </c>
      <c r="O928" s="5">
        <v>0.0</v>
      </c>
      <c r="P928" s="5">
        <v>0.0</v>
      </c>
      <c r="Q928" s="5">
        <v>0.0</v>
      </c>
    </row>
    <row r="929" outlineLevel="1">
      <c r="B929" s="0" t="inlineStr">
        <is>
          <t xml:space="preserve">ELECTRO ENTERPRISES, INC.</t>
        </is>
      </c>
      <c r="C929" s="0" t="inlineStr">
        <is>
          <t xml:space="preserve">V6MCMV4KM841</t>
        </is>
      </c>
      <c r="D929" s="0" t="inlineStr">
        <is>
          <t xml:space="preserve">-</t>
        </is>
      </c>
      <c r="E929" s="0" t="inlineStr">
        <is>
          <t xml:space="preserve">-</t>
        </is>
      </c>
      <c r="F929" s="0" t="inlineStr">
        <is>
          <t xml:space="preserve">-</t>
        </is>
      </c>
      <c r="G929" s="5">
        <v>0.53102095</v>
      </c>
      <c r="H929" s="0" t="inlineStr">
        <is>
          <t xml:space="preserve">supplier</t>
        </is>
      </c>
      <c r="I929" s="0" t="inlineStr">
        <is>
          <t xml:space="preserve">unbucketed</t>
        </is>
      </c>
      <c r="J929" s="0" t="inlineStr">
        <is>
          <t xml:space="preserve">residual</t>
        </is>
      </c>
      <c r="K929" s="5">
        <v>0</v>
      </c>
      <c r="L929" s="5">
        <v>0</v>
      </c>
      <c r="M929" s="5">
        <v>0.0</v>
      </c>
      <c r="N929" s="5">
        <v>0.0</v>
      </c>
      <c r="O929" s="5">
        <v>0.0</v>
      </c>
      <c r="P929" s="5">
        <v>0.0</v>
      </c>
      <c r="Q929" s="5">
        <v>0.0</v>
      </c>
    </row>
    <row r="930" outlineLevel="1">
      <c r="B930" s="0" t="inlineStr">
        <is>
          <t xml:space="preserve">BROTHERS MECHANICAL LLC</t>
        </is>
      </c>
      <c r="C930" s="0" t="inlineStr">
        <is>
          <t xml:space="preserve">UWCTLUZ1VT88</t>
        </is>
      </c>
      <c r="D930" s="0" t="inlineStr">
        <is>
          <t xml:space="preserve">-</t>
        </is>
      </c>
      <c r="E930" s="0" t="inlineStr">
        <is>
          <t xml:space="preserve">-</t>
        </is>
      </c>
      <c r="F930" s="0" t="inlineStr">
        <is>
          <t xml:space="preserve">-</t>
        </is>
      </c>
      <c r="G930" s="5">
        <v>0.53021756</v>
      </c>
      <c r="H930" s="0" t="inlineStr">
        <is>
          <t xml:space="preserve">supplier</t>
        </is>
      </c>
      <c r="I930" s="0" t="inlineStr">
        <is>
          <t xml:space="preserve">unbucketed</t>
        </is>
      </c>
      <c r="J930" s="0" t="inlineStr">
        <is>
          <t xml:space="preserve">residual</t>
        </is>
      </c>
      <c r="K930" s="5">
        <v>0</v>
      </c>
      <c r="L930" s="5">
        <v>0</v>
      </c>
      <c r="M930" s="5">
        <v>0.0</v>
      </c>
      <c r="N930" s="5">
        <v>0.0</v>
      </c>
      <c r="O930" s="5">
        <v>0.0</v>
      </c>
      <c r="P930" s="5">
        <v>0.0</v>
      </c>
      <c r="Q930" s="5">
        <v>0.0</v>
      </c>
    </row>
    <row r="931" outlineLevel="1">
      <c r="B931" s="0" t="inlineStr">
        <is>
          <t xml:space="preserve">CHANDLER INDUSTRIES, INC.</t>
        </is>
      </c>
      <c r="C931" s="0" t="inlineStr">
        <is>
          <t xml:space="preserve">PYVGNTJ2LET4</t>
        </is>
      </c>
      <c r="D931" s="0" t="inlineStr">
        <is>
          <t xml:space="preserve">-</t>
        </is>
      </c>
      <c r="E931" s="0" t="inlineStr">
        <is>
          <t xml:space="preserve">-</t>
        </is>
      </c>
      <c r="F931" s="0" t="inlineStr">
        <is>
          <t xml:space="preserve">-</t>
        </is>
      </c>
      <c r="G931" s="5">
        <v>0.5248</v>
      </c>
      <c r="H931" s="0" t="inlineStr">
        <is>
          <t xml:space="preserve">supplier</t>
        </is>
      </c>
      <c r="I931" s="0" t="inlineStr">
        <is>
          <t xml:space="preserve">unbucketed</t>
        </is>
      </c>
      <c r="J931" s="0" t="inlineStr">
        <is>
          <t xml:space="preserve">residual</t>
        </is>
      </c>
      <c r="K931" s="5">
        <v>0</v>
      </c>
      <c r="L931" s="5">
        <v>0</v>
      </c>
      <c r="M931" s="5">
        <v>0.0</v>
      </c>
      <c r="N931" s="5">
        <v>0.0</v>
      </c>
      <c r="O931" s="5">
        <v>0.0</v>
      </c>
      <c r="P931" s="5">
        <v>0.0</v>
      </c>
      <c r="Q931" s="5">
        <v>0.0</v>
      </c>
    </row>
    <row r="932" outlineLevel="1">
      <c r="B932" s="0" t="inlineStr">
        <is>
          <t xml:space="preserve">ELBIT SYSTEMS LIMITED</t>
        </is>
      </c>
      <c r="C932" s="0" t="inlineStr">
        <is>
          <t xml:space="preserve">CYJ3L6SQANB4</t>
        </is>
      </c>
      <c r="D932" s="0" t="inlineStr">
        <is>
          <t xml:space="preserve">-</t>
        </is>
      </c>
      <c r="E932" s="0" t="inlineStr">
        <is>
          <t xml:space="preserve">-</t>
        </is>
      </c>
      <c r="F932" s="0" t="inlineStr">
        <is>
          <t xml:space="preserve">-</t>
        </is>
      </c>
      <c r="G932" s="5">
        <v>0.52404</v>
      </c>
      <c r="H932" s="0" t="inlineStr">
        <is>
          <t xml:space="preserve">supplier</t>
        </is>
      </c>
      <c r="I932" s="0" t="inlineStr">
        <is>
          <t xml:space="preserve">unbucketed</t>
        </is>
      </c>
      <c r="J932" s="0" t="inlineStr">
        <is>
          <t xml:space="preserve">residual</t>
        </is>
      </c>
      <c r="K932" s="5">
        <v>0</v>
      </c>
      <c r="L932" s="5">
        <v>0</v>
      </c>
      <c r="M932" s="5">
        <v>0.0</v>
      </c>
      <c r="N932" s="5">
        <v>0.0</v>
      </c>
      <c r="O932" s="5">
        <v>0.0</v>
      </c>
      <c r="P932" s="5">
        <v>0.0</v>
      </c>
      <c r="Q932" s="5">
        <v>0.0</v>
      </c>
    </row>
    <row r="933" outlineLevel="1">
      <c r="B933" s="0" t="inlineStr">
        <is>
          <t xml:space="preserve">QPC FIBER OPTIC LLC</t>
        </is>
      </c>
      <c r="C933" s="0" t="inlineStr">
        <is>
          <t xml:space="preserve">V9R2CLBD15V4</t>
        </is>
      </c>
      <c r="D933" s="0" t="inlineStr">
        <is>
          <t xml:space="preserve">-</t>
        </is>
      </c>
      <c r="E933" s="0" t="inlineStr">
        <is>
          <t xml:space="preserve">-</t>
        </is>
      </c>
      <c r="F933" s="0" t="inlineStr">
        <is>
          <t xml:space="preserve">-</t>
        </is>
      </c>
      <c r="G933" s="5">
        <v>0.52260225</v>
      </c>
      <c r="H933" s="0" t="inlineStr">
        <is>
          <t xml:space="preserve">supplier</t>
        </is>
      </c>
      <c r="I933" s="0" t="inlineStr">
        <is>
          <t xml:space="preserve">unbucketed</t>
        </is>
      </c>
      <c r="J933" s="0" t="inlineStr">
        <is>
          <t xml:space="preserve">residual</t>
        </is>
      </c>
      <c r="K933" s="5">
        <v>0</v>
      </c>
      <c r="L933" s="5">
        <v>0</v>
      </c>
      <c r="M933" s="5">
        <v>0.0</v>
      </c>
      <c r="N933" s="5">
        <v>0.0</v>
      </c>
      <c r="O933" s="5">
        <v>0.0</v>
      </c>
      <c r="P933" s="5">
        <v>0.0</v>
      </c>
      <c r="Q933" s="5">
        <v>0.0</v>
      </c>
    </row>
    <row r="934" outlineLevel="1">
      <c r="B934" s="0" t="inlineStr">
        <is>
          <t xml:space="preserve">MATERION CORPORATION</t>
        </is>
      </c>
      <c r="C934" s="0" t="inlineStr">
        <is>
          <t xml:space="preserve">K4BBAWJU8BN1</t>
        </is>
      </c>
      <c r="D934" s="0" t="inlineStr">
        <is>
          <t xml:space="preserve">-</t>
        </is>
      </c>
      <c r="E934" s="0" t="inlineStr">
        <is>
          <t xml:space="preserve">-</t>
        </is>
      </c>
      <c r="F934" s="0" t="inlineStr">
        <is>
          <t xml:space="preserve">-</t>
        </is>
      </c>
      <c r="G934" s="5">
        <v>0.51954404</v>
      </c>
      <c r="H934" s="0" t="inlineStr">
        <is>
          <t xml:space="preserve">supplier</t>
        </is>
      </c>
      <c r="I934" s="0" t="inlineStr">
        <is>
          <t xml:space="preserve">unbucketed</t>
        </is>
      </c>
      <c r="J934" s="0" t="inlineStr">
        <is>
          <t xml:space="preserve">residual</t>
        </is>
      </c>
      <c r="K934" s="5">
        <v>0</v>
      </c>
      <c r="L934" s="5">
        <v>0</v>
      </c>
      <c r="M934" s="5">
        <v>0.0</v>
      </c>
      <c r="N934" s="5">
        <v>0.0</v>
      </c>
      <c r="O934" s="5">
        <v>0.0</v>
      </c>
      <c r="P934" s="5">
        <v>0.0</v>
      </c>
      <c r="Q934" s="5">
        <v>0.0</v>
      </c>
    </row>
    <row r="935" outlineLevel="1">
      <c r="B935" s="0" t="inlineStr">
        <is>
          <t xml:space="preserve">TECOMET INC</t>
        </is>
      </c>
      <c r="C935" s="0" t="inlineStr">
        <is>
          <t xml:space="preserve">NEA6WGAVWQ47</t>
        </is>
      </c>
      <c r="D935" s="0" t="inlineStr">
        <is>
          <t xml:space="preserve">-</t>
        </is>
      </c>
      <c r="E935" s="0" t="inlineStr">
        <is>
          <t xml:space="preserve">-</t>
        </is>
      </c>
      <c r="F935" s="0" t="inlineStr">
        <is>
          <t xml:space="preserve">-</t>
        </is>
      </c>
      <c r="G935" s="5">
        <v>0.517566</v>
      </c>
      <c r="H935" s="0" t="inlineStr">
        <is>
          <t xml:space="preserve">supplier</t>
        </is>
      </c>
      <c r="I935" s="0" t="inlineStr">
        <is>
          <t xml:space="preserve">unbucketed</t>
        </is>
      </c>
      <c r="J935" s="0" t="inlineStr">
        <is>
          <t xml:space="preserve">residual</t>
        </is>
      </c>
      <c r="K935" s="5">
        <v>0</v>
      </c>
      <c r="L935" s="5">
        <v>0</v>
      </c>
      <c r="M935" s="5">
        <v>0.0</v>
      </c>
      <c r="N935" s="5">
        <v>0.0</v>
      </c>
      <c r="O935" s="5">
        <v>0.0</v>
      </c>
      <c r="P935" s="5">
        <v>0.0</v>
      </c>
      <c r="Q935" s="5">
        <v>0.0</v>
      </c>
    </row>
    <row r="936" outlineLevel="1">
      <c r="B936" s="0" t="inlineStr">
        <is>
          <t xml:space="preserve">KITCO FIBER OPTICS, INC.</t>
        </is>
      </c>
      <c r="C936" s="0" t="inlineStr">
        <is>
          <t xml:space="preserve">C18KXNHETC95</t>
        </is>
      </c>
      <c r="D936" s="0" t="inlineStr">
        <is>
          <t xml:space="preserve">-</t>
        </is>
      </c>
      <c r="E936" s="0" t="inlineStr">
        <is>
          <t xml:space="preserve">-</t>
        </is>
      </c>
      <c r="F936" s="0" t="inlineStr">
        <is>
          <t xml:space="preserve">-</t>
        </is>
      </c>
      <c r="G936" s="5">
        <v>0.51668811</v>
      </c>
      <c r="H936" s="0" t="inlineStr">
        <is>
          <t xml:space="preserve">supplier</t>
        </is>
      </c>
      <c r="I936" s="0" t="inlineStr">
        <is>
          <t xml:space="preserve">unbucketed</t>
        </is>
      </c>
      <c r="J936" s="0" t="inlineStr">
        <is>
          <t xml:space="preserve">residual</t>
        </is>
      </c>
      <c r="K936" s="5">
        <v>0</v>
      </c>
      <c r="L936" s="5">
        <v>0</v>
      </c>
      <c r="M936" s="5">
        <v>0.27564411</v>
      </c>
      <c r="N936" s="5">
        <v>0.27564411</v>
      </c>
      <c r="O936" s="5">
        <v>0.0</v>
      </c>
      <c r="P936" s="5">
        <v>0.0</v>
      </c>
      <c r="Q936" s="5">
        <v>0.0</v>
      </c>
    </row>
    <row r="937" outlineLevel="1">
      <c r="B937" s="0" t="inlineStr">
        <is>
          <t xml:space="preserve">MAGNETIKA EAST LIMITED PARTNERSHIP</t>
        </is>
      </c>
      <c r="C937" s="0" t="inlineStr">
        <is>
          <t xml:space="preserve">RNDDKACH69Z4</t>
        </is>
      </c>
      <c r="D937" s="0" t="inlineStr">
        <is>
          <t xml:space="preserve">-</t>
        </is>
      </c>
      <c r="E937" s="0" t="inlineStr">
        <is>
          <t xml:space="preserve">-</t>
        </is>
      </c>
      <c r="F937" s="0" t="inlineStr">
        <is>
          <t xml:space="preserve">-</t>
        </is>
      </c>
      <c r="G937" s="5">
        <v>0.512769</v>
      </c>
      <c r="H937" s="0" t="inlineStr">
        <is>
          <t xml:space="preserve">supplier</t>
        </is>
      </c>
      <c r="I937" s="0" t="inlineStr">
        <is>
          <t xml:space="preserve">unbucketed</t>
        </is>
      </c>
      <c r="J937" s="0" t="inlineStr">
        <is>
          <t xml:space="preserve">residual</t>
        </is>
      </c>
      <c r="K937" s="5">
        <v>0</v>
      </c>
      <c r="L937" s="5">
        <v>0</v>
      </c>
      <c r="M937" s="5">
        <v>0.0</v>
      </c>
      <c r="N937" s="5">
        <v>0.0</v>
      </c>
      <c r="O937" s="5">
        <v>0.0</v>
      </c>
      <c r="P937" s="5">
        <v>0.0</v>
      </c>
      <c r="Q937" s="5">
        <v>0.0</v>
      </c>
    </row>
    <row r="938" outlineLevel="1">
      <c r="B938" s="0" t="inlineStr">
        <is>
          <t xml:space="preserve">MARINE TECH WIRE &amp; CABLE INC</t>
        </is>
      </c>
      <c r="C938" s="0" t="inlineStr">
        <is>
          <t xml:space="preserve">MKGCWL2DHBT4</t>
        </is>
      </c>
      <c r="D938" s="0" t="inlineStr">
        <is>
          <t xml:space="preserve">-</t>
        </is>
      </c>
      <c r="E938" s="0" t="inlineStr">
        <is>
          <t xml:space="preserve">-</t>
        </is>
      </c>
      <c r="F938" s="0" t="inlineStr">
        <is>
          <t xml:space="preserve">-</t>
        </is>
      </c>
      <c r="G938" s="5">
        <v>0.51037</v>
      </c>
      <c r="H938" s="0" t="inlineStr">
        <is>
          <t xml:space="preserve">supplier</t>
        </is>
      </c>
      <c r="I938" s="0" t="inlineStr">
        <is>
          <t xml:space="preserve">unbucketed</t>
        </is>
      </c>
      <c r="J938" s="0" t="inlineStr">
        <is>
          <t xml:space="preserve">residual</t>
        </is>
      </c>
      <c r="K938" s="5">
        <v>0</v>
      </c>
      <c r="L938" s="5">
        <v>0</v>
      </c>
      <c r="M938" s="5">
        <v>0.51037</v>
      </c>
      <c r="N938" s="5">
        <v>0.136703</v>
      </c>
      <c r="O938" s="5">
        <v>0.0</v>
      </c>
      <c r="P938" s="5">
        <v>0.373667</v>
      </c>
      <c r="Q938" s="5">
        <v>0.0</v>
      </c>
    </row>
    <row r="939" outlineLevel="1">
      <c r="B939" s="0" t="inlineStr">
        <is>
          <t xml:space="preserve">SPECTRUM CONTROL, INC.</t>
        </is>
      </c>
      <c r="C939" s="0" t="inlineStr">
        <is>
          <t xml:space="preserve">QNBSZPKPXN83</t>
        </is>
      </c>
      <c r="D939" s="0" t="inlineStr">
        <is>
          <t xml:space="preserve">-</t>
        </is>
      </c>
      <c r="E939" s="0" t="inlineStr">
        <is>
          <t xml:space="preserve">-</t>
        </is>
      </c>
      <c r="F939" s="0" t="inlineStr">
        <is>
          <t xml:space="preserve">-</t>
        </is>
      </c>
      <c r="G939" s="5">
        <v>0.507018</v>
      </c>
      <c r="H939" s="0" t="inlineStr">
        <is>
          <t xml:space="preserve">supplier</t>
        </is>
      </c>
      <c r="I939" s="0" t="inlineStr">
        <is>
          <t xml:space="preserve">unbucketed</t>
        </is>
      </c>
      <c r="J939" s="0" t="inlineStr">
        <is>
          <t xml:space="preserve">residual</t>
        </is>
      </c>
      <c r="K939" s="5">
        <v>0</v>
      </c>
      <c r="L939" s="5">
        <v>0</v>
      </c>
      <c r="M939" s="5">
        <v>0.0</v>
      </c>
      <c r="N939" s="5">
        <v>0.0</v>
      </c>
      <c r="O939" s="5">
        <v>0.0</v>
      </c>
      <c r="P939" s="5">
        <v>0.0</v>
      </c>
      <c r="Q939" s="5">
        <v>0.0</v>
      </c>
    </row>
    <row r="940" outlineLevel="1">
      <c r="B940" s="0" t="inlineStr">
        <is>
          <t xml:space="preserve">QUALITY SUPPORT, LLC</t>
        </is>
      </c>
      <c r="C940" s="0" t="inlineStr">
        <is>
          <t xml:space="preserve">D9RNKMTKSGJ6</t>
        </is>
      </c>
      <c r="D940" s="0" t="inlineStr">
        <is>
          <t xml:space="preserve">-</t>
        </is>
      </c>
      <c r="E940" s="0" t="inlineStr">
        <is>
          <t xml:space="preserve">-</t>
        </is>
      </c>
      <c r="F940" s="0" t="inlineStr">
        <is>
          <t xml:space="preserve">-</t>
        </is>
      </c>
      <c r="G940" s="5">
        <v>0.501926</v>
      </c>
      <c r="H940" s="0" t="inlineStr">
        <is>
          <t xml:space="preserve">supplier</t>
        </is>
      </c>
      <c r="I940" s="0" t="inlineStr">
        <is>
          <t xml:space="preserve">unbucketed</t>
        </is>
      </c>
      <c r="J940" s="0" t="inlineStr">
        <is>
          <t xml:space="preserve">residual</t>
        </is>
      </c>
      <c r="K940" s="5">
        <v>0</v>
      </c>
      <c r="L940" s="5">
        <v>0</v>
      </c>
      <c r="M940" s="5">
        <v>0.0</v>
      </c>
      <c r="N940" s="5">
        <v>0.0</v>
      </c>
      <c r="O940" s="5">
        <v>0.0</v>
      </c>
      <c r="P940" s="5">
        <v>0.0</v>
      </c>
      <c r="Q940" s="5">
        <v>0.0</v>
      </c>
    </row>
    <row r="941" outlineLevel="1">
      <c r="B941" s="0" t="inlineStr">
        <is>
          <t xml:space="preserve">AMPHENOL CORPORATION</t>
        </is>
      </c>
      <c r="C941" s="0" t="inlineStr">
        <is>
          <t xml:space="preserve">W6QHBKM6YNE8</t>
        </is>
      </c>
      <c r="D941" s="0" t="inlineStr">
        <is>
          <t xml:space="preserve">-</t>
        </is>
      </c>
      <c r="E941" s="0" t="inlineStr">
        <is>
          <t xml:space="preserve">-</t>
        </is>
      </c>
      <c r="F941" s="0" t="inlineStr">
        <is>
          <t xml:space="preserve">-</t>
        </is>
      </c>
      <c r="G941" s="5">
        <v>0.50017336</v>
      </c>
      <c r="H941" s="0" t="inlineStr">
        <is>
          <t xml:space="preserve">supplier</t>
        </is>
      </c>
      <c r="I941" s="0" t="inlineStr">
        <is>
          <t xml:space="preserve">electrical</t>
        </is>
      </c>
      <c r="J941" s="0" t="inlineStr">
        <is>
          <t xml:space="preserve">registry</t>
        </is>
      </c>
      <c r="K941" s="5">
        <v>0</v>
      </c>
      <c r="L941" s="5">
        <v>0</v>
      </c>
      <c r="M941" s="5">
        <v>0.0</v>
      </c>
      <c r="N941" s="5">
        <v>0.0</v>
      </c>
      <c r="O941" s="5">
        <v>0.0</v>
      </c>
      <c r="P941" s="5">
        <v>0.0</v>
      </c>
      <c r="Q941" s="5">
        <v>0.0</v>
      </c>
    </row>
    <row r="942" outlineLevel="1">
      <c r="B942" s="0" t="inlineStr">
        <is>
          <t xml:space="preserve">TELEDYNE TECHNOLOGIES INCORPORATED</t>
        </is>
      </c>
      <c r="C942" s="0" t="inlineStr">
        <is>
          <t xml:space="preserve">GJRWWB9M2G13</t>
        </is>
      </c>
      <c r="D942" s="0" t="inlineStr">
        <is>
          <t xml:space="preserve">USA</t>
        </is>
      </c>
      <c r="E942" s="0" t="inlineStr">
        <is>
          <t xml:space="preserve">3344</t>
        </is>
      </c>
      <c r="F942" s="0" t="inlineStr">
        <is>
          <t xml:space="preserve">Other Electronic Component Manufacturing</t>
        </is>
      </c>
      <c r="G942" s="5">
        <v>0.50000884</v>
      </c>
      <c r="H942" s="0" t="inlineStr">
        <is>
          <t xml:space="preserve">supplier</t>
        </is>
      </c>
      <c r="I942" s="0" t="inlineStr">
        <is>
          <t xml:space="preserve">unbucketed</t>
        </is>
      </c>
      <c r="J942" s="0" t="inlineStr">
        <is>
          <t xml:space="preserve">residual</t>
        </is>
      </c>
      <c r="K942" s="5">
        <v>0</v>
      </c>
      <c r="L942" s="5">
        <v>0</v>
      </c>
      <c r="M942" s="5">
        <v>0.0</v>
      </c>
      <c r="N942" s="5">
        <v>0.0</v>
      </c>
      <c r="O942" s="5">
        <v>0.0</v>
      </c>
      <c r="P942" s="5">
        <v>0.0</v>
      </c>
      <c r="Q942" s="5">
        <v>0.0</v>
      </c>
    </row>
    <row r="943" outlineLevel="1">
      <c r="B943" s="0" t="inlineStr">
        <is>
          <t xml:space="preserve">GKN LIMITED</t>
        </is>
      </c>
      <c r="C943" s="0" t="inlineStr">
        <is>
          <t xml:space="preserve">PTBWQ3A6MK51</t>
        </is>
      </c>
      <c r="D943" s="0" t="inlineStr">
        <is>
          <t xml:space="preserve">Foreign</t>
        </is>
      </c>
      <c r="E943" s="0" t="inlineStr">
        <is>
          <t xml:space="preserve">-</t>
        </is>
      </c>
      <c r="F943" s="0" t="inlineStr">
        <is>
          <t xml:space="preserve">-</t>
        </is>
      </c>
      <c r="G943" s="5">
        <v>0.5</v>
      </c>
      <c r="H943" s="0" t="inlineStr">
        <is>
          <t xml:space="preserve">foreign_fms</t>
        </is>
      </c>
      <c r="I943" s="0" t="inlineStr">
        <is>
          <t xml:space="preserve">-</t>
        </is>
      </c>
      <c r="J943" s="0" t="inlineStr">
        <is>
          <t xml:space="preserve">foreign flag</t>
        </is>
      </c>
      <c r="K943" s="5">
        <v>0</v>
      </c>
      <c r="L943" s="5">
        <v>0</v>
      </c>
      <c r="M943" s="5">
        <v>0.0</v>
      </c>
      <c r="N943" s="5">
        <v>0.0</v>
      </c>
      <c r="O943" s="5">
        <v>0.0</v>
      </c>
      <c r="P943" s="5">
        <v>0.0</v>
      </c>
      <c r="Q943" s="5">
        <v>0.0</v>
      </c>
    </row>
    <row r="944" outlineLevel="1">
      <c r="B944" s="0" t="inlineStr">
        <is>
          <t xml:space="preserve">PROGENY SYSTEMS, LLC</t>
        </is>
      </c>
      <c r="C944" s="0" t="inlineStr">
        <is>
          <t xml:space="preserve">MU3CM1145E44</t>
        </is>
      </c>
      <c r="D944" s="0" t="inlineStr">
        <is>
          <t xml:space="preserve">-</t>
        </is>
      </c>
      <c r="E944" s="0" t="inlineStr">
        <is>
          <t xml:space="preserve">-</t>
        </is>
      </c>
      <c r="F944" s="0" t="inlineStr">
        <is>
          <t xml:space="preserve">-</t>
        </is>
      </c>
      <c r="G944" s="5">
        <v>0.49356132</v>
      </c>
      <c r="H944" s="0" t="inlineStr">
        <is>
          <t xml:space="preserve">supplier</t>
        </is>
      </c>
      <c r="I944" s="0" t="inlineStr">
        <is>
          <t xml:space="preserve">unbucketed</t>
        </is>
      </c>
      <c r="J944" s="0" t="inlineStr">
        <is>
          <t xml:space="preserve">residual</t>
        </is>
      </c>
      <c r="K944" s="5">
        <v>0</v>
      </c>
      <c r="L944" s="5">
        <v>0</v>
      </c>
      <c r="M944" s="5">
        <v>0.0</v>
      </c>
      <c r="N944" s="5">
        <v>0.0</v>
      </c>
      <c r="O944" s="5">
        <v>0.0</v>
      </c>
      <c r="P944" s="5">
        <v>0.0</v>
      </c>
      <c r="Q944" s="5">
        <v>0.0</v>
      </c>
    </row>
    <row r="945" outlineLevel="1">
      <c r="B945" s="0" t="inlineStr">
        <is>
          <t xml:space="preserve">OCENCO, INCORPORATED</t>
        </is>
      </c>
      <c r="C945" s="0" t="inlineStr">
        <is>
          <t xml:space="preserve">T99DCLB5NRH7</t>
        </is>
      </c>
      <c r="D945" s="0" t="inlineStr">
        <is>
          <t xml:space="preserve">-</t>
        </is>
      </c>
      <c r="E945" s="0" t="inlineStr">
        <is>
          <t xml:space="preserve">-</t>
        </is>
      </c>
      <c r="F945" s="0" t="inlineStr">
        <is>
          <t xml:space="preserve">-</t>
        </is>
      </c>
      <c r="G945" s="5">
        <v>0.49034999999999995</v>
      </c>
      <c r="H945" s="0" t="inlineStr">
        <is>
          <t xml:space="preserve">supplier</t>
        </is>
      </c>
      <c r="I945" s="0" t="inlineStr">
        <is>
          <t xml:space="preserve">unbucketed</t>
        </is>
      </c>
      <c r="J945" s="0" t="inlineStr">
        <is>
          <t xml:space="preserve">residual</t>
        </is>
      </c>
      <c r="K945" s="5">
        <v>0</v>
      </c>
      <c r="L945" s="5">
        <v>0</v>
      </c>
      <c r="M945" s="5">
        <v>0.49034999999999995</v>
      </c>
      <c r="N945" s="5">
        <v>0.0</v>
      </c>
      <c r="O945" s="5">
        <v>0.0</v>
      </c>
      <c r="P945" s="5">
        <v>0.0</v>
      </c>
      <c r="Q945" s="5">
        <v>0.0</v>
      </c>
    </row>
    <row r="946" outlineLevel="1">
      <c r="B946" s="0" t="inlineStr">
        <is>
          <t xml:space="preserve">CAPARO INTERNATIONAL CORP</t>
        </is>
      </c>
      <c r="C946" s="0" t="inlineStr">
        <is>
          <t xml:space="preserve">KMRUJJMRJSV6</t>
        </is>
      </c>
      <c r="D946" s="0" t="inlineStr">
        <is>
          <t xml:space="preserve">-</t>
        </is>
      </c>
      <c r="E946" s="0" t="inlineStr">
        <is>
          <t xml:space="preserve">-</t>
        </is>
      </c>
      <c r="F946" s="0" t="inlineStr">
        <is>
          <t xml:space="preserve">-</t>
        </is>
      </c>
      <c r="G946" s="5">
        <v>0.4869573000000001</v>
      </c>
      <c r="H946" s="0" t="inlineStr">
        <is>
          <t xml:space="preserve">supplier</t>
        </is>
      </c>
      <c r="I946" s="0" t="inlineStr">
        <is>
          <t xml:space="preserve">unbucketed</t>
        </is>
      </c>
      <c r="J946" s="0" t="inlineStr">
        <is>
          <t xml:space="preserve">residual</t>
        </is>
      </c>
      <c r="K946" s="5">
        <v>0</v>
      </c>
      <c r="L946" s="5">
        <v>0</v>
      </c>
      <c r="M946" s="5">
        <v>0.0</v>
      </c>
      <c r="N946" s="5">
        <v>0.0</v>
      </c>
      <c r="O946" s="5">
        <v>0.0</v>
      </c>
      <c r="P946" s="5">
        <v>0.0</v>
      </c>
      <c r="Q946" s="5">
        <v>0.0</v>
      </c>
    </row>
    <row r="947" outlineLevel="1">
      <c r="B947" s="0" t="inlineStr">
        <is>
          <t xml:space="preserve">HUBER + SUHNER, INC</t>
        </is>
      </c>
      <c r="C947" s="0" t="inlineStr">
        <is>
          <t xml:space="preserve">QZYSDGPJVKM1</t>
        </is>
      </c>
      <c r="D947" s="0" t="inlineStr">
        <is>
          <t xml:space="preserve">-</t>
        </is>
      </c>
      <c r="E947" s="0" t="inlineStr">
        <is>
          <t xml:space="preserve">-</t>
        </is>
      </c>
      <c r="F947" s="0" t="inlineStr">
        <is>
          <t xml:space="preserve">-</t>
        </is>
      </c>
      <c r="G947" s="5">
        <v>0.486928</v>
      </c>
      <c r="H947" s="0" t="inlineStr">
        <is>
          <t xml:space="preserve">supplier</t>
        </is>
      </c>
      <c r="I947" s="0" t="inlineStr">
        <is>
          <t xml:space="preserve">unbucketed</t>
        </is>
      </c>
      <c r="J947" s="0" t="inlineStr">
        <is>
          <t xml:space="preserve">residual</t>
        </is>
      </c>
      <c r="K947" s="5">
        <v>0</v>
      </c>
      <c r="L947" s="5">
        <v>0</v>
      </c>
      <c r="M947" s="5">
        <v>0.0</v>
      </c>
      <c r="N947" s="5">
        <v>0.0</v>
      </c>
      <c r="O947" s="5">
        <v>0.0</v>
      </c>
      <c r="P947" s="5">
        <v>0.0</v>
      </c>
      <c r="Q947" s="5">
        <v>0.0</v>
      </c>
    </row>
    <row r="948" outlineLevel="1">
      <c r="B948" s="0" t="inlineStr">
        <is>
          <t xml:space="preserve">UNITED PRECISION CORP</t>
        </is>
      </c>
      <c r="C948" s="0" t="inlineStr">
        <is>
          <t xml:space="preserve">HFALSP1F9ZD3</t>
        </is>
      </c>
      <c r="D948" s="0" t="inlineStr">
        <is>
          <t xml:space="preserve">-</t>
        </is>
      </c>
      <c r="E948" s="0" t="inlineStr">
        <is>
          <t xml:space="preserve">-</t>
        </is>
      </c>
      <c r="F948" s="0" t="inlineStr">
        <is>
          <t xml:space="preserve">-</t>
        </is>
      </c>
      <c r="G948" s="5">
        <v>0.4864</v>
      </c>
      <c r="H948" s="0" t="inlineStr">
        <is>
          <t xml:space="preserve">supplier</t>
        </is>
      </c>
      <c r="I948" s="0" t="inlineStr">
        <is>
          <t xml:space="preserve">unbucketed</t>
        </is>
      </c>
      <c r="J948" s="0" t="inlineStr">
        <is>
          <t xml:space="preserve">residual</t>
        </is>
      </c>
      <c r="K948" s="5">
        <v>0</v>
      </c>
      <c r="L948" s="5">
        <v>0</v>
      </c>
      <c r="M948" s="5">
        <v>0.0</v>
      </c>
      <c r="N948" s="5">
        <v>0.0</v>
      </c>
      <c r="O948" s="5">
        <v>0.0</v>
      </c>
      <c r="P948" s="5">
        <v>0.0</v>
      </c>
      <c r="Q948" s="5">
        <v>0.0</v>
      </c>
    </row>
    <row r="949" outlineLevel="1">
      <c r="B949" s="0" t="inlineStr">
        <is>
          <t xml:space="preserve">GENERAL DYNAMICS CANADA LTD</t>
        </is>
      </c>
      <c r="C949" s="0" t="inlineStr">
        <is>
          <t xml:space="preserve">JHRUTRMQGW17</t>
        </is>
      </c>
      <c r="D949" s="0" t="inlineStr">
        <is>
          <t xml:space="preserve">Foreign</t>
        </is>
      </c>
      <c r="E949" s="0" t="inlineStr">
        <is>
          <t xml:space="preserve">-</t>
        </is>
      </c>
      <c r="F949" s="0" t="inlineStr">
        <is>
          <t xml:space="preserve">-</t>
        </is>
      </c>
      <c r="G949" s="5">
        <v>0.485869</v>
      </c>
      <c r="H949" s="0" t="inlineStr">
        <is>
          <t xml:space="preserve">prime</t>
        </is>
      </c>
      <c r="I949" s="0" t="inlineStr">
        <is>
          <t xml:space="preserve">-</t>
        </is>
      </c>
      <c r="J949" s="0" t="inlineStr">
        <is>
          <t xml:space="preserve">prime/co-prime name</t>
        </is>
      </c>
      <c r="K949" s="5">
        <v>0</v>
      </c>
      <c r="L949" s="5">
        <v>0</v>
      </c>
      <c r="M949" s="5">
        <v>0.0</v>
      </c>
      <c r="N949" s="5">
        <v>0.0</v>
      </c>
      <c r="O949" s="5">
        <v>0.0</v>
      </c>
      <c r="P949" s="5">
        <v>0.0</v>
      </c>
      <c r="Q949" s="5">
        <v>0.0</v>
      </c>
    </row>
    <row r="950" outlineLevel="1">
      <c r="B950" s="0" t="inlineStr">
        <is>
          <t xml:space="preserve">KKR &amp; CO INC</t>
        </is>
      </c>
      <c r="C950" s="0" t="inlineStr">
        <is>
          <t xml:space="preserve">HUK5MJK4MH39</t>
        </is>
      </c>
      <c r="D950" s="0" t="inlineStr">
        <is>
          <t xml:space="preserve">-</t>
        </is>
      </c>
      <c r="E950" s="0" t="inlineStr">
        <is>
          <t xml:space="preserve">-</t>
        </is>
      </c>
      <c r="F950" s="0" t="inlineStr">
        <is>
          <t xml:space="preserve">-</t>
        </is>
      </c>
      <c r="G950" s="5">
        <v>0.484272</v>
      </c>
      <c r="H950" s="0" t="inlineStr">
        <is>
          <t xml:space="preserve">supplier</t>
        </is>
      </c>
      <c r="I950" s="0" t="inlineStr">
        <is>
          <t xml:space="preserve">piping</t>
        </is>
      </c>
      <c r="J950" s="0" t="inlineStr">
        <is>
          <t xml:space="preserve">registry</t>
        </is>
      </c>
      <c r="K950" s="5">
        <v>0</v>
      </c>
      <c r="L950" s="5">
        <v>0</v>
      </c>
      <c r="M950" s="5">
        <v>0.484272</v>
      </c>
      <c r="N950" s="5">
        <v>0.0</v>
      </c>
      <c r="O950" s="5">
        <v>0.0</v>
      </c>
      <c r="P950" s="5">
        <v>0.0</v>
      </c>
      <c r="Q950" s="5">
        <v>0.040161</v>
      </c>
    </row>
    <row r="951" outlineLevel="1">
      <c r="B951" s="0" t="inlineStr">
        <is>
          <t xml:space="preserve">MIDDLEBY CORPORATION, THE</t>
        </is>
      </c>
      <c r="C951" s="0" t="inlineStr">
        <is>
          <t xml:space="preserve">GJ9JBJ7B7FB5</t>
        </is>
      </c>
      <c r="D951" s="0" t="inlineStr">
        <is>
          <t xml:space="preserve">-</t>
        </is>
      </c>
      <c r="E951" s="0" t="inlineStr">
        <is>
          <t xml:space="preserve">-</t>
        </is>
      </c>
      <c r="F951" s="0" t="inlineStr">
        <is>
          <t xml:space="preserve">-</t>
        </is>
      </c>
      <c r="G951" s="5">
        <v>0.48077299999999995</v>
      </c>
      <c r="H951" s="0" t="inlineStr">
        <is>
          <t xml:space="preserve">supplier</t>
        </is>
      </c>
      <c r="I951" s="0" t="inlineStr">
        <is>
          <t xml:space="preserve">unbucketed</t>
        </is>
      </c>
      <c r="J951" s="0" t="inlineStr">
        <is>
          <t xml:space="preserve">residual</t>
        </is>
      </c>
      <c r="K951" s="5">
        <v>0</v>
      </c>
      <c r="L951" s="5">
        <v>0</v>
      </c>
      <c r="M951" s="5">
        <v>0.48077299999999995</v>
      </c>
      <c r="N951" s="5">
        <v>0.176755</v>
      </c>
      <c r="O951" s="5">
        <v>0.304018</v>
      </c>
      <c r="P951" s="5">
        <v>0.0</v>
      </c>
      <c r="Q951" s="5">
        <v>0.0</v>
      </c>
    </row>
    <row r="952" outlineLevel="1">
      <c r="B952" s="0" t="inlineStr">
        <is>
          <t xml:space="preserve">EPSILON SYSTEMS SOLUTIONS, INC.</t>
        </is>
      </c>
      <c r="C952" s="0" t="inlineStr">
        <is>
          <t xml:space="preserve">MYJHF1S2HGV5</t>
        </is>
      </c>
      <c r="D952" s="0" t="inlineStr">
        <is>
          <t xml:space="preserve">-</t>
        </is>
      </c>
      <c r="E952" s="0" t="inlineStr">
        <is>
          <t xml:space="preserve">-</t>
        </is>
      </c>
      <c r="F952" s="0" t="inlineStr">
        <is>
          <t xml:space="preserve">-</t>
        </is>
      </c>
      <c r="G952" s="5">
        <v>0.4797676</v>
      </c>
      <c r="H952" s="0" t="inlineStr">
        <is>
          <t xml:space="preserve">supplier</t>
        </is>
      </c>
      <c r="I952" s="0" t="inlineStr">
        <is>
          <t xml:space="preserve">unbucketed</t>
        </is>
      </c>
      <c r="J952" s="0" t="inlineStr">
        <is>
          <t xml:space="preserve">residual</t>
        </is>
      </c>
      <c r="K952" s="5">
        <v>0</v>
      </c>
      <c r="L952" s="5">
        <v>0</v>
      </c>
      <c r="M952" s="5">
        <v>0.44448360000000003</v>
      </c>
      <c r="N952" s="5">
        <v>0.028032</v>
      </c>
      <c r="O952" s="5">
        <v>0.0</v>
      </c>
      <c r="P952" s="5">
        <v>0.0</v>
      </c>
      <c r="Q952" s="5">
        <v>0.41645160000000003</v>
      </c>
    </row>
    <row r="953" outlineLevel="1">
      <c r="B953" s="0" t="inlineStr">
        <is>
          <t xml:space="preserve">RDF CORPORATION</t>
        </is>
      </c>
      <c r="C953" s="0" t="inlineStr">
        <is>
          <t xml:space="preserve">L6V2CGVQP844</t>
        </is>
      </c>
      <c r="D953" s="0" t="inlineStr">
        <is>
          <t xml:space="preserve">-</t>
        </is>
      </c>
      <c r="E953" s="0" t="inlineStr">
        <is>
          <t xml:space="preserve">-</t>
        </is>
      </c>
      <c r="F953" s="0" t="inlineStr">
        <is>
          <t xml:space="preserve">-</t>
        </is>
      </c>
      <c r="G953" s="5">
        <v>0.4794</v>
      </c>
      <c r="H953" s="0" t="inlineStr">
        <is>
          <t xml:space="preserve">supplier</t>
        </is>
      </c>
      <c r="I953" s="0" t="inlineStr">
        <is>
          <t xml:space="preserve">unbucketed</t>
        </is>
      </c>
      <c r="J953" s="0" t="inlineStr">
        <is>
          <t xml:space="preserve">residual</t>
        </is>
      </c>
      <c r="K953" s="5">
        <v>0</v>
      </c>
      <c r="L953" s="5">
        <v>0</v>
      </c>
      <c r="M953" s="5">
        <v>0.0</v>
      </c>
      <c r="N953" s="5">
        <v>0.0</v>
      </c>
      <c r="O953" s="5">
        <v>0.0</v>
      </c>
      <c r="P953" s="5">
        <v>0.0</v>
      </c>
      <c r="Q953" s="5">
        <v>0.0</v>
      </c>
    </row>
    <row r="954" outlineLevel="1">
      <c r="B954" s="0" t="inlineStr">
        <is>
          <t xml:space="preserve">UNITED TECHNOLOGIES CORPORATION</t>
        </is>
      </c>
      <c r="C954" s="0" t="inlineStr">
        <is>
          <t xml:space="preserve">HHMTMP5HY8C9</t>
        </is>
      </c>
      <c r="D954" s="0" t="inlineStr">
        <is>
          <t xml:space="preserve">-</t>
        </is>
      </c>
      <c r="E954" s="0" t="inlineStr">
        <is>
          <t xml:space="preserve">-</t>
        </is>
      </c>
      <c r="F954" s="0" t="inlineStr">
        <is>
          <t xml:space="preserve">-</t>
        </is>
      </c>
      <c r="G954" s="5">
        <v>0.478194</v>
      </c>
      <c r="H954" s="0" t="inlineStr">
        <is>
          <t xml:space="preserve">supplier</t>
        </is>
      </c>
      <c r="I954" s="0" t="inlineStr">
        <is>
          <t xml:space="preserve">unbucketed</t>
        </is>
      </c>
      <c r="J954" s="0" t="inlineStr">
        <is>
          <t xml:space="preserve">residual</t>
        </is>
      </c>
      <c r="K954" s="5">
        <v>0</v>
      </c>
      <c r="L954" s="5">
        <v>0</v>
      </c>
      <c r="M954" s="5">
        <v>0.0</v>
      </c>
      <c r="N954" s="5">
        <v>0.0</v>
      </c>
      <c r="O954" s="5">
        <v>0.0</v>
      </c>
      <c r="P954" s="5">
        <v>0.0</v>
      </c>
      <c r="Q954" s="5">
        <v>0.0</v>
      </c>
    </row>
    <row r="955" outlineLevel="1">
      <c r="B955" s="0" t="inlineStr">
        <is>
          <t xml:space="preserve">KULITE SEMICONDUCTOR PRODUCTS INC</t>
        </is>
      </c>
      <c r="C955" s="0" t="inlineStr">
        <is>
          <t xml:space="preserve">LN9YKAX66918</t>
        </is>
      </c>
      <c r="D955" s="0" t="inlineStr">
        <is>
          <t xml:space="preserve">-</t>
        </is>
      </c>
      <c r="E955" s="0" t="inlineStr">
        <is>
          <t xml:space="preserve">-</t>
        </is>
      </c>
      <c r="F955" s="0" t="inlineStr">
        <is>
          <t xml:space="preserve">-</t>
        </is>
      </c>
      <c r="G955" s="5">
        <v>0.47702799999999995</v>
      </c>
      <c r="H955" s="0" t="inlineStr">
        <is>
          <t xml:space="preserve">supplier</t>
        </is>
      </c>
      <c r="I955" s="0" t="inlineStr">
        <is>
          <t xml:space="preserve">unbucketed</t>
        </is>
      </c>
      <c r="J955" s="0" t="inlineStr">
        <is>
          <t xml:space="preserve">residual</t>
        </is>
      </c>
      <c r="K955" s="5">
        <v>0</v>
      </c>
      <c r="L955" s="5">
        <v>0</v>
      </c>
      <c r="M955" s="5">
        <v>0.361318</v>
      </c>
      <c r="N955" s="5">
        <v>0.0</v>
      </c>
      <c r="O955" s="5">
        <v>0.25453</v>
      </c>
      <c r="P955" s="5">
        <v>0.106788</v>
      </c>
      <c r="Q955" s="5">
        <v>0.0</v>
      </c>
    </row>
    <row r="956" outlineLevel="1">
      <c r="B956" s="0" t="inlineStr">
        <is>
          <t xml:space="preserve">SEYER INDUSTRIES INC</t>
        </is>
      </c>
      <c r="C956" s="0" t="inlineStr">
        <is>
          <t xml:space="preserve">GU4MZLMEJN94</t>
        </is>
      </c>
      <c r="D956" s="0" t="inlineStr">
        <is>
          <t xml:space="preserve">USA</t>
        </is>
      </c>
      <c r="E956" s="0" t="inlineStr">
        <is>
          <t xml:space="preserve">3327</t>
        </is>
      </c>
      <c r="F956" s="0" t="inlineStr">
        <is>
          <t xml:space="preserve">Machine Shops</t>
        </is>
      </c>
      <c r="G956" s="5">
        <v>0.475519</v>
      </c>
      <c r="H956" s="0" t="inlineStr">
        <is>
          <t xml:space="preserve">supplier</t>
        </is>
      </c>
      <c r="I956" s="0" t="inlineStr">
        <is>
          <t xml:space="preserve">machining</t>
        </is>
      </c>
      <c r="J956" s="0" t="inlineStr">
        <is>
          <t xml:space="preserve">registry</t>
        </is>
      </c>
      <c r="K956" s="5">
        <v>0</v>
      </c>
      <c r="L956" s="5">
        <v>0</v>
      </c>
      <c r="M956" s="5">
        <v>0.0</v>
      </c>
      <c r="N956" s="5">
        <v>0.0</v>
      </c>
      <c r="O956" s="5">
        <v>0.0</v>
      </c>
      <c r="P956" s="5">
        <v>0.0</v>
      </c>
      <c r="Q956" s="5">
        <v>0.0</v>
      </c>
    </row>
    <row r="957" outlineLevel="1">
      <c r="B957" s="0" t="inlineStr">
        <is>
          <t xml:space="preserve">APPLIED INDUSTRIAL TECHNOLOGIES, INC.</t>
        </is>
      </c>
      <c r="C957" s="0" t="inlineStr">
        <is>
          <t xml:space="preserve">N4MGNY8CF4J9</t>
        </is>
      </c>
      <c r="D957" s="0" t="inlineStr">
        <is>
          <t xml:space="preserve">-</t>
        </is>
      </c>
      <c r="E957" s="0" t="inlineStr">
        <is>
          <t xml:space="preserve">-</t>
        </is>
      </c>
      <c r="F957" s="0" t="inlineStr">
        <is>
          <t xml:space="preserve">-</t>
        </is>
      </c>
      <c r="G957" s="5">
        <v>0.47130428</v>
      </c>
      <c r="H957" s="0" t="inlineStr">
        <is>
          <t xml:space="preserve">supplier</t>
        </is>
      </c>
      <c r="I957" s="0" t="inlineStr">
        <is>
          <t xml:space="preserve">unbucketed</t>
        </is>
      </c>
      <c r="J957" s="0" t="inlineStr">
        <is>
          <t xml:space="preserve">residual</t>
        </is>
      </c>
      <c r="K957" s="5">
        <v>0</v>
      </c>
      <c r="L957" s="5">
        <v>0</v>
      </c>
      <c r="M957" s="5">
        <v>0.0</v>
      </c>
      <c r="N957" s="5">
        <v>0.0</v>
      </c>
      <c r="O957" s="5">
        <v>0.0</v>
      </c>
      <c r="P957" s="5">
        <v>0.0</v>
      </c>
      <c r="Q957" s="5">
        <v>0.0</v>
      </c>
    </row>
    <row r="958" outlineLevel="1">
      <c r="B958" s="0" t="inlineStr">
        <is>
          <t xml:space="preserve">APTIV PLC</t>
        </is>
      </c>
      <c r="C958" s="0" t="inlineStr">
        <is>
          <t xml:space="preserve">G5GTNMLCCBB3</t>
        </is>
      </c>
      <c r="D958" s="0" t="inlineStr">
        <is>
          <t xml:space="preserve">-</t>
        </is>
      </c>
      <c r="E958" s="0" t="inlineStr">
        <is>
          <t xml:space="preserve">-</t>
        </is>
      </c>
      <c r="F958" s="0" t="inlineStr">
        <is>
          <t xml:space="preserve">-</t>
        </is>
      </c>
      <c r="G958" s="5">
        <v>0.47103500000000004</v>
      </c>
      <c r="H958" s="0" t="inlineStr">
        <is>
          <t xml:space="preserve">supplier</t>
        </is>
      </c>
      <c r="I958" s="0" t="inlineStr">
        <is>
          <t xml:space="preserve">unbucketed</t>
        </is>
      </c>
      <c r="J958" s="0" t="inlineStr">
        <is>
          <t xml:space="preserve">residual</t>
        </is>
      </c>
      <c r="K958" s="5">
        <v>0</v>
      </c>
      <c r="L958" s="5">
        <v>0</v>
      </c>
      <c r="M958" s="5">
        <v>0.0</v>
      </c>
      <c r="N958" s="5">
        <v>0.0</v>
      </c>
      <c r="O958" s="5">
        <v>0.0</v>
      </c>
      <c r="P958" s="5">
        <v>0.0</v>
      </c>
      <c r="Q958" s="5">
        <v>0.0</v>
      </c>
    </row>
    <row r="959" outlineLevel="1">
      <c r="B959" s="0" t="inlineStr">
        <is>
          <t xml:space="preserve">WARD LEONARD ELECTRIC COMPANY INC.</t>
        </is>
      </c>
      <c r="C959" s="0" t="inlineStr">
        <is>
          <t xml:space="preserve">MKXMUFJJYLY5</t>
        </is>
      </c>
      <c r="D959" s="0" t="inlineStr">
        <is>
          <t xml:space="preserve">USA</t>
        </is>
      </c>
      <c r="E959" s="0" t="inlineStr">
        <is>
          <t xml:space="preserve">3353</t>
        </is>
      </c>
      <c r="F959" s="0" t="inlineStr">
        <is>
          <t xml:space="preserve">Motor and Generator Manufacturing</t>
        </is>
      </c>
      <c r="G959" s="5">
        <v>0.46882</v>
      </c>
      <c r="H959" s="0" t="inlineStr">
        <is>
          <t xml:space="preserve">supplier</t>
        </is>
      </c>
      <c r="I959" s="0" t="inlineStr">
        <is>
          <t xml:space="preserve">electrical</t>
        </is>
      </c>
      <c r="J959" s="0" t="inlineStr">
        <is>
          <t xml:space="preserve">registry</t>
        </is>
      </c>
      <c r="K959" s="5">
        <v>0</v>
      </c>
      <c r="L959" s="5">
        <v>0</v>
      </c>
      <c r="M959" s="5">
        <v>0.0</v>
      </c>
      <c r="N959" s="5">
        <v>0.0</v>
      </c>
      <c r="O959" s="5">
        <v>0.0</v>
      </c>
      <c r="P959" s="5">
        <v>0.0</v>
      </c>
      <c r="Q959" s="5">
        <v>0.0</v>
      </c>
    </row>
    <row r="960" outlineLevel="1">
      <c r="B960" s="0" t="inlineStr">
        <is>
          <t xml:space="preserve">AMPHENOL CORPORATION</t>
        </is>
      </c>
      <c r="C960" s="0" t="inlineStr">
        <is>
          <t xml:space="preserve">LANYLFV4LRE7</t>
        </is>
      </c>
      <c r="D960" s="0" t="inlineStr">
        <is>
          <t xml:space="preserve">USA</t>
        </is>
      </c>
      <c r="E960" s="0" t="inlineStr">
        <is>
          <t xml:space="preserve">3344</t>
        </is>
      </c>
      <c r="F960" s="0" t="inlineStr">
        <is>
          <t xml:space="preserve">Printed Circuit Assembly (Electronic Assembly) Manufacturing</t>
        </is>
      </c>
      <c r="G960" s="5">
        <v>0.468405</v>
      </c>
      <c r="H960" s="0" t="inlineStr">
        <is>
          <t xml:space="preserve">supplier</t>
        </is>
      </c>
      <c r="I960" s="0" t="inlineStr">
        <is>
          <t xml:space="preserve">electrical</t>
        </is>
      </c>
      <c r="J960" s="0" t="inlineStr">
        <is>
          <t xml:space="preserve">registry</t>
        </is>
      </c>
      <c r="K960" s="5">
        <v>0</v>
      </c>
      <c r="L960" s="5">
        <v>0</v>
      </c>
      <c r="M960" s="5">
        <v>0.0</v>
      </c>
      <c r="N960" s="5">
        <v>0.0</v>
      </c>
      <c r="O960" s="5">
        <v>0.0</v>
      </c>
      <c r="P960" s="5">
        <v>0.0</v>
      </c>
      <c r="Q960" s="5">
        <v>0.0</v>
      </c>
    </row>
    <row r="961" outlineLevel="1">
      <c r="B961" s="0" t="inlineStr">
        <is>
          <t xml:space="preserve">CITADEL CAPITAL CORPORATION</t>
        </is>
      </c>
      <c r="C961" s="0" t="inlineStr">
        <is>
          <t xml:space="preserve">RLXQHCXFT513</t>
        </is>
      </c>
      <c r="D961" s="0" t="inlineStr">
        <is>
          <t xml:space="preserve">-</t>
        </is>
      </c>
      <c r="E961" s="0" t="inlineStr">
        <is>
          <t xml:space="preserve">-</t>
        </is>
      </c>
      <c r="F961" s="0" t="inlineStr">
        <is>
          <t xml:space="preserve">-</t>
        </is>
      </c>
      <c r="G961" s="5">
        <v>0.4682834</v>
      </c>
      <c r="H961" s="0" t="inlineStr">
        <is>
          <t xml:space="preserve">supplier</t>
        </is>
      </c>
      <c r="I961" s="0" t="inlineStr">
        <is>
          <t xml:space="preserve">piping</t>
        </is>
      </c>
      <c r="J961" s="0" t="inlineStr">
        <is>
          <t xml:space="preserve">registry</t>
        </is>
      </c>
      <c r="K961" s="5">
        <v>0</v>
      </c>
      <c r="L961" s="5">
        <v>0</v>
      </c>
      <c r="M961" s="5">
        <v>0.4682834</v>
      </c>
      <c r="N961" s="5">
        <v>0.0</v>
      </c>
      <c r="O961" s="5">
        <v>0.0</v>
      </c>
      <c r="P961" s="5">
        <v>0.0</v>
      </c>
      <c r="Q961" s="5">
        <v>0.0</v>
      </c>
    </row>
    <row r="962" outlineLevel="1">
      <c r="B962" s="0" t="inlineStr">
        <is>
          <t xml:space="preserve">DELL FEDERAL SYSTEMS L.P</t>
        </is>
      </c>
      <c r="C962" s="0" t="inlineStr">
        <is>
          <t xml:space="preserve">N1C5QLNPJLS4</t>
        </is>
      </c>
      <c r="D962" s="0" t="inlineStr">
        <is>
          <t xml:space="preserve">-</t>
        </is>
      </c>
      <c r="E962" s="0" t="inlineStr">
        <is>
          <t xml:space="preserve">-</t>
        </is>
      </c>
      <c r="F962" s="0" t="inlineStr">
        <is>
          <t xml:space="preserve">-</t>
        </is>
      </c>
      <c r="G962" s="5">
        <v>0.46772140999999995</v>
      </c>
      <c r="H962" s="0" t="inlineStr">
        <is>
          <t xml:space="preserve">supplier</t>
        </is>
      </c>
      <c r="I962" s="0" t="inlineStr">
        <is>
          <t xml:space="preserve">unbucketed</t>
        </is>
      </c>
      <c r="J962" s="0" t="inlineStr">
        <is>
          <t xml:space="preserve">residual</t>
        </is>
      </c>
      <c r="K962" s="5">
        <v>0</v>
      </c>
      <c r="L962" s="5">
        <v>0</v>
      </c>
      <c r="M962" s="5">
        <v>0.0</v>
      </c>
      <c r="N962" s="5">
        <v>0.0</v>
      </c>
      <c r="O962" s="5">
        <v>0.0</v>
      </c>
      <c r="P962" s="5">
        <v>0.0</v>
      </c>
      <c r="Q962" s="5">
        <v>0.0</v>
      </c>
    </row>
    <row r="963" outlineLevel="1">
      <c r="B963" s="0" t="inlineStr">
        <is>
          <t xml:space="preserve">ENERGY RENTAL SOLUTIONS LLC</t>
        </is>
      </c>
      <c r="C963" s="0" t="inlineStr">
        <is>
          <t xml:space="preserve">C4C1WKKFJ8H5</t>
        </is>
      </c>
      <c r="D963" s="0" t="inlineStr">
        <is>
          <t xml:space="preserve">-</t>
        </is>
      </c>
      <c r="E963" s="0" t="inlineStr">
        <is>
          <t xml:space="preserve">-</t>
        </is>
      </c>
      <c r="F963" s="0" t="inlineStr">
        <is>
          <t xml:space="preserve">-</t>
        </is>
      </c>
      <c r="G963" s="5">
        <v>0.46573699999999996</v>
      </c>
      <c r="H963" s="0" t="inlineStr">
        <is>
          <t xml:space="preserve">supplier</t>
        </is>
      </c>
      <c r="I963" s="0" t="inlineStr">
        <is>
          <t xml:space="preserve">unbucketed</t>
        </is>
      </c>
      <c r="J963" s="0" t="inlineStr">
        <is>
          <t xml:space="preserve">residual</t>
        </is>
      </c>
      <c r="K963" s="5">
        <v>0</v>
      </c>
      <c r="L963" s="5">
        <v>0</v>
      </c>
      <c r="M963" s="5">
        <v>0.46573699999999996</v>
      </c>
      <c r="N963" s="5">
        <v>0.0</v>
      </c>
      <c r="O963" s="5">
        <v>0.0</v>
      </c>
      <c r="P963" s="5">
        <v>0.039897</v>
      </c>
      <c r="Q963" s="5">
        <v>0.42583999999999994</v>
      </c>
    </row>
    <row r="964" outlineLevel="1">
      <c r="B964" s="0" t="inlineStr">
        <is>
          <t xml:space="preserve">NEW AGE PRECISION TECHNOLOGIES, INC.</t>
        </is>
      </c>
      <c r="C964" s="0" t="inlineStr">
        <is>
          <t xml:space="preserve">Y8UGX3KLADE3</t>
        </is>
      </c>
      <c r="D964" s="0" t="inlineStr">
        <is>
          <t xml:space="preserve">-</t>
        </is>
      </c>
      <c r="E964" s="0" t="inlineStr">
        <is>
          <t xml:space="preserve">-</t>
        </is>
      </c>
      <c r="F964" s="0" t="inlineStr">
        <is>
          <t xml:space="preserve">-</t>
        </is>
      </c>
      <c r="G964" s="5">
        <v>0.45778922</v>
      </c>
      <c r="H964" s="0" t="inlineStr">
        <is>
          <t xml:space="preserve">supplier</t>
        </is>
      </c>
      <c r="I964" s="0" t="inlineStr">
        <is>
          <t xml:space="preserve">unbucketed</t>
        </is>
      </c>
      <c r="J964" s="0" t="inlineStr">
        <is>
          <t xml:space="preserve">residual</t>
        </is>
      </c>
      <c r="K964" s="5">
        <v>0</v>
      </c>
      <c r="L964" s="5">
        <v>0</v>
      </c>
      <c r="M964" s="5">
        <v>0.0</v>
      </c>
      <c r="N964" s="5">
        <v>0.0</v>
      </c>
      <c r="O964" s="5">
        <v>0.0</v>
      </c>
      <c r="P964" s="5">
        <v>0.0</v>
      </c>
      <c r="Q964" s="5">
        <v>0.0</v>
      </c>
    </row>
    <row r="965" outlineLevel="1">
      <c r="B965" s="0" t="inlineStr">
        <is>
          <t xml:space="preserve">ARROW ELECTRONICS INC</t>
        </is>
      </c>
      <c r="C965" s="0" t="inlineStr">
        <is>
          <t xml:space="preserve">FV6VAFMWHVG7</t>
        </is>
      </c>
      <c r="D965" s="0" t="inlineStr">
        <is>
          <t xml:space="preserve">USA</t>
        </is>
      </c>
      <c r="E965" s="0" t="inlineStr">
        <is>
          <t xml:space="preserve">4236</t>
        </is>
      </c>
      <c r="F965" s="0" t="inlineStr">
        <is>
          <t xml:space="preserve">Other Electronic Parts and Equipment Merchant Wholesalers</t>
        </is>
      </c>
      <c r="G965" s="5">
        <v>0.456886</v>
      </c>
      <c r="H965" s="0" t="inlineStr">
        <is>
          <t xml:space="preserve">service</t>
        </is>
      </c>
      <c r="I965" s="0" t="inlineStr">
        <is>
          <t xml:space="preserve">-</t>
        </is>
      </c>
      <c r="J965" s="0" t="inlineStr">
        <is>
          <t xml:space="preserve">service NAICS</t>
        </is>
      </c>
      <c r="K965" s="5">
        <v>0</v>
      </c>
      <c r="L965" s="5">
        <v>0</v>
      </c>
      <c r="M965" s="5">
        <v>0.0</v>
      </c>
      <c r="N965" s="5">
        <v>0.0</v>
      </c>
      <c r="O965" s="5">
        <v>0.0</v>
      </c>
      <c r="P965" s="5">
        <v>0.0</v>
      </c>
      <c r="Q965" s="5">
        <v>0.0</v>
      </c>
    </row>
    <row r="966" outlineLevel="1">
      <c r="B966" s="0" t="inlineStr">
        <is>
          <t xml:space="preserve">BESTWELD INC</t>
        </is>
      </c>
      <c r="C966" s="0" t="inlineStr">
        <is>
          <t xml:space="preserve">WWMME88ERQG5</t>
        </is>
      </c>
      <c r="D966" s="0" t="inlineStr">
        <is>
          <t xml:space="preserve">-</t>
        </is>
      </c>
      <c r="E966" s="0" t="inlineStr">
        <is>
          <t xml:space="preserve">-</t>
        </is>
      </c>
      <c r="F966" s="0" t="inlineStr">
        <is>
          <t xml:space="preserve">-</t>
        </is>
      </c>
      <c r="G966" s="5">
        <v>0.45483801</v>
      </c>
      <c r="H966" s="0" t="inlineStr">
        <is>
          <t xml:space="preserve">supplier</t>
        </is>
      </c>
      <c r="I966" s="0" t="inlineStr">
        <is>
          <t xml:space="preserve">unbucketed</t>
        </is>
      </c>
      <c r="J966" s="0" t="inlineStr">
        <is>
          <t xml:space="preserve">residual</t>
        </is>
      </c>
      <c r="K966" s="5">
        <v>0</v>
      </c>
      <c r="L966" s="5">
        <v>0</v>
      </c>
      <c r="M966" s="5">
        <v>0.45483801</v>
      </c>
      <c r="N966" s="5">
        <v>0.0</v>
      </c>
      <c r="O966" s="5">
        <v>0.08479675</v>
      </c>
      <c r="P966" s="5">
        <v>0.0</v>
      </c>
      <c r="Q966" s="5">
        <v>0.37004126000000004</v>
      </c>
    </row>
    <row r="967" outlineLevel="1">
      <c r="B967" s="0" t="inlineStr">
        <is>
          <t xml:space="preserve">PINNACLE CENTRAL COMPANY, INC</t>
        </is>
      </c>
      <c r="C967" s="0" t="inlineStr">
        <is>
          <t xml:space="preserve">CPWUSW4XYAM5</t>
        </is>
      </c>
      <c r="D967" s="0" t="inlineStr">
        <is>
          <t xml:space="preserve">-</t>
        </is>
      </c>
      <c r="E967" s="0" t="inlineStr">
        <is>
          <t xml:space="preserve">-</t>
        </is>
      </c>
      <c r="F967" s="0" t="inlineStr">
        <is>
          <t xml:space="preserve">-</t>
        </is>
      </c>
      <c r="G967" s="5">
        <v>0.4542979999999999</v>
      </c>
      <c r="H967" s="0" t="inlineStr">
        <is>
          <t xml:space="preserve">supplier</t>
        </is>
      </c>
      <c r="I967" s="0" t="inlineStr">
        <is>
          <t xml:space="preserve">unbucketed</t>
        </is>
      </c>
      <c r="J967" s="0" t="inlineStr">
        <is>
          <t xml:space="preserve">residual</t>
        </is>
      </c>
      <c r="K967" s="5">
        <v>0</v>
      </c>
      <c r="L967" s="5">
        <v>0</v>
      </c>
      <c r="M967" s="5">
        <v>0.0</v>
      </c>
      <c r="N967" s="5">
        <v>0.0</v>
      </c>
      <c r="O967" s="5">
        <v>0.0</v>
      </c>
      <c r="P967" s="5">
        <v>0.0</v>
      </c>
      <c r="Q967" s="5">
        <v>0.0</v>
      </c>
    </row>
    <row r="968" outlineLevel="1">
      <c r="B968" s="0" t="inlineStr">
        <is>
          <t xml:space="preserve">X-MICROWAVE, LLC</t>
        </is>
      </c>
      <c r="C968" s="0" t="inlineStr">
        <is>
          <t xml:space="preserve">WAHYNLULY1H6</t>
        </is>
      </c>
      <c r="D968" s="0" t="inlineStr">
        <is>
          <t xml:space="preserve">-</t>
        </is>
      </c>
      <c r="E968" s="0" t="inlineStr">
        <is>
          <t xml:space="preserve">-</t>
        </is>
      </c>
      <c r="F968" s="0" t="inlineStr">
        <is>
          <t xml:space="preserve">-</t>
        </is>
      </c>
      <c r="G968" s="5">
        <v>0.45389999999999997</v>
      </c>
      <c r="H968" s="0" t="inlineStr">
        <is>
          <t xml:space="preserve">supplier</t>
        </is>
      </c>
      <c r="I968" s="0" t="inlineStr">
        <is>
          <t xml:space="preserve">unbucketed</t>
        </is>
      </c>
      <c r="J968" s="0" t="inlineStr">
        <is>
          <t xml:space="preserve">residual</t>
        </is>
      </c>
      <c r="K968" s="5">
        <v>0</v>
      </c>
      <c r="L968" s="5">
        <v>0</v>
      </c>
      <c r="M968" s="5">
        <v>0.0</v>
      </c>
      <c r="N968" s="5">
        <v>0.0</v>
      </c>
      <c r="O968" s="5">
        <v>0.0</v>
      </c>
      <c r="P968" s="5">
        <v>0.0</v>
      </c>
      <c r="Q968" s="5">
        <v>0.0</v>
      </c>
    </row>
    <row r="969" outlineLevel="1">
      <c r="B969" s="0" t="inlineStr">
        <is>
          <t xml:space="preserve">EVOQUA WATER TECHNOLOGIES, LLC</t>
        </is>
      </c>
      <c r="C969" s="0" t="inlineStr">
        <is>
          <t xml:space="preserve">HA3GWLK3JK58</t>
        </is>
      </c>
      <c r="D969" s="0" t="inlineStr">
        <is>
          <t xml:space="preserve">-</t>
        </is>
      </c>
      <c r="E969" s="0" t="inlineStr">
        <is>
          <t xml:space="preserve">-</t>
        </is>
      </c>
      <c r="F969" s="0" t="inlineStr">
        <is>
          <t xml:space="preserve">-</t>
        </is>
      </c>
      <c r="G969" s="5">
        <v>0.453718</v>
      </c>
      <c r="H969" s="0" t="inlineStr">
        <is>
          <t xml:space="preserve">supplier</t>
        </is>
      </c>
      <c r="I969" s="0" t="inlineStr">
        <is>
          <t xml:space="preserve">unbucketed</t>
        </is>
      </c>
      <c r="J969" s="0" t="inlineStr">
        <is>
          <t xml:space="preserve">residual</t>
        </is>
      </c>
      <c r="K969" s="5">
        <v>0</v>
      </c>
      <c r="L969" s="5">
        <v>0</v>
      </c>
      <c r="M969" s="5">
        <v>0.453718</v>
      </c>
      <c r="N969" s="5">
        <v>0.0</v>
      </c>
      <c r="O969" s="5">
        <v>0.0</v>
      </c>
      <c r="P969" s="5">
        <v>0.0</v>
      </c>
      <c r="Q969" s="5">
        <v>0.0</v>
      </c>
    </row>
    <row r="970" outlineLevel="1">
      <c r="B970" s="0" t="inlineStr">
        <is>
          <t xml:space="preserve">STERLING COMPUTERS CORPORATION</t>
        </is>
      </c>
      <c r="C970" s="0" t="inlineStr">
        <is>
          <t xml:space="preserve">YZTLALWM4UC7</t>
        </is>
      </c>
      <c r="D970" s="0" t="inlineStr">
        <is>
          <t xml:space="preserve">-</t>
        </is>
      </c>
      <c r="E970" s="0" t="inlineStr">
        <is>
          <t xml:space="preserve">-</t>
        </is>
      </c>
      <c r="F970" s="0" t="inlineStr">
        <is>
          <t xml:space="preserve">-</t>
        </is>
      </c>
      <c r="G970" s="5">
        <v>0.4533631</v>
      </c>
      <c r="H970" s="0" t="inlineStr">
        <is>
          <t xml:space="preserve">supplier</t>
        </is>
      </c>
      <c r="I970" s="0" t="inlineStr">
        <is>
          <t xml:space="preserve">unbucketed</t>
        </is>
      </c>
      <c r="J970" s="0" t="inlineStr">
        <is>
          <t xml:space="preserve">residual</t>
        </is>
      </c>
      <c r="K970" s="5">
        <v>0</v>
      </c>
      <c r="L970" s="5">
        <v>0</v>
      </c>
      <c r="M970" s="5">
        <v>0.0</v>
      </c>
      <c r="N970" s="5">
        <v>0.0</v>
      </c>
      <c r="O970" s="5">
        <v>0.0</v>
      </c>
      <c r="P970" s="5">
        <v>0.0</v>
      </c>
      <c r="Q970" s="5">
        <v>0.0</v>
      </c>
    </row>
    <row r="971" outlineLevel="1">
      <c r="B971" s="0" t="inlineStr">
        <is>
          <t xml:space="preserve">SGJB BUSINESS HOLDINGS, INC.</t>
        </is>
      </c>
      <c r="C971" s="0" t="inlineStr">
        <is>
          <t xml:space="preserve">WLC5S23M4NP9</t>
        </is>
      </c>
      <c r="D971" s="0" t="inlineStr">
        <is>
          <t xml:space="preserve">-</t>
        </is>
      </c>
      <c r="E971" s="0" t="inlineStr">
        <is>
          <t xml:space="preserve">-</t>
        </is>
      </c>
      <c r="F971" s="0" t="inlineStr">
        <is>
          <t xml:space="preserve">-</t>
        </is>
      </c>
      <c r="G971" s="5">
        <v>0.45276588</v>
      </c>
      <c r="H971" s="0" t="inlineStr">
        <is>
          <t xml:space="preserve">supplier</t>
        </is>
      </c>
      <c r="I971" s="0" t="inlineStr">
        <is>
          <t xml:space="preserve">unbucketed</t>
        </is>
      </c>
      <c r="J971" s="0" t="inlineStr">
        <is>
          <t xml:space="preserve">residual</t>
        </is>
      </c>
      <c r="K971" s="5">
        <v>0</v>
      </c>
      <c r="L971" s="5">
        <v>0</v>
      </c>
      <c r="M971" s="5">
        <v>0.0</v>
      </c>
      <c r="N971" s="5">
        <v>0.0</v>
      </c>
      <c r="O971" s="5">
        <v>0.0</v>
      </c>
      <c r="P971" s="5">
        <v>0.0</v>
      </c>
      <c r="Q971" s="5">
        <v>0.0</v>
      </c>
    </row>
    <row r="972" outlineLevel="1">
      <c r="B972" s="0" t="inlineStr">
        <is>
          <t xml:space="preserve">HONEYWELL INTERNATIONAL INC.</t>
        </is>
      </c>
      <c r="C972" s="0" t="inlineStr">
        <is>
          <t xml:space="preserve">TKE2CB4A5YW4</t>
        </is>
      </c>
      <c r="D972" s="0" t="inlineStr">
        <is>
          <t xml:space="preserve">USA</t>
        </is>
      </c>
      <c r="E972" s="0" t="inlineStr">
        <is>
          <t xml:space="preserve">3345</t>
        </is>
      </c>
      <c r="F972" s="0" t="inlineStr">
        <is>
          <t xml:space="preserve">Search, Detection, Navigation, Guidance, Aeronautical, and Nautical System and Instrument Manufacturing</t>
        </is>
      </c>
      <c r="G972" s="5">
        <v>0.45214628000000007</v>
      </c>
      <c r="H972" s="0" t="inlineStr">
        <is>
          <t xml:space="preserve">supplier</t>
        </is>
      </c>
      <c r="I972" s="0" t="inlineStr">
        <is>
          <t xml:space="preserve">unbucketed</t>
        </is>
      </c>
      <c r="J972" s="0" t="inlineStr">
        <is>
          <t xml:space="preserve">residual</t>
        </is>
      </c>
      <c r="K972" s="5">
        <v>0</v>
      </c>
      <c r="L972" s="5">
        <v>0</v>
      </c>
      <c r="M972" s="5">
        <v>0.4170650000000001</v>
      </c>
      <c r="N972" s="5">
        <v>0.327565</v>
      </c>
      <c r="O972" s="5">
        <v>0.0895</v>
      </c>
      <c r="P972" s="5">
        <v>0.0</v>
      </c>
      <c r="Q972" s="5">
        <v>0.0</v>
      </c>
    </row>
    <row r="973" outlineLevel="1">
      <c r="B973" s="0" t="inlineStr">
        <is>
          <t xml:space="preserve">MICROWAY, INC.</t>
        </is>
      </c>
      <c r="C973" s="0" t="inlineStr">
        <is>
          <t xml:space="preserve">NC51HBU9N6L9</t>
        </is>
      </c>
      <c r="D973" s="0" t="inlineStr">
        <is>
          <t xml:space="preserve">-</t>
        </is>
      </c>
      <c r="E973" s="0" t="inlineStr">
        <is>
          <t xml:space="preserve">-</t>
        </is>
      </c>
      <c r="F973" s="0" t="inlineStr">
        <is>
          <t xml:space="preserve">-</t>
        </is>
      </c>
      <c r="G973" s="5">
        <v>0.452003</v>
      </c>
      <c r="H973" s="0" t="inlineStr">
        <is>
          <t xml:space="preserve">supplier</t>
        </is>
      </c>
      <c r="I973" s="0" t="inlineStr">
        <is>
          <t xml:space="preserve">unbucketed</t>
        </is>
      </c>
      <c r="J973" s="0" t="inlineStr">
        <is>
          <t xml:space="preserve">residual</t>
        </is>
      </c>
      <c r="K973" s="5">
        <v>0</v>
      </c>
      <c r="L973" s="5">
        <v>0</v>
      </c>
      <c r="M973" s="5">
        <v>0.0</v>
      </c>
      <c r="N973" s="5">
        <v>0.0</v>
      </c>
      <c r="O973" s="5">
        <v>0.0</v>
      </c>
      <c r="P973" s="5">
        <v>0.0</v>
      </c>
      <c r="Q973" s="5">
        <v>0.0</v>
      </c>
    </row>
    <row r="974" outlineLevel="1">
      <c r="B974" s="0" t="inlineStr">
        <is>
          <t xml:space="preserve">CHARLESBANK CAPITAL PARTNERS, LLC</t>
        </is>
      </c>
      <c r="C974" s="0" t="inlineStr">
        <is>
          <t xml:space="preserve">NEA6WGAVWQ47</t>
        </is>
      </c>
      <c r="D974" s="0" t="inlineStr">
        <is>
          <t xml:space="preserve">-</t>
        </is>
      </c>
      <c r="E974" s="0" t="inlineStr">
        <is>
          <t xml:space="preserve">-</t>
        </is>
      </c>
      <c r="F974" s="0" t="inlineStr">
        <is>
          <t xml:space="preserve">-</t>
        </is>
      </c>
      <c r="G974" s="5">
        <v>0.45067</v>
      </c>
      <c r="H974" s="0" t="inlineStr">
        <is>
          <t xml:space="preserve">supplier</t>
        </is>
      </c>
      <c r="I974" s="0" t="inlineStr">
        <is>
          <t xml:space="preserve">unbucketed</t>
        </is>
      </c>
      <c r="J974" s="0" t="inlineStr">
        <is>
          <t xml:space="preserve">residual</t>
        </is>
      </c>
      <c r="K974" s="5">
        <v>0</v>
      </c>
      <c r="L974" s="5">
        <v>0</v>
      </c>
      <c r="M974" s="5">
        <v>0.0</v>
      </c>
      <c r="N974" s="5">
        <v>0.0</v>
      </c>
      <c r="O974" s="5">
        <v>0.0</v>
      </c>
      <c r="P974" s="5">
        <v>0.0</v>
      </c>
      <c r="Q974" s="5">
        <v>0.0</v>
      </c>
    </row>
    <row r="975" outlineLevel="1">
      <c r="B975" s="0" t="inlineStr">
        <is>
          <t xml:space="preserve">SCHNEIDER ELECTRIC FEDERAL, INC.</t>
        </is>
      </c>
      <c r="C975" s="0" t="inlineStr">
        <is>
          <t xml:space="preserve">NTW5TQ1UJF57</t>
        </is>
      </c>
      <c r="D975" s="0" t="inlineStr">
        <is>
          <t xml:space="preserve">-</t>
        </is>
      </c>
      <c r="E975" s="0" t="inlineStr">
        <is>
          <t xml:space="preserve">-</t>
        </is>
      </c>
      <c r="F975" s="0" t="inlineStr">
        <is>
          <t xml:space="preserve">-</t>
        </is>
      </c>
      <c r="G975" s="5">
        <v>0.4491648</v>
      </c>
      <c r="H975" s="0" t="inlineStr">
        <is>
          <t xml:space="preserve">supplier</t>
        </is>
      </c>
      <c r="I975" s="0" t="inlineStr">
        <is>
          <t xml:space="preserve">unbucketed</t>
        </is>
      </c>
      <c r="J975" s="0" t="inlineStr">
        <is>
          <t xml:space="preserve">residual</t>
        </is>
      </c>
      <c r="K975" s="5">
        <v>0</v>
      </c>
      <c r="L975" s="5">
        <v>0</v>
      </c>
      <c r="M975" s="5">
        <v>0.0</v>
      </c>
      <c r="N975" s="5">
        <v>0.0</v>
      </c>
      <c r="O975" s="5">
        <v>0.0</v>
      </c>
      <c r="P975" s="5">
        <v>0.0</v>
      </c>
      <c r="Q975" s="5">
        <v>0.0</v>
      </c>
    </row>
    <row r="976" outlineLevel="1">
      <c r="B976" s="0" t="inlineStr">
        <is>
          <t xml:space="preserve">AEA INVESTORS LP</t>
        </is>
      </c>
      <c r="C976" s="0" t="inlineStr">
        <is>
          <t xml:space="preserve">FVENB2MJ1NM3</t>
        </is>
      </c>
      <c r="D976" s="0" t="inlineStr">
        <is>
          <t xml:space="preserve">-</t>
        </is>
      </c>
      <c r="E976" s="0" t="inlineStr">
        <is>
          <t xml:space="preserve">-</t>
        </is>
      </c>
      <c r="F976" s="0" t="inlineStr">
        <is>
          <t xml:space="preserve">-</t>
        </is>
      </c>
      <c r="G976" s="5">
        <v>0.44599599999999995</v>
      </c>
      <c r="H976" s="0" t="inlineStr">
        <is>
          <t xml:space="preserve">supplier</t>
        </is>
      </c>
      <c r="I976" s="0" t="inlineStr">
        <is>
          <t xml:space="preserve">unbucketed</t>
        </is>
      </c>
      <c r="J976" s="0" t="inlineStr">
        <is>
          <t xml:space="preserve">residual</t>
        </is>
      </c>
      <c r="K976" s="5">
        <v>0</v>
      </c>
      <c r="L976" s="5">
        <v>0</v>
      </c>
      <c r="M976" s="5">
        <v>0.0</v>
      </c>
      <c r="N976" s="5">
        <v>0.0</v>
      </c>
      <c r="O976" s="5">
        <v>0.0</v>
      </c>
      <c r="P976" s="5">
        <v>0.0</v>
      </c>
      <c r="Q976" s="5">
        <v>0.0</v>
      </c>
    </row>
    <row r="977" outlineLevel="1">
      <c r="B977" s="0" t="inlineStr">
        <is>
          <t xml:space="preserve">JUDGE TECHNICAL SERVICES, INC.</t>
        </is>
      </c>
      <c r="C977" s="0" t="inlineStr">
        <is>
          <t xml:space="preserve">ZTFGC4Q5RFB5</t>
        </is>
      </c>
      <c r="D977" s="0" t="inlineStr">
        <is>
          <t xml:space="preserve">-</t>
        </is>
      </c>
      <c r="E977" s="0" t="inlineStr">
        <is>
          <t xml:space="preserve">-</t>
        </is>
      </c>
      <c r="F977" s="0" t="inlineStr">
        <is>
          <t xml:space="preserve">-</t>
        </is>
      </c>
      <c r="G977" s="5">
        <v>0.44554099999999996</v>
      </c>
      <c r="H977" s="0" t="inlineStr">
        <is>
          <t xml:space="preserve">supplier</t>
        </is>
      </c>
      <c r="I977" s="0" t="inlineStr">
        <is>
          <t xml:space="preserve">unbucketed</t>
        </is>
      </c>
      <c r="J977" s="0" t="inlineStr">
        <is>
          <t xml:space="preserve">residual</t>
        </is>
      </c>
      <c r="K977" s="5">
        <v>0</v>
      </c>
      <c r="L977" s="5">
        <v>0</v>
      </c>
      <c r="M977" s="5">
        <v>0.0</v>
      </c>
      <c r="N977" s="5">
        <v>0.0</v>
      </c>
      <c r="O977" s="5">
        <v>0.0</v>
      </c>
      <c r="P977" s="5">
        <v>0.0</v>
      </c>
      <c r="Q977" s="5">
        <v>0.0</v>
      </c>
    </row>
    <row r="978" outlineLevel="1">
      <c r="B978" s="0" t="inlineStr">
        <is>
          <t xml:space="preserve">AEROSPACE SUPPLY, INC</t>
        </is>
      </c>
      <c r="C978" s="0" t="inlineStr">
        <is>
          <t xml:space="preserve">XK8VBJ94L4E9</t>
        </is>
      </c>
      <c r="D978" s="0" t="inlineStr">
        <is>
          <t xml:space="preserve">-</t>
        </is>
      </c>
      <c r="E978" s="0" t="inlineStr">
        <is>
          <t xml:space="preserve">-</t>
        </is>
      </c>
      <c r="F978" s="0" t="inlineStr">
        <is>
          <t xml:space="preserve">-</t>
        </is>
      </c>
      <c r="G978" s="5">
        <v>0.44437</v>
      </c>
      <c r="H978" s="0" t="inlineStr">
        <is>
          <t xml:space="preserve">supplier</t>
        </is>
      </c>
      <c r="I978" s="0" t="inlineStr">
        <is>
          <t xml:space="preserve">unbucketed</t>
        </is>
      </c>
      <c r="J978" s="0" t="inlineStr">
        <is>
          <t xml:space="preserve">residual</t>
        </is>
      </c>
      <c r="K978" s="5">
        <v>0</v>
      </c>
      <c r="L978" s="5">
        <v>0</v>
      </c>
      <c r="M978" s="5">
        <v>0.44437</v>
      </c>
      <c r="N978" s="5">
        <v>0.0</v>
      </c>
      <c r="O978" s="5">
        <v>0.0</v>
      </c>
      <c r="P978" s="5">
        <v>0.0</v>
      </c>
      <c r="Q978" s="5">
        <v>0.33937</v>
      </c>
    </row>
    <row r="979" outlineLevel="1">
      <c r="B979" s="0" t="inlineStr">
        <is>
          <t xml:space="preserve">RAPID DEPLOYABLE SYSTEMS, INC</t>
        </is>
      </c>
      <c r="C979" s="0" t="inlineStr">
        <is>
          <t xml:space="preserve">GCDKJTM3RJX6</t>
        </is>
      </c>
      <c r="D979" s="0" t="inlineStr">
        <is>
          <t xml:space="preserve">-</t>
        </is>
      </c>
      <c r="E979" s="0" t="inlineStr">
        <is>
          <t xml:space="preserve">-</t>
        </is>
      </c>
      <c r="F979" s="0" t="inlineStr">
        <is>
          <t xml:space="preserve">-</t>
        </is>
      </c>
      <c r="G979" s="5">
        <v>0.44389</v>
      </c>
      <c r="H979" s="0" t="inlineStr">
        <is>
          <t xml:space="preserve">supplier</t>
        </is>
      </c>
      <c r="I979" s="0" t="inlineStr">
        <is>
          <t xml:space="preserve">unbucketed</t>
        </is>
      </c>
      <c r="J979" s="0" t="inlineStr">
        <is>
          <t xml:space="preserve">residual</t>
        </is>
      </c>
      <c r="K979" s="5">
        <v>0</v>
      </c>
      <c r="L979" s="5">
        <v>0</v>
      </c>
      <c r="M979" s="5">
        <v>0.44389</v>
      </c>
      <c r="N979" s="5">
        <v>0.0</v>
      </c>
      <c r="O979" s="5">
        <v>0.44389</v>
      </c>
      <c r="P979" s="5">
        <v>0.0</v>
      </c>
      <c r="Q979" s="5">
        <v>0.0</v>
      </c>
    </row>
    <row r="980" outlineLevel="1">
      <c r="B980" s="0" t="inlineStr">
        <is>
          <t xml:space="preserve">AMI SEMICONDUCTOR, INC.</t>
        </is>
      </c>
      <c r="C980" s="0" t="inlineStr">
        <is>
          <t xml:space="preserve">E12JMWJACSZ6</t>
        </is>
      </c>
      <c r="D980" s="0" t="inlineStr">
        <is>
          <t xml:space="preserve">-</t>
        </is>
      </c>
      <c r="E980" s="0" t="inlineStr">
        <is>
          <t xml:space="preserve">-</t>
        </is>
      </c>
      <c r="F980" s="0" t="inlineStr">
        <is>
          <t xml:space="preserve">-</t>
        </is>
      </c>
      <c r="G980" s="5">
        <v>0.4425</v>
      </c>
      <c r="H980" s="0" t="inlineStr">
        <is>
          <t xml:space="preserve">supplier</t>
        </is>
      </c>
      <c r="I980" s="0" t="inlineStr">
        <is>
          <t xml:space="preserve">unbucketed</t>
        </is>
      </c>
      <c r="J980" s="0" t="inlineStr">
        <is>
          <t xml:space="preserve">residual</t>
        </is>
      </c>
      <c r="K980" s="5">
        <v>0</v>
      </c>
      <c r="L980" s="5">
        <v>0</v>
      </c>
      <c r="M980" s="5">
        <v>0.0</v>
      </c>
      <c r="N980" s="5">
        <v>0.0</v>
      </c>
      <c r="O980" s="5">
        <v>0.0</v>
      </c>
      <c r="P980" s="5">
        <v>0.0</v>
      </c>
      <c r="Q980" s="5">
        <v>0.0</v>
      </c>
    </row>
    <row r="981" outlineLevel="1">
      <c r="B981" s="0" t="inlineStr">
        <is>
          <t xml:space="preserve">SURE POWER, INC</t>
        </is>
      </c>
      <c r="C981" s="0" t="inlineStr">
        <is>
          <t xml:space="preserve">PUZ1NCWDC719</t>
        </is>
      </c>
      <c r="D981" s="0" t="inlineStr">
        <is>
          <t xml:space="preserve">-</t>
        </is>
      </c>
      <c r="E981" s="0" t="inlineStr">
        <is>
          <t xml:space="preserve">-</t>
        </is>
      </c>
      <c r="F981" s="0" t="inlineStr">
        <is>
          <t xml:space="preserve">-</t>
        </is>
      </c>
      <c r="G981" s="5">
        <v>0.441706</v>
      </c>
      <c r="H981" s="0" t="inlineStr">
        <is>
          <t xml:space="preserve">supplier</t>
        </is>
      </c>
      <c r="I981" s="0" t="inlineStr">
        <is>
          <t xml:space="preserve">unbucketed</t>
        </is>
      </c>
      <c r="J981" s="0" t="inlineStr">
        <is>
          <t xml:space="preserve">residual</t>
        </is>
      </c>
      <c r="K981" s="5">
        <v>0</v>
      </c>
      <c r="L981" s="5">
        <v>0</v>
      </c>
      <c r="M981" s="5">
        <v>0.0</v>
      </c>
      <c r="N981" s="5">
        <v>0.0</v>
      </c>
      <c r="O981" s="5">
        <v>0.0</v>
      </c>
      <c r="P981" s="5">
        <v>0.0</v>
      </c>
      <c r="Q981" s="5">
        <v>0.0</v>
      </c>
    </row>
    <row r="982" outlineLevel="1">
      <c r="B982" s="0" t="inlineStr">
        <is>
          <t xml:space="preserve">SOUTHBAY BOILER REPAIR, INC</t>
        </is>
      </c>
      <c r="C982" s="0" t="inlineStr">
        <is>
          <t xml:space="preserve">E7KKWDGAXAU6</t>
        </is>
      </c>
      <c r="D982" s="0" t="inlineStr">
        <is>
          <t xml:space="preserve">-</t>
        </is>
      </c>
      <c r="E982" s="0" t="inlineStr">
        <is>
          <t xml:space="preserve">-</t>
        </is>
      </c>
      <c r="F982" s="0" t="inlineStr">
        <is>
          <t xml:space="preserve">-</t>
        </is>
      </c>
      <c r="G982" s="5">
        <v>0.440401</v>
      </c>
      <c r="H982" s="0" t="inlineStr">
        <is>
          <t xml:space="preserve">supplier</t>
        </is>
      </c>
      <c r="I982" s="0" t="inlineStr">
        <is>
          <t xml:space="preserve">unbucketed</t>
        </is>
      </c>
      <c r="J982" s="0" t="inlineStr">
        <is>
          <t xml:space="preserve">residual</t>
        </is>
      </c>
      <c r="K982" s="5">
        <v>0</v>
      </c>
      <c r="L982" s="5">
        <v>0</v>
      </c>
      <c r="M982" s="5">
        <v>0.0</v>
      </c>
      <c r="N982" s="5">
        <v>0.0</v>
      </c>
      <c r="O982" s="5">
        <v>0.0</v>
      </c>
      <c r="P982" s="5">
        <v>0.0</v>
      </c>
      <c r="Q982" s="5">
        <v>0.0</v>
      </c>
    </row>
    <row r="983" outlineLevel="1">
      <c r="B983" s="0" t="inlineStr">
        <is>
          <t xml:space="preserve">JAMES WALKER HOLDING COMPANY</t>
        </is>
      </c>
      <c r="C983" s="0" t="inlineStr">
        <is>
          <t xml:space="preserve">F78NG1ANBSN4</t>
        </is>
      </c>
      <c r="D983" s="0" t="inlineStr">
        <is>
          <t xml:space="preserve">-</t>
        </is>
      </c>
      <c r="E983" s="0" t="inlineStr">
        <is>
          <t xml:space="preserve">-</t>
        </is>
      </c>
      <c r="F983" s="0" t="inlineStr">
        <is>
          <t xml:space="preserve">-</t>
        </is>
      </c>
      <c r="G983" s="5">
        <v>0.43913683</v>
      </c>
      <c r="H983" s="0" t="inlineStr">
        <is>
          <t xml:space="preserve">supplier</t>
        </is>
      </c>
      <c r="I983" s="0" t="inlineStr">
        <is>
          <t xml:space="preserve">unbucketed</t>
        </is>
      </c>
      <c r="J983" s="0" t="inlineStr">
        <is>
          <t xml:space="preserve">residual</t>
        </is>
      </c>
      <c r="K983" s="5">
        <v>0</v>
      </c>
      <c r="L983" s="5">
        <v>0</v>
      </c>
      <c r="M983" s="5">
        <v>0.0</v>
      </c>
      <c r="N983" s="5">
        <v>0.0</v>
      </c>
      <c r="O983" s="5">
        <v>0.0</v>
      </c>
      <c r="P983" s="5">
        <v>0.0</v>
      </c>
      <c r="Q983" s="5">
        <v>0.0</v>
      </c>
    </row>
    <row r="984" outlineLevel="1">
      <c r="B984" s="0" t="inlineStr">
        <is>
          <t xml:space="preserve">KAMPI COMPONENTS CO., INC.</t>
        </is>
      </c>
      <c r="C984" s="0" t="inlineStr">
        <is>
          <t xml:space="preserve">XX2WFHJEFB45</t>
        </is>
      </c>
      <c r="D984" s="0" t="inlineStr">
        <is>
          <t xml:space="preserve">-</t>
        </is>
      </c>
      <c r="E984" s="0" t="inlineStr">
        <is>
          <t xml:space="preserve">-</t>
        </is>
      </c>
      <c r="F984" s="0" t="inlineStr">
        <is>
          <t xml:space="preserve">-</t>
        </is>
      </c>
      <c r="G984" s="5">
        <v>0.43860583</v>
      </c>
      <c r="H984" s="0" t="inlineStr">
        <is>
          <t xml:space="preserve">supplier</t>
        </is>
      </c>
      <c r="I984" s="0" t="inlineStr">
        <is>
          <t xml:space="preserve">unbucketed</t>
        </is>
      </c>
      <c r="J984" s="0" t="inlineStr">
        <is>
          <t xml:space="preserve">residual</t>
        </is>
      </c>
      <c r="K984" s="5">
        <v>0</v>
      </c>
      <c r="L984" s="5">
        <v>0</v>
      </c>
      <c r="M984" s="5">
        <v>0.0</v>
      </c>
      <c r="N984" s="5">
        <v>0.0</v>
      </c>
      <c r="O984" s="5">
        <v>0.0</v>
      </c>
      <c r="P984" s="5">
        <v>0.0</v>
      </c>
      <c r="Q984" s="5">
        <v>0.0</v>
      </c>
    </row>
    <row r="985" outlineLevel="1">
      <c r="B985" s="0" t="inlineStr">
        <is>
          <t xml:space="preserve">SPEC-BUILT SYSTEMS INC.</t>
        </is>
      </c>
      <c r="C985" s="0" t="inlineStr">
        <is>
          <t xml:space="preserve">QHZMLNNGSTA8</t>
        </is>
      </c>
      <c r="D985" s="0" t="inlineStr">
        <is>
          <t xml:space="preserve">-</t>
        </is>
      </c>
      <c r="E985" s="0" t="inlineStr">
        <is>
          <t xml:space="preserve">-</t>
        </is>
      </c>
      <c r="F985" s="0" t="inlineStr">
        <is>
          <t xml:space="preserve">-</t>
        </is>
      </c>
      <c r="G985" s="5">
        <v>0.43656</v>
      </c>
      <c r="H985" s="0" t="inlineStr">
        <is>
          <t xml:space="preserve">supplier</t>
        </is>
      </c>
      <c r="I985" s="0" t="inlineStr">
        <is>
          <t xml:space="preserve">unbucketed</t>
        </is>
      </c>
      <c r="J985" s="0" t="inlineStr">
        <is>
          <t xml:space="preserve">residual</t>
        </is>
      </c>
      <c r="K985" s="5">
        <v>0</v>
      </c>
      <c r="L985" s="5">
        <v>0</v>
      </c>
      <c r="M985" s="5">
        <v>0.0</v>
      </c>
      <c r="N985" s="5">
        <v>0.0</v>
      </c>
      <c r="O985" s="5">
        <v>0.0</v>
      </c>
      <c r="P985" s="5">
        <v>0.0</v>
      </c>
      <c r="Q985" s="5">
        <v>0.0</v>
      </c>
    </row>
    <row r="986" outlineLevel="1">
      <c r="B986" s="0" t="inlineStr">
        <is>
          <t xml:space="preserve">SHERBURN ELECTRONICS INC.</t>
        </is>
      </c>
      <c r="C986" s="0" t="inlineStr">
        <is>
          <t xml:space="preserve">HQYTCMF5RGE4</t>
        </is>
      </c>
      <c r="D986" s="0" t="inlineStr">
        <is>
          <t xml:space="preserve">-</t>
        </is>
      </c>
      <c r="E986" s="0" t="inlineStr">
        <is>
          <t xml:space="preserve">-</t>
        </is>
      </c>
      <c r="F986" s="0" t="inlineStr">
        <is>
          <t xml:space="preserve">-</t>
        </is>
      </c>
      <c r="G986" s="5">
        <v>0.4355397</v>
      </c>
      <c r="H986" s="0" t="inlineStr">
        <is>
          <t xml:space="preserve">supplier</t>
        </is>
      </c>
      <c r="I986" s="0" t="inlineStr">
        <is>
          <t xml:space="preserve">unbucketed</t>
        </is>
      </c>
      <c r="J986" s="0" t="inlineStr">
        <is>
          <t xml:space="preserve">residual</t>
        </is>
      </c>
      <c r="K986" s="5">
        <v>0</v>
      </c>
      <c r="L986" s="5">
        <v>0</v>
      </c>
      <c r="M986" s="5">
        <v>0.4355397</v>
      </c>
      <c r="N986" s="5">
        <v>0.0</v>
      </c>
      <c r="O986" s="5">
        <v>0.1418347</v>
      </c>
      <c r="P986" s="5">
        <v>0.05183</v>
      </c>
      <c r="Q986" s="5">
        <v>0.24187499999999998</v>
      </c>
    </row>
    <row r="987" outlineLevel="1">
      <c r="B987" s="0" t="inlineStr">
        <is>
          <t xml:space="preserve">MB AEROSPACE ACP HOLDINGS III CORP.</t>
        </is>
      </c>
      <c r="C987" s="0" t="inlineStr">
        <is>
          <t xml:space="preserve">GME7GBC2EXU9</t>
        </is>
      </c>
      <c r="D987" s="0" t="inlineStr">
        <is>
          <t xml:space="preserve">-</t>
        </is>
      </c>
      <c r="E987" s="0" t="inlineStr">
        <is>
          <t xml:space="preserve">-</t>
        </is>
      </c>
      <c r="F987" s="0" t="inlineStr">
        <is>
          <t xml:space="preserve">-</t>
        </is>
      </c>
      <c r="G987" s="5">
        <v>0.4353356</v>
      </c>
      <c r="H987" s="0" t="inlineStr">
        <is>
          <t xml:space="preserve">supplier</t>
        </is>
      </c>
      <c r="I987" s="0" t="inlineStr">
        <is>
          <t xml:space="preserve">unbucketed</t>
        </is>
      </c>
      <c r="J987" s="0" t="inlineStr">
        <is>
          <t xml:space="preserve">residual</t>
        </is>
      </c>
      <c r="K987" s="5">
        <v>0</v>
      </c>
      <c r="L987" s="5">
        <v>0</v>
      </c>
      <c r="M987" s="5">
        <v>0.0</v>
      </c>
      <c r="N987" s="5">
        <v>0.0</v>
      </c>
      <c r="O987" s="5">
        <v>0.0</v>
      </c>
      <c r="P987" s="5">
        <v>0.0</v>
      </c>
      <c r="Q987" s="5">
        <v>0.0</v>
      </c>
    </row>
    <row r="988" outlineLevel="1">
      <c r="B988" s="0" t="inlineStr">
        <is>
          <t xml:space="preserve">EAST COAST WELDING AND FABRICATION, LLC</t>
        </is>
      </c>
      <c r="C988" s="0" t="inlineStr">
        <is>
          <t xml:space="preserve">Z3FPNHL5KQB4</t>
        </is>
      </c>
      <c r="D988" s="0" t="inlineStr">
        <is>
          <t xml:space="preserve">-</t>
        </is>
      </c>
      <c r="E988" s="0" t="inlineStr">
        <is>
          <t xml:space="preserve">-</t>
        </is>
      </c>
      <c r="F988" s="0" t="inlineStr">
        <is>
          <t xml:space="preserve">-</t>
        </is>
      </c>
      <c r="G988" s="5">
        <v>0.432602</v>
      </c>
      <c r="H988" s="0" t="inlineStr">
        <is>
          <t xml:space="preserve">supplier</t>
        </is>
      </c>
      <c r="I988" s="0" t="inlineStr">
        <is>
          <t xml:space="preserve">unbucketed</t>
        </is>
      </c>
      <c r="J988" s="0" t="inlineStr">
        <is>
          <t xml:space="preserve">residual</t>
        </is>
      </c>
      <c r="K988" s="5">
        <v>0</v>
      </c>
      <c r="L988" s="5">
        <v>0</v>
      </c>
      <c r="M988" s="5">
        <v>0.0</v>
      </c>
      <c r="N988" s="5">
        <v>0.0</v>
      </c>
      <c r="O988" s="5">
        <v>0.0</v>
      </c>
      <c r="P988" s="5">
        <v>0.0</v>
      </c>
      <c r="Q988" s="5">
        <v>0.0</v>
      </c>
    </row>
    <row r="989" outlineLevel="1">
      <c r="B989" s="0" t="inlineStr">
        <is>
          <t xml:space="preserve">HÉROUX-DEVTEK INC</t>
        </is>
      </c>
      <c r="C989" s="0" t="inlineStr">
        <is>
          <t xml:space="preserve">VTVJDVPRSAL3</t>
        </is>
      </c>
      <c r="D989" s="0" t="inlineStr">
        <is>
          <t xml:space="preserve">Foreign</t>
        </is>
      </c>
      <c r="E989" s="0" t="inlineStr">
        <is>
          <t xml:space="preserve">-</t>
        </is>
      </c>
      <c r="F989" s="0" t="inlineStr">
        <is>
          <t xml:space="preserve">-</t>
        </is>
      </c>
      <c r="G989" s="5">
        <v>0.43068</v>
      </c>
      <c r="H989" s="0" t="inlineStr">
        <is>
          <t xml:space="preserve">foreign_fms</t>
        </is>
      </c>
      <c r="I989" s="0" t="inlineStr">
        <is>
          <t xml:space="preserve">-</t>
        </is>
      </c>
      <c r="J989" s="0" t="inlineStr">
        <is>
          <t xml:space="preserve">foreign flag</t>
        </is>
      </c>
      <c r="K989" s="5">
        <v>0</v>
      </c>
      <c r="L989" s="5">
        <v>0</v>
      </c>
      <c r="M989" s="5">
        <v>0.0</v>
      </c>
      <c r="N989" s="5">
        <v>0.0</v>
      </c>
      <c r="O989" s="5">
        <v>0.0</v>
      </c>
      <c r="P989" s="5">
        <v>0.0</v>
      </c>
      <c r="Q989" s="5">
        <v>0.0</v>
      </c>
    </row>
    <row r="990" outlineLevel="1">
      <c r="B990" s="0" t="inlineStr">
        <is>
          <t xml:space="preserve">EATON AEROQUIP LLC</t>
        </is>
      </c>
      <c r="C990" s="0" t="inlineStr">
        <is>
          <t xml:space="preserve">TKGTLGBAXQ17</t>
        </is>
      </c>
      <c r="D990" s="0" t="inlineStr">
        <is>
          <t xml:space="preserve">-</t>
        </is>
      </c>
      <c r="E990" s="0" t="inlineStr">
        <is>
          <t xml:space="preserve">-</t>
        </is>
      </c>
      <c r="F990" s="0" t="inlineStr">
        <is>
          <t xml:space="preserve">-</t>
        </is>
      </c>
      <c r="G990" s="5">
        <v>0.42882048</v>
      </c>
      <c r="H990" s="0" t="inlineStr">
        <is>
          <t xml:space="preserve">supplier</t>
        </is>
      </c>
      <c r="I990" s="0" t="inlineStr">
        <is>
          <t xml:space="preserve">unbucketed</t>
        </is>
      </c>
      <c r="J990" s="0" t="inlineStr">
        <is>
          <t xml:space="preserve">residual</t>
        </is>
      </c>
      <c r="K990" s="5">
        <v>0</v>
      </c>
      <c r="L990" s="5">
        <v>0</v>
      </c>
      <c r="M990" s="5">
        <v>0.0</v>
      </c>
      <c r="N990" s="5">
        <v>0.0</v>
      </c>
      <c r="O990" s="5">
        <v>0.0</v>
      </c>
      <c r="P990" s="5">
        <v>0.0</v>
      </c>
      <c r="Q990" s="5">
        <v>0.0</v>
      </c>
    </row>
    <row r="991" outlineLevel="1">
      <c r="B991" s="0" t="inlineStr">
        <is>
          <t xml:space="preserve">WASHINGTON CHAIN &amp; SUPPLY, INC.</t>
        </is>
      </c>
      <c r="C991" s="0" t="inlineStr">
        <is>
          <t xml:space="preserve">FLQJXSFMNQP6</t>
        </is>
      </c>
      <c r="D991" s="0" t="inlineStr">
        <is>
          <t xml:space="preserve">-</t>
        </is>
      </c>
      <c r="E991" s="0" t="inlineStr">
        <is>
          <t xml:space="preserve">-</t>
        </is>
      </c>
      <c r="F991" s="0" t="inlineStr">
        <is>
          <t xml:space="preserve">-</t>
        </is>
      </c>
      <c r="G991" s="5">
        <v>0.428</v>
      </c>
      <c r="H991" s="0" t="inlineStr">
        <is>
          <t xml:space="preserve">supplier</t>
        </is>
      </c>
      <c r="I991" s="0" t="inlineStr">
        <is>
          <t xml:space="preserve">unbucketed</t>
        </is>
      </c>
      <c r="J991" s="0" t="inlineStr">
        <is>
          <t xml:space="preserve">residual</t>
        </is>
      </c>
      <c r="K991" s="5">
        <v>0</v>
      </c>
      <c r="L991" s="5">
        <v>0</v>
      </c>
      <c r="M991" s="5">
        <v>0.428</v>
      </c>
      <c r="N991" s="5">
        <v>0.0</v>
      </c>
      <c r="O991" s="5">
        <v>0.0</v>
      </c>
      <c r="P991" s="5">
        <v>0.428</v>
      </c>
      <c r="Q991" s="5">
        <v>0.0</v>
      </c>
    </row>
    <row r="992" outlineLevel="1">
      <c r="B992" s="0" t="inlineStr">
        <is>
          <t xml:space="preserve">RAYTHEON TECHNOLOGIES CORPORATION</t>
        </is>
      </c>
      <c r="C992" s="0" t="inlineStr">
        <is>
          <t xml:space="preserve">YD6LTFVUZNG1</t>
        </is>
      </c>
      <c r="D992" s="0" t="inlineStr">
        <is>
          <t xml:space="preserve">-</t>
        </is>
      </c>
      <c r="E992" s="0" t="inlineStr">
        <is>
          <t xml:space="preserve">-</t>
        </is>
      </c>
      <c r="F992" s="0" t="inlineStr">
        <is>
          <t xml:space="preserve">-</t>
        </is>
      </c>
      <c r="G992" s="5">
        <v>0.4255617</v>
      </c>
      <c r="H992" s="0" t="inlineStr">
        <is>
          <t xml:space="preserve">gfe_mib</t>
        </is>
      </c>
      <c r="I992" s="0" t="inlineStr">
        <is>
          <t xml:space="preserve">-</t>
        </is>
      </c>
      <c r="J992" s="0" t="inlineStr">
        <is>
          <t xml:space="preserve">GFE/MIB name</t>
        </is>
      </c>
      <c r="K992" s="5">
        <v>0</v>
      </c>
      <c r="L992" s="5">
        <v>0</v>
      </c>
      <c r="M992" s="5">
        <v>0.4255617</v>
      </c>
      <c r="N992" s="5">
        <v>0.0</v>
      </c>
      <c r="O992" s="5">
        <v>0.4255617</v>
      </c>
      <c r="P992" s="5">
        <v>0.0</v>
      </c>
      <c r="Q992" s="5">
        <v>0.0</v>
      </c>
    </row>
    <row r="993" outlineLevel="1">
      <c r="B993" s="0" t="inlineStr">
        <is>
          <t xml:space="preserve">TRIPLE SON WHOLESALE TIMBER, INC.</t>
        </is>
      </c>
      <c r="C993" s="0" t="inlineStr">
        <is>
          <t xml:space="preserve">VD5WUGZUCJ44</t>
        </is>
      </c>
      <c r="D993" s="0" t="inlineStr">
        <is>
          <t xml:space="preserve">-</t>
        </is>
      </c>
      <c r="E993" s="0" t="inlineStr">
        <is>
          <t xml:space="preserve">-</t>
        </is>
      </c>
      <c r="F993" s="0" t="inlineStr">
        <is>
          <t xml:space="preserve">-</t>
        </is>
      </c>
      <c r="G993" s="5">
        <v>0.425272</v>
      </c>
      <c r="H993" s="0" t="inlineStr">
        <is>
          <t xml:space="preserve">supplier</t>
        </is>
      </c>
      <c r="I993" s="0" t="inlineStr">
        <is>
          <t xml:space="preserve">unbucketed</t>
        </is>
      </c>
      <c r="J993" s="0" t="inlineStr">
        <is>
          <t xml:space="preserve">residual</t>
        </is>
      </c>
      <c r="K993" s="5">
        <v>0</v>
      </c>
      <c r="L993" s="5">
        <v>0</v>
      </c>
      <c r="M993" s="5">
        <v>0.425272</v>
      </c>
      <c r="N993" s="5">
        <v>0.0</v>
      </c>
      <c r="O993" s="5">
        <v>0.0</v>
      </c>
      <c r="P993" s="5">
        <v>0.0</v>
      </c>
      <c r="Q993" s="5">
        <v>0.0</v>
      </c>
    </row>
    <row r="994" outlineLevel="1">
      <c r="B994" s="0" t="inlineStr">
        <is>
          <t xml:space="preserve">BELL STEEL COMPANY</t>
        </is>
      </c>
      <c r="C994" s="0" t="inlineStr">
        <is>
          <t xml:space="preserve">WAK3LFCLKJR4</t>
        </is>
      </c>
      <c r="D994" s="0" t="inlineStr">
        <is>
          <t xml:space="preserve">-</t>
        </is>
      </c>
      <c r="E994" s="0" t="inlineStr">
        <is>
          <t xml:space="preserve">-</t>
        </is>
      </c>
      <c r="F994" s="0" t="inlineStr">
        <is>
          <t xml:space="preserve">-</t>
        </is>
      </c>
      <c r="G994" s="5">
        <v>0.4233332</v>
      </c>
      <c r="H994" s="0" t="inlineStr">
        <is>
          <t xml:space="preserve">supplier</t>
        </is>
      </c>
      <c r="I994" s="0" t="inlineStr">
        <is>
          <t xml:space="preserve">unbucketed</t>
        </is>
      </c>
      <c r="J994" s="0" t="inlineStr">
        <is>
          <t xml:space="preserve">residual</t>
        </is>
      </c>
      <c r="K994" s="5">
        <v>0</v>
      </c>
      <c r="L994" s="5">
        <v>0</v>
      </c>
      <c r="M994" s="5">
        <v>0.4233332</v>
      </c>
      <c r="N994" s="5">
        <v>0.0</v>
      </c>
      <c r="O994" s="5">
        <v>0.16333648</v>
      </c>
      <c r="P994" s="5">
        <v>0.0</v>
      </c>
      <c r="Q994" s="5">
        <v>0.0</v>
      </c>
    </row>
    <row r="995" outlineLevel="1">
      <c r="B995" s="0" t="inlineStr">
        <is>
          <t xml:space="preserve">LIDGERWOOD MANUFACTURING COMPANY (INC)</t>
        </is>
      </c>
      <c r="C995" s="0" t="inlineStr">
        <is>
          <t xml:space="preserve">NHDSASKCSSS9</t>
        </is>
      </c>
      <c r="D995" s="0" t="inlineStr">
        <is>
          <t xml:space="preserve">-</t>
        </is>
      </c>
      <c r="E995" s="0" t="inlineStr">
        <is>
          <t xml:space="preserve">-</t>
        </is>
      </c>
      <c r="F995" s="0" t="inlineStr">
        <is>
          <t xml:space="preserve">-</t>
        </is>
      </c>
      <c r="G995" s="5">
        <v>0.41719975</v>
      </c>
      <c r="H995" s="0" t="inlineStr">
        <is>
          <t xml:space="preserve">supplier</t>
        </is>
      </c>
      <c r="I995" s="0" t="inlineStr">
        <is>
          <t xml:space="preserve">unbucketed</t>
        </is>
      </c>
      <c r="J995" s="0" t="inlineStr">
        <is>
          <t xml:space="preserve">residual</t>
        </is>
      </c>
      <c r="K995" s="5">
        <v>0</v>
      </c>
      <c r="L995" s="5">
        <v>0</v>
      </c>
      <c r="M995" s="5">
        <v>0.41719975</v>
      </c>
      <c r="N995" s="5">
        <v>0.0</v>
      </c>
      <c r="O995" s="5">
        <v>0.41719975</v>
      </c>
      <c r="P995" s="5">
        <v>0.0</v>
      </c>
      <c r="Q995" s="5">
        <v>0.0</v>
      </c>
    </row>
    <row r="996" outlineLevel="1">
      <c r="B996" s="0" t="inlineStr">
        <is>
          <t xml:space="preserve">L3HARRIS TECHNOLOGIES, INC.</t>
        </is>
      </c>
      <c r="C996" s="0" t="inlineStr">
        <is>
          <t xml:space="preserve">F3AWTHWK95Q3</t>
        </is>
      </c>
      <c r="D996" s="0" t="inlineStr">
        <is>
          <t xml:space="preserve">USA</t>
        </is>
      </c>
      <c r="E996" s="0" t="inlineStr">
        <is>
          <t xml:space="preserve">3345</t>
        </is>
      </c>
      <c r="F996" s="0" t="inlineStr">
        <is>
          <t xml:space="preserve">Search, Detection, Navigation, Guidance, Aeronautical, and Nautical System and Instrument Manufacturing</t>
        </is>
      </c>
      <c r="G996" s="5">
        <v>0.41668800000000006</v>
      </c>
      <c r="H996" s="0" t="inlineStr">
        <is>
          <t xml:space="preserve">gfe_mib</t>
        </is>
      </c>
      <c r="I996" s="0" t="inlineStr">
        <is>
          <t xml:space="preserve">-</t>
        </is>
      </c>
      <c r="J996" s="0" t="inlineStr">
        <is>
          <t xml:space="preserve">GFE/MIB name</t>
        </is>
      </c>
      <c r="K996" s="5">
        <v>0</v>
      </c>
      <c r="L996" s="5">
        <v>0</v>
      </c>
      <c r="M996" s="5">
        <v>0.0</v>
      </c>
      <c r="N996" s="5">
        <v>0.0</v>
      </c>
      <c r="O996" s="5">
        <v>0.0</v>
      </c>
      <c r="P996" s="5">
        <v>0.0</v>
      </c>
      <c r="Q996" s="5">
        <v>0.0</v>
      </c>
    </row>
    <row r="997" outlineLevel="1">
      <c r="B997" s="0" t="inlineStr">
        <is>
          <t xml:space="preserve">TWIN CITY GEAR CO.</t>
        </is>
      </c>
      <c r="C997" s="0" t="inlineStr">
        <is>
          <t xml:space="preserve">KUKPX32K6YM1</t>
        </is>
      </c>
      <c r="D997" s="0" t="inlineStr">
        <is>
          <t xml:space="preserve">-</t>
        </is>
      </c>
      <c r="E997" s="0" t="inlineStr">
        <is>
          <t xml:space="preserve">-</t>
        </is>
      </c>
      <c r="F997" s="0" t="inlineStr">
        <is>
          <t xml:space="preserve">-</t>
        </is>
      </c>
      <c r="G997" s="5">
        <v>0.41542283</v>
      </c>
      <c r="H997" s="0" t="inlineStr">
        <is>
          <t xml:space="preserve">supplier</t>
        </is>
      </c>
      <c r="I997" s="0" t="inlineStr">
        <is>
          <t xml:space="preserve">unbucketed</t>
        </is>
      </c>
      <c r="J997" s="0" t="inlineStr">
        <is>
          <t xml:space="preserve">residual</t>
        </is>
      </c>
      <c r="K997" s="5">
        <v>0</v>
      </c>
      <c r="L997" s="5">
        <v>0</v>
      </c>
      <c r="M997" s="5">
        <v>0.0</v>
      </c>
      <c r="N997" s="5">
        <v>0.0</v>
      </c>
      <c r="O997" s="5">
        <v>0.0</v>
      </c>
      <c r="P997" s="5">
        <v>0.0</v>
      </c>
      <c r="Q997" s="5">
        <v>0.0</v>
      </c>
    </row>
    <row r="998" outlineLevel="1">
      <c r="B998" s="0" t="inlineStr">
        <is>
          <t xml:space="preserve">ASCO POWER TECHNOLOGIES, L.P.</t>
        </is>
      </c>
      <c r="C998" s="0" t="inlineStr">
        <is>
          <t xml:space="preserve">KN2BBGWNLKJ8</t>
        </is>
      </c>
      <c r="D998" s="0" t="inlineStr">
        <is>
          <t xml:space="preserve">-</t>
        </is>
      </c>
      <c r="E998" s="0" t="inlineStr">
        <is>
          <t xml:space="preserve">-</t>
        </is>
      </c>
      <c r="F998" s="0" t="inlineStr">
        <is>
          <t xml:space="preserve">-</t>
        </is>
      </c>
      <c r="G998" s="5">
        <v>0.41534</v>
      </c>
      <c r="H998" s="0" t="inlineStr">
        <is>
          <t xml:space="preserve">supplier</t>
        </is>
      </c>
      <c r="I998" s="0" t="inlineStr">
        <is>
          <t xml:space="preserve">unbucketed</t>
        </is>
      </c>
      <c r="J998" s="0" t="inlineStr">
        <is>
          <t xml:space="preserve">residual</t>
        </is>
      </c>
      <c r="K998" s="5">
        <v>0</v>
      </c>
      <c r="L998" s="5">
        <v>0</v>
      </c>
      <c r="M998" s="5">
        <v>0.41534</v>
      </c>
      <c r="N998" s="5">
        <v>0.0</v>
      </c>
      <c r="O998" s="5">
        <v>0.41534</v>
      </c>
      <c r="P998" s="5">
        <v>0.0</v>
      </c>
      <c r="Q998" s="5">
        <v>0.0</v>
      </c>
    </row>
    <row r="999" outlineLevel="1">
      <c r="B999" s="0" t="inlineStr">
        <is>
          <t xml:space="preserve">PRECISION PRODUCTS, INC.</t>
        </is>
      </c>
      <c r="C999" s="0" t="inlineStr">
        <is>
          <t xml:space="preserve">D44RA79E3K57</t>
        </is>
      </c>
      <c r="D999" s="0" t="inlineStr">
        <is>
          <t xml:space="preserve">-</t>
        </is>
      </c>
      <c r="E999" s="0" t="inlineStr">
        <is>
          <t xml:space="preserve">-</t>
        </is>
      </c>
      <c r="F999" s="0" t="inlineStr">
        <is>
          <t xml:space="preserve">-</t>
        </is>
      </c>
      <c r="G999" s="5">
        <v>0.41431599999999996</v>
      </c>
      <c r="H999" s="0" t="inlineStr">
        <is>
          <t xml:space="preserve">supplier</t>
        </is>
      </c>
      <c r="I999" s="0" t="inlineStr">
        <is>
          <t xml:space="preserve">unbucketed</t>
        </is>
      </c>
      <c r="J999" s="0" t="inlineStr">
        <is>
          <t xml:space="preserve">residual</t>
        </is>
      </c>
      <c r="K999" s="5">
        <v>0</v>
      </c>
      <c r="L999" s="5">
        <v>0</v>
      </c>
      <c r="M999" s="5">
        <v>0.41431599999999996</v>
      </c>
      <c r="N999" s="5">
        <v>0.0</v>
      </c>
      <c r="O999" s="5">
        <v>0.0</v>
      </c>
      <c r="P999" s="5">
        <v>0.0</v>
      </c>
      <c r="Q999" s="5">
        <v>0.0</v>
      </c>
    </row>
    <row r="1000" outlineLevel="1">
      <c r="B1000" s="0" t="inlineStr">
        <is>
          <t xml:space="preserve">GKN AEROSPACE CHEM TRONICS INC</t>
        </is>
      </c>
      <c r="C1000" s="0" t="inlineStr">
        <is>
          <t xml:space="preserve">VLW9ZJ7MJX85</t>
        </is>
      </c>
      <c r="D1000" s="0" t="inlineStr">
        <is>
          <t xml:space="preserve">-</t>
        </is>
      </c>
      <c r="E1000" s="0" t="inlineStr">
        <is>
          <t xml:space="preserve">-</t>
        </is>
      </c>
      <c r="F1000" s="0" t="inlineStr">
        <is>
          <t xml:space="preserve">-</t>
        </is>
      </c>
      <c r="G1000" s="5">
        <v>0.414</v>
      </c>
      <c r="H1000" s="0" t="inlineStr">
        <is>
          <t xml:space="preserve">supplier</t>
        </is>
      </c>
      <c r="I1000" s="0" t="inlineStr">
        <is>
          <t xml:space="preserve">unbucketed</t>
        </is>
      </c>
      <c r="J1000" s="0" t="inlineStr">
        <is>
          <t xml:space="preserve">residual</t>
        </is>
      </c>
      <c r="K1000" s="5">
        <v>0</v>
      </c>
      <c r="L1000" s="5">
        <v>0</v>
      </c>
      <c r="M1000" s="5">
        <v>0.0</v>
      </c>
      <c r="N1000" s="5">
        <v>0.0</v>
      </c>
      <c r="O1000" s="5">
        <v>0.0</v>
      </c>
      <c r="P1000" s="5">
        <v>0.0</v>
      </c>
      <c r="Q1000" s="5">
        <v>0.0</v>
      </c>
    </row>
    <row r="1001" outlineLevel="1">
      <c r="B1001" s="0" t="inlineStr">
        <is>
          <t xml:space="preserve">ECK INDUSTRIES, INC.</t>
        </is>
      </c>
      <c r="C1001" s="0" t="inlineStr">
        <is>
          <t xml:space="preserve">GZ7FVBC6MFG6</t>
        </is>
      </c>
      <c r="D1001" s="0" t="inlineStr">
        <is>
          <t xml:space="preserve">-</t>
        </is>
      </c>
      <c r="E1001" s="0" t="inlineStr">
        <is>
          <t xml:space="preserve">-</t>
        </is>
      </c>
      <c r="F1001" s="0" t="inlineStr">
        <is>
          <t xml:space="preserve">-</t>
        </is>
      </c>
      <c r="G1001" s="5">
        <v>0.41276</v>
      </c>
      <c r="H1001" s="0" t="inlineStr">
        <is>
          <t xml:space="preserve">supplier</t>
        </is>
      </c>
      <c r="I1001" s="0" t="inlineStr">
        <is>
          <t xml:space="preserve">unbucketed</t>
        </is>
      </c>
      <c r="J1001" s="0" t="inlineStr">
        <is>
          <t xml:space="preserve">residual</t>
        </is>
      </c>
      <c r="K1001" s="5">
        <v>0</v>
      </c>
      <c r="L1001" s="5">
        <v>0</v>
      </c>
      <c r="M1001" s="5">
        <v>0.0</v>
      </c>
      <c r="N1001" s="5">
        <v>0.0</v>
      </c>
      <c r="O1001" s="5">
        <v>0.0</v>
      </c>
      <c r="P1001" s="5">
        <v>0.0</v>
      </c>
      <c r="Q1001" s="5">
        <v>0.0</v>
      </c>
    </row>
    <row r="1002" outlineLevel="1">
      <c r="B1002" s="0" t="inlineStr">
        <is>
          <t xml:space="preserve">KERNS MANUFACTURING CORP.</t>
        </is>
      </c>
      <c r="C1002" s="0" t="inlineStr">
        <is>
          <t xml:space="preserve">UBNCLENTFTH9</t>
        </is>
      </c>
      <c r="D1002" s="0" t="inlineStr">
        <is>
          <t xml:space="preserve">-</t>
        </is>
      </c>
      <c r="E1002" s="0" t="inlineStr">
        <is>
          <t xml:space="preserve">-</t>
        </is>
      </c>
      <c r="F1002" s="0" t="inlineStr">
        <is>
          <t xml:space="preserve">-</t>
        </is>
      </c>
      <c r="G1002" s="5">
        <v>0.41144000000000003</v>
      </c>
      <c r="H1002" s="0" t="inlineStr">
        <is>
          <t xml:space="preserve">supplier</t>
        </is>
      </c>
      <c r="I1002" s="0" t="inlineStr">
        <is>
          <t xml:space="preserve">unbucketed</t>
        </is>
      </c>
      <c r="J1002" s="0" t="inlineStr">
        <is>
          <t xml:space="preserve">residual</t>
        </is>
      </c>
      <c r="K1002" s="5">
        <v>0</v>
      </c>
      <c r="L1002" s="5">
        <v>0</v>
      </c>
      <c r="M1002" s="5">
        <v>0.0</v>
      </c>
      <c r="N1002" s="5">
        <v>0.0</v>
      </c>
      <c r="O1002" s="5">
        <v>0.0</v>
      </c>
      <c r="P1002" s="5">
        <v>0.0</v>
      </c>
      <c r="Q1002" s="5">
        <v>0.0</v>
      </c>
    </row>
    <row r="1003" outlineLevel="1">
      <c r="B1003" s="0" t="inlineStr">
        <is>
          <t xml:space="preserve">SCHOELLHORN - ALBRECHT MACHINE CO., INC.</t>
        </is>
      </c>
      <c r="C1003" s="0" t="inlineStr">
        <is>
          <t xml:space="preserve">P4XPJNTCHB68</t>
        </is>
      </c>
      <c r="D1003" s="0" t="inlineStr">
        <is>
          <t xml:space="preserve">-</t>
        </is>
      </c>
      <c r="E1003" s="0" t="inlineStr">
        <is>
          <t xml:space="preserve">-</t>
        </is>
      </c>
      <c r="F1003" s="0" t="inlineStr">
        <is>
          <t xml:space="preserve">-</t>
        </is>
      </c>
      <c r="G1003" s="5">
        <v>0.41116400000000003</v>
      </c>
      <c r="H1003" s="0" t="inlineStr">
        <is>
          <t xml:space="preserve">supplier</t>
        </is>
      </c>
      <c r="I1003" s="0" t="inlineStr">
        <is>
          <t xml:space="preserve">unbucketed</t>
        </is>
      </c>
      <c r="J1003" s="0" t="inlineStr">
        <is>
          <t xml:space="preserve">residual</t>
        </is>
      </c>
      <c r="K1003" s="5">
        <v>0</v>
      </c>
      <c r="L1003" s="5">
        <v>0</v>
      </c>
      <c r="M1003" s="5">
        <v>0.41116400000000003</v>
      </c>
      <c r="N1003" s="5">
        <v>0.082688</v>
      </c>
      <c r="O1003" s="5">
        <v>0.0</v>
      </c>
      <c r="P1003" s="5">
        <v>0.0</v>
      </c>
      <c r="Q1003" s="5">
        <v>0.0</v>
      </c>
    </row>
    <row r="1004" outlineLevel="1">
      <c r="B1004" s="0" t="inlineStr">
        <is>
          <t xml:space="preserve">TECHNICORP INTERNATIONAL II, INC.</t>
        </is>
      </c>
      <c r="C1004" s="0" t="inlineStr">
        <is>
          <t xml:space="preserve">C1XDMLZEJEU4</t>
        </is>
      </c>
      <c r="D1004" s="0" t="inlineStr">
        <is>
          <t xml:space="preserve">-</t>
        </is>
      </c>
      <c r="E1004" s="0" t="inlineStr">
        <is>
          <t xml:space="preserve">-</t>
        </is>
      </c>
      <c r="F1004" s="0" t="inlineStr">
        <is>
          <t xml:space="preserve">-</t>
        </is>
      </c>
      <c r="G1004" s="5">
        <v>0.41104509999999994</v>
      </c>
      <c r="H1004" s="0" t="inlineStr">
        <is>
          <t xml:space="preserve">supplier</t>
        </is>
      </c>
      <c r="I1004" s="0" t="inlineStr">
        <is>
          <t xml:space="preserve">unbucketed</t>
        </is>
      </c>
      <c r="J1004" s="0" t="inlineStr">
        <is>
          <t xml:space="preserve">residual</t>
        </is>
      </c>
      <c r="K1004" s="5">
        <v>0</v>
      </c>
      <c r="L1004" s="5">
        <v>0</v>
      </c>
      <c r="M1004" s="5">
        <v>0.0</v>
      </c>
      <c r="N1004" s="5">
        <v>0.0</v>
      </c>
      <c r="O1004" s="5">
        <v>0.0</v>
      </c>
      <c r="P1004" s="5">
        <v>0.0</v>
      </c>
      <c r="Q1004" s="5">
        <v>0.0</v>
      </c>
    </row>
    <row r="1005" outlineLevel="1">
      <c r="B1005" s="0" t="inlineStr">
        <is>
          <t xml:space="preserve">OMNETICS CONNECTOR CORPORATION</t>
        </is>
      </c>
      <c r="C1005" s="0" t="inlineStr">
        <is>
          <t xml:space="preserve">YA3DC9SN4J23</t>
        </is>
      </c>
      <c r="D1005" s="0" t="inlineStr">
        <is>
          <t xml:space="preserve">-</t>
        </is>
      </c>
      <c r="E1005" s="0" t="inlineStr">
        <is>
          <t xml:space="preserve">-</t>
        </is>
      </c>
      <c r="F1005" s="0" t="inlineStr">
        <is>
          <t xml:space="preserve">-</t>
        </is>
      </c>
      <c r="G1005" s="5">
        <v>0.411036</v>
      </c>
      <c r="H1005" s="0" t="inlineStr">
        <is>
          <t xml:space="preserve">supplier</t>
        </is>
      </c>
      <c r="I1005" s="0" t="inlineStr">
        <is>
          <t xml:space="preserve">unbucketed</t>
        </is>
      </c>
      <c r="J1005" s="0" t="inlineStr">
        <is>
          <t xml:space="preserve">residual</t>
        </is>
      </c>
      <c r="K1005" s="5">
        <v>0</v>
      </c>
      <c r="L1005" s="5">
        <v>0</v>
      </c>
      <c r="M1005" s="5">
        <v>0.0</v>
      </c>
      <c r="N1005" s="5">
        <v>0.0</v>
      </c>
      <c r="O1005" s="5">
        <v>0.0</v>
      </c>
      <c r="P1005" s="5">
        <v>0.0</v>
      </c>
      <c r="Q1005" s="5">
        <v>0.0</v>
      </c>
    </row>
    <row r="1006" outlineLevel="1">
      <c r="B1006" s="0" t="inlineStr">
        <is>
          <t xml:space="preserve">APTIV SERVICES 3 (US), LLC</t>
        </is>
      </c>
      <c r="C1006" s="0" t="inlineStr">
        <is>
          <t xml:space="preserve">KV2MY9E3H1M1</t>
        </is>
      </c>
      <c r="D1006" s="0" t="inlineStr">
        <is>
          <t xml:space="preserve">-</t>
        </is>
      </c>
      <c r="E1006" s="0" t="inlineStr">
        <is>
          <t xml:space="preserve">-</t>
        </is>
      </c>
      <c r="F1006" s="0" t="inlineStr">
        <is>
          <t xml:space="preserve">-</t>
        </is>
      </c>
      <c r="G1006" s="5">
        <v>0.41040277999999986</v>
      </c>
      <c r="H1006" s="0" t="inlineStr">
        <is>
          <t xml:space="preserve">supplier</t>
        </is>
      </c>
      <c r="I1006" s="0" t="inlineStr">
        <is>
          <t xml:space="preserve">unbucketed</t>
        </is>
      </c>
      <c r="J1006" s="0" t="inlineStr">
        <is>
          <t xml:space="preserve">residual</t>
        </is>
      </c>
      <c r="K1006" s="5">
        <v>0</v>
      </c>
      <c r="L1006" s="5">
        <v>0</v>
      </c>
      <c r="M1006" s="5">
        <v>0.0</v>
      </c>
      <c r="N1006" s="5">
        <v>0.0</v>
      </c>
      <c r="O1006" s="5">
        <v>0.0</v>
      </c>
      <c r="P1006" s="5">
        <v>0.0</v>
      </c>
      <c r="Q1006" s="5">
        <v>0.0</v>
      </c>
    </row>
    <row r="1007" outlineLevel="1">
      <c r="B1007" s="0" t="inlineStr">
        <is>
          <t xml:space="preserve">FLINCHBAUGH COMPANY, INC., THE</t>
        </is>
      </c>
      <c r="C1007" s="0" t="inlineStr">
        <is>
          <t xml:space="preserve">CGM7BR92JT89</t>
        </is>
      </c>
      <c r="D1007" s="0" t="inlineStr">
        <is>
          <t xml:space="preserve">-</t>
        </is>
      </c>
      <c r="E1007" s="0" t="inlineStr">
        <is>
          <t xml:space="preserve">-</t>
        </is>
      </c>
      <c r="F1007" s="0" t="inlineStr">
        <is>
          <t xml:space="preserve">-</t>
        </is>
      </c>
      <c r="G1007" s="5">
        <v>0.41026432</v>
      </c>
      <c r="H1007" s="0" t="inlineStr">
        <is>
          <t xml:space="preserve">supplier</t>
        </is>
      </c>
      <c r="I1007" s="0" t="inlineStr">
        <is>
          <t xml:space="preserve">unbucketed</t>
        </is>
      </c>
      <c r="J1007" s="0" t="inlineStr">
        <is>
          <t xml:space="preserve">residual</t>
        </is>
      </c>
      <c r="K1007" s="5">
        <v>0</v>
      </c>
      <c r="L1007" s="5">
        <v>0</v>
      </c>
      <c r="M1007" s="5">
        <v>0.0</v>
      </c>
      <c r="N1007" s="5">
        <v>0.0</v>
      </c>
      <c r="O1007" s="5">
        <v>0.0</v>
      </c>
      <c r="P1007" s="5">
        <v>0.0</v>
      </c>
      <c r="Q1007" s="5">
        <v>0.0</v>
      </c>
    </row>
    <row r="1008" outlineLevel="1">
      <c r="B1008" s="0" t="inlineStr">
        <is>
          <t xml:space="preserve">THE BOEING COMPANY</t>
        </is>
      </c>
      <c r="C1008" s="0" t="inlineStr">
        <is>
          <t xml:space="preserve">X3K6MA9ZLTW6</t>
        </is>
      </c>
      <c r="D1008" s="0" t="inlineStr">
        <is>
          <t xml:space="preserve">-</t>
        </is>
      </c>
      <c r="E1008" s="0" t="inlineStr">
        <is>
          <t xml:space="preserve">-</t>
        </is>
      </c>
      <c r="F1008" s="0" t="inlineStr">
        <is>
          <t xml:space="preserve">-</t>
        </is>
      </c>
      <c r="G1008" s="5">
        <v>0.40997137999999994</v>
      </c>
      <c r="H1008" s="0" t="inlineStr">
        <is>
          <t xml:space="preserve">supplier</t>
        </is>
      </c>
      <c r="I1008" s="0" t="inlineStr">
        <is>
          <t xml:space="preserve">unbucketed</t>
        </is>
      </c>
      <c r="J1008" s="0" t="inlineStr">
        <is>
          <t xml:space="preserve">residual</t>
        </is>
      </c>
      <c r="K1008" s="5">
        <v>0</v>
      </c>
      <c r="L1008" s="5">
        <v>0</v>
      </c>
      <c r="M1008" s="5">
        <v>0.0</v>
      </c>
      <c r="N1008" s="5">
        <v>0.0</v>
      </c>
      <c r="O1008" s="5">
        <v>0.0</v>
      </c>
      <c r="P1008" s="5">
        <v>0.0</v>
      </c>
      <c r="Q1008" s="5">
        <v>0.0</v>
      </c>
    </row>
    <row r="1009" outlineLevel="1">
      <c r="B1009" s="0" t="inlineStr">
        <is>
          <t xml:space="preserve">COMSACO INC</t>
        </is>
      </c>
      <c r="C1009" s="0" t="inlineStr">
        <is>
          <t xml:space="preserve">C1B6X8AADFB1</t>
        </is>
      </c>
      <c r="D1009" s="0" t="inlineStr">
        <is>
          <t xml:space="preserve">-</t>
        </is>
      </c>
      <c r="E1009" s="0" t="inlineStr">
        <is>
          <t xml:space="preserve">-</t>
        </is>
      </c>
      <c r="F1009" s="0" t="inlineStr">
        <is>
          <t xml:space="preserve">-</t>
        </is>
      </c>
      <c r="G1009" s="5">
        <v>0.409408</v>
      </c>
      <c r="H1009" s="0" t="inlineStr">
        <is>
          <t xml:space="preserve">supplier</t>
        </is>
      </c>
      <c r="I1009" s="0" t="inlineStr">
        <is>
          <t xml:space="preserve">unbucketed</t>
        </is>
      </c>
      <c r="J1009" s="0" t="inlineStr">
        <is>
          <t xml:space="preserve">residual</t>
        </is>
      </c>
      <c r="K1009" s="5">
        <v>0</v>
      </c>
      <c r="L1009" s="5">
        <v>0</v>
      </c>
      <c r="M1009" s="5">
        <v>0.370546</v>
      </c>
      <c r="N1009" s="5">
        <v>0.0</v>
      </c>
      <c r="O1009" s="5">
        <v>0.370546</v>
      </c>
      <c r="P1009" s="5">
        <v>0.0</v>
      </c>
      <c r="Q1009" s="5">
        <v>0.0</v>
      </c>
    </row>
    <row r="1010" outlineLevel="1">
      <c r="B1010" s="0" t="inlineStr">
        <is>
          <t xml:space="preserve">SECURITAS AB</t>
        </is>
      </c>
      <c r="C1010" s="0" t="inlineStr">
        <is>
          <t xml:space="preserve">WQAKKCKH9LM8</t>
        </is>
      </c>
      <c r="D1010" s="0" t="inlineStr">
        <is>
          <t xml:space="preserve">-</t>
        </is>
      </c>
      <c r="E1010" s="0" t="inlineStr">
        <is>
          <t xml:space="preserve">-</t>
        </is>
      </c>
      <c r="F1010" s="0" t="inlineStr">
        <is>
          <t xml:space="preserve">-</t>
        </is>
      </c>
      <c r="G1010" s="5">
        <v>0.40758705</v>
      </c>
      <c r="H1010" s="0" t="inlineStr">
        <is>
          <t xml:space="preserve">supplier</t>
        </is>
      </c>
      <c r="I1010" s="0" t="inlineStr">
        <is>
          <t xml:space="preserve">unbucketed</t>
        </is>
      </c>
      <c r="J1010" s="0" t="inlineStr">
        <is>
          <t xml:space="preserve">residual</t>
        </is>
      </c>
      <c r="K1010" s="5">
        <v>0</v>
      </c>
      <c r="L1010" s="5">
        <v>0</v>
      </c>
      <c r="M1010" s="5">
        <v>0.40758705</v>
      </c>
      <c r="N1010" s="5">
        <v>0.0</v>
      </c>
      <c r="O1010" s="5">
        <v>0.0</v>
      </c>
      <c r="P1010" s="5">
        <v>0.0</v>
      </c>
      <c r="Q1010" s="5">
        <v>0.0</v>
      </c>
    </row>
    <row r="1011" outlineLevel="1">
      <c r="B1011" s="0" t="inlineStr">
        <is>
          <t xml:space="preserve">BERKSHIRE HATHAWAY INC.</t>
        </is>
      </c>
      <c r="C1011" s="0" t="inlineStr">
        <is>
          <t xml:space="preserve">KNACWPW812J7</t>
        </is>
      </c>
      <c r="D1011" s="0" t="inlineStr">
        <is>
          <t xml:space="preserve">USA</t>
        </is>
      </c>
      <c r="E1011" s="0" t="inlineStr">
        <is>
          <t xml:space="preserve">5511</t>
        </is>
      </c>
      <c r="F1011" s="0" t="inlineStr">
        <is>
          <t xml:space="preserve">Offices of Other Holding Companies</t>
        </is>
      </c>
      <c r="G1011" s="5">
        <v>0.40735512999999995</v>
      </c>
      <c r="H1011" s="0" t="inlineStr">
        <is>
          <t xml:space="preserve">holding</t>
        </is>
      </c>
      <c r="I1011" s="0" t="inlineStr">
        <is>
          <t xml:space="preserve">-</t>
        </is>
      </c>
      <c r="J1011" s="0" t="inlineStr">
        <is>
          <t xml:space="preserve">holding-co (5511)</t>
        </is>
      </c>
      <c r="K1011" s="5">
        <v>0</v>
      </c>
      <c r="L1011" s="5">
        <v>0</v>
      </c>
      <c r="M1011" s="5">
        <v>0.0</v>
      </c>
      <c r="N1011" s="5">
        <v>0.0</v>
      </c>
      <c r="O1011" s="5">
        <v>0.0</v>
      </c>
      <c r="P1011" s="5">
        <v>0.0</v>
      </c>
      <c r="Q1011" s="5">
        <v>0.0</v>
      </c>
    </row>
    <row r="1012" outlineLevel="1">
      <c r="B1012" s="0" t="inlineStr">
        <is>
          <t xml:space="preserve">MAGNETIKA INC</t>
        </is>
      </c>
      <c r="C1012" s="0" t="inlineStr">
        <is>
          <t xml:space="preserve">PZVZG95MCMD9</t>
        </is>
      </c>
      <c r="D1012" s="0" t="inlineStr">
        <is>
          <t xml:space="preserve">-</t>
        </is>
      </c>
      <c r="E1012" s="0" t="inlineStr">
        <is>
          <t xml:space="preserve">-</t>
        </is>
      </c>
      <c r="F1012" s="0" t="inlineStr">
        <is>
          <t xml:space="preserve">-</t>
        </is>
      </c>
      <c r="G1012" s="5">
        <v>0.40664</v>
      </c>
      <c r="H1012" s="0" t="inlineStr">
        <is>
          <t xml:space="preserve">supplier</t>
        </is>
      </c>
      <c r="I1012" s="0" t="inlineStr">
        <is>
          <t xml:space="preserve">unbucketed</t>
        </is>
      </c>
      <c r="J1012" s="0" t="inlineStr">
        <is>
          <t xml:space="preserve">residual</t>
        </is>
      </c>
      <c r="K1012" s="5">
        <v>0</v>
      </c>
      <c r="L1012" s="5">
        <v>0</v>
      </c>
      <c r="M1012" s="5">
        <v>0.0</v>
      </c>
      <c r="N1012" s="5">
        <v>0.0</v>
      </c>
      <c r="O1012" s="5">
        <v>0.0</v>
      </c>
      <c r="P1012" s="5">
        <v>0.0</v>
      </c>
      <c r="Q1012" s="5">
        <v>0.0</v>
      </c>
    </row>
    <row r="1013" outlineLevel="1">
      <c r="B1013" s="0" t="inlineStr">
        <is>
          <t xml:space="preserve">W. &amp; O. SUPPLY, INC.</t>
        </is>
      </c>
      <c r="C1013" s="0" t="inlineStr">
        <is>
          <t xml:space="preserve">ZX7MG7QA6LX4</t>
        </is>
      </c>
      <c r="D1013" s="0" t="inlineStr">
        <is>
          <t xml:space="preserve">-</t>
        </is>
      </c>
      <c r="E1013" s="0" t="inlineStr">
        <is>
          <t xml:space="preserve">-</t>
        </is>
      </c>
      <c r="F1013" s="0" t="inlineStr">
        <is>
          <t xml:space="preserve">-</t>
        </is>
      </c>
      <c r="G1013" s="5">
        <v>0.40639400000000003</v>
      </c>
      <c r="H1013" s="0" t="inlineStr">
        <is>
          <t xml:space="preserve">supplier</t>
        </is>
      </c>
      <c r="I1013" s="0" t="inlineStr">
        <is>
          <t xml:space="preserve">unbucketed</t>
        </is>
      </c>
      <c r="J1013" s="0" t="inlineStr">
        <is>
          <t xml:space="preserve">residual</t>
        </is>
      </c>
      <c r="K1013" s="5">
        <v>0</v>
      </c>
      <c r="L1013" s="5">
        <v>0</v>
      </c>
      <c r="M1013" s="5">
        <v>0.0</v>
      </c>
      <c r="N1013" s="5">
        <v>0.0</v>
      </c>
      <c r="O1013" s="5">
        <v>0.0</v>
      </c>
      <c r="P1013" s="5">
        <v>0.0</v>
      </c>
      <c r="Q1013" s="5">
        <v>0.0</v>
      </c>
    </row>
    <row r="1014" outlineLevel="1">
      <c r="B1014" s="0" t="inlineStr">
        <is>
          <t xml:space="preserve">ARCONIC INC.</t>
        </is>
      </c>
      <c r="C1014" s="0" t="inlineStr">
        <is>
          <t xml:space="preserve">NGRDHHMZT4F3</t>
        </is>
      </c>
      <c r="D1014" s="0" t="inlineStr">
        <is>
          <t xml:space="preserve">-</t>
        </is>
      </c>
      <c r="E1014" s="0" t="inlineStr">
        <is>
          <t xml:space="preserve">-</t>
        </is>
      </c>
      <c r="F1014" s="0" t="inlineStr">
        <is>
          <t xml:space="preserve">-</t>
        </is>
      </c>
      <c r="G1014" s="5">
        <v>0.405026</v>
      </c>
      <c r="H1014" s="0" t="inlineStr">
        <is>
          <t xml:space="preserve">supplier</t>
        </is>
      </c>
      <c r="I1014" s="0" t="inlineStr">
        <is>
          <t xml:space="preserve">unbucketed</t>
        </is>
      </c>
      <c r="J1014" s="0" t="inlineStr">
        <is>
          <t xml:space="preserve">residual</t>
        </is>
      </c>
      <c r="K1014" s="5">
        <v>0</v>
      </c>
      <c r="L1014" s="5">
        <v>0</v>
      </c>
      <c r="M1014" s="5">
        <v>0.0</v>
      </c>
      <c r="N1014" s="5">
        <v>0.0</v>
      </c>
      <c r="O1014" s="5">
        <v>0.0</v>
      </c>
      <c r="P1014" s="5">
        <v>0.0</v>
      </c>
      <c r="Q1014" s="5">
        <v>0.0</v>
      </c>
    </row>
    <row r="1015" outlineLevel="1">
      <c r="B1015" s="0" t="inlineStr">
        <is>
          <t xml:space="preserve">TRANSDIGM GROUP INC</t>
        </is>
      </c>
      <c r="C1015" s="0" t="inlineStr">
        <is>
          <t xml:space="preserve">KLN3SMHBL368</t>
        </is>
      </c>
      <c r="D1015" s="0" t="inlineStr">
        <is>
          <t xml:space="preserve">-</t>
        </is>
      </c>
      <c r="E1015" s="0" t="inlineStr">
        <is>
          <t xml:space="preserve">-</t>
        </is>
      </c>
      <c r="F1015" s="0" t="inlineStr">
        <is>
          <t xml:space="preserve">-</t>
        </is>
      </c>
      <c r="G1015" s="5">
        <v>0.401748</v>
      </c>
      <c r="H1015" s="0" t="inlineStr">
        <is>
          <t xml:space="preserve">supplier</t>
        </is>
      </c>
      <c r="I1015" s="0" t="inlineStr">
        <is>
          <t xml:space="preserve">unbucketed</t>
        </is>
      </c>
      <c r="J1015" s="0" t="inlineStr">
        <is>
          <t xml:space="preserve">residual</t>
        </is>
      </c>
      <c r="K1015" s="5">
        <v>0</v>
      </c>
      <c r="L1015" s="5">
        <v>0</v>
      </c>
      <c r="M1015" s="5">
        <v>0.0</v>
      </c>
      <c r="N1015" s="5">
        <v>0.0</v>
      </c>
      <c r="O1015" s="5">
        <v>0.0</v>
      </c>
      <c r="P1015" s="5">
        <v>0.0</v>
      </c>
      <c r="Q1015" s="5">
        <v>0.0</v>
      </c>
    </row>
    <row r="1016" outlineLevel="1">
      <c r="B1016" s="0" t="inlineStr">
        <is>
          <t xml:space="preserve">TERADYNE, INC</t>
        </is>
      </c>
      <c r="C1016" s="0" t="inlineStr">
        <is>
          <t xml:space="preserve">PQA5MF4SGFC9</t>
        </is>
      </c>
      <c r="D1016" s="0" t="inlineStr">
        <is>
          <t xml:space="preserve">-</t>
        </is>
      </c>
      <c r="E1016" s="0" t="inlineStr">
        <is>
          <t xml:space="preserve">-</t>
        </is>
      </c>
      <c r="F1016" s="0" t="inlineStr">
        <is>
          <t xml:space="preserve">-</t>
        </is>
      </c>
      <c r="G1016" s="5">
        <v>0.40160100000000004</v>
      </c>
      <c r="H1016" s="0" t="inlineStr">
        <is>
          <t xml:space="preserve">supplier</t>
        </is>
      </c>
      <c r="I1016" s="0" t="inlineStr">
        <is>
          <t xml:space="preserve">unbucketed</t>
        </is>
      </c>
      <c r="J1016" s="0" t="inlineStr">
        <is>
          <t xml:space="preserve">residual</t>
        </is>
      </c>
      <c r="K1016" s="5">
        <v>0</v>
      </c>
      <c r="L1016" s="5">
        <v>0</v>
      </c>
      <c r="M1016" s="5">
        <v>0.0</v>
      </c>
      <c r="N1016" s="5">
        <v>0.0</v>
      </c>
      <c r="O1016" s="5">
        <v>0.0</v>
      </c>
      <c r="P1016" s="5">
        <v>0.0</v>
      </c>
      <c r="Q1016" s="5">
        <v>0.0</v>
      </c>
    </row>
    <row r="1017" outlineLevel="1">
      <c r="B1017" s="0" t="inlineStr">
        <is>
          <t xml:space="preserve">FORTIVE CORPORATION</t>
        </is>
      </c>
      <c r="C1017" s="0" t="inlineStr">
        <is>
          <t xml:space="preserve">K9G2C434ARK8</t>
        </is>
      </c>
      <c r="D1017" s="0" t="inlineStr">
        <is>
          <t xml:space="preserve">-</t>
        </is>
      </c>
      <c r="E1017" s="0" t="inlineStr">
        <is>
          <t xml:space="preserve">-</t>
        </is>
      </c>
      <c r="F1017" s="0" t="inlineStr">
        <is>
          <t xml:space="preserve">-</t>
        </is>
      </c>
      <c r="G1017" s="5">
        <v>0.40068944</v>
      </c>
      <c r="H1017" s="0" t="inlineStr">
        <is>
          <t xml:space="preserve">supplier</t>
        </is>
      </c>
      <c r="I1017" s="0" t="inlineStr">
        <is>
          <t xml:space="preserve">unbucketed</t>
        </is>
      </c>
      <c r="J1017" s="0" t="inlineStr">
        <is>
          <t xml:space="preserve">residual</t>
        </is>
      </c>
      <c r="K1017" s="5">
        <v>0</v>
      </c>
      <c r="L1017" s="5">
        <v>0</v>
      </c>
      <c r="M1017" s="5">
        <v>0.0</v>
      </c>
      <c r="N1017" s="5">
        <v>0.0</v>
      </c>
      <c r="O1017" s="5">
        <v>0.0</v>
      </c>
      <c r="P1017" s="5">
        <v>0.0</v>
      </c>
      <c r="Q1017" s="5">
        <v>0.0</v>
      </c>
    </row>
    <row r="1018" outlineLevel="1">
      <c r="B1018" s="0" t="inlineStr">
        <is>
          <t xml:space="preserve">SEA-TECH PRODUCTS, INC.</t>
        </is>
      </c>
      <c r="C1018" s="0" t="inlineStr">
        <is>
          <t xml:space="preserve">XTB5UHKL6VE8</t>
        </is>
      </c>
      <c r="D1018" s="0" t="inlineStr">
        <is>
          <t xml:space="preserve">-</t>
        </is>
      </c>
      <c r="E1018" s="0" t="inlineStr">
        <is>
          <t xml:space="preserve">-</t>
        </is>
      </c>
      <c r="F1018" s="0" t="inlineStr">
        <is>
          <t xml:space="preserve">-</t>
        </is>
      </c>
      <c r="G1018" s="5">
        <v>0.399208</v>
      </c>
      <c r="H1018" s="0" t="inlineStr">
        <is>
          <t xml:space="preserve">supplier</t>
        </is>
      </c>
      <c r="I1018" s="0" t="inlineStr">
        <is>
          <t xml:space="preserve">unbucketed</t>
        </is>
      </c>
      <c r="J1018" s="0" t="inlineStr">
        <is>
          <t xml:space="preserve">residual</t>
        </is>
      </c>
      <c r="K1018" s="5">
        <v>0</v>
      </c>
      <c r="L1018" s="5">
        <v>0</v>
      </c>
      <c r="M1018" s="5">
        <v>0.399208</v>
      </c>
      <c r="N1018" s="5">
        <v>0.0</v>
      </c>
      <c r="O1018" s="5">
        <v>0.0</v>
      </c>
      <c r="P1018" s="5">
        <v>0.399208</v>
      </c>
      <c r="Q1018" s="5">
        <v>0.0</v>
      </c>
    </row>
    <row r="1019" outlineLevel="1">
      <c r="B1019" s="0" t="inlineStr">
        <is>
          <t xml:space="preserve">GENERAL DYNAMICS CORPORATION</t>
        </is>
      </c>
      <c r="C1019" s="0" t="inlineStr">
        <is>
          <t xml:space="preserve">FREEMCLKFXE3</t>
        </is>
      </c>
      <c r="D1019" s="0" t="inlineStr">
        <is>
          <t xml:space="preserve">USA</t>
        </is>
      </c>
      <c r="E1019" s="0" t="inlineStr">
        <is>
          <t xml:space="preserve">3369</t>
        </is>
      </c>
      <c r="F1019" s="0" t="inlineStr">
        <is>
          <t xml:space="preserve">Military Armored Vehicle, Tank, and Tank Component Manufacturing</t>
        </is>
      </c>
      <c r="G1019" s="5">
        <v>0.39796814999999996</v>
      </c>
      <c r="H1019" s="0" t="inlineStr">
        <is>
          <t xml:space="preserve">prime</t>
        </is>
      </c>
      <c r="I1019" s="0" t="inlineStr">
        <is>
          <t xml:space="preserve">-</t>
        </is>
      </c>
      <c r="J1019" s="0" t="inlineStr">
        <is>
          <t xml:space="preserve">prime/co-prime name</t>
        </is>
      </c>
      <c r="K1019" s="5">
        <v>0</v>
      </c>
      <c r="L1019" s="5">
        <v>0</v>
      </c>
      <c r="M1019" s="5">
        <v>0.27616309</v>
      </c>
      <c r="N1019" s="5">
        <v>0.0</v>
      </c>
      <c r="O1019" s="5">
        <v>0.0</v>
      </c>
      <c r="P1019" s="5">
        <v>0.0</v>
      </c>
      <c r="Q1019" s="5">
        <v>0.0</v>
      </c>
    </row>
    <row r="1020" outlineLevel="1">
      <c r="B1020" s="0" t="inlineStr">
        <is>
          <t xml:space="preserve">RANGER ENVIRONMENTAL SERVICES, LLC</t>
        </is>
      </c>
      <c r="C1020" s="0" t="inlineStr">
        <is>
          <t xml:space="preserve">PDZUR2FMYD89</t>
        </is>
      </c>
      <c r="D1020" s="0" t="inlineStr">
        <is>
          <t xml:space="preserve">-</t>
        </is>
      </c>
      <c r="E1020" s="0" t="inlineStr">
        <is>
          <t xml:space="preserve">-</t>
        </is>
      </c>
      <c r="F1020" s="0" t="inlineStr">
        <is>
          <t xml:space="preserve">-</t>
        </is>
      </c>
      <c r="G1020" s="5">
        <v>0.39791345</v>
      </c>
      <c r="H1020" s="0" t="inlineStr">
        <is>
          <t xml:space="preserve">supplier</t>
        </is>
      </c>
      <c r="I1020" s="0" t="inlineStr">
        <is>
          <t xml:space="preserve">unbucketed</t>
        </is>
      </c>
      <c r="J1020" s="0" t="inlineStr">
        <is>
          <t xml:space="preserve">residual</t>
        </is>
      </c>
      <c r="K1020" s="5">
        <v>0</v>
      </c>
      <c r="L1020" s="5">
        <v>0</v>
      </c>
      <c r="M1020" s="5">
        <v>0.39791345</v>
      </c>
      <c r="N1020" s="5">
        <v>0.0</v>
      </c>
      <c r="O1020" s="5">
        <v>0.0</v>
      </c>
      <c r="P1020" s="5">
        <v>0.0</v>
      </c>
      <c r="Q1020" s="5">
        <v>0.0</v>
      </c>
    </row>
    <row r="1021" outlineLevel="1">
      <c r="B1021" s="0" t="inlineStr">
        <is>
          <t xml:space="preserve">TRAC REGULATOR CO., INC.</t>
        </is>
      </c>
      <c r="C1021" s="0" t="inlineStr">
        <is>
          <t xml:space="preserve">MAKYNVTMNZX1</t>
        </is>
      </c>
      <c r="D1021" s="0" t="inlineStr">
        <is>
          <t xml:space="preserve">-</t>
        </is>
      </c>
      <c r="E1021" s="0" t="inlineStr">
        <is>
          <t xml:space="preserve">-</t>
        </is>
      </c>
      <c r="F1021" s="0" t="inlineStr">
        <is>
          <t xml:space="preserve">-</t>
        </is>
      </c>
      <c r="G1021" s="5">
        <v>0.39728</v>
      </c>
      <c r="H1021" s="0" t="inlineStr">
        <is>
          <t xml:space="preserve">supplier</t>
        </is>
      </c>
      <c r="I1021" s="0" t="inlineStr">
        <is>
          <t xml:space="preserve">unbucketed</t>
        </is>
      </c>
      <c r="J1021" s="0" t="inlineStr">
        <is>
          <t xml:space="preserve">residual</t>
        </is>
      </c>
      <c r="K1021" s="5">
        <v>0</v>
      </c>
      <c r="L1021" s="5">
        <v>0</v>
      </c>
      <c r="M1021" s="5">
        <v>0.39728</v>
      </c>
      <c r="N1021" s="5">
        <v>0.0</v>
      </c>
      <c r="O1021" s="5">
        <v>0.0</v>
      </c>
      <c r="P1021" s="5">
        <v>0.0</v>
      </c>
      <c r="Q1021" s="5">
        <v>0.0</v>
      </c>
    </row>
    <row r="1022" outlineLevel="1">
      <c r="B1022" s="0" t="inlineStr">
        <is>
          <t xml:space="preserve">TERADYNE, INC.</t>
        </is>
      </c>
      <c r="C1022" s="0" t="inlineStr">
        <is>
          <t xml:space="preserve">MXAYK8PM3D99</t>
        </is>
      </c>
      <c r="D1022" s="0" t="inlineStr">
        <is>
          <t xml:space="preserve">-</t>
        </is>
      </c>
      <c r="E1022" s="0" t="inlineStr">
        <is>
          <t xml:space="preserve">-</t>
        </is>
      </c>
      <c r="F1022" s="0" t="inlineStr">
        <is>
          <t xml:space="preserve">-</t>
        </is>
      </c>
      <c r="G1022" s="5">
        <v>0.39667110000000005</v>
      </c>
      <c r="H1022" s="0" t="inlineStr">
        <is>
          <t xml:space="preserve">supplier</t>
        </is>
      </c>
      <c r="I1022" s="0" t="inlineStr">
        <is>
          <t xml:space="preserve">unbucketed</t>
        </is>
      </c>
      <c r="J1022" s="0" t="inlineStr">
        <is>
          <t xml:space="preserve">residual</t>
        </is>
      </c>
      <c r="K1022" s="5">
        <v>0</v>
      </c>
      <c r="L1022" s="5">
        <v>0</v>
      </c>
      <c r="M1022" s="5">
        <v>0.0</v>
      </c>
      <c r="N1022" s="5">
        <v>0.0</v>
      </c>
      <c r="O1022" s="5">
        <v>0.0</v>
      </c>
      <c r="P1022" s="5">
        <v>0.0</v>
      </c>
      <c r="Q1022" s="5">
        <v>0.0</v>
      </c>
    </row>
    <row r="1023" outlineLevel="1">
      <c r="B1023" s="0" t="inlineStr">
        <is>
          <t xml:space="preserve">QUALITY SUPPORT LLC</t>
        </is>
      </c>
      <c r="C1023" s="0" t="inlineStr">
        <is>
          <t xml:space="preserve">D9RNKMTKSGJ6</t>
        </is>
      </c>
      <c r="D1023" s="0" t="inlineStr">
        <is>
          <t xml:space="preserve">-</t>
        </is>
      </c>
      <c r="E1023" s="0" t="inlineStr">
        <is>
          <t xml:space="preserve">-</t>
        </is>
      </c>
      <c r="F1023" s="0" t="inlineStr">
        <is>
          <t xml:space="preserve">-</t>
        </is>
      </c>
      <c r="G1023" s="5">
        <v>0.395539</v>
      </c>
      <c r="H1023" s="0" t="inlineStr">
        <is>
          <t xml:space="preserve">supplier</t>
        </is>
      </c>
      <c r="I1023" s="0" t="inlineStr">
        <is>
          <t xml:space="preserve">unbucketed</t>
        </is>
      </c>
      <c r="J1023" s="0" t="inlineStr">
        <is>
          <t xml:space="preserve">residual</t>
        </is>
      </c>
      <c r="K1023" s="5">
        <v>0</v>
      </c>
      <c r="L1023" s="5">
        <v>0</v>
      </c>
      <c r="M1023" s="5">
        <v>0.0</v>
      </c>
      <c r="N1023" s="5">
        <v>0.0</v>
      </c>
      <c r="O1023" s="5">
        <v>0.0</v>
      </c>
      <c r="P1023" s="5">
        <v>0.0</v>
      </c>
      <c r="Q1023" s="5">
        <v>0.0</v>
      </c>
    </row>
    <row r="1024" outlineLevel="1">
      <c r="B1024" s="0" t="inlineStr">
        <is>
          <t xml:space="preserve">APPLIED POWER PRODUCTS, INC.</t>
        </is>
      </c>
      <c r="C1024" s="0" t="inlineStr">
        <is>
          <t xml:space="preserve">YE33G9AY9DB8</t>
        </is>
      </c>
      <c r="D1024" s="0" t="inlineStr">
        <is>
          <t xml:space="preserve">-</t>
        </is>
      </c>
      <c r="E1024" s="0" t="inlineStr">
        <is>
          <t xml:space="preserve">-</t>
        </is>
      </c>
      <c r="F1024" s="0" t="inlineStr">
        <is>
          <t xml:space="preserve">-</t>
        </is>
      </c>
      <c r="G1024" s="5">
        <v>0.39178523</v>
      </c>
      <c r="H1024" s="0" t="inlineStr">
        <is>
          <t xml:space="preserve">supplier</t>
        </is>
      </c>
      <c r="I1024" s="0" t="inlineStr">
        <is>
          <t xml:space="preserve">unbucketed</t>
        </is>
      </c>
      <c r="J1024" s="0" t="inlineStr">
        <is>
          <t xml:space="preserve">residual</t>
        </is>
      </c>
      <c r="K1024" s="5">
        <v>0</v>
      </c>
      <c r="L1024" s="5">
        <v>0</v>
      </c>
      <c r="M1024" s="5">
        <v>0.0</v>
      </c>
      <c r="N1024" s="5">
        <v>0.0</v>
      </c>
      <c r="O1024" s="5">
        <v>0.0</v>
      </c>
      <c r="P1024" s="5">
        <v>0.0</v>
      </c>
      <c r="Q1024" s="5">
        <v>0.0</v>
      </c>
    </row>
    <row r="1025" outlineLevel="1">
      <c r="B1025" s="0" t="inlineStr">
        <is>
          <t xml:space="preserve">CURTISS-WRIGHT CORPORATION</t>
        </is>
      </c>
      <c r="C1025" s="0" t="inlineStr">
        <is>
          <t xml:space="preserve">H2VUYH8JMBY9</t>
        </is>
      </c>
      <c r="D1025" s="0" t="inlineStr">
        <is>
          <t xml:space="preserve">USA</t>
        </is>
      </c>
      <c r="E1025" s="0" t="inlineStr">
        <is>
          <t xml:space="preserve">3329</t>
        </is>
      </c>
      <c r="F1025" s="0" t="inlineStr">
        <is>
          <t xml:space="preserve">Industrial Valve Manufacturing</t>
        </is>
      </c>
      <c r="G1025" s="5">
        <v>0.390855</v>
      </c>
      <c r="H1025" s="0" t="inlineStr">
        <is>
          <t xml:space="preserve">supplier</t>
        </is>
      </c>
      <c r="I1025" s="0" t="inlineStr">
        <is>
          <t xml:space="preserve">piping</t>
        </is>
      </c>
      <c r="J1025" s="0" t="inlineStr">
        <is>
          <t xml:space="preserve">vendor-override</t>
        </is>
      </c>
      <c r="K1025" s="5">
        <v>0</v>
      </c>
      <c r="L1025" s="5">
        <v>0</v>
      </c>
      <c r="M1025" s="5">
        <v>0.390855</v>
      </c>
      <c r="N1025" s="5">
        <v>0.0</v>
      </c>
      <c r="O1025" s="5">
        <v>0.0</v>
      </c>
      <c r="P1025" s="5">
        <v>0.0</v>
      </c>
      <c r="Q1025" s="5">
        <v>0.0</v>
      </c>
    </row>
    <row r="1026" outlineLevel="1">
      <c r="B1026" s="0" t="inlineStr">
        <is>
          <t xml:space="preserve">DUGGAN MANUFACTURING, L.L.C.</t>
        </is>
      </c>
      <c r="C1026" s="0" t="inlineStr">
        <is>
          <t xml:space="preserve">LSRMQR1XHD35</t>
        </is>
      </c>
      <c r="D1026" s="0" t="inlineStr">
        <is>
          <t xml:space="preserve">-</t>
        </is>
      </c>
      <c r="E1026" s="0" t="inlineStr">
        <is>
          <t xml:space="preserve">-</t>
        </is>
      </c>
      <c r="F1026" s="0" t="inlineStr">
        <is>
          <t xml:space="preserve">-</t>
        </is>
      </c>
      <c r="G1026" s="5">
        <v>0.39052656</v>
      </c>
      <c r="H1026" s="0" t="inlineStr">
        <is>
          <t xml:space="preserve">supplier</t>
        </is>
      </c>
      <c r="I1026" s="0" t="inlineStr">
        <is>
          <t xml:space="preserve">unbucketed</t>
        </is>
      </c>
      <c r="J1026" s="0" t="inlineStr">
        <is>
          <t xml:space="preserve">residual</t>
        </is>
      </c>
      <c r="K1026" s="5">
        <v>0</v>
      </c>
      <c r="L1026" s="5">
        <v>0</v>
      </c>
      <c r="M1026" s="5">
        <v>0.0</v>
      </c>
      <c r="N1026" s="5">
        <v>0.0</v>
      </c>
      <c r="O1026" s="5">
        <v>0.0</v>
      </c>
      <c r="P1026" s="5">
        <v>0.0</v>
      </c>
      <c r="Q1026" s="5">
        <v>0.0</v>
      </c>
    </row>
    <row r="1027" outlineLevel="1">
      <c r="B1027" s="0" t="inlineStr">
        <is>
          <t xml:space="preserve">CYGNUS L.L.C.</t>
        </is>
      </c>
      <c r="C1027" s="0" t="inlineStr">
        <is>
          <t xml:space="preserve">YULJLSW1N2G4</t>
        </is>
      </c>
      <c r="D1027" s="0" t="inlineStr">
        <is>
          <t xml:space="preserve">-</t>
        </is>
      </c>
      <c r="E1027" s="0" t="inlineStr">
        <is>
          <t xml:space="preserve">-</t>
        </is>
      </c>
      <c r="F1027" s="0" t="inlineStr">
        <is>
          <t xml:space="preserve">-</t>
        </is>
      </c>
      <c r="G1027" s="5">
        <v>0.39</v>
      </c>
      <c r="H1027" s="0" t="inlineStr">
        <is>
          <t xml:space="preserve">supplier</t>
        </is>
      </c>
      <c r="I1027" s="0" t="inlineStr">
        <is>
          <t xml:space="preserve">unbucketed</t>
        </is>
      </c>
      <c r="J1027" s="0" t="inlineStr">
        <is>
          <t xml:space="preserve">residual</t>
        </is>
      </c>
      <c r="K1027" s="5">
        <v>0</v>
      </c>
      <c r="L1027" s="5">
        <v>0</v>
      </c>
      <c r="M1027" s="5">
        <v>0.39</v>
      </c>
      <c r="N1027" s="5">
        <v>0.39</v>
      </c>
      <c r="O1027" s="5">
        <v>0.0</v>
      </c>
      <c r="P1027" s="5">
        <v>0.0</v>
      </c>
      <c r="Q1027" s="5">
        <v>0.0</v>
      </c>
    </row>
    <row r="1028" outlineLevel="1">
      <c r="B1028" s="0" t="inlineStr">
        <is>
          <t xml:space="preserve">TABET MANUFACTURING COMPANY, INC.</t>
        </is>
      </c>
      <c r="C1028" s="0" t="inlineStr">
        <is>
          <t xml:space="preserve">EEJPJ342F3P1</t>
        </is>
      </c>
      <c r="D1028" s="0" t="inlineStr">
        <is>
          <t xml:space="preserve">-</t>
        </is>
      </c>
      <c r="E1028" s="0" t="inlineStr">
        <is>
          <t xml:space="preserve">-</t>
        </is>
      </c>
      <c r="F1028" s="0" t="inlineStr">
        <is>
          <t xml:space="preserve">-</t>
        </is>
      </c>
      <c r="G1028" s="5">
        <v>0.38529</v>
      </c>
      <c r="H1028" s="0" t="inlineStr">
        <is>
          <t xml:space="preserve">supplier</t>
        </is>
      </c>
      <c r="I1028" s="0" t="inlineStr">
        <is>
          <t xml:space="preserve">unbucketed</t>
        </is>
      </c>
      <c r="J1028" s="0" t="inlineStr">
        <is>
          <t xml:space="preserve">residual</t>
        </is>
      </c>
      <c r="K1028" s="5">
        <v>0</v>
      </c>
      <c r="L1028" s="5">
        <v>0</v>
      </c>
      <c r="M1028" s="5">
        <v>0.38529</v>
      </c>
      <c r="N1028" s="5">
        <v>0.083868</v>
      </c>
      <c r="O1028" s="5">
        <v>0.028254</v>
      </c>
      <c r="P1028" s="5">
        <v>0.0</v>
      </c>
      <c r="Q1028" s="5">
        <v>0.0</v>
      </c>
    </row>
    <row r="1029" outlineLevel="1">
      <c r="B1029" s="0" t="inlineStr">
        <is>
          <t xml:space="preserve">HUBER + SUHNER, INC.</t>
        </is>
      </c>
      <c r="C1029" s="0" t="inlineStr">
        <is>
          <t xml:space="preserve">QZYSDGPJVKM1</t>
        </is>
      </c>
      <c r="D1029" s="0" t="inlineStr">
        <is>
          <t xml:space="preserve">-</t>
        </is>
      </c>
      <c r="E1029" s="0" t="inlineStr">
        <is>
          <t xml:space="preserve">-</t>
        </is>
      </c>
      <c r="F1029" s="0" t="inlineStr">
        <is>
          <t xml:space="preserve">-</t>
        </is>
      </c>
      <c r="G1029" s="5">
        <v>0.38476200000000005</v>
      </c>
      <c r="H1029" s="0" t="inlineStr">
        <is>
          <t xml:space="preserve">supplier</t>
        </is>
      </c>
      <c r="I1029" s="0" t="inlineStr">
        <is>
          <t xml:space="preserve">unbucketed</t>
        </is>
      </c>
      <c r="J1029" s="0" t="inlineStr">
        <is>
          <t xml:space="preserve">residual</t>
        </is>
      </c>
      <c r="K1029" s="5">
        <v>0</v>
      </c>
      <c r="L1029" s="5">
        <v>0</v>
      </c>
      <c r="M1029" s="5">
        <v>0.0</v>
      </c>
      <c r="N1029" s="5">
        <v>0.0</v>
      </c>
      <c r="O1029" s="5">
        <v>0.0</v>
      </c>
      <c r="P1029" s="5">
        <v>0.0</v>
      </c>
      <c r="Q1029" s="5">
        <v>0.0</v>
      </c>
    </row>
    <row r="1030" outlineLevel="1">
      <c r="B1030" s="0" t="inlineStr">
        <is>
          <t xml:space="preserve">NORTHROP GRUMMAN CORPORATION</t>
        </is>
      </c>
      <c r="C1030" s="0" t="inlineStr">
        <is>
          <t xml:space="preserve">LEMLXG994AU3</t>
        </is>
      </c>
      <c r="D1030" s="0" t="inlineStr">
        <is>
          <t xml:space="preserve">USA</t>
        </is>
      </c>
      <c r="E1030" s="0" t="inlineStr">
        <is>
          <t xml:space="preserve">3364</t>
        </is>
      </c>
      <c r="F1030" s="0" t="inlineStr">
        <is>
          <t xml:space="preserve">Other Aircraft Parts and Auxiliary Equipment Manufacturing</t>
        </is>
      </c>
      <c r="G1030" s="5">
        <v>0.382575</v>
      </c>
      <c r="H1030" s="0" t="inlineStr">
        <is>
          <t xml:space="preserve">supplier</t>
        </is>
      </c>
      <c r="I1030" s="0" t="inlineStr">
        <is>
          <t xml:space="preserve">unbucketed</t>
        </is>
      </c>
      <c r="J1030" s="0" t="inlineStr">
        <is>
          <t xml:space="preserve">residual</t>
        </is>
      </c>
      <c r="K1030" s="5">
        <v>0</v>
      </c>
      <c r="L1030" s="5">
        <v>0</v>
      </c>
      <c r="M1030" s="5">
        <v>0.0</v>
      </c>
      <c r="N1030" s="5">
        <v>0.0</v>
      </c>
      <c r="O1030" s="5">
        <v>0.0</v>
      </c>
      <c r="P1030" s="5">
        <v>0.0</v>
      </c>
      <c r="Q1030" s="5">
        <v>0.0</v>
      </c>
    </row>
    <row r="1031" outlineLevel="1">
      <c r="B1031" s="0" t="inlineStr">
        <is>
          <t xml:space="preserve">STANDARD CALIBRATIONS INC</t>
        </is>
      </c>
      <c r="C1031" s="0" t="inlineStr">
        <is>
          <t xml:space="preserve">J2DMF1YRKD96</t>
        </is>
      </c>
      <c r="D1031" s="0" t="inlineStr">
        <is>
          <t xml:space="preserve">-</t>
        </is>
      </c>
      <c r="E1031" s="0" t="inlineStr">
        <is>
          <t xml:space="preserve">-</t>
        </is>
      </c>
      <c r="F1031" s="0" t="inlineStr">
        <is>
          <t xml:space="preserve">-</t>
        </is>
      </c>
      <c r="G1031" s="5">
        <v>0.38151597</v>
      </c>
      <c r="H1031" s="0" t="inlineStr">
        <is>
          <t xml:space="preserve">supplier</t>
        </is>
      </c>
      <c r="I1031" s="0" t="inlineStr">
        <is>
          <t xml:space="preserve">unbucketed</t>
        </is>
      </c>
      <c r="J1031" s="0" t="inlineStr">
        <is>
          <t xml:space="preserve">residual</t>
        </is>
      </c>
      <c r="K1031" s="5">
        <v>0</v>
      </c>
      <c r="L1031" s="5">
        <v>0</v>
      </c>
      <c r="M1031" s="5">
        <v>0.39844696999999996</v>
      </c>
      <c r="N1031" s="5">
        <v>0.0</v>
      </c>
      <c r="O1031" s="5">
        <v>0.031935</v>
      </c>
      <c r="P1031" s="5">
        <v>0.29255997</v>
      </c>
      <c r="Q1031" s="5">
        <v>0.073952</v>
      </c>
    </row>
    <row r="1032" outlineLevel="1">
      <c r="B1032" s="0" t="inlineStr">
        <is>
          <t xml:space="preserve">L3HARRIS TECHNOLOGIES, INC.</t>
        </is>
      </c>
      <c r="C1032" s="0" t="inlineStr">
        <is>
          <t xml:space="preserve">J4BFCJJ3VK36</t>
        </is>
      </c>
      <c r="D1032" s="0" t="inlineStr">
        <is>
          <t xml:space="preserve">USA</t>
        </is>
      </c>
      <c r="E1032" s="0" t="inlineStr">
        <is>
          <t xml:space="preserve">3345</t>
        </is>
      </c>
      <c r="F1032" s="0" t="inlineStr">
        <is>
          <t xml:space="preserve">Search, Detection, Navigation, Guidance, Aeronautical, and Nautical System and Instrument Manufacturing</t>
        </is>
      </c>
      <c r="G1032" s="5">
        <v>0.38134000000000007</v>
      </c>
      <c r="H1032" s="0" t="inlineStr">
        <is>
          <t xml:space="preserve">gfe_mib</t>
        </is>
      </c>
      <c r="I1032" s="0" t="inlineStr">
        <is>
          <t xml:space="preserve">-</t>
        </is>
      </c>
      <c r="J1032" s="0" t="inlineStr">
        <is>
          <t xml:space="preserve">GFE/MIB name</t>
        </is>
      </c>
      <c r="K1032" s="5">
        <v>0</v>
      </c>
      <c r="L1032" s="5">
        <v>0</v>
      </c>
      <c r="M1032" s="5">
        <v>0.0</v>
      </c>
      <c r="N1032" s="5">
        <v>0.0</v>
      </c>
      <c r="O1032" s="5">
        <v>0.0</v>
      </c>
      <c r="P1032" s="5">
        <v>0.0</v>
      </c>
      <c r="Q1032" s="5">
        <v>0.0</v>
      </c>
    </row>
    <row r="1033" outlineLevel="1">
      <c r="B1033" s="0" t="inlineStr">
        <is>
          <t xml:space="preserve">TRANSDIGM GROUP INCORPORATED</t>
        </is>
      </c>
      <c r="C1033" s="0" t="inlineStr">
        <is>
          <t xml:space="preserve">XRN4L5GSHNJ5</t>
        </is>
      </c>
      <c r="D1033" s="0" t="inlineStr">
        <is>
          <t xml:space="preserve">-</t>
        </is>
      </c>
      <c r="E1033" s="0" t="inlineStr">
        <is>
          <t xml:space="preserve">-</t>
        </is>
      </c>
      <c r="F1033" s="0" t="inlineStr">
        <is>
          <t xml:space="preserve">-</t>
        </is>
      </c>
      <c r="G1033" s="5">
        <v>0.381044</v>
      </c>
      <c r="H1033" s="0" t="inlineStr">
        <is>
          <t xml:space="preserve">supplier</t>
        </is>
      </c>
      <c r="I1033" s="0" t="inlineStr">
        <is>
          <t xml:space="preserve">unbucketed</t>
        </is>
      </c>
      <c r="J1033" s="0" t="inlineStr">
        <is>
          <t xml:space="preserve">residual</t>
        </is>
      </c>
      <c r="K1033" s="5">
        <v>0</v>
      </c>
      <c r="L1033" s="5">
        <v>0</v>
      </c>
      <c r="M1033" s="5">
        <v>0.0</v>
      </c>
      <c r="N1033" s="5">
        <v>0.0</v>
      </c>
      <c r="O1033" s="5">
        <v>0.0</v>
      </c>
      <c r="P1033" s="5">
        <v>0.0</v>
      </c>
      <c r="Q1033" s="5">
        <v>0.0</v>
      </c>
    </row>
    <row r="1034" outlineLevel="1">
      <c r="B1034" s="0" t="inlineStr">
        <is>
          <t xml:space="preserve">PEMCO-NAVAL ENGINEERING WORKS INC</t>
        </is>
      </c>
      <c r="C1034" s="0" t="inlineStr">
        <is>
          <t xml:space="preserve">JGNYLKEPEBL4</t>
        </is>
      </c>
      <c r="D1034" s="0" t="inlineStr">
        <is>
          <t xml:space="preserve">-</t>
        </is>
      </c>
      <c r="E1034" s="0" t="inlineStr">
        <is>
          <t xml:space="preserve">-</t>
        </is>
      </c>
      <c r="F1034" s="0" t="inlineStr">
        <is>
          <t xml:space="preserve">-</t>
        </is>
      </c>
      <c r="G1034" s="5">
        <v>0.377759</v>
      </c>
      <c r="H1034" s="0" t="inlineStr">
        <is>
          <t xml:space="preserve">supplier</t>
        </is>
      </c>
      <c r="I1034" s="0" t="inlineStr">
        <is>
          <t xml:space="preserve">unbucketed</t>
        </is>
      </c>
      <c r="J1034" s="0" t="inlineStr">
        <is>
          <t xml:space="preserve">residual</t>
        </is>
      </c>
      <c r="K1034" s="5">
        <v>0</v>
      </c>
      <c r="L1034" s="5">
        <v>0</v>
      </c>
      <c r="M1034" s="5">
        <v>0.377759</v>
      </c>
      <c r="N1034" s="5">
        <v>0.0</v>
      </c>
      <c r="O1034" s="5">
        <v>0.0</v>
      </c>
      <c r="P1034" s="5">
        <v>0.11651999999999998</v>
      </c>
      <c r="Q1034" s="5">
        <v>0.13853500000000002</v>
      </c>
    </row>
    <row r="1035" outlineLevel="1">
      <c r="B1035" s="0" t="inlineStr">
        <is>
          <t xml:space="preserve">JAMES WALKER CO.,THE</t>
        </is>
      </c>
      <c r="C1035" s="0" t="inlineStr">
        <is>
          <t xml:space="preserve">F78NG1ANBSN4</t>
        </is>
      </c>
      <c r="D1035" s="0" t="inlineStr">
        <is>
          <t xml:space="preserve">-</t>
        </is>
      </c>
      <c r="E1035" s="0" t="inlineStr">
        <is>
          <t xml:space="preserve">-</t>
        </is>
      </c>
      <c r="F1035" s="0" t="inlineStr">
        <is>
          <t xml:space="preserve">-</t>
        </is>
      </c>
      <c r="G1035" s="5">
        <v>0.37722215000000003</v>
      </c>
      <c r="H1035" s="0" t="inlineStr">
        <is>
          <t xml:space="preserve">supplier</t>
        </is>
      </c>
      <c r="I1035" s="0" t="inlineStr">
        <is>
          <t xml:space="preserve">unbucketed</t>
        </is>
      </c>
      <c r="J1035" s="0" t="inlineStr">
        <is>
          <t xml:space="preserve">residual</t>
        </is>
      </c>
      <c r="K1035" s="5">
        <v>0</v>
      </c>
      <c r="L1035" s="5">
        <v>0</v>
      </c>
      <c r="M1035" s="5">
        <v>0.0</v>
      </c>
      <c r="N1035" s="5">
        <v>0.0</v>
      </c>
      <c r="O1035" s="5">
        <v>0.0</v>
      </c>
      <c r="P1035" s="5">
        <v>0.0</v>
      </c>
      <c r="Q1035" s="5">
        <v>0.0</v>
      </c>
    </row>
    <row r="1036" outlineLevel="1">
      <c r="B1036" s="0" t="inlineStr">
        <is>
          <t xml:space="preserve">GAYLORD INDUSTRIES, INC.</t>
        </is>
      </c>
      <c r="C1036" s="0" t="inlineStr">
        <is>
          <t xml:space="preserve">LRYRHNM7EHJ8</t>
        </is>
      </c>
      <c r="D1036" s="0" t="inlineStr">
        <is>
          <t xml:space="preserve">-</t>
        </is>
      </c>
      <c r="E1036" s="0" t="inlineStr">
        <is>
          <t xml:space="preserve">-</t>
        </is>
      </c>
      <c r="F1036" s="0" t="inlineStr">
        <is>
          <t xml:space="preserve">-</t>
        </is>
      </c>
      <c r="G1036" s="5">
        <v>0.37606573</v>
      </c>
      <c r="H1036" s="0" t="inlineStr">
        <is>
          <t xml:space="preserve">supplier</t>
        </is>
      </c>
      <c r="I1036" s="0" t="inlineStr">
        <is>
          <t xml:space="preserve">unbucketed</t>
        </is>
      </c>
      <c r="J1036" s="0" t="inlineStr">
        <is>
          <t xml:space="preserve">residual</t>
        </is>
      </c>
      <c r="K1036" s="5">
        <v>0</v>
      </c>
      <c r="L1036" s="5">
        <v>0</v>
      </c>
      <c r="M1036" s="5">
        <v>0.37606573</v>
      </c>
      <c r="N1036" s="5">
        <v>0.0</v>
      </c>
      <c r="O1036" s="5">
        <v>0.133357</v>
      </c>
      <c r="P1036" s="5">
        <v>0.0</v>
      </c>
      <c r="Q1036" s="5">
        <v>0.0</v>
      </c>
    </row>
    <row r="1037" outlineLevel="1">
      <c r="B1037" s="0" t="inlineStr">
        <is>
          <t xml:space="preserve">TRELLEBORG AB</t>
        </is>
      </c>
      <c r="C1037" s="0" t="inlineStr">
        <is>
          <t xml:space="preserve">E2BDMEJG1399</t>
        </is>
      </c>
      <c r="D1037" s="0" t="inlineStr">
        <is>
          <t xml:space="preserve">-</t>
        </is>
      </c>
      <c r="E1037" s="0" t="inlineStr">
        <is>
          <t xml:space="preserve">-</t>
        </is>
      </c>
      <c r="F1037" s="0" t="inlineStr">
        <is>
          <t xml:space="preserve">-</t>
        </is>
      </c>
      <c r="G1037" s="5">
        <v>0.37543252000000005</v>
      </c>
      <c r="H1037" s="0" t="inlineStr">
        <is>
          <t xml:space="preserve">supplier</t>
        </is>
      </c>
      <c r="I1037" s="0" t="inlineStr">
        <is>
          <t xml:space="preserve">unbucketed</t>
        </is>
      </c>
      <c r="J1037" s="0" t="inlineStr">
        <is>
          <t xml:space="preserve">residual</t>
        </is>
      </c>
      <c r="K1037" s="5">
        <v>0</v>
      </c>
      <c r="L1037" s="5">
        <v>0</v>
      </c>
      <c r="M1037" s="5">
        <v>0.0</v>
      </c>
      <c r="N1037" s="5">
        <v>0.0</v>
      </c>
      <c r="O1037" s="5">
        <v>0.0</v>
      </c>
      <c r="P1037" s="5">
        <v>0.0</v>
      </c>
      <c r="Q1037" s="5">
        <v>0.0</v>
      </c>
    </row>
    <row r="1038" outlineLevel="1">
      <c r="B1038" s="0" t="inlineStr">
        <is>
          <t xml:space="preserve">MIDSTATE INDUSTRIAL SUPPLY INC</t>
        </is>
      </c>
      <c r="C1038" s="0" t="inlineStr">
        <is>
          <t xml:space="preserve">KHN9PQ6VZ756</t>
        </is>
      </c>
      <c r="D1038" s="0" t="inlineStr">
        <is>
          <t xml:space="preserve">-</t>
        </is>
      </c>
      <c r="E1038" s="0" t="inlineStr">
        <is>
          <t xml:space="preserve">-</t>
        </is>
      </c>
      <c r="F1038" s="0" t="inlineStr">
        <is>
          <t xml:space="preserve">-</t>
        </is>
      </c>
      <c r="G1038" s="5">
        <v>0.370032</v>
      </c>
      <c r="H1038" s="0" t="inlineStr">
        <is>
          <t xml:space="preserve">supplier</t>
        </is>
      </c>
      <c r="I1038" s="0" t="inlineStr">
        <is>
          <t xml:space="preserve">unbucketed</t>
        </is>
      </c>
      <c r="J1038" s="0" t="inlineStr">
        <is>
          <t xml:space="preserve">residual</t>
        </is>
      </c>
      <c r="K1038" s="5">
        <v>0</v>
      </c>
      <c r="L1038" s="5">
        <v>0</v>
      </c>
      <c r="M1038" s="5">
        <v>0.0</v>
      </c>
      <c r="N1038" s="5">
        <v>0.0</v>
      </c>
      <c r="O1038" s="5">
        <v>0.0</v>
      </c>
      <c r="P1038" s="5">
        <v>0.0</v>
      </c>
      <c r="Q1038" s="5">
        <v>0.0</v>
      </c>
    </row>
    <row r="1039" outlineLevel="1">
      <c r="B1039" s="0" t="inlineStr">
        <is>
          <t xml:space="preserve">CITY ELECTRIC SUPPLY COMPANY</t>
        </is>
      </c>
      <c r="C1039" s="0" t="inlineStr">
        <is>
          <t xml:space="preserve">U8SDJVH8SQ19</t>
        </is>
      </c>
      <c r="D1039" s="0" t="inlineStr">
        <is>
          <t xml:space="preserve">-</t>
        </is>
      </c>
      <c r="E1039" s="0" t="inlineStr">
        <is>
          <t xml:space="preserve">-</t>
        </is>
      </c>
      <c r="F1039" s="0" t="inlineStr">
        <is>
          <t xml:space="preserve">-</t>
        </is>
      </c>
      <c r="G1039" s="5">
        <v>0.36566036</v>
      </c>
      <c r="H1039" s="0" t="inlineStr">
        <is>
          <t xml:space="preserve">supplier</t>
        </is>
      </c>
      <c r="I1039" s="0" t="inlineStr">
        <is>
          <t xml:space="preserve">unbucketed</t>
        </is>
      </c>
      <c r="J1039" s="0" t="inlineStr">
        <is>
          <t xml:space="preserve">residual</t>
        </is>
      </c>
      <c r="K1039" s="5">
        <v>0</v>
      </c>
      <c r="L1039" s="5">
        <v>0</v>
      </c>
      <c r="M1039" s="5">
        <v>0.36566036</v>
      </c>
      <c r="N1039" s="5">
        <v>0.0</v>
      </c>
      <c r="O1039" s="5">
        <v>0.0</v>
      </c>
      <c r="P1039" s="5">
        <v>0.0</v>
      </c>
      <c r="Q1039" s="5">
        <v>0.36566036</v>
      </c>
    </row>
    <row r="1040" outlineLevel="1">
      <c r="B1040" s="0" t="inlineStr">
        <is>
          <t xml:space="preserve">STS OPERATING, INC.</t>
        </is>
      </c>
      <c r="C1040" s="0" t="inlineStr">
        <is>
          <t xml:space="preserve">FNQSY3S2MCM9</t>
        </is>
      </c>
      <c r="D1040" s="0" t="inlineStr">
        <is>
          <t xml:space="preserve">-</t>
        </is>
      </c>
      <c r="E1040" s="0" t="inlineStr">
        <is>
          <t xml:space="preserve">-</t>
        </is>
      </c>
      <c r="F1040" s="0" t="inlineStr">
        <is>
          <t xml:space="preserve">-</t>
        </is>
      </c>
      <c r="G1040" s="5">
        <v>0.36516994999999997</v>
      </c>
      <c r="H1040" s="0" t="inlineStr">
        <is>
          <t xml:space="preserve">supplier</t>
        </is>
      </c>
      <c r="I1040" s="0" t="inlineStr">
        <is>
          <t xml:space="preserve">unbucketed</t>
        </is>
      </c>
      <c r="J1040" s="0" t="inlineStr">
        <is>
          <t xml:space="preserve">residual</t>
        </is>
      </c>
      <c r="K1040" s="5">
        <v>0</v>
      </c>
      <c r="L1040" s="5">
        <v>0</v>
      </c>
      <c r="M1040" s="5">
        <v>0.36516994999999997</v>
      </c>
      <c r="N1040" s="5">
        <v>0.0</v>
      </c>
      <c r="O1040" s="5">
        <v>0.09551137</v>
      </c>
      <c r="P1040" s="5">
        <v>0.0</v>
      </c>
      <c r="Q1040" s="5">
        <v>0.17102</v>
      </c>
    </row>
    <row r="1041" outlineLevel="1">
      <c r="B1041" s="0" t="inlineStr">
        <is>
          <t xml:space="preserve">MURRAY BENJAMIN ELECTRIC COMPANY, LIMITED PARTNERSHIP</t>
        </is>
      </c>
      <c r="C1041" s="0" t="inlineStr">
        <is>
          <t xml:space="preserve">E5NZAXG4MNB7</t>
        </is>
      </c>
      <c r="D1041" s="0" t="inlineStr">
        <is>
          <t xml:space="preserve">-</t>
        </is>
      </c>
      <c r="E1041" s="0" t="inlineStr">
        <is>
          <t xml:space="preserve">-</t>
        </is>
      </c>
      <c r="F1041" s="0" t="inlineStr">
        <is>
          <t xml:space="preserve">-</t>
        </is>
      </c>
      <c r="G1041" s="5">
        <v>0.3645746</v>
      </c>
      <c r="H1041" s="0" t="inlineStr">
        <is>
          <t xml:space="preserve">supplier</t>
        </is>
      </c>
      <c r="I1041" s="0" t="inlineStr">
        <is>
          <t xml:space="preserve">unbucketed</t>
        </is>
      </c>
      <c r="J1041" s="0" t="inlineStr">
        <is>
          <t xml:space="preserve">residual</t>
        </is>
      </c>
      <c r="K1041" s="5">
        <v>0</v>
      </c>
      <c r="L1041" s="5">
        <v>0</v>
      </c>
      <c r="M1041" s="5">
        <v>0.10808</v>
      </c>
      <c r="N1041" s="5">
        <v>0.0605</v>
      </c>
      <c r="O1041" s="5">
        <v>0.04758</v>
      </c>
      <c r="P1041" s="5">
        <v>0.0</v>
      </c>
      <c r="Q1041" s="5">
        <v>0.0</v>
      </c>
    </row>
    <row r="1042" outlineLevel="1">
      <c r="B1042" s="0" t="inlineStr">
        <is>
          <t xml:space="preserve">MARITIME APPLIED PHYSICS CORPORATION</t>
        </is>
      </c>
      <c r="C1042" s="0" t="inlineStr">
        <is>
          <t xml:space="preserve">RGFBAKWWL465</t>
        </is>
      </c>
      <c r="D1042" s="0" t="inlineStr">
        <is>
          <t xml:space="preserve">-</t>
        </is>
      </c>
      <c r="E1042" s="0" t="inlineStr">
        <is>
          <t xml:space="preserve">-</t>
        </is>
      </c>
      <c r="F1042" s="0" t="inlineStr">
        <is>
          <t xml:space="preserve">-</t>
        </is>
      </c>
      <c r="G1042" s="5">
        <v>0.36450159</v>
      </c>
      <c r="H1042" s="0" t="inlineStr">
        <is>
          <t xml:space="preserve">supplier</t>
        </is>
      </c>
      <c r="I1042" s="0" t="inlineStr">
        <is>
          <t xml:space="preserve">unbucketed</t>
        </is>
      </c>
      <c r="J1042" s="0" t="inlineStr">
        <is>
          <t xml:space="preserve">residual</t>
        </is>
      </c>
      <c r="K1042" s="5">
        <v>0</v>
      </c>
      <c r="L1042" s="5">
        <v>0</v>
      </c>
      <c r="M1042" s="5">
        <v>0.36450159</v>
      </c>
      <c r="N1042" s="5">
        <v>0.0</v>
      </c>
      <c r="O1042" s="5">
        <v>0.0</v>
      </c>
      <c r="P1042" s="5">
        <v>0.36450159</v>
      </c>
      <c r="Q1042" s="5">
        <v>0.0</v>
      </c>
    </row>
    <row r="1043" outlineLevel="1">
      <c r="B1043" s="0" t="inlineStr">
        <is>
          <t xml:space="preserve">RAYTHEON COMPANY</t>
        </is>
      </c>
      <c r="C1043" s="0" t="inlineStr">
        <is>
          <t xml:space="preserve">YD6LTFVUZNG1</t>
        </is>
      </c>
      <c r="D1043" s="0" t="inlineStr">
        <is>
          <t xml:space="preserve">-</t>
        </is>
      </c>
      <c r="E1043" s="0" t="inlineStr">
        <is>
          <t xml:space="preserve">-</t>
        </is>
      </c>
      <c r="F1043" s="0" t="inlineStr">
        <is>
          <t xml:space="preserve">-</t>
        </is>
      </c>
      <c r="G1043" s="5">
        <v>0.364344</v>
      </c>
      <c r="H1043" s="0" t="inlineStr">
        <is>
          <t xml:space="preserve">supplier</t>
        </is>
      </c>
      <c r="I1043" s="0" t="inlineStr">
        <is>
          <t xml:space="preserve">coatings</t>
        </is>
      </c>
      <c r="J1043" s="0" t="inlineStr">
        <is>
          <t xml:space="preserve">registry</t>
        </is>
      </c>
      <c r="K1043" s="5">
        <v>0</v>
      </c>
      <c r="L1043" s="5">
        <v>0</v>
      </c>
      <c r="M1043" s="5">
        <v>0.364344</v>
      </c>
      <c r="N1043" s="5">
        <v>0.0</v>
      </c>
      <c r="O1043" s="5">
        <v>0.364344</v>
      </c>
      <c r="P1043" s="5">
        <v>0.0</v>
      </c>
      <c r="Q1043" s="5">
        <v>0.0</v>
      </c>
    </row>
    <row r="1044" outlineLevel="1">
      <c r="B1044" s="0" t="inlineStr">
        <is>
          <t xml:space="preserve">SCHLUMBERGER N.V.</t>
        </is>
      </c>
      <c r="C1044" s="0" t="inlineStr">
        <is>
          <t xml:space="preserve">FJMAMQK89ZB8</t>
        </is>
      </c>
      <c r="D1044" s="0" t="inlineStr">
        <is>
          <t xml:space="preserve">-</t>
        </is>
      </c>
      <c r="E1044" s="0" t="inlineStr">
        <is>
          <t xml:space="preserve">-</t>
        </is>
      </c>
      <c r="F1044" s="0" t="inlineStr">
        <is>
          <t xml:space="preserve">-</t>
        </is>
      </c>
      <c r="G1044" s="5">
        <v>0.36334904</v>
      </c>
      <c r="H1044" s="0" t="inlineStr">
        <is>
          <t xml:space="preserve">supplier</t>
        </is>
      </c>
      <c r="I1044" s="0" t="inlineStr">
        <is>
          <t xml:space="preserve">unbucketed</t>
        </is>
      </c>
      <c r="J1044" s="0" t="inlineStr">
        <is>
          <t xml:space="preserve">residual</t>
        </is>
      </c>
      <c r="K1044" s="5">
        <v>0</v>
      </c>
      <c r="L1044" s="5">
        <v>0</v>
      </c>
      <c r="M1044" s="5">
        <v>0.36334904</v>
      </c>
      <c r="N1044" s="5">
        <v>0.18228504</v>
      </c>
      <c r="O1044" s="5">
        <v>0.0</v>
      </c>
      <c r="P1044" s="5">
        <v>0.0</v>
      </c>
      <c r="Q1044" s="5">
        <v>0.0</v>
      </c>
    </row>
    <row r="1045" outlineLevel="1">
      <c r="B1045" s="0" t="inlineStr">
        <is>
          <t xml:space="preserve">ADVENT DESIGN CORPORATION</t>
        </is>
      </c>
      <c r="C1045" s="0" t="inlineStr">
        <is>
          <t xml:space="preserve">EVCQR1MMZN15</t>
        </is>
      </c>
      <c r="D1045" s="0" t="inlineStr">
        <is>
          <t xml:space="preserve">-</t>
        </is>
      </c>
      <c r="E1045" s="0" t="inlineStr">
        <is>
          <t xml:space="preserve">-</t>
        </is>
      </c>
      <c r="F1045" s="0" t="inlineStr">
        <is>
          <t xml:space="preserve">-</t>
        </is>
      </c>
      <c r="G1045" s="5">
        <v>0.362823</v>
      </c>
      <c r="H1045" s="0" t="inlineStr">
        <is>
          <t xml:space="preserve">supplier</t>
        </is>
      </c>
      <c r="I1045" s="0" t="inlineStr">
        <is>
          <t xml:space="preserve">unbucketed</t>
        </is>
      </c>
      <c r="J1045" s="0" t="inlineStr">
        <is>
          <t xml:space="preserve">residual</t>
        </is>
      </c>
      <c r="K1045" s="5">
        <v>0</v>
      </c>
      <c r="L1045" s="5">
        <v>0</v>
      </c>
      <c r="M1045" s="5">
        <v>0.0</v>
      </c>
      <c r="N1045" s="5">
        <v>0.0</v>
      </c>
      <c r="O1045" s="5">
        <v>0.0</v>
      </c>
      <c r="P1045" s="5">
        <v>0.0</v>
      </c>
      <c r="Q1045" s="5">
        <v>0.0</v>
      </c>
    </row>
    <row r="1046" outlineLevel="1">
      <c r="B1046" s="0" t="inlineStr">
        <is>
          <t xml:space="preserve">BLACK &amp; DECKER (U.S.) INC.</t>
        </is>
      </c>
      <c r="C1046" s="0" t="inlineStr">
        <is>
          <t xml:space="preserve">CXZ9PUEZ5SQ7</t>
        </is>
      </c>
      <c r="D1046" s="0" t="inlineStr">
        <is>
          <t xml:space="preserve">-</t>
        </is>
      </c>
      <c r="E1046" s="0" t="inlineStr">
        <is>
          <t xml:space="preserve">-</t>
        </is>
      </c>
      <c r="F1046" s="0" t="inlineStr">
        <is>
          <t xml:space="preserve">-</t>
        </is>
      </c>
      <c r="G1046" s="5">
        <v>0.360989</v>
      </c>
      <c r="H1046" s="0" t="inlineStr">
        <is>
          <t xml:space="preserve">supplier</t>
        </is>
      </c>
      <c r="I1046" s="0" t="inlineStr">
        <is>
          <t xml:space="preserve">unbucketed</t>
        </is>
      </c>
      <c r="J1046" s="0" t="inlineStr">
        <is>
          <t xml:space="preserve">residual</t>
        </is>
      </c>
      <c r="K1046" s="5">
        <v>0</v>
      </c>
      <c r="L1046" s="5">
        <v>0</v>
      </c>
      <c r="M1046" s="5">
        <v>0.360989</v>
      </c>
      <c r="N1046" s="5">
        <v>0.0</v>
      </c>
      <c r="O1046" s="5">
        <v>0.0</v>
      </c>
      <c r="P1046" s="5">
        <v>0.0</v>
      </c>
      <c r="Q1046" s="5">
        <v>0.0</v>
      </c>
    </row>
    <row r="1047" outlineLevel="1">
      <c r="B1047" s="0" t="inlineStr">
        <is>
          <t xml:space="preserve">DANVILLE METAL STAMPING CO INC</t>
        </is>
      </c>
      <c r="C1047" s="0" t="inlineStr">
        <is>
          <t xml:space="preserve">X82AS93C28H7</t>
        </is>
      </c>
      <c r="D1047" s="0" t="inlineStr">
        <is>
          <t xml:space="preserve">-</t>
        </is>
      </c>
      <c r="E1047" s="0" t="inlineStr">
        <is>
          <t xml:space="preserve">-</t>
        </is>
      </c>
      <c r="F1047" s="0" t="inlineStr">
        <is>
          <t xml:space="preserve">-</t>
        </is>
      </c>
      <c r="G1047" s="5">
        <v>0.359584</v>
      </c>
      <c r="H1047" s="0" t="inlineStr">
        <is>
          <t xml:space="preserve">supplier</t>
        </is>
      </c>
      <c r="I1047" s="0" t="inlineStr">
        <is>
          <t xml:space="preserve">unbucketed</t>
        </is>
      </c>
      <c r="J1047" s="0" t="inlineStr">
        <is>
          <t xml:space="preserve">residual</t>
        </is>
      </c>
      <c r="K1047" s="5">
        <v>0</v>
      </c>
      <c r="L1047" s="5">
        <v>0</v>
      </c>
      <c r="M1047" s="5">
        <v>0.0</v>
      </c>
      <c r="N1047" s="5">
        <v>0.0</v>
      </c>
      <c r="O1047" s="5">
        <v>0.0</v>
      </c>
      <c r="P1047" s="5">
        <v>0.0</v>
      </c>
      <c r="Q1047" s="5">
        <v>0.0</v>
      </c>
    </row>
    <row r="1048" outlineLevel="1">
      <c r="B1048" s="0" t="inlineStr">
        <is>
          <t xml:space="preserve">DLP ENTERPRISES, INC</t>
        </is>
      </c>
      <c r="C1048" s="0" t="inlineStr">
        <is>
          <t xml:space="preserve">FALZPQ7LVMU5</t>
        </is>
      </c>
      <c r="D1048" s="0" t="inlineStr">
        <is>
          <t xml:space="preserve">-</t>
        </is>
      </c>
      <c r="E1048" s="0" t="inlineStr">
        <is>
          <t xml:space="preserve">-</t>
        </is>
      </c>
      <c r="F1048" s="0" t="inlineStr">
        <is>
          <t xml:space="preserve">-</t>
        </is>
      </c>
      <c r="G1048" s="5">
        <v>0.359271</v>
      </c>
      <c r="H1048" s="0" t="inlineStr">
        <is>
          <t xml:space="preserve">supplier</t>
        </is>
      </c>
      <c r="I1048" s="0" t="inlineStr">
        <is>
          <t xml:space="preserve">unbucketed</t>
        </is>
      </c>
      <c r="J1048" s="0" t="inlineStr">
        <is>
          <t xml:space="preserve">residual</t>
        </is>
      </c>
      <c r="K1048" s="5">
        <v>0</v>
      </c>
      <c r="L1048" s="5">
        <v>0</v>
      </c>
      <c r="M1048" s="5">
        <v>0.0</v>
      </c>
      <c r="N1048" s="5">
        <v>0.0</v>
      </c>
      <c r="O1048" s="5">
        <v>0.0</v>
      </c>
      <c r="P1048" s="5">
        <v>0.0</v>
      </c>
      <c r="Q1048" s="5">
        <v>0.0</v>
      </c>
    </row>
    <row r="1049" outlineLevel="1">
      <c r="B1049" s="0" t="inlineStr">
        <is>
          <t xml:space="preserve">MASON FOREST PRODUCTS INC</t>
        </is>
      </c>
      <c r="C1049" s="0" t="inlineStr">
        <is>
          <t xml:space="preserve">VE86LWM6ABF6</t>
        </is>
      </c>
      <c r="D1049" s="0" t="inlineStr">
        <is>
          <t xml:space="preserve">-</t>
        </is>
      </c>
      <c r="E1049" s="0" t="inlineStr">
        <is>
          <t xml:space="preserve">-</t>
        </is>
      </c>
      <c r="F1049" s="0" t="inlineStr">
        <is>
          <t xml:space="preserve">-</t>
        </is>
      </c>
      <c r="G1049" s="5">
        <v>0.35824619999999996</v>
      </c>
      <c r="H1049" s="0" t="inlineStr">
        <is>
          <t xml:space="preserve">supplier</t>
        </is>
      </c>
      <c r="I1049" s="0" t="inlineStr">
        <is>
          <t xml:space="preserve">unbucketed</t>
        </is>
      </c>
      <c r="J1049" s="0" t="inlineStr">
        <is>
          <t xml:space="preserve">residual</t>
        </is>
      </c>
      <c r="K1049" s="5">
        <v>0</v>
      </c>
      <c r="L1049" s="5">
        <v>0</v>
      </c>
      <c r="M1049" s="5">
        <v>0.35824619999999996</v>
      </c>
      <c r="N1049" s="5">
        <v>0.0</v>
      </c>
      <c r="O1049" s="5">
        <v>0.1261668</v>
      </c>
      <c r="P1049" s="5">
        <v>0.0</v>
      </c>
      <c r="Q1049" s="5">
        <v>0.12174639999999999</v>
      </c>
    </row>
    <row r="1050" outlineLevel="1">
      <c r="B1050" s="0" t="inlineStr">
        <is>
          <t xml:space="preserve">CANTON DROP FORGE, INC.</t>
        </is>
      </c>
      <c r="C1050" s="0" t="inlineStr">
        <is>
          <t xml:space="preserve">YJSBW8CZYM65</t>
        </is>
      </c>
      <c r="D1050" s="0" t="inlineStr">
        <is>
          <t xml:space="preserve">-</t>
        </is>
      </c>
      <c r="E1050" s="0" t="inlineStr">
        <is>
          <t xml:space="preserve">-</t>
        </is>
      </c>
      <c r="F1050" s="0" t="inlineStr">
        <is>
          <t xml:space="preserve">-</t>
        </is>
      </c>
      <c r="G1050" s="5">
        <v>0.35794</v>
      </c>
      <c r="H1050" s="0" t="inlineStr">
        <is>
          <t xml:space="preserve">supplier</t>
        </is>
      </c>
      <c r="I1050" s="0" t="inlineStr">
        <is>
          <t xml:space="preserve">unbucketed</t>
        </is>
      </c>
      <c r="J1050" s="0" t="inlineStr">
        <is>
          <t xml:space="preserve">residual</t>
        </is>
      </c>
      <c r="K1050" s="5">
        <v>0</v>
      </c>
      <c r="L1050" s="5">
        <v>0</v>
      </c>
      <c r="M1050" s="5">
        <v>0.0</v>
      </c>
      <c r="N1050" s="5">
        <v>0.0</v>
      </c>
      <c r="O1050" s="5">
        <v>0.0</v>
      </c>
      <c r="P1050" s="5">
        <v>0.0</v>
      </c>
      <c r="Q1050" s="5">
        <v>0.0</v>
      </c>
    </row>
    <row r="1051" outlineLevel="1">
      <c r="B1051" s="0" t="inlineStr">
        <is>
          <t xml:space="preserve">L3 TECHNOLOGIES, INC.</t>
        </is>
      </c>
      <c r="C1051" s="0" t="inlineStr">
        <is>
          <t xml:space="preserve">QV38GMJUBJQ3</t>
        </is>
      </c>
      <c r="D1051" s="0" t="inlineStr">
        <is>
          <t xml:space="preserve">USA</t>
        </is>
      </c>
      <c r="E1051" s="0" t="inlineStr">
        <is>
          <t xml:space="preserve">3345</t>
        </is>
      </c>
      <c r="F1051" s="0" t="inlineStr">
        <is>
          <t xml:space="preserve">Search, Detection, Navigation, Guidance, Aeronautical, and Nautical System and Instrument Manufacturing</t>
        </is>
      </c>
      <c r="G1051" s="5">
        <v>0.357163</v>
      </c>
      <c r="H1051" s="0" t="inlineStr">
        <is>
          <t xml:space="preserve">supplier</t>
        </is>
      </c>
      <c r="I1051" s="0" t="inlineStr">
        <is>
          <t xml:space="preserve">unbucketed</t>
        </is>
      </c>
      <c r="J1051" s="0" t="inlineStr">
        <is>
          <t xml:space="preserve">residual</t>
        </is>
      </c>
      <c r="K1051" s="5">
        <v>0</v>
      </c>
      <c r="L1051" s="5">
        <v>0</v>
      </c>
      <c r="M1051" s="5">
        <v>0.0</v>
      </c>
      <c r="N1051" s="5">
        <v>0.0</v>
      </c>
      <c r="O1051" s="5">
        <v>0.0</v>
      </c>
      <c r="P1051" s="5">
        <v>0.0</v>
      </c>
      <c r="Q1051" s="5">
        <v>0.0</v>
      </c>
    </row>
    <row r="1052" outlineLevel="1">
      <c r="B1052" s="0" t="inlineStr">
        <is>
          <t xml:space="preserve">GULF COAST MARINE SUPPLY CO</t>
        </is>
      </c>
      <c r="C1052" s="0" t="inlineStr">
        <is>
          <t xml:space="preserve">HYN4GBTR6TF3</t>
        </is>
      </c>
      <c r="D1052" s="0" t="inlineStr">
        <is>
          <t xml:space="preserve">-</t>
        </is>
      </c>
      <c r="E1052" s="0" t="inlineStr">
        <is>
          <t xml:space="preserve">-</t>
        </is>
      </c>
      <c r="F1052" s="0" t="inlineStr">
        <is>
          <t xml:space="preserve">-</t>
        </is>
      </c>
      <c r="G1052" s="5">
        <v>0.3568973</v>
      </c>
      <c r="H1052" s="0" t="inlineStr">
        <is>
          <t xml:space="preserve">supplier</t>
        </is>
      </c>
      <c r="I1052" s="0" t="inlineStr">
        <is>
          <t xml:space="preserve">unbucketed</t>
        </is>
      </c>
      <c r="J1052" s="0" t="inlineStr">
        <is>
          <t xml:space="preserve">residual</t>
        </is>
      </c>
      <c r="K1052" s="5">
        <v>0</v>
      </c>
      <c r="L1052" s="5">
        <v>0</v>
      </c>
      <c r="M1052" s="5">
        <v>0.3568973</v>
      </c>
      <c r="N1052" s="5">
        <v>0.0</v>
      </c>
      <c r="O1052" s="5">
        <v>0.0</v>
      </c>
      <c r="P1052" s="5">
        <v>0.0718233</v>
      </c>
      <c r="Q1052" s="5">
        <v>0.120015</v>
      </c>
    </row>
    <row r="1053" outlineLevel="1">
      <c r="B1053" s="0" t="inlineStr">
        <is>
          <t xml:space="preserve">S &amp; K ELECTRONICS INC</t>
        </is>
      </c>
      <c r="C1053" s="0" t="inlineStr">
        <is>
          <t xml:space="preserve">DUAYW5R6MXY5</t>
        </is>
      </c>
      <c r="D1053" s="0" t="inlineStr">
        <is>
          <t xml:space="preserve">-</t>
        </is>
      </c>
      <c r="E1053" s="0" t="inlineStr">
        <is>
          <t xml:space="preserve">-</t>
        </is>
      </c>
      <c r="F1053" s="0" t="inlineStr">
        <is>
          <t xml:space="preserve">-</t>
        </is>
      </c>
      <c r="G1053" s="5">
        <v>0.355972</v>
      </c>
      <c r="H1053" s="0" t="inlineStr">
        <is>
          <t xml:space="preserve">supplier</t>
        </is>
      </c>
      <c r="I1053" s="0" t="inlineStr">
        <is>
          <t xml:space="preserve">unbucketed</t>
        </is>
      </c>
      <c r="J1053" s="0" t="inlineStr">
        <is>
          <t xml:space="preserve">residual</t>
        </is>
      </c>
      <c r="K1053" s="5">
        <v>0</v>
      </c>
      <c r="L1053" s="5">
        <v>0</v>
      </c>
      <c r="M1053" s="5">
        <v>0.0</v>
      </c>
      <c r="N1053" s="5">
        <v>0.0</v>
      </c>
      <c r="O1053" s="5">
        <v>0.0</v>
      </c>
      <c r="P1053" s="5">
        <v>0.0</v>
      </c>
      <c r="Q1053" s="5">
        <v>0.0</v>
      </c>
    </row>
    <row r="1054" outlineLevel="1">
      <c r="B1054" s="0" t="inlineStr">
        <is>
          <t xml:space="preserve">FEDERAL DEFENSE SOLUTIONS, INC.</t>
        </is>
      </c>
      <c r="C1054" s="0" t="inlineStr">
        <is>
          <t xml:space="preserve">U5DEVLMH9KR8</t>
        </is>
      </c>
      <c r="D1054" s="0" t="inlineStr">
        <is>
          <t xml:space="preserve">-</t>
        </is>
      </c>
      <c r="E1054" s="0" t="inlineStr">
        <is>
          <t xml:space="preserve">-</t>
        </is>
      </c>
      <c r="F1054" s="0" t="inlineStr">
        <is>
          <t xml:space="preserve">-</t>
        </is>
      </c>
      <c r="G1054" s="5">
        <v>0.35592</v>
      </c>
      <c r="H1054" s="0" t="inlineStr">
        <is>
          <t xml:space="preserve">supplier</t>
        </is>
      </c>
      <c r="I1054" s="0" t="inlineStr">
        <is>
          <t xml:space="preserve">unbucketed</t>
        </is>
      </c>
      <c r="J1054" s="0" t="inlineStr">
        <is>
          <t xml:space="preserve">residual</t>
        </is>
      </c>
      <c r="K1054" s="5">
        <v>0</v>
      </c>
      <c r="L1054" s="5">
        <v>0</v>
      </c>
      <c r="M1054" s="5">
        <v>0.0</v>
      </c>
      <c r="N1054" s="5">
        <v>0.0</v>
      </c>
      <c r="O1054" s="5">
        <v>0.0</v>
      </c>
      <c r="P1054" s="5">
        <v>0.0</v>
      </c>
      <c r="Q1054" s="5">
        <v>0.0</v>
      </c>
    </row>
    <row r="1055" outlineLevel="1">
      <c r="B1055" s="0" t="inlineStr">
        <is>
          <t xml:space="preserve">ADVANCED STRUCTURES CORPORATION</t>
        </is>
      </c>
      <c r="C1055" s="0" t="inlineStr">
        <is>
          <t xml:space="preserve">JR3NDKLB4BH9</t>
        </is>
      </c>
      <c r="D1055" s="0" t="inlineStr">
        <is>
          <t xml:space="preserve">-</t>
        </is>
      </c>
      <c r="E1055" s="0" t="inlineStr">
        <is>
          <t xml:space="preserve">-</t>
        </is>
      </c>
      <c r="F1055" s="0" t="inlineStr">
        <is>
          <t xml:space="preserve">-</t>
        </is>
      </c>
      <c r="G1055" s="5">
        <v>0.35497275</v>
      </c>
      <c r="H1055" s="0" t="inlineStr">
        <is>
          <t xml:space="preserve">supplier</t>
        </is>
      </c>
      <c r="I1055" s="0" t="inlineStr">
        <is>
          <t xml:space="preserve">unbucketed</t>
        </is>
      </c>
      <c r="J1055" s="0" t="inlineStr">
        <is>
          <t xml:space="preserve">residual</t>
        </is>
      </c>
      <c r="K1055" s="5">
        <v>0</v>
      </c>
      <c r="L1055" s="5">
        <v>0</v>
      </c>
      <c r="M1055" s="5">
        <v>0.35497275</v>
      </c>
      <c r="N1055" s="5">
        <v>0.0</v>
      </c>
      <c r="O1055" s="5">
        <v>0.0</v>
      </c>
      <c r="P1055" s="5">
        <v>0.0</v>
      </c>
      <c r="Q1055" s="5">
        <v>0.0</v>
      </c>
    </row>
    <row r="1056" outlineLevel="1">
      <c r="B1056" s="0" t="inlineStr">
        <is>
          <t xml:space="preserve">CHANDLER INDUSTRIES, INC.</t>
        </is>
      </c>
      <c r="C1056" s="0" t="inlineStr">
        <is>
          <t xml:space="preserve">WYZBDFHUT669</t>
        </is>
      </c>
      <c r="D1056" s="0" t="inlineStr">
        <is>
          <t xml:space="preserve">-</t>
        </is>
      </c>
      <c r="E1056" s="0" t="inlineStr">
        <is>
          <t xml:space="preserve">-</t>
        </is>
      </c>
      <c r="F1056" s="0" t="inlineStr">
        <is>
          <t xml:space="preserve">-</t>
        </is>
      </c>
      <c r="G1056" s="5">
        <v>0.35424</v>
      </c>
      <c r="H1056" s="0" t="inlineStr">
        <is>
          <t xml:space="preserve">supplier</t>
        </is>
      </c>
      <c r="I1056" s="0" t="inlineStr">
        <is>
          <t xml:space="preserve">unbucketed</t>
        </is>
      </c>
      <c r="J1056" s="0" t="inlineStr">
        <is>
          <t xml:space="preserve">residual</t>
        </is>
      </c>
      <c r="K1056" s="5">
        <v>0</v>
      </c>
      <c r="L1056" s="5">
        <v>0</v>
      </c>
      <c r="M1056" s="5">
        <v>0.0</v>
      </c>
      <c r="N1056" s="5">
        <v>0.0</v>
      </c>
      <c r="O1056" s="5">
        <v>0.0</v>
      </c>
      <c r="P1056" s="5">
        <v>0.0</v>
      </c>
      <c r="Q1056" s="5">
        <v>0.0</v>
      </c>
    </row>
    <row r="1057" outlineLevel="1">
      <c r="B1057" s="0" t="inlineStr">
        <is>
          <t xml:space="preserve">HEXCEL CORPORATION</t>
        </is>
      </c>
      <c r="C1057" s="0" t="inlineStr">
        <is>
          <t xml:space="preserve">F98TZC6J5XV1</t>
        </is>
      </c>
      <c r="D1057" s="0" t="inlineStr">
        <is>
          <t xml:space="preserve">-</t>
        </is>
      </c>
      <c r="E1057" s="0" t="inlineStr">
        <is>
          <t xml:space="preserve">-</t>
        </is>
      </c>
      <c r="F1057" s="0" t="inlineStr">
        <is>
          <t xml:space="preserve">-</t>
        </is>
      </c>
      <c r="G1057" s="5">
        <v>0.35403993</v>
      </c>
      <c r="H1057" s="0" t="inlineStr">
        <is>
          <t xml:space="preserve">supplier</t>
        </is>
      </c>
      <c r="I1057" s="0" t="inlineStr">
        <is>
          <t xml:space="preserve">unbucketed</t>
        </is>
      </c>
      <c r="J1057" s="0" t="inlineStr">
        <is>
          <t xml:space="preserve">residual</t>
        </is>
      </c>
      <c r="K1057" s="5">
        <v>0</v>
      </c>
      <c r="L1057" s="5">
        <v>0</v>
      </c>
      <c r="M1057" s="5">
        <v>0.35403993</v>
      </c>
      <c r="N1057" s="5">
        <v>0.141232</v>
      </c>
      <c r="O1057" s="5">
        <v>0.0</v>
      </c>
      <c r="P1057" s="5">
        <v>0.0</v>
      </c>
      <c r="Q1057" s="5">
        <v>0.0</v>
      </c>
    </row>
    <row r="1058" outlineLevel="1">
      <c r="B1058" s="0" t="inlineStr">
        <is>
          <t xml:space="preserve">COBHAM PLC</t>
        </is>
      </c>
      <c r="C1058" s="0" t="inlineStr">
        <is>
          <t xml:space="preserve">MMA7H4NEMCT9</t>
        </is>
      </c>
      <c r="D1058" s="0" t="inlineStr">
        <is>
          <t xml:space="preserve">-</t>
        </is>
      </c>
      <c r="E1058" s="0" t="inlineStr">
        <is>
          <t xml:space="preserve">-</t>
        </is>
      </c>
      <c r="F1058" s="0" t="inlineStr">
        <is>
          <t xml:space="preserve">-</t>
        </is>
      </c>
      <c r="G1058" s="5">
        <v>0.35283</v>
      </c>
      <c r="H1058" s="0" t="inlineStr">
        <is>
          <t xml:space="preserve">supplier</t>
        </is>
      </c>
      <c r="I1058" s="0" t="inlineStr">
        <is>
          <t xml:space="preserve">unbucketed</t>
        </is>
      </c>
      <c r="J1058" s="0" t="inlineStr">
        <is>
          <t xml:space="preserve">residual</t>
        </is>
      </c>
      <c r="K1058" s="5">
        <v>0</v>
      </c>
      <c r="L1058" s="5">
        <v>0</v>
      </c>
      <c r="M1058" s="5">
        <v>0.0</v>
      </c>
      <c r="N1058" s="5">
        <v>0.0</v>
      </c>
      <c r="O1058" s="5">
        <v>0.0</v>
      </c>
      <c r="P1058" s="5">
        <v>0.0</v>
      </c>
      <c r="Q1058" s="5">
        <v>0.0</v>
      </c>
    </row>
    <row r="1059" outlineLevel="1">
      <c r="B1059" s="0" t="inlineStr">
        <is>
          <t xml:space="preserve">COMMAND TECHNOLOGY, INC.</t>
        </is>
      </c>
      <c r="C1059" s="0" t="inlineStr">
        <is>
          <t xml:space="preserve">LGL5G33FJ6D5</t>
        </is>
      </c>
      <c r="D1059" s="0" t="inlineStr">
        <is>
          <t xml:space="preserve">-</t>
        </is>
      </c>
      <c r="E1059" s="0" t="inlineStr">
        <is>
          <t xml:space="preserve">-</t>
        </is>
      </c>
      <c r="F1059" s="0" t="inlineStr">
        <is>
          <t xml:space="preserve">-</t>
        </is>
      </c>
      <c r="G1059" s="5">
        <v>0.352525</v>
      </c>
      <c r="H1059" s="0" t="inlineStr">
        <is>
          <t xml:space="preserve">supplier</t>
        </is>
      </c>
      <c r="I1059" s="0" t="inlineStr">
        <is>
          <t xml:space="preserve">unbucketed</t>
        </is>
      </c>
      <c r="J1059" s="0" t="inlineStr">
        <is>
          <t xml:space="preserve">residual</t>
        </is>
      </c>
      <c r="K1059" s="5">
        <v>0</v>
      </c>
      <c r="L1059" s="5">
        <v>0</v>
      </c>
      <c r="M1059" s="5">
        <v>0.0</v>
      </c>
      <c r="N1059" s="5">
        <v>0.0</v>
      </c>
      <c r="O1059" s="5">
        <v>0.0</v>
      </c>
      <c r="P1059" s="5">
        <v>0.0</v>
      </c>
      <c r="Q1059" s="5">
        <v>0.0</v>
      </c>
    </row>
    <row r="1060" outlineLevel="1">
      <c r="B1060" s="0" t="inlineStr">
        <is>
          <t xml:space="preserve">DELL TECHNOLOGIES INC.</t>
        </is>
      </c>
      <c r="C1060" s="0" t="inlineStr">
        <is>
          <t xml:space="preserve">N1C5QLNPJLS4</t>
        </is>
      </c>
      <c r="D1060" s="0" t="inlineStr">
        <is>
          <t xml:space="preserve">-</t>
        </is>
      </c>
      <c r="E1060" s="0" t="inlineStr">
        <is>
          <t xml:space="preserve">-</t>
        </is>
      </c>
      <c r="F1060" s="0" t="inlineStr">
        <is>
          <t xml:space="preserve">-</t>
        </is>
      </c>
      <c r="G1060" s="5">
        <v>0.35218151000000003</v>
      </c>
      <c r="H1060" s="0" t="inlineStr">
        <is>
          <t xml:space="preserve">supplier</t>
        </is>
      </c>
      <c r="I1060" s="0" t="inlineStr">
        <is>
          <t xml:space="preserve">unbucketed</t>
        </is>
      </c>
      <c r="J1060" s="0" t="inlineStr">
        <is>
          <t xml:space="preserve">residual</t>
        </is>
      </c>
      <c r="K1060" s="5">
        <v>0</v>
      </c>
      <c r="L1060" s="5">
        <v>0</v>
      </c>
      <c r="M1060" s="5">
        <v>0.0</v>
      </c>
      <c r="N1060" s="5">
        <v>0.0</v>
      </c>
      <c r="O1060" s="5">
        <v>0.0</v>
      </c>
      <c r="P1060" s="5">
        <v>0.0</v>
      </c>
      <c r="Q1060" s="5">
        <v>0.0</v>
      </c>
    </row>
    <row r="1061" outlineLevel="1">
      <c r="B1061" s="0" t="inlineStr">
        <is>
          <t xml:space="preserve">J &amp; E MANUFACTURING CO.</t>
        </is>
      </c>
      <c r="C1061" s="0" t="inlineStr">
        <is>
          <t xml:space="preserve">XUKQGZPMTC96</t>
        </is>
      </c>
      <c r="D1061" s="0" t="inlineStr">
        <is>
          <t xml:space="preserve">-</t>
        </is>
      </c>
      <c r="E1061" s="0" t="inlineStr">
        <is>
          <t xml:space="preserve">-</t>
        </is>
      </c>
      <c r="F1061" s="0" t="inlineStr">
        <is>
          <t xml:space="preserve">-</t>
        </is>
      </c>
      <c r="G1061" s="5">
        <v>0.349536</v>
      </c>
      <c r="H1061" s="0" t="inlineStr">
        <is>
          <t xml:space="preserve">supplier</t>
        </is>
      </c>
      <c r="I1061" s="0" t="inlineStr">
        <is>
          <t xml:space="preserve">unbucketed</t>
        </is>
      </c>
      <c r="J1061" s="0" t="inlineStr">
        <is>
          <t xml:space="preserve">residual</t>
        </is>
      </c>
      <c r="K1061" s="5">
        <v>0</v>
      </c>
      <c r="L1061" s="5">
        <v>0</v>
      </c>
      <c r="M1061" s="5">
        <v>0.0</v>
      </c>
      <c r="N1061" s="5">
        <v>0.0</v>
      </c>
      <c r="O1061" s="5">
        <v>0.0</v>
      </c>
      <c r="P1061" s="5">
        <v>0.0</v>
      </c>
      <c r="Q1061" s="5">
        <v>0.0</v>
      </c>
    </row>
    <row r="1062" outlineLevel="1">
      <c r="B1062" s="0" t="inlineStr">
        <is>
          <t xml:space="preserve">LIMITORQUE CORPORATION</t>
        </is>
      </c>
      <c r="C1062" s="0" t="inlineStr">
        <is>
          <t xml:space="preserve">V16LFA3JDR14</t>
        </is>
      </c>
      <c r="D1062" s="0" t="inlineStr">
        <is>
          <t xml:space="preserve">-</t>
        </is>
      </c>
      <c r="E1062" s="0" t="inlineStr">
        <is>
          <t xml:space="preserve">-</t>
        </is>
      </c>
      <c r="F1062" s="0" t="inlineStr">
        <is>
          <t xml:space="preserve">-</t>
        </is>
      </c>
      <c r="G1062" s="5">
        <v>0.348972</v>
      </c>
      <c r="H1062" s="0" t="inlineStr">
        <is>
          <t xml:space="preserve">supplier</t>
        </is>
      </c>
      <c r="I1062" s="0" t="inlineStr">
        <is>
          <t xml:space="preserve">unbucketed</t>
        </is>
      </c>
      <c r="J1062" s="0" t="inlineStr">
        <is>
          <t xml:space="preserve">residual</t>
        </is>
      </c>
      <c r="K1062" s="5">
        <v>0</v>
      </c>
      <c r="L1062" s="5">
        <v>0</v>
      </c>
      <c r="M1062" s="5">
        <v>0.348972</v>
      </c>
      <c r="N1062" s="5">
        <v>0.0</v>
      </c>
      <c r="O1062" s="5">
        <v>0.0</v>
      </c>
      <c r="P1062" s="5">
        <v>0.0</v>
      </c>
      <c r="Q1062" s="5">
        <v>0.0</v>
      </c>
    </row>
    <row r="1063" outlineLevel="1">
      <c r="B1063" s="0" t="inlineStr">
        <is>
          <t xml:space="preserve">PARKER-HANNIFIN CORPORATION</t>
        </is>
      </c>
      <c r="C1063" s="0" t="inlineStr">
        <is>
          <t xml:space="preserve">N8JDP1S6URN3</t>
        </is>
      </c>
      <c r="D1063" s="0" t="inlineStr">
        <is>
          <t xml:space="preserve">USA</t>
        </is>
      </c>
      <c r="E1063" s="0" t="inlineStr">
        <is>
          <t xml:space="preserve">5511</t>
        </is>
      </c>
      <c r="F1063" s="0" t="inlineStr">
        <is>
          <t xml:space="preserve">Corporate, Subsidiary, and Regional Managing Offices</t>
        </is>
      </c>
      <c r="G1063" s="5">
        <v>0.34755835</v>
      </c>
      <c r="H1063" s="0" t="inlineStr">
        <is>
          <t xml:space="preserve">holding</t>
        </is>
      </c>
      <c r="I1063" s="0" t="inlineStr">
        <is>
          <t xml:space="preserve">-</t>
        </is>
      </c>
      <c r="J1063" s="0" t="inlineStr">
        <is>
          <t xml:space="preserve">holding-co (5511)</t>
        </is>
      </c>
      <c r="K1063" s="5">
        <v>0</v>
      </c>
      <c r="L1063" s="5">
        <v>0</v>
      </c>
      <c r="M1063" s="5">
        <v>0.0</v>
      </c>
      <c r="N1063" s="5">
        <v>0.0</v>
      </c>
      <c r="O1063" s="5">
        <v>0.0</v>
      </c>
      <c r="P1063" s="5">
        <v>0.0</v>
      </c>
      <c r="Q1063" s="5">
        <v>0.0</v>
      </c>
    </row>
    <row r="1064" outlineLevel="1">
      <c r="B1064" s="0" t="inlineStr">
        <is>
          <t xml:space="preserve">CURTIS WRIGHT BUILDERS LLC</t>
        </is>
      </c>
      <c r="C1064" s="0" t="inlineStr">
        <is>
          <t xml:space="preserve">L14LNGXH8M26</t>
        </is>
      </c>
      <c r="D1064" s="0" t="inlineStr">
        <is>
          <t xml:space="preserve">-</t>
        </is>
      </c>
      <c r="E1064" s="0" t="inlineStr">
        <is>
          <t xml:space="preserve">-</t>
        </is>
      </c>
      <c r="F1064" s="0" t="inlineStr">
        <is>
          <t xml:space="preserve">-</t>
        </is>
      </c>
      <c r="G1064" s="5">
        <v>0.34650000000000003</v>
      </c>
      <c r="H1064" s="0" t="inlineStr">
        <is>
          <t xml:space="preserve">supplier</t>
        </is>
      </c>
      <c r="I1064" s="0" t="inlineStr">
        <is>
          <t xml:space="preserve">unbucketed</t>
        </is>
      </c>
      <c r="J1064" s="0" t="inlineStr">
        <is>
          <t xml:space="preserve">residual</t>
        </is>
      </c>
      <c r="K1064" s="5">
        <v>0</v>
      </c>
      <c r="L1064" s="5">
        <v>0</v>
      </c>
      <c r="M1064" s="5">
        <v>0.34650000000000003</v>
      </c>
      <c r="N1064" s="5">
        <v>0.0</v>
      </c>
      <c r="O1064" s="5">
        <v>0.0</v>
      </c>
      <c r="P1064" s="5">
        <v>0.0</v>
      </c>
      <c r="Q1064" s="5">
        <v>0.0</v>
      </c>
    </row>
    <row r="1065" outlineLevel="1">
      <c r="B1065" s="0" t="inlineStr">
        <is>
          <t xml:space="preserve">INDIUM CORPORATION OF AMERICA, THE</t>
        </is>
      </c>
      <c r="C1065" s="0" t="inlineStr">
        <is>
          <t xml:space="preserve">MVJ8VFHHZ9J1</t>
        </is>
      </c>
      <c r="D1065" s="0" t="inlineStr">
        <is>
          <t xml:space="preserve">-</t>
        </is>
      </c>
      <c r="E1065" s="0" t="inlineStr">
        <is>
          <t xml:space="preserve">-</t>
        </is>
      </c>
      <c r="F1065" s="0" t="inlineStr">
        <is>
          <t xml:space="preserve">-</t>
        </is>
      </c>
      <c r="G1065" s="5">
        <v>0.343862</v>
      </c>
      <c r="H1065" s="0" t="inlineStr">
        <is>
          <t xml:space="preserve">supplier</t>
        </is>
      </c>
      <c r="I1065" s="0" t="inlineStr">
        <is>
          <t xml:space="preserve">unbucketed</t>
        </is>
      </c>
      <c r="J1065" s="0" t="inlineStr">
        <is>
          <t xml:space="preserve">residual</t>
        </is>
      </c>
      <c r="K1065" s="5">
        <v>0</v>
      </c>
      <c r="L1065" s="5">
        <v>0</v>
      </c>
      <c r="M1065" s="5">
        <v>0.0</v>
      </c>
      <c r="N1065" s="5">
        <v>0.0</v>
      </c>
      <c r="O1065" s="5">
        <v>0.0</v>
      </c>
      <c r="P1065" s="5">
        <v>0.0</v>
      </c>
      <c r="Q1065" s="5">
        <v>0.0</v>
      </c>
    </row>
    <row r="1066" outlineLevel="1">
      <c r="B1066" s="0" t="inlineStr">
        <is>
          <t xml:space="preserve">LA MACHINE SHOP, INC.</t>
        </is>
      </c>
      <c r="C1066" s="0" t="inlineStr">
        <is>
          <t xml:space="preserve">L6NCXSFJ3PV7</t>
        </is>
      </c>
      <c r="D1066" s="0" t="inlineStr">
        <is>
          <t xml:space="preserve">-</t>
        </is>
      </c>
      <c r="E1066" s="0" t="inlineStr">
        <is>
          <t xml:space="preserve">-</t>
        </is>
      </c>
      <c r="F1066" s="0" t="inlineStr">
        <is>
          <t xml:space="preserve">-</t>
        </is>
      </c>
      <c r="G1066" s="5">
        <v>0.34380370000000005</v>
      </c>
      <c r="H1066" s="0" t="inlineStr">
        <is>
          <t xml:space="preserve">supplier</t>
        </is>
      </c>
      <c r="I1066" s="0" t="inlineStr">
        <is>
          <t xml:space="preserve">unbucketed</t>
        </is>
      </c>
      <c r="J1066" s="0" t="inlineStr">
        <is>
          <t xml:space="preserve">residual</t>
        </is>
      </c>
      <c r="K1066" s="5">
        <v>0</v>
      </c>
      <c r="L1066" s="5">
        <v>0</v>
      </c>
      <c r="M1066" s="5">
        <v>0.0</v>
      </c>
      <c r="N1066" s="5">
        <v>0.0</v>
      </c>
      <c r="O1066" s="5">
        <v>0.0</v>
      </c>
      <c r="P1066" s="5">
        <v>0.0</v>
      </c>
      <c r="Q1066" s="5">
        <v>0.0</v>
      </c>
    </row>
    <row r="1067" outlineLevel="1">
      <c r="B1067" s="0" t="inlineStr">
        <is>
          <t xml:space="preserve">DATA DEVICE CORP</t>
        </is>
      </c>
      <c r="C1067" s="0" t="inlineStr">
        <is>
          <t xml:space="preserve">KLN3SMHBL368</t>
        </is>
      </c>
      <c r="D1067" s="0" t="inlineStr">
        <is>
          <t xml:space="preserve">-</t>
        </is>
      </c>
      <c r="E1067" s="0" t="inlineStr">
        <is>
          <t xml:space="preserve">-</t>
        </is>
      </c>
      <c r="F1067" s="0" t="inlineStr">
        <is>
          <t xml:space="preserve">-</t>
        </is>
      </c>
      <c r="G1067" s="5">
        <v>0.343281</v>
      </c>
      <c r="H1067" s="0" t="inlineStr">
        <is>
          <t xml:space="preserve">supplier</t>
        </is>
      </c>
      <c r="I1067" s="0" t="inlineStr">
        <is>
          <t xml:space="preserve">unbucketed</t>
        </is>
      </c>
      <c r="J1067" s="0" t="inlineStr">
        <is>
          <t xml:space="preserve">residual</t>
        </is>
      </c>
      <c r="K1067" s="5">
        <v>0</v>
      </c>
      <c r="L1067" s="5">
        <v>0</v>
      </c>
      <c r="M1067" s="5">
        <v>0.0</v>
      </c>
      <c r="N1067" s="5">
        <v>0.0</v>
      </c>
      <c r="O1067" s="5">
        <v>0.0</v>
      </c>
      <c r="P1067" s="5">
        <v>0.0</v>
      </c>
      <c r="Q1067" s="5">
        <v>0.0</v>
      </c>
    </row>
    <row r="1068" outlineLevel="1">
      <c r="B1068" s="0" t="inlineStr">
        <is>
          <t xml:space="preserve">TRIMAN INDUSTRIES INC</t>
        </is>
      </c>
      <c r="C1068" s="0" t="inlineStr">
        <is>
          <t xml:space="preserve">VWX3JEES4FF7</t>
        </is>
      </c>
      <c r="D1068" s="0" t="inlineStr">
        <is>
          <t xml:space="preserve">-</t>
        </is>
      </c>
      <c r="E1068" s="0" t="inlineStr">
        <is>
          <t xml:space="preserve">-</t>
        </is>
      </c>
      <c r="F1068" s="0" t="inlineStr">
        <is>
          <t xml:space="preserve">-</t>
        </is>
      </c>
      <c r="G1068" s="5">
        <v>0.34263306</v>
      </c>
      <c r="H1068" s="0" t="inlineStr">
        <is>
          <t xml:space="preserve">supplier</t>
        </is>
      </c>
      <c r="I1068" s="0" t="inlineStr">
        <is>
          <t xml:space="preserve">unbucketed</t>
        </is>
      </c>
      <c r="J1068" s="0" t="inlineStr">
        <is>
          <t xml:space="preserve">residual</t>
        </is>
      </c>
      <c r="K1068" s="5">
        <v>0</v>
      </c>
      <c r="L1068" s="5">
        <v>0</v>
      </c>
      <c r="M1068" s="5">
        <v>0.34263306</v>
      </c>
      <c r="N1068" s="5">
        <v>0.0</v>
      </c>
      <c r="O1068" s="5">
        <v>0.0</v>
      </c>
      <c r="P1068" s="5">
        <v>0.0</v>
      </c>
      <c r="Q1068" s="5">
        <v>0.34263306</v>
      </c>
    </row>
    <row r="1069" outlineLevel="1">
      <c r="B1069" s="0" t="inlineStr">
        <is>
          <t xml:space="preserve">ERIE ENGINEERED PRODUCTS, INC.</t>
        </is>
      </c>
      <c r="C1069" s="0" t="inlineStr">
        <is>
          <t xml:space="preserve">YDCCAJCSPGW3</t>
        </is>
      </c>
      <c r="D1069" s="0" t="inlineStr">
        <is>
          <t xml:space="preserve">-</t>
        </is>
      </c>
      <c r="E1069" s="0" t="inlineStr">
        <is>
          <t xml:space="preserve">-</t>
        </is>
      </c>
      <c r="F1069" s="0" t="inlineStr">
        <is>
          <t xml:space="preserve">-</t>
        </is>
      </c>
      <c r="G1069" s="5">
        <v>0.342594</v>
      </c>
      <c r="H1069" s="0" t="inlineStr">
        <is>
          <t xml:space="preserve">supplier</t>
        </is>
      </c>
      <c r="I1069" s="0" t="inlineStr">
        <is>
          <t xml:space="preserve">unbucketed</t>
        </is>
      </c>
      <c r="J1069" s="0" t="inlineStr">
        <is>
          <t xml:space="preserve">residual</t>
        </is>
      </c>
      <c r="K1069" s="5">
        <v>0</v>
      </c>
      <c r="L1069" s="5">
        <v>0</v>
      </c>
      <c r="M1069" s="5">
        <v>0.0</v>
      </c>
      <c r="N1069" s="5">
        <v>0.0</v>
      </c>
      <c r="O1069" s="5">
        <v>0.0</v>
      </c>
      <c r="P1069" s="5">
        <v>0.0</v>
      </c>
      <c r="Q1069" s="5">
        <v>0.0</v>
      </c>
    </row>
    <row r="1070" outlineLevel="1">
      <c r="B1070" s="0" t="inlineStr">
        <is>
          <t xml:space="preserve">PRECISION GASKET COMPANY</t>
        </is>
      </c>
      <c r="C1070" s="0" t="inlineStr">
        <is>
          <t xml:space="preserve">JTC4HGKH6PJ1</t>
        </is>
      </c>
      <c r="D1070" s="0" t="inlineStr">
        <is>
          <t xml:space="preserve">-</t>
        </is>
      </c>
      <c r="E1070" s="0" t="inlineStr">
        <is>
          <t xml:space="preserve">-</t>
        </is>
      </c>
      <c r="F1070" s="0" t="inlineStr">
        <is>
          <t xml:space="preserve">-</t>
        </is>
      </c>
      <c r="G1070" s="5">
        <v>0.34240409</v>
      </c>
      <c r="H1070" s="0" t="inlineStr">
        <is>
          <t xml:space="preserve">supplier</t>
        </is>
      </c>
      <c r="I1070" s="0" t="inlineStr">
        <is>
          <t xml:space="preserve">unbucketed</t>
        </is>
      </c>
      <c r="J1070" s="0" t="inlineStr">
        <is>
          <t xml:space="preserve">residual</t>
        </is>
      </c>
      <c r="K1070" s="5">
        <v>0</v>
      </c>
      <c r="L1070" s="5">
        <v>0</v>
      </c>
      <c r="M1070" s="5">
        <v>0.0</v>
      </c>
      <c r="N1070" s="5">
        <v>0.0</v>
      </c>
      <c r="O1070" s="5">
        <v>0.0</v>
      </c>
      <c r="P1070" s="5">
        <v>0.0</v>
      </c>
      <c r="Q1070" s="5">
        <v>0.0</v>
      </c>
    </row>
    <row r="1071" outlineLevel="1">
      <c r="B1071" s="0" t="inlineStr">
        <is>
          <t xml:space="preserve">SKF AUTOBALANCE SYSTEMS AB</t>
        </is>
      </c>
      <c r="C1071" s="0" t="inlineStr">
        <is>
          <t xml:space="preserve">SBU1CMRU6VV3</t>
        </is>
      </c>
      <c r="D1071" s="0" t="inlineStr">
        <is>
          <t xml:space="preserve">-</t>
        </is>
      </c>
      <c r="E1071" s="0" t="inlineStr">
        <is>
          <t xml:space="preserve">-</t>
        </is>
      </c>
      <c r="F1071" s="0" t="inlineStr">
        <is>
          <t xml:space="preserve">-</t>
        </is>
      </c>
      <c r="G1071" s="5">
        <v>0.338587</v>
      </c>
      <c r="H1071" s="0" t="inlineStr">
        <is>
          <t xml:space="preserve">supplier</t>
        </is>
      </c>
      <c r="I1071" s="0" t="inlineStr">
        <is>
          <t xml:space="preserve">unbucketed</t>
        </is>
      </c>
      <c r="J1071" s="0" t="inlineStr">
        <is>
          <t xml:space="preserve">residual</t>
        </is>
      </c>
      <c r="K1071" s="5">
        <v>0</v>
      </c>
      <c r="L1071" s="5">
        <v>0</v>
      </c>
      <c r="M1071" s="5">
        <v>0.0</v>
      </c>
      <c r="N1071" s="5">
        <v>0.0</v>
      </c>
      <c r="O1071" s="5">
        <v>0.0</v>
      </c>
      <c r="P1071" s="5">
        <v>0.0</v>
      </c>
      <c r="Q1071" s="5">
        <v>0.0</v>
      </c>
    </row>
    <row r="1072" outlineLevel="1">
      <c r="B1072" s="0" t="inlineStr">
        <is>
          <t xml:space="preserve">ARCELORMITTAL SA</t>
        </is>
      </c>
      <c r="C1072" s="0" t="inlineStr">
        <is>
          <t xml:space="preserve">X3DBJSMT83N5</t>
        </is>
      </c>
      <c r="D1072" s="0" t="inlineStr">
        <is>
          <t xml:space="preserve">-</t>
        </is>
      </c>
      <c r="E1072" s="0" t="inlineStr">
        <is>
          <t xml:space="preserve">-</t>
        </is>
      </c>
      <c r="F1072" s="0" t="inlineStr">
        <is>
          <t xml:space="preserve">-</t>
        </is>
      </c>
      <c r="G1072" s="5">
        <v>0.33812974</v>
      </c>
      <c r="H1072" s="0" t="inlineStr">
        <is>
          <t xml:space="preserve">supplier</t>
        </is>
      </c>
      <c r="I1072" s="0" t="inlineStr">
        <is>
          <t xml:space="preserve">structural</t>
        </is>
      </c>
      <c r="J1072" s="0" t="inlineStr">
        <is>
          <t xml:space="preserve">registry</t>
        </is>
      </c>
      <c r="K1072" s="5">
        <v>0</v>
      </c>
      <c r="L1072" s="5">
        <v>0</v>
      </c>
      <c r="M1072" s="5">
        <v>0.0</v>
      </c>
      <c r="N1072" s="5">
        <v>0.0</v>
      </c>
      <c r="O1072" s="5">
        <v>0.0</v>
      </c>
      <c r="P1072" s="5">
        <v>0.0</v>
      </c>
      <c r="Q1072" s="5">
        <v>0.0</v>
      </c>
    </row>
    <row r="1073" outlineLevel="1">
      <c r="B1073" s="0" t="inlineStr">
        <is>
          <t xml:space="preserve">WESCO AIRCRAFT HOLDINGS, INC.</t>
        </is>
      </c>
      <c r="C1073" s="0" t="inlineStr">
        <is>
          <t xml:space="preserve">CTPBZTS5EYK3</t>
        </is>
      </c>
      <c r="D1073" s="0" t="inlineStr">
        <is>
          <t xml:space="preserve">-</t>
        </is>
      </c>
      <c r="E1073" s="0" t="inlineStr">
        <is>
          <t xml:space="preserve">-</t>
        </is>
      </c>
      <c r="F1073" s="0" t="inlineStr">
        <is>
          <t xml:space="preserve">-</t>
        </is>
      </c>
      <c r="G1073" s="5">
        <v>0.33646504</v>
      </c>
      <c r="H1073" s="0" t="inlineStr">
        <is>
          <t xml:space="preserve">supplier</t>
        </is>
      </c>
      <c r="I1073" s="0" t="inlineStr">
        <is>
          <t xml:space="preserve">unbucketed</t>
        </is>
      </c>
      <c r="J1073" s="0" t="inlineStr">
        <is>
          <t xml:space="preserve">residual</t>
        </is>
      </c>
      <c r="K1073" s="5">
        <v>0</v>
      </c>
      <c r="L1073" s="5">
        <v>0</v>
      </c>
      <c r="M1073" s="5">
        <v>0.0</v>
      </c>
      <c r="N1073" s="5">
        <v>0.0</v>
      </c>
      <c r="O1073" s="5">
        <v>0.0</v>
      </c>
      <c r="P1073" s="5">
        <v>0.0</v>
      </c>
      <c r="Q1073" s="5">
        <v>0.0</v>
      </c>
    </row>
    <row r="1074" outlineLevel="1">
      <c r="B1074" s="0" t="inlineStr">
        <is>
          <t xml:space="preserve">COLUMBIA ASC INC</t>
        </is>
      </c>
      <c r="C1074" s="0" t="inlineStr">
        <is>
          <t xml:space="preserve">RSZ6YRCEBDN5</t>
        </is>
      </c>
      <c r="D1074" s="0" t="inlineStr">
        <is>
          <t xml:space="preserve">-</t>
        </is>
      </c>
      <c r="E1074" s="0" t="inlineStr">
        <is>
          <t xml:space="preserve">-</t>
        </is>
      </c>
      <c r="F1074" s="0" t="inlineStr">
        <is>
          <t xml:space="preserve">-</t>
        </is>
      </c>
      <c r="G1074" s="5">
        <v>0.335428</v>
      </c>
      <c r="H1074" s="0" t="inlineStr">
        <is>
          <t xml:space="preserve">supplier</t>
        </is>
      </c>
      <c r="I1074" s="0" t="inlineStr">
        <is>
          <t xml:space="preserve">unbucketed</t>
        </is>
      </c>
      <c r="J1074" s="0" t="inlineStr">
        <is>
          <t xml:space="preserve">residual</t>
        </is>
      </c>
      <c r="K1074" s="5">
        <v>0</v>
      </c>
      <c r="L1074" s="5">
        <v>0</v>
      </c>
      <c r="M1074" s="5">
        <v>0.0</v>
      </c>
      <c r="N1074" s="5">
        <v>0.0</v>
      </c>
      <c r="O1074" s="5">
        <v>0.0</v>
      </c>
      <c r="P1074" s="5">
        <v>0.0</v>
      </c>
      <c r="Q1074" s="5">
        <v>0.0</v>
      </c>
    </row>
    <row r="1075" outlineLevel="1">
      <c r="B1075" s="0" t="inlineStr">
        <is>
          <t xml:space="preserve">ARROWHEAD GLOBAL LLC</t>
        </is>
      </c>
      <c r="C1075" s="0" t="inlineStr">
        <is>
          <t xml:space="preserve">GJU6WW45U4F4</t>
        </is>
      </c>
      <c r="D1075" s="0" t="inlineStr">
        <is>
          <t xml:space="preserve">-</t>
        </is>
      </c>
      <c r="E1075" s="0" t="inlineStr">
        <is>
          <t xml:space="preserve">-</t>
        </is>
      </c>
      <c r="F1075" s="0" t="inlineStr">
        <is>
          <t xml:space="preserve">-</t>
        </is>
      </c>
      <c r="G1075" s="5">
        <v>0.3349311</v>
      </c>
      <c r="H1075" s="0" t="inlineStr">
        <is>
          <t xml:space="preserve">supplier</t>
        </is>
      </c>
      <c r="I1075" s="0" t="inlineStr">
        <is>
          <t xml:space="preserve">unbucketed</t>
        </is>
      </c>
      <c r="J1075" s="0" t="inlineStr">
        <is>
          <t xml:space="preserve">residual</t>
        </is>
      </c>
      <c r="K1075" s="5">
        <v>0</v>
      </c>
      <c r="L1075" s="5">
        <v>0</v>
      </c>
      <c r="M1075" s="5">
        <v>0.3349311</v>
      </c>
      <c r="N1075" s="5">
        <v>0.0</v>
      </c>
      <c r="O1075" s="5">
        <v>0.0</v>
      </c>
      <c r="P1075" s="5">
        <v>0.0</v>
      </c>
      <c r="Q1075" s="5">
        <v>0.0</v>
      </c>
    </row>
    <row r="1076" outlineLevel="1">
      <c r="B1076" s="0" t="inlineStr">
        <is>
          <t xml:space="preserve">SYSCO CORPORATION</t>
        </is>
      </c>
      <c r="C1076" s="0" t="inlineStr">
        <is>
          <t xml:space="preserve">CJ8CQLEM2RW3</t>
        </is>
      </c>
      <c r="D1076" s="0" t="inlineStr">
        <is>
          <t xml:space="preserve">-</t>
        </is>
      </c>
      <c r="E1076" s="0" t="inlineStr">
        <is>
          <t xml:space="preserve">-</t>
        </is>
      </c>
      <c r="F1076" s="0" t="inlineStr">
        <is>
          <t xml:space="preserve">-</t>
        </is>
      </c>
      <c r="G1076" s="5">
        <v>0.33489388</v>
      </c>
      <c r="H1076" s="0" t="inlineStr">
        <is>
          <t xml:space="preserve">supplier</t>
        </is>
      </c>
      <c r="I1076" s="0" t="inlineStr">
        <is>
          <t xml:space="preserve">unbucketed</t>
        </is>
      </c>
      <c r="J1076" s="0" t="inlineStr">
        <is>
          <t xml:space="preserve">residual</t>
        </is>
      </c>
      <c r="K1076" s="5">
        <v>0</v>
      </c>
      <c r="L1076" s="5">
        <v>0</v>
      </c>
      <c r="M1076" s="5">
        <v>0.33489388</v>
      </c>
      <c r="N1076" s="5">
        <v>0.0</v>
      </c>
      <c r="O1076" s="5">
        <v>0.0</v>
      </c>
      <c r="P1076" s="5">
        <v>0.0</v>
      </c>
      <c r="Q1076" s="5">
        <v>0.0</v>
      </c>
    </row>
    <row r="1077" outlineLevel="1">
      <c r="B1077" s="0" t="inlineStr">
        <is>
          <t xml:space="preserve">KULITE SEMICONDUCTOR PRODUCTS, INC</t>
        </is>
      </c>
      <c r="C1077" s="0" t="inlineStr">
        <is>
          <t xml:space="preserve">LN9YKAX66918</t>
        </is>
      </c>
      <c r="D1077" s="0" t="inlineStr">
        <is>
          <t xml:space="preserve">-</t>
        </is>
      </c>
      <c r="E1077" s="0" t="inlineStr">
        <is>
          <t xml:space="preserve">-</t>
        </is>
      </c>
      <c r="F1077" s="0" t="inlineStr">
        <is>
          <t xml:space="preserve">-</t>
        </is>
      </c>
      <c r="G1077" s="5">
        <v>0.33467800000000003</v>
      </c>
      <c r="H1077" s="0" t="inlineStr">
        <is>
          <t xml:space="preserve">supplier</t>
        </is>
      </c>
      <c r="I1077" s="0" t="inlineStr">
        <is>
          <t xml:space="preserve">unbucketed</t>
        </is>
      </c>
      <c r="J1077" s="0" t="inlineStr">
        <is>
          <t xml:space="preserve">residual</t>
        </is>
      </c>
      <c r="K1077" s="5">
        <v>0</v>
      </c>
      <c r="L1077" s="5">
        <v>0</v>
      </c>
      <c r="M1077" s="5">
        <v>0.33467800000000003</v>
      </c>
      <c r="N1077" s="5">
        <v>0.078072</v>
      </c>
      <c r="O1077" s="5">
        <v>0.0</v>
      </c>
      <c r="P1077" s="5">
        <v>0.0</v>
      </c>
      <c r="Q1077" s="5">
        <v>0.0</v>
      </c>
    </row>
    <row r="1078" outlineLevel="1">
      <c r="B1078" s="0" t="inlineStr">
        <is>
          <t xml:space="preserve">MURRAY BENJAMIN ELECTRIC CO LLC</t>
        </is>
      </c>
      <c r="C1078" s="0" t="inlineStr">
        <is>
          <t xml:space="preserve">E5NZAXG4MNB7</t>
        </is>
      </c>
      <c r="D1078" s="0" t="inlineStr">
        <is>
          <t xml:space="preserve">-</t>
        </is>
      </c>
      <c r="E1078" s="0" t="inlineStr">
        <is>
          <t xml:space="preserve">-</t>
        </is>
      </c>
      <c r="F1078" s="0" t="inlineStr">
        <is>
          <t xml:space="preserve">-</t>
        </is>
      </c>
      <c r="G1078" s="5">
        <v>0.333718</v>
      </c>
      <c r="H1078" s="0" t="inlineStr">
        <is>
          <t xml:space="preserve">supplier</t>
        </is>
      </c>
      <c r="I1078" s="0" t="inlineStr">
        <is>
          <t xml:space="preserve">unbucketed</t>
        </is>
      </c>
      <c r="J1078" s="0" t="inlineStr">
        <is>
          <t xml:space="preserve">residual</t>
        </is>
      </c>
      <c r="K1078" s="5">
        <v>0</v>
      </c>
      <c r="L1078" s="5">
        <v>0</v>
      </c>
      <c r="M1078" s="5">
        <v>0.333718</v>
      </c>
      <c r="N1078" s="5">
        <v>0.0</v>
      </c>
      <c r="O1078" s="5">
        <v>0.0</v>
      </c>
      <c r="P1078" s="5">
        <v>0.0</v>
      </c>
      <c r="Q1078" s="5">
        <v>0.0</v>
      </c>
    </row>
    <row r="1079" outlineLevel="1">
      <c r="B1079" s="0" t="inlineStr">
        <is>
          <t xml:space="preserve">HACKFORTH HOLDING GMBH &amp; CO. KG</t>
        </is>
      </c>
      <c r="C1079" s="0" t="inlineStr">
        <is>
          <t xml:space="preserve">K8FJZDHMEP65</t>
        </is>
      </c>
      <c r="D1079" s="0" t="inlineStr">
        <is>
          <t xml:space="preserve">-</t>
        </is>
      </c>
      <c r="E1079" s="0" t="inlineStr">
        <is>
          <t xml:space="preserve">-</t>
        </is>
      </c>
      <c r="F1079" s="0" t="inlineStr">
        <is>
          <t xml:space="preserve">-</t>
        </is>
      </c>
      <c r="G1079" s="5">
        <v>0.333662</v>
      </c>
      <c r="H1079" s="0" t="inlineStr">
        <is>
          <t xml:space="preserve">supplier</t>
        </is>
      </c>
      <c r="I1079" s="0" t="inlineStr">
        <is>
          <t xml:space="preserve">unbucketed</t>
        </is>
      </c>
      <c r="J1079" s="0" t="inlineStr">
        <is>
          <t xml:space="preserve">residual</t>
        </is>
      </c>
      <c r="K1079" s="5">
        <v>0</v>
      </c>
      <c r="L1079" s="5">
        <v>0</v>
      </c>
      <c r="M1079" s="5">
        <v>0.333662</v>
      </c>
      <c r="N1079" s="5">
        <v>0.0</v>
      </c>
      <c r="O1079" s="5">
        <v>0.0</v>
      </c>
      <c r="P1079" s="5">
        <v>0.0</v>
      </c>
      <c r="Q1079" s="5">
        <v>0.0</v>
      </c>
    </row>
    <row r="1080" outlineLevel="1">
      <c r="B1080" s="0" t="inlineStr">
        <is>
          <t xml:space="preserve">ELECTRON ENERGY LLC</t>
        </is>
      </c>
      <c r="C1080" s="0" t="inlineStr">
        <is>
          <t xml:space="preserve">SJHXC3VYDPB8</t>
        </is>
      </c>
      <c r="D1080" s="0" t="inlineStr">
        <is>
          <t xml:space="preserve">-</t>
        </is>
      </c>
      <c r="E1080" s="0" t="inlineStr">
        <is>
          <t xml:space="preserve">-</t>
        </is>
      </c>
      <c r="F1080" s="0" t="inlineStr">
        <is>
          <t xml:space="preserve">-</t>
        </is>
      </c>
      <c r="G1080" s="5">
        <v>0.33284600000000003</v>
      </c>
      <c r="H1080" s="0" t="inlineStr">
        <is>
          <t xml:space="preserve">supplier</t>
        </is>
      </c>
      <c r="I1080" s="0" t="inlineStr">
        <is>
          <t xml:space="preserve">unbucketed</t>
        </is>
      </c>
      <c r="J1080" s="0" t="inlineStr">
        <is>
          <t xml:space="preserve">residual</t>
        </is>
      </c>
      <c r="K1080" s="5">
        <v>0</v>
      </c>
      <c r="L1080" s="5">
        <v>0</v>
      </c>
      <c r="M1080" s="5">
        <v>0.0</v>
      </c>
      <c r="N1080" s="5">
        <v>0.0</v>
      </c>
      <c r="O1080" s="5">
        <v>0.0</v>
      </c>
      <c r="P1080" s="5">
        <v>0.0</v>
      </c>
      <c r="Q1080" s="5">
        <v>0.0</v>
      </c>
    </row>
    <row r="1081" outlineLevel="1">
      <c r="B1081" s="0" t="inlineStr">
        <is>
          <t xml:space="preserve">AMERIFORGE GROUP INC.</t>
        </is>
      </c>
      <c r="C1081" s="0" t="inlineStr">
        <is>
          <t xml:space="preserve">TCQFNQRNYSD3</t>
        </is>
      </c>
      <c r="D1081" s="0" t="inlineStr">
        <is>
          <t xml:space="preserve">-</t>
        </is>
      </c>
      <c r="E1081" s="0" t="inlineStr">
        <is>
          <t xml:space="preserve">-</t>
        </is>
      </c>
      <c r="F1081" s="0" t="inlineStr">
        <is>
          <t xml:space="preserve">-</t>
        </is>
      </c>
      <c r="G1081" s="5">
        <v>0.332803</v>
      </c>
      <c r="H1081" s="0" t="inlineStr">
        <is>
          <t xml:space="preserve">supplier</t>
        </is>
      </c>
      <c r="I1081" s="0" t="inlineStr">
        <is>
          <t xml:space="preserve">unbucketed</t>
        </is>
      </c>
      <c r="J1081" s="0" t="inlineStr">
        <is>
          <t xml:space="preserve">residual</t>
        </is>
      </c>
      <c r="K1081" s="5">
        <v>0</v>
      </c>
      <c r="L1081" s="5">
        <v>0</v>
      </c>
      <c r="M1081" s="5">
        <v>0.0</v>
      </c>
      <c r="N1081" s="5">
        <v>0.0</v>
      </c>
      <c r="O1081" s="5">
        <v>0.0</v>
      </c>
      <c r="P1081" s="5">
        <v>0.0</v>
      </c>
      <c r="Q1081" s="5">
        <v>0.0</v>
      </c>
    </row>
    <row r="1082" outlineLevel="1">
      <c r="B1082" s="0" t="inlineStr">
        <is>
          <t xml:space="preserve">LOCKHEED MARTIN CORPORATION</t>
        </is>
      </c>
      <c r="C1082" s="0" t="inlineStr">
        <is>
          <t xml:space="preserve">CWM4UN76ZQW8</t>
        </is>
      </c>
      <c r="D1082" s="0" t="inlineStr">
        <is>
          <t xml:space="preserve">-</t>
        </is>
      </c>
      <c r="E1082" s="0" t="inlineStr">
        <is>
          <t xml:space="preserve">-</t>
        </is>
      </c>
      <c r="F1082" s="0" t="inlineStr">
        <is>
          <t xml:space="preserve">-</t>
        </is>
      </c>
      <c r="G1082" s="5">
        <v>0.33205700000000005</v>
      </c>
      <c r="H1082" s="0" t="inlineStr">
        <is>
          <t xml:space="preserve">gfe_mib</t>
        </is>
      </c>
      <c r="I1082" s="0" t="inlineStr">
        <is>
          <t xml:space="preserve">-</t>
        </is>
      </c>
      <c r="J1082" s="0" t="inlineStr">
        <is>
          <t xml:space="preserve">GFE/MIB name</t>
        </is>
      </c>
      <c r="K1082" s="5">
        <v>0</v>
      </c>
      <c r="L1082" s="5">
        <v>0</v>
      </c>
      <c r="M1082" s="5">
        <v>0.33205700000000005</v>
      </c>
      <c r="N1082" s="5">
        <v>0.0</v>
      </c>
      <c r="O1082" s="5">
        <v>0.0</v>
      </c>
      <c r="P1082" s="5">
        <v>0.0</v>
      </c>
      <c r="Q1082" s="5">
        <v>0.33205700000000005</v>
      </c>
    </row>
    <row r="1083" outlineLevel="1">
      <c r="B1083" s="0" t="inlineStr">
        <is>
          <t xml:space="preserve">DOVER CORPORATION</t>
        </is>
      </c>
      <c r="C1083" s="0" t="inlineStr">
        <is>
          <t xml:space="preserve">TSWETLU8M8U5</t>
        </is>
      </c>
      <c r="D1083" s="0" t="inlineStr">
        <is>
          <t xml:space="preserve">-</t>
        </is>
      </c>
      <c r="E1083" s="0" t="inlineStr">
        <is>
          <t xml:space="preserve">-</t>
        </is>
      </c>
      <c r="F1083" s="0" t="inlineStr">
        <is>
          <t xml:space="preserve">-</t>
        </is>
      </c>
      <c r="G1083" s="5">
        <v>0.33165</v>
      </c>
      <c r="H1083" s="0" t="inlineStr">
        <is>
          <t xml:space="preserve">supplier</t>
        </is>
      </c>
      <c r="I1083" s="0" t="inlineStr">
        <is>
          <t xml:space="preserve">unbucketed</t>
        </is>
      </c>
      <c r="J1083" s="0" t="inlineStr">
        <is>
          <t xml:space="preserve">residual</t>
        </is>
      </c>
      <c r="K1083" s="5">
        <v>0</v>
      </c>
      <c r="L1083" s="5">
        <v>0</v>
      </c>
      <c r="M1083" s="5">
        <v>0.0</v>
      </c>
      <c r="N1083" s="5">
        <v>0.0</v>
      </c>
      <c r="O1083" s="5">
        <v>0.0</v>
      </c>
      <c r="P1083" s="5">
        <v>0.0</v>
      </c>
      <c r="Q1083" s="5">
        <v>0.0</v>
      </c>
    </row>
    <row r="1084" outlineLevel="1">
      <c r="B1084" s="0" t="inlineStr">
        <is>
          <t xml:space="preserve">NORTH EAST TECHNICAL SALES, INC.</t>
        </is>
      </c>
      <c r="C1084" s="0" t="inlineStr">
        <is>
          <t xml:space="preserve">DF2ZSTNCL8V3</t>
        </is>
      </c>
      <c r="D1084" s="0" t="inlineStr">
        <is>
          <t xml:space="preserve">-</t>
        </is>
      </c>
      <c r="E1084" s="0" t="inlineStr">
        <is>
          <t xml:space="preserve">-</t>
        </is>
      </c>
      <c r="F1084" s="0" t="inlineStr">
        <is>
          <t xml:space="preserve">-</t>
        </is>
      </c>
      <c r="G1084" s="5">
        <v>0.33161825</v>
      </c>
      <c r="H1084" s="0" t="inlineStr">
        <is>
          <t xml:space="preserve">supplier</t>
        </is>
      </c>
      <c r="I1084" s="0" t="inlineStr">
        <is>
          <t xml:space="preserve">unbucketed</t>
        </is>
      </c>
      <c r="J1084" s="0" t="inlineStr">
        <is>
          <t xml:space="preserve">residual</t>
        </is>
      </c>
      <c r="K1084" s="5">
        <v>0</v>
      </c>
      <c r="L1084" s="5">
        <v>0</v>
      </c>
      <c r="M1084" s="5">
        <v>0.0</v>
      </c>
      <c r="N1084" s="5">
        <v>0.0</v>
      </c>
      <c r="O1084" s="5">
        <v>0.0</v>
      </c>
      <c r="P1084" s="5">
        <v>0.0</v>
      </c>
      <c r="Q1084" s="5">
        <v>0.0</v>
      </c>
    </row>
    <row r="1085" outlineLevel="1">
      <c r="B1085" s="0" t="inlineStr">
        <is>
          <t xml:space="preserve">ENDICOTT PRECISION, INC.</t>
        </is>
      </c>
      <c r="C1085" s="0" t="inlineStr">
        <is>
          <t xml:space="preserve">KAZ4JKA23UT5</t>
        </is>
      </c>
      <c r="D1085" s="0" t="inlineStr">
        <is>
          <t xml:space="preserve">-</t>
        </is>
      </c>
      <c r="E1085" s="0" t="inlineStr">
        <is>
          <t xml:space="preserve">-</t>
        </is>
      </c>
      <c r="F1085" s="0" t="inlineStr">
        <is>
          <t xml:space="preserve">-</t>
        </is>
      </c>
      <c r="G1085" s="5">
        <v>0.330958</v>
      </c>
      <c r="H1085" s="0" t="inlineStr">
        <is>
          <t xml:space="preserve">supplier</t>
        </is>
      </c>
      <c r="I1085" s="0" t="inlineStr">
        <is>
          <t xml:space="preserve">unbucketed</t>
        </is>
      </c>
      <c r="J1085" s="0" t="inlineStr">
        <is>
          <t xml:space="preserve">residual</t>
        </is>
      </c>
      <c r="K1085" s="5">
        <v>0</v>
      </c>
      <c r="L1085" s="5">
        <v>0</v>
      </c>
      <c r="M1085" s="5">
        <v>0.0</v>
      </c>
      <c r="N1085" s="5">
        <v>0.0</v>
      </c>
      <c r="O1085" s="5">
        <v>0.0</v>
      </c>
      <c r="P1085" s="5">
        <v>0.0</v>
      </c>
      <c r="Q1085" s="5">
        <v>0.0</v>
      </c>
    </row>
    <row r="1086" outlineLevel="1">
      <c r="B1086" s="0" t="inlineStr">
        <is>
          <t xml:space="preserve">GENERAL DYNAMICS CORPORATION</t>
        </is>
      </c>
      <c r="C1086" s="0" t="inlineStr">
        <is>
          <t xml:space="preserve">LDUJLC79HNK5</t>
        </is>
      </c>
      <c r="D1086" s="0" t="inlineStr">
        <is>
          <t xml:space="preserve">USA</t>
        </is>
      </c>
      <c r="E1086" s="0" t="inlineStr">
        <is>
          <t xml:space="preserve">3369</t>
        </is>
      </c>
      <c r="F1086" s="0" t="inlineStr">
        <is>
          <t xml:space="preserve">Military Armored Vehicle, Tank, and Tank Component Manufacturing</t>
        </is>
      </c>
      <c r="G1086" s="5">
        <v>0.330373</v>
      </c>
      <c r="H1086" s="0" t="inlineStr">
        <is>
          <t xml:space="preserve">prime</t>
        </is>
      </c>
      <c r="I1086" s="0" t="inlineStr">
        <is>
          <t xml:space="preserve">-</t>
        </is>
      </c>
      <c r="J1086" s="0" t="inlineStr">
        <is>
          <t xml:space="preserve">registry</t>
        </is>
      </c>
      <c r="K1086" s="5">
        <v>0</v>
      </c>
      <c r="L1086" s="5">
        <v>0</v>
      </c>
      <c r="M1086" s="5">
        <v>0.0</v>
      </c>
      <c r="N1086" s="5">
        <v>0.0</v>
      </c>
      <c r="O1086" s="5">
        <v>0.0</v>
      </c>
      <c r="P1086" s="5">
        <v>0.0</v>
      </c>
      <c r="Q1086" s="5">
        <v>0.0</v>
      </c>
    </row>
    <row r="1087" outlineLevel="1">
      <c r="B1087" s="0" t="inlineStr">
        <is>
          <t xml:space="preserve">RANGER ENVIRONMENTAL SERVICES LLC</t>
        </is>
      </c>
      <c r="C1087" s="0" t="inlineStr">
        <is>
          <t xml:space="preserve">PDZUR2FMYD89</t>
        </is>
      </c>
      <c r="D1087" s="0" t="inlineStr">
        <is>
          <t xml:space="preserve">-</t>
        </is>
      </c>
      <c r="E1087" s="0" t="inlineStr">
        <is>
          <t xml:space="preserve">-</t>
        </is>
      </c>
      <c r="F1087" s="0" t="inlineStr">
        <is>
          <t xml:space="preserve">-</t>
        </is>
      </c>
      <c r="G1087" s="5">
        <v>0.32971100000000003</v>
      </c>
      <c r="H1087" s="0" t="inlineStr">
        <is>
          <t xml:space="preserve">supplier</t>
        </is>
      </c>
      <c r="I1087" s="0" t="inlineStr">
        <is>
          <t xml:space="preserve">unbucketed</t>
        </is>
      </c>
      <c r="J1087" s="0" t="inlineStr">
        <is>
          <t xml:space="preserve">residual</t>
        </is>
      </c>
      <c r="K1087" s="5">
        <v>0</v>
      </c>
      <c r="L1087" s="5">
        <v>0</v>
      </c>
      <c r="M1087" s="5">
        <v>0.32971100000000003</v>
      </c>
      <c r="N1087" s="5">
        <v>0.0</v>
      </c>
      <c r="O1087" s="5">
        <v>0.0</v>
      </c>
      <c r="P1087" s="5">
        <v>0.0</v>
      </c>
      <c r="Q1087" s="5">
        <v>0.0</v>
      </c>
    </row>
    <row r="1088" outlineLevel="1">
      <c r="B1088" s="0" t="inlineStr">
        <is>
          <t xml:space="preserve">TCI MECHANICAL INC</t>
        </is>
      </c>
      <c r="C1088" s="0" t="inlineStr">
        <is>
          <t xml:space="preserve">XDJCS2DAFF15</t>
        </is>
      </c>
      <c r="D1088" s="0" t="inlineStr">
        <is>
          <t xml:space="preserve">-</t>
        </is>
      </c>
      <c r="E1088" s="0" t="inlineStr">
        <is>
          <t xml:space="preserve">-</t>
        </is>
      </c>
      <c r="F1088" s="0" t="inlineStr">
        <is>
          <t xml:space="preserve">-</t>
        </is>
      </c>
      <c r="G1088" s="5">
        <v>0.329121</v>
      </c>
      <c r="H1088" s="0" t="inlineStr">
        <is>
          <t xml:space="preserve">supplier</t>
        </is>
      </c>
      <c r="I1088" s="0" t="inlineStr">
        <is>
          <t xml:space="preserve">unbucketed</t>
        </is>
      </c>
      <c r="J1088" s="0" t="inlineStr">
        <is>
          <t xml:space="preserve">residual</t>
        </is>
      </c>
      <c r="K1088" s="5">
        <v>0</v>
      </c>
      <c r="L1088" s="5">
        <v>0</v>
      </c>
      <c r="M1088" s="5">
        <v>0.0</v>
      </c>
      <c r="N1088" s="5">
        <v>0.0</v>
      </c>
      <c r="O1088" s="5">
        <v>0.0</v>
      </c>
      <c r="P1088" s="5">
        <v>0.0</v>
      </c>
      <c r="Q1088" s="5">
        <v>0.0</v>
      </c>
    </row>
    <row r="1089" outlineLevel="1">
      <c r="B1089" s="0" t="inlineStr">
        <is>
          <t xml:space="preserve">ADVANCED METALS MACHINING, LLC</t>
        </is>
      </c>
      <c r="C1089" s="0" t="inlineStr">
        <is>
          <t xml:space="preserve">EDDDNK3ACHM9</t>
        </is>
      </c>
      <c r="D1089" s="0" t="inlineStr">
        <is>
          <t xml:space="preserve">-</t>
        </is>
      </c>
      <c r="E1089" s="0" t="inlineStr">
        <is>
          <t xml:space="preserve">-</t>
        </is>
      </c>
      <c r="F1089" s="0" t="inlineStr">
        <is>
          <t xml:space="preserve">-</t>
        </is>
      </c>
      <c r="G1089" s="5">
        <v>0.32836755</v>
      </c>
      <c r="H1089" s="0" t="inlineStr">
        <is>
          <t xml:space="preserve">supplier</t>
        </is>
      </c>
      <c r="I1089" s="0" t="inlineStr">
        <is>
          <t xml:space="preserve">unbucketed</t>
        </is>
      </c>
      <c r="J1089" s="0" t="inlineStr">
        <is>
          <t xml:space="preserve">residual</t>
        </is>
      </c>
      <c r="K1089" s="5">
        <v>0</v>
      </c>
      <c r="L1089" s="5">
        <v>0</v>
      </c>
      <c r="M1089" s="5">
        <v>0.0</v>
      </c>
      <c r="N1089" s="5">
        <v>0.0</v>
      </c>
      <c r="O1089" s="5">
        <v>0.0</v>
      </c>
      <c r="P1089" s="5">
        <v>0.0</v>
      </c>
      <c r="Q1089" s="5">
        <v>0.0</v>
      </c>
    </row>
    <row r="1090" outlineLevel="1">
      <c r="B1090" s="0" t="inlineStr">
        <is>
          <t xml:space="preserve">DELL TECHNOLOGIES INC.</t>
        </is>
      </c>
      <c r="C1090" s="0" t="inlineStr">
        <is>
          <t xml:space="preserve">T27KNLYMV4V3</t>
        </is>
      </c>
      <c r="D1090" s="0" t="inlineStr">
        <is>
          <t xml:space="preserve">-</t>
        </is>
      </c>
      <c r="E1090" s="0" t="inlineStr">
        <is>
          <t xml:space="preserve">-</t>
        </is>
      </c>
      <c r="F1090" s="0" t="inlineStr">
        <is>
          <t xml:space="preserve">-</t>
        </is>
      </c>
      <c r="G1090" s="5">
        <v>0.32777818999999997</v>
      </c>
      <c r="H1090" s="0" t="inlineStr">
        <is>
          <t xml:space="preserve">supplier</t>
        </is>
      </c>
      <c r="I1090" s="0" t="inlineStr">
        <is>
          <t xml:space="preserve">unbucketed</t>
        </is>
      </c>
      <c r="J1090" s="0" t="inlineStr">
        <is>
          <t xml:space="preserve">residual</t>
        </is>
      </c>
      <c r="K1090" s="5">
        <v>0</v>
      </c>
      <c r="L1090" s="5">
        <v>0</v>
      </c>
      <c r="M1090" s="5">
        <v>0.0</v>
      </c>
      <c r="N1090" s="5">
        <v>0.0</v>
      </c>
      <c r="O1090" s="5">
        <v>0.0</v>
      </c>
      <c r="P1090" s="5">
        <v>0.0</v>
      </c>
      <c r="Q1090" s="5">
        <v>0.0</v>
      </c>
    </row>
    <row r="1091" outlineLevel="1">
      <c r="B1091" s="0" t="inlineStr">
        <is>
          <t xml:space="preserve">ACCRABOND CORPORATION</t>
        </is>
      </c>
      <c r="C1091" s="0" t="inlineStr">
        <is>
          <t xml:space="preserve">VFLXP2A8AH33</t>
        </is>
      </c>
      <c r="D1091" s="0" t="inlineStr">
        <is>
          <t xml:space="preserve">-</t>
        </is>
      </c>
      <c r="E1091" s="0" t="inlineStr">
        <is>
          <t xml:space="preserve">-</t>
        </is>
      </c>
      <c r="F1091" s="0" t="inlineStr">
        <is>
          <t xml:space="preserve">-</t>
        </is>
      </c>
      <c r="G1091" s="5">
        <v>0.32762577000000004</v>
      </c>
      <c r="H1091" s="0" t="inlineStr">
        <is>
          <t xml:space="preserve">supplier</t>
        </is>
      </c>
      <c r="I1091" s="0" t="inlineStr">
        <is>
          <t xml:space="preserve">unbucketed</t>
        </is>
      </c>
      <c r="J1091" s="0" t="inlineStr">
        <is>
          <t xml:space="preserve">residual</t>
        </is>
      </c>
      <c r="K1091" s="5">
        <v>0</v>
      </c>
      <c r="L1091" s="5">
        <v>0</v>
      </c>
      <c r="M1091" s="5">
        <v>0.0</v>
      </c>
      <c r="N1091" s="5">
        <v>0.0</v>
      </c>
      <c r="O1091" s="5">
        <v>0.0</v>
      </c>
      <c r="P1091" s="5">
        <v>0.0</v>
      </c>
      <c r="Q1091" s="5">
        <v>0.0</v>
      </c>
    </row>
    <row r="1092" outlineLevel="1">
      <c r="B1092" s="0" t="inlineStr">
        <is>
          <t xml:space="preserve">MARINE AIR SUPPLY CO INC</t>
        </is>
      </c>
      <c r="C1092" s="0" t="inlineStr">
        <is>
          <t xml:space="preserve">D3NDZT2XLW83</t>
        </is>
      </c>
      <c r="D1092" s="0" t="inlineStr">
        <is>
          <t xml:space="preserve">-</t>
        </is>
      </c>
      <c r="E1092" s="0" t="inlineStr">
        <is>
          <t xml:space="preserve">-</t>
        </is>
      </c>
      <c r="F1092" s="0" t="inlineStr">
        <is>
          <t xml:space="preserve">-</t>
        </is>
      </c>
      <c r="G1092" s="5">
        <v>0.32710476</v>
      </c>
      <c r="H1092" s="0" t="inlineStr">
        <is>
          <t xml:space="preserve">supplier</t>
        </is>
      </c>
      <c r="I1092" s="0" t="inlineStr">
        <is>
          <t xml:space="preserve">unbucketed</t>
        </is>
      </c>
      <c r="J1092" s="0" t="inlineStr">
        <is>
          <t xml:space="preserve">residual</t>
        </is>
      </c>
      <c r="K1092" s="5">
        <v>0</v>
      </c>
      <c r="L1092" s="5">
        <v>0</v>
      </c>
      <c r="M1092" s="5">
        <v>0.0</v>
      </c>
      <c r="N1092" s="5">
        <v>0.0</v>
      </c>
      <c r="O1092" s="5">
        <v>0.0</v>
      </c>
      <c r="P1092" s="5">
        <v>0.0</v>
      </c>
      <c r="Q1092" s="5">
        <v>0.0</v>
      </c>
    </row>
    <row r="1093" outlineLevel="1">
      <c r="B1093" s="0" t="inlineStr">
        <is>
          <t xml:space="preserve">AERO-GLEN INTERNATIONAL LLC</t>
        </is>
      </c>
      <c r="C1093" s="0" t="inlineStr">
        <is>
          <t xml:space="preserve">KBG2E3D7JNK9</t>
        </is>
      </c>
      <c r="D1093" s="0" t="inlineStr">
        <is>
          <t xml:space="preserve">-</t>
        </is>
      </c>
      <c r="E1093" s="0" t="inlineStr">
        <is>
          <t xml:space="preserve">-</t>
        </is>
      </c>
      <c r="F1093" s="0" t="inlineStr">
        <is>
          <t xml:space="preserve">-</t>
        </is>
      </c>
      <c r="G1093" s="5">
        <v>0.3267096</v>
      </c>
      <c r="H1093" s="0" t="inlineStr">
        <is>
          <t xml:space="preserve">supplier</t>
        </is>
      </c>
      <c r="I1093" s="0" t="inlineStr">
        <is>
          <t xml:space="preserve">unbucketed</t>
        </is>
      </c>
      <c r="J1093" s="0" t="inlineStr">
        <is>
          <t xml:space="preserve">residual</t>
        </is>
      </c>
      <c r="K1093" s="5">
        <v>0</v>
      </c>
      <c r="L1093" s="5">
        <v>0</v>
      </c>
      <c r="M1093" s="5">
        <v>0.0</v>
      </c>
      <c r="N1093" s="5">
        <v>0.0</v>
      </c>
      <c r="O1093" s="5">
        <v>0.0</v>
      </c>
      <c r="P1093" s="5">
        <v>0.0</v>
      </c>
      <c r="Q1093" s="5">
        <v>0.0</v>
      </c>
    </row>
    <row r="1094" outlineLevel="1">
      <c r="B1094" s="0" t="inlineStr">
        <is>
          <t xml:space="preserve">CURTISS-WRIGHT CORPORATION</t>
        </is>
      </c>
      <c r="C1094" s="0" t="inlineStr">
        <is>
          <t xml:space="preserve">C1PGRWC26153</t>
        </is>
      </c>
      <c r="D1094" s="0" t="inlineStr">
        <is>
          <t xml:space="preserve">USA</t>
        </is>
      </c>
      <c r="E1094" s="0" t="inlineStr">
        <is>
          <t xml:space="preserve">3329</t>
        </is>
      </c>
      <c r="F1094" s="0" t="inlineStr">
        <is>
          <t xml:space="preserve">Industrial Valve Manufacturing</t>
        </is>
      </c>
      <c r="G1094" s="5">
        <v>0.326065</v>
      </c>
      <c r="H1094" s="0" t="inlineStr">
        <is>
          <t xml:space="preserve">supplier</t>
        </is>
      </c>
      <c r="I1094" s="0" t="inlineStr">
        <is>
          <t xml:space="preserve">piping</t>
        </is>
      </c>
      <c r="J1094" s="0" t="inlineStr">
        <is>
          <t xml:space="preserve">vendor-override</t>
        </is>
      </c>
      <c r="K1094" s="5">
        <v>0</v>
      </c>
      <c r="L1094" s="5">
        <v>0</v>
      </c>
      <c r="M1094" s="5">
        <v>0.0</v>
      </c>
      <c r="N1094" s="5">
        <v>0.0</v>
      </c>
      <c r="O1094" s="5">
        <v>0.0</v>
      </c>
      <c r="P1094" s="5">
        <v>0.0</v>
      </c>
      <c r="Q1094" s="5">
        <v>0.0</v>
      </c>
    </row>
    <row r="1095" outlineLevel="1">
      <c r="B1095" s="0" t="inlineStr">
        <is>
          <t xml:space="preserve">PAYTON PLANAR MAGNETICS LTD.</t>
        </is>
      </c>
      <c r="C1095" s="0" t="inlineStr">
        <is>
          <t xml:space="preserve">N7MCTKMCTYQ3</t>
        </is>
      </c>
      <c r="D1095" s="0" t="inlineStr">
        <is>
          <t xml:space="preserve">-</t>
        </is>
      </c>
      <c r="E1095" s="0" t="inlineStr">
        <is>
          <t xml:space="preserve">-</t>
        </is>
      </c>
      <c r="F1095" s="0" t="inlineStr">
        <is>
          <t xml:space="preserve">-</t>
        </is>
      </c>
      <c r="G1095" s="5">
        <v>0.326</v>
      </c>
      <c r="H1095" s="0" t="inlineStr">
        <is>
          <t xml:space="preserve">supplier</t>
        </is>
      </c>
      <c r="I1095" s="0" t="inlineStr">
        <is>
          <t xml:space="preserve">unbucketed</t>
        </is>
      </c>
      <c r="J1095" s="0" t="inlineStr">
        <is>
          <t xml:space="preserve">residual</t>
        </is>
      </c>
      <c r="K1095" s="5">
        <v>0</v>
      </c>
      <c r="L1095" s="5">
        <v>0</v>
      </c>
      <c r="M1095" s="5">
        <v>0.0</v>
      </c>
      <c r="N1095" s="5">
        <v>0.0</v>
      </c>
      <c r="O1095" s="5">
        <v>0.0</v>
      </c>
      <c r="P1095" s="5">
        <v>0.0</v>
      </c>
      <c r="Q1095" s="5">
        <v>0.0</v>
      </c>
    </row>
    <row r="1096" outlineLevel="1">
      <c r="B1096" s="0" t="inlineStr">
        <is>
          <t xml:space="preserve">MAST TECHNOLOGIES, LLC</t>
        </is>
      </c>
      <c r="C1096" s="0" t="inlineStr">
        <is>
          <t xml:space="preserve">HJFAW5KCG7N7</t>
        </is>
      </c>
      <c r="D1096" s="0" t="inlineStr">
        <is>
          <t xml:space="preserve">-</t>
        </is>
      </c>
      <c r="E1096" s="0" t="inlineStr">
        <is>
          <t xml:space="preserve">-</t>
        </is>
      </c>
      <c r="F1096" s="0" t="inlineStr">
        <is>
          <t xml:space="preserve">-</t>
        </is>
      </c>
      <c r="G1096" s="5">
        <v>0.32573975</v>
      </c>
      <c r="H1096" s="0" t="inlineStr">
        <is>
          <t xml:space="preserve">supplier</t>
        </is>
      </c>
      <c r="I1096" s="0" t="inlineStr">
        <is>
          <t xml:space="preserve">unbucketed</t>
        </is>
      </c>
      <c r="J1096" s="0" t="inlineStr">
        <is>
          <t xml:space="preserve">residual</t>
        </is>
      </c>
      <c r="K1096" s="5">
        <v>0</v>
      </c>
      <c r="L1096" s="5">
        <v>0</v>
      </c>
      <c r="M1096" s="5">
        <v>0.32573975</v>
      </c>
      <c r="N1096" s="5">
        <v>0.0</v>
      </c>
      <c r="O1096" s="5">
        <v>0.157916</v>
      </c>
      <c r="P1096" s="5">
        <v>0.08198975</v>
      </c>
      <c r="Q1096" s="5">
        <v>0.0</v>
      </c>
    </row>
    <row r="1097" outlineLevel="1">
      <c r="B1097" s="0" t="inlineStr">
        <is>
          <t xml:space="preserve">IVES EQUIPMENT, LLC</t>
        </is>
      </c>
      <c r="C1097" s="0" t="inlineStr">
        <is>
          <t xml:space="preserve">TMDVSPNEFR69</t>
        </is>
      </c>
      <c r="D1097" s="0" t="inlineStr">
        <is>
          <t xml:space="preserve">-</t>
        </is>
      </c>
      <c r="E1097" s="0" t="inlineStr">
        <is>
          <t xml:space="preserve">-</t>
        </is>
      </c>
      <c r="F1097" s="0" t="inlineStr">
        <is>
          <t xml:space="preserve">-</t>
        </is>
      </c>
      <c r="G1097" s="5">
        <v>0.32456999999999997</v>
      </c>
      <c r="H1097" s="0" t="inlineStr">
        <is>
          <t xml:space="preserve">supplier</t>
        </is>
      </c>
      <c r="I1097" s="0" t="inlineStr">
        <is>
          <t xml:space="preserve">unbucketed</t>
        </is>
      </c>
      <c r="J1097" s="0" t="inlineStr">
        <is>
          <t xml:space="preserve">residual</t>
        </is>
      </c>
      <c r="K1097" s="5">
        <v>0</v>
      </c>
      <c r="L1097" s="5">
        <v>0</v>
      </c>
      <c r="M1097" s="5">
        <v>0.32456999999999997</v>
      </c>
      <c r="N1097" s="5">
        <v>0.0</v>
      </c>
      <c r="O1097" s="5">
        <v>0.0</v>
      </c>
      <c r="P1097" s="5">
        <v>0.0</v>
      </c>
      <c r="Q1097" s="5">
        <v>0.0</v>
      </c>
    </row>
    <row r="1098" outlineLevel="1">
      <c r="B1098" s="0" t="inlineStr">
        <is>
          <t xml:space="preserve">BOEING COMPANY, THE</t>
        </is>
      </c>
      <c r="C1098" s="0" t="inlineStr">
        <is>
          <t xml:space="preserve">X3K6MA9ZLTW6</t>
        </is>
      </c>
      <c r="D1098" s="0" t="inlineStr">
        <is>
          <t xml:space="preserve">-</t>
        </is>
      </c>
      <c r="E1098" s="0" t="inlineStr">
        <is>
          <t xml:space="preserve">-</t>
        </is>
      </c>
      <c r="F1098" s="0" t="inlineStr">
        <is>
          <t xml:space="preserve">-</t>
        </is>
      </c>
      <c r="G1098" s="5">
        <v>0.32444110000000004</v>
      </c>
      <c r="H1098" s="0" t="inlineStr">
        <is>
          <t xml:space="preserve">supplier</t>
        </is>
      </c>
      <c r="I1098" s="0" t="inlineStr">
        <is>
          <t xml:space="preserve">unbucketed</t>
        </is>
      </c>
      <c r="J1098" s="0" t="inlineStr">
        <is>
          <t xml:space="preserve">residual</t>
        </is>
      </c>
      <c r="K1098" s="5">
        <v>0</v>
      </c>
      <c r="L1098" s="5">
        <v>0</v>
      </c>
      <c r="M1098" s="5">
        <v>0.0</v>
      </c>
      <c r="N1098" s="5">
        <v>0.0</v>
      </c>
      <c r="O1098" s="5">
        <v>0.0</v>
      </c>
      <c r="P1098" s="5">
        <v>0.0</v>
      </c>
      <c r="Q1098" s="5">
        <v>0.0</v>
      </c>
    </row>
    <row r="1099" outlineLevel="1">
      <c r="B1099" s="0" t="inlineStr">
        <is>
          <t xml:space="preserve">UNITED RENTALS (NORTH AMERICA), INC.</t>
        </is>
      </c>
      <c r="C1099" s="0" t="inlineStr">
        <is>
          <t xml:space="preserve">QFG7EC12DQK4</t>
        </is>
      </c>
      <c r="D1099" s="0" t="inlineStr">
        <is>
          <t xml:space="preserve">-</t>
        </is>
      </c>
      <c r="E1099" s="0" t="inlineStr">
        <is>
          <t xml:space="preserve">-</t>
        </is>
      </c>
      <c r="F1099" s="0" t="inlineStr">
        <is>
          <t xml:space="preserve">-</t>
        </is>
      </c>
      <c r="G1099" s="5">
        <v>0.32331747999999993</v>
      </c>
      <c r="H1099" s="0" t="inlineStr">
        <is>
          <t xml:space="preserve">supplier</t>
        </is>
      </c>
      <c r="I1099" s="0" t="inlineStr">
        <is>
          <t xml:space="preserve">unbucketed</t>
        </is>
      </c>
      <c r="J1099" s="0" t="inlineStr">
        <is>
          <t xml:space="preserve">residual</t>
        </is>
      </c>
      <c r="K1099" s="5">
        <v>0</v>
      </c>
      <c r="L1099" s="5">
        <v>0</v>
      </c>
      <c r="M1099" s="5">
        <v>0.0</v>
      </c>
      <c r="N1099" s="5">
        <v>0.0</v>
      </c>
      <c r="O1099" s="5">
        <v>0.0</v>
      </c>
      <c r="P1099" s="5">
        <v>0.0</v>
      </c>
      <c r="Q1099" s="5">
        <v>0.0</v>
      </c>
    </row>
    <row r="1100" outlineLevel="1">
      <c r="B1100" s="0" t="inlineStr">
        <is>
          <t xml:space="preserve">METHODE ELECTRONICS, INC.</t>
        </is>
      </c>
      <c r="C1100" s="0" t="inlineStr">
        <is>
          <t xml:space="preserve">DNZAMSY277W8</t>
        </is>
      </c>
      <c r="D1100" s="0" t="inlineStr">
        <is>
          <t xml:space="preserve">-</t>
        </is>
      </c>
      <c r="E1100" s="0" t="inlineStr">
        <is>
          <t xml:space="preserve">-</t>
        </is>
      </c>
      <c r="F1100" s="0" t="inlineStr">
        <is>
          <t xml:space="preserve">-</t>
        </is>
      </c>
      <c r="G1100" s="5">
        <v>0.32161655</v>
      </c>
      <c r="H1100" s="0" t="inlineStr">
        <is>
          <t xml:space="preserve">supplier</t>
        </is>
      </c>
      <c r="I1100" s="0" t="inlineStr">
        <is>
          <t xml:space="preserve">unbucketed</t>
        </is>
      </c>
      <c r="J1100" s="0" t="inlineStr">
        <is>
          <t xml:space="preserve">residual</t>
        </is>
      </c>
      <c r="K1100" s="5">
        <v>0</v>
      </c>
      <c r="L1100" s="5">
        <v>0</v>
      </c>
      <c r="M1100" s="5">
        <v>0.0</v>
      </c>
      <c r="N1100" s="5">
        <v>0.0</v>
      </c>
      <c r="O1100" s="5">
        <v>0.0</v>
      </c>
      <c r="P1100" s="5">
        <v>0.0</v>
      </c>
      <c r="Q1100" s="5">
        <v>0.0</v>
      </c>
    </row>
    <row r="1101" outlineLevel="1">
      <c r="B1101" s="0" t="inlineStr">
        <is>
          <t xml:space="preserve">RF1 HOLDING COMPANY</t>
        </is>
      </c>
      <c r="C1101" s="0" t="inlineStr">
        <is>
          <t xml:space="preserve">QNBSZPKPXN83</t>
        </is>
      </c>
      <c r="D1101" s="0" t="inlineStr">
        <is>
          <t xml:space="preserve">-</t>
        </is>
      </c>
      <c r="E1101" s="0" t="inlineStr">
        <is>
          <t xml:space="preserve">-</t>
        </is>
      </c>
      <c r="F1101" s="0" t="inlineStr">
        <is>
          <t xml:space="preserve">-</t>
        </is>
      </c>
      <c r="G1101" s="5">
        <v>0.3198327</v>
      </c>
      <c r="H1101" s="0" t="inlineStr">
        <is>
          <t xml:space="preserve">supplier</t>
        </is>
      </c>
      <c r="I1101" s="0" t="inlineStr">
        <is>
          <t xml:space="preserve">unbucketed</t>
        </is>
      </c>
      <c r="J1101" s="0" t="inlineStr">
        <is>
          <t xml:space="preserve">residual</t>
        </is>
      </c>
      <c r="K1101" s="5">
        <v>0</v>
      </c>
      <c r="L1101" s="5">
        <v>0</v>
      </c>
      <c r="M1101" s="5">
        <v>0.0</v>
      </c>
      <c r="N1101" s="5">
        <v>0.0</v>
      </c>
      <c r="O1101" s="5">
        <v>0.0</v>
      </c>
      <c r="P1101" s="5">
        <v>0.0</v>
      </c>
      <c r="Q1101" s="5">
        <v>0.0</v>
      </c>
    </row>
    <row r="1102" outlineLevel="1">
      <c r="B1102" s="0" t="inlineStr">
        <is>
          <t xml:space="preserve">SV MICROWAVE, INC.</t>
        </is>
      </c>
      <c r="C1102" s="0" t="inlineStr">
        <is>
          <t xml:space="preserve">USBJG7R2LPQ3</t>
        </is>
      </c>
      <c r="D1102" s="0" t="inlineStr">
        <is>
          <t xml:space="preserve">-</t>
        </is>
      </c>
      <c r="E1102" s="0" t="inlineStr">
        <is>
          <t xml:space="preserve">-</t>
        </is>
      </c>
      <c r="F1102" s="0" t="inlineStr">
        <is>
          <t xml:space="preserve">-</t>
        </is>
      </c>
      <c r="G1102" s="5">
        <v>0.319516</v>
      </c>
      <c r="H1102" s="0" t="inlineStr">
        <is>
          <t xml:space="preserve">mission_systems</t>
        </is>
      </c>
      <c r="I1102" s="0" t="inlineStr">
        <is>
          <t xml:space="preserve">-</t>
        </is>
      </c>
      <c r="J1102" s="0" t="inlineStr">
        <is>
          <t xml:space="preserve">registry</t>
        </is>
      </c>
      <c r="K1102" s="5">
        <v>0</v>
      </c>
      <c r="L1102" s="5">
        <v>0</v>
      </c>
      <c r="M1102" s="5">
        <v>0.0</v>
      </c>
      <c r="N1102" s="5">
        <v>0.0</v>
      </c>
      <c r="O1102" s="5">
        <v>0.0</v>
      </c>
      <c r="P1102" s="5">
        <v>0.0</v>
      </c>
      <c r="Q1102" s="5">
        <v>0.0</v>
      </c>
    </row>
    <row r="1103" outlineLevel="1">
      <c r="B1103" s="0" t="inlineStr">
        <is>
          <t xml:space="preserve">RTX CORPORATION</t>
        </is>
      </c>
      <c r="C1103" s="0" t="inlineStr">
        <is>
          <t xml:space="preserve">CBMZJ3Z5SC89</t>
        </is>
      </c>
      <c r="D1103" s="0" t="inlineStr">
        <is>
          <t xml:space="preserve">-</t>
        </is>
      </c>
      <c r="E1103" s="0" t="inlineStr">
        <is>
          <t xml:space="preserve">-</t>
        </is>
      </c>
      <c r="F1103" s="0" t="inlineStr">
        <is>
          <t xml:space="preserve">-</t>
        </is>
      </c>
      <c r="G1103" s="5">
        <v>0.31602553</v>
      </c>
      <c r="H1103" s="0" t="inlineStr">
        <is>
          <t xml:space="preserve">supplier</t>
        </is>
      </c>
      <c r="I1103" s="0" t="inlineStr">
        <is>
          <t xml:space="preserve">coatings</t>
        </is>
      </c>
      <c r="J1103" s="0" t="inlineStr">
        <is>
          <t xml:space="preserve">registry</t>
        </is>
      </c>
      <c r="K1103" s="5">
        <v>0</v>
      </c>
      <c r="L1103" s="5">
        <v>0</v>
      </c>
      <c r="M1103" s="5">
        <v>0.225094</v>
      </c>
      <c r="N1103" s="5">
        <v>0.0</v>
      </c>
      <c r="O1103" s="5">
        <v>0.039844</v>
      </c>
      <c r="P1103" s="5">
        <v>0.0</v>
      </c>
      <c r="Q1103" s="5">
        <v>0.18525</v>
      </c>
    </row>
    <row r="1104" outlineLevel="1">
      <c r="B1104" s="0" t="inlineStr">
        <is>
          <t xml:space="preserve">AIR COMPONENTS INC</t>
        </is>
      </c>
      <c r="C1104" s="0" t="inlineStr">
        <is>
          <t xml:space="preserve">G9KGAU9Q4D97</t>
        </is>
      </c>
      <c r="D1104" s="0" t="inlineStr">
        <is>
          <t xml:space="preserve">-</t>
        </is>
      </c>
      <c r="E1104" s="0" t="inlineStr">
        <is>
          <t xml:space="preserve">-</t>
        </is>
      </c>
      <c r="F1104" s="0" t="inlineStr">
        <is>
          <t xml:space="preserve">-</t>
        </is>
      </c>
      <c r="G1104" s="5">
        <v>0.31527493</v>
      </c>
      <c r="H1104" s="0" t="inlineStr">
        <is>
          <t xml:space="preserve">supplier</t>
        </is>
      </c>
      <c r="I1104" s="0" t="inlineStr">
        <is>
          <t xml:space="preserve">unbucketed</t>
        </is>
      </c>
      <c r="J1104" s="0" t="inlineStr">
        <is>
          <t xml:space="preserve">residual</t>
        </is>
      </c>
      <c r="K1104" s="5">
        <v>0</v>
      </c>
      <c r="L1104" s="5">
        <v>0</v>
      </c>
      <c r="M1104" s="5">
        <v>0.0</v>
      </c>
      <c r="N1104" s="5">
        <v>0.0</v>
      </c>
      <c r="O1104" s="5">
        <v>0.0</v>
      </c>
      <c r="P1104" s="5">
        <v>0.0</v>
      </c>
      <c r="Q1104" s="5">
        <v>0.0</v>
      </c>
    </row>
    <row r="1105" outlineLevel="1">
      <c r="B1105" s="0" t="inlineStr">
        <is>
          <t xml:space="preserve">GENERAL RELIANCE CORPORATION</t>
        </is>
      </c>
      <c r="C1105" s="0" t="inlineStr">
        <is>
          <t xml:space="preserve">HWSHBFR1LKB3</t>
        </is>
      </c>
      <c r="D1105" s="0" t="inlineStr">
        <is>
          <t xml:space="preserve">-</t>
        </is>
      </c>
      <c r="E1105" s="0" t="inlineStr">
        <is>
          <t xml:space="preserve">-</t>
        </is>
      </c>
      <c r="F1105" s="0" t="inlineStr">
        <is>
          <t xml:space="preserve">-</t>
        </is>
      </c>
      <c r="G1105" s="5">
        <v>0.31521999</v>
      </c>
      <c r="H1105" s="0" t="inlineStr">
        <is>
          <t xml:space="preserve">supplier</t>
        </is>
      </c>
      <c r="I1105" s="0" t="inlineStr">
        <is>
          <t xml:space="preserve">unbucketed</t>
        </is>
      </c>
      <c r="J1105" s="0" t="inlineStr">
        <is>
          <t xml:space="preserve">residual</t>
        </is>
      </c>
      <c r="K1105" s="5">
        <v>0</v>
      </c>
      <c r="L1105" s="5">
        <v>0</v>
      </c>
      <c r="M1105" s="5">
        <v>0.0</v>
      </c>
      <c r="N1105" s="5">
        <v>0.0</v>
      </c>
      <c r="O1105" s="5">
        <v>0.0</v>
      </c>
      <c r="P1105" s="5">
        <v>0.0</v>
      </c>
      <c r="Q1105" s="5">
        <v>0.0</v>
      </c>
    </row>
    <row r="1106" outlineLevel="1">
      <c r="B1106" s="0" t="inlineStr">
        <is>
          <t xml:space="preserve">CIRCOR AEROSPACE, INC.</t>
        </is>
      </c>
      <c r="C1106" s="0" t="inlineStr">
        <is>
          <t xml:space="preserve">K574V7KEQUC8</t>
        </is>
      </c>
      <c r="D1106" s="0" t="inlineStr">
        <is>
          <t xml:space="preserve">-</t>
        </is>
      </c>
      <c r="E1106" s="0" t="inlineStr">
        <is>
          <t xml:space="preserve">-</t>
        </is>
      </c>
      <c r="F1106" s="0" t="inlineStr">
        <is>
          <t xml:space="preserve">-</t>
        </is>
      </c>
      <c r="G1106" s="5">
        <v>0.31511838999999997</v>
      </c>
      <c r="H1106" s="0" t="inlineStr">
        <is>
          <t xml:space="preserve">supplier</t>
        </is>
      </c>
      <c r="I1106" s="0" t="inlineStr">
        <is>
          <t xml:space="preserve">piping</t>
        </is>
      </c>
      <c r="J1106" s="0" t="inlineStr">
        <is>
          <t xml:space="preserve">vendor-override</t>
        </is>
      </c>
      <c r="K1106" s="5">
        <v>0</v>
      </c>
      <c r="L1106" s="5">
        <v>0</v>
      </c>
      <c r="M1106" s="5">
        <v>0.0</v>
      </c>
      <c r="N1106" s="5">
        <v>0.0</v>
      </c>
      <c r="O1106" s="5">
        <v>0.0</v>
      </c>
      <c r="P1106" s="5">
        <v>0.0</v>
      </c>
      <c r="Q1106" s="5">
        <v>0.0</v>
      </c>
    </row>
    <row r="1107" outlineLevel="1">
      <c r="B1107" s="0" t="inlineStr">
        <is>
          <t xml:space="preserve">CHARDAM GEAR COMPANY, INC.</t>
        </is>
      </c>
      <c r="C1107" s="0" t="inlineStr">
        <is>
          <t xml:space="preserve">HPJ7F85GUDR4</t>
        </is>
      </c>
      <c r="D1107" s="0" t="inlineStr">
        <is>
          <t xml:space="preserve">-</t>
        </is>
      </c>
      <c r="E1107" s="0" t="inlineStr">
        <is>
          <t xml:space="preserve">-</t>
        </is>
      </c>
      <c r="F1107" s="0" t="inlineStr">
        <is>
          <t xml:space="preserve">-</t>
        </is>
      </c>
      <c r="G1107" s="5">
        <v>0.31494</v>
      </c>
      <c r="H1107" s="0" t="inlineStr">
        <is>
          <t xml:space="preserve">supplier</t>
        </is>
      </c>
      <c r="I1107" s="0" t="inlineStr">
        <is>
          <t xml:space="preserve">unbucketed</t>
        </is>
      </c>
      <c r="J1107" s="0" t="inlineStr">
        <is>
          <t xml:space="preserve">residual</t>
        </is>
      </c>
      <c r="K1107" s="5">
        <v>0</v>
      </c>
      <c r="L1107" s="5">
        <v>0</v>
      </c>
      <c r="M1107" s="5">
        <v>0.0</v>
      </c>
      <c r="N1107" s="5">
        <v>0.0</v>
      </c>
      <c r="O1107" s="5">
        <v>0.0</v>
      </c>
      <c r="P1107" s="5">
        <v>0.0</v>
      </c>
      <c r="Q1107" s="5">
        <v>0.0</v>
      </c>
    </row>
    <row r="1108" outlineLevel="1">
      <c r="B1108" s="0" t="inlineStr">
        <is>
          <t xml:space="preserve">FCX SYSTEMS INC</t>
        </is>
      </c>
      <c r="C1108" s="0" t="inlineStr">
        <is>
          <t xml:space="preserve">ZU51LS7JZ8L5</t>
        </is>
      </c>
      <c r="D1108" s="0" t="inlineStr">
        <is>
          <t xml:space="preserve">-</t>
        </is>
      </c>
      <c r="E1108" s="0" t="inlineStr">
        <is>
          <t xml:space="preserve">-</t>
        </is>
      </c>
      <c r="F1108" s="0" t="inlineStr">
        <is>
          <t xml:space="preserve">-</t>
        </is>
      </c>
      <c r="G1108" s="5">
        <v>0.314769</v>
      </c>
      <c r="H1108" s="0" t="inlineStr">
        <is>
          <t xml:space="preserve">supplier</t>
        </is>
      </c>
      <c r="I1108" s="0" t="inlineStr">
        <is>
          <t xml:space="preserve">unbucketed</t>
        </is>
      </c>
      <c r="J1108" s="0" t="inlineStr">
        <is>
          <t xml:space="preserve">residual</t>
        </is>
      </c>
      <c r="K1108" s="5">
        <v>0</v>
      </c>
      <c r="L1108" s="5">
        <v>0</v>
      </c>
      <c r="M1108" s="5">
        <v>0.314769</v>
      </c>
      <c r="N1108" s="5">
        <v>0.0</v>
      </c>
      <c r="O1108" s="5">
        <v>0.18662099999999998</v>
      </c>
      <c r="P1108" s="5">
        <v>0.0</v>
      </c>
      <c r="Q1108" s="5">
        <v>0.128148</v>
      </c>
    </row>
    <row r="1109" outlineLevel="1">
      <c r="B1109" s="0" t="inlineStr">
        <is>
          <t xml:space="preserve">IVES EQUIPMENT CORP</t>
        </is>
      </c>
      <c r="C1109" s="0" t="inlineStr">
        <is>
          <t xml:space="preserve">TMDVSPNEFR69</t>
        </is>
      </c>
      <c r="D1109" s="0" t="inlineStr">
        <is>
          <t xml:space="preserve">-</t>
        </is>
      </c>
      <c r="E1109" s="0" t="inlineStr">
        <is>
          <t xml:space="preserve">-</t>
        </is>
      </c>
      <c r="F1109" s="0" t="inlineStr">
        <is>
          <t xml:space="preserve">-</t>
        </is>
      </c>
      <c r="G1109" s="5">
        <v>0.31474148</v>
      </c>
      <c r="H1109" s="0" t="inlineStr">
        <is>
          <t xml:space="preserve">supplier</t>
        </is>
      </c>
      <c r="I1109" s="0" t="inlineStr">
        <is>
          <t xml:space="preserve">unbucketed</t>
        </is>
      </c>
      <c r="J1109" s="0" t="inlineStr">
        <is>
          <t xml:space="preserve">residual</t>
        </is>
      </c>
      <c r="K1109" s="5">
        <v>0</v>
      </c>
      <c r="L1109" s="5">
        <v>0</v>
      </c>
      <c r="M1109" s="5">
        <v>0.31474148</v>
      </c>
      <c r="N1109" s="5">
        <v>0.0</v>
      </c>
      <c r="O1109" s="5">
        <v>0.31474148</v>
      </c>
      <c r="P1109" s="5">
        <v>0.0</v>
      </c>
      <c r="Q1109" s="5">
        <v>0.0</v>
      </c>
    </row>
    <row r="1110" outlineLevel="1">
      <c r="B1110" s="0" t="inlineStr">
        <is>
          <t xml:space="preserve">TEATR MUZYKI I POEZII P/R E.KAMBUROVOI, GBU</t>
        </is>
      </c>
      <c r="C1110" s="0" t="inlineStr">
        <is>
          <t xml:space="preserve">QH1NZM6TK6C9</t>
        </is>
      </c>
      <c r="D1110" s="0" t="inlineStr">
        <is>
          <t xml:space="preserve">Foreign</t>
        </is>
      </c>
      <c r="E1110" s="0" t="inlineStr">
        <is>
          <t xml:space="preserve">-</t>
        </is>
      </c>
      <c r="F1110" s="0" t="inlineStr">
        <is>
          <t xml:space="preserve">-</t>
        </is>
      </c>
      <c r="G1110" s="5">
        <v>0.31355704</v>
      </c>
      <c r="H1110" s="0" t="inlineStr">
        <is>
          <t xml:space="preserve">foreign_fms</t>
        </is>
      </c>
      <c r="I1110" s="0" t="inlineStr">
        <is>
          <t xml:space="preserve">-</t>
        </is>
      </c>
      <c r="J1110" s="0" t="inlineStr">
        <is>
          <t xml:space="preserve">foreign flag</t>
        </is>
      </c>
      <c r="K1110" s="5">
        <v>0</v>
      </c>
      <c r="L1110" s="5">
        <v>0</v>
      </c>
      <c r="M1110" s="5">
        <v>0.31355704</v>
      </c>
      <c r="N1110" s="5">
        <v>0.0</v>
      </c>
      <c r="O1110" s="5">
        <v>0.0</v>
      </c>
      <c r="P1110" s="5">
        <v>0.0</v>
      </c>
      <c r="Q1110" s="5">
        <v>0.0</v>
      </c>
    </row>
    <row r="1111" outlineLevel="1">
      <c r="B1111" s="0" t="inlineStr">
        <is>
          <t xml:space="preserve">GENUINE CABLE GROUP, LLC</t>
        </is>
      </c>
      <c r="C1111" s="0" t="inlineStr">
        <is>
          <t xml:space="preserve">SBKKUUHKGXQ1</t>
        </is>
      </c>
      <c r="D1111" s="0" t="inlineStr">
        <is>
          <t xml:space="preserve">-</t>
        </is>
      </c>
      <c r="E1111" s="0" t="inlineStr">
        <is>
          <t xml:space="preserve">-</t>
        </is>
      </c>
      <c r="F1111" s="0" t="inlineStr">
        <is>
          <t xml:space="preserve">-</t>
        </is>
      </c>
      <c r="G1111" s="5">
        <v>0.31306307</v>
      </c>
      <c r="H1111" s="0" t="inlineStr">
        <is>
          <t xml:space="preserve">supplier</t>
        </is>
      </c>
      <c r="I1111" s="0" t="inlineStr">
        <is>
          <t xml:space="preserve">unbucketed</t>
        </is>
      </c>
      <c r="J1111" s="0" t="inlineStr">
        <is>
          <t xml:space="preserve">residual</t>
        </is>
      </c>
      <c r="K1111" s="5">
        <v>0</v>
      </c>
      <c r="L1111" s="5">
        <v>0</v>
      </c>
      <c r="M1111" s="5">
        <v>0.162325</v>
      </c>
      <c r="N1111" s="5">
        <v>0.067917</v>
      </c>
      <c r="O1111" s="5">
        <v>0.094408</v>
      </c>
      <c r="P1111" s="5">
        <v>0.0</v>
      </c>
      <c r="Q1111" s="5">
        <v>0.0</v>
      </c>
    </row>
    <row r="1112" outlineLevel="1">
      <c r="B1112" s="0" t="inlineStr">
        <is>
          <t xml:space="preserve">AMERICAN ELECTRONIC RESOURCE, INC.</t>
        </is>
      </c>
      <c r="C1112" s="0" t="inlineStr">
        <is>
          <t xml:space="preserve">WF4HB6LCKSL5</t>
        </is>
      </c>
      <c r="D1112" s="0" t="inlineStr">
        <is>
          <t xml:space="preserve">-</t>
        </is>
      </c>
      <c r="E1112" s="0" t="inlineStr">
        <is>
          <t xml:space="preserve">-</t>
        </is>
      </c>
      <c r="F1112" s="0" t="inlineStr">
        <is>
          <t xml:space="preserve">-</t>
        </is>
      </c>
      <c r="G1112" s="5">
        <v>0.3124536</v>
      </c>
      <c r="H1112" s="0" t="inlineStr">
        <is>
          <t xml:space="preserve">supplier</t>
        </is>
      </c>
      <c r="I1112" s="0" t="inlineStr">
        <is>
          <t xml:space="preserve">unbucketed</t>
        </is>
      </c>
      <c r="J1112" s="0" t="inlineStr">
        <is>
          <t xml:space="preserve">residual</t>
        </is>
      </c>
      <c r="K1112" s="5">
        <v>0</v>
      </c>
      <c r="L1112" s="5">
        <v>0</v>
      </c>
      <c r="M1112" s="5">
        <v>0.0</v>
      </c>
      <c r="N1112" s="5">
        <v>0.0</v>
      </c>
      <c r="O1112" s="5">
        <v>0.0</v>
      </c>
      <c r="P1112" s="5">
        <v>0.0</v>
      </c>
      <c r="Q1112" s="5">
        <v>0.0</v>
      </c>
    </row>
    <row r="1113" outlineLevel="1">
      <c r="B1113" s="0" t="inlineStr">
        <is>
          <t xml:space="preserve">HEXCEL CORP</t>
        </is>
      </c>
      <c r="C1113" s="0" t="inlineStr">
        <is>
          <t xml:space="preserve">F98TZC6J5XV1</t>
        </is>
      </c>
      <c r="D1113" s="0" t="inlineStr">
        <is>
          <t xml:space="preserve">-</t>
        </is>
      </c>
      <c r="E1113" s="0" t="inlineStr">
        <is>
          <t xml:space="preserve">-</t>
        </is>
      </c>
      <c r="F1113" s="0" t="inlineStr">
        <is>
          <t xml:space="preserve">-</t>
        </is>
      </c>
      <c r="G1113" s="5">
        <v>0.31225148</v>
      </c>
      <c r="H1113" s="0" t="inlineStr">
        <is>
          <t xml:space="preserve">supplier</t>
        </is>
      </c>
      <c r="I1113" s="0" t="inlineStr">
        <is>
          <t xml:space="preserve">unbucketed</t>
        </is>
      </c>
      <c r="J1113" s="0" t="inlineStr">
        <is>
          <t xml:space="preserve">residual</t>
        </is>
      </c>
      <c r="K1113" s="5">
        <v>0</v>
      </c>
      <c r="L1113" s="5">
        <v>0</v>
      </c>
      <c r="M1113" s="5">
        <v>0.31225148</v>
      </c>
      <c r="N1113" s="5">
        <v>0.0</v>
      </c>
      <c r="O1113" s="5">
        <v>0.31225148</v>
      </c>
      <c r="P1113" s="5">
        <v>0.0</v>
      </c>
      <c r="Q1113" s="5">
        <v>0.0</v>
      </c>
    </row>
    <row r="1114" outlineLevel="1">
      <c r="B1114" s="0" t="inlineStr">
        <is>
          <t xml:space="preserve">TTM TECHNOLOGIES, INC.</t>
        </is>
      </c>
      <c r="C1114" s="0" t="inlineStr">
        <is>
          <t xml:space="preserve">N6BAAYHLH8G7</t>
        </is>
      </c>
      <c r="D1114" s="0" t="inlineStr">
        <is>
          <t xml:space="preserve">USA</t>
        </is>
      </c>
      <c r="E1114" s="0" t="inlineStr">
        <is>
          <t xml:space="preserve">3344</t>
        </is>
      </c>
      <c r="F1114" s="0" t="inlineStr">
        <is>
          <t xml:space="preserve">Printed Circuit Assembly (Electronic Assembly) Manufacturing</t>
        </is>
      </c>
      <c r="G1114" s="5">
        <v>0.31172900000000003</v>
      </c>
      <c r="H1114" s="0" t="inlineStr">
        <is>
          <t xml:space="preserve">mission_systems</t>
        </is>
      </c>
      <c r="I1114" s="0" t="inlineStr">
        <is>
          <t xml:space="preserve">-</t>
        </is>
      </c>
      <c r="J1114" s="0" t="inlineStr">
        <is>
          <t xml:space="preserve">registry</t>
        </is>
      </c>
      <c r="K1114" s="5">
        <v>0</v>
      </c>
      <c r="L1114" s="5">
        <v>0</v>
      </c>
      <c r="M1114" s="5">
        <v>0.0</v>
      </c>
      <c r="N1114" s="5">
        <v>0.0</v>
      </c>
      <c r="O1114" s="5">
        <v>0.0</v>
      </c>
      <c r="P1114" s="5">
        <v>0.0</v>
      </c>
      <c r="Q1114" s="5">
        <v>0.0</v>
      </c>
    </row>
    <row r="1115" outlineLevel="1">
      <c r="B1115" s="0" t="inlineStr">
        <is>
          <t xml:space="preserve">TURNBULL LLC</t>
        </is>
      </c>
      <c r="C1115" s="0" t="inlineStr">
        <is>
          <t xml:space="preserve">MUD4KL77FK98</t>
        </is>
      </c>
      <c r="D1115" s="0" t="inlineStr">
        <is>
          <t xml:space="preserve">-</t>
        </is>
      </c>
      <c r="E1115" s="0" t="inlineStr">
        <is>
          <t xml:space="preserve">-</t>
        </is>
      </c>
      <c r="F1115" s="0" t="inlineStr">
        <is>
          <t xml:space="preserve">-</t>
        </is>
      </c>
      <c r="G1115" s="5">
        <v>0.31107399999999996</v>
      </c>
      <c r="H1115" s="0" t="inlineStr">
        <is>
          <t xml:space="preserve">supplier</t>
        </is>
      </c>
      <c r="I1115" s="0" t="inlineStr">
        <is>
          <t xml:space="preserve">unbucketed</t>
        </is>
      </c>
      <c r="J1115" s="0" t="inlineStr">
        <is>
          <t xml:space="preserve">residual</t>
        </is>
      </c>
      <c r="K1115" s="5">
        <v>0</v>
      </c>
      <c r="L1115" s="5">
        <v>0</v>
      </c>
      <c r="M1115" s="5">
        <v>0.31107399999999996</v>
      </c>
      <c r="N1115" s="5">
        <v>0.07861599999999999</v>
      </c>
      <c r="O1115" s="5">
        <v>0.232458</v>
      </c>
      <c r="P1115" s="5">
        <v>0.0</v>
      </c>
      <c r="Q1115" s="5">
        <v>0.0</v>
      </c>
    </row>
    <row r="1116" outlineLevel="1">
      <c r="B1116" s="0" t="inlineStr">
        <is>
          <t xml:space="preserve">AEROSPACE ELITE ELECTRONICS INC</t>
        </is>
      </c>
      <c r="C1116" s="0" t="inlineStr">
        <is>
          <t xml:space="preserve">XFWNM6S1JML3</t>
        </is>
      </c>
      <c r="D1116" s="0" t="inlineStr">
        <is>
          <t xml:space="preserve">-</t>
        </is>
      </c>
      <c r="E1116" s="0" t="inlineStr">
        <is>
          <t xml:space="preserve">-</t>
        </is>
      </c>
      <c r="F1116" s="0" t="inlineStr">
        <is>
          <t xml:space="preserve">-</t>
        </is>
      </c>
      <c r="G1116" s="5">
        <v>0.310698</v>
      </c>
      <c r="H1116" s="0" t="inlineStr">
        <is>
          <t xml:space="preserve">supplier</t>
        </is>
      </c>
      <c r="I1116" s="0" t="inlineStr">
        <is>
          <t xml:space="preserve">unbucketed</t>
        </is>
      </c>
      <c r="J1116" s="0" t="inlineStr">
        <is>
          <t xml:space="preserve">residual</t>
        </is>
      </c>
      <c r="K1116" s="5">
        <v>0</v>
      </c>
      <c r="L1116" s="5">
        <v>0</v>
      </c>
      <c r="M1116" s="5">
        <v>0.0</v>
      </c>
      <c r="N1116" s="5">
        <v>0.0</v>
      </c>
      <c r="O1116" s="5">
        <v>0.0</v>
      </c>
      <c r="P1116" s="5">
        <v>0.0</v>
      </c>
      <c r="Q1116" s="5">
        <v>0.0</v>
      </c>
    </row>
    <row r="1117" outlineLevel="1">
      <c r="B1117" s="0" t="inlineStr">
        <is>
          <t xml:space="preserve">CARAHSOFT TECHNOLOGY CORP.</t>
        </is>
      </c>
      <c r="C1117" s="0" t="inlineStr">
        <is>
          <t xml:space="preserve">DT8KJHZXVJH5</t>
        </is>
      </c>
      <c r="D1117" s="0" t="inlineStr">
        <is>
          <t xml:space="preserve">-</t>
        </is>
      </c>
      <c r="E1117" s="0" t="inlineStr">
        <is>
          <t xml:space="preserve">-</t>
        </is>
      </c>
      <c r="F1117" s="0" t="inlineStr">
        <is>
          <t xml:space="preserve">-</t>
        </is>
      </c>
      <c r="G1117" s="5">
        <v>0.30902498</v>
      </c>
      <c r="H1117" s="0" t="inlineStr">
        <is>
          <t xml:space="preserve">supplier</t>
        </is>
      </c>
      <c r="I1117" s="0" t="inlineStr">
        <is>
          <t xml:space="preserve">unbucketed</t>
        </is>
      </c>
      <c r="J1117" s="0" t="inlineStr">
        <is>
          <t xml:space="preserve">residual</t>
        </is>
      </c>
      <c r="K1117" s="5">
        <v>0</v>
      </c>
      <c r="L1117" s="5">
        <v>0</v>
      </c>
      <c r="M1117" s="5">
        <v>0.0</v>
      </c>
      <c r="N1117" s="5">
        <v>0.0</v>
      </c>
      <c r="O1117" s="5">
        <v>0.0</v>
      </c>
      <c r="P1117" s="5">
        <v>0.0</v>
      </c>
      <c r="Q1117" s="5">
        <v>0.0</v>
      </c>
    </row>
    <row r="1118" outlineLevel="1">
      <c r="B1118" s="0" t="inlineStr">
        <is>
          <t xml:space="preserve">ELLWOOD GROUP INC</t>
        </is>
      </c>
      <c r="C1118" s="0" t="inlineStr">
        <is>
          <t xml:space="preserve">QGB4RDYJNJT9</t>
        </is>
      </c>
      <c r="D1118" s="0" t="inlineStr">
        <is>
          <t xml:space="preserve">USA</t>
        </is>
      </c>
      <c r="E1118" s="0" t="inlineStr">
        <is>
          <t xml:space="preserve">3321</t>
        </is>
      </c>
      <c r="F1118" s="0" t="inlineStr">
        <is>
          <t xml:space="preserve">Iron and Steel Forging</t>
        </is>
      </c>
      <c r="G1118" s="5">
        <v>0.30781600000000003</v>
      </c>
      <c r="H1118" s="0" t="inlineStr">
        <is>
          <t xml:space="preserve">supplier</t>
        </is>
      </c>
      <c r="I1118" s="0" t="inlineStr">
        <is>
          <t xml:space="preserve">castings</t>
        </is>
      </c>
      <c r="J1118" s="0" t="inlineStr">
        <is>
          <t xml:space="preserve">registry</t>
        </is>
      </c>
      <c r="K1118" s="5">
        <v>0</v>
      </c>
      <c r="L1118" s="5">
        <v>0</v>
      </c>
      <c r="M1118" s="5">
        <v>0.0</v>
      </c>
      <c r="N1118" s="5">
        <v>0.0</v>
      </c>
      <c r="O1118" s="5">
        <v>0.0</v>
      </c>
      <c r="P1118" s="5">
        <v>0.0</v>
      </c>
      <c r="Q1118" s="5">
        <v>0.0</v>
      </c>
    </row>
    <row r="1119" outlineLevel="1">
      <c r="B1119" s="0" t="inlineStr">
        <is>
          <t xml:space="preserve">ANIXTER INC</t>
        </is>
      </c>
      <c r="C1119" s="0" t="inlineStr">
        <is>
          <t xml:space="preserve">LGEFMM39NGN4</t>
        </is>
      </c>
      <c r="D1119" s="0" t="inlineStr">
        <is>
          <t xml:space="preserve">-</t>
        </is>
      </c>
      <c r="E1119" s="0" t="inlineStr">
        <is>
          <t xml:space="preserve">-</t>
        </is>
      </c>
      <c r="F1119" s="0" t="inlineStr">
        <is>
          <t xml:space="preserve">-</t>
        </is>
      </c>
      <c r="G1119" s="5">
        <v>0.30750367000000006</v>
      </c>
      <c r="H1119" s="0" t="inlineStr">
        <is>
          <t xml:space="preserve">supplier</t>
        </is>
      </c>
      <c r="I1119" s="0" t="inlineStr">
        <is>
          <t xml:space="preserve">unbucketed</t>
        </is>
      </c>
      <c r="J1119" s="0" t="inlineStr">
        <is>
          <t xml:space="preserve">residual</t>
        </is>
      </c>
      <c r="K1119" s="5">
        <v>0</v>
      </c>
      <c r="L1119" s="5">
        <v>0</v>
      </c>
      <c r="M1119" s="5">
        <v>0.26936000000000004</v>
      </c>
      <c r="N1119" s="5">
        <v>0.0</v>
      </c>
      <c r="O1119" s="5">
        <v>0.07924</v>
      </c>
      <c r="P1119" s="5">
        <v>0.19012</v>
      </c>
      <c r="Q1119" s="5">
        <v>0.0</v>
      </c>
    </row>
    <row r="1120" outlineLevel="1">
      <c r="B1120" s="0" t="inlineStr">
        <is>
          <t xml:space="preserve">PROTOFAB ENGINEERING INC.</t>
        </is>
      </c>
      <c r="C1120" s="0" t="inlineStr">
        <is>
          <t xml:space="preserve">W86CEK5C7B53</t>
        </is>
      </c>
      <c r="D1120" s="0" t="inlineStr">
        <is>
          <t xml:space="preserve">-</t>
        </is>
      </c>
      <c r="E1120" s="0" t="inlineStr">
        <is>
          <t xml:space="preserve">-</t>
        </is>
      </c>
      <c r="F1120" s="0" t="inlineStr">
        <is>
          <t xml:space="preserve">-</t>
        </is>
      </c>
      <c r="G1120" s="5">
        <v>0.30631182</v>
      </c>
      <c r="H1120" s="0" t="inlineStr">
        <is>
          <t xml:space="preserve">supplier</t>
        </is>
      </c>
      <c r="I1120" s="0" t="inlineStr">
        <is>
          <t xml:space="preserve">unbucketed</t>
        </is>
      </c>
      <c r="J1120" s="0" t="inlineStr">
        <is>
          <t xml:space="preserve">residual</t>
        </is>
      </c>
      <c r="K1120" s="5">
        <v>0</v>
      </c>
      <c r="L1120" s="5">
        <v>0</v>
      </c>
      <c r="M1120" s="5">
        <v>0.0</v>
      </c>
      <c r="N1120" s="5">
        <v>0.0</v>
      </c>
      <c r="O1120" s="5">
        <v>0.0</v>
      </c>
      <c r="P1120" s="5">
        <v>0.0</v>
      </c>
      <c r="Q1120" s="5">
        <v>0.0</v>
      </c>
    </row>
    <row r="1121" outlineLevel="1">
      <c r="B1121" s="0" t="inlineStr">
        <is>
          <t xml:space="preserve">A PAPISH INCORPORATED</t>
        </is>
      </c>
      <c r="C1121" s="0" t="inlineStr">
        <is>
          <t xml:space="preserve">JURTXCNAZ4C5</t>
        </is>
      </c>
      <c r="D1121" s="0" t="inlineStr">
        <is>
          <t xml:space="preserve">-</t>
        </is>
      </c>
      <c r="E1121" s="0" t="inlineStr">
        <is>
          <t xml:space="preserve">-</t>
        </is>
      </c>
      <c r="F1121" s="0" t="inlineStr">
        <is>
          <t xml:space="preserve">-</t>
        </is>
      </c>
      <c r="G1121" s="5">
        <v>0.30615200000000004</v>
      </c>
      <c r="H1121" s="0" t="inlineStr">
        <is>
          <t xml:space="preserve">supplier</t>
        </is>
      </c>
      <c r="I1121" s="0" t="inlineStr">
        <is>
          <t xml:space="preserve">unbucketed</t>
        </is>
      </c>
      <c r="J1121" s="0" t="inlineStr">
        <is>
          <t xml:space="preserve">residual</t>
        </is>
      </c>
      <c r="K1121" s="5">
        <v>0</v>
      </c>
      <c r="L1121" s="5">
        <v>0</v>
      </c>
      <c r="M1121" s="5">
        <v>0.0</v>
      </c>
      <c r="N1121" s="5">
        <v>0.0</v>
      </c>
      <c r="O1121" s="5">
        <v>0.0</v>
      </c>
      <c r="P1121" s="5">
        <v>0.0</v>
      </c>
      <c r="Q1121" s="5">
        <v>0.0</v>
      </c>
    </row>
    <row r="1122" outlineLevel="1">
      <c r="B1122" s="0" t="inlineStr">
        <is>
          <t xml:space="preserve">COMMERCE BANCSHARES, INC.</t>
        </is>
      </c>
      <c r="C1122" s="0" t="inlineStr">
        <is>
          <t xml:space="preserve">PS39EKC82UU5</t>
        </is>
      </c>
      <c r="D1122" s="0" t="inlineStr">
        <is>
          <t xml:space="preserve">-</t>
        </is>
      </c>
      <c r="E1122" s="0" t="inlineStr">
        <is>
          <t xml:space="preserve">-</t>
        </is>
      </c>
      <c r="F1122" s="0" t="inlineStr">
        <is>
          <t xml:space="preserve">-</t>
        </is>
      </c>
      <c r="G1122" s="5">
        <v>0.305928</v>
      </c>
      <c r="H1122" s="0" t="inlineStr">
        <is>
          <t xml:space="preserve">supplier</t>
        </is>
      </c>
      <c r="I1122" s="0" t="inlineStr">
        <is>
          <t xml:space="preserve">unbucketed</t>
        </is>
      </c>
      <c r="J1122" s="0" t="inlineStr">
        <is>
          <t xml:space="preserve">residual</t>
        </is>
      </c>
      <c r="K1122" s="5">
        <v>0</v>
      </c>
      <c r="L1122" s="5">
        <v>0</v>
      </c>
      <c r="M1122" s="5">
        <v>0.0</v>
      </c>
      <c r="N1122" s="5">
        <v>0.0</v>
      </c>
      <c r="O1122" s="5">
        <v>0.0</v>
      </c>
      <c r="P1122" s="5">
        <v>0.0</v>
      </c>
      <c r="Q1122" s="5">
        <v>0.0</v>
      </c>
    </row>
    <row r="1123" outlineLevel="1">
      <c r="B1123" s="0" t="inlineStr">
        <is>
          <t xml:space="preserve">MISSISSIPPI SECURITY POLICE INC</t>
        </is>
      </c>
      <c r="C1123" s="0" t="inlineStr">
        <is>
          <t xml:space="preserve">KB45YQR3KSL5</t>
        </is>
      </c>
      <c r="D1123" s="0" t="inlineStr">
        <is>
          <t xml:space="preserve">-</t>
        </is>
      </c>
      <c r="E1123" s="0" t="inlineStr">
        <is>
          <t xml:space="preserve">-</t>
        </is>
      </c>
      <c r="F1123" s="0" t="inlineStr">
        <is>
          <t xml:space="preserve">-</t>
        </is>
      </c>
      <c r="G1123" s="5">
        <v>0.30494740000000004</v>
      </c>
      <c r="H1123" s="0" t="inlineStr">
        <is>
          <t xml:space="preserve">supplier</t>
        </is>
      </c>
      <c r="I1123" s="0" t="inlineStr">
        <is>
          <t xml:space="preserve">unbucketed</t>
        </is>
      </c>
      <c r="J1123" s="0" t="inlineStr">
        <is>
          <t xml:space="preserve">residual</t>
        </is>
      </c>
      <c r="K1123" s="5">
        <v>0</v>
      </c>
      <c r="L1123" s="5">
        <v>0</v>
      </c>
      <c r="M1123" s="5">
        <v>0.30494740000000004</v>
      </c>
      <c r="N1123" s="5">
        <v>0.0</v>
      </c>
      <c r="O1123" s="5">
        <v>0.30494740000000004</v>
      </c>
      <c r="P1123" s="5">
        <v>0.0</v>
      </c>
      <c r="Q1123" s="5">
        <v>0.0</v>
      </c>
    </row>
    <row r="1124" outlineLevel="1">
      <c r="B1124" s="0" t="inlineStr">
        <is>
          <t xml:space="preserve">ELECTRIC HEATER COMPANY, THE</t>
        </is>
      </c>
      <c r="C1124" s="0" t="inlineStr">
        <is>
          <t xml:space="preserve">RJGEKQDTZKT8</t>
        </is>
      </c>
      <c r="D1124" s="0" t="inlineStr">
        <is>
          <t xml:space="preserve">-</t>
        </is>
      </c>
      <c r="E1124" s="0" t="inlineStr">
        <is>
          <t xml:space="preserve">-</t>
        </is>
      </c>
      <c r="F1124" s="0" t="inlineStr">
        <is>
          <t xml:space="preserve">-</t>
        </is>
      </c>
      <c r="G1124" s="5">
        <v>0.30432240000000005</v>
      </c>
      <c r="H1124" s="0" t="inlineStr">
        <is>
          <t xml:space="preserve">supplier</t>
        </is>
      </c>
      <c r="I1124" s="0" t="inlineStr">
        <is>
          <t xml:space="preserve">unbucketed</t>
        </is>
      </c>
      <c r="J1124" s="0" t="inlineStr">
        <is>
          <t xml:space="preserve">residual</t>
        </is>
      </c>
      <c r="K1124" s="5">
        <v>0</v>
      </c>
      <c r="L1124" s="5">
        <v>0</v>
      </c>
      <c r="M1124" s="5">
        <v>0.30432240000000005</v>
      </c>
      <c r="N1124" s="5">
        <v>0.0</v>
      </c>
      <c r="O1124" s="5">
        <v>0.30432240000000005</v>
      </c>
      <c r="P1124" s="5">
        <v>0.0</v>
      </c>
      <c r="Q1124" s="5">
        <v>0.0</v>
      </c>
    </row>
    <row r="1125" outlineLevel="1">
      <c r="B1125" s="0" t="inlineStr">
        <is>
          <t xml:space="preserve">ANALOG DEVICES FEDERAL LLC</t>
        </is>
      </c>
      <c r="C1125" s="0" t="inlineStr">
        <is>
          <t xml:space="preserve">M6F1M2T8REN3</t>
        </is>
      </c>
      <c r="D1125" s="0" t="inlineStr">
        <is>
          <t xml:space="preserve">-</t>
        </is>
      </c>
      <c r="E1125" s="0" t="inlineStr">
        <is>
          <t xml:space="preserve">-</t>
        </is>
      </c>
      <c r="F1125" s="0" t="inlineStr">
        <is>
          <t xml:space="preserve">-</t>
        </is>
      </c>
      <c r="G1125" s="5">
        <v>0.30404000000000003</v>
      </c>
      <c r="H1125" s="0" t="inlineStr">
        <is>
          <t xml:space="preserve">supplier</t>
        </is>
      </c>
      <c r="I1125" s="0" t="inlineStr">
        <is>
          <t xml:space="preserve">unbucketed</t>
        </is>
      </c>
      <c r="J1125" s="0" t="inlineStr">
        <is>
          <t xml:space="preserve">residual</t>
        </is>
      </c>
      <c r="K1125" s="5">
        <v>0</v>
      </c>
      <c r="L1125" s="5">
        <v>0</v>
      </c>
      <c r="M1125" s="5">
        <v>0.0</v>
      </c>
      <c r="N1125" s="5">
        <v>0.0</v>
      </c>
      <c r="O1125" s="5">
        <v>0.0</v>
      </c>
      <c r="P1125" s="5">
        <v>0.0</v>
      </c>
      <c r="Q1125" s="5">
        <v>0.0</v>
      </c>
    </row>
    <row r="1126" outlineLevel="1">
      <c r="B1126" s="0" t="inlineStr">
        <is>
          <t xml:space="preserve">STERETT HEAVY HAULING LLC</t>
        </is>
      </c>
      <c r="C1126" s="0" t="inlineStr">
        <is>
          <t xml:space="preserve">NTC4AZ2FR2H4</t>
        </is>
      </c>
      <c r="D1126" s="0" t="inlineStr">
        <is>
          <t xml:space="preserve">-</t>
        </is>
      </c>
      <c r="E1126" s="0" t="inlineStr">
        <is>
          <t xml:space="preserve">-</t>
        </is>
      </c>
      <c r="F1126" s="0" t="inlineStr">
        <is>
          <t xml:space="preserve">-</t>
        </is>
      </c>
      <c r="G1126" s="5">
        <v>0.304008</v>
      </c>
      <c r="H1126" s="0" t="inlineStr">
        <is>
          <t xml:space="preserve">supplier</t>
        </is>
      </c>
      <c r="I1126" s="0" t="inlineStr">
        <is>
          <t xml:space="preserve">unbucketed</t>
        </is>
      </c>
      <c r="J1126" s="0" t="inlineStr">
        <is>
          <t xml:space="preserve">residual</t>
        </is>
      </c>
      <c r="K1126" s="5">
        <v>0</v>
      </c>
      <c r="L1126" s="5">
        <v>0</v>
      </c>
      <c r="M1126" s="5">
        <v>0.0</v>
      </c>
      <c r="N1126" s="5">
        <v>0.0</v>
      </c>
      <c r="O1126" s="5">
        <v>0.0</v>
      </c>
      <c r="P1126" s="5">
        <v>0.0</v>
      </c>
      <c r="Q1126" s="5">
        <v>0.0</v>
      </c>
    </row>
    <row r="1127" outlineLevel="1">
      <c r="B1127" s="0" t="inlineStr">
        <is>
          <t xml:space="preserve">C. MACHINE CO., INC.</t>
        </is>
      </c>
      <c r="C1127" s="0" t="inlineStr">
        <is>
          <t xml:space="preserve">WUQGPNATWJM3</t>
        </is>
      </c>
      <c r="D1127" s="0" t="inlineStr">
        <is>
          <t xml:space="preserve">-</t>
        </is>
      </c>
      <c r="E1127" s="0" t="inlineStr">
        <is>
          <t xml:space="preserve">-</t>
        </is>
      </c>
      <c r="F1127" s="0" t="inlineStr">
        <is>
          <t xml:space="preserve">-</t>
        </is>
      </c>
      <c r="G1127" s="5">
        <v>0.30300002</v>
      </c>
      <c r="H1127" s="0" t="inlineStr">
        <is>
          <t xml:space="preserve">supplier</t>
        </is>
      </c>
      <c r="I1127" s="0" t="inlineStr">
        <is>
          <t xml:space="preserve">unbucketed</t>
        </is>
      </c>
      <c r="J1127" s="0" t="inlineStr">
        <is>
          <t xml:space="preserve">residual</t>
        </is>
      </c>
      <c r="K1127" s="5">
        <v>0</v>
      </c>
      <c r="L1127" s="5">
        <v>0</v>
      </c>
      <c r="M1127" s="5">
        <v>0.0</v>
      </c>
      <c r="N1127" s="5">
        <v>0.0</v>
      </c>
      <c r="O1127" s="5">
        <v>0.0</v>
      </c>
      <c r="P1127" s="5">
        <v>0.0</v>
      </c>
      <c r="Q1127" s="5">
        <v>0.0</v>
      </c>
    </row>
    <row r="1128" outlineLevel="1">
      <c r="B1128" s="0" t="inlineStr">
        <is>
          <t xml:space="preserve">ALLIED MOTION TECHNOLOGIES INC.</t>
        </is>
      </c>
      <c r="C1128" s="0" t="inlineStr">
        <is>
          <t xml:space="preserve">FVENB2MJ1NM3</t>
        </is>
      </c>
      <c r="D1128" s="0" t="inlineStr">
        <is>
          <t xml:space="preserve">-</t>
        </is>
      </c>
      <c r="E1128" s="0" t="inlineStr">
        <is>
          <t xml:space="preserve">-</t>
        </is>
      </c>
      <c r="F1128" s="0" t="inlineStr">
        <is>
          <t xml:space="preserve">-</t>
        </is>
      </c>
      <c r="G1128" s="5">
        <v>0.30188</v>
      </c>
      <c r="H1128" s="0" t="inlineStr">
        <is>
          <t xml:space="preserve">supplier</t>
        </is>
      </c>
      <c r="I1128" s="0" t="inlineStr">
        <is>
          <t xml:space="preserve">unbucketed</t>
        </is>
      </c>
      <c r="J1128" s="0" t="inlineStr">
        <is>
          <t xml:space="preserve">residual</t>
        </is>
      </c>
      <c r="K1128" s="5">
        <v>0</v>
      </c>
      <c r="L1128" s="5">
        <v>0</v>
      </c>
      <c r="M1128" s="5">
        <v>0.0</v>
      </c>
      <c r="N1128" s="5">
        <v>0.0</v>
      </c>
      <c r="O1128" s="5">
        <v>0.0</v>
      </c>
      <c r="P1128" s="5">
        <v>0.0</v>
      </c>
      <c r="Q1128" s="5">
        <v>0.0</v>
      </c>
    </row>
    <row r="1129" outlineLevel="1">
      <c r="B1129" s="0" t="inlineStr">
        <is>
          <t xml:space="preserve">ARIZONA INDUSTRIAL HARDWARE INC</t>
        </is>
      </c>
      <c r="C1129" s="0" t="inlineStr">
        <is>
          <t xml:space="preserve">M2C5RXHKEZG1</t>
        </is>
      </c>
      <c r="D1129" s="0" t="inlineStr">
        <is>
          <t xml:space="preserve">-</t>
        </is>
      </c>
      <c r="E1129" s="0" t="inlineStr">
        <is>
          <t xml:space="preserve">-</t>
        </is>
      </c>
      <c r="F1129" s="0" t="inlineStr">
        <is>
          <t xml:space="preserve">-</t>
        </is>
      </c>
      <c r="G1129" s="5">
        <v>0.30141758</v>
      </c>
      <c r="H1129" s="0" t="inlineStr">
        <is>
          <t xml:space="preserve">supplier</t>
        </is>
      </c>
      <c r="I1129" s="0" t="inlineStr">
        <is>
          <t xml:space="preserve">unbucketed</t>
        </is>
      </c>
      <c r="J1129" s="0" t="inlineStr">
        <is>
          <t xml:space="preserve">residual</t>
        </is>
      </c>
      <c r="K1129" s="5">
        <v>0</v>
      </c>
      <c r="L1129" s="5">
        <v>0</v>
      </c>
      <c r="M1129" s="5">
        <v>0.0</v>
      </c>
      <c r="N1129" s="5">
        <v>0.0</v>
      </c>
      <c r="O1129" s="5">
        <v>0.0</v>
      </c>
      <c r="P1129" s="5">
        <v>0.0</v>
      </c>
      <c r="Q1129" s="5">
        <v>0.0</v>
      </c>
    </row>
    <row r="1130" outlineLevel="1">
      <c r="B1130" s="0" t="inlineStr">
        <is>
          <t xml:space="preserve">KEMET CORPORATION</t>
        </is>
      </c>
      <c r="C1130" s="0" t="inlineStr">
        <is>
          <t xml:space="preserve">YA8KKBJ6JSW7</t>
        </is>
      </c>
      <c r="D1130" s="0" t="inlineStr">
        <is>
          <t xml:space="preserve">-</t>
        </is>
      </c>
      <c r="E1130" s="0" t="inlineStr">
        <is>
          <t xml:space="preserve">-</t>
        </is>
      </c>
      <c r="F1130" s="0" t="inlineStr">
        <is>
          <t xml:space="preserve">-</t>
        </is>
      </c>
      <c r="G1130" s="5">
        <v>0.30016519999999997</v>
      </c>
      <c r="H1130" s="0" t="inlineStr">
        <is>
          <t xml:space="preserve">supplier</t>
        </is>
      </c>
      <c r="I1130" s="0" t="inlineStr">
        <is>
          <t xml:space="preserve">unbucketed</t>
        </is>
      </c>
      <c r="J1130" s="0" t="inlineStr">
        <is>
          <t xml:space="preserve">residual</t>
        </is>
      </c>
      <c r="K1130" s="5">
        <v>0</v>
      </c>
      <c r="L1130" s="5">
        <v>0</v>
      </c>
      <c r="M1130" s="5">
        <v>0.0</v>
      </c>
      <c r="N1130" s="5">
        <v>0.0</v>
      </c>
      <c r="O1130" s="5">
        <v>0.0</v>
      </c>
      <c r="P1130" s="5">
        <v>0.0</v>
      </c>
      <c r="Q1130" s="5">
        <v>0.0</v>
      </c>
    </row>
    <row r="1131" outlineLevel="1">
      <c r="B1131" s="0" t="inlineStr">
        <is>
          <t xml:space="preserve">ECI DEFENSE GROUP INC</t>
        </is>
      </c>
      <c r="C1131" s="0" t="inlineStr">
        <is>
          <t xml:space="preserve">ED16VKVTCHC8</t>
        </is>
      </c>
      <c r="D1131" s="0" t="inlineStr">
        <is>
          <t xml:space="preserve">-</t>
        </is>
      </c>
      <c r="E1131" s="0" t="inlineStr">
        <is>
          <t xml:space="preserve">-</t>
        </is>
      </c>
      <c r="F1131" s="0" t="inlineStr">
        <is>
          <t xml:space="preserve">-</t>
        </is>
      </c>
      <c r="G1131" s="5">
        <v>0.29998452000000003</v>
      </c>
      <c r="H1131" s="0" t="inlineStr">
        <is>
          <t xml:space="preserve">supplier</t>
        </is>
      </c>
      <c r="I1131" s="0" t="inlineStr">
        <is>
          <t xml:space="preserve">unbucketed</t>
        </is>
      </c>
      <c r="J1131" s="0" t="inlineStr">
        <is>
          <t xml:space="preserve">residual</t>
        </is>
      </c>
      <c r="K1131" s="5">
        <v>0</v>
      </c>
      <c r="L1131" s="5">
        <v>0</v>
      </c>
      <c r="M1131" s="5">
        <v>0.29998452000000003</v>
      </c>
      <c r="N1131" s="5">
        <v>0.0</v>
      </c>
      <c r="O1131" s="5">
        <v>0.29998452000000003</v>
      </c>
      <c r="P1131" s="5">
        <v>0.0</v>
      </c>
      <c r="Q1131" s="5">
        <v>0.0</v>
      </c>
    </row>
    <row r="1132" outlineLevel="1">
      <c r="B1132" s="0" t="inlineStr">
        <is>
          <t xml:space="preserve">SPIRAL METALS CORPORATION OF BATON ROUGE</t>
        </is>
      </c>
      <c r="C1132" s="0" t="inlineStr">
        <is>
          <t xml:space="preserve">ZJYFSLD4MN55</t>
        </is>
      </c>
      <c r="D1132" s="0" t="inlineStr">
        <is>
          <t xml:space="preserve">-</t>
        </is>
      </c>
      <c r="E1132" s="0" t="inlineStr">
        <is>
          <t xml:space="preserve">-</t>
        </is>
      </c>
      <c r="F1132" s="0" t="inlineStr">
        <is>
          <t xml:space="preserve">-</t>
        </is>
      </c>
      <c r="G1132" s="5">
        <v>0.299523</v>
      </c>
      <c r="H1132" s="0" t="inlineStr">
        <is>
          <t xml:space="preserve">supplier</t>
        </is>
      </c>
      <c r="I1132" s="0" t="inlineStr">
        <is>
          <t xml:space="preserve">unbucketed</t>
        </is>
      </c>
      <c r="J1132" s="0" t="inlineStr">
        <is>
          <t xml:space="preserve">residual</t>
        </is>
      </c>
      <c r="K1132" s="5">
        <v>0</v>
      </c>
      <c r="L1132" s="5">
        <v>0</v>
      </c>
      <c r="M1132" s="5">
        <v>0.0</v>
      </c>
      <c r="N1132" s="5">
        <v>0.0</v>
      </c>
      <c r="O1132" s="5">
        <v>0.0</v>
      </c>
      <c r="P1132" s="5">
        <v>0.0</v>
      </c>
      <c r="Q1132" s="5">
        <v>0.0</v>
      </c>
    </row>
    <row r="1133" outlineLevel="1">
      <c r="B1133" s="0" t="inlineStr">
        <is>
          <t xml:space="preserve">JAL ENTERPRISES, INC.</t>
        </is>
      </c>
      <c r="C1133" s="0" t="inlineStr">
        <is>
          <t xml:space="preserve">U4MMR7DR2DR7</t>
        </is>
      </c>
      <c r="D1133" s="0" t="inlineStr">
        <is>
          <t xml:space="preserve">-</t>
        </is>
      </c>
      <c r="E1133" s="0" t="inlineStr">
        <is>
          <t xml:space="preserve">-</t>
        </is>
      </c>
      <c r="F1133" s="0" t="inlineStr">
        <is>
          <t xml:space="preserve">-</t>
        </is>
      </c>
      <c r="G1133" s="5">
        <v>0.29924962</v>
      </c>
      <c r="H1133" s="0" t="inlineStr">
        <is>
          <t xml:space="preserve">supplier</t>
        </is>
      </c>
      <c r="I1133" s="0" t="inlineStr">
        <is>
          <t xml:space="preserve">unbucketed</t>
        </is>
      </c>
      <c r="J1133" s="0" t="inlineStr">
        <is>
          <t xml:space="preserve">residual</t>
        </is>
      </c>
      <c r="K1133" s="5">
        <v>0</v>
      </c>
      <c r="L1133" s="5">
        <v>0</v>
      </c>
      <c r="M1133" s="5">
        <v>0.2987382</v>
      </c>
      <c r="N1133" s="5">
        <v>0.0</v>
      </c>
      <c r="O1133" s="5">
        <v>0.15352536</v>
      </c>
      <c r="P1133" s="5">
        <v>0.14521284</v>
      </c>
      <c r="Q1133" s="5">
        <v>0.0</v>
      </c>
    </row>
    <row r="1134" outlineLevel="1">
      <c r="B1134" s="0" t="inlineStr">
        <is>
          <t xml:space="preserve">PACIFIC CERAMICS, INC.</t>
        </is>
      </c>
      <c r="C1134" s="0" t="inlineStr">
        <is>
          <t xml:space="preserve">N31WM1N2JRC3</t>
        </is>
      </c>
      <c r="D1134" s="0" t="inlineStr">
        <is>
          <t xml:space="preserve">-</t>
        </is>
      </c>
      <c r="E1134" s="0" t="inlineStr">
        <is>
          <t xml:space="preserve">-</t>
        </is>
      </c>
      <c r="F1134" s="0" t="inlineStr">
        <is>
          <t xml:space="preserve">-</t>
        </is>
      </c>
      <c r="G1134" s="5">
        <v>0.29924328</v>
      </c>
      <c r="H1134" s="0" t="inlineStr">
        <is>
          <t xml:space="preserve">supplier</t>
        </is>
      </c>
      <c r="I1134" s="0" t="inlineStr">
        <is>
          <t xml:space="preserve">unbucketed</t>
        </is>
      </c>
      <c r="J1134" s="0" t="inlineStr">
        <is>
          <t xml:space="preserve">residual</t>
        </is>
      </c>
      <c r="K1134" s="5">
        <v>0</v>
      </c>
      <c r="L1134" s="5">
        <v>0</v>
      </c>
      <c r="M1134" s="5">
        <v>0.0</v>
      </c>
      <c r="N1134" s="5">
        <v>0.0</v>
      </c>
      <c r="O1134" s="5">
        <v>0.0</v>
      </c>
      <c r="P1134" s="5">
        <v>0.0</v>
      </c>
      <c r="Q1134" s="5">
        <v>0.0</v>
      </c>
    </row>
    <row r="1135" outlineLevel="1">
      <c r="B1135" s="0" t="inlineStr">
        <is>
          <t xml:space="preserve">LA MACHINE SHOP INC</t>
        </is>
      </c>
      <c r="C1135" s="0" t="inlineStr">
        <is>
          <t xml:space="preserve">L6NCXSFJ3PV7</t>
        </is>
      </c>
      <c r="D1135" s="0" t="inlineStr">
        <is>
          <t xml:space="preserve">-</t>
        </is>
      </c>
      <c r="E1135" s="0" t="inlineStr">
        <is>
          <t xml:space="preserve">-</t>
        </is>
      </c>
      <c r="F1135" s="0" t="inlineStr">
        <is>
          <t xml:space="preserve">-</t>
        </is>
      </c>
      <c r="G1135" s="5">
        <v>0.29802798</v>
      </c>
      <c r="H1135" s="0" t="inlineStr">
        <is>
          <t xml:space="preserve">supplier</t>
        </is>
      </c>
      <c r="I1135" s="0" t="inlineStr">
        <is>
          <t xml:space="preserve">unbucketed</t>
        </is>
      </c>
      <c r="J1135" s="0" t="inlineStr">
        <is>
          <t xml:space="preserve">residual</t>
        </is>
      </c>
      <c r="K1135" s="5">
        <v>0</v>
      </c>
      <c r="L1135" s="5">
        <v>0</v>
      </c>
      <c r="M1135" s="5">
        <v>0.0</v>
      </c>
      <c r="N1135" s="5">
        <v>0.0</v>
      </c>
      <c r="O1135" s="5">
        <v>0.0</v>
      </c>
      <c r="P1135" s="5">
        <v>0.0</v>
      </c>
      <c r="Q1135" s="5">
        <v>0.0</v>
      </c>
    </row>
    <row r="1136" outlineLevel="1">
      <c r="B1136" s="0" t="inlineStr">
        <is>
          <t xml:space="preserve">BANNEKER SUPPLY CHAIN SOLUTIONS, INC.</t>
        </is>
      </c>
      <c r="C1136" s="0" t="inlineStr">
        <is>
          <t xml:space="preserve">VQVYR247JJ53</t>
        </is>
      </c>
      <c r="D1136" s="0" t="inlineStr">
        <is>
          <t xml:space="preserve">-</t>
        </is>
      </c>
      <c r="E1136" s="0" t="inlineStr">
        <is>
          <t xml:space="preserve">-</t>
        </is>
      </c>
      <c r="F1136" s="0" t="inlineStr">
        <is>
          <t xml:space="preserve">-</t>
        </is>
      </c>
      <c r="G1136" s="5">
        <v>0.297953</v>
      </c>
      <c r="H1136" s="0" t="inlineStr">
        <is>
          <t xml:space="preserve">supplier</t>
        </is>
      </c>
      <c r="I1136" s="0" t="inlineStr">
        <is>
          <t xml:space="preserve">unbucketed</t>
        </is>
      </c>
      <c r="J1136" s="0" t="inlineStr">
        <is>
          <t xml:space="preserve">residual</t>
        </is>
      </c>
      <c r="K1136" s="5">
        <v>0</v>
      </c>
      <c r="L1136" s="5">
        <v>0</v>
      </c>
      <c r="M1136" s="5">
        <v>0.0</v>
      </c>
      <c r="N1136" s="5">
        <v>0.0</v>
      </c>
      <c r="O1136" s="5">
        <v>0.0</v>
      </c>
      <c r="P1136" s="5">
        <v>0.0</v>
      </c>
      <c r="Q1136" s="5">
        <v>0.0</v>
      </c>
    </row>
    <row r="1137" outlineLevel="1">
      <c r="B1137" s="0" t="inlineStr">
        <is>
          <t xml:space="preserve">SYSTEM COMPONENTS, INC.</t>
        </is>
      </c>
      <c r="C1137" s="0" t="inlineStr">
        <is>
          <t xml:space="preserve">EJBTN791CY87</t>
        </is>
      </c>
      <c r="D1137" s="0" t="inlineStr">
        <is>
          <t xml:space="preserve">-</t>
        </is>
      </c>
      <c r="E1137" s="0" t="inlineStr">
        <is>
          <t xml:space="preserve">-</t>
        </is>
      </c>
      <c r="F1137" s="0" t="inlineStr">
        <is>
          <t xml:space="preserve">-</t>
        </is>
      </c>
      <c r="G1137" s="5">
        <v>0.29778855000000004</v>
      </c>
      <c r="H1137" s="0" t="inlineStr">
        <is>
          <t xml:space="preserve">supplier</t>
        </is>
      </c>
      <c r="I1137" s="0" t="inlineStr">
        <is>
          <t xml:space="preserve">unbucketed</t>
        </is>
      </c>
      <c r="J1137" s="0" t="inlineStr">
        <is>
          <t xml:space="preserve">residual</t>
        </is>
      </c>
      <c r="K1137" s="5">
        <v>0</v>
      </c>
      <c r="L1137" s="5">
        <v>0</v>
      </c>
      <c r="M1137" s="5">
        <v>0.0</v>
      </c>
      <c r="N1137" s="5">
        <v>0.0</v>
      </c>
      <c r="O1137" s="5">
        <v>0.0</v>
      </c>
      <c r="P1137" s="5">
        <v>0.0</v>
      </c>
      <c r="Q1137" s="5">
        <v>0.0</v>
      </c>
    </row>
    <row r="1138" outlineLevel="1">
      <c r="B1138" s="0" t="inlineStr">
        <is>
          <t xml:space="preserve">HBD INDUSTRIES INC</t>
        </is>
      </c>
      <c r="C1138" s="0" t="inlineStr">
        <is>
          <t xml:space="preserve">CAJNRP9LUEX6</t>
        </is>
      </c>
      <c r="D1138" s="0" t="inlineStr">
        <is>
          <t xml:space="preserve">-</t>
        </is>
      </c>
      <c r="E1138" s="0" t="inlineStr">
        <is>
          <t xml:space="preserve">-</t>
        </is>
      </c>
      <c r="F1138" s="0" t="inlineStr">
        <is>
          <t xml:space="preserve">-</t>
        </is>
      </c>
      <c r="G1138" s="5">
        <v>0.296891</v>
      </c>
      <c r="H1138" s="0" t="inlineStr">
        <is>
          <t xml:space="preserve">supplier</t>
        </is>
      </c>
      <c r="I1138" s="0" t="inlineStr">
        <is>
          <t xml:space="preserve">unbucketed</t>
        </is>
      </c>
      <c r="J1138" s="0" t="inlineStr">
        <is>
          <t xml:space="preserve">residual</t>
        </is>
      </c>
      <c r="K1138" s="5">
        <v>0</v>
      </c>
      <c r="L1138" s="5">
        <v>0</v>
      </c>
      <c r="M1138" s="5">
        <v>0.0</v>
      </c>
      <c r="N1138" s="5">
        <v>0.0</v>
      </c>
      <c r="O1138" s="5">
        <v>0.0</v>
      </c>
      <c r="P1138" s="5">
        <v>0.0</v>
      </c>
      <c r="Q1138" s="5">
        <v>0.0</v>
      </c>
    </row>
    <row r="1139" outlineLevel="1">
      <c r="B1139" s="0" t="inlineStr">
        <is>
          <t xml:space="preserve">DYNAMIC NON-DESTRUCTIVE TESTING INC.</t>
        </is>
      </c>
      <c r="C1139" s="0" t="inlineStr">
        <is>
          <t xml:space="preserve">KDDQUJKFE8T9</t>
        </is>
      </c>
      <c r="D1139" s="0" t="inlineStr">
        <is>
          <t xml:space="preserve">-</t>
        </is>
      </c>
      <c r="E1139" s="0" t="inlineStr">
        <is>
          <t xml:space="preserve">-</t>
        </is>
      </c>
      <c r="F1139" s="0" t="inlineStr">
        <is>
          <t xml:space="preserve">-</t>
        </is>
      </c>
      <c r="G1139" s="5">
        <v>0.2966</v>
      </c>
      <c r="H1139" s="0" t="inlineStr">
        <is>
          <t xml:space="preserve">supplier</t>
        </is>
      </c>
      <c r="I1139" s="0" t="inlineStr">
        <is>
          <t xml:space="preserve">unbucketed</t>
        </is>
      </c>
      <c r="J1139" s="0" t="inlineStr">
        <is>
          <t xml:space="preserve">residual</t>
        </is>
      </c>
      <c r="K1139" s="5">
        <v>0</v>
      </c>
      <c r="L1139" s="5">
        <v>0</v>
      </c>
      <c r="M1139" s="5">
        <v>0.0</v>
      </c>
      <c r="N1139" s="5">
        <v>0.0</v>
      </c>
      <c r="O1139" s="5">
        <v>0.0</v>
      </c>
      <c r="P1139" s="5">
        <v>0.0</v>
      </c>
      <c r="Q1139" s="5">
        <v>0.0</v>
      </c>
    </row>
    <row r="1140" outlineLevel="1">
      <c r="B1140" s="0" t="inlineStr">
        <is>
          <t xml:space="preserve">DYNAMIC AIR ENGINEERING INC</t>
        </is>
      </c>
      <c r="C1140" s="0" t="inlineStr">
        <is>
          <t xml:space="preserve">D7F1WVKZ91Q3</t>
        </is>
      </c>
      <c r="D1140" s="0" t="inlineStr">
        <is>
          <t xml:space="preserve">-</t>
        </is>
      </c>
      <c r="E1140" s="0" t="inlineStr">
        <is>
          <t xml:space="preserve">-</t>
        </is>
      </c>
      <c r="F1140" s="0" t="inlineStr">
        <is>
          <t xml:space="preserve">-</t>
        </is>
      </c>
      <c r="G1140" s="5">
        <v>0.2954</v>
      </c>
      <c r="H1140" s="0" t="inlineStr">
        <is>
          <t xml:space="preserve">supplier</t>
        </is>
      </c>
      <c r="I1140" s="0" t="inlineStr">
        <is>
          <t xml:space="preserve">unbucketed</t>
        </is>
      </c>
      <c r="J1140" s="0" t="inlineStr">
        <is>
          <t xml:space="preserve">residual</t>
        </is>
      </c>
      <c r="K1140" s="5">
        <v>0</v>
      </c>
      <c r="L1140" s="5">
        <v>0</v>
      </c>
      <c r="M1140" s="5">
        <v>0.0</v>
      </c>
      <c r="N1140" s="5">
        <v>0.0</v>
      </c>
      <c r="O1140" s="5">
        <v>0.0</v>
      </c>
      <c r="P1140" s="5">
        <v>0.0</v>
      </c>
      <c r="Q1140" s="5">
        <v>0.0</v>
      </c>
    </row>
    <row r="1141" outlineLevel="1">
      <c r="B1141" s="0" t="inlineStr">
        <is>
          <t xml:space="preserve">PROMETHEUS GLOBAL CORP</t>
        </is>
      </c>
      <c r="C1141" s="0" t="inlineStr">
        <is>
          <t xml:space="preserve">K1DPN6MTLXF5</t>
        </is>
      </c>
      <c r="D1141" s="0" t="inlineStr">
        <is>
          <t xml:space="preserve">-</t>
        </is>
      </c>
      <c r="E1141" s="0" t="inlineStr">
        <is>
          <t xml:space="preserve">-</t>
        </is>
      </c>
      <c r="F1141" s="0" t="inlineStr">
        <is>
          <t xml:space="preserve">-</t>
        </is>
      </c>
      <c r="G1141" s="5">
        <v>0.29210258</v>
      </c>
      <c r="H1141" s="0" t="inlineStr">
        <is>
          <t xml:space="preserve">supplier</t>
        </is>
      </c>
      <c r="I1141" s="0" t="inlineStr">
        <is>
          <t xml:space="preserve">unbucketed</t>
        </is>
      </c>
      <c r="J1141" s="0" t="inlineStr">
        <is>
          <t xml:space="preserve">residual</t>
        </is>
      </c>
      <c r="K1141" s="5">
        <v>0</v>
      </c>
      <c r="L1141" s="5">
        <v>0</v>
      </c>
      <c r="M1141" s="5">
        <v>0.0</v>
      </c>
      <c r="N1141" s="5">
        <v>0.0</v>
      </c>
      <c r="O1141" s="5">
        <v>0.0</v>
      </c>
      <c r="P1141" s="5">
        <v>0.0</v>
      </c>
      <c r="Q1141" s="5">
        <v>0.0</v>
      </c>
    </row>
    <row r="1142" outlineLevel="1">
      <c r="B1142" s="0" t="inlineStr">
        <is>
          <t xml:space="preserve">ABACUS INDUSTRIES INC</t>
        </is>
      </c>
      <c r="C1142" s="0" t="inlineStr">
        <is>
          <t xml:space="preserve">RL6KA2EUSUC8</t>
        </is>
      </c>
      <c r="D1142" s="0" t="inlineStr">
        <is>
          <t xml:space="preserve">-</t>
        </is>
      </c>
      <c r="E1142" s="0" t="inlineStr">
        <is>
          <t xml:space="preserve">-</t>
        </is>
      </c>
      <c r="F1142" s="0" t="inlineStr">
        <is>
          <t xml:space="preserve">-</t>
        </is>
      </c>
      <c r="G1142" s="5">
        <v>0.29103337</v>
      </c>
      <c r="H1142" s="0" t="inlineStr">
        <is>
          <t xml:space="preserve">supplier</t>
        </is>
      </c>
      <c r="I1142" s="0" t="inlineStr">
        <is>
          <t xml:space="preserve">unbucketed</t>
        </is>
      </c>
      <c r="J1142" s="0" t="inlineStr">
        <is>
          <t xml:space="preserve">residual</t>
        </is>
      </c>
      <c r="K1142" s="5">
        <v>0</v>
      </c>
      <c r="L1142" s="5">
        <v>0</v>
      </c>
      <c r="M1142" s="5">
        <v>0.29103337</v>
      </c>
      <c r="N1142" s="5">
        <v>0.0</v>
      </c>
      <c r="O1142" s="5">
        <v>0.0</v>
      </c>
      <c r="P1142" s="5">
        <v>0.071677</v>
      </c>
      <c r="Q1142" s="5">
        <v>0.15696637</v>
      </c>
    </row>
    <row r="1143" outlineLevel="1">
      <c r="B1143" s="0" t="inlineStr">
        <is>
          <t xml:space="preserve">TTM TECHNOLOGIES, INC.</t>
        </is>
      </c>
      <c r="C1143" s="0" t="inlineStr">
        <is>
          <t xml:space="preserve">YN5LFJLGQRP7</t>
        </is>
      </c>
      <c r="D1143" s="0" t="inlineStr">
        <is>
          <t xml:space="preserve">USA</t>
        </is>
      </c>
      <c r="E1143" s="0" t="inlineStr">
        <is>
          <t xml:space="preserve">3344</t>
        </is>
      </c>
      <c r="F1143" s="0" t="inlineStr">
        <is>
          <t xml:space="preserve">Bare Printed Circuit Board Manufacturing</t>
        </is>
      </c>
      <c r="G1143" s="5">
        <v>0.29080779</v>
      </c>
      <c r="H1143" s="0" t="inlineStr">
        <is>
          <t xml:space="preserve">supplier</t>
        </is>
      </c>
      <c r="I1143" s="0" t="inlineStr">
        <is>
          <t xml:space="preserve">unbucketed</t>
        </is>
      </c>
      <c r="J1143" s="0" t="inlineStr">
        <is>
          <t xml:space="preserve">residual</t>
        </is>
      </c>
      <c r="K1143" s="5">
        <v>0</v>
      </c>
      <c r="L1143" s="5">
        <v>0</v>
      </c>
      <c r="M1143" s="5">
        <v>0.0</v>
      </c>
      <c r="N1143" s="5">
        <v>0.0</v>
      </c>
      <c r="O1143" s="5">
        <v>0.0</v>
      </c>
      <c r="P1143" s="5">
        <v>0.0</v>
      </c>
      <c r="Q1143" s="5">
        <v>0.0</v>
      </c>
    </row>
    <row r="1144" outlineLevel="1">
      <c r="B1144" s="0" t="inlineStr">
        <is>
          <t xml:space="preserve">INNOVATIVE RACK &amp; GEAR COMPANY</t>
        </is>
      </c>
      <c r="C1144" s="0" t="inlineStr">
        <is>
          <t xml:space="preserve">TV7DV4DWF5H1</t>
        </is>
      </c>
      <c r="D1144" s="0" t="inlineStr">
        <is>
          <t xml:space="preserve">-</t>
        </is>
      </c>
      <c r="E1144" s="0" t="inlineStr">
        <is>
          <t xml:space="preserve">-</t>
        </is>
      </c>
      <c r="F1144" s="0" t="inlineStr">
        <is>
          <t xml:space="preserve">-</t>
        </is>
      </c>
      <c r="G1144" s="5">
        <v>0.29028800000000005</v>
      </c>
      <c r="H1144" s="0" t="inlineStr">
        <is>
          <t xml:space="preserve">supplier</t>
        </is>
      </c>
      <c r="I1144" s="0" t="inlineStr">
        <is>
          <t xml:space="preserve">unbucketed</t>
        </is>
      </c>
      <c r="J1144" s="0" t="inlineStr">
        <is>
          <t xml:space="preserve">residual</t>
        </is>
      </c>
      <c r="K1144" s="5">
        <v>0</v>
      </c>
      <c r="L1144" s="5">
        <v>0</v>
      </c>
      <c r="M1144" s="5">
        <v>0.0</v>
      </c>
      <c r="N1144" s="5">
        <v>0.0</v>
      </c>
      <c r="O1144" s="5">
        <v>0.0</v>
      </c>
      <c r="P1144" s="5">
        <v>0.0</v>
      </c>
      <c r="Q1144" s="5">
        <v>0.0</v>
      </c>
    </row>
    <row r="1145" outlineLevel="1">
      <c r="B1145" s="0" t="inlineStr">
        <is>
          <t xml:space="preserve">B.J.G. ELECTRONICS, INC.</t>
        </is>
      </c>
      <c r="C1145" s="0" t="inlineStr">
        <is>
          <t xml:space="preserve">GSBVJ9K2EJY5</t>
        </is>
      </c>
      <c r="D1145" s="0" t="inlineStr">
        <is>
          <t xml:space="preserve">-</t>
        </is>
      </c>
      <c r="E1145" s="0" t="inlineStr">
        <is>
          <t xml:space="preserve">-</t>
        </is>
      </c>
      <c r="F1145" s="0" t="inlineStr">
        <is>
          <t xml:space="preserve">-</t>
        </is>
      </c>
      <c r="G1145" s="5">
        <v>0.28871415</v>
      </c>
      <c r="H1145" s="0" t="inlineStr">
        <is>
          <t xml:space="preserve">supplier</t>
        </is>
      </c>
      <c r="I1145" s="0" t="inlineStr">
        <is>
          <t xml:space="preserve">unbucketed</t>
        </is>
      </c>
      <c r="J1145" s="0" t="inlineStr">
        <is>
          <t xml:space="preserve">residual</t>
        </is>
      </c>
      <c r="K1145" s="5">
        <v>0</v>
      </c>
      <c r="L1145" s="5">
        <v>0</v>
      </c>
      <c r="M1145" s="5">
        <v>0.0</v>
      </c>
      <c r="N1145" s="5">
        <v>0.0</v>
      </c>
      <c r="O1145" s="5">
        <v>0.0</v>
      </c>
      <c r="P1145" s="5">
        <v>0.0</v>
      </c>
      <c r="Q1145" s="5">
        <v>0.0</v>
      </c>
    </row>
    <row r="1146" outlineLevel="1">
      <c r="B1146" s="0" t="inlineStr">
        <is>
          <t xml:space="preserve">SMITHS INTERCONNECT INC</t>
        </is>
      </c>
      <c r="C1146" s="0" t="inlineStr">
        <is>
          <t xml:space="preserve">LXM1WU4Y1Q63</t>
        </is>
      </c>
      <c r="D1146" s="0" t="inlineStr">
        <is>
          <t xml:space="preserve">-</t>
        </is>
      </c>
      <c r="E1146" s="0" t="inlineStr">
        <is>
          <t xml:space="preserve">-</t>
        </is>
      </c>
      <c r="F1146" s="0" t="inlineStr">
        <is>
          <t xml:space="preserve">-</t>
        </is>
      </c>
      <c r="G1146" s="5">
        <v>0.287926</v>
      </c>
      <c r="H1146" s="0" t="inlineStr">
        <is>
          <t xml:space="preserve">supplier</t>
        </is>
      </c>
      <c r="I1146" s="0" t="inlineStr">
        <is>
          <t xml:space="preserve">unbucketed</t>
        </is>
      </c>
      <c r="J1146" s="0" t="inlineStr">
        <is>
          <t xml:space="preserve">residual</t>
        </is>
      </c>
      <c r="K1146" s="5">
        <v>0</v>
      </c>
      <c r="L1146" s="5">
        <v>0</v>
      </c>
      <c r="M1146" s="5">
        <v>0.0</v>
      </c>
      <c r="N1146" s="5">
        <v>0.0</v>
      </c>
      <c r="O1146" s="5">
        <v>0.0</v>
      </c>
      <c r="P1146" s="5">
        <v>0.0</v>
      </c>
      <c r="Q1146" s="5">
        <v>0.0</v>
      </c>
    </row>
    <row r="1147" outlineLevel="1">
      <c r="B1147" s="0" t="inlineStr">
        <is>
          <t xml:space="preserve">L3HARRIS TECHNOLOGIES, INC</t>
        </is>
      </c>
      <c r="C1147" s="0" t="inlineStr">
        <is>
          <t xml:space="preserve">HLE1E2KALJA5</t>
        </is>
      </c>
      <c r="D1147" s="0" t="inlineStr">
        <is>
          <t xml:space="preserve">USA</t>
        </is>
      </c>
      <c r="E1147" s="0" t="inlineStr">
        <is>
          <t xml:space="preserve">3353</t>
        </is>
      </c>
      <c r="F1147" s="0" t="inlineStr">
        <is>
          <t xml:space="preserve">Power, Distribution, and Specialty Transformer Manufacturing</t>
        </is>
      </c>
      <c r="G1147" s="5">
        <v>0.286118</v>
      </c>
      <c r="H1147" s="0" t="inlineStr">
        <is>
          <t xml:space="preserve">supplier</t>
        </is>
      </c>
      <c r="I1147" s="0" t="inlineStr">
        <is>
          <t xml:space="preserve">electrical</t>
        </is>
      </c>
      <c r="J1147" s="0" t="inlineStr">
        <is>
          <t xml:space="preserve">registry</t>
        </is>
      </c>
      <c r="K1147" s="5">
        <v>0</v>
      </c>
      <c r="L1147" s="5">
        <v>0</v>
      </c>
      <c r="M1147" s="5">
        <v>0.286118</v>
      </c>
      <c r="N1147" s="5">
        <v>0.0</v>
      </c>
      <c r="O1147" s="5">
        <v>0.0</v>
      </c>
      <c r="P1147" s="5">
        <v>0.0</v>
      </c>
      <c r="Q1147" s="5">
        <v>0.0</v>
      </c>
    </row>
    <row r="1148" outlineLevel="1">
      <c r="B1148" s="0" t="inlineStr">
        <is>
          <t xml:space="preserve">APPLIED ENGINEERING INC</t>
        </is>
      </c>
      <c r="C1148" s="0" t="inlineStr">
        <is>
          <t xml:space="preserve">N7KNM5UXEJD6</t>
        </is>
      </c>
      <c r="D1148" s="0" t="inlineStr">
        <is>
          <t xml:space="preserve">-</t>
        </is>
      </c>
      <c r="E1148" s="0" t="inlineStr">
        <is>
          <t xml:space="preserve">-</t>
        </is>
      </c>
      <c r="F1148" s="0" t="inlineStr">
        <is>
          <t xml:space="preserve">-</t>
        </is>
      </c>
      <c r="G1148" s="5">
        <v>0.28599648</v>
      </c>
      <c r="H1148" s="0" t="inlineStr">
        <is>
          <t xml:space="preserve">supplier</t>
        </is>
      </c>
      <c r="I1148" s="0" t="inlineStr">
        <is>
          <t xml:space="preserve">unbucketed</t>
        </is>
      </c>
      <c r="J1148" s="0" t="inlineStr">
        <is>
          <t xml:space="preserve">residual</t>
        </is>
      </c>
      <c r="K1148" s="5">
        <v>0</v>
      </c>
      <c r="L1148" s="5">
        <v>0</v>
      </c>
      <c r="M1148" s="5">
        <v>0.0</v>
      </c>
      <c r="N1148" s="5">
        <v>0.0</v>
      </c>
      <c r="O1148" s="5">
        <v>0.0</v>
      </c>
      <c r="P1148" s="5">
        <v>0.0</v>
      </c>
      <c r="Q1148" s="5">
        <v>0.0</v>
      </c>
    </row>
    <row r="1149" outlineLevel="1">
      <c r="B1149" s="0" t="inlineStr">
        <is>
          <t xml:space="preserve">ALL TECH ELECTRONICS, INC.</t>
        </is>
      </c>
      <c r="C1149" s="0" t="inlineStr">
        <is>
          <t xml:space="preserve">HD6KUNECAHS4</t>
        </is>
      </c>
      <c r="D1149" s="0" t="inlineStr">
        <is>
          <t xml:space="preserve">-</t>
        </is>
      </c>
      <c r="E1149" s="0" t="inlineStr">
        <is>
          <t xml:space="preserve">-</t>
        </is>
      </c>
      <c r="F1149" s="0" t="inlineStr">
        <is>
          <t xml:space="preserve">-</t>
        </is>
      </c>
      <c r="G1149" s="5">
        <v>0.28575</v>
      </c>
      <c r="H1149" s="0" t="inlineStr">
        <is>
          <t xml:space="preserve">supplier</t>
        </is>
      </c>
      <c r="I1149" s="0" t="inlineStr">
        <is>
          <t xml:space="preserve">unbucketed</t>
        </is>
      </c>
      <c r="J1149" s="0" t="inlineStr">
        <is>
          <t xml:space="preserve">residual</t>
        </is>
      </c>
      <c r="K1149" s="5">
        <v>0</v>
      </c>
      <c r="L1149" s="5">
        <v>0</v>
      </c>
      <c r="M1149" s="5">
        <v>0.0</v>
      </c>
      <c r="N1149" s="5">
        <v>0.0</v>
      </c>
      <c r="O1149" s="5">
        <v>0.0</v>
      </c>
      <c r="P1149" s="5">
        <v>0.0</v>
      </c>
      <c r="Q1149" s="5">
        <v>0.0</v>
      </c>
    </row>
    <row r="1150" outlineLevel="1">
      <c r="B1150" s="0" t="inlineStr">
        <is>
          <t xml:space="preserve">DERBYSHIRE MACHINE &amp; TOOL CO</t>
        </is>
      </c>
      <c r="C1150" s="0" t="inlineStr">
        <is>
          <t xml:space="preserve">REXPSJ7NAHU8</t>
        </is>
      </c>
      <c r="D1150" s="0" t="inlineStr">
        <is>
          <t xml:space="preserve">-</t>
        </is>
      </c>
      <c r="E1150" s="0" t="inlineStr">
        <is>
          <t xml:space="preserve">-</t>
        </is>
      </c>
      <c r="F1150" s="0" t="inlineStr">
        <is>
          <t xml:space="preserve">-</t>
        </is>
      </c>
      <c r="G1150" s="5">
        <v>0.284212</v>
      </c>
      <c r="H1150" s="0" t="inlineStr">
        <is>
          <t xml:space="preserve">supplier</t>
        </is>
      </c>
      <c r="I1150" s="0" t="inlineStr">
        <is>
          <t xml:space="preserve">unbucketed</t>
        </is>
      </c>
      <c r="J1150" s="0" t="inlineStr">
        <is>
          <t xml:space="preserve">residual</t>
        </is>
      </c>
      <c r="K1150" s="5">
        <v>0</v>
      </c>
      <c r="L1150" s="5">
        <v>0</v>
      </c>
      <c r="M1150" s="5">
        <v>0.284212</v>
      </c>
      <c r="N1150" s="5">
        <v>0.0</v>
      </c>
      <c r="O1150" s="5">
        <v>0.0</v>
      </c>
      <c r="P1150" s="5">
        <v>0.0</v>
      </c>
      <c r="Q1150" s="5">
        <v>0.0</v>
      </c>
    </row>
    <row r="1151" outlineLevel="1">
      <c r="B1151" s="0" t="inlineStr">
        <is>
          <t xml:space="preserve">TECHPRECISION CORPORATION</t>
        </is>
      </c>
      <c r="C1151" s="0" t="inlineStr">
        <is>
          <t xml:space="preserve">MF1LU8RPCMB8</t>
        </is>
      </c>
      <c r="D1151" s="0" t="inlineStr">
        <is>
          <t xml:space="preserve">-</t>
        </is>
      </c>
      <c r="E1151" s="0" t="inlineStr">
        <is>
          <t xml:space="preserve">-</t>
        </is>
      </c>
      <c r="F1151" s="0" t="inlineStr">
        <is>
          <t xml:space="preserve">-</t>
        </is>
      </c>
      <c r="G1151" s="5">
        <v>0.283992</v>
      </c>
      <c r="H1151" s="0" t="inlineStr">
        <is>
          <t xml:space="preserve">supplier</t>
        </is>
      </c>
      <c r="I1151" s="0" t="inlineStr">
        <is>
          <t xml:space="preserve">unbucketed</t>
        </is>
      </c>
      <c r="J1151" s="0" t="inlineStr">
        <is>
          <t xml:space="preserve">residual</t>
        </is>
      </c>
      <c r="K1151" s="5">
        <v>0</v>
      </c>
      <c r="L1151" s="5">
        <v>0</v>
      </c>
      <c r="M1151" s="5">
        <v>0.0</v>
      </c>
      <c r="N1151" s="5">
        <v>0.0</v>
      </c>
      <c r="O1151" s="5">
        <v>0.0</v>
      </c>
      <c r="P1151" s="5">
        <v>0.0</v>
      </c>
      <c r="Q1151" s="5">
        <v>0.0</v>
      </c>
    </row>
    <row r="1152" outlineLevel="1">
      <c r="B1152" s="0" t="inlineStr">
        <is>
          <t xml:space="preserve">RIGGS DISTLER &amp; COMPANY, INC.</t>
        </is>
      </c>
      <c r="C1152" s="0" t="inlineStr">
        <is>
          <t xml:space="preserve">KNJ1EQ8L47U3</t>
        </is>
      </c>
      <c r="D1152" s="0" t="inlineStr">
        <is>
          <t xml:space="preserve">-</t>
        </is>
      </c>
      <c r="E1152" s="0" t="inlineStr">
        <is>
          <t xml:space="preserve">-</t>
        </is>
      </c>
      <c r="F1152" s="0" t="inlineStr">
        <is>
          <t xml:space="preserve">-</t>
        </is>
      </c>
      <c r="G1152" s="5">
        <v>0.28328377</v>
      </c>
      <c r="H1152" s="0" t="inlineStr">
        <is>
          <t xml:space="preserve">supplier</t>
        </is>
      </c>
      <c r="I1152" s="0" t="inlineStr">
        <is>
          <t xml:space="preserve">unbucketed</t>
        </is>
      </c>
      <c r="J1152" s="0" t="inlineStr">
        <is>
          <t xml:space="preserve">residual</t>
        </is>
      </c>
      <c r="K1152" s="5">
        <v>0</v>
      </c>
      <c r="L1152" s="5">
        <v>0</v>
      </c>
      <c r="M1152" s="5">
        <v>0.0</v>
      </c>
      <c r="N1152" s="5">
        <v>0.0</v>
      </c>
      <c r="O1152" s="5">
        <v>0.0</v>
      </c>
      <c r="P1152" s="5">
        <v>0.0</v>
      </c>
      <c r="Q1152" s="5">
        <v>0.0</v>
      </c>
    </row>
    <row r="1153" outlineLevel="1">
      <c r="B1153" s="0" t="inlineStr">
        <is>
          <t xml:space="preserve">CRITICAL COMMUNICATIONS, CONTROLS AND INSTRUMENTS, LLC</t>
        </is>
      </c>
      <c r="C1153" s="0" t="inlineStr">
        <is>
          <t xml:space="preserve">DH7CZ5SHWTN7</t>
        </is>
      </c>
      <c r="D1153" s="0" t="inlineStr">
        <is>
          <t xml:space="preserve">-</t>
        </is>
      </c>
      <c r="E1153" s="0" t="inlineStr">
        <is>
          <t xml:space="preserve">-</t>
        </is>
      </c>
      <c r="F1153" s="0" t="inlineStr">
        <is>
          <t xml:space="preserve">-</t>
        </is>
      </c>
      <c r="G1153" s="5">
        <v>0.28268149</v>
      </c>
      <c r="H1153" s="0" t="inlineStr">
        <is>
          <t xml:space="preserve">supplier</t>
        </is>
      </c>
      <c r="I1153" s="0" t="inlineStr">
        <is>
          <t xml:space="preserve">unbucketed</t>
        </is>
      </c>
      <c r="J1153" s="0" t="inlineStr">
        <is>
          <t xml:space="preserve">residual</t>
        </is>
      </c>
      <c r="K1153" s="5">
        <v>0</v>
      </c>
      <c r="L1153" s="5">
        <v>0</v>
      </c>
      <c r="M1153" s="5">
        <v>0.28268149</v>
      </c>
      <c r="N1153" s="5">
        <v>0.0</v>
      </c>
      <c r="O1153" s="5">
        <v>0.28268149</v>
      </c>
      <c r="P1153" s="5">
        <v>0.0</v>
      </c>
      <c r="Q1153" s="5">
        <v>0.0</v>
      </c>
    </row>
    <row r="1154" outlineLevel="1">
      <c r="B1154" s="0" t="inlineStr">
        <is>
          <t xml:space="preserve">ANIXTER INC.</t>
        </is>
      </c>
      <c r="C1154" s="0" t="inlineStr">
        <is>
          <t xml:space="preserve">LJLZRNS9DYC6</t>
        </is>
      </c>
      <c r="D1154" s="0" t="inlineStr">
        <is>
          <t xml:space="preserve">-</t>
        </is>
      </c>
      <c r="E1154" s="0" t="inlineStr">
        <is>
          <t xml:space="preserve">-</t>
        </is>
      </c>
      <c r="F1154" s="0" t="inlineStr">
        <is>
          <t xml:space="preserve">-</t>
        </is>
      </c>
      <c r="G1154" s="5">
        <v>0.2821503</v>
      </c>
      <c r="H1154" s="0" t="inlineStr">
        <is>
          <t xml:space="preserve">supplier</t>
        </is>
      </c>
      <c r="I1154" s="0" t="inlineStr">
        <is>
          <t xml:space="preserve">unbucketed</t>
        </is>
      </c>
      <c r="J1154" s="0" t="inlineStr">
        <is>
          <t xml:space="preserve">residual</t>
        </is>
      </c>
      <c r="K1154" s="5">
        <v>0</v>
      </c>
      <c r="L1154" s="5">
        <v>0</v>
      </c>
      <c r="M1154" s="5">
        <v>0.2821503</v>
      </c>
      <c r="N1154" s="5">
        <v>0.0</v>
      </c>
      <c r="O1154" s="5">
        <v>0.0</v>
      </c>
      <c r="P1154" s="5">
        <v>0.0</v>
      </c>
      <c r="Q1154" s="5">
        <v>0.14651029999999998</v>
      </c>
    </row>
    <row r="1155" outlineLevel="1">
      <c r="B1155" s="0" t="inlineStr">
        <is>
          <t xml:space="preserve">AFECO, INC.</t>
        </is>
      </c>
      <c r="C1155" s="0" t="inlineStr">
        <is>
          <t xml:space="preserve">CNFCT44W4LB8</t>
        </is>
      </c>
      <c r="D1155" s="0" t="inlineStr">
        <is>
          <t xml:space="preserve">-</t>
        </is>
      </c>
      <c r="E1155" s="0" t="inlineStr">
        <is>
          <t xml:space="preserve">-</t>
        </is>
      </c>
      <c r="F1155" s="0" t="inlineStr">
        <is>
          <t xml:space="preserve">-</t>
        </is>
      </c>
      <c r="G1155" s="5">
        <v>0.281631</v>
      </c>
      <c r="H1155" s="0" t="inlineStr">
        <is>
          <t xml:space="preserve">supplier</t>
        </is>
      </c>
      <c r="I1155" s="0" t="inlineStr">
        <is>
          <t xml:space="preserve">unbucketed</t>
        </is>
      </c>
      <c r="J1155" s="0" t="inlineStr">
        <is>
          <t xml:space="preserve">residual</t>
        </is>
      </c>
      <c r="K1155" s="5">
        <v>0</v>
      </c>
      <c r="L1155" s="5">
        <v>0</v>
      </c>
      <c r="M1155" s="5">
        <v>0.0</v>
      </c>
      <c r="N1155" s="5">
        <v>0.0</v>
      </c>
      <c r="O1155" s="5">
        <v>0.0</v>
      </c>
      <c r="P1155" s="5">
        <v>0.0</v>
      </c>
      <c r="Q1155" s="5">
        <v>0.0</v>
      </c>
    </row>
    <row r="1156" outlineLevel="1">
      <c r="B1156" s="0" t="inlineStr">
        <is>
          <t xml:space="preserve">ALL TECH ELECTRONICS INC</t>
        </is>
      </c>
      <c r="C1156" s="0" t="inlineStr">
        <is>
          <t xml:space="preserve">HD6KUNECAHS4</t>
        </is>
      </c>
      <c r="D1156" s="0" t="inlineStr">
        <is>
          <t xml:space="preserve">-</t>
        </is>
      </c>
      <c r="E1156" s="0" t="inlineStr">
        <is>
          <t xml:space="preserve">-</t>
        </is>
      </c>
      <c r="F1156" s="0" t="inlineStr">
        <is>
          <t xml:space="preserve">-</t>
        </is>
      </c>
      <c r="G1156" s="5">
        <v>0.28104</v>
      </c>
      <c r="H1156" s="0" t="inlineStr">
        <is>
          <t xml:space="preserve">supplier</t>
        </is>
      </c>
      <c r="I1156" s="0" t="inlineStr">
        <is>
          <t xml:space="preserve">unbucketed</t>
        </is>
      </c>
      <c r="J1156" s="0" t="inlineStr">
        <is>
          <t xml:space="preserve">residual</t>
        </is>
      </c>
      <c r="K1156" s="5">
        <v>0</v>
      </c>
      <c r="L1156" s="5">
        <v>0</v>
      </c>
      <c r="M1156" s="5">
        <v>0.0</v>
      </c>
      <c r="N1156" s="5">
        <v>0.0</v>
      </c>
      <c r="O1156" s="5">
        <v>0.0</v>
      </c>
      <c r="P1156" s="5">
        <v>0.0</v>
      </c>
      <c r="Q1156" s="5">
        <v>0.0</v>
      </c>
    </row>
    <row r="1157" outlineLevel="1">
      <c r="B1157" s="0" t="inlineStr">
        <is>
          <t xml:space="preserve">WIREMASTERS, INC.</t>
        </is>
      </c>
      <c r="C1157" s="0" t="inlineStr">
        <is>
          <t xml:space="preserve">LRQPMCVWPTD5</t>
        </is>
      </c>
      <c r="D1157" s="0" t="inlineStr">
        <is>
          <t xml:space="preserve">-</t>
        </is>
      </c>
      <c r="E1157" s="0" t="inlineStr">
        <is>
          <t xml:space="preserve">-</t>
        </is>
      </c>
      <c r="F1157" s="0" t="inlineStr">
        <is>
          <t xml:space="preserve">-</t>
        </is>
      </c>
      <c r="G1157" s="5">
        <v>0.28073845000000003</v>
      </c>
      <c r="H1157" s="0" t="inlineStr">
        <is>
          <t xml:space="preserve">supplier</t>
        </is>
      </c>
      <c r="I1157" s="0" t="inlineStr">
        <is>
          <t xml:space="preserve">unbucketed</t>
        </is>
      </c>
      <c r="J1157" s="0" t="inlineStr">
        <is>
          <t xml:space="preserve">residual</t>
        </is>
      </c>
      <c r="K1157" s="5">
        <v>0</v>
      </c>
      <c r="L1157" s="5">
        <v>0</v>
      </c>
      <c r="M1157" s="5">
        <v>0.0</v>
      </c>
      <c r="N1157" s="5">
        <v>0.0</v>
      </c>
      <c r="O1157" s="5">
        <v>0.0</v>
      </c>
      <c r="P1157" s="5">
        <v>0.0</v>
      </c>
      <c r="Q1157" s="5">
        <v>0.0</v>
      </c>
    </row>
    <row r="1158" outlineLevel="1">
      <c r="B1158" s="0" t="inlineStr">
        <is>
          <t xml:space="preserve">LEWIS DIVING AND SALVAGE, INC.</t>
        </is>
      </c>
      <c r="C1158" s="0" t="inlineStr">
        <is>
          <t xml:space="preserve">CUEJDFLK17F8</t>
        </is>
      </c>
      <c r="D1158" s="0" t="inlineStr">
        <is>
          <t xml:space="preserve">-</t>
        </is>
      </c>
      <c r="E1158" s="0" t="inlineStr">
        <is>
          <t xml:space="preserve">-</t>
        </is>
      </c>
      <c r="F1158" s="0" t="inlineStr">
        <is>
          <t xml:space="preserve">-</t>
        </is>
      </c>
      <c r="G1158" s="5">
        <v>0.280416</v>
      </c>
      <c r="H1158" s="0" t="inlineStr">
        <is>
          <t xml:space="preserve">supplier</t>
        </is>
      </c>
      <c r="I1158" s="0" t="inlineStr">
        <is>
          <t xml:space="preserve">unbucketed</t>
        </is>
      </c>
      <c r="J1158" s="0" t="inlineStr">
        <is>
          <t xml:space="preserve">residual</t>
        </is>
      </c>
      <c r="K1158" s="5">
        <v>0</v>
      </c>
      <c r="L1158" s="5">
        <v>0</v>
      </c>
      <c r="M1158" s="5">
        <v>0.0</v>
      </c>
      <c r="N1158" s="5">
        <v>0.0</v>
      </c>
      <c r="O1158" s="5">
        <v>0.0</v>
      </c>
      <c r="P1158" s="5">
        <v>0.0</v>
      </c>
      <c r="Q1158" s="5">
        <v>0.0</v>
      </c>
    </row>
    <row r="1159" outlineLevel="1">
      <c r="B1159" s="0" t="inlineStr">
        <is>
          <t xml:space="preserve">CURTISS-WRIGHT CORPORATION</t>
        </is>
      </c>
      <c r="C1159" s="0" t="inlineStr">
        <is>
          <t xml:space="preserve">JU5GNH1H5FV6</t>
        </is>
      </c>
      <c r="D1159" s="0" t="inlineStr">
        <is>
          <t xml:space="preserve">USA</t>
        </is>
      </c>
      <c r="E1159" s="0" t="inlineStr">
        <is>
          <t xml:space="preserve">3329</t>
        </is>
      </c>
      <c r="F1159" s="0" t="inlineStr">
        <is>
          <t xml:space="preserve">Industrial Valve Manufacturing</t>
        </is>
      </c>
      <c r="G1159" s="5">
        <v>0.27917000000000003</v>
      </c>
      <c r="H1159" s="0" t="inlineStr">
        <is>
          <t xml:space="preserve">supplier</t>
        </is>
      </c>
      <c r="I1159" s="0" t="inlineStr">
        <is>
          <t xml:space="preserve">piping</t>
        </is>
      </c>
      <c r="J1159" s="0" t="inlineStr">
        <is>
          <t xml:space="preserve">vendor-override</t>
        </is>
      </c>
      <c r="K1159" s="5">
        <v>0</v>
      </c>
      <c r="L1159" s="5">
        <v>0</v>
      </c>
      <c r="M1159" s="5">
        <v>0.0</v>
      </c>
      <c r="N1159" s="5">
        <v>0.0</v>
      </c>
      <c r="O1159" s="5">
        <v>0.0</v>
      </c>
      <c r="P1159" s="5">
        <v>0.0</v>
      </c>
      <c r="Q1159" s="5">
        <v>0.0</v>
      </c>
    </row>
    <row r="1160" outlineLevel="1">
      <c r="B1160" s="0" t="inlineStr">
        <is>
          <t xml:space="preserve">JC MACHINE, INC.</t>
        </is>
      </c>
      <c r="C1160" s="0" t="inlineStr">
        <is>
          <t xml:space="preserve">LBP6VZX2ZBV4</t>
        </is>
      </c>
      <c r="D1160" s="0" t="inlineStr">
        <is>
          <t xml:space="preserve">-</t>
        </is>
      </c>
      <c r="E1160" s="0" t="inlineStr">
        <is>
          <t xml:space="preserve">-</t>
        </is>
      </c>
      <c r="F1160" s="0" t="inlineStr">
        <is>
          <t xml:space="preserve">-</t>
        </is>
      </c>
      <c r="G1160" s="5">
        <v>0.27851779</v>
      </c>
      <c r="H1160" s="0" t="inlineStr">
        <is>
          <t xml:space="preserve">supplier</t>
        </is>
      </c>
      <c r="I1160" s="0" t="inlineStr">
        <is>
          <t xml:space="preserve">unbucketed</t>
        </is>
      </c>
      <c r="J1160" s="0" t="inlineStr">
        <is>
          <t xml:space="preserve">residual</t>
        </is>
      </c>
      <c r="K1160" s="5">
        <v>0</v>
      </c>
      <c r="L1160" s="5">
        <v>0</v>
      </c>
      <c r="M1160" s="5">
        <v>0.0</v>
      </c>
      <c r="N1160" s="5">
        <v>0.0</v>
      </c>
      <c r="O1160" s="5">
        <v>0.0</v>
      </c>
      <c r="P1160" s="5">
        <v>0.0</v>
      </c>
      <c r="Q1160" s="5">
        <v>0.0</v>
      </c>
    </row>
    <row r="1161" outlineLevel="1">
      <c r="B1161" s="0" t="inlineStr">
        <is>
          <t xml:space="preserve">MILITARY AND COMMERCIAL FASTENERS CORP.</t>
        </is>
      </c>
      <c r="C1161" s="0" t="inlineStr">
        <is>
          <t xml:space="preserve">FGRKX2N2WAE4</t>
        </is>
      </c>
      <c r="D1161" s="0" t="inlineStr">
        <is>
          <t xml:space="preserve">-</t>
        </is>
      </c>
      <c r="E1161" s="0" t="inlineStr">
        <is>
          <t xml:space="preserve">-</t>
        </is>
      </c>
      <c r="F1161" s="0" t="inlineStr">
        <is>
          <t xml:space="preserve">-</t>
        </is>
      </c>
      <c r="G1161" s="5">
        <v>0.27834591</v>
      </c>
      <c r="H1161" s="0" t="inlineStr">
        <is>
          <t xml:space="preserve">supplier</t>
        </is>
      </c>
      <c r="I1161" s="0" t="inlineStr">
        <is>
          <t xml:space="preserve">unbucketed</t>
        </is>
      </c>
      <c r="J1161" s="0" t="inlineStr">
        <is>
          <t xml:space="preserve">residual</t>
        </is>
      </c>
      <c r="K1161" s="5">
        <v>0</v>
      </c>
      <c r="L1161" s="5">
        <v>0</v>
      </c>
      <c r="M1161" s="5">
        <v>0.0</v>
      </c>
      <c r="N1161" s="5">
        <v>0.0</v>
      </c>
      <c r="O1161" s="5">
        <v>0.0</v>
      </c>
      <c r="P1161" s="5">
        <v>0.0</v>
      </c>
      <c r="Q1161" s="5">
        <v>0.0</v>
      </c>
    </row>
    <row r="1162" outlineLevel="1">
      <c r="B1162" s="0" t="inlineStr">
        <is>
          <t xml:space="preserve">GENERAL DYNAMICS CORPORATION</t>
        </is>
      </c>
      <c r="C1162" s="0" t="inlineStr">
        <is>
          <t xml:space="preserve">S4ZAF64LJ1G3</t>
        </is>
      </c>
      <c r="D1162" s="0" t="inlineStr">
        <is>
          <t xml:space="preserve">USA</t>
        </is>
      </c>
      <c r="E1162" s="0" t="inlineStr">
        <is>
          <t xml:space="preserve">3369</t>
        </is>
      </c>
      <c r="F1162" s="0" t="inlineStr">
        <is>
          <t xml:space="preserve">Military Armored Vehicle, Tank, and Tank Component Manufacturing</t>
        </is>
      </c>
      <c r="G1162" s="5">
        <v>0.2778</v>
      </c>
      <c r="H1162" s="0" t="inlineStr">
        <is>
          <t xml:space="preserve">prime</t>
        </is>
      </c>
      <c r="I1162" s="0" t="inlineStr">
        <is>
          <t xml:space="preserve">-</t>
        </is>
      </c>
      <c r="J1162" s="0" t="inlineStr">
        <is>
          <t xml:space="preserve">prime/co-prime name</t>
        </is>
      </c>
      <c r="K1162" s="5">
        <v>0</v>
      </c>
      <c r="L1162" s="5">
        <v>0</v>
      </c>
      <c r="M1162" s="5">
        <v>0.0</v>
      </c>
      <c r="N1162" s="5">
        <v>0.0</v>
      </c>
      <c r="O1162" s="5">
        <v>0.0</v>
      </c>
      <c r="P1162" s="5">
        <v>0.0</v>
      </c>
      <c r="Q1162" s="5">
        <v>0.0</v>
      </c>
    </row>
    <row r="1163" outlineLevel="1">
      <c r="B1163" s="0" t="inlineStr">
        <is>
          <t xml:space="preserve">TEMEKU TECHNOLOGIES, INC.</t>
        </is>
      </c>
      <c r="C1163" s="0" t="inlineStr">
        <is>
          <t xml:space="preserve">XNR9ZJ9VKZG5</t>
        </is>
      </c>
      <c r="D1163" s="0" t="inlineStr">
        <is>
          <t xml:space="preserve">-</t>
        </is>
      </c>
      <c r="E1163" s="0" t="inlineStr">
        <is>
          <t xml:space="preserve">-</t>
        </is>
      </c>
      <c r="F1163" s="0" t="inlineStr">
        <is>
          <t xml:space="preserve">-</t>
        </is>
      </c>
      <c r="G1163" s="5">
        <v>0.27725</v>
      </c>
      <c r="H1163" s="0" t="inlineStr">
        <is>
          <t xml:space="preserve">supplier</t>
        </is>
      </c>
      <c r="I1163" s="0" t="inlineStr">
        <is>
          <t xml:space="preserve">unbucketed</t>
        </is>
      </c>
      <c r="J1163" s="0" t="inlineStr">
        <is>
          <t xml:space="preserve">residual</t>
        </is>
      </c>
      <c r="K1163" s="5">
        <v>0</v>
      </c>
      <c r="L1163" s="5">
        <v>0</v>
      </c>
      <c r="M1163" s="5">
        <v>0.27725</v>
      </c>
      <c r="N1163" s="5">
        <v>0.0</v>
      </c>
      <c r="O1163" s="5">
        <v>0.27725</v>
      </c>
      <c r="P1163" s="5">
        <v>0.0</v>
      </c>
      <c r="Q1163" s="5">
        <v>0.0</v>
      </c>
    </row>
    <row r="1164" outlineLevel="1">
      <c r="B1164" s="0" t="inlineStr">
        <is>
          <t xml:space="preserve">BRYTECH, INC.</t>
        </is>
      </c>
      <c r="C1164" s="0" t="inlineStr">
        <is>
          <t xml:space="preserve">CHNNG7Z26293</t>
        </is>
      </c>
      <c r="D1164" s="0" t="inlineStr">
        <is>
          <t xml:space="preserve">-</t>
        </is>
      </c>
      <c r="E1164" s="0" t="inlineStr">
        <is>
          <t xml:space="preserve">-</t>
        </is>
      </c>
      <c r="F1164" s="0" t="inlineStr">
        <is>
          <t xml:space="preserve">-</t>
        </is>
      </c>
      <c r="G1164" s="5">
        <v>0.27632831</v>
      </c>
      <c r="H1164" s="0" t="inlineStr">
        <is>
          <t xml:space="preserve">supplier</t>
        </is>
      </c>
      <c r="I1164" s="0" t="inlineStr">
        <is>
          <t xml:space="preserve">unbucketed</t>
        </is>
      </c>
      <c r="J1164" s="0" t="inlineStr">
        <is>
          <t xml:space="preserve">residual</t>
        </is>
      </c>
      <c r="K1164" s="5">
        <v>0</v>
      </c>
      <c r="L1164" s="5">
        <v>0</v>
      </c>
      <c r="M1164" s="5">
        <v>0.0</v>
      </c>
      <c r="N1164" s="5">
        <v>0.0</v>
      </c>
      <c r="O1164" s="5">
        <v>0.0</v>
      </c>
      <c r="P1164" s="5">
        <v>0.0</v>
      </c>
      <c r="Q1164" s="5">
        <v>0.0</v>
      </c>
    </row>
    <row r="1165" outlineLevel="1">
      <c r="B1165" s="0" t="inlineStr">
        <is>
          <t xml:space="preserve">BENDER CCP, INC.</t>
        </is>
      </c>
      <c r="C1165" s="0" t="inlineStr">
        <is>
          <t xml:space="preserve">FLN7GYVCS5M7</t>
        </is>
      </c>
      <c r="D1165" s="0" t="inlineStr">
        <is>
          <t xml:space="preserve">-</t>
        </is>
      </c>
      <c r="E1165" s="0" t="inlineStr">
        <is>
          <t xml:space="preserve">-</t>
        </is>
      </c>
      <c r="F1165" s="0" t="inlineStr">
        <is>
          <t xml:space="preserve">-</t>
        </is>
      </c>
      <c r="G1165" s="5">
        <v>0.27618288</v>
      </c>
      <c r="H1165" s="0" t="inlineStr">
        <is>
          <t xml:space="preserve">supplier</t>
        </is>
      </c>
      <c r="I1165" s="0" t="inlineStr">
        <is>
          <t xml:space="preserve">unbucketed</t>
        </is>
      </c>
      <c r="J1165" s="0" t="inlineStr">
        <is>
          <t xml:space="preserve">residual</t>
        </is>
      </c>
      <c r="K1165" s="5">
        <v>0</v>
      </c>
      <c r="L1165" s="5">
        <v>0</v>
      </c>
      <c r="M1165" s="5">
        <v>0.0</v>
      </c>
      <c r="N1165" s="5">
        <v>0.0</v>
      </c>
      <c r="O1165" s="5">
        <v>0.0</v>
      </c>
      <c r="P1165" s="5">
        <v>0.0</v>
      </c>
      <c r="Q1165" s="5">
        <v>0.0</v>
      </c>
    </row>
    <row r="1166" outlineLevel="1">
      <c r="B1166" s="0" t="inlineStr">
        <is>
          <t xml:space="preserve">CONSOLIDATED RIGGING AND MARINE SUPPLY COMPANY,</t>
        </is>
      </c>
      <c r="C1166" s="0" t="inlineStr">
        <is>
          <t xml:space="preserve">LHF8JEX7FJC5</t>
        </is>
      </c>
      <c r="D1166" s="0" t="inlineStr">
        <is>
          <t xml:space="preserve">-</t>
        </is>
      </c>
      <c r="E1166" s="0" t="inlineStr">
        <is>
          <t xml:space="preserve">-</t>
        </is>
      </c>
      <c r="F1166" s="0" t="inlineStr">
        <is>
          <t xml:space="preserve">-</t>
        </is>
      </c>
      <c r="G1166" s="5">
        <v>0.275765</v>
      </c>
      <c r="H1166" s="0" t="inlineStr">
        <is>
          <t xml:space="preserve">supplier</t>
        </is>
      </c>
      <c r="I1166" s="0" t="inlineStr">
        <is>
          <t xml:space="preserve">unbucketed</t>
        </is>
      </c>
      <c r="J1166" s="0" t="inlineStr">
        <is>
          <t xml:space="preserve">residual</t>
        </is>
      </c>
      <c r="K1166" s="5">
        <v>0</v>
      </c>
      <c r="L1166" s="5">
        <v>0</v>
      </c>
      <c r="M1166" s="5">
        <v>0.0</v>
      </c>
      <c r="N1166" s="5">
        <v>0.0</v>
      </c>
      <c r="O1166" s="5">
        <v>0.0</v>
      </c>
      <c r="P1166" s="5">
        <v>0.0</v>
      </c>
      <c r="Q1166" s="5">
        <v>0.0</v>
      </c>
    </row>
    <row r="1167" outlineLevel="1">
      <c r="B1167" s="0" t="inlineStr">
        <is>
          <t xml:space="preserve">RADIAL BEARING CORPORATION</t>
        </is>
      </c>
      <c r="C1167" s="0" t="inlineStr">
        <is>
          <t xml:space="preserve">JURTXCNAZ4C5</t>
        </is>
      </c>
      <c r="D1167" s="0" t="inlineStr">
        <is>
          <t xml:space="preserve">-</t>
        </is>
      </c>
      <c r="E1167" s="0" t="inlineStr">
        <is>
          <t xml:space="preserve">-</t>
        </is>
      </c>
      <c r="F1167" s="0" t="inlineStr">
        <is>
          <t xml:space="preserve">-</t>
        </is>
      </c>
      <c r="G1167" s="5">
        <v>0.27553679999999997</v>
      </c>
      <c r="H1167" s="0" t="inlineStr">
        <is>
          <t xml:space="preserve">supplier</t>
        </is>
      </c>
      <c r="I1167" s="0" t="inlineStr">
        <is>
          <t xml:space="preserve">unbucketed</t>
        </is>
      </c>
      <c r="J1167" s="0" t="inlineStr">
        <is>
          <t xml:space="preserve">residual</t>
        </is>
      </c>
      <c r="K1167" s="5">
        <v>0</v>
      </c>
      <c r="L1167" s="5">
        <v>0</v>
      </c>
      <c r="M1167" s="5">
        <v>0.0</v>
      </c>
      <c r="N1167" s="5">
        <v>0.0</v>
      </c>
      <c r="O1167" s="5">
        <v>0.0</v>
      </c>
      <c r="P1167" s="5">
        <v>0.0</v>
      </c>
      <c r="Q1167" s="5">
        <v>0.0</v>
      </c>
    </row>
    <row r="1168" outlineLevel="1">
      <c r="B1168" s="0" t="inlineStr">
        <is>
          <t xml:space="preserve">C MACHINE CO, INC</t>
        </is>
      </c>
      <c r="C1168" s="0" t="inlineStr">
        <is>
          <t xml:space="preserve">WUQGPNATWJM3</t>
        </is>
      </c>
      <c r="D1168" s="0" t="inlineStr">
        <is>
          <t xml:space="preserve">-</t>
        </is>
      </c>
      <c r="E1168" s="0" t="inlineStr">
        <is>
          <t xml:space="preserve">-</t>
        </is>
      </c>
      <c r="F1168" s="0" t="inlineStr">
        <is>
          <t xml:space="preserve">-</t>
        </is>
      </c>
      <c r="G1168" s="5">
        <v>0.275444</v>
      </c>
      <c r="H1168" s="0" t="inlineStr">
        <is>
          <t xml:space="preserve">supplier</t>
        </is>
      </c>
      <c r="I1168" s="0" t="inlineStr">
        <is>
          <t xml:space="preserve">unbucketed</t>
        </is>
      </c>
      <c r="J1168" s="0" t="inlineStr">
        <is>
          <t xml:space="preserve">residual</t>
        </is>
      </c>
      <c r="K1168" s="5">
        <v>0</v>
      </c>
      <c r="L1168" s="5">
        <v>0</v>
      </c>
      <c r="M1168" s="5">
        <v>0.0</v>
      </c>
      <c r="N1168" s="5">
        <v>0.0</v>
      </c>
      <c r="O1168" s="5">
        <v>0.0</v>
      </c>
      <c r="P1168" s="5">
        <v>0.0</v>
      </c>
      <c r="Q1168" s="5">
        <v>0.0</v>
      </c>
    </row>
    <row r="1169" outlineLevel="1">
      <c r="B1169" s="0" t="inlineStr">
        <is>
          <t xml:space="preserve">CANFIELD ELECTRONICS, INC.</t>
        </is>
      </c>
      <c r="C1169" s="0" t="inlineStr">
        <is>
          <t xml:space="preserve">YB14MRKSYEN7</t>
        </is>
      </c>
      <c r="D1169" s="0" t="inlineStr">
        <is>
          <t xml:space="preserve">-</t>
        </is>
      </c>
      <c r="E1169" s="0" t="inlineStr">
        <is>
          <t xml:space="preserve">-</t>
        </is>
      </c>
      <c r="F1169" s="0" t="inlineStr">
        <is>
          <t xml:space="preserve">-</t>
        </is>
      </c>
      <c r="G1169" s="5">
        <v>0.2736855</v>
      </c>
      <c r="H1169" s="0" t="inlineStr">
        <is>
          <t xml:space="preserve">supplier</t>
        </is>
      </c>
      <c r="I1169" s="0" t="inlineStr">
        <is>
          <t xml:space="preserve">unbucketed</t>
        </is>
      </c>
      <c r="J1169" s="0" t="inlineStr">
        <is>
          <t xml:space="preserve">residual</t>
        </is>
      </c>
      <c r="K1169" s="5">
        <v>0</v>
      </c>
      <c r="L1169" s="5">
        <v>0</v>
      </c>
      <c r="M1169" s="5">
        <v>0.0</v>
      </c>
      <c r="N1169" s="5">
        <v>0.0</v>
      </c>
      <c r="O1169" s="5">
        <v>0.0</v>
      </c>
      <c r="P1169" s="5">
        <v>0.0</v>
      </c>
      <c r="Q1169" s="5">
        <v>0.0</v>
      </c>
    </row>
    <row r="1170" outlineLevel="1">
      <c r="B1170" s="0" t="inlineStr">
        <is>
          <t xml:space="preserve">MU-DEL ELECTRONICS, INC</t>
        </is>
      </c>
      <c r="C1170" s="0" t="inlineStr">
        <is>
          <t xml:space="preserve">NGHWB3UFBDZ3</t>
        </is>
      </c>
      <c r="D1170" s="0" t="inlineStr">
        <is>
          <t xml:space="preserve">-</t>
        </is>
      </c>
      <c r="E1170" s="0" t="inlineStr">
        <is>
          <t xml:space="preserve">-</t>
        </is>
      </c>
      <c r="F1170" s="0" t="inlineStr">
        <is>
          <t xml:space="preserve">-</t>
        </is>
      </c>
      <c r="G1170" s="5">
        <v>0.2736</v>
      </c>
      <c r="H1170" s="0" t="inlineStr">
        <is>
          <t xml:space="preserve">supplier</t>
        </is>
      </c>
      <c r="I1170" s="0" t="inlineStr">
        <is>
          <t xml:space="preserve">unbucketed</t>
        </is>
      </c>
      <c r="J1170" s="0" t="inlineStr">
        <is>
          <t xml:space="preserve">residual</t>
        </is>
      </c>
      <c r="K1170" s="5">
        <v>0</v>
      </c>
      <c r="L1170" s="5">
        <v>0</v>
      </c>
      <c r="M1170" s="5">
        <v>0.0</v>
      </c>
      <c r="N1170" s="5">
        <v>0.0</v>
      </c>
      <c r="O1170" s="5">
        <v>0.0</v>
      </c>
      <c r="P1170" s="5">
        <v>0.0</v>
      </c>
      <c r="Q1170" s="5">
        <v>0.0</v>
      </c>
    </row>
    <row r="1171" outlineLevel="1">
      <c r="B1171" s="0" t="inlineStr">
        <is>
          <t xml:space="preserve">HIGHLAND ASSOCIATES, LTD. ARCHITECTURE ENGINEERING INTERIOR DESIGN</t>
        </is>
      </c>
      <c r="C1171" s="0" t="inlineStr">
        <is>
          <t xml:space="preserve">HZ6EDXJ226C9</t>
        </is>
      </c>
      <c r="D1171" s="0" t="inlineStr">
        <is>
          <t xml:space="preserve">-</t>
        </is>
      </c>
      <c r="E1171" s="0" t="inlineStr">
        <is>
          <t xml:space="preserve">-</t>
        </is>
      </c>
      <c r="F1171" s="0" t="inlineStr">
        <is>
          <t xml:space="preserve">-</t>
        </is>
      </c>
      <c r="G1171" s="5">
        <v>0.27207944</v>
      </c>
      <c r="H1171" s="0" t="inlineStr">
        <is>
          <t xml:space="preserve">supplier</t>
        </is>
      </c>
      <c r="I1171" s="0" t="inlineStr">
        <is>
          <t xml:space="preserve">unbucketed</t>
        </is>
      </c>
      <c r="J1171" s="0" t="inlineStr">
        <is>
          <t xml:space="preserve">residual</t>
        </is>
      </c>
      <c r="K1171" s="5">
        <v>0</v>
      </c>
      <c r="L1171" s="5">
        <v>0</v>
      </c>
      <c r="M1171" s="5">
        <v>0.0</v>
      </c>
      <c r="N1171" s="5">
        <v>0.0</v>
      </c>
      <c r="O1171" s="5">
        <v>0.0</v>
      </c>
      <c r="P1171" s="5">
        <v>0.0</v>
      </c>
      <c r="Q1171" s="5">
        <v>0.0</v>
      </c>
    </row>
    <row r="1172" outlineLevel="1">
      <c r="B1172" s="0" t="inlineStr">
        <is>
          <t xml:space="preserve">AMETEK INC</t>
        </is>
      </c>
      <c r="C1172" s="0" t="inlineStr">
        <is>
          <t xml:space="preserve">UR6FKNWNG626</t>
        </is>
      </c>
      <c r="D1172" s="0" t="inlineStr">
        <is>
          <t xml:space="preserve">USA</t>
        </is>
      </c>
      <c r="E1172" s="0" t="inlineStr">
        <is>
          <t xml:space="preserve">3359</t>
        </is>
      </c>
      <c r="F1172" s="0" t="inlineStr">
        <is>
          <t xml:space="preserve">All Other Miscellaneous Electrical Equipment and Component Manufacturing</t>
        </is>
      </c>
      <c r="G1172" s="5">
        <v>0.27146</v>
      </c>
      <c r="H1172" s="0" t="inlineStr">
        <is>
          <t xml:space="preserve">supplier</t>
        </is>
      </c>
      <c r="I1172" s="0" t="inlineStr">
        <is>
          <t xml:space="preserve">electrical</t>
        </is>
      </c>
      <c r="J1172" s="0" t="inlineStr">
        <is>
          <t xml:space="preserve">naics4</t>
        </is>
      </c>
      <c r="K1172" s="5">
        <v>0</v>
      </c>
      <c r="L1172" s="5">
        <v>0</v>
      </c>
      <c r="M1172" s="5">
        <v>0.0</v>
      </c>
      <c r="N1172" s="5">
        <v>0.0</v>
      </c>
      <c r="O1172" s="5">
        <v>0.0</v>
      </c>
      <c r="P1172" s="5">
        <v>0.0</v>
      </c>
      <c r="Q1172" s="5">
        <v>0.0</v>
      </c>
    </row>
    <row r="1173" outlineLevel="1">
      <c r="B1173" s="0" t="inlineStr">
        <is>
          <t xml:space="preserve">WHITCRAFT LLC</t>
        </is>
      </c>
      <c r="C1173" s="0" t="inlineStr">
        <is>
          <t xml:space="preserve">ZCC7GUJM7LL3</t>
        </is>
      </c>
      <c r="D1173" s="0" t="inlineStr">
        <is>
          <t xml:space="preserve">-</t>
        </is>
      </c>
      <c r="E1173" s="0" t="inlineStr">
        <is>
          <t xml:space="preserve">-</t>
        </is>
      </c>
      <c r="F1173" s="0" t="inlineStr">
        <is>
          <t xml:space="preserve">-</t>
        </is>
      </c>
      <c r="G1173" s="5">
        <v>0.270686</v>
      </c>
      <c r="H1173" s="0" t="inlineStr">
        <is>
          <t xml:space="preserve">supplier</t>
        </is>
      </c>
      <c r="I1173" s="0" t="inlineStr">
        <is>
          <t xml:space="preserve">unbucketed</t>
        </is>
      </c>
      <c r="J1173" s="0" t="inlineStr">
        <is>
          <t xml:space="preserve">residual</t>
        </is>
      </c>
      <c r="K1173" s="5">
        <v>0</v>
      </c>
      <c r="L1173" s="5">
        <v>0</v>
      </c>
      <c r="M1173" s="5">
        <v>0.0</v>
      </c>
      <c r="N1173" s="5">
        <v>0.0</v>
      </c>
      <c r="O1173" s="5">
        <v>0.0</v>
      </c>
      <c r="P1173" s="5">
        <v>0.0</v>
      </c>
      <c r="Q1173" s="5">
        <v>0.0</v>
      </c>
    </row>
    <row r="1174" outlineLevel="1">
      <c r="B1174" s="0" t="inlineStr">
        <is>
          <t xml:space="preserve">NORCATEC LLC</t>
        </is>
      </c>
      <c r="C1174" s="0" t="inlineStr">
        <is>
          <t xml:space="preserve">NSM9HXQMH5L3</t>
        </is>
      </c>
      <c r="D1174" s="0" t="inlineStr">
        <is>
          <t xml:space="preserve">-</t>
        </is>
      </c>
      <c r="E1174" s="0" t="inlineStr">
        <is>
          <t xml:space="preserve">-</t>
        </is>
      </c>
      <c r="F1174" s="0" t="inlineStr">
        <is>
          <t xml:space="preserve">-</t>
        </is>
      </c>
      <c r="G1174" s="5">
        <v>0.27031</v>
      </c>
      <c r="H1174" s="0" t="inlineStr">
        <is>
          <t xml:space="preserve">supplier</t>
        </is>
      </c>
      <c r="I1174" s="0" t="inlineStr">
        <is>
          <t xml:space="preserve">unbucketed</t>
        </is>
      </c>
      <c r="J1174" s="0" t="inlineStr">
        <is>
          <t xml:space="preserve">residual</t>
        </is>
      </c>
      <c r="K1174" s="5">
        <v>0</v>
      </c>
      <c r="L1174" s="5">
        <v>0</v>
      </c>
      <c r="M1174" s="5">
        <v>0.0</v>
      </c>
      <c r="N1174" s="5">
        <v>0.0</v>
      </c>
      <c r="O1174" s="5">
        <v>0.0</v>
      </c>
      <c r="P1174" s="5">
        <v>0.0</v>
      </c>
      <c r="Q1174" s="5">
        <v>0.0</v>
      </c>
    </row>
    <row r="1175" outlineLevel="1">
      <c r="B1175" s="0" t="inlineStr">
        <is>
          <t xml:space="preserve">ROLLER BEARING CO OF AMERICA INC</t>
        </is>
      </c>
      <c r="C1175" s="0" t="inlineStr">
        <is>
          <t xml:space="preserve">JH2CJYVWBME6</t>
        </is>
      </c>
      <c r="D1175" s="0" t="inlineStr">
        <is>
          <t xml:space="preserve">-</t>
        </is>
      </c>
      <c r="E1175" s="0" t="inlineStr">
        <is>
          <t xml:space="preserve">-</t>
        </is>
      </c>
      <c r="F1175" s="0" t="inlineStr">
        <is>
          <t xml:space="preserve">-</t>
        </is>
      </c>
      <c r="G1175" s="5">
        <v>0.27012384</v>
      </c>
      <c r="H1175" s="0" t="inlineStr">
        <is>
          <t xml:space="preserve">supplier</t>
        </is>
      </c>
      <c r="I1175" s="0" t="inlineStr">
        <is>
          <t xml:space="preserve">unbucketed</t>
        </is>
      </c>
      <c r="J1175" s="0" t="inlineStr">
        <is>
          <t xml:space="preserve">residual</t>
        </is>
      </c>
      <c r="K1175" s="5">
        <v>0</v>
      </c>
      <c r="L1175" s="5">
        <v>0</v>
      </c>
      <c r="M1175" s="5">
        <v>0.0</v>
      </c>
      <c r="N1175" s="5">
        <v>0.0</v>
      </c>
      <c r="O1175" s="5">
        <v>0.0</v>
      </c>
      <c r="P1175" s="5">
        <v>0.0</v>
      </c>
      <c r="Q1175" s="5">
        <v>0.0</v>
      </c>
    </row>
    <row r="1176" outlineLevel="1">
      <c r="B1176" s="0" t="inlineStr">
        <is>
          <t xml:space="preserve">WACO PRODUCTS, INC.</t>
        </is>
      </c>
      <c r="C1176" s="0" t="inlineStr">
        <is>
          <t xml:space="preserve">VP7EM3WJPGF3</t>
        </is>
      </c>
      <c r="D1176" s="0" t="inlineStr">
        <is>
          <t xml:space="preserve">-</t>
        </is>
      </c>
      <c r="E1176" s="0" t="inlineStr">
        <is>
          <t xml:space="preserve">-</t>
        </is>
      </c>
      <c r="F1176" s="0" t="inlineStr">
        <is>
          <t xml:space="preserve">-</t>
        </is>
      </c>
      <c r="G1176" s="5">
        <v>0.26913728</v>
      </c>
      <c r="H1176" s="0" t="inlineStr">
        <is>
          <t xml:space="preserve">supplier</t>
        </is>
      </c>
      <c r="I1176" s="0" t="inlineStr">
        <is>
          <t xml:space="preserve">unbucketed</t>
        </is>
      </c>
      <c r="J1176" s="0" t="inlineStr">
        <is>
          <t xml:space="preserve">residual</t>
        </is>
      </c>
      <c r="K1176" s="5">
        <v>0</v>
      </c>
      <c r="L1176" s="5">
        <v>0</v>
      </c>
      <c r="M1176" s="5">
        <v>0.0</v>
      </c>
      <c r="N1176" s="5">
        <v>0.0</v>
      </c>
      <c r="O1176" s="5">
        <v>0.0</v>
      </c>
      <c r="P1176" s="5">
        <v>0.0</v>
      </c>
      <c r="Q1176" s="5">
        <v>0.0</v>
      </c>
    </row>
    <row r="1177" outlineLevel="1">
      <c r="B1177" s="0" t="inlineStr">
        <is>
          <t xml:space="preserve">JERED LLC</t>
        </is>
      </c>
      <c r="C1177" s="0" t="inlineStr">
        <is>
          <t xml:space="preserve">MEMSWT1LFU18</t>
        </is>
      </c>
      <c r="D1177" s="0" t="inlineStr">
        <is>
          <t xml:space="preserve">-</t>
        </is>
      </c>
      <c r="E1177" s="0" t="inlineStr">
        <is>
          <t xml:space="preserve">-</t>
        </is>
      </c>
      <c r="F1177" s="0" t="inlineStr">
        <is>
          <t xml:space="preserve">-</t>
        </is>
      </c>
      <c r="G1177" s="5">
        <v>0.26874062</v>
      </c>
      <c r="H1177" s="0" t="inlineStr">
        <is>
          <t xml:space="preserve">supplier</t>
        </is>
      </c>
      <c r="I1177" s="0" t="inlineStr">
        <is>
          <t xml:space="preserve">unbucketed</t>
        </is>
      </c>
      <c r="J1177" s="0" t="inlineStr">
        <is>
          <t xml:space="preserve">residual</t>
        </is>
      </c>
      <c r="K1177" s="5">
        <v>0</v>
      </c>
      <c r="L1177" s="5">
        <v>0</v>
      </c>
      <c r="M1177" s="5">
        <v>0.26874062</v>
      </c>
      <c r="N1177" s="5">
        <v>0.0</v>
      </c>
      <c r="O1177" s="5">
        <v>0.23624495999999998</v>
      </c>
      <c r="P1177" s="5">
        <v>0.03249566</v>
      </c>
      <c r="Q1177" s="5">
        <v>0.0</v>
      </c>
    </row>
    <row r="1178" outlineLevel="1">
      <c r="B1178" s="0" t="inlineStr">
        <is>
          <t xml:space="preserve">PYRAMID SEMICONDUCTOR CORP</t>
        </is>
      </c>
      <c r="C1178" s="0" t="inlineStr">
        <is>
          <t xml:space="preserve">HC3DHL9DN8E6</t>
        </is>
      </c>
      <c r="D1178" s="0" t="inlineStr">
        <is>
          <t xml:space="preserve">-</t>
        </is>
      </c>
      <c r="E1178" s="0" t="inlineStr">
        <is>
          <t xml:space="preserve">-</t>
        </is>
      </c>
      <c r="F1178" s="0" t="inlineStr">
        <is>
          <t xml:space="preserve">-</t>
        </is>
      </c>
      <c r="G1178" s="5">
        <v>0.268704</v>
      </c>
      <c r="H1178" s="0" t="inlineStr">
        <is>
          <t xml:space="preserve">supplier</t>
        </is>
      </c>
      <c r="I1178" s="0" t="inlineStr">
        <is>
          <t xml:space="preserve">unbucketed</t>
        </is>
      </c>
      <c r="J1178" s="0" t="inlineStr">
        <is>
          <t xml:space="preserve">residual</t>
        </is>
      </c>
      <c r="K1178" s="5">
        <v>0</v>
      </c>
      <c r="L1178" s="5">
        <v>0</v>
      </c>
      <c r="M1178" s="5">
        <v>0.0</v>
      </c>
      <c r="N1178" s="5">
        <v>0.0</v>
      </c>
      <c r="O1178" s="5">
        <v>0.0</v>
      </c>
      <c r="P1178" s="5">
        <v>0.0</v>
      </c>
      <c r="Q1178" s="5">
        <v>0.0</v>
      </c>
    </row>
    <row r="1179" outlineLevel="1">
      <c r="B1179" s="0" t="inlineStr">
        <is>
          <t xml:space="preserve">EMERSON ELECTRIC CO.</t>
        </is>
      </c>
      <c r="C1179" s="0" t="inlineStr">
        <is>
          <t xml:space="preserve">YNUWEPDNSH37</t>
        </is>
      </c>
      <c r="D1179" s="0" t="inlineStr">
        <is>
          <t xml:space="preserve">-</t>
        </is>
      </c>
      <c r="E1179" s="0" t="inlineStr">
        <is>
          <t xml:space="preserve">-</t>
        </is>
      </c>
      <c r="F1179" s="0" t="inlineStr">
        <is>
          <t xml:space="preserve">-</t>
        </is>
      </c>
      <c r="G1179" s="5">
        <v>0.26868</v>
      </c>
      <c r="H1179" s="0" t="inlineStr">
        <is>
          <t xml:space="preserve">supplier</t>
        </is>
      </c>
      <c r="I1179" s="0" t="inlineStr">
        <is>
          <t xml:space="preserve">unbucketed</t>
        </is>
      </c>
      <c r="J1179" s="0" t="inlineStr">
        <is>
          <t xml:space="preserve">residual</t>
        </is>
      </c>
      <c r="K1179" s="5">
        <v>0</v>
      </c>
      <c r="L1179" s="5">
        <v>0</v>
      </c>
      <c r="M1179" s="5">
        <v>0.0</v>
      </c>
      <c r="N1179" s="5">
        <v>0.0</v>
      </c>
      <c r="O1179" s="5">
        <v>0.0</v>
      </c>
      <c r="P1179" s="5">
        <v>0.0</v>
      </c>
      <c r="Q1179" s="5">
        <v>0.0</v>
      </c>
    </row>
    <row r="1180" outlineLevel="1">
      <c r="B1180" s="0" t="inlineStr">
        <is>
          <t xml:space="preserve">VELOCITY ELECTRONICS CORP</t>
        </is>
      </c>
      <c r="C1180" s="0" t="inlineStr">
        <is>
          <t xml:space="preserve">TJ8GZV9Y1N54</t>
        </is>
      </c>
      <c r="D1180" s="0" t="inlineStr">
        <is>
          <t xml:space="preserve">-</t>
        </is>
      </c>
      <c r="E1180" s="0" t="inlineStr">
        <is>
          <t xml:space="preserve">-</t>
        </is>
      </c>
      <c r="F1180" s="0" t="inlineStr">
        <is>
          <t xml:space="preserve">-</t>
        </is>
      </c>
      <c r="G1180" s="5">
        <v>0.268375</v>
      </c>
      <c r="H1180" s="0" t="inlineStr">
        <is>
          <t xml:space="preserve">supplier</t>
        </is>
      </c>
      <c r="I1180" s="0" t="inlineStr">
        <is>
          <t xml:space="preserve">unbucketed</t>
        </is>
      </c>
      <c r="J1180" s="0" t="inlineStr">
        <is>
          <t xml:space="preserve">residual</t>
        </is>
      </c>
      <c r="K1180" s="5">
        <v>0</v>
      </c>
      <c r="L1180" s="5">
        <v>0</v>
      </c>
      <c r="M1180" s="5">
        <v>0.0</v>
      </c>
      <c r="N1180" s="5">
        <v>0.0</v>
      </c>
      <c r="O1180" s="5">
        <v>0.0</v>
      </c>
      <c r="P1180" s="5">
        <v>0.0</v>
      </c>
      <c r="Q1180" s="5">
        <v>0.0</v>
      </c>
    </row>
    <row r="1181" outlineLevel="1">
      <c r="B1181" s="0" t="inlineStr">
        <is>
          <t xml:space="preserve">MURRAY BENJAMIN ELECTRIC COMPANY LLC</t>
        </is>
      </c>
      <c r="C1181" s="0" t="inlineStr">
        <is>
          <t xml:space="preserve">E5NZAXG4MNB7</t>
        </is>
      </c>
      <c r="D1181" s="0" t="inlineStr">
        <is>
          <t xml:space="preserve">-</t>
        </is>
      </c>
      <c r="E1181" s="0" t="inlineStr">
        <is>
          <t xml:space="preserve">-</t>
        </is>
      </c>
      <c r="F1181" s="0" t="inlineStr">
        <is>
          <t xml:space="preserve">-</t>
        </is>
      </c>
      <c r="G1181" s="5">
        <v>0.26810060999999996</v>
      </c>
      <c r="H1181" s="0" t="inlineStr">
        <is>
          <t xml:space="preserve">supplier</t>
        </is>
      </c>
      <c r="I1181" s="0" t="inlineStr">
        <is>
          <t xml:space="preserve">unbucketed</t>
        </is>
      </c>
      <c r="J1181" s="0" t="inlineStr">
        <is>
          <t xml:space="preserve">residual</t>
        </is>
      </c>
      <c r="K1181" s="5">
        <v>0</v>
      </c>
      <c r="L1181" s="5">
        <v>0</v>
      </c>
      <c r="M1181" s="5">
        <v>0.21307264999999997</v>
      </c>
      <c r="N1181" s="5">
        <v>0.0</v>
      </c>
      <c r="O1181" s="5">
        <v>0.21307264999999997</v>
      </c>
      <c r="P1181" s="5">
        <v>0.0</v>
      </c>
      <c r="Q1181" s="5">
        <v>0.0</v>
      </c>
    </row>
    <row r="1182" outlineLevel="1">
      <c r="B1182" s="0" t="inlineStr">
        <is>
          <t xml:space="preserve">U S INC</t>
        </is>
      </c>
      <c r="C1182" s="0" t="inlineStr">
        <is>
          <t xml:space="preserve">PW9GWUTL4KV5</t>
        </is>
      </c>
      <c r="D1182" s="0" t="inlineStr">
        <is>
          <t xml:space="preserve">-</t>
        </is>
      </c>
      <c r="E1182" s="0" t="inlineStr">
        <is>
          <t xml:space="preserve">-</t>
        </is>
      </c>
      <c r="F1182" s="0" t="inlineStr">
        <is>
          <t xml:space="preserve">-</t>
        </is>
      </c>
      <c r="G1182" s="5">
        <v>0.26765009</v>
      </c>
      <c r="H1182" s="0" t="inlineStr">
        <is>
          <t xml:space="preserve">supplier</t>
        </is>
      </c>
      <c r="I1182" s="0" t="inlineStr">
        <is>
          <t xml:space="preserve">unbucketed</t>
        </is>
      </c>
      <c r="J1182" s="0" t="inlineStr">
        <is>
          <t xml:space="preserve">residual</t>
        </is>
      </c>
      <c r="K1182" s="5">
        <v>0</v>
      </c>
      <c r="L1182" s="5">
        <v>0</v>
      </c>
      <c r="M1182" s="5">
        <v>0.26765009</v>
      </c>
      <c r="N1182" s="5">
        <v>0.0</v>
      </c>
      <c r="O1182" s="5">
        <v>0.0</v>
      </c>
      <c r="P1182" s="5">
        <v>0.0</v>
      </c>
      <c r="Q1182" s="5">
        <v>0.0</v>
      </c>
    </row>
    <row r="1183" outlineLevel="1">
      <c r="B1183" s="0" t="inlineStr">
        <is>
          <t xml:space="preserve">POLYMER CORPORATION</t>
        </is>
      </c>
      <c r="C1183" s="0" t="inlineStr">
        <is>
          <t xml:space="preserve">X2JVS5VV3CG8</t>
        </is>
      </c>
      <c r="D1183" s="0" t="inlineStr">
        <is>
          <t xml:space="preserve">-</t>
        </is>
      </c>
      <c r="E1183" s="0" t="inlineStr">
        <is>
          <t xml:space="preserve">-</t>
        </is>
      </c>
      <c r="F1183" s="0" t="inlineStr">
        <is>
          <t xml:space="preserve">-</t>
        </is>
      </c>
      <c r="G1183" s="5">
        <v>0.267279</v>
      </c>
      <c r="H1183" s="0" t="inlineStr">
        <is>
          <t xml:space="preserve">supplier</t>
        </is>
      </c>
      <c r="I1183" s="0" t="inlineStr">
        <is>
          <t xml:space="preserve">unbucketed</t>
        </is>
      </c>
      <c r="J1183" s="0" t="inlineStr">
        <is>
          <t xml:space="preserve">residual</t>
        </is>
      </c>
      <c r="K1183" s="5">
        <v>0</v>
      </c>
      <c r="L1183" s="5">
        <v>0</v>
      </c>
      <c r="M1183" s="5">
        <v>0.0</v>
      </c>
      <c r="N1183" s="5">
        <v>0.0</v>
      </c>
      <c r="O1183" s="5">
        <v>0.0</v>
      </c>
      <c r="P1183" s="5">
        <v>0.0</v>
      </c>
      <c r="Q1183" s="5">
        <v>0.0</v>
      </c>
    </row>
    <row r="1184" outlineLevel="1">
      <c r="B1184" s="0" t="inlineStr">
        <is>
          <t xml:space="preserve">DUCOMMUN INCORPORATED</t>
        </is>
      </c>
      <c r="C1184" s="0" t="inlineStr">
        <is>
          <t xml:space="preserve">WXM3HBUJC6E1</t>
        </is>
      </c>
      <c r="D1184" s="0" t="inlineStr">
        <is>
          <t xml:space="preserve">-</t>
        </is>
      </c>
      <c r="E1184" s="0" t="inlineStr">
        <is>
          <t xml:space="preserve">-</t>
        </is>
      </c>
      <c r="F1184" s="0" t="inlineStr">
        <is>
          <t xml:space="preserve">-</t>
        </is>
      </c>
      <c r="G1184" s="5">
        <v>0.2659801</v>
      </c>
      <c r="H1184" s="0" t="inlineStr">
        <is>
          <t xml:space="preserve">supplier</t>
        </is>
      </c>
      <c r="I1184" s="0" t="inlineStr">
        <is>
          <t xml:space="preserve">unbucketed</t>
        </is>
      </c>
      <c r="J1184" s="0" t="inlineStr">
        <is>
          <t xml:space="preserve">residual</t>
        </is>
      </c>
      <c r="K1184" s="5">
        <v>0</v>
      </c>
      <c r="L1184" s="5">
        <v>0</v>
      </c>
      <c r="M1184" s="5">
        <v>0.0</v>
      </c>
      <c r="N1184" s="5">
        <v>0.0</v>
      </c>
      <c r="O1184" s="5">
        <v>0.0</v>
      </c>
      <c r="P1184" s="5">
        <v>0.0</v>
      </c>
      <c r="Q1184" s="5">
        <v>0.0</v>
      </c>
    </row>
    <row r="1185" outlineLevel="1">
      <c r="B1185" s="0" t="inlineStr">
        <is>
          <t xml:space="preserve">REAL-TIME INNOVATIONS INC</t>
        </is>
      </c>
      <c r="C1185" s="0" t="inlineStr">
        <is>
          <t xml:space="preserve">H293LTV8R2U3</t>
        </is>
      </c>
      <c r="D1185" s="0" t="inlineStr">
        <is>
          <t xml:space="preserve">USA</t>
        </is>
      </c>
      <c r="E1185" s="0" t="inlineStr">
        <is>
          <t xml:space="preserve">5132</t>
        </is>
      </c>
      <c r="F1185" s="0" t="inlineStr">
        <is>
          <t xml:space="preserve">Software Publishers</t>
        </is>
      </c>
      <c r="G1185" s="5">
        <v>0.26572</v>
      </c>
      <c r="H1185" s="0" t="inlineStr">
        <is>
          <t xml:space="preserve">service</t>
        </is>
      </c>
      <c r="I1185" s="0" t="inlineStr">
        <is>
          <t xml:space="preserve">-</t>
        </is>
      </c>
      <c r="J1185" s="0" t="inlineStr">
        <is>
          <t xml:space="preserve">service NAICS</t>
        </is>
      </c>
      <c r="K1185" s="5">
        <v>0</v>
      </c>
      <c r="L1185" s="5">
        <v>0</v>
      </c>
      <c r="M1185" s="5">
        <v>0.0</v>
      </c>
      <c r="N1185" s="5">
        <v>0.0</v>
      </c>
      <c r="O1185" s="5">
        <v>0.0</v>
      </c>
      <c r="P1185" s="5">
        <v>0.0</v>
      </c>
      <c r="Q1185" s="5">
        <v>0.0</v>
      </c>
    </row>
    <row r="1186" outlineLevel="1">
      <c r="B1186" s="0" t="inlineStr">
        <is>
          <t xml:space="preserve">MEADOWGATE TECHNOLOGIES LLC</t>
        </is>
      </c>
      <c r="C1186" s="0" t="inlineStr">
        <is>
          <t xml:space="preserve">TW2SHAU5ZQS6</t>
        </is>
      </c>
      <c r="D1186" s="0" t="inlineStr">
        <is>
          <t xml:space="preserve">-</t>
        </is>
      </c>
      <c r="E1186" s="0" t="inlineStr">
        <is>
          <t xml:space="preserve">-</t>
        </is>
      </c>
      <c r="F1186" s="0" t="inlineStr">
        <is>
          <t xml:space="preserve">-</t>
        </is>
      </c>
      <c r="G1186" s="5">
        <v>0.265173</v>
      </c>
      <c r="H1186" s="0" t="inlineStr">
        <is>
          <t xml:space="preserve">supplier</t>
        </is>
      </c>
      <c r="I1186" s="0" t="inlineStr">
        <is>
          <t xml:space="preserve">unbucketed</t>
        </is>
      </c>
      <c r="J1186" s="0" t="inlineStr">
        <is>
          <t xml:space="preserve">residual</t>
        </is>
      </c>
      <c r="K1186" s="5">
        <v>0</v>
      </c>
      <c r="L1186" s="5">
        <v>0</v>
      </c>
      <c r="M1186" s="5">
        <v>0.0</v>
      </c>
      <c r="N1186" s="5">
        <v>0.0</v>
      </c>
      <c r="O1186" s="5">
        <v>0.0</v>
      </c>
      <c r="P1186" s="5">
        <v>0.0</v>
      </c>
      <c r="Q1186" s="5">
        <v>0.0</v>
      </c>
    </row>
    <row r="1187" outlineLevel="1">
      <c r="B1187" s="0" t="inlineStr">
        <is>
          <t xml:space="preserve">MULTISOURCE MANUFACTURING LLC</t>
        </is>
      </c>
      <c r="C1187" s="0" t="inlineStr">
        <is>
          <t xml:space="preserve">TKM6MD39WER8</t>
        </is>
      </c>
      <c r="D1187" s="0" t="inlineStr">
        <is>
          <t xml:space="preserve">-</t>
        </is>
      </c>
      <c r="E1187" s="0" t="inlineStr">
        <is>
          <t xml:space="preserve">-</t>
        </is>
      </c>
      <c r="F1187" s="0" t="inlineStr">
        <is>
          <t xml:space="preserve">-</t>
        </is>
      </c>
      <c r="G1187" s="5">
        <v>0.26396</v>
      </c>
      <c r="H1187" s="0" t="inlineStr">
        <is>
          <t xml:space="preserve">supplier</t>
        </is>
      </c>
      <c r="I1187" s="0" t="inlineStr">
        <is>
          <t xml:space="preserve">unbucketed</t>
        </is>
      </c>
      <c r="J1187" s="0" t="inlineStr">
        <is>
          <t xml:space="preserve">residual</t>
        </is>
      </c>
      <c r="K1187" s="5">
        <v>0</v>
      </c>
      <c r="L1187" s="5">
        <v>0</v>
      </c>
      <c r="M1187" s="5">
        <v>0.0</v>
      </c>
      <c r="N1187" s="5">
        <v>0.0</v>
      </c>
      <c r="O1187" s="5">
        <v>0.0</v>
      </c>
      <c r="P1187" s="5">
        <v>0.0</v>
      </c>
      <c r="Q1187" s="5">
        <v>0.0</v>
      </c>
    </row>
    <row r="1188" outlineLevel="1">
      <c r="B1188" s="0" t="inlineStr">
        <is>
          <t xml:space="preserve">CATALINA INSTRUMENT CORP</t>
        </is>
      </c>
      <c r="C1188" s="0" t="inlineStr">
        <is>
          <t xml:space="preserve">EACJHXZR3C75</t>
        </is>
      </c>
      <c r="D1188" s="0" t="inlineStr">
        <is>
          <t xml:space="preserve">-</t>
        </is>
      </c>
      <c r="E1188" s="0" t="inlineStr">
        <is>
          <t xml:space="preserve">-</t>
        </is>
      </c>
      <c r="F1188" s="0" t="inlineStr">
        <is>
          <t xml:space="preserve">-</t>
        </is>
      </c>
      <c r="G1188" s="5">
        <v>0.26236762</v>
      </c>
      <c r="H1188" s="0" t="inlineStr">
        <is>
          <t xml:space="preserve">supplier</t>
        </is>
      </c>
      <c r="I1188" s="0" t="inlineStr">
        <is>
          <t xml:space="preserve">unbucketed</t>
        </is>
      </c>
      <c r="J1188" s="0" t="inlineStr">
        <is>
          <t xml:space="preserve">residual</t>
        </is>
      </c>
      <c r="K1188" s="5">
        <v>0</v>
      </c>
      <c r="L1188" s="5">
        <v>0</v>
      </c>
      <c r="M1188" s="5">
        <v>0.0</v>
      </c>
      <c r="N1188" s="5">
        <v>0.0</v>
      </c>
      <c r="O1188" s="5">
        <v>0.0</v>
      </c>
      <c r="P1188" s="5">
        <v>0.0</v>
      </c>
      <c r="Q1188" s="5">
        <v>0.0</v>
      </c>
    </row>
    <row r="1189" outlineLevel="1">
      <c r="B1189" s="0" t="inlineStr">
        <is>
          <t xml:space="preserve">AMPHENOL CORPORATION</t>
        </is>
      </c>
      <c r="C1189" s="0" t="inlineStr">
        <is>
          <t xml:space="preserve">TKV9LA1DAN27</t>
        </is>
      </c>
      <c r="D1189" s="0" t="inlineStr">
        <is>
          <t xml:space="preserve">-</t>
        </is>
      </c>
      <c r="E1189" s="0" t="inlineStr">
        <is>
          <t xml:space="preserve">-</t>
        </is>
      </c>
      <c r="F1189" s="0" t="inlineStr">
        <is>
          <t xml:space="preserve">-</t>
        </is>
      </c>
      <c r="G1189" s="5">
        <v>0.26226722</v>
      </c>
      <c r="H1189" s="0" t="inlineStr">
        <is>
          <t xml:space="preserve">supplier</t>
        </is>
      </c>
      <c r="I1189" s="0" t="inlineStr">
        <is>
          <t xml:space="preserve">electrical</t>
        </is>
      </c>
      <c r="J1189" s="0" t="inlineStr">
        <is>
          <t xml:space="preserve">registry</t>
        </is>
      </c>
      <c r="K1189" s="5">
        <v>0</v>
      </c>
      <c r="L1189" s="5">
        <v>0</v>
      </c>
      <c r="M1189" s="5">
        <v>0.0</v>
      </c>
      <c r="N1189" s="5">
        <v>0.0</v>
      </c>
      <c r="O1189" s="5">
        <v>0.0</v>
      </c>
      <c r="P1189" s="5">
        <v>0.0</v>
      </c>
      <c r="Q1189" s="5">
        <v>0.0</v>
      </c>
    </row>
    <row r="1190" outlineLevel="1">
      <c r="B1190" s="0" t="inlineStr">
        <is>
          <t xml:space="preserve">R. CANUSO CO.</t>
        </is>
      </c>
      <c r="C1190" s="0" t="inlineStr">
        <is>
          <t xml:space="preserve">CAKDNG6JYCG7</t>
        </is>
      </c>
      <c r="D1190" s="0" t="inlineStr">
        <is>
          <t xml:space="preserve">-</t>
        </is>
      </c>
      <c r="E1190" s="0" t="inlineStr">
        <is>
          <t xml:space="preserve">-</t>
        </is>
      </c>
      <c r="F1190" s="0" t="inlineStr">
        <is>
          <t xml:space="preserve">-</t>
        </is>
      </c>
      <c r="G1190" s="5">
        <v>0.2616906</v>
      </c>
      <c r="H1190" s="0" t="inlineStr">
        <is>
          <t xml:space="preserve">supplier</t>
        </is>
      </c>
      <c r="I1190" s="0" t="inlineStr">
        <is>
          <t xml:space="preserve">unbucketed</t>
        </is>
      </c>
      <c r="J1190" s="0" t="inlineStr">
        <is>
          <t xml:space="preserve">residual</t>
        </is>
      </c>
      <c r="K1190" s="5">
        <v>0</v>
      </c>
      <c r="L1190" s="5">
        <v>0</v>
      </c>
      <c r="M1190" s="5">
        <v>0.0</v>
      </c>
      <c r="N1190" s="5">
        <v>0.0</v>
      </c>
      <c r="O1190" s="5">
        <v>0.0</v>
      </c>
      <c r="P1190" s="5">
        <v>0.0</v>
      </c>
      <c r="Q1190" s="5">
        <v>0.0</v>
      </c>
    </row>
    <row r="1191" outlineLevel="1">
      <c r="B1191" s="0" t="inlineStr">
        <is>
          <t xml:space="preserve">HUBER + SUHNER AG</t>
        </is>
      </c>
      <c r="C1191" s="0" t="inlineStr">
        <is>
          <t xml:space="preserve">QZYSDGPJVKM1</t>
        </is>
      </c>
      <c r="D1191" s="0" t="inlineStr">
        <is>
          <t xml:space="preserve">-</t>
        </is>
      </c>
      <c r="E1191" s="0" t="inlineStr">
        <is>
          <t xml:space="preserve">-</t>
        </is>
      </c>
      <c r="F1191" s="0" t="inlineStr">
        <is>
          <t xml:space="preserve">-</t>
        </is>
      </c>
      <c r="G1191" s="5">
        <v>0.261243</v>
      </c>
      <c r="H1191" s="0" t="inlineStr">
        <is>
          <t xml:space="preserve">supplier</t>
        </is>
      </c>
      <c r="I1191" s="0" t="inlineStr">
        <is>
          <t xml:space="preserve">unbucketed</t>
        </is>
      </c>
      <c r="J1191" s="0" t="inlineStr">
        <is>
          <t xml:space="preserve">residual</t>
        </is>
      </c>
      <c r="K1191" s="5">
        <v>0</v>
      </c>
      <c r="L1191" s="5">
        <v>0</v>
      </c>
      <c r="M1191" s="5">
        <v>0.0</v>
      </c>
      <c r="N1191" s="5">
        <v>0.0</v>
      </c>
      <c r="O1191" s="5">
        <v>0.0</v>
      </c>
      <c r="P1191" s="5">
        <v>0.0</v>
      </c>
      <c r="Q1191" s="5">
        <v>0.0</v>
      </c>
    </row>
    <row r="1192" outlineLevel="1">
      <c r="B1192" s="0" t="inlineStr">
        <is>
          <t xml:space="preserve">PADOVA TECHNOLOGIES, INC.</t>
        </is>
      </c>
      <c r="C1192" s="0" t="inlineStr">
        <is>
          <t xml:space="preserve">FMRSZ8FK4CZ4</t>
        </is>
      </c>
      <c r="D1192" s="0" t="inlineStr">
        <is>
          <t xml:space="preserve">-</t>
        </is>
      </c>
      <c r="E1192" s="0" t="inlineStr">
        <is>
          <t xml:space="preserve">-</t>
        </is>
      </c>
      <c r="F1192" s="0" t="inlineStr">
        <is>
          <t xml:space="preserve">-</t>
        </is>
      </c>
      <c r="G1192" s="5">
        <v>0.26112124999999997</v>
      </c>
      <c r="H1192" s="0" t="inlineStr">
        <is>
          <t xml:space="preserve">supplier</t>
        </is>
      </c>
      <c r="I1192" s="0" t="inlineStr">
        <is>
          <t xml:space="preserve">unbucketed</t>
        </is>
      </c>
      <c r="J1192" s="0" t="inlineStr">
        <is>
          <t xml:space="preserve">residual</t>
        </is>
      </c>
      <c r="K1192" s="5">
        <v>0</v>
      </c>
      <c r="L1192" s="5">
        <v>0</v>
      </c>
      <c r="M1192" s="5">
        <v>0.0</v>
      </c>
      <c r="N1192" s="5">
        <v>0.0</v>
      </c>
      <c r="O1192" s="5">
        <v>0.0</v>
      </c>
      <c r="P1192" s="5">
        <v>0.0</v>
      </c>
      <c r="Q1192" s="5">
        <v>0.0</v>
      </c>
    </row>
    <row r="1193" outlineLevel="1">
      <c r="B1193" s="0" t="inlineStr">
        <is>
          <t xml:space="preserve">L3HARRIS MARITIME POWER &amp; ENERGY SOLUTIONS, INC.</t>
        </is>
      </c>
      <c r="C1193" s="0" t="inlineStr">
        <is>
          <t xml:space="preserve">HLE1E2KALJA5</t>
        </is>
      </c>
      <c r="D1193" s="0" t="inlineStr">
        <is>
          <t xml:space="preserve">USA</t>
        </is>
      </c>
      <c r="E1193" s="0" t="inlineStr">
        <is>
          <t xml:space="preserve">3353</t>
        </is>
      </c>
      <c r="F1193" s="0" t="inlineStr">
        <is>
          <t xml:space="preserve">Power, Distribution, and Specialty Transformer Manufacturing</t>
        </is>
      </c>
      <c r="G1193" s="5">
        <v>0.260884</v>
      </c>
      <c r="H1193" s="0" t="inlineStr">
        <is>
          <t xml:space="preserve">supplier</t>
        </is>
      </c>
      <c r="I1193" s="0" t="inlineStr">
        <is>
          <t xml:space="preserve">electrical</t>
        </is>
      </c>
      <c r="J1193" s="0" t="inlineStr">
        <is>
          <t xml:space="preserve">registry</t>
        </is>
      </c>
      <c r="K1193" s="5">
        <v>0</v>
      </c>
      <c r="L1193" s="5">
        <v>0</v>
      </c>
      <c r="M1193" s="5">
        <v>0.260884</v>
      </c>
      <c r="N1193" s="5">
        <v>0.0</v>
      </c>
      <c r="O1193" s="5">
        <v>0.050884</v>
      </c>
      <c r="P1193" s="5">
        <v>0.21</v>
      </c>
      <c r="Q1193" s="5">
        <v>0.0</v>
      </c>
    </row>
    <row r="1194" outlineLevel="1">
      <c r="B1194" s="0" t="inlineStr">
        <is>
          <t xml:space="preserve">MID-ATLANTIC COMPUTER SERVICES, LLC</t>
        </is>
      </c>
      <c r="C1194" s="0" t="inlineStr">
        <is>
          <t xml:space="preserve">GHTVLPBYFPV4</t>
        </is>
      </c>
      <c r="D1194" s="0" t="inlineStr">
        <is>
          <t xml:space="preserve">-</t>
        </is>
      </c>
      <c r="E1194" s="0" t="inlineStr">
        <is>
          <t xml:space="preserve">-</t>
        </is>
      </c>
      <c r="F1194" s="0" t="inlineStr">
        <is>
          <t xml:space="preserve">-</t>
        </is>
      </c>
      <c r="G1194" s="5">
        <v>0.260072</v>
      </c>
      <c r="H1194" s="0" t="inlineStr">
        <is>
          <t xml:space="preserve">supplier</t>
        </is>
      </c>
      <c r="I1194" s="0" t="inlineStr">
        <is>
          <t xml:space="preserve">unbucketed</t>
        </is>
      </c>
      <c r="J1194" s="0" t="inlineStr">
        <is>
          <t xml:space="preserve">residual</t>
        </is>
      </c>
      <c r="K1194" s="5">
        <v>0</v>
      </c>
      <c r="L1194" s="5">
        <v>0</v>
      </c>
      <c r="M1194" s="5">
        <v>0.0</v>
      </c>
      <c r="N1194" s="5">
        <v>0.0</v>
      </c>
      <c r="O1194" s="5">
        <v>0.0</v>
      </c>
      <c r="P1194" s="5">
        <v>0.0</v>
      </c>
      <c r="Q1194" s="5">
        <v>0.0</v>
      </c>
    </row>
    <row r="1195" outlineLevel="1">
      <c r="B1195" s="0" t="inlineStr">
        <is>
          <t xml:space="preserve">API TECHNOLOGIES CORP.</t>
        </is>
      </c>
      <c r="C1195" s="0" t="inlineStr">
        <is>
          <t xml:space="preserve">LB6KV53CNB83</t>
        </is>
      </c>
      <c r="D1195" s="0" t="inlineStr">
        <is>
          <t xml:space="preserve">-</t>
        </is>
      </c>
      <c r="E1195" s="0" t="inlineStr">
        <is>
          <t xml:space="preserve">-</t>
        </is>
      </c>
      <c r="F1195" s="0" t="inlineStr">
        <is>
          <t xml:space="preserve">-</t>
        </is>
      </c>
      <c r="G1195" s="5">
        <v>0.25896</v>
      </c>
      <c r="H1195" s="0" t="inlineStr">
        <is>
          <t xml:space="preserve">supplier</t>
        </is>
      </c>
      <c r="I1195" s="0" t="inlineStr">
        <is>
          <t xml:space="preserve">unbucketed</t>
        </is>
      </c>
      <c r="J1195" s="0" t="inlineStr">
        <is>
          <t xml:space="preserve">residual</t>
        </is>
      </c>
      <c r="K1195" s="5">
        <v>0</v>
      </c>
      <c r="L1195" s="5">
        <v>0</v>
      </c>
      <c r="M1195" s="5">
        <v>0.0</v>
      </c>
      <c r="N1195" s="5">
        <v>0.0</v>
      </c>
      <c r="O1195" s="5">
        <v>0.0</v>
      </c>
      <c r="P1195" s="5">
        <v>0.0</v>
      </c>
      <c r="Q1195" s="5">
        <v>0.0</v>
      </c>
    </row>
    <row r="1196" outlineLevel="1">
      <c r="B1196" s="0" t="inlineStr">
        <is>
          <t xml:space="preserve">DANAHER CORPORATION</t>
        </is>
      </c>
      <c r="C1196" s="0" t="inlineStr">
        <is>
          <t xml:space="preserve">EXKBGDDB8ME9</t>
        </is>
      </c>
      <c r="D1196" s="0" t="inlineStr">
        <is>
          <t xml:space="preserve">-</t>
        </is>
      </c>
      <c r="E1196" s="0" t="inlineStr">
        <is>
          <t xml:space="preserve">-</t>
        </is>
      </c>
      <c r="F1196" s="0" t="inlineStr">
        <is>
          <t xml:space="preserve">-</t>
        </is>
      </c>
      <c r="G1196" s="5">
        <v>0.25632</v>
      </c>
      <c r="H1196" s="0" t="inlineStr">
        <is>
          <t xml:space="preserve">supplier</t>
        </is>
      </c>
      <c r="I1196" s="0" t="inlineStr">
        <is>
          <t xml:space="preserve">unbucketed</t>
        </is>
      </c>
      <c r="J1196" s="0" t="inlineStr">
        <is>
          <t xml:space="preserve">residual</t>
        </is>
      </c>
      <c r="K1196" s="5">
        <v>0</v>
      </c>
      <c r="L1196" s="5">
        <v>0</v>
      </c>
      <c r="M1196" s="5">
        <v>0.0</v>
      </c>
      <c r="N1196" s="5">
        <v>0.0</v>
      </c>
      <c r="O1196" s="5">
        <v>0.0</v>
      </c>
      <c r="P1196" s="5">
        <v>0.0</v>
      </c>
      <c r="Q1196" s="5">
        <v>0.0</v>
      </c>
    </row>
    <row r="1197" outlineLevel="1">
      <c r="B1197" s="0" t="inlineStr">
        <is>
          <t xml:space="preserve">WAVELINE, INCORPORATED</t>
        </is>
      </c>
      <c r="C1197" s="0" t="inlineStr">
        <is>
          <t xml:space="preserve">ENBFG8HHWTA9</t>
        </is>
      </c>
      <c r="D1197" s="0" t="inlineStr">
        <is>
          <t xml:space="preserve">-</t>
        </is>
      </c>
      <c r="E1197" s="0" t="inlineStr">
        <is>
          <t xml:space="preserve">-</t>
        </is>
      </c>
      <c r="F1197" s="0" t="inlineStr">
        <is>
          <t xml:space="preserve">-</t>
        </is>
      </c>
      <c r="G1197" s="5">
        <v>0.25517938</v>
      </c>
      <c r="H1197" s="0" t="inlineStr">
        <is>
          <t xml:space="preserve">supplier</t>
        </is>
      </c>
      <c r="I1197" s="0" t="inlineStr">
        <is>
          <t xml:space="preserve">unbucketed</t>
        </is>
      </c>
      <c r="J1197" s="0" t="inlineStr">
        <is>
          <t xml:space="preserve">residual</t>
        </is>
      </c>
      <c r="K1197" s="5">
        <v>0</v>
      </c>
      <c r="L1197" s="5">
        <v>0</v>
      </c>
      <c r="M1197" s="5">
        <v>0.0</v>
      </c>
      <c r="N1197" s="5">
        <v>0.0</v>
      </c>
      <c r="O1197" s="5">
        <v>0.0</v>
      </c>
      <c r="P1197" s="5">
        <v>0.0</v>
      </c>
      <c r="Q1197" s="5">
        <v>0.0</v>
      </c>
    </row>
    <row r="1198" outlineLevel="1">
      <c r="B1198" s="0" t="inlineStr">
        <is>
          <t xml:space="preserve">SMITHS GROUP PLC</t>
        </is>
      </c>
      <c r="C1198" s="0" t="inlineStr">
        <is>
          <t xml:space="preserve">E2VNNXQ63MH8</t>
        </is>
      </c>
      <c r="D1198" s="0" t="inlineStr">
        <is>
          <t xml:space="preserve">-</t>
        </is>
      </c>
      <c r="E1198" s="0" t="inlineStr">
        <is>
          <t xml:space="preserve">-</t>
        </is>
      </c>
      <c r="F1198" s="0" t="inlineStr">
        <is>
          <t xml:space="preserve">-</t>
        </is>
      </c>
      <c r="G1198" s="5">
        <v>0.25475380000000003</v>
      </c>
      <c r="H1198" s="0" t="inlineStr">
        <is>
          <t xml:space="preserve">supplier</t>
        </is>
      </c>
      <c r="I1198" s="0" t="inlineStr">
        <is>
          <t xml:space="preserve">unbucketed</t>
        </is>
      </c>
      <c r="J1198" s="0" t="inlineStr">
        <is>
          <t xml:space="preserve">residual</t>
        </is>
      </c>
      <c r="K1198" s="5">
        <v>0</v>
      </c>
      <c r="L1198" s="5">
        <v>0</v>
      </c>
      <c r="M1198" s="5">
        <v>0.0</v>
      </c>
      <c r="N1198" s="5">
        <v>0.0</v>
      </c>
      <c r="O1198" s="5">
        <v>0.0</v>
      </c>
      <c r="P1198" s="5">
        <v>0.0</v>
      </c>
      <c r="Q1198" s="5">
        <v>0.0</v>
      </c>
    </row>
    <row r="1199" outlineLevel="1">
      <c r="B1199" s="0" t="inlineStr">
        <is>
          <t xml:space="preserve">ROLLS-ROYCE HOLDINGS PLC</t>
        </is>
      </c>
      <c r="C1199" s="0" t="inlineStr">
        <is>
          <t xml:space="preserve">KHK8QYLFGLU1</t>
        </is>
      </c>
      <c r="D1199" s="0" t="inlineStr">
        <is>
          <t xml:space="preserve">-</t>
        </is>
      </c>
      <c r="E1199" s="0" t="inlineStr">
        <is>
          <t xml:space="preserve">-</t>
        </is>
      </c>
      <c r="F1199" s="0" t="inlineStr">
        <is>
          <t xml:space="preserve">-</t>
        </is>
      </c>
      <c r="G1199" s="5">
        <v>0.25438585</v>
      </c>
      <c r="H1199" s="0" t="inlineStr">
        <is>
          <t xml:space="preserve">supplier</t>
        </is>
      </c>
      <c r="I1199" s="0" t="inlineStr">
        <is>
          <t xml:space="preserve">machining</t>
        </is>
      </c>
      <c r="J1199" s="0" t="inlineStr">
        <is>
          <t xml:space="preserve">vendor-override</t>
        </is>
      </c>
      <c r="K1199" s="5">
        <v>0</v>
      </c>
      <c r="L1199" s="5">
        <v>0</v>
      </c>
      <c r="M1199" s="5">
        <v>0.25438585</v>
      </c>
      <c r="N1199" s="5">
        <v>0.0</v>
      </c>
      <c r="O1199" s="5">
        <v>0.0</v>
      </c>
      <c r="P1199" s="5">
        <v>0.0</v>
      </c>
      <c r="Q1199" s="5">
        <v>0.25438585</v>
      </c>
    </row>
    <row r="1200" outlineLevel="1">
      <c r="B1200" s="0" t="inlineStr">
        <is>
          <t xml:space="preserve">NATIONAL INSTRUMENTS CORPORATION</t>
        </is>
      </c>
      <c r="C1200" s="0" t="inlineStr">
        <is>
          <t xml:space="preserve">LKXHMX1K3AC5</t>
        </is>
      </c>
      <c r="D1200" s="0" t="inlineStr">
        <is>
          <t xml:space="preserve">-</t>
        </is>
      </c>
      <c r="E1200" s="0" t="inlineStr">
        <is>
          <t xml:space="preserve">-</t>
        </is>
      </c>
      <c r="F1200" s="0" t="inlineStr">
        <is>
          <t xml:space="preserve">-</t>
        </is>
      </c>
      <c r="G1200" s="5">
        <v>0.25395999999999996</v>
      </c>
      <c r="H1200" s="0" t="inlineStr">
        <is>
          <t xml:space="preserve">supplier</t>
        </is>
      </c>
      <c r="I1200" s="0" t="inlineStr">
        <is>
          <t xml:space="preserve">unbucketed</t>
        </is>
      </c>
      <c r="J1200" s="0" t="inlineStr">
        <is>
          <t xml:space="preserve">residual</t>
        </is>
      </c>
      <c r="K1200" s="5">
        <v>0</v>
      </c>
      <c r="L1200" s="5">
        <v>0</v>
      </c>
      <c r="M1200" s="5">
        <v>0.201064</v>
      </c>
      <c r="N1200" s="5">
        <v>0.0</v>
      </c>
      <c r="O1200" s="5">
        <v>0.0</v>
      </c>
      <c r="P1200" s="5">
        <v>0.0</v>
      </c>
      <c r="Q1200" s="5">
        <v>0.0</v>
      </c>
    </row>
    <row r="1201" outlineLevel="1">
      <c r="B1201" s="0" t="inlineStr">
        <is>
          <t xml:space="preserve">RAMBUS INC</t>
        </is>
      </c>
      <c r="C1201" s="0" t="inlineStr">
        <is>
          <t xml:space="preserve">CRB3FMNFE343</t>
        </is>
      </c>
      <c r="D1201" s="0" t="inlineStr">
        <is>
          <t xml:space="preserve">USA</t>
        </is>
      </c>
      <c r="E1201" s="0" t="inlineStr">
        <is>
          <t xml:space="preserve">3344</t>
        </is>
      </c>
      <c r="F1201" s="0" t="inlineStr">
        <is>
          <t xml:space="preserve">Semiconductor and Related Device Manufacturing</t>
        </is>
      </c>
      <c r="G1201" s="5">
        <v>0.252</v>
      </c>
      <c r="H1201" s="0" t="inlineStr">
        <is>
          <t xml:space="preserve">mission_systems</t>
        </is>
      </c>
      <c r="I1201" s="0" t="inlineStr">
        <is>
          <t xml:space="preserve">-</t>
        </is>
      </c>
      <c r="J1201" s="0" t="inlineStr">
        <is>
          <t xml:space="preserve">registry</t>
        </is>
      </c>
      <c r="K1201" s="5">
        <v>0</v>
      </c>
      <c r="L1201" s="5">
        <v>0</v>
      </c>
      <c r="M1201" s="5">
        <v>0.0</v>
      </c>
      <c r="N1201" s="5">
        <v>0.0</v>
      </c>
      <c r="O1201" s="5">
        <v>0.0</v>
      </c>
      <c r="P1201" s="5">
        <v>0.0</v>
      </c>
      <c r="Q1201" s="5">
        <v>0.0</v>
      </c>
    </row>
    <row r="1202" outlineLevel="1">
      <c r="B1202" s="0" t="inlineStr">
        <is>
          <t xml:space="preserve">OLDENBURG GROUP V2 GSM SPON</t>
        </is>
      </c>
      <c r="C1202" s="0" t="inlineStr">
        <is>
          <t xml:space="preserve">YELYMYLF82L9</t>
        </is>
      </c>
      <c r="D1202" s="0" t="inlineStr">
        <is>
          <t xml:space="preserve">USA</t>
        </is>
      </c>
      <c r="E1202" s="0" t="inlineStr">
        <is>
          <t xml:space="preserve">3366</t>
        </is>
      </c>
      <c r="F1202" s="0" t="inlineStr">
        <is>
          <t xml:space="preserve">Ship Building and Repairing</t>
        </is>
      </c>
      <c r="G1202" s="5">
        <v>0.25196931</v>
      </c>
      <c r="H1202" s="0" t="inlineStr">
        <is>
          <t xml:space="preserve">supplier</t>
        </is>
      </c>
      <c r="I1202" s="0" t="inlineStr">
        <is>
          <t xml:space="preserve">structural</t>
        </is>
      </c>
      <c r="J1202" s="0" t="inlineStr">
        <is>
          <t xml:space="preserve">registry</t>
        </is>
      </c>
      <c r="K1202" s="5">
        <v>0</v>
      </c>
      <c r="L1202" s="5">
        <v>0</v>
      </c>
      <c r="M1202" s="5">
        <v>0.25196931</v>
      </c>
      <c r="N1202" s="5">
        <v>0.0</v>
      </c>
      <c r="O1202" s="5">
        <v>0.0</v>
      </c>
      <c r="P1202" s="5">
        <v>0.0</v>
      </c>
      <c r="Q1202" s="5">
        <v>0.25196931</v>
      </c>
    </row>
    <row r="1203" outlineLevel="1">
      <c r="B1203" s="0" t="inlineStr">
        <is>
          <t xml:space="preserve">EBY GROUP, LLC, THE</t>
        </is>
      </c>
      <c r="C1203" s="0" t="inlineStr">
        <is>
          <t xml:space="preserve">MDQZKU7HV7L8</t>
        </is>
      </c>
      <c r="D1203" s="0" t="inlineStr">
        <is>
          <t xml:space="preserve">-</t>
        </is>
      </c>
      <c r="E1203" s="0" t="inlineStr">
        <is>
          <t xml:space="preserve">-</t>
        </is>
      </c>
      <c r="F1203" s="0" t="inlineStr">
        <is>
          <t xml:space="preserve">-</t>
        </is>
      </c>
      <c r="G1203" s="5">
        <v>0.251886</v>
      </c>
      <c r="H1203" s="0" t="inlineStr">
        <is>
          <t xml:space="preserve">supplier</t>
        </is>
      </c>
      <c r="I1203" s="0" t="inlineStr">
        <is>
          <t xml:space="preserve">unbucketed</t>
        </is>
      </c>
      <c r="J1203" s="0" t="inlineStr">
        <is>
          <t xml:space="preserve">residual</t>
        </is>
      </c>
      <c r="K1203" s="5">
        <v>0</v>
      </c>
      <c r="L1203" s="5">
        <v>0</v>
      </c>
      <c r="M1203" s="5">
        <v>0.0</v>
      </c>
      <c r="N1203" s="5">
        <v>0.0</v>
      </c>
      <c r="O1203" s="5">
        <v>0.0</v>
      </c>
      <c r="P1203" s="5">
        <v>0.0</v>
      </c>
      <c r="Q1203" s="5">
        <v>0.0</v>
      </c>
    </row>
    <row r="1204" outlineLevel="1">
      <c r="B1204" s="0" t="inlineStr">
        <is>
          <t xml:space="preserve">DELL TECHNOLOGIES INC.</t>
        </is>
      </c>
      <c r="C1204" s="0" t="inlineStr">
        <is>
          <t xml:space="preserve">HJLSY7RZV8X6</t>
        </is>
      </c>
      <c r="D1204" s="0" t="inlineStr">
        <is>
          <t xml:space="preserve">-</t>
        </is>
      </c>
      <c r="E1204" s="0" t="inlineStr">
        <is>
          <t xml:space="preserve">-</t>
        </is>
      </c>
      <c r="F1204" s="0" t="inlineStr">
        <is>
          <t xml:space="preserve">-</t>
        </is>
      </c>
      <c r="G1204" s="5">
        <v>0.25172801</v>
      </c>
      <c r="H1204" s="0" t="inlineStr">
        <is>
          <t xml:space="preserve">supplier</t>
        </is>
      </c>
      <c r="I1204" s="0" t="inlineStr">
        <is>
          <t xml:space="preserve">unbucketed</t>
        </is>
      </c>
      <c r="J1204" s="0" t="inlineStr">
        <is>
          <t xml:space="preserve">residual</t>
        </is>
      </c>
      <c r="K1204" s="5">
        <v>0</v>
      </c>
      <c r="L1204" s="5">
        <v>0</v>
      </c>
      <c r="M1204" s="5">
        <v>0.0</v>
      </c>
      <c r="N1204" s="5">
        <v>0.0</v>
      </c>
      <c r="O1204" s="5">
        <v>0.0</v>
      </c>
      <c r="P1204" s="5">
        <v>0.0</v>
      </c>
      <c r="Q1204" s="5">
        <v>0.0</v>
      </c>
    </row>
    <row r="1205" outlineLevel="1">
      <c r="B1205" s="0" t="inlineStr">
        <is>
          <t xml:space="preserve">GENERAL FINANCE CORPORATION</t>
        </is>
      </c>
      <c r="C1205" s="0" t="inlineStr">
        <is>
          <t xml:space="preserve">UHWFF9JP6G48</t>
        </is>
      </c>
      <c r="D1205" s="0" t="inlineStr">
        <is>
          <t xml:space="preserve">-</t>
        </is>
      </c>
      <c r="E1205" s="0" t="inlineStr">
        <is>
          <t xml:space="preserve">-</t>
        </is>
      </c>
      <c r="F1205" s="0" t="inlineStr">
        <is>
          <t xml:space="preserve">-</t>
        </is>
      </c>
      <c r="G1205" s="5">
        <v>0.25159</v>
      </c>
      <c r="H1205" s="0" t="inlineStr">
        <is>
          <t xml:space="preserve">supplier</t>
        </is>
      </c>
      <c r="I1205" s="0" t="inlineStr">
        <is>
          <t xml:space="preserve">unbucketed</t>
        </is>
      </c>
      <c r="J1205" s="0" t="inlineStr">
        <is>
          <t xml:space="preserve">residual</t>
        </is>
      </c>
      <c r="K1205" s="5">
        <v>0</v>
      </c>
      <c r="L1205" s="5">
        <v>0</v>
      </c>
      <c r="M1205" s="5">
        <v>0.0</v>
      </c>
      <c r="N1205" s="5">
        <v>0.0</v>
      </c>
      <c r="O1205" s="5">
        <v>0.0</v>
      </c>
      <c r="P1205" s="5">
        <v>0.0</v>
      </c>
      <c r="Q1205" s="5">
        <v>0.0</v>
      </c>
    </row>
    <row r="1206" outlineLevel="1">
      <c r="B1206" s="0" t="inlineStr">
        <is>
          <t xml:space="preserve">DYNAMIC PRECISION GROUP, INC.</t>
        </is>
      </c>
      <c r="C1206" s="0" t="inlineStr">
        <is>
          <t xml:space="preserve">JFHLZNJLWAN5</t>
        </is>
      </c>
      <c r="D1206" s="0" t="inlineStr">
        <is>
          <t xml:space="preserve">-</t>
        </is>
      </c>
      <c r="E1206" s="0" t="inlineStr">
        <is>
          <t xml:space="preserve">-</t>
        </is>
      </c>
      <c r="F1206" s="0" t="inlineStr">
        <is>
          <t xml:space="preserve">-</t>
        </is>
      </c>
      <c r="G1206" s="5">
        <v>0.25125400000000003</v>
      </c>
      <c r="H1206" s="0" t="inlineStr">
        <is>
          <t xml:space="preserve">supplier</t>
        </is>
      </c>
      <c r="I1206" s="0" t="inlineStr">
        <is>
          <t xml:space="preserve">unbucketed</t>
        </is>
      </c>
      <c r="J1206" s="0" t="inlineStr">
        <is>
          <t xml:space="preserve">residual</t>
        </is>
      </c>
      <c r="K1206" s="5">
        <v>0</v>
      </c>
      <c r="L1206" s="5">
        <v>0</v>
      </c>
      <c r="M1206" s="5">
        <v>0.0</v>
      </c>
      <c r="N1206" s="5">
        <v>0.0</v>
      </c>
      <c r="O1206" s="5">
        <v>0.0</v>
      </c>
      <c r="P1206" s="5">
        <v>0.0</v>
      </c>
      <c r="Q1206" s="5">
        <v>0.0</v>
      </c>
    </row>
    <row r="1207" outlineLevel="1">
      <c r="B1207" s="0" t="inlineStr">
        <is>
          <t xml:space="preserve">DARE ELECTRONICS, INC.</t>
        </is>
      </c>
      <c r="C1207" s="0" t="inlineStr">
        <is>
          <t xml:space="preserve">XABPNZ7FUSE3</t>
        </is>
      </c>
      <c r="D1207" s="0" t="inlineStr">
        <is>
          <t xml:space="preserve">-</t>
        </is>
      </c>
      <c r="E1207" s="0" t="inlineStr">
        <is>
          <t xml:space="preserve">-</t>
        </is>
      </c>
      <c r="F1207" s="0" t="inlineStr">
        <is>
          <t xml:space="preserve">-</t>
        </is>
      </c>
      <c r="G1207" s="5">
        <v>0.25113199999999997</v>
      </c>
      <c r="H1207" s="0" t="inlineStr">
        <is>
          <t xml:space="preserve">supplier</t>
        </is>
      </c>
      <c r="I1207" s="0" t="inlineStr">
        <is>
          <t xml:space="preserve">unbucketed</t>
        </is>
      </c>
      <c r="J1207" s="0" t="inlineStr">
        <is>
          <t xml:space="preserve">residual</t>
        </is>
      </c>
      <c r="K1207" s="5">
        <v>0</v>
      </c>
      <c r="L1207" s="5">
        <v>0</v>
      </c>
      <c r="M1207" s="5">
        <v>0.0</v>
      </c>
      <c r="N1207" s="5">
        <v>0.0</v>
      </c>
      <c r="O1207" s="5">
        <v>0.0</v>
      </c>
      <c r="P1207" s="5">
        <v>0.0</v>
      </c>
      <c r="Q1207" s="5">
        <v>0.0</v>
      </c>
    </row>
    <row r="1208" outlineLevel="1">
      <c r="B1208" s="0" t="inlineStr">
        <is>
          <t xml:space="preserve">W INTERNATIONAL SC, LLC</t>
        </is>
      </c>
      <c r="C1208" s="0" t="inlineStr">
        <is>
          <t xml:space="preserve">Y6X3BDLEPNJ6</t>
        </is>
      </c>
      <c r="D1208" s="0" t="inlineStr">
        <is>
          <t xml:space="preserve">-</t>
        </is>
      </c>
      <c r="E1208" s="0" t="inlineStr">
        <is>
          <t xml:space="preserve">-</t>
        </is>
      </c>
      <c r="F1208" s="0" t="inlineStr">
        <is>
          <t xml:space="preserve">-</t>
        </is>
      </c>
      <c r="G1208" s="5">
        <v>0.2495</v>
      </c>
      <c r="H1208" s="0" t="inlineStr">
        <is>
          <t xml:space="preserve">supplier</t>
        </is>
      </c>
      <c r="I1208" s="0" t="inlineStr">
        <is>
          <t xml:space="preserve">structural</t>
        </is>
      </c>
      <c r="J1208" s="0" t="inlineStr">
        <is>
          <t xml:space="preserve">registry</t>
        </is>
      </c>
      <c r="K1208" s="5">
        <v>1</v>
      </c>
      <c r="L1208" s="5">
        <v>0</v>
      </c>
      <c r="M1208" s="5">
        <v>0.0</v>
      </c>
      <c r="N1208" s="5">
        <v>0.0</v>
      </c>
      <c r="O1208" s="5">
        <v>0.0</v>
      </c>
      <c r="P1208" s="5">
        <v>0.0</v>
      </c>
      <c r="Q1208" s="5">
        <v>0.0</v>
      </c>
    </row>
    <row r="1209" outlineLevel="1">
      <c r="B1209" s="0" t="inlineStr">
        <is>
          <t xml:space="preserve">R.E. DARLING CO., INC.</t>
        </is>
      </c>
      <c r="C1209" s="0" t="inlineStr">
        <is>
          <t xml:space="preserve">Q98EVCAE4SB8</t>
        </is>
      </c>
      <c r="D1209" s="0" t="inlineStr">
        <is>
          <t xml:space="preserve">-</t>
        </is>
      </c>
      <c r="E1209" s="0" t="inlineStr">
        <is>
          <t xml:space="preserve">-</t>
        </is>
      </c>
      <c r="F1209" s="0" t="inlineStr">
        <is>
          <t xml:space="preserve">-</t>
        </is>
      </c>
      <c r="G1209" s="5">
        <v>0.24752168</v>
      </c>
      <c r="H1209" s="0" t="inlineStr">
        <is>
          <t xml:space="preserve">supplier</t>
        </is>
      </c>
      <c r="I1209" s="0" t="inlineStr">
        <is>
          <t xml:space="preserve">unbucketed</t>
        </is>
      </c>
      <c r="J1209" s="0" t="inlineStr">
        <is>
          <t xml:space="preserve">residual</t>
        </is>
      </c>
      <c r="K1209" s="5">
        <v>0</v>
      </c>
      <c r="L1209" s="5">
        <v>0</v>
      </c>
      <c r="M1209" s="5">
        <v>0.0</v>
      </c>
      <c r="N1209" s="5">
        <v>0.0</v>
      </c>
      <c r="O1209" s="5">
        <v>0.0</v>
      </c>
      <c r="P1209" s="5">
        <v>0.0</v>
      </c>
      <c r="Q1209" s="5">
        <v>0.0</v>
      </c>
    </row>
    <row r="1210" outlineLevel="1">
      <c r="B1210" s="0" t="inlineStr">
        <is>
          <t xml:space="preserve">EMS ICE, INC.</t>
        </is>
      </c>
      <c r="C1210" s="0" t="inlineStr">
        <is>
          <t xml:space="preserve">HHM2PERCK575</t>
        </is>
      </c>
      <c r="D1210" s="0" t="inlineStr">
        <is>
          <t xml:space="preserve">-</t>
        </is>
      </c>
      <c r="E1210" s="0" t="inlineStr">
        <is>
          <t xml:space="preserve">-</t>
        </is>
      </c>
      <c r="F1210" s="0" t="inlineStr">
        <is>
          <t xml:space="preserve">-</t>
        </is>
      </c>
      <c r="G1210" s="5">
        <v>0.24732</v>
      </c>
      <c r="H1210" s="0" t="inlineStr">
        <is>
          <t xml:space="preserve">supplier</t>
        </is>
      </c>
      <c r="I1210" s="0" t="inlineStr">
        <is>
          <t xml:space="preserve">unbucketed</t>
        </is>
      </c>
      <c r="J1210" s="0" t="inlineStr">
        <is>
          <t xml:space="preserve">residual</t>
        </is>
      </c>
      <c r="K1210" s="5">
        <v>0</v>
      </c>
      <c r="L1210" s="5">
        <v>0</v>
      </c>
      <c r="M1210" s="5">
        <v>0.0</v>
      </c>
      <c r="N1210" s="5">
        <v>0.0</v>
      </c>
      <c r="O1210" s="5">
        <v>0.0</v>
      </c>
      <c r="P1210" s="5">
        <v>0.0</v>
      </c>
      <c r="Q1210" s="5">
        <v>0.0</v>
      </c>
    </row>
    <row r="1211" outlineLevel="1">
      <c r="B1211" s="0" t="inlineStr">
        <is>
          <t xml:space="preserve">OROLIA GOVERNMENT SYSTEMS, INC.</t>
        </is>
      </c>
      <c r="C1211" s="0" t="inlineStr">
        <is>
          <t xml:space="preserve">CJQKS54NSXU7</t>
        </is>
      </c>
      <c r="D1211" s="0" t="inlineStr">
        <is>
          <t xml:space="preserve">-</t>
        </is>
      </c>
      <c r="E1211" s="0" t="inlineStr">
        <is>
          <t xml:space="preserve">-</t>
        </is>
      </c>
      <c r="F1211" s="0" t="inlineStr">
        <is>
          <t xml:space="preserve">-</t>
        </is>
      </c>
      <c r="G1211" s="5">
        <v>0.24705</v>
      </c>
      <c r="H1211" s="0" t="inlineStr">
        <is>
          <t xml:space="preserve">supplier</t>
        </is>
      </c>
      <c r="I1211" s="0" t="inlineStr">
        <is>
          <t xml:space="preserve">unbucketed</t>
        </is>
      </c>
      <c r="J1211" s="0" t="inlineStr">
        <is>
          <t xml:space="preserve">residual</t>
        </is>
      </c>
      <c r="K1211" s="5">
        <v>0</v>
      </c>
      <c r="L1211" s="5">
        <v>0</v>
      </c>
      <c r="M1211" s="5">
        <v>0.0</v>
      </c>
      <c r="N1211" s="5">
        <v>0.0</v>
      </c>
      <c r="O1211" s="5">
        <v>0.0</v>
      </c>
      <c r="P1211" s="5">
        <v>0.0</v>
      </c>
      <c r="Q1211" s="5">
        <v>0.0</v>
      </c>
    </row>
    <row r="1212" outlineLevel="1">
      <c r="B1212" s="0" t="inlineStr">
        <is>
          <t xml:space="preserve">CIZION METAL ENGINEERING LLC</t>
        </is>
      </c>
      <c r="C1212" s="0" t="inlineStr">
        <is>
          <t xml:space="preserve">UQ5SEKN6MRL4</t>
        </is>
      </c>
      <c r="D1212" s="0" t="inlineStr">
        <is>
          <t xml:space="preserve">-</t>
        </is>
      </c>
      <c r="E1212" s="0" t="inlineStr">
        <is>
          <t xml:space="preserve">-</t>
        </is>
      </c>
      <c r="F1212" s="0" t="inlineStr">
        <is>
          <t xml:space="preserve">-</t>
        </is>
      </c>
      <c r="G1212" s="5">
        <v>0.24699856</v>
      </c>
      <c r="H1212" s="0" t="inlineStr">
        <is>
          <t xml:space="preserve">supplier</t>
        </is>
      </c>
      <c r="I1212" s="0" t="inlineStr">
        <is>
          <t xml:space="preserve">unbucketed</t>
        </is>
      </c>
      <c r="J1212" s="0" t="inlineStr">
        <is>
          <t xml:space="preserve">residual</t>
        </is>
      </c>
      <c r="K1212" s="5">
        <v>0</v>
      </c>
      <c r="L1212" s="5">
        <v>0</v>
      </c>
      <c r="M1212" s="5">
        <v>0.0</v>
      </c>
      <c r="N1212" s="5">
        <v>0.0</v>
      </c>
      <c r="O1212" s="5">
        <v>0.0</v>
      </c>
      <c r="P1212" s="5">
        <v>0.0</v>
      </c>
      <c r="Q1212" s="5">
        <v>0.0</v>
      </c>
    </row>
    <row r="1213" outlineLevel="1">
      <c r="B1213" s="0" t="inlineStr">
        <is>
          <t xml:space="preserve">JEWETT MACHINE MANUFACTURING COMPANY, INC, BRYCE D</t>
        </is>
      </c>
      <c r="C1213" s="0" t="inlineStr">
        <is>
          <t xml:space="preserve">FMFNAV9Q2LF3</t>
        </is>
      </c>
      <c r="D1213" s="0" t="inlineStr">
        <is>
          <t xml:space="preserve">-</t>
        </is>
      </c>
      <c r="E1213" s="0" t="inlineStr">
        <is>
          <t xml:space="preserve">-</t>
        </is>
      </c>
      <c r="F1213" s="0" t="inlineStr">
        <is>
          <t xml:space="preserve">-</t>
        </is>
      </c>
      <c r="G1213" s="5">
        <v>0.24622986</v>
      </c>
      <c r="H1213" s="0" t="inlineStr">
        <is>
          <t xml:space="preserve">supplier</t>
        </is>
      </c>
      <c r="I1213" s="0" t="inlineStr">
        <is>
          <t xml:space="preserve">unbucketed</t>
        </is>
      </c>
      <c r="J1213" s="0" t="inlineStr">
        <is>
          <t xml:space="preserve">residual</t>
        </is>
      </c>
      <c r="K1213" s="5">
        <v>0</v>
      </c>
      <c r="L1213" s="5">
        <v>0</v>
      </c>
      <c r="M1213" s="5">
        <v>0.0</v>
      </c>
      <c r="N1213" s="5">
        <v>0.0</v>
      </c>
      <c r="O1213" s="5">
        <v>0.0</v>
      </c>
      <c r="P1213" s="5">
        <v>0.0</v>
      </c>
      <c r="Q1213" s="5">
        <v>0.0</v>
      </c>
    </row>
    <row r="1214" outlineLevel="1">
      <c r="B1214" s="0" t="inlineStr">
        <is>
          <t xml:space="preserve">WEAVER SUPPLY COMPANY, LLC</t>
        </is>
      </c>
      <c r="C1214" s="0" t="inlineStr">
        <is>
          <t xml:space="preserve">NGE4ALP2M661</t>
        </is>
      </c>
      <c r="D1214" s="0" t="inlineStr">
        <is>
          <t xml:space="preserve">-</t>
        </is>
      </c>
      <c r="E1214" s="0" t="inlineStr">
        <is>
          <t xml:space="preserve">-</t>
        </is>
      </c>
      <c r="F1214" s="0" t="inlineStr">
        <is>
          <t xml:space="preserve">-</t>
        </is>
      </c>
      <c r="G1214" s="5">
        <v>0.24569950000000002</v>
      </c>
      <c r="H1214" s="0" t="inlineStr">
        <is>
          <t xml:space="preserve">supplier</t>
        </is>
      </c>
      <c r="I1214" s="0" t="inlineStr">
        <is>
          <t xml:space="preserve">unbucketed</t>
        </is>
      </c>
      <c r="J1214" s="0" t="inlineStr">
        <is>
          <t xml:space="preserve">residual</t>
        </is>
      </c>
      <c r="K1214" s="5">
        <v>0</v>
      </c>
      <c r="L1214" s="5">
        <v>0</v>
      </c>
      <c r="M1214" s="5">
        <v>0.24569950000000002</v>
      </c>
      <c r="N1214" s="5">
        <v>0.0</v>
      </c>
      <c r="O1214" s="5">
        <v>0.0</v>
      </c>
      <c r="P1214" s="5">
        <v>0.0</v>
      </c>
      <c r="Q1214" s="5">
        <v>0.0</v>
      </c>
    </row>
    <row r="1215" outlineLevel="1">
      <c r="B1215" s="0" t="inlineStr">
        <is>
          <t xml:space="preserve">RAYCO ELECTRONIC MANUFACTURING, INC.</t>
        </is>
      </c>
      <c r="C1215" s="0" t="inlineStr">
        <is>
          <t xml:space="preserve">CF35WM68N343</t>
        </is>
      </c>
      <c r="D1215" s="0" t="inlineStr">
        <is>
          <t xml:space="preserve">-</t>
        </is>
      </c>
      <c r="E1215" s="0" t="inlineStr">
        <is>
          <t xml:space="preserve">-</t>
        </is>
      </c>
      <c r="F1215" s="0" t="inlineStr">
        <is>
          <t xml:space="preserve">-</t>
        </is>
      </c>
      <c r="G1215" s="5">
        <v>0.2441</v>
      </c>
      <c r="H1215" s="0" t="inlineStr">
        <is>
          <t xml:space="preserve">supplier</t>
        </is>
      </c>
      <c r="I1215" s="0" t="inlineStr">
        <is>
          <t xml:space="preserve">unbucketed</t>
        </is>
      </c>
      <c r="J1215" s="0" t="inlineStr">
        <is>
          <t xml:space="preserve">residual</t>
        </is>
      </c>
      <c r="K1215" s="5">
        <v>0</v>
      </c>
      <c r="L1215" s="5">
        <v>0</v>
      </c>
      <c r="M1215" s="5">
        <v>0.0</v>
      </c>
      <c r="N1215" s="5">
        <v>0.0</v>
      </c>
      <c r="O1215" s="5">
        <v>0.0</v>
      </c>
      <c r="P1215" s="5">
        <v>0.0</v>
      </c>
      <c r="Q1215" s="5">
        <v>0.0</v>
      </c>
    </row>
    <row r="1216" outlineLevel="1">
      <c r="B1216" s="0" t="inlineStr">
        <is>
          <t xml:space="preserve">DOVER CORP</t>
        </is>
      </c>
      <c r="C1216" s="0" t="inlineStr">
        <is>
          <t xml:space="preserve">CY8NHKM9KM17</t>
        </is>
      </c>
      <c r="D1216" s="0" t="inlineStr">
        <is>
          <t xml:space="preserve">-</t>
        </is>
      </c>
      <c r="E1216" s="0" t="inlineStr">
        <is>
          <t xml:space="preserve">-</t>
        </is>
      </c>
      <c r="F1216" s="0" t="inlineStr">
        <is>
          <t xml:space="preserve">-</t>
        </is>
      </c>
      <c r="G1216" s="5">
        <v>0.243828</v>
      </c>
      <c r="H1216" s="0" t="inlineStr">
        <is>
          <t xml:space="preserve">supplier</t>
        </is>
      </c>
      <c r="I1216" s="0" t="inlineStr">
        <is>
          <t xml:space="preserve">unbucketed</t>
        </is>
      </c>
      <c r="J1216" s="0" t="inlineStr">
        <is>
          <t xml:space="preserve">residual</t>
        </is>
      </c>
      <c r="K1216" s="5">
        <v>0</v>
      </c>
      <c r="L1216" s="5">
        <v>0</v>
      </c>
      <c r="M1216" s="5">
        <v>0.0</v>
      </c>
      <c r="N1216" s="5">
        <v>0.0</v>
      </c>
      <c r="O1216" s="5">
        <v>0.0</v>
      </c>
      <c r="P1216" s="5">
        <v>0.0</v>
      </c>
      <c r="Q1216" s="5">
        <v>0.0</v>
      </c>
    </row>
    <row r="1217" outlineLevel="1">
      <c r="B1217" s="0" t="inlineStr">
        <is>
          <t xml:space="preserve">MACKAY COMMUNICATIONS, INC</t>
        </is>
      </c>
      <c r="C1217" s="0" t="inlineStr">
        <is>
          <t xml:space="preserve">CLJ5AQLQ8L29</t>
        </is>
      </c>
      <c r="D1217" s="0" t="inlineStr">
        <is>
          <t xml:space="preserve">-</t>
        </is>
      </c>
      <c r="E1217" s="0" t="inlineStr">
        <is>
          <t xml:space="preserve">-</t>
        </is>
      </c>
      <c r="F1217" s="0" t="inlineStr">
        <is>
          <t xml:space="preserve">-</t>
        </is>
      </c>
      <c r="G1217" s="5">
        <v>0.243821</v>
      </c>
      <c r="H1217" s="0" t="inlineStr">
        <is>
          <t xml:space="preserve">supplier</t>
        </is>
      </c>
      <c r="I1217" s="0" t="inlineStr">
        <is>
          <t xml:space="preserve">unbucketed</t>
        </is>
      </c>
      <c r="J1217" s="0" t="inlineStr">
        <is>
          <t xml:space="preserve">residual</t>
        </is>
      </c>
      <c r="K1217" s="5">
        <v>0</v>
      </c>
      <c r="L1217" s="5">
        <v>0</v>
      </c>
      <c r="M1217" s="5">
        <v>0.243821</v>
      </c>
      <c r="N1217" s="5">
        <v>0.243821</v>
      </c>
      <c r="O1217" s="5">
        <v>0.0</v>
      </c>
      <c r="P1217" s="5">
        <v>0.0</v>
      </c>
      <c r="Q1217" s="5">
        <v>0.0</v>
      </c>
    </row>
    <row r="1218" outlineLevel="1">
      <c r="B1218" s="0" t="inlineStr">
        <is>
          <t xml:space="preserve">J &amp; R TOOL, INC</t>
        </is>
      </c>
      <c r="C1218" s="0" t="inlineStr">
        <is>
          <t xml:space="preserve">N3K7U4MKPSE4</t>
        </is>
      </c>
      <c r="D1218" s="0" t="inlineStr">
        <is>
          <t xml:space="preserve">-</t>
        </is>
      </c>
      <c r="E1218" s="0" t="inlineStr">
        <is>
          <t xml:space="preserve">-</t>
        </is>
      </c>
      <c r="F1218" s="0" t="inlineStr">
        <is>
          <t xml:space="preserve">-</t>
        </is>
      </c>
      <c r="G1218" s="5">
        <v>0.243627</v>
      </c>
      <c r="H1218" s="0" t="inlineStr">
        <is>
          <t xml:space="preserve">supplier</t>
        </is>
      </c>
      <c r="I1218" s="0" t="inlineStr">
        <is>
          <t xml:space="preserve">unbucketed</t>
        </is>
      </c>
      <c r="J1218" s="0" t="inlineStr">
        <is>
          <t xml:space="preserve">residual</t>
        </is>
      </c>
      <c r="K1218" s="5">
        <v>0</v>
      </c>
      <c r="L1218" s="5">
        <v>0</v>
      </c>
      <c r="M1218" s="5">
        <v>0.243627</v>
      </c>
      <c r="N1218" s="5">
        <v>0.243627</v>
      </c>
      <c r="O1218" s="5">
        <v>0.0</v>
      </c>
      <c r="P1218" s="5">
        <v>0.0</v>
      </c>
      <c r="Q1218" s="5">
        <v>0.0</v>
      </c>
    </row>
    <row r="1219" outlineLevel="1">
      <c r="B1219" s="0" t="inlineStr">
        <is>
          <t xml:space="preserve">FINMECCANICA SPA</t>
        </is>
      </c>
      <c r="C1219" s="0" t="inlineStr">
        <is>
          <t xml:space="preserve">JLREE96WGKM5</t>
        </is>
      </c>
      <c r="D1219" s="0" t="inlineStr">
        <is>
          <t xml:space="preserve">ITA</t>
        </is>
      </c>
      <c r="E1219" s="0" t="inlineStr">
        <is>
          <t xml:space="preserve">3364</t>
        </is>
      </c>
      <c r="F1219" s="0" t="inlineStr">
        <is>
          <t xml:space="preserve">Aircraft Manufacturing</t>
        </is>
      </c>
      <c r="G1219" s="5">
        <v>0.242704</v>
      </c>
      <c r="H1219" s="0" t="inlineStr">
        <is>
          <t xml:space="preserve">mission_systems</t>
        </is>
      </c>
      <c r="I1219" s="0" t="inlineStr">
        <is>
          <t xml:space="preserve">-</t>
        </is>
      </c>
      <c r="J1219" s="0" t="inlineStr">
        <is>
          <t xml:space="preserve">registry</t>
        </is>
      </c>
      <c r="K1219" s="5">
        <v>0</v>
      </c>
      <c r="L1219" s="5">
        <v>1</v>
      </c>
      <c r="M1219" s="5">
        <v>0.0</v>
      </c>
      <c r="N1219" s="5">
        <v>0.0</v>
      </c>
      <c r="O1219" s="5">
        <v>0.0</v>
      </c>
      <c r="P1219" s="5">
        <v>0.0</v>
      </c>
      <c r="Q1219" s="5">
        <v>0.0</v>
      </c>
    </row>
    <row r="1220" outlineLevel="1">
      <c r="B1220" s="0" t="inlineStr">
        <is>
          <t xml:space="preserve">JWF DEFENSE SYSTEMS, LLC</t>
        </is>
      </c>
      <c r="C1220" s="0" t="inlineStr">
        <is>
          <t xml:space="preserve">K7UKW5JLHVC7</t>
        </is>
      </c>
      <c r="D1220" s="0" t="inlineStr">
        <is>
          <t xml:space="preserve">-</t>
        </is>
      </c>
      <c r="E1220" s="0" t="inlineStr">
        <is>
          <t xml:space="preserve">-</t>
        </is>
      </c>
      <c r="F1220" s="0" t="inlineStr">
        <is>
          <t xml:space="preserve">-</t>
        </is>
      </c>
      <c r="G1220" s="5">
        <v>0.24264360000000001</v>
      </c>
      <c r="H1220" s="0" t="inlineStr">
        <is>
          <t xml:space="preserve">supplier</t>
        </is>
      </c>
      <c r="I1220" s="0" t="inlineStr">
        <is>
          <t xml:space="preserve">unbucketed</t>
        </is>
      </c>
      <c r="J1220" s="0" t="inlineStr">
        <is>
          <t xml:space="preserve">residual</t>
        </is>
      </c>
      <c r="K1220" s="5">
        <v>0</v>
      </c>
      <c r="L1220" s="5">
        <v>0</v>
      </c>
      <c r="M1220" s="5">
        <v>0.0</v>
      </c>
      <c r="N1220" s="5">
        <v>0.0</v>
      </c>
      <c r="O1220" s="5">
        <v>0.0</v>
      </c>
      <c r="P1220" s="5">
        <v>0.0</v>
      </c>
      <c r="Q1220" s="5">
        <v>0.0</v>
      </c>
    </row>
    <row r="1221" outlineLevel="1">
      <c r="B1221" s="0" t="inlineStr">
        <is>
          <t xml:space="preserve">CREATION TECHNOLOGIES INC</t>
        </is>
      </c>
      <c r="C1221" s="0" t="inlineStr">
        <is>
          <t xml:space="preserve">WNKMDMALLWS1</t>
        </is>
      </c>
      <c r="D1221" s="0" t="inlineStr">
        <is>
          <t xml:space="preserve">Foreign</t>
        </is>
      </c>
      <c r="E1221" s="0" t="inlineStr">
        <is>
          <t xml:space="preserve">-</t>
        </is>
      </c>
      <c r="F1221" s="0" t="inlineStr">
        <is>
          <t xml:space="preserve">-</t>
        </is>
      </c>
      <c r="G1221" s="5">
        <v>0.24191068</v>
      </c>
      <c r="H1221" s="0" t="inlineStr">
        <is>
          <t xml:space="preserve">foreign_fms</t>
        </is>
      </c>
      <c r="I1221" s="0" t="inlineStr">
        <is>
          <t xml:space="preserve">-</t>
        </is>
      </c>
      <c r="J1221" s="0" t="inlineStr">
        <is>
          <t xml:space="preserve">foreign flag</t>
        </is>
      </c>
      <c r="K1221" s="5">
        <v>0</v>
      </c>
      <c r="L1221" s="5">
        <v>0</v>
      </c>
      <c r="M1221" s="5">
        <v>0.0</v>
      </c>
      <c r="N1221" s="5">
        <v>0.0</v>
      </c>
      <c r="O1221" s="5">
        <v>0.0</v>
      </c>
      <c r="P1221" s="5">
        <v>0.0</v>
      </c>
      <c r="Q1221" s="5">
        <v>0.0</v>
      </c>
    </row>
    <row r="1222" outlineLevel="1">
      <c r="B1222" s="0" t="inlineStr">
        <is>
          <t xml:space="preserve">XYLEM INC.</t>
        </is>
      </c>
      <c r="C1222" s="0" t="inlineStr">
        <is>
          <t xml:space="preserve">J6DMEL935CD1</t>
        </is>
      </c>
      <c r="D1222" s="0" t="inlineStr">
        <is>
          <t xml:space="preserve">-</t>
        </is>
      </c>
      <c r="E1222" s="0" t="inlineStr">
        <is>
          <t xml:space="preserve">-</t>
        </is>
      </c>
      <c r="F1222" s="0" t="inlineStr">
        <is>
          <t xml:space="preserve">-</t>
        </is>
      </c>
      <c r="G1222" s="5">
        <v>0.24094500000000002</v>
      </c>
      <c r="H1222" s="0" t="inlineStr">
        <is>
          <t xml:space="preserve">supplier</t>
        </is>
      </c>
      <c r="I1222" s="0" t="inlineStr">
        <is>
          <t xml:space="preserve">unbucketed</t>
        </is>
      </c>
      <c r="J1222" s="0" t="inlineStr">
        <is>
          <t xml:space="preserve">residual</t>
        </is>
      </c>
      <c r="K1222" s="5">
        <v>0</v>
      </c>
      <c r="L1222" s="5">
        <v>0</v>
      </c>
      <c r="M1222" s="5">
        <v>0.24094500000000002</v>
      </c>
      <c r="N1222" s="5">
        <v>0.039556</v>
      </c>
      <c r="O1222" s="5">
        <v>0.0</v>
      </c>
      <c r="P1222" s="5">
        <v>0.0</v>
      </c>
      <c r="Q1222" s="5">
        <v>0.114444</v>
      </c>
    </row>
    <row r="1223" outlineLevel="1">
      <c r="B1223" s="0" t="inlineStr">
        <is>
          <t xml:space="preserve">UNITED REFRIGERATION INC</t>
        </is>
      </c>
      <c r="C1223" s="0" t="inlineStr">
        <is>
          <t xml:space="preserve">ZYRVDBTNPD25</t>
        </is>
      </c>
      <c r="D1223" s="0" t="inlineStr">
        <is>
          <t xml:space="preserve">-</t>
        </is>
      </c>
      <c r="E1223" s="0" t="inlineStr">
        <is>
          <t xml:space="preserve">-</t>
        </is>
      </c>
      <c r="F1223" s="0" t="inlineStr">
        <is>
          <t xml:space="preserve">-</t>
        </is>
      </c>
      <c r="G1223" s="5">
        <v>0.24050878</v>
      </c>
      <c r="H1223" s="0" t="inlineStr">
        <is>
          <t xml:space="preserve">supplier</t>
        </is>
      </c>
      <c r="I1223" s="0" t="inlineStr">
        <is>
          <t xml:space="preserve">unbucketed</t>
        </is>
      </c>
      <c r="J1223" s="0" t="inlineStr">
        <is>
          <t xml:space="preserve">residual</t>
        </is>
      </c>
      <c r="K1223" s="5">
        <v>0</v>
      </c>
      <c r="L1223" s="5">
        <v>0</v>
      </c>
      <c r="M1223" s="5">
        <v>0.24050878</v>
      </c>
      <c r="N1223" s="5">
        <v>0.0</v>
      </c>
      <c r="O1223" s="5">
        <v>0.24050878</v>
      </c>
      <c r="P1223" s="5">
        <v>0.0</v>
      </c>
      <c r="Q1223" s="5">
        <v>0.0</v>
      </c>
    </row>
    <row r="1224" outlineLevel="1">
      <c r="B1224" s="0" t="inlineStr">
        <is>
          <t xml:space="preserve">ELMA ELECTRONIC AG</t>
        </is>
      </c>
      <c r="C1224" s="0" t="inlineStr">
        <is>
          <t xml:space="preserve">PGWNKJF89FV5</t>
        </is>
      </c>
      <c r="D1224" s="0" t="inlineStr">
        <is>
          <t xml:space="preserve">-</t>
        </is>
      </c>
      <c r="E1224" s="0" t="inlineStr">
        <is>
          <t xml:space="preserve">-</t>
        </is>
      </c>
      <c r="F1224" s="0" t="inlineStr">
        <is>
          <t xml:space="preserve">-</t>
        </is>
      </c>
      <c r="G1224" s="5">
        <v>0.24049600000000002</v>
      </c>
      <c r="H1224" s="0" t="inlineStr">
        <is>
          <t xml:space="preserve">supplier</t>
        </is>
      </c>
      <c r="I1224" s="0" t="inlineStr">
        <is>
          <t xml:space="preserve">unbucketed</t>
        </is>
      </c>
      <c r="J1224" s="0" t="inlineStr">
        <is>
          <t xml:space="preserve">residual</t>
        </is>
      </c>
      <c r="K1224" s="5">
        <v>0</v>
      </c>
      <c r="L1224" s="5">
        <v>0</v>
      </c>
      <c r="M1224" s="5">
        <v>0.0</v>
      </c>
      <c r="N1224" s="5">
        <v>0.0</v>
      </c>
      <c r="O1224" s="5">
        <v>0.0</v>
      </c>
      <c r="P1224" s="5">
        <v>0.0</v>
      </c>
      <c r="Q1224" s="5">
        <v>0.0</v>
      </c>
    </row>
    <row r="1225" outlineLevel="1">
      <c r="B1225" s="0" t="inlineStr">
        <is>
          <t xml:space="preserve">KKR &amp; CO INC</t>
        </is>
      </c>
      <c r="C1225" s="0" t="inlineStr">
        <is>
          <t xml:space="preserve">KYURG7LRSC89</t>
        </is>
      </c>
      <c r="D1225" s="0" t="inlineStr">
        <is>
          <t xml:space="preserve">-</t>
        </is>
      </c>
      <c r="E1225" s="0" t="inlineStr">
        <is>
          <t xml:space="preserve">-</t>
        </is>
      </c>
      <c r="F1225" s="0" t="inlineStr">
        <is>
          <t xml:space="preserve">-</t>
        </is>
      </c>
      <c r="G1225" s="5">
        <v>0.240098</v>
      </c>
      <c r="H1225" s="0" t="inlineStr">
        <is>
          <t xml:space="preserve">supplier</t>
        </is>
      </c>
      <c r="I1225" s="0" t="inlineStr">
        <is>
          <t xml:space="preserve">piping</t>
        </is>
      </c>
      <c r="J1225" s="0" t="inlineStr">
        <is>
          <t xml:space="preserve">registry</t>
        </is>
      </c>
      <c r="K1225" s="5">
        <v>0</v>
      </c>
      <c r="L1225" s="5">
        <v>0</v>
      </c>
      <c r="M1225" s="5">
        <v>0.240098</v>
      </c>
      <c r="N1225" s="5">
        <v>0.0</v>
      </c>
      <c r="O1225" s="5">
        <v>0.0</v>
      </c>
      <c r="P1225" s="5">
        <v>0.0</v>
      </c>
      <c r="Q1225" s="5">
        <v>0.240098</v>
      </c>
    </row>
    <row r="1226" outlineLevel="1">
      <c r="B1226" s="0" t="inlineStr">
        <is>
          <t xml:space="preserve">AQUALISBRAEMAR LOC ASA</t>
        </is>
      </c>
      <c r="C1226" s="0" t="inlineStr">
        <is>
          <t xml:space="preserve">L4MAMGG8KA31</t>
        </is>
      </c>
      <c r="D1226" s="0" t="inlineStr">
        <is>
          <t xml:space="preserve">-</t>
        </is>
      </c>
      <c r="E1226" s="0" t="inlineStr">
        <is>
          <t xml:space="preserve">-</t>
        </is>
      </c>
      <c r="F1226" s="0" t="inlineStr">
        <is>
          <t xml:space="preserve">-</t>
        </is>
      </c>
      <c r="G1226" s="5">
        <v>0.239965</v>
      </c>
      <c r="H1226" s="0" t="inlineStr">
        <is>
          <t xml:space="preserve">supplier</t>
        </is>
      </c>
      <c r="I1226" s="0" t="inlineStr">
        <is>
          <t xml:space="preserve">unbucketed</t>
        </is>
      </c>
      <c r="J1226" s="0" t="inlineStr">
        <is>
          <t xml:space="preserve">residual</t>
        </is>
      </c>
      <c r="K1226" s="5">
        <v>0</v>
      </c>
      <c r="L1226" s="5">
        <v>0</v>
      </c>
      <c r="M1226" s="5">
        <v>0.0</v>
      </c>
      <c r="N1226" s="5">
        <v>0.0</v>
      </c>
      <c r="O1226" s="5">
        <v>0.0</v>
      </c>
      <c r="P1226" s="5">
        <v>0.0</v>
      </c>
      <c r="Q1226" s="5">
        <v>0.0</v>
      </c>
    </row>
    <row r="1227" outlineLevel="1">
      <c r="B1227" s="0" t="inlineStr">
        <is>
          <t xml:space="preserve">EDRO CORPORATION, THE</t>
        </is>
      </c>
      <c r="C1227" s="0" t="inlineStr">
        <is>
          <t xml:space="preserve">MHR1KKAZ1NH5</t>
        </is>
      </c>
      <c r="D1227" s="0" t="inlineStr">
        <is>
          <t xml:space="preserve">-</t>
        </is>
      </c>
      <c r="E1227" s="0" t="inlineStr">
        <is>
          <t xml:space="preserve">-</t>
        </is>
      </c>
      <c r="F1227" s="0" t="inlineStr">
        <is>
          <t xml:space="preserve">-</t>
        </is>
      </c>
      <c r="G1227" s="5">
        <v>0.23899650000000003</v>
      </c>
      <c r="H1227" s="0" t="inlineStr">
        <is>
          <t xml:space="preserve">supplier</t>
        </is>
      </c>
      <c r="I1227" s="0" t="inlineStr">
        <is>
          <t xml:space="preserve">unbucketed</t>
        </is>
      </c>
      <c r="J1227" s="0" t="inlineStr">
        <is>
          <t xml:space="preserve">residual</t>
        </is>
      </c>
      <c r="K1227" s="5">
        <v>0</v>
      </c>
      <c r="L1227" s="5">
        <v>0</v>
      </c>
      <c r="M1227" s="5">
        <v>0.23899650000000003</v>
      </c>
      <c r="N1227" s="5">
        <v>0.0</v>
      </c>
      <c r="O1227" s="5">
        <v>0.0</v>
      </c>
      <c r="P1227" s="5">
        <v>0.0</v>
      </c>
      <c r="Q1227" s="5">
        <v>0.0</v>
      </c>
    </row>
    <row r="1228" outlineLevel="1">
      <c r="B1228" s="0" t="inlineStr">
        <is>
          <t xml:space="preserve">SOUTHERN RESEARCH INSTITUTE</t>
        </is>
      </c>
      <c r="C1228" s="0" t="inlineStr">
        <is>
          <t xml:space="preserve">CDZJAJJHJMH5</t>
        </is>
      </c>
      <c r="D1228" s="0" t="inlineStr">
        <is>
          <t xml:space="preserve">-</t>
        </is>
      </c>
      <c r="E1228" s="0" t="inlineStr">
        <is>
          <t xml:space="preserve">-</t>
        </is>
      </c>
      <c r="F1228" s="0" t="inlineStr">
        <is>
          <t xml:space="preserve">-</t>
        </is>
      </c>
      <c r="G1228" s="5">
        <v>0.23898198</v>
      </c>
      <c r="H1228" s="0" t="inlineStr">
        <is>
          <t xml:space="preserve">supplier</t>
        </is>
      </c>
      <c r="I1228" s="0" t="inlineStr">
        <is>
          <t xml:space="preserve">unbucketed</t>
        </is>
      </c>
      <c r="J1228" s="0" t="inlineStr">
        <is>
          <t xml:space="preserve">residual</t>
        </is>
      </c>
      <c r="K1228" s="5">
        <v>0</v>
      </c>
      <c r="L1228" s="5">
        <v>0</v>
      </c>
      <c r="M1228" s="5">
        <v>0.0</v>
      </c>
      <c r="N1228" s="5">
        <v>0.0</v>
      </c>
      <c r="O1228" s="5">
        <v>0.0</v>
      </c>
      <c r="P1228" s="5">
        <v>0.0</v>
      </c>
      <c r="Q1228" s="5">
        <v>0.0</v>
      </c>
    </row>
    <row r="1229" outlineLevel="1">
      <c r="B1229" s="0" t="inlineStr">
        <is>
          <t xml:space="preserve">VERITAS CAPITAL MANAGEMENT LLC</t>
        </is>
      </c>
      <c r="C1229" s="0" t="inlineStr">
        <is>
          <t xml:space="preserve">D9P7CUAJBG55</t>
        </is>
      </c>
      <c r="D1229" s="0" t="inlineStr">
        <is>
          <t xml:space="preserve">-</t>
        </is>
      </c>
      <c r="E1229" s="0" t="inlineStr">
        <is>
          <t xml:space="preserve">-</t>
        </is>
      </c>
      <c r="F1229" s="0" t="inlineStr">
        <is>
          <t xml:space="preserve">-</t>
        </is>
      </c>
      <c r="G1229" s="5">
        <v>0.23661</v>
      </c>
      <c r="H1229" s="0" t="inlineStr">
        <is>
          <t xml:space="preserve">supplier</t>
        </is>
      </c>
      <c r="I1229" s="0" t="inlineStr">
        <is>
          <t xml:space="preserve">unbucketed</t>
        </is>
      </c>
      <c r="J1229" s="0" t="inlineStr">
        <is>
          <t xml:space="preserve">residual</t>
        </is>
      </c>
      <c r="K1229" s="5">
        <v>0</v>
      </c>
      <c r="L1229" s="5">
        <v>0</v>
      </c>
      <c r="M1229" s="5">
        <v>0.0</v>
      </c>
      <c r="N1229" s="5">
        <v>0.0</v>
      </c>
      <c r="O1229" s="5">
        <v>0.0</v>
      </c>
      <c r="P1229" s="5">
        <v>0.0</v>
      </c>
      <c r="Q1229" s="5">
        <v>0.0</v>
      </c>
    </row>
    <row r="1230" outlineLevel="1">
      <c r="B1230" s="0" t="inlineStr">
        <is>
          <t xml:space="preserve">ADVANCED MARINE PRESERVATION LLC</t>
        </is>
      </c>
      <c r="C1230" s="0" t="inlineStr">
        <is>
          <t xml:space="preserve">J25BBETQML24</t>
        </is>
      </c>
      <c r="D1230" s="0" t="inlineStr">
        <is>
          <t xml:space="preserve">-</t>
        </is>
      </c>
      <c r="E1230" s="0" t="inlineStr">
        <is>
          <t xml:space="preserve">-</t>
        </is>
      </c>
      <c r="F1230" s="0" t="inlineStr">
        <is>
          <t xml:space="preserve">-</t>
        </is>
      </c>
      <c r="G1230" s="5">
        <v>0.23610206</v>
      </c>
      <c r="H1230" s="0" t="inlineStr">
        <is>
          <t xml:space="preserve">supplier</t>
        </is>
      </c>
      <c r="I1230" s="0" t="inlineStr">
        <is>
          <t xml:space="preserve">unbucketed</t>
        </is>
      </c>
      <c r="J1230" s="0" t="inlineStr">
        <is>
          <t xml:space="preserve">residual</t>
        </is>
      </c>
      <c r="K1230" s="5">
        <v>0</v>
      </c>
      <c r="L1230" s="5">
        <v>0</v>
      </c>
      <c r="M1230" s="5">
        <v>0.0</v>
      </c>
      <c r="N1230" s="5">
        <v>0.0</v>
      </c>
      <c r="O1230" s="5">
        <v>0.0</v>
      </c>
      <c r="P1230" s="5">
        <v>0.0</v>
      </c>
      <c r="Q1230" s="5">
        <v>0.0</v>
      </c>
    </row>
    <row r="1231" outlineLevel="1">
      <c r="B1231" s="0" t="inlineStr">
        <is>
          <t xml:space="preserve">HIPK, L.L.C.</t>
        </is>
      </c>
      <c r="C1231" s="0" t="inlineStr">
        <is>
          <t xml:space="preserve">GYF6XRBCDNH1</t>
        </is>
      </c>
      <c r="D1231" s="0" t="inlineStr">
        <is>
          <t xml:space="preserve">-</t>
        </is>
      </c>
      <c r="E1231" s="0" t="inlineStr">
        <is>
          <t xml:space="preserve">-</t>
        </is>
      </c>
      <c r="F1231" s="0" t="inlineStr">
        <is>
          <t xml:space="preserve">-</t>
        </is>
      </c>
      <c r="G1231" s="5">
        <v>0.23539281999999997</v>
      </c>
      <c r="H1231" s="0" t="inlineStr">
        <is>
          <t xml:space="preserve">supplier</t>
        </is>
      </c>
      <c r="I1231" s="0" t="inlineStr">
        <is>
          <t xml:space="preserve">unbucketed</t>
        </is>
      </c>
      <c r="J1231" s="0" t="inlineStr">
        <is>
          <t xml:space="preserve">residual</t>
        </is>
      </c>
      <c r="K1231" s="5">
        <v>0</v>
      </c>
      <c r="L1231" s="5">
        <v>0</v>
      </c>
      <c r="M1231" s="5">
        <v>0.0</v>
      </c>
      <c r="N1231" s="5">
        <v>0.0</v>
      </c>
      <c r="O1231" s="5">
        <v>0.0</v>
      </c>
      <c r="P1231" s="5">
        <v>0.0</v>
      </c>
      <c r="Q1231" s="5">
        <v>0.0</v>
      </c>
    </row>
    <row r="1232" outlineLevel="1">
      <c r="B1232" s="0" t="inlineStr">
        <is>
          <t xml:space="preserve">LAKOTA TECHNICAL SOLUTIONS INC</t>
        </is>
      </c>
      <c r="C1232" s="0" t="inlineStr">
        <is>
          <t xml:space="preserve">RPTWUJFKEG64</t>
        </is>
      </c>
      <c r="D1232" s="0" t="inlineStr">
        <is>
          <t xml:space="preserve">-</t>
        </is>
      </c>
      <c r="E1232" s="0" t="inlineStr">
        <is>
          <t xml:space="preserve">-</t>
        </is>
      </c>
      <c r="F1232" s="0" t="inlineStr">
        <is>
          <t xml:space="preserve">-</t>
        </is>
      </c>
      <c r="G1232" s="5">
        <v>0.23513717</v>
      </c>
      <c r="H1232" s="0" t="inlineStr">
        <is>
          <t xml:space="preserve">supplier</t>
        </is>
      </c>
      <c r="I1232" s="0" t="inlineStr">
        <is>
          <t xml:space="preserve">unbucketed</t>
        </is>
      </c>
      <c r="J1232" s="0" t="inlineStr">
        <is>
          <t xml:space="preserve">residual</t>
        </is>
      </c>
      <c r="K1232" s="5">
        <v>0</v>
      </c>
      <c r="L1232" s="5">
        <v>0</v>
      </c>
      <c r="M1232" s="5">
        <v>0.0</v>
      </c>
      <c r="N1232" s="5">
        <v>0.0</v>
      </c>
      <c r="O1232" s="5">
        <v>0.0</v>
      </c>
      <c r="P1232" s="5">
        <v>0.0</v>
      </c>
      <c r="Q1232" s="5">
        <v>0.0</v>
      </c>
    </row>
    <row r="1233" outlineLevel="1">
      <c r="B1233" s="0" t="inlineStr">
        <is>
          <t xml:space="preserve">REGAL MACHINE, INC.</t>
        </is>
      </c>
      <c r="C1233" s="0" t="inlineStr">
        <is>
          <t xml:space="preserve">SGR5M2YHL6H9</t>
        </is>
      </c>
      <c r="D1233" s="0" t="inlineStr">
        <is>
          <t xml:space="preserve">-</t>
        </is>
      </c>
      <c r="E1233" s="0" t="inlineStr">
        <is>
          <t xml:space="preserve">-</t>
        </is>
      </c>
      <c r="F1233" s="0" t="inlineStr">
        <is>
          <t xml:space="preserve">-</t>
        </is>
      </c>
      <c r="G1233" s="5">
        <v>0.23360264</v>
      </c>
      <c r="H1233" s="0" t="inlineStr">
        <is>
          <t xml:space="preserve">supplier</t>
        </is>
      </c>
      <c r="I1233" s="0" t="inlineStr">
        <is>
          <t xml:space="preserve">unbucketed</t>
        </is>
      </c>
      <c r="J1233" s="0" t="inlineStr">
        <is>
          <t xml:space="preserve">residual</t>
        </is>
      </c>
      <c r="K1233" s="5">
        <v>0</v>
      </c>
      <c r="L1233" s="5">
        <v>0</v>
      </c>
      <c r="M1233" s="5">
        <v>0.0</v>
      </c>
      <c r="N1233" s="5">
        <v>0.0</v>
      </c>
      <c r="O1233" s="5">
        <v>0.0</v>
      </c>
      <c r="P1233" s="5">
        <v>0.0</v>
      </c>
      <c r="Q1233" s="5">
        <v>0.0</v>
      </c>
    </row>
    <row r="1234" outlineLevel="1">
      <c r="B1234" s="0" t="inlineStr">
        <is>
          <t xml:space="preserve">AMPHENOL CORPORATION</t>
        </is>
      </c>
      <c r="C1234" s="0" t="inlineStr">
        <is>
          <t xml:space="preserve">KLTLVDT8DM96</t>
        </is>
      </c>
      <c r="D1234" s="0" t="inlineStr">
        <is>
          <t xml:space="preserve">-</t>
        </is>
      </c>
      <c r="E1234" s="0" t="inlineStr">
        <is>
          <t xml:space="preserve">-</t>
        </is>
      </c>
      <c r="F1234" s="0" t="inlineStr">
        <is>
          <t xml:space="preserve">-</t>
        </is>
      </c>
      <c r="G1234" s="5">
        <v>0.23274792</v>
      </c>
      <c r="H1234" s="0" t="inlineStr">
        <is>
          <t xml:space="preserve">supplier</t>
        </is>
      </c>
      <c r="I1234" s="0" t="inlineStr">
        <is>
          <t xml:space="preserve">electrical</t>
        </is>
      </c>
      <c r="J1234" s="0" t="inlineStr">
        <is>
          <t xml:space="preserve">registry</t>
        </is>
      </c>
      <c r="K1234" s="5">
        <v>0</v>
      </c>
      <c r="L1234" s="5">
        <v>0</v>
      </c>
      <c r="M1234" s="5">
        <v>0.0</v>
      </c>
      <c r="N1234" s="5">
        <v>0.0</v>
      </c>
      <c r="O1234" s="5">
        <v>0.0</v>
      </c>
      <c r="P1234" s="5">
        <v>0.0</v>
      </c>
      <c r="Q1234" s="5">
        <v>0.0</v>
      </c>
    </row>
    <row r="1235" outlineLevel="1">
      <c r="B1235" s="0" t="inlineStr">
        <is>
          <t xml:space="preserve">KINGSBURY INC.</t>
        </is>
      </c>
      <c r="C1235" s="0" t="inlineStr">
        <is>
          <t xml:space="preserve">RMLGMBGNPCC8</t>
        </is>
      </c>
      <c r="D1235" s="0" t="inlineStr">
        <is>
          <t xml:space="preserve">-</t>
        </is>
      </c>
      <c r="E1235" s="0" t="inlineStr">
        <is>
          <t xml:space="preserve">-</t>
        </is>
      </c>
      <c r="F1235" s="0" t="inlineStr">
        <is>
          <t xml:space="preserve">-</t>
        </is>
      </c>
      <c r="G1235" s="5">
        <v>0.23246084000000003</v>
      </c>
      <c r="H1235" s="0" t="inlineStr">
        <is>
          <t xml:space="preserve">supplier</t>
        </is>
      </c>
      <c r="I1235" s="0" t="inlineStr">
        <is>
          <t xml:space="preserve">unbucketed</t>
        </is>
      </c>
      <c r="J1235" s="0" t="inlineStr">
        <is>
          <t xml:space="preserve">residual</t>
        </is>
      </c>
      <c r="K1235" s="5">
        <v>0</v>
      </c>
      <c r="L1235" s="5">
        <v>0</v>
      </c>
      <c r="M1235" s="5">
        <v>0.23246084000000003</v>
      </c>
      <c r="N1235" s="5">
        <v>0.0</v>
      </c>
      <c r="O1235" s="5">
        <v>0.14923339000000002</v>
      </c>
      <c r="P1235" s="5">
        <v>0.0</v>
      </c>
      <c r="Q1235" s="5">
        <v>0.03275545</v>
      </c>
    </row>
    <row r="1236" outlineLevel="1">
      <c r="B1236" s="0" t="inlineStr">
        <is>
          <t xml:space="preserve">ELBIT SYSTEMS LTD</t>
        </is>
      </c>
      <c r="C1236" s="0" t="inlineStr">
        <is>
          <t xml:space="preserve">CYJ3L6SQANB4</t>
        </is>
      </c>
      <c r="D1236" s="0" t="inlineStr">
        <is>
          <t xml:space="preserve">-</t>
        </is>
      </c>
      <c r="E1236" s="0" t="inlineStr">
        <is>
          <t xml:space="preserve">-</t>
        </is>
      </c>
      <c r="F1236" s="0" t="inlineStr">
        <is>
          <t xml:space="preserve">-</t>
        </is>
      </c>
      <c r="G1236" s="5">
        <v>0.23217000000000002</v>
      </c>
      <c r="H1236" s="0" t="inlineStr">
        <is>
          <t xml:space="preserve">supplier</t>
        </is>
      </c>
      <c r="I1236" s="0" t="inlineStr">
        <is>
          <t xml:space="preserve">unbucketed</t>
        </is>
      </c>
      <c r="J1236" s="0" t="inlineStr">
        <is>
          <t xml:space="preserve">residual</t>
        </is>
      </c>
      <c r="K1236" s="5">
        <v>0</v>
      </c>
      <c r="L1236" s="5">
        <v>0</v>
      </c>
      <c r="M1236" s="5">
        <v>0.0</v>
      </c>
      <c r="N1236" s="5">
        <v>0.0</v>
      </c>
      <c r="O1236" s="5">
        <v>0.0</v>
      </c>
      <c r="P1236" s="5">
        <v>0.0</v>
      </c>
      <c r="Q1236" s="5">
        <v>0.0</v>
      </c>
    </row>
    <row r="1237" outlineLevel="1">
      <c r="B1237" s="0" t="inlineStr">
        <is>
          <t xml:space="preserve">NEW ENGLAND DIE CUTTING INC</t>
        </is>
      </c>
      <c r="C1237" s="0" t="inlineStr">
        <is>
          <t xml:space="preserve">PVKMUGUXDAW5</t>
        </is>
      </c>
      <c r="D1237" s="0" t="inlineStr">
        <is>
          <t xml:space="preserve">-</t>
        </is>
      </c>
      <c r="E1237" s="0" t="inlineStr">
        <is>
          <t xml:space="preserve">-</t>
        </is>
      </c>
      <c r="F1237" s="0" t="inlineStr">
        <is>
          <t xml:space="preserve">-</t>
        </is>
      </c>
      <c r="G1237" s="5">
        <v>0.23208600000000001</v>
      </c>
      <c r="H1237" s="0" t="inlineStr">
        <is>
          <t xml:space="preserve">supplier</t>
        </is>
      </c>
      <c r="I1237" s="0" t="inlineStr">
        <is>
          <t xml:space="preserve">unbucketed</t>
        </is>
      </c>
      <c r="J1237" s="0" t="inlineStr">
        <is>
          <t xml:space="preserve">residual</t>
        </is>
      </c>
      <c r="K1237" s="5">
        <v>0</v>
      </c>
      <c r="L1237" s="5">
        <v>0</v>
      </c>
      <c r="M1237" s="5">
        <v>0.0</v>
      </c>
      <c r="N1237" s="5">
        <v>0.0</v>
      </c>
      <c r="O1237" s="5">
        <v>0.0</v>
      </c>
      <c r="P1237" s="5">
        <v>0.0</v>
      </c>
      <c r="Q1237" s="5">
        <v>0.0</v>
      </c>
    </row>
    <row r="1238" outlineLevel="1">
      <c r="B1238" s="0" t="inlineStr">
        <is>
          <t xml:space="preserve">MEGATOR CORPORATION</t>
        </is>
      </c>
      <c r="C1238" s="0" t="inlineStr">
        <is>
          <t xml:space="preserve">J7JGTBNSM619</t>
        </is>
      </c>
      <c r="D1238" s="0" t="inlineStr">
        <is>
          <t xml:space="preserve">-</t>
        </is>
      </c>
      <c r="E1238" s="0" t="inlineStr">
        <is>
          <t xml:space="preserve">-</t>
        </is>
      </c>
      <c r="F1238" s="0" t="inlineStr">
        <is>
          <t xml:space="preserve">-</t>
        </is>
      </c>
      <c r="G1238" s="5">
        <v>0.23068123</v>
      </c>
      <c r="H1238" s="0" t="inlineStr">
        <is>
          <t xml:space="preserve">supplier</t>
        </is>
      </c>
      <c r="I1238" s="0" t="inlineStr">
        <is>
          <t xml:space="preserve">unbucketed</t>
        </is>
      </c>
      <c r="J1238" s="0" t="inlineStr">
        <is>
          <t xml:space="preserve">residual</t>
        </is>
      </c>
      <c r="K1238" s="5">
        <v>0</v>
      </c>
      <c r="L1238" s="5">
        <v>0</v>
      </c>
      <c r="M1238" s="5">
        <v>0.23068123</v>
      </c>
      <c r="N1238" s="5">
        <v>0.0</v>
      </c>
      <c r="O1238" s="5">
        <v>0.0</v>
      </c>
      <c r="P1238" s="5">
        <v>0.0</v>
      </c>
      <c r="Q1238" s="5">
        <v>0.0</v>
      </c>
    </row>
    <row r="1239" outlineLevel="1">
      <c r="B1239" s="0" t="inlineStr">
        <is>
          <t xml:space="preserve">ARNPRIOR RAPID MANUFACTURING SOLUTIONS, INC.</t>
        </is>
      </c>
      <c r="C1239" s="0" t="inlineStr">
        <is>
          <t xml:space="preserve">W8VEAJP8ZNY5</t>
        </is>
      </c>
      <c r="D1239" s="0" t="inlineStr">
        <is>
          <t xml:space="preserve">-</t>
        </is>
      </c>
      <c r="E1239" s="0" t="inlineStr">
        <is>
          <t xml:space="preserve">-</t>
        </is>
      </c>
      <c r="F1239" s="0" t="inlineStr">
        <is>
          <t xml:space="preserve">-</t>
        </is>
      </c>
      <c r="G1239" s="5">
        <v>0.23031216</v>
      </c>
      <c r="H1239" s="0" t="inlineStr">
        <is>
          <t xml:space="preserve">supplier</t>
        </is>
      </c>
      <c r="I1239" s="0" t="inlineStr">
        <is>
          <t xml:space="preserve">unbucketed</t>
        </is>
      </c>
      <c r="J1239" s="0" t="inlineStr">
        <is>
          <t xml:space="preserve">residual</t>
        </is>
      </c>
      <c r="K1239" s="5">
        <v>0</v>
      </c>
      <c r="L1239" s="5">
        <v>0</v>
      </c>
      <c r="M1239" s="5">
        <v>0.0</v>
      </c>
      <c r="N1239" s="5">
        <v>0.0</v>
      </c>
      <c r="O1239" s="5">
        <v>0.0</v>
      </c>
      <c r="P1239" s="5">
        <v>0.0</v>
      </c>
      <c r="Q1239" s="5">
        <v>0.0</v>
      </c>
    </row>
    <row r="1240" outlineLevel="1">
      <c r="B1240" s="0" t="inlineStr">
        <is>
          <t xml:space="preserve">MSA SAFETY SALES, LLC</t>
        </is>
      </c>
      <c r="C1240" s="0" t="inlineStr">
        <is>
          <t xml:space="preserve">EDJPMQN1HSJ1</t>
        </is>
      </c>
      <c r="D1240" s="0" t="inlineStr">
        <is>
          <t xml:space="preserve">-</t>
        </is>
      </c>
      <c r="E1240" s="0" t="inlineStr">
        <is>
          <t xml:space="preserve">-</t>
        </is>
      </c>
      <c r="F1240" s="0" t="inlineStr">
        <is>
          <t xml:space="preserve">-</t>
        </is>
      </c>
      <c r="G1240" s="5">
        <v>0.230218</v>
      </c>
      <c r="H1240" s="0" t="inlineStr">
        <is>
          <t xml:space="preserve">supplier</t>
        </is>
      </c>
      <c r="I1240" s="0" t="inlineStr">
        <is>
          <t xml:space="preserve">unbucketed</t>
        </is>
      </c>
      <c r="J1240" s="0" t="inlineStr">
        <is>
          <t xml:space="preserve">residual</t>
        </is>
      </c>
      <c r="K1240" s="5">
        <v>0</v>
      </c>
      <c r="L1240" s="5">
        <v>0</v>
      </c>
      <c r="M1240" s="5">
        <v>0.230218</v>
      </c>
      <c r="N1240" s="5">
        <v>0.09026</v>
      </c>
      <c r="O1240" s="5">
        <v>0.0</v>
      </c>
      <c r="P1240" s="5">
        <v>0.027442</v>
      </c>
      <c r="Q1240" s="5">
        <v>0.112516</v>
      </c>
    </row>
    <row r="1241" outlineLevel="1">
      <c r="B1241" s="0" t="inlineStr">
        <is>
          <t xml:space="preserve">MISTRAS GROUP INC</t>
        </is>
      </c>
      <c r="C1241" s="0" t="inlineStr">
        <is>
          <t xml:space="preserve">GH1DGHNNHS58</t>
        </is>
      </c>
      <c r="D1241" s="0" t="inlineStr">
        <is>
          <t xml:space="preserve">-</t>
        </is>
      </c>
      <c r="E1241" s="0" t="inlineStr">
        <is>
          <t xml:space="preserve">-</t>
        </is>
      </c>
      <c r="F1241" s="0" t="inlineStr">
        <is>
          <t xml:space="preserve">-</t>
        </is>
      </c>
      <c r="G1241" s="5">
        <v>0.23016140000000002</v>
      </c>
      <c r="H1241" s="0" t="inlineStr">
        <is>
          <t xml:space="preserve">supplier</t>
        </is>
      </c>
      <c r="I1241" s="0" t="inlineStr">
        <is>
          <t xml:space="preserve">unbucketed</t>
        </is>
      </c>
      <c r="J1241" s="0" t="inlineStr">
        <is>
          <t xml:space="preserve">residual</t>
        </is>
      </c>
      <c r="K1241" s="5">
        <v>0</v>
      </c>
      <c r="L1241" s="5">
        <v>0</v>
      </c>
      <c r="M1241" s="5">
        <v>0.0</v>
      </c>
      <c r="N1241" s="5">
        <v>0.0</v>
      </c>
      <c r="O1241" s="5">
        <v>0.0</v>
      </c>
      <c r="P1241" s="5">
        <v>0.0</v>
      </c>
      <c r="Q1241" s="5">
        <v>0.0</v>
      </c>
    </row>
    <row r="1242" outlineLevel="1">
      <c r="B1242" s="0" t="inlineStr">
        <is>
          <t xml:space="preserve">HEILIND MIL-AERO, LLC</t>
        </is>
      </c>
      <c r="C1242" s="0" t="inlineStr">
        <is>
          <t xml:space="preserve">EPK7A98BB4B6</t>
        </is>
      </c>
      <c r="D1242" s="0" t="inlineStr">
        <is>
          <t xml:space="preserve">-</t>
        </is>
      </c>
      <c r="E1242" s="0" t="inlineStr">
        <is>
          <t xml:space="preserve">-</t>
        </is>
      </c>
      <c r="F1242" s="0" t="inlineStr">
        <is>
          <t xml:space="preserve">-</t>
        </is>
      </c>
      <c r="G1242" s="5">
        <v>0.22995808</v>
      </c>
      <c r="H1242" s="0" t="inlineStr">
        <is>
          <t xml:space="preserve">supplier</t>
        </is>
      </c>
      <c r="I1242" s="0" t="inlineStr">
        <is>
          <t xml:space="preserve">unbucketed</t>
        </is>
      </c>
      <c r="J1242" s="0" t="inlineStr">
        <is>
          <t xml:space="preserve">residual</t>
        </is>
      </c>
      <c r="K1242" s="5">
        <v>0</v>
      </c>
      <c r="L1242" s="5">
        <v>0</v>
      </c>
      <c r="M1242" s="5">
        <v>0.0</v>
      </c>
      <c r="N1242" s="5">
        <v>0.0</v>
      </c>
      <c r="O1242" s="5">
        <v>0.0</v>
      </c>
      <c r="P1242" s="5">
        <v>0.0</v>
      </c>
      <c r="Q1242" s="5">
        <v>0.0</v>
      </c>
    </row>
    <row r="1243" outlineLevel="1">
      <c r="B1243" s="0" t="inlineStr">
        <is>
          <t xml:space="preserve">CUBE MOBILE POWER HOLDCO LIMITED</t>
        </is>
      </c>
      <c r="C1243" s="0" t="inlineStr">
        <is>
          <t xml:space="preserve">MC9KZKMUD8F8</t>
        </is>
      </c>
      <c r="D1243" s="0" t="inlineStr">
        <is>
          <t xml:space="preserve">-</t>
        </is>
      </c>
      <c r="E1243" s="0" t="inlineStr">
        <is>
          <t xml:space="preserve">-</t>
        </is>
      </c>
      <c r="F1243" s="0" t="inlineStr">
        <is>
          <t xml:space="preserve">-</t>
        </is>
      </c>
      <c r="G1243" s="5">
        <v>0.22950199999999998</v>
      </c>
      <c r="H1243" s="0" t="inlineStr">
        <is>
          <t xml:space="preserve">supplier</t>
        </is>
      </c>
      <c r="I1243" s="0" t="inlineStr">
        <is>
          <t xml:space="preserve">unbucketed</t>
        </is>
      </c>
      <c r="J1243" s="0" t="inlineStr">
        <is>
          <t xml:space="preserve">residual</t>
        </is>
      </c>
      <c r="K1243" s="5">
        <v>0</v>
      </c>
      <c r="L1243" s="5">
        <v>0</v>
      </c>
      <c r="M1243" s="5">
        <v>0.0</v>
      </c>
      <c r="N1243" s="5">
        <v>0.0</v>
      </c>
      <c r="O1243" s="5">
        <v>0.0</v>
      </c>
      <c r="P1243" s="5">
        <v>0.0</v>
      </c>
      <c r="Q1243" s="5">
        <v>0.0</v>
      </c>
    </row>
    <row r="1244" outlineLevel="1">
      <c r="B1244" s="0" t="inlineStr">
        <is>
          <t xml:space="preserve">TYONEK ENGINEERING &amp; AGILE MANUFACTURING LLC</t>
        </is>
      </c>
      <c r="C1244" s="0" t="inlineStr">
        <is>
          <t xml:space="preserve">RZD8SPH3RR59</t>
        </is>
      </c>
      <c r="D1244" s="0" t="inlineStr">
        <is>
          <t xml:space="preserve">-</t>
        </is>
      </c>
      <c r="E1244" s="0" t="inlineStr">
        <is>
          <t xml:space="preserve">-</t>
        </is>
      </c>
      <c r="F1244" s="0" t="inlineStr">
        <is>
          <t xml:space="preserve">-</t>
        </is>
      </c>
      <c r="G1244" s="5">
        <v>0.22935918</v>
      </c>
      <c r="H1244" s="0" t="inlineStr">
        <is>
          <t xml:space="preserve">supplier</t>
        </is>
      </c>
      <c r="I1244" s="0" t="inlineStr">
        <is>
          <t xml:space="preserve">unbucketed</t>
        </is>
      </c>
      <c r="J1244" s="0" t="inlineStr">
        <is>
          <t xml:space="preserve">residual</t>
        </is>
      </c>
      <c r="K1244" s="5">
        <v>0</v>
      </c>
      <c r="L1244" s="5">
        <v>0</v>
      </c>
      <c r="M1244" s="5">
        <v>0.0</v>
      </c>
      <c r="N1244" s="5">
        <v>0.0</v>
      </c>
      <c r="O1244" s="5">
        <v>0.0</v>
      </c>
      <c r="P1244" s="5">
        <v>0.0</v>
      </c>
      <c r="Q1244" s="5">
        <v>0.0</v>
      </c>
    </row>
    <row r="1245" outlineLevel="1">
      <c r="B1245" s="0" t="inlineStr">
        <is>
          <t xml:space="preserve">HEICO CORPORATION</t>
        </is>
      </c>
      <c r="C1245" s="0" t="inlineStr">
        <is>
          <t xml:space="preserve">DB8KE6KR56J5</t>
        </is>
      </c>
      <c r="D1245" s="0" t="inlineStr">
        <is>
          <t xml:space="preserve">-</t>
        </is>
      </c>
      <c r="E1245" s="0" t="inlineStr">
        <is>
          <t xml:space="preserve">-</t>
        </is>
      </c>
      <c r="F1245" s="0" t="inlineStr">
        <is>
          <t xml:space="preserve">-</t>
        </is>
      </c>
      <c r="G1245" s="5">
        <v>0.22930279999999997</v>
      </c>
      <c r="H1245" s="0" t="inlineStr">
        <is>
          <t xml:space="preserve">supplier</t>
        </is>
      </c>
      <c r="I1245" s="0" t="inlineStr">
        <is>
          <t xml:space="preserve">unbucketed</t>
        </is>
      </c>
      <c r="J1245" s="0" t="inlineStr">
        <is>
          <t xml:space="preserve">residual</t>
        </is>
      </c>
      <c r="K1245" s="5">
        <v>0</v>
      </c>
      <c r="L1245" s="5">
        <v>0</v>
      </c>
      <c r="M1245" s="5">
        <v>0.0</v>
      </c>
      <c r="N1245" s="5">
        <v>0.0</v>
      </c>
      <c r="O1245" s="5">
        <v>0.0</v>
      </c>
      <c r="P1245" s="5">
        <v>0.0</v>
      </c>
      <c r="Q1245" s="5">
        <v>0.0</v>
      </c>
    </row>
    <row r="1246" outlineLevel="1">
      <c r="B1246" s="0" t="inlineStr">
        <is>
          <t xml:space="preserve">UNIFIED2 GLOBAL PACKAGING GROUP LLC</t>
        </is>
      </c>
      <c r="C1246" s="0" t="inlineStr">
        <is>
          <t xml:space="preserve">XBHNYVTCDQH8</t>
        </is>
      </c>
      <c r="D1246" s="0" t="inlineStr">
        <is>
          <t xml:space="preserve">-</t>
        </is>
      </c>
      <c r="E1246" s="0" t="inlineStr">
        <is>
          <t xml:space="preserve">-</t>
        </is>
      </c>
      <c r="F1246" s="0" t="inlineStr">
        <is>
          <t xml:space="preserve">-</t>
        </is>
      </c>
      <c r="G1246" s="5">
        <v>0.226848</v>
      </c>
      <c r="H1246" s="0" t="inlineStr">
        <is>
          <t xml:space="preserve">supplier</t>
        </is>
      </c>
      <c r="I1246" s="0" t="inlineStr">
        <is>
          <t xml:space="preserve">unbucketed</t>
        </is>
      </c>
      <c r="J1246" s="0" t="inlineStr">
        <is>
          <t xml:space="preserve">residual</t>
        </is>
      </c>
      <c r="K1246" s="5">
        <v>0</v>
      </c>
      <c r="L1246" s="5">
        <v>0</v>
      </c>
      <c r="M1246" s="5">
        <v>0.0</v>
      </c>
      <c r="N1246" s="5">
        <v>0.0</v>
      </c>
      <c r="O1246" s="5">
        <v>0.0</v>
      </c>
      <c r="P1246" s="5">
        <v>0.0</v>
      </c>
      <c r="Q1246" s="5">
        <v>0.0</v>
      </c>
    </row>
    <row r="1247" outlineLevel="1">
      <c r="B1247" s="0" t="inlineStr">
        <is>
          <t xml:space="preserve">EPSILON C5I INC</t>
        </is>
      </c>
      <c r="C1247" s="0" t="inlineStr">
        <is>
          <t xml:space="preserve">MYJHF1S2HGV5</t>
        </is>
      </c>
      <c r="D1247" s="0" t="inlineStr">
        <is>
          <t xml:space="preserve">-</t>
        </is>
      </c>
      <c r="E1247" s="0" t="inlineStr">
        <is>
          <t xml:space="preserve">-</t>
        </is>
      </c>
      <c r="F1247" s="0" t="inlineStr">
        <is>
          <t xml:space="preserve">-</t>
        </is>
      </c>
      <c r="G1247" s="5">
        <v>0.22623984000000003</v>
      </c>
      <c r="H1247" s="0" t="inlineStr">
        <is>
          <t xml:space="preserve">supplier</t>
        </is>
      </c>
      <c r="I1247" s="0" t="inlineStr">
        <is>
          <t xml:space="preserve">unbucketed</t>
        </is>
      </c>
      <c r="J1247" s="0" t="inlineStr">
        <is>
          <t xml:space="preserve">residual</t>
        </is>
      </c>
      <c r="K1247" s="5">
        <v>0</v>
      </c>
      <c r="L1247" s="5">
        <v>0</v>
      </c>
      <c r="M1247" s="5">
        <v>0.22623984000000003</v>
      </c>
      <c r="N1247" s="5">
        <v>0.0</v>
      </c>
      <c r="O1247" s="5">
        <v>0.0</v>
      </c>
      <c r="P1247" s="5">
        <v>0.0464279</v>
      </c>
      <c r="Q1247" s="5">
        <v>0.17981194000000003</v>
      </c>
    </row>
    <row r="1248" outlineLevel="1">
      <c r="B1248" s="0" t="inlineStr">
        <is>
          <t xml:space="preserve">FLETCHER CONSTRUCTION CO INC</t>
        </is>
      </c>
      <c r="C1248" s="0" t="inlineStr">
        <is>
          <t xml:space="preserve">JJRDPJY9GQA8</t>
        </is>
      </c>
      <c r="D1248" s="0" t="inlineStr">
        <is>
          <t xml:space="preserve">-</t>
        </is>
      </c>
      <c r="E1248" s="0" t="inlineStr">
        <is>
          <t xml:space="preserve">-</t>
        </is>
      </c>
      <c r="F1248" s="0" t="inlineStr">
        <is>
          <t xml:space="preserve">-</t>
        </is>
      </c>
      <c r="G1248" s="5">
        <v>0.22558939999999997</v>
      </c>
      <c r="H1248" s="0" t="inlineStr">
        <is>
          <t xml:space="preserve">supplier</t>
        </is>
      </c>
      <c r="I1248" s="0" t="inlineStr">
        <is>
          <t xml:space="preserve">unbucketed</t>
        </is>
      </c>
      <c r="J1248" s="0" t="inlineStr">
        <is>
          <t xml:space="preserve">residual</t>
        </is>
      </c>
      <c r="K1248" s="5">
        <v>0</v>
      </c>
      <c r="L1248" s="5">
        <v>0</v>
      </c>
      <c r="M1248" s="5">
        <v>0.22558939999999997</v>
      </c>
      <c r="N1248" s="5">
        <v>0.0</v>
      </c>
      <c r="O1248" s="5">
        <v>0.03241285</v>
      </c>
      <c r="P1248" s="5">
        <v>0.09723855</v>
      </c>
      <c r="Q1248" s="5">
        <v>0.033629</v>
      </c>
    </row>
    <row r="1249" outlineLevel="1">
      <c r="B1249" s="0" t="inlineStr">
        <is>
          <t xml:space="preserve">CATON CONNECTOR CORP.</t>
        </is>
      </c>
      <c r="C1249" s="0" t="inlineStr">
        <is>
          <t xml:space="preserve">YVLFKLNBKKH7</t>
        </is>
      </c>
      <c r="D1249" s="0" t="inlineStr">
        <is>
          <t xml:space="preserve">-</t>
        </is>
      </c>
      <c r="E1249" s="0" t="inlineStr">
        <is>
          <t xml:space="preserve">-</t>
        </is>
      </c>
      <c r="F1249" s="0" t="inlineStr">
        <is>
          <t xml:space="preserve">-</t>
        </is>
      </c>
      <c r="G1249" s="5">
        <v>0.224279</v>
      </c>
      <c r="H1249" s="0" t="inlineStr">
        <is>
          <t xml:space="preserve">supplier</t>
        </is>
      </c>
      <c r="I1249" s="0" t="inlineStr">
        <is>
          <t xml:space="preserve">unbucketed</t>
        </is>
      </c>
      <c r="J1249" s="0" t="inlineStr">
        <is>
          <t xml:space="preserve">residual</t>
        </is>
      </c>
      <c r="K1249" s="5">
        <v>0</v>
      </c>
      <c r="L1249" s="5">
        <v>0</v>
      </c>
      <c r="M1249" s="5">
        <v>0.0</v>
      </c>
      <c r="N1249" s="5">
        <v>0.0</v>
      </c>
      <c r="O1249" s="5">
        <v>0.0</v>
      </c>
      <c r="P1249" s="5">
        <v>0.0</v>
      </c>
      <c r="Q1249" s="5">
        <v>0.0</v>
      </c>
    </row>
    <row r="1250" outlineLevel="1">
      <c r="B1250" s="0" t="inlineStr">
        <is>
          <t xml:space="preserve">SPACE MACHINE &amp; ENGINEERING CORP.</t>
        </is>
      </c>
      <c r="C1250" s="0" t="inlineStr">
        <is>
          <t xml:space="preserve">GN82WS7LRJ77</t>
        </is>
      </c>
      <c r="D1250" s="0" t="inlineStr">
        <is>
          <t xml:space="preserve">-</t>
        </is>
      </c>
      <c r="E1250" s="0" t="inlineStr">
        <is>
          <t xml:space="preserve">-</t>
        </is>
      </c>
      <c r="F1250" s="0" t="inlineStr">
        <is>
          <t xml:space="preserve">-</t>
        </is>
      </c>
      <c r="G1250" s="5">
        <v>0.22316096000000002</v>
      </c>
      <c r="H1250" s="0" t="inlineStr">
        <is>
          <t xml:space="preserve">supplier</t>
        </is>
      </c>
      <c r="I1250" s="0" t="inlineStr">
        <is>
          <t xml:space="preserve">unbucketed</t>
        </is>
      </c>
      <c r="J1250" s="0" t="inlineStr">
        <is>
          <t xml:space="preserve">residual</t>
        </is>
      </c>
      <c r="K1250" s="5">
        <v>0</v>
      </c>
      <c r="L1250" s="5">
        <v>0</v>
      </c>
      <c r="M1250" s="5">
        <v>0.22316096000000002</v>
      </c>
      <c r="N1250" s="5">
        <v>0.066415</v>
      </c>
      <c r="O1250" s="5">
        <v>0.076116</v>
      </c>
      <c r="P1250" s="5">
        <v>0.0</v>
      </c>
      <c r="Q1250" s="5">
        <v>0.08062996</v>
      </c>
    </row>
    <row r="1251" outlineLevel="1">
      <c r="B1251" s="0" t="inlineStr">
        <is>
          <t xml:space="preserve">901 D, LLC</t>
        </is>
      </c>
      <c r="C1251" s="0" t="inlineStr">
        <is>
          <t xml:space="preserve">G319AMB56SW5</t>
        </is>
      </c>
      <c r="D1251" s="0" t="inlineStr">
        <is>
          <t xml:space="preserve">-</t>
        </is>
      </c>
      <c r="E1251" s="0" t="inlineStr">
        <is>
          <t xml:space="preserve">-</t>
        </is>
      </c>
      <c r="F1251" s="0" t="inlineStr">
        <is>
          <t xml:space="preserve">-</t>
        </is>
      </c>
      <c r="G1251" s="5">
        <v>0.22287300000000002</v>
      </c>
      <c r="H1251" s="0" t="inlineStr">
        <is>
          <t xml:space="preserve">supplier</t>
        </is>
      </c>
      <c r="I1251" s="0" t="inlineStr">
        <is>
          <t xml:space="preserve">unbucketed</t>
        </is>
      </c>
      <c r="J1251" s="0" t="inlineStr">
        <is>
          <t xml:space="preserve">residual</t>
        </is>
      </c>
      <c r="K1251" s="5">
        <v>0</v>
      </c>
      <c r="L1251" s="5">
        <v>0</v>
      </c>
      <c r="M1251" s="5">
        <v>0.072858</v>
      </c>
      <c r="N1251" s="5">
        <v>0.0</v>
      </c>
      <c r="O1251" s="5">
        <v>0.072858</v>
      </c>
      <c r="P1251" s="5">
        <v>0.0</v>
      </c>
      <c r="Q1251" s="5">
        <v>0.0</v>
      </c>
    </row>
    <row r="1252" outlineLevel="1">
      <c r="B1252" s="0" t="inlineStr">
        <is>
          <t xml:space="preserve">EXCELITAS TECHNOLOGIES HOLDINGS LLC</t>
        </is>
      </c>
      <c r="C1252" s="0" t="inlineStr">
        <is>
          <t xml:space="preserve">NVV1EURHKTP5</t>
        </is>
      </c>
      <c r="D1252" s="0" t="inlineStr">
        <is>
          <t xml:space="preserve">-</t>
        </is>
      </c>
      <c r="E1252" s="0" t="inlineStr">
        <is>
          <t xml:space="preserve">-</t>
        </is>
      </c>
      <c r="F1252" s="0" t="inlineStr">
        <is>
          <t xml:space="preserve">-</t>
        </is>
      </c>
      <c r="G1252" s="5">
        <v>0.22231342</v>
      </c>
      <c r="H1252" s="0" t="inlineStr">
        <is>
          <t xml:space="preserve">supplier</t>
        </is>
      </c>
      <c r="I1252" s="0" t="inlineStr">
        <is>
          <t xml:space="preserve">unbucketed</t>
        </is>
      </c>
      <c r="J1252" s="0" t="inlineStr">
        <is>
          <t xml:space="preserve">residual</t>
        </is>
      </c>
      <c r="K1252" s="5">
        <v>0</v>
      </c>
      <c r="L1252" s="5">
        <v>0</v>
      </c>
      <c r="M1252" s="5">
        <v>0.0</v>
      </c>
      <c r="N1252" s="5">
        <v>0.0</v>
      </c>
      <c r="O1252" s="5">
        <v>0.0</v>
      </c>
      <c r="P1252" s="5">
        <v>0.0</v>
      </c>
      <c r="Q1252" s="5">
        <v>0.0</v>
      </c>
    </row>
    <row r="1253" outlineLevel="1">
      <c r="B1253" s="0" t="inlineStr">
        <is>
          <t xml:space="preserve">WESTLAND TECHNOLOGIES, INC.</t>
        </is>
      </c>
      <c r="C1253" s="0" t="inlineStr">
        <is>
          <t xml:space="preserve">HMBSX7Z72UK4</t>
        </is>
      </c>
      <c r="D1253" s="0" t="inlineStr">
        <is>
          <t xml:space="preserve">-</t>
        </is>
      </c>
      <c r="E1253" s="0" t="inlineStr">
        <is>
          <t xml:space="preserve">-</t>
        </is>
      </c>
      <c r="F1253" s="0" t="inlineStr">
        <is>
          <t xml:space="preserve">-</t>
        </is>
      </c>
      <c r="G1253" s="5">
        <v>0.22222799999999998</v>
      </c>
      <c r="H1253" s="0" t="inlineStr">
        <is>
          <t xml:space="preserve">supplier</t>
        </is>
      </c>
      <c r="I1253" s="0" t="inlineStr">
        <is>
          <t xml:space="preserve">unbucketed</t>
        </is>
      </c>
      <c r="J1253" s="0" t="inlineStr">
        <is>
          <t xml:space="preserve">residual</t>
        </is>
      </c>
      <c r="K1253" s="5">
        <v>0</v>
      </c>
      <c r="L1253" s="5">
        <v>0</v>
      </c>
      <c r="M1253" s="5">
        <v>0.22222799999999998</v>
      </c>
      <c r="N1253" s="5">
        <v>0.0</v>
      </c>
      <c r="O1253" s="5">
        <v>0.0</v>
      </c>
      <c r="P1253" s="5">
        <v>0.0</v>
      </c>
      <c r="Q1253" s="5">
        <v>0.0</v>
      </c>
    </row>
    <row r="1254" outlineLevel="1">
      <c r="B1254" s="0" t="inlineStr">
        <is>
          <t xml:space="preserve">PLAINVILLE ELECTRICAL PRODUCTS COMPANY, THE</t>
        </is>
      </c>
      <c r="C1254" s="0" t="inlineStr">
        <is>
          <t xml:space="preserve">WVW5FMYALEL6</t>
        </is>
      </c>
      <c r="D1254" s="0" t="inlineStr">
        <is>
          <t xml:space="preserve">-</t>
        </is>
      </c>
      <c r="E1254" s="0" t="inlineStr">
        <is>
          <t xml:space="preserve">-</t>
        </is>
      </c>
      <c r="F1254" s="0" t="inlineStr">
        <is>
          <t xml:space="preserve">-</t>
        </is>
      </c>
      <c r="G1254" s="5">
        <v>0.22171412000000001</v>
      </c>
      <c r="H1254" s="0" t="inlineStr">
        <is>
          <t xml:space="preserve">supplier</t>
        </is>
      </c>
      <c r="I1254" s="0" t="inlineStr">
        <is>
          <t xml:space="preserve">electrical</t>
        </is>
      </c>
      <c r="J1254" s="0" t="inlineStr">
        <is>
          <t xml:space="preserve">registry</t>
        </is>
      </c>
      <c r="K1254" s="5">
        <v>0</v>
      </c>
      <c r="L1254" s="5">
        <v>0</v>
      </c>
      <c r="M1254" s="5">
        <v>0.22171412000000001</v>
      </c>
      <c r="N1254" s="5">
        <v>0.0</v>
      </c>
      <c r="O1254" s="5">
        <v>0.0</v>
      </c>
      <c r="P1254" s="5">
        <v>0.0</v>
      </c>
      <c r="Q1254" s="5">
        <v>0.0</v>
      </c>
    </row>
    <row r="1255" outlineLevel="1">
      <c r="B1255" s="0" t="inlineStr">
        <is>
          <t xml:space="preserve">ITT INC.</t>
        </is>
      </c>
      <c r="C1255" s="0" t="inlineStr">
        <is>
          <t xml:space="preserve">LYDRWR6ML2U7</t>
        </is>
      </c>
      <c r="D1255" s="0" t="inlineStr">
        <is>
          <t xml:space="preserve">-</t>
        </is>
      </c>
      <c r="E1255" s="0" t="inlineStr">
        <is>
          <t xml:space="preserve">-</t>
        </is>
      </c>
      <c r="F1255" s="0" t="inlineStr">
        <is>
          <t xml:space="preserve">-</t>
        </is>
      </c>
      <c r="G1255" s="5">
        <v>0.22165417</v>
      </c>
      <c r="H1255" s="0" t="inlineStr">
        <is>
          <t xml:space="preserve">supplier</t>
        </is>
      </c>
      <c r="I1255" s="0" t="inlineStr">
        <is>
          <t xml:space="preserve">unbucketed</t>
        </is>
      </c>
      <c r="J1255" s="0" t="inlineStr">
        <is>
          <t xml:space="preserve">residual</t>
        </is>
      </c>
      <c r="K1255" s="5">
        <v>0</v>
      </c>
      <c r="L1255" s="5">
        <v>0</v>
      </c>
      <c r="M1255" s="5">
        <v>0.0</v>
      </c>
      <c r="N1255" s="5">
        <v>0.0</v>
      </c>
      <c r="O1255" s="5">
        <v>0.0</v>
      </c>
      <c r="P1255" s="5">
        <v>0.0</v>
      </c>
      <c r="Q1255" s="5">
        <v>0.0</v>
      </c>
    </row>
    <row r="1256" outlineLevel="1">
      <c r="B1256" s="0" t="inlineStr">
        <is>
          <t xml:space="preserve">BISCO INDUSTRIES, INC.</t>
        </is>
      </c>
      <c r="C1256" s="0" t="inlineStr">
        <is>
          <t xml:space="preserve">TAHNTWE2BVN1</t>
        </is>
      </c>
      <c r="D1256" s="0" t="inlineStr">
        <is>
          <t xml:space="preserve">-</t>
        </is>
      </c>
      <c r="E1256" s="0" t="inlineStr">
        <is>
          <t xml:space="preserve">-</t>
        </is>
      </c>
      <c r="F1256" s="0" t="inlineStr">
        <is>
          <t xml:space="preserve">-</t>
        </is>
      </c>
      <c r="G1256" s="5">
        <v>0.221258</v>
      </c>
      <c r="H1256" s="0" t="inlineStr">
        <is>
          <t xml:space="preserve">supplier</t>
        </is>
      </c>
      <c r="I1256" s="0" t="inlineStr">
        <is>
          <t xml:space="preserve">unbucketed</t>
        </is>
      </c>
      <c r="J1256" s="0" t="inlineStr">
        <is>
          <t xml:space="preserve">residual</t>
        </is>
      </c>
      <c r="K1256" s="5">
        <v>0</v>
      </c>
      <c r="L1256" s="5">
        <v>0</v>
      </c>
      <c r="M1256" s="5">
        <v>0.0</v>
      </c>
      <c r="N1256" s="5">
        <v>0.0</v>
      </c>
      <c r="O1256" s="5">
        <v>0.0</v>
      </c>
      <c r="P1256" s="5">
        <v>0.0</v>
      </c>
      <c r="Q1256" s="5">
        <v>0.0</v>
      </c>
    </row>
    <row r="1257" outlineLevel="1">
      <c r="B1257" s="0" t="inlineStr">
        <is>
          <t xml:space="preserve">MU-DEL ELECTRONICS LLC</t>
        </is>
      </c>
      <c r="C1257" s="0" t="inlineStr">
        <is>
          <t xml:space="preserve">NGHWB3UFBDZ3</t>
        </is>
      </c>
      <c r="D1257" s="0" t="inlineStr">
        <is>
          <t xml:space="preserve">-</t>
        </is>
      </c>
      <c r="E1257" s="0" t="inlineStr">
        <is>
          <t xml:space="preserve">-</t>
        </is>
      </c>
      <c r="F1257" s="0" t="inlineStr">
        <is>
          <t xml:space="preserve">-</t>
        </is>
      </c>
      <c r="G1257" s="5">
        <v>0.2212</v>
      </c>
      <c r="H1257" s="0" t="inlineStr">
        <is>
          <t xml:space="preserve">supplier</t>
        </is>
      </c>
      <c r="I1257" s="0" t="inlineStr">
        <is>
          <t xml:space="preserve">unbucketed</t>
        </is>
      </c>
      <c r="J1257" s="0" t="inlineStr">
        <is>
          <t xml:space="preserve">residual</t>
        </is>
      </c>
      <c r="K1257" s="5">
        <v>0</v>
      </c>
      <c r="L1257" s="5">
        <v>0</v>
      </c>
      <c r="M1257" s="5">
        <v>0.0</v>
      </c>
      <c r="N1257" s="5">
        <v>0.0</v>
      </c>
      <c r="O1257" s="5">
        <v>0.0</v>
      </c>
      <c r="P1257" s="5">
        <v>0.0</v>
      </c>
      <c r="Q1257" s="5">
        <v>0.0</v>
      </c>
    </row>
    <row r="1258" outlineLevel="1">
      <c r="B1258" s="0" t="inlineStr">
        <is>
          <t xml:space="preserve">DRS NAVAL POWER SYSTEMS, INC.</t>
        </is>
      </c>
      <c r="C1258" s="0" t="inlineStr">
        <is>
          <t xml:space="preserve">YYVHWZMPP3F8</t>
        </is>
      </c>
      <c r="D1258" s="0" t="inlineStr">
        <is>
          <t xml:space="preserve">-</t>
        </is>
      </c>
      <c r="E1258" s="0" t="inlineStr">
        <is>
          <t xml:space="preserve">-</t>
        </is>
      </c>
      <c r="F1258" s="0" t="inlineStr">
        <is>
          <t xml:space="preserve">-</t>
        </is>
      </c>
      <c r="G1258" s="5">
        <v>0.221185</v>
      </c>
      <c r="H1258" s="0" t="inlineStr">
        <is>
          <t xml:space="preserve">supplier</t>
        </is>
      </c>
      <c r="I1258" s="0" t="inlineStr">
        <is>
          <t xml:space="preserve">electrical</t>
        </is>
      </c>
      <c r="J1258" s="0" t="inlineStr">
        <is>
          <t xml:space="preserve">vendor-override</t>
        </is>
      </c>
      <c r="K1258" s="5">
        <v>0</v>
      </c>
      <c r="L1258" s="5">
        <v>0</v>
      </c>
      <c r="M1258" s="5">
        <v>0.221185</v>
      </c>
      <c r="N1258" s="5">
        <v>0.221185</v>
      </c>
      <c r="O1258" s="5">
        <v>0.0</v>
      </c>
      <c r="P1258" s="5">
        <v>0.0</v>
      </c>
      <c r="Q1258" s="5">
        <v>0.0</v>
      </c>
    </row>
    <row r="1259" outlineLevel="1">
      <c r="B1259" s="0" t="inlineStr">
        <is>
          <t xml:space="preserve">STAR LAB CORP</t>
        </is>
      </c>
      <c r="C1259" s="0" t="inlineStr">
        <is>
          <t xml:space="preserve">UADFAUDS5Q14</t>
        </is>
      </c>
      <c r="D1259" s="0" t="inlineStr">
        <is>
          <t xml:space="preserve">-</t>
        </is>
      </c>
      <c r="E1259" s="0" t="inlineStr">
        <is>
          <t xml:space="preserve">-</t>
        </is>
      </c>
      <c r="F1259" s="0" t="inlineStr">
        <is>
          <t xml:space="preserve">-</t>
        </is>
      </c>
      <c r="G1259" s="5">
        <v>0.22</v>
      </c>
      <c r="H1259" s="0" t="inlineStr">
        <is>
          <t xml:space="preserve">supplier</t>
        </is>
      </c>
      <c r="I1259" s="0" t="inlineStr">
        <is>
          <t xml:space="preserve">unbucketed</t>
        </is>
      </c>
      <c r="J1259" s="0" t="inlineStr">
        <is>
          <t xml:space="preserve">residual</t>
        </is>
      </c>
      <c r="K1259" s="5">
        <v>0</v>
      </c>
      <c r="L1259" s="5">
        <v>0</v>
      </c>
      <c r="M1259" s="5">
        <v>0.0</v>
      </c>
      <c r="N1259" s="5">
        <v>0.0</v>
      </c>
      <c r="O1259" s="5">
        <v>0.0</v>
      </c>
      <c r="P1259" s="5">
        <v>0.0</v>
      </c>
      <c r="Q1259" s="5">
        <v>0.0</v>
      </c>
    </row>
    <row r="1260" outlineLevel="1">
      <c r="B1260" s="0" t="inlineStr">
        <is>
          <t xml:space="preserve">EAGLE TOOL &amp; DESIGN, INC.</t>
        </is>
      </c>
      <c r="C1260" s="0" t="inlineStr">
        <is>
          <t xml:space="preserve">Q4LKTEKK7577</t>
        </is>
      </c>
      <c r="D1260" s="0" t="inlineStr">
        <is>
          <t xml:space="preserve">-</t>
        </is>
      </c>
      <c r="E1260" s="0" t="inlineStr">
        <is>
          <t xml:space="preserve">-</t>
        </is>
      </c>
      <c r="F1260" s="0" t="inlineStr">
        <is>
          <t xml:space="preserve">-</t>
        </is>
      </c>
      <c r="G1260" s="5">
        <v>0.21986257999999997</v>
      </c>
      <c r="H1260" s="0" t="inlineStr">
        <is>
          <t xml:space="preserve">supplier</t>
        </is>
      </c>
      <c r="I1260" s="0" t="inlineStr">
        <is>
          <t xml:space="preserve">unbucketed</t>
        </is>
      </c>
      <c r="J1260" s="0" t="inlineStr">
        <is>
          <t xml:space="preserve">residual</t>
        </is>
      </c>
      <c r="K1260" s="5">
        <v>0</v>
      </c>
      <c r="L1260" s="5">
        <v>0</v>
      </c>
      <c r="M1260" s="5">
        <v>0.0</v>
      </c>
      <c r="N1260" s="5">
        <v>0.0</v>
      </c>
      <c r="O1260" s="5">
        <v>0.0</v>
      </c>
      <c r="P1260" s="5">
        <v>0.0</v>
      </c>
      <c r="Q1260" s="5">
        <v>0.0</v>
      </c>
    </row>
    <row r="1261" outlineLevel="1">
      <c r="B1261" s="0" t="inlineStr">
        <is>
          <t xml:space="preserve">OAKTREE CAPITAL GROUP HOLDINGS, L.P.</t>
        </is>
      </c>
      <c r="C1261" s="0" t="inlineStr">
        <is>
          <t xml:space="preserve">KNJ1EQ8L47U3</t>
        </is>
      </c>
      <c r="D1261" s="0" t="inlineStr">
        <is>
          <t xml:space="preserve">-</t>
        </is>
      </c>
      <c r="E1261" s="0" t="inlineStr">
        <is>
          <t xml:space="preserve">-</t>
        </is>
      </c>
      <c r="F1261" s="0" t="inlineStr">
        <is>
          <t xml:space="preserve">-</t>
        </is>
      </c>
      <c r="G1261" s="5">
        <v>0.21943</v>
      </c>
      <c r="H1261" s="0" t="inlineStr">
        <is>
          <t xml:space="preserve">supplier</t>
        </is>
      </c>
      <c r="I1261" s="0" t="inlineStr">
        <is>
          <t xml:space="preserve">unbucketed</t>
        </is>
      </c>
      <c r="J1261" s="0" t="inlineStr">
        <is>
          <t xml:space="preserve">residual</t>
        </is>
      </c>
      <c r="K1261" s="5">
        <v>0</v>
      </c>
      <c r="L1261" s="5">
        <v>0</v>
      </c>
      <c r="M1261" s="5">
        <v>0.0</v>
      </c>
      <c r="N1261" s="5">
        <v>0.0</v>
      </c>
      <c r="O1261" s="5">
        <v>0.0</v>
      </c>
      <c r="P1261" s="5">
        <v>0.0</v>
      </c>
      <c r="Q1261" s="5">
        <v>0.0</v>
      </c>
    </row>
    <row r="1262" outlineLevel="1">
      <c r="B1262" s="0" t="inlineStr">
        <is>
          <t xml:space="preserve">IN-PLACE MACHINING COMPANY, LLC</t>
        </is>
      </c>
      <c r="C1262" s="0" t="inlineStr">
        <is>
          <t xml:space="preserve">KWHXKLAL87T5</t>
        </is>
      </c>
      <c r="D1262" s="0" t="inlineStr">
        <is>
          <t xml:space="preserve">-</t>
        </is>
      </c>
      <c r="E1262" s="0" t="inlineStr">
        <is>
          <t xml:space="preserve">-</t>
        </is>
      </c>
      <c r="F1262" s="0" t="inlineStr">
        <is>
          <t xml:space="preserve">-</t>
        </is>
      </c>
      <c r="G1262" s="5">
        <v>0.218404</v>
      </c>
      <c r="H1262" s="0" t="inlineStr">
        <is>
          <t xml:space="preserve">supplier</t>
        </is>
      </c>
      <c r="I1262" s="0" t="inlineStr">
        <is>
          <t xml:space="preserve">unbucketed</t>
        </is>
      </c>
      <c r="J1262" s="0" t="inlineStr">
        <is>
          <t xml:space="preserve">residual</t>
        </is>
      </c>
      <c r="K1262" s="5">
        <v>0</v>
      </c>
      <c r="L1262" s="5">
        <v>0</v>
      </c>
      <c r="M1262" s="5">
        <v>0.091173</v>
      </c>
      <c r="N1262" s="5">
        <v>0.0</v>
      </c>
      <c r="O1262" s="5">
        <v>0.0</v>
      </c>
      <c r="P1262" s="5">
        <v>0.091173</v>
      </c>
      <c r="Q1262" s="5">
        <v>0.0</v>
      </c>
    </row>
    <row r="1263" outlineLevel="1">
      <c r="B1263" s="0" t="inlineStr">
        <is>
          <t xml:space="preserve">ADCOR INDUSTRIES, INC.</t>
        </is>
      </c>
      <c r="C1263" s="0" t="inlineStr">
        <is>
          <t xml:space="preserve">NF1ML95JY8B3</t>
        </is>
      </c>
      <c r="D1263" s="0" t="inlineStr">
        <is>
          <t xml:space="preserve">-</t>
        </is>
      </c>
      <c r="E1263" s="0" t="inlineStr">
        <is>
          <t xml:space="preserve">-</t>
        </is>
      </c>
      <c r="F1263" s="0" t="inlineStr">
        <is>
          <t xml:space="preserve">-</t>
        </is>
      </c>
      <c r="G1263" s="5">
        <v>0.21765392</v>
      </c>
      <c r="H1263" s="0" t="inlineStr">
        <is>
          <t xml:space="preserve">supplier</t>
        </is>
      </c>
      <c r="I1263" s="0" t="inlineStr">
        <is>
          <t xml:space="preserve">unbucketed</t>
        </is>
      </c>
      <c r="J1263" s="0" t="inlineStr">
        <is>
          <t xml:space="preserve">residual</t>
        </is>
      </c>
      <c r="K1263" s="5">
        <v>0</v>
      </c>
      <c r="L1263" s="5">
        <v>0</v>
      </c>
      <c r="M1263" s="5">
        <v>0.0</v>
      </c>
      <c r="N1263" s="5">
        <v>0.0</v>
      </c>
      <c r="O1263" s="5">
        <v>0.0</v>
      </c>
      <c r="P1263" s="5">
        <v>0.0</v>
      </c>
      <c r="Q1263" s="5">
        <v>0.0</v>
      </c>
    </row>
    <row r="1264" outlineLevel="1">
      <c r="B1264" s="0" t="inlineStr">
        <is>
          <t xml:space="preserve">CENTRAL PRECISION, INC.</t>
        </is>
      </c>
      <c r="C1264" s="0" t="inlineStr">
        <is>
          <t xml:space="preserve">SR3LHBBRZ6Q1</t>
        </is>
      </c>
      <c r="D1264" s="0" t="inlineStr">
        <is>
          <t xml:space="preserve">-</t>
        </is>
      </c>
      <c r="E1264" s="0" t="inlineStr">
        <is>
          <t xml:space="preserve">-</t>
        </is>
      </c>
      <c r="F1264" s="0" t="inlineStr">
        <is>
          <t xml:space="preserve">-</t>
        </is>
      </c>
      <c r="G1264" s="5">
        <v>0.21639799999999998</v>
      </c>
      <c r="H1264" s="0" t="inlineStr">
        <is>
          <t xml:space="preserve">supplier</t>
        </is>
      </c>
      <c r="I1264" s="0" t="inlineStr">
        <is>
          <t xml:space="preserve">unbucketed</t>
        </is>
      </c>
      <c r="J1264" s="0" t="inlineStr">
        <is>
          <t xml:space="preserve">residual</t>
        </is>
      </c>
      <c r="K1264" s="5">
        <v>0</v>
      </c>
      <c r="L1264" s="5">
        <v>0</v>
      </c>
      <c r="M1264" s="5">
        <v>0.0</v>
      </c>
      <c r="N1264" s="5">
        <v>0.0</v>
      </c>
      <c r="O1264" s="5">
        <v>0.0</v>
      </c>
      <c r="P1264" s="5">
        <v>0.0</v>
      </c>
      <c r="Q1264" s="5">
        <v>0.0</v>
      </c>
    </row>
    <row r="1265" outlineLevel="1">
      <c r="B1265" s="0" t="inlineStr">
        <is>
          <t xml:space="preserve">QUALITY PERFORMANCE, INC.</t>
        </is>
      </c>
      <c r="C1265" s="0" t="inlineStr">
        <is>
          <t xml:space="preserve">NBM4G4SAFQM3</t>
        </is>
      </c>
      <c r="D1265" s="0" t="inlineStr">
        <is>
          <t xml:space="preserve">-</t>
        </is>
      </c>
      <c r="E1265" s="0" t="inlineStr">
        <is>
          <t xml:space="preserve">-</t>
        </is>
      </c>
      <c r="F1265" s="0" t="inlineStr">
        <is>
          <t xml:space="preserve">-</t>
        </is>
      </c>
      <c r="G1265" s="5">
        <v>0.215976</v>
      </c>
      <c r="H1265" s="0" t="inlineStr">
        <is>
          <t xml:space="preserve">supplier</t>
        </is>
      </c>
      <c r="I1265" s="0" t="inlineStr">
        <is>
          <t xml:space="preserve">unbucketed</t>
        </is>
      </c>
      <c r="J1265" s="0" t="inlineStr">
        <is>
          <t xml:space="preserve">residual</t>
        </is>
      </c>
      <c r="K1265" s="5">
        <v>0</v>
      </c>
      <c r="L1265" s="5">
        <v>0</v>
      </c>
      <c r="M1265" s="5">
        <v>0.215976</v>
      </c>
      <c r="N1265" s="5">
        <v>0.0</v>
      </c>
      <c r="O1265" s="5">
        <v>0.0</v>
      </c>
      <c r="P1265" s="5">
        <v>0.0</v>
      </c>
      <c r="Q1265" s="5">
        <v>0.0</v>
      </c>
    </row>
    <row r="1266" outlineLevel="1">
      <c r="B1266" s="0" t="inlineStr">
        <is>
          <t xml:space="preserve">PRIME TIME COATINGS INC</t>
        </is>
      </c>
      <c r="C1266" s="0" t="inlineStr">
        <is>
          <t xml:space="preserve">RKXSWB6ETDJ3</t>
        </is>
      </c>
      <c r="D1266" s="0" t="inlineStr">
        <is>
          <t xml:space="preserve">-</t>
        </is>
      </c>
      <c r="E1266" s="0" t="inlineStr">
        <is>
          <t xml:space="preserve">-</t>
        </is>
      </c>
      <c r="F1266" s="0" t="inlineStr">
        <is>
          <t xml:space="preserve">-</t>
        </is>
      </c>
      <c r="G1266" s="5">
        <v>0.215785</v>
      </c>
      <c r="H1266" s="0" t="inlineStr">
        <is>
          <t xml:space="preserve">supplier</t>
        </is>
      </c>
      <c r="I1266" s="0" t="inlineStr">
        <is>
          <t xml:space="preserve">unbucketed</t>
        </is>
      </c>
      <c r="J1266" s="0" t="inlineStr">
        <is>
          <t xml:space="preserve">residual</t>
        </is>
      </c>
      <c r="K1266" s="5">
        <v>0</v>
      </c>
      <c r="L1266" s="5">
        <v>0</v>
      </c>
      <c r="M1266" s="5">
        <v>0.0</v>
      </c>
      <c r="N1266" s="5">
        <v>0.0</v>
      </c>
      <c r="O1266" s="5">
        <v>0.0</v>
      </c>
      <c r="P1266" s="5">
        <v>0.0</v>
      </c>
      <c r="Q1266" s="5">
        <v>0.0</v>
      </c>
    </row>
    <row r="1267" outlineLevel="1">
      <c r="B1267" s="0" t="inlineStr">
        <is>
          <t xml:space="preserve">L3 TECHNOLOGIES, INC.</t>
        </is>
      </c>
      <c r="C1267" s="0" t="inlineStr">
        <is>
          <t xml:space="preserve">FG7CGCHSNML9</t>
        </is>
      </c>
      <c r="D1267" s="0" t="inlineStr">
        <is>
          <t xml:space="preserve">USA</t>
        </is>
      </c>
      <c r="E1267" s="0" t="inlineStr">
        <is>
          <t xml:space="preserve">3345</t>
        </is>
      </c>
      <c r="F1267" s="0" t="inlineStr">
        <is>
          <t xml:space="preserve">Search, Detection, Navigation, Guidance, Aeronautical, and Nautical System and Instrument Manufacturing</t>
        </is>
      </c>
      <c r="G1267" s="5">
        <v>0.2157</v>
      </c>
      <c r="H1267" s="0" t="inlineStr">
        <is>
          <t xml:space="preserve">supplier</t>
        </is>
      </c>
      <c r="I1267" s="0" t="inlineStr">
        <is>
          <t xml:space="preserve">unbucketed</t>
        </is>
      </c>
      <c r="J1267" s="0" t="inlineStr">
        <is>
          <t xml:space="preserve">residual</t>
        </is>
      </c>
      <c r="K1267" s="5">
        <v>0</v>
      </c>
      <c r="L1267" s="5">
        <v>0</v>
      </c>
      <c r="M1267" s="5">
        <v>0.2157</v>
      </c>
      <c r="N1267" s="5">
        <v>0.0</v>
      </c>
      <c r="O1267" s="5">
        <v>0.0</v>
      </c>
      <c r="P1267" s="5">
        <v>0.0</v>
      </c>
      <c r="Q1267" s="5">
        <v>0.0</v>
      </c>
    </row>
    <row r="1268" outlineLevel="1">
      <c r="B1268" s="0" t="inlineStr">
        <is>
          <t xml:space="preserve">L3 TECHNOLOGIES, INC.</t>
        </is>
      </c>
      <c r="C1268" s="0" t="inlineStr">
        <is>
          <t xml:space="preserve">WPP2ABN6UCF5</t>
        </is>
      </c>
      <c r="D1268" s="0" t="inlineStr">
        <is>
          <t xml:space="preserve">USA</t>
        </is>
      </c>
      <c r="E1268" s="0" t="inlineStr">
        <is>
          <t xml:space="preserve">3345</t>
        </is>
      </c>
      <c r="F1268" s="0" t="inlineStr">
        <is>
          <t xml:space="preserve">Search, Detection, Navigation, Guidance, Aeronautical, and Nautical System and Instrument Manufacturing</t>
        </is>
      </c>
      <c r="G1268" s="5">
        <v>0.21447099999999997</v>
      </c>
      <c r="H1268" s="0" t="inlineStr">
        <is>
          <t xml:space="preserve">supplier</t>
        </is>
      </c>
      <c r="I1268" s="0" t="inlineStr">
        <is>
          <t xml:space="preserve">unbucketed</t>
        </is>
      </c>
      <c r="J1268" s="0" t="inlineStr">
        <is>
          <t xml:space="preserve">residual</t>
        </is>
      </c>
      <c r="K1268" s="5">
        <v>0</v>
      </c>
      <c r="L1268" s="5">
        <v>0</v>
      </c>
      <c r="M1268" s="5">
        <v>0.21447099999999997</v>
      </c>
      <c r="N1268" s="5">
        <v>0.0</v>
      </c>
      <c r="O1268" s="5">
        <v>0.0</v>
      </c>
      <c r="P1268" s="5">
        <v>0.0</v>
      </c>
      <c r="Q1268" s="5">
        <v>0.0</v>
      </c>
    </row>
    <row r="1269" outlineLevel="1">
      <c r="B1269" s="0" t="inlineStr">
        <is>
          <t xml:space="preserve">HABERMAN MACHINE, INC</t>
        </is>
      </c>
      <c r="C1269" s="0" t="inlineStr">
        <is>
          <t xml:space="preserve">D49RVJRMCSJ8</t>
        </is>
      </c>
      <c r="D1269" s="0" t="inlineStr">
        <is>
          <t xml:space="preserve">-</t>
        </is>
      </c>
      <c r="E1269" s="0" t="inlineStr">
        <is>
          <t xml:space="preserve">-</t>
        </is>
      </c>
      <c r="F1269" s="0" t="inlineStr">
        <is>
          <t xml:space="preserve">-</t>
        </is>
      </c>
      <c r="G1269" s="5">
        <v>0.21368585</v>
      </c>
      <c r="H1269" s="0" t="inlineStr">
        <is>
          <t xml:space="preserve">supplier</t>
        </is>
      </c>
      <c r="I1269" s="0" t="inlineStr">
        <is>
          <t xml:space="preserve">unbucketed</t>
        </is>
      </c>
      <c r="J1269" s="0" t="inlineStr">
        <is>
          <t xml:space="preserve">residual</t>
        </is>
      </c>
      <c r="K1269" s="5">
        <v>0</v>
      </c>
      <c r="L1269" s="5">
        <v>0</v>
      </c>
      <c r="M1269" s="5">
        <v>0.0</v>
      </c>
      <c r="N1269" s="5">
        <v>0.0</v>
      </c>
      <c r="O1269" s="5">
        <v>0.0</v>
      </c>
      <c r="P1269" s="5">
        <v>0.0</v>
      </c>
      <c r="Q1269" s="5">
        <v>0.0</v>
      </c>
    </row>
    <row r="1270" outlineLevel="1">
      <c r="B1270" s="0" t="inlineStr">
        <is>
          <t xml:space="preserve">L3HARRIS TECHNOLOGIES, INC.</t>
        </is>
      </c>
      <c r="C1270" s="0" t="inlineStr">
        <is>
          <t xml:space="preserve">L7ANNBW48JZ9</t>
        </is>
      </c>
      <c r="D1270" s="0" t="inlineStr">
        <is>
          <t xml:space="preserve">USA</t>
        </is>
      </c>
      <c r="E1270" s="0" t="inlineStr">
        <is>
          <t xml:space="preserve">3345</t>
        </is>
      </c>
      <c r="F1270" s="0" t="inlineStr">
        <is>
          <t xml:space="preserve">Search, Detection, Navigation, Guidance, Aeronautical, and Nautical System and Instrument Manufacturing</t>
        </is>
      </c>
      <c r="G1270" s="5">
        <v>0.21260700000000002</v>
      </c>
      <c r="H1270" s="0" t="inlineStr">
        <is>
          <t xml:space="preserve">gfe_mib</t>
        </is>
      </c>
      <c r="I1270" s="0" t="inlineStr">
        <is>
          <t xml:space="preserve">-</t>
        </is>
      </c>
      <c r="J1270" s="0" t="inlineStr">
        <is>
          <t xml:space="preserve">GFE/MIB name</t>
        </is>
      </c>
      <c r="K1270" s="5">
        <v>0</v>
      </c>
      <c r="L1270" s="5">
        <v>0</v>
      </c>
      <c r="M1270" s="5">
        <v>0.0</v>
      </c>
      <c r="N1270" s="5">
        <v>0.0</v>
      </c>
      <c r="O1270" s="5">
        <v>0.0</v>
      </c>
      <c r="P1270" s="5">
        <v>0.0</v>
      </c>
      <c r="Q1270" s="5">
        <v>0.0</v>
      </c>
    </row>
    <row r="1271" outlineLevel="1">
      <c r="B1271" s="0" t="inlineStr">
        <is>
          <t xml:space="preserve">PAS TECHNOLOGIES INC</t>
        </is>
      </c>
      <c r="C1271" s="0" t="inlineStr">
        <is>
          <t xml:space="preserve">RXHDLA6UJ8N9</t>
        </is>
      </c>
      <c r="D1271" s="0" t="inlineStr">
        <is>
          <t xml:space="preserve">-</t>
        </is>
      </c>
      <c r="E1271" s="0" t="inlineStr">
        <is>
          <t xml:space="preserve">-</t>
        </is>
      </c>
      <c r="F1271" s="0" t="inlineStr">
        <is>
          <t xml:space="preserve">-</t>
        </is>
      </c>
      <c r="G1271" s="5">
        <v>0.2105338</v>
      </c>
      <c r="H1271" s="0" t="inlineStr">
        <is>
          <t xml:space="preserve">supplier</t>
        </is>
      </c>
      <c r="I1271" s="0" t="inlineStr">
        <is>
          <t xml:space="preserve">unbucketed</t>
        </is>
      </c>
      <c r="J1271" s="0" t="inlineStr">
        <is>
          <t xml:space="preserve">residual</t>
        </is>
      </c>
      <c r="K1271" s="5">
        <v>0</v>
      </c>
      <c r="L1271" s="5">
        <v>0</v>
      </c>
      <c r="M1271" s="5">
        <v>0.0</v>
      </c>
      <c r="N1271" s="5">
        <v>0.0</v>
      </c>
      <c r="O1271" s="5">
        <v>0.0</v>
      </c>
      <c r="P1271" s="5">
        <v>0.0</v>
      </c>
      <c r="Q1271" s="5">
        <v>0.0</v>
      </c>
    </row>
    <row r="1272" outlineLevel="1">
      <c r="B1272" s="0" t="inlineStr">
        <is>
          <t xml:space="preserve">TELEDYNE TECHNOLOGIES INCORPORATED</t>
        </is>
      </c>
      <c r="C1272" s="0" t="inlineStr">
        <is>
          <t xml:space="preserve">YLHLLLEUTKC1</t>
        </is>
      </c>
      <c r="D1272" s="0" t="inlineStr">
        <is>
          <t xml:space="preserve">USA</t>
        </is>
      </c>
      <c r="E1272" s="0" t="inlineStr">
        <is>
          <t xml:space="preserve">3344</t>
        </is>
      </c>
      <c r="F1272" s="0" t="inlineStr">
        <is>
          <t xml:space="preserve">Other Electronic Component Manufacturing</t>
        </is>
      </c>
      <c r="G1272" s="5">
        <v>0.210456</v>
      </c>
      <c r="H1272" s="0" t="inlineStr">
        <is>
          <t xml:space="preserve">supplier</t>
        </is>
      </c>
      <c r="I1272" s="0" t="inlineStr">
        <is>
          <t xml:space="preserve">unbucketed</t>
        </is>
      </c>
      <c r="J1272" s="0" t="inlineStr">
        <is>
          <t xml:space="preserve">residual</t>
        </is>
      </c>
      <c r="K1272" s="5">
        <v>0</v>
      </c>
      <c r="L1272" s="5">
        <v>0</v>
      </c>
      <c r="M1272" s="5">
        <v>0.210456</v>
      </c>
      <c r="N1272" s="5">
        <v>0.0</v>
      </c>
      <c r="O1272" s="5">
        <v>0.0</v>
      </c>
      <c r="P1272" s="5">
        <v>0.210456</v>
      </c>
      <c r="Q1272" s="5">
        <v>0.0</v>
      </c>
    </row>
    <row r="1273" outlineLevel="1">
      <c r="B1273" s="0" t="inlineStr">
        <is>
          <t xml:space="preserve">GREENE RUBBER COMPANY, INC.</t>
        </is>
      </c>
      <c r="C1273" s="0" t="inlineStr">
        <is>
          <t xml:space="preserve">VJFKVNQBYVL5</t>
        </is>
      </c>
      <c r="D1273" s="0" t="inlineStr">
        <is>
          <t xml:space="preserve">-</t>
        </is>
      </c>
      <c r="E1273" s="0" t="inlineStr">
        <is>
          <t xml:space="preserve">-</t>
        </is>
      </c>
      <c r="F1273" s="0" t="inlineStr">
        <is>
          <t xml:space="preserve">-</t>
        </is>
      </c>
      <c r="G1273" s="5">
        <v>0.21026858</v>
      </c>
      <c r="H1273" s="0" t="inlineStr">
        <is>
          <t xml:space="preserve">supplier</t>
        </is>
      </c>
      <c r="I1273" s="0" t="inlineStr">
        <is>
          <t xml:space="preserve">unbucketed</t>
        </is>
      </c>
      <c r="J1273" s="0" t="inlineStr">
        <is>
          <t xml:space="preserve">residual</t>
        </is>
      </c>
      <c r="K1273" s="5">
        <v>0</v>
      </c>
      <c r="L1273" s="5">
        <v>0</v>
      </c>
      <c r="M1273" s="5">
        <v>0.0</v>
      </c>
      <c r="N1273" s="5">
        <v>0.0</v>
      </c>
      <c r="O1273" s="5">
        <v>0.0</v>
      </c>
      <c r="P1273" s="5">
        <v>0.0</v>
      </c>
      <c r="Q1273" s="5">
        <v>0.0</v>
      </c>
    </row>
    <row r="1274" outlineLevel="1">
      <c r="B1274" s="0" t="inlineStr">
        <is>
          <t xml:space="preserve">WARTSILA OYJ ABP</t>
        </is>
      </c>
      <c r="C1274" s="0" t="inlineStr">
        <is>
          <t xml:space="preserve">JA2KCX21NL48</t>
        </is>
      </c>
      <c r="D1274" s="0" t="inlineStr">
        <is>
          <t xml:space="preserve">-</t>
        </is>
      </c>
      <c r="E1274" s="0" t="inlineStr">
        <is>
          <t xml:space="preserve">-</t>
        </is>
      </c>
      <c r="F1274" s="0" t="inlineStr">
        <is>
          <t xml:space="preserve">-</t>
        </is>
      </c>
      <c r="G1274" s="5">
        <v>0.20891697999999997</v>
      </c>
      <c r="H1274" s="0" t="inlineStr">
        <is>
          <t xml:space="preserve">supplier</t>
        </is>
      </c>
      <c r="I1274" s="0" t="inlineStr">
        <is>
          <t xml:space="preserve">machining</t>
        </is>
      </c>
      <c r="J1274" s="0" t="inlineStr">
        <is>
          <t xml:space="preserve">registry</t>
        </is>
      </c>
      <c r="K1274" s="5">
        <v>0</v>
      </c>
      <c r="L1274" s="5">
        <v>0</v>
      </c>
      <c r="M1274" s="5">
        <v>0.0</v>
      </c>
      <c r="N1274" s="5">
        <v>0.0</v>
      </c>
      <c r="O1274" s="5">
        <v>0.0</v>
      </c>
      <c r="P1274" s="5">
        <v>0.0</v>
      </c>
      <c r="Q1274" s="5">
        <v>0.0</v>
      </c>
    </row>
    <row r="1275" outlineLevel="1">
      <c r="B1275" s="0" t="inlineStr">
        <is>
          <t xml:space="preserve">MERSEN USA SPM CORP.</t>
        </is>
      </c>
      <c r="C1275" s="0" t="inlineStr">
        <is>
          <t xml:space="preserve">DQSCFBLNRHW7</t>
        </is>
      </c>
      <c r="D1275" s="0" t="inlineStr">
        <is>
          <t xml:space="preserve">-</t>
        </is>
      </c>
      <c r="E1275" s="0" t="inlineStr">
        <is>
          <t xml:space="preserve">-</t>
        </is>
      </c>
      <c r="F1275" s="0" t="inlineStr">
        <is>
          <t xml:space="preserve">-</t>
        </is>
      </c>
      <c r="G1275" s="5">
        <v>0.20846784</v>
      </c>
      <c r="H1275" s="0" t="inlineStr">
        <is>
          <t xml:space="preserve">supplier</t>
        </is>
      </c>
      <c r="I1275" s="0" t="inlineStr">
        <is>
          <t xml:space="preserve">unbucketed</t>
        </is>
      </c>
      <c r="J1275" s="0" t="inlineStr">
        <is>
          <t xml:space="preserve">residual</t>
        </is>
      </c>
      <c r="K1275" s="5">
        <v>0</v>
      </c>
      <c r="L1275" s="5">
        <v>0</v>
      </c>
      <c r="M1275" s="5">
        <v>0.0</v>
      </c>
      <c r="N1275" s="5">
        <v>0.0</v>
      </c>
      <c r="O1275" s="5">
        <v>0.0</v>
      </c>
      <c r="P1275" s="5">
        <v>0.0</v>
      </c>
      <c r="Q1275" s="5">
        <v>0.0</v>
      </c>
    </row>
    <row r="1276" outlineLevel="1">
      <c r="B1276" s="0" t="inlineStr">
        <is>
          <t xml:space="preserve">PACIFIC CERAMICS INC</t>
        </is>
      </c>
      <c r="C1276" s="0" t="inlineStr">
        <is>
          <t xml:space="preserve">N31WM1N2JRC3</t>
        </is>
      </c>
      <c r="D1276" s="0" t="inlineStr">
        <is>
          <t xml:space="preserve">-</t>
        </is>
      </c>
      <c r="E1276" s="0" t="inlineStr">
        <is>
          <t xml:space="preserve">-</t>
        </is>
      </c>
      <c r="F1276" s="0" t="inlineStr">
        <is>
          <t xml:space="preserve">-</t>
        </is>
      </c>
      <c r="G1276" s="5">
        <v>0.20814300000000002</v>
      </c>
      <c r="H1276" s="0" t="inlineStr">
        <is>
          <t xml:space="preserve">supplier</t>
        </is>
      </c>
      <c r="I1276" s="0" t="inlineStr">
        <is>
          <t xml:space="preserve">unbucketed</t>
        </is>
      </c>
      <c r="J1276" s="0" t="inlineStr">
        <is>
          <t xml:space="preserve">residual</t>
        </is>
      </c>
      <c r="K1276" s="5">
        <v>0</v>
      </c>
      <c r="L1276" s="5">
        <v>0</v>
      </c>
      <c r="M1276" s="5">
        <v>0.0</v>
      </c>
      <c r="N1276" s="5">
        <v>0.0</v>
      </c>
      <c r="O1276" s="5">
        <v>0.0</v>
      </c>
      <c r="P1276" s="5">
        <v>0.0</v>
      </c>
      <c r="Q1276" s="5">
        <v>0.0</v>
      </c>
    </row>
    <row r="1277" outlineLevel="1">
      <c r="B1277" s="0" t="inlineStr">
        <is>
          <t xml:space="preserve">PORTABLE STORAGE CORP</t>
        </is>
      </c>
      <c r="C1277" s="0" t="inlineStr">
        <is>
          <t xml:space="preserve">TC49NNNRLR55</t>
        </is>
      </c>
      <c r="D1277" s="0" t="inlineStr">
        <is>
          <t xml:space="preserve">-</t>
        </is>
      </c>
      <c r="E1277" s="0" t="inlineStr">
        <is>
          <t xml:space="preserve">-</t>
        </is>
      </c>
      <c r="F1277" s="0" t="inlineStr">
        <is>
          <t xml:space="preserve">-</t>
        </is>
      </c>
      <c r="G1277" s="5">
        <v>0.2081</v>
      </c>
      <c r="H1277" s="0" t="inlineStr">
        <is>
          <t xml:space="preserve">supplier</t>
        </is>
      </c>
      <c r="I1277" s="0" t="inlineStr">
        <is>
          <t xml:space="preserve">unbucketed</t>
        </is>
      </c>
      <c r="J1277" s="0" t="inlineStr">
        <is>
          <t xml:space="preserve">residual</t>
        </is>
      </c>
      <c r="K1277" s="5">
        <v>0</v>
      </c>
      <c r="L1277" s="5">
        <v>0</v>
      </c>
      <c r="M1277" s="5">
        <v>0.0</v>
      </c>
      <c r="N1277" s="5">
        <v>0.0</v>
      </c>
      <c r="O1277" s="5">
        <v>0.0</v>
      </c>
      <c r="P1277" s="5">
        <v>0.0</v>
      </c>
      <c r="Q1277" s="5">
        <v>0.0</v>
      </c>
    </row>
    <row r="1278" outlineLevel="1">
      <c r="B1278" s="0" t="inlineStr">
        <is>
          <t xml:space="preserve">ATLANTIC MARINE CLEANING, LLC</t>
        </is>
      </c>
      <c r="C1278" s="0" t="inlineStr">
        <is>
          <t xml:space="preserve">DDNELLWJ1DB1</t>
        </is>
      </c>
      <c r="D1278" s="0" t="inlineStr">
        <is>
          <t xml:space="preserve">-</t>
        </is>
      </c>
      <c r="E1278" s="0" t="inlineStr">
        <is>
          <t xml:space="preserve">-</t>
        </is>
      </c>
      <c r="F1278" s="0" t="inlineStr">
        <is>
          <t xml:space="preserve">-</t>
        </is>
      </c>
      <c r="G1278" s="5">
        <v>0.207857</v>
      </c>
      <c r="H1278" s="0" t="inlineStr">
        <is>
          <t xml:space="preserve">supplier</t>
        </is>
      </c>
      <c r="I1278" s="0" t="inlineStr">
        <is>
          <t xml:space="preserve">unbucketed</t>
        </is>
      </c>
      <c r="J1278" s="0" t="inlineStr">
        <is>
          <t xml:space="preserve">residual</t>
        </is>
      </c>
      <c r="K1278" s="5">
        <v>0</v>
      </c>
      <c r="L1278" s="5">
        <v>0</v>
      </c>
      <c r="M1278" s="5">
        <v>0.0</v>
      </c>
      <c r="N1278" s="5">
        <v>0.0</v>
      </c>
      <c r="O1278" s="5">
        <v>0.0</v>
      </c>
      <c r="P1278" s="5">
        <v>0.0</v>
      </c>
      <c r="Q1278" s="5">
        <v>0.0</v>
      </c>
    </row>
    <row r="1279" outlineLevel="1">
      <c r="B1279" s="0" t="inlineStr">
        <is>
          <t xml:space="preserve">AB SKF</t>
        </is>
      </c>
      <c r="C1279" s="0" t="inlineStr">
        <is>
          <t xml:space="preserve">HYE2BEDQHM44</t>
        </is>
      </c>
      <c r="D1279" s="0" t="inlineStr">
        <is>
          <t xml:space="preserve">-</t>
        </is>
      </c>
      <c r="E1279" s="0" t="inlineStr">
        <is>
          <t xml:space="preserve">-</t>
        </is>
      </c>
      <c r="F1279" s="0" t="inlineStr">
        <is>
          <t xml:space="preserve">-</t>
        </is>
      </c>
      <c r="G1279" s="5">
        <v>0.20668889</v>
      </c>
      <c r="H1279" s="0" t="inlineStr">
        <is>
          <t xml:space="preserve">supplier</t>
        </is>
      </c>
      <c r="I1279" s="0" t="inlineStr">
        <is>
          <t xml:space="preserve">unbucketed</t>
        </is>
      </c>
      <c r="J1279" s="0" t="inlineStr">
        <is>
          <t xml:space="preserve">residual</t>
        </is>
      </c>
      <c r="K1279" s="5">
        <v>0</v>
      </c>
      <c r="L1279" s="5">
        <v>0</v>
      </c>
      <c r="M1279" s="5">
        <v>0.0</v>
      </c>
      <c r="N1279" s="5">
        <v>0.0</v>
      </c>
      <c r="O1279" s="5">
        <v>0.0</v>
      </c>
      <c r="P1279" s="5">
        <v>0.0</v>
      </c>
      <c r="Q1279" s="5">
        <v>0.0</v>
      </c>
    </row>
    <row r="1280" outlineLevel="1">
      <c r="B1280" s="0" t="inlineStr">
        <is>
          <t xml:space="preserve">LAIRD R &amp; F PRODUCTS, INC.</t>
        </is>
      </c>
      <c r="C1280" s="0" t="inlineStr">
        <is>
          <t xml:space="preserve">NH4LSVC35EH7</t>
        </is>
      </c>
      <c r="D1280" s="0" t="inlineStr">
        <is>
          <t xml:space="preserve">-</t>
        </is>
      </c>
      <c r="E1280" s="0" t="inlineStr">
        <is>
          <t xml:space="preserve">-</t>
        </is>
      </c>
      <c r="F1280" s="0" t="inlineStr">
        <is>
          <t xml:space="preserve">-</t>
        </is>
      </c>
      <c r="G1280" s="5">
        <v>0.206296</v>
      </c>
      <c r="H1280" s="0" t="inlineStr">
        <is>
          <t xml:space="preserve">supplier</t>
        </is>
      </c>
      <c r="I1280" s="0" t="inlineStr">
        <is>
          <t xml:space="preserve">unbucketed</t>
        </is>
      </c>
      <c r="J1280" s="0" t="inlineStr">
        <is>
          <t xml:space="preserve">residual</t>
        </is>
      </c>
      <c r="K1280" s="5">
        <v>0</v>
      </c>
      <c r="L1280" s="5">
        <v>0</v>
      </c>
      <c r="M1280" s="5">
        <v>0.206296</v>
      </c>
      <c r="N1280" s="5">
        <v>0.206296</v>
      </c>
      <c r="O1280" s="5">
        <v>0.0</v>
      </c>
      <c r="P1280" s="5">
        <v>0.0</v>
      </c>
      <c r="Q1280" s="5">
        <v>0.0</v>
      </c>
    </row>
    <row r="1281" outlineLevel="1">
      <c r="B1281" s="0" t="inlineStr">
        <is>
          <t xml:space="preserve">FREQUENCY ELECTRONICS INC</t>
        </is>
      </c>
      <c r="C1281" s="0" t="inlineStr">
        <is>
          <t xml:space="preserve">LQJ8L3UFTVX3</t>
        </is>
      </c>
      <c r="D1281" s="0" t="inlineStr">
        <is>
          <t xml:space="preserve">-</t>
        </is>
      </c>
      <c r="E1281" s="0" t="inlineStr">
        <is>
          <t xml:space="preserve">-</t>
        </is>
      </c>
      <c r="F1281" s="0" t="inlineStr">
        <is>
          <t xml:space="preserve">-</t>
        </is>
      </c>
      <c r="G1281" s="5">
        <v>0.20622039999999997</v>
      </c>
      <c r="H1281" s="0" t="inlineStr">
        <is>
          <t xml:space="preserve">supplier</t>
        </is>
      </c>
      <c r="I1281" s="0" t="inlineStr">
        <is>
          <t xml:space="preserve">unbucketed</t>
        </is>
      </c>
      <c r="J1281" s="0" t="inlineStr">
        <is>
          <t xml:space="preserve">residual</t>
        </is>
      </c>
      <c r="K1281" s="5">
        <v>0</v>
      </c>
      <c r="L1281" s="5">
        <v>0</v>
      </c>
      <c r="M1281" s="5">
        <v>0.0</v>
      </c>
      <c r="N1281" s="5">
        <v>0.0</v>
      </c>
      <c r="O1281" s="5">
        <v>0.0</v>
      </c>
      <c r="P1281" s="5">
        <v>0.0</v>
      </c>
      <c r="Q1281" s="5">
        <v>0.0</v>
      </c>
    </row>
    <row r="1282" outlineLevel="1">
      <c r="B1282" s="0" t="inlineStr">
        <is>
          <t xml:space="preserve">CROWLEY FABRICATING AND MACHINING CO INC</t>
        </is>
      </c>
      <c r="C1282" s="0" t="inlineStr">
        <is>
          <t xml:space="preserve">NMD7DMQSNMK5</t>
        </is>
      </c>
      <c r="D1282" s="0" t="inlineStr">
        <is>
          <t xml:space="preserve">-</t>
        </is>
      </c>
      <c r="E1282" s="0" t="inlineStr">
        <is>
          <t xml:space="preserve">-</t>
        </is>
      </c>
      <c r="F1282" s="0" t="inlineStr">
        <is>
          <t xml:space="preserve">-</t>
        </is>
      </c>
      <c r="G1282" s="5">
        <v>0.20602623</v>
      </c>
      <c r="H1282" s="0" t="inlineStr">
        <is>
          <t xml:space="preserve">supplier</t>
        </is>
      </c>
      <c r="I1282" s="0" t="inlineStr">
        <is>
          <t xml:space="preserve">unbucketed</t>
        </is>
      </c>
      <c r="J1282" s="0" t="inlineStr">
        <is>
          <t xml:space="preserve">residual</t>
        </is>
      </c>
      <c r="K1282" s="5">
        <v>0</v>
      </c>
      <c r="L1282" s="5">
        <v>0</v>
      </c>
      <c r="M1282" s="5">
        <v>0.0</v>
      </c>
      <c r="N1282" s="5">
        <v>0.0</v>
      </c>
      <c r="O1282" s="5">
        <v>0.0</v>
      </c>
      <c r="P1282" s="5">
        <v>0.0</v>
      </c>
      <c r="Q1282" s="5">
        <v>0.0</v>
      </c>
    </row>
    <row r="1283" outlineLevel="1">
      <c r="B1283" s="0" t="inlineStr">
        <is>
          <t xml:space="preserve">PRIME TECHNOLOGY, LLC</t>
        </is>
      </c>
      <c r="C1283" s="0" t="inlineStr">
        <is>
          <t xml:space="preserve">U5DDDFM4LJS3</t>
        </is>
      </c>
      <c r="D1283" s="0" t="inlineStr">
        <is>
          <t xml:space="preserve">-</t>
        </is>
      </c>
      <c r="E1283" s="0" t="inlineStr">
        <is>
          <t xml:space="preserve">-</t>
        </is>
      </c>
      <c r="F1283" s="0" t="inlineStr">
        <is>
          <t xml:space="preserve">-</t>
        </is>
      </c>
      <c r="G1283" s="5">
        <v>0.20592</v>
      </c>
      <c r="H1283" s="0" t="inlineStr">
        <is>
          <t xml:space="preserve">supplier</t>
        </is>
      </c>
      <c r="I1283" s="0" t="inlineStr">
        <is>
          <t xml:space="preserve">unbucketed</t>
        </is>
      </c>
      <c r="J1283" s="0" t="inlineStr">
        <is>
          <t xml:space="preserve">residual</t>
        </is>
      </c>
      <c r="K1283" s="5">
        <v>0</v>
      </c>
      <c r="L1283" s="5">
        <v>0</v>
      </c>
      <c r="M1283" s="5">
        <v>0.20592</v>
      </c>
      <c r="N1283" s="5">
        <v>0.20592</v>
      </c>
      <c r="O1283" s="5">
        <v>0.0</v>
      </c>
      <c r="P1283" s="5">
        <v>0.0</v>
      </c>
      <c r="Q1283" s="5">
        <v>0.0</v>
      </c>
    </row>
    <row r="1284" outlineLevel="1">
      <c r="B1284" s="0" t="inlineStr">
        <is>
          <t xml:space="preserve">MICROCHIP TECHNOLOGY INCORPORATED</t>
        </is>
      </c>
      <c r="C1284" s="0" t="inlineStr">
        <is>
          <t xml:space="preserve">GFC1EBZC9728</t>
        </is>
      </c>
      <c r="D1284" s="0" t="inlineStr">
        <is>
          <t xml:space="preserve">-</t>
        </is>
      </c>
      <c r="E1284" s="0" t="inlineStr">
        <is>
          <t xml:space="preserve">-</t>
        </is>
      </c>
      <c r="F1284" s="0" t="inlineStr">
        <is>
          <t xml:space="preserve">-</t>
        </is>
      </c>
      <c r="G1284" s="5">
        <v>0.20590313000000002</v>
      </c>
      <c r="H1284" s="0" t="inlineStr">
        <is>
          <t xml:space="preserve">supplier</t>
        </is>
      </c>
      <c r="I1284" s="0" t="inlineStr">
        <is>
          <t xml:space="preserve">unbucketed</t>
        </is>
      </c>
      <c r="J1284" s="0" t="inlineStr">
        <is>
          <t xml:space="preserve">residual</t>
        </is>
      </c>
      <c r="K1284" s="5">
        <v>0</v>
      </c>
      <c r="L1284" s="5">
        <v>0</v>
      </c>
      <c r="M1284" s="5">
        <v>0.0</v>
      </c>
      <c r="N1284" s="5">
        <v>0.0</v>
      </c>
      <c r="O1284" s="5">
        <v>0.0</v>
      </c>
      <c r="P1284" s="5">
        <v>0.0</v>
      </c>
      <c r="Q1284" s="5">
        <v>0.0</v>
      </c>
    </row>
    <row r="1285" outlineLevel="1">
      <c r="B1285" s="0" t="inlineStr">
        <is>
          <t xml:space="preserve">C3I, INC</t>
        </is>
      </c>
      <c r="C1285" s="0" t="inlineStr">
        <is>
          <t xml:space="preserve">DH7CZ5SHWTN7</t>
        </is>
      </c>
      <c r="D1285" s="0" t="inlineStr">
        <is>
          <t xml:space="preserve">-</t>
        </is>
      </c>
      <c r="E1285" s="0" t="inlineStr">
        <is>
          <t xml:space="preserve">-</t>
        </is>
      </c>
      <c r="F1285" s="0" t="inlineStr">
        <is>
          <t xml:space="preserve">-</t>
        </is>
      </c>
      <c r="G1285" s="5">
        <v>0.204787</v>
      </c>
      <c r="H1285" s="0" t="inlineStr">
        <is>
          <t xml:space="preserve">supplier</t>
        </is>
      </c>
      <c r="I1285" s="0" t="inlineStr">
        <is>
          <t xml:space="preserve">unbucketed</t>
        </is>
      </c>
      <c r="J1285" s="0" t="inlineStr">
        <is>
          <t xml:space="preserve">residual</t>
        </is>
      </c>
      <c r="K1285" s="5">
        <v>0</v>
      </c>
      <c r="L1285" s="5">
        <v>0</v>
      </c>
      <c r="M1285" s="5">
        <v>0.204787</v>
      </c>
      <c r="N1285" s="5">
        <v>0.204787</v>
      </c>
      <c r="O1285" s="5">
        <v>0.0</v>
      </c>
      <c r="P1285" s="5">
        <v>0.0</v>
      </c>
      <c r="Q1285" s="5">
        <v>0.0</v>
      </c>
    </row>
    <row r="1286" outlineLevel="1">
      <c r="B1286" s="0" t="inlineStr">
        <is>
          <t xml:space="preserve">CP TECHNOLOGIES, LLC</t>
        </is>
      </c>
      <c r="C1286" s="0" t="inlineStr">
        <is>
          <t xml:space="preserve">JDRLC5Z7HJS5</t>
        </is>
      </c>
      <c r="D1286" s="0" t="inlineStr">
        <is>
          <t xml:space="preserve">-</t>
        </is>
      </c>
      <c r="E1286" s="0" t="inlineStr">
        <is>
          <t xml:space="preserve">-</t>
        </is>
      </c>
      <c r="F1286" s="0" t="inlineStr">
        <is>
          <t xml:space="preserve">-</t>
        </is>
      </c>
      <c r="G1286" s="5">
        <v>0.20415141000000003</v>
      </c>
      <c r="H1286" s="0" t="inlineStr">
        <is>
          <t xml:space="preserve">supplier</t>
        </is>
      </c>
      <c r="I1286" s="0" t="inlineStr">
        <is>
          <t xml:space="preserve">unbucketed</t>
        </is>
      </c>
      <c r="J1286" s="0" t="inlineStr">
        <is>
          <t xml:space="preserve">residual</t>
        </is>
      </c>
      <c r="K1286" s="5">
        <v>0</v>
      </c>
      <c r="L1286" s="5">
        <v>0</v>
      </c>
      <c r="M1286" s="5">
        <v>0.0</v>
      </c>
      <c r="N1286" s="5">
        <v>0.0</v>
      </c>
      <c r="O1286" s="5">
        <v>0.0</v>
      </c>
      <c r="P1286" s="5">
        <v>0.0</v>
      </c>
      <c r="Q1286" s="5">
        <v>0.0</v>
      </c>
    </row>
    <row r="1287" outlineLevel="1">
      <c r="B1287" s="0" t="inlineStr">
        <is>
          <t xml:space="preserve">SOUTHWEST RESEARCH INSTITUTE</t>
        </is>
      </c>
      <c r="C1287" s="0" t="inlineStr">
        <is>
          <t xml:space="preserve">PB11V1KH3KV4</t>
        </is>
      </c>
      <c r="D1287" s="0" t="inlineStr">
        <is>
          <t xml:space="preserve">-</t>
        </is>
      </c>
      <c r="E1287" s="0" t="inlineStr">
        <is>
          <t xml:space="preserve">-</t>
        </is>
      </c>
      <c r="F1287" s="0" t="inlineStr">
        <is>
          <t xml:space="preserve">-</t>
        </is>
      </c>
      <c r="G1287" s="5">
        <v>0.20400000000000001</v>
      </c>
      <c r="H1287" s="0" t="inlineStr">
        <is>
          <t xml:space="preserve">supplier</t>
        </is>
      </c>
      <c r="I1287" s="0" t="inlineStr">
        <is>
          <t xml:space="preserve">unbucketed</t>
        </is>
      </c>
      <c r="J1287" s="0" t="inlineStr">
        <is>
          <t xml:space="preserve">residual</t>
        </is>
      </c>
      <c r="K1287" s="5">
        <v>0</v>
      </c>
      <c r="L1287" s="5">
        <v>0</v>
      </c>
      <c r="M1287" s="5">
        <v>0.20400000000000001</v>
      </c>
      <c r="N1287" s="5">
        <v>0.128</v>
      </c>
      <c r="O1287" s="5">
        <v>0.0</v>
      </c>
      <c r="P1287" s="5">
        <v>0.0</v>
      </c>
      <c r="Q1287" s="5">
        <v>0.0</v>
      </c>
    </row>
    <row r="1288" outlineLevel="1">
      <c r="B1288" s="0" t="inlineStr">
        <is>
          <t xml:space="preserve">METALTEK INTERNATIONAL INC</t>
        </is>
      </c>
      <c r="C1288" s="0" t="inlineStr">
        <is>
          <t xml:space="preserve">JK4WJKLD44G9</t>
        </is>
      </c>
      <c r="D1288" s="0" t="inlineStr">
        <is>
          <t xml:space="preserve">-</t>
        </is>
      </c>
      <c r="E1288" s="0" t="inlineStr">
        <is>
          <t xml:space="preserve">-</t>
        </is>
      </c>
      <c r="F1288" s="0" t="inlineStr">
        <is>
          <t xml:space="preserve">-</t>
        </is>
      </c>
      <c r="G1288" s="5">
        <v>0.20315758</v>
      </c>
      <c r="H1288" s="0" t="inlineStr">
        <is>
          <t xml:space="preserve">supplier</t>
        </is>
      </c>
      <c r="I1288" s="0" t="inlineStr">
        <is>
          <t xml:space="preserve">unbucketed</t>
        </is>
      </c>
      <c r="J1288" s="0" t="inlineStr">
        <is>
          <t xml:space="preserve">residual</t>
        </is>
      </c>
      <c r="K1288" s="5">
        <v>0</v>
      </c>
      <c r="L1288" s="5">
        <v>0</v>
      </c>
      <c r="M1288" s="5">
        <v>0.20315758</v>
      </c>
      <c r="N1288" s="5">
        <v>0.07299</v>
      </c>
      <c r="O1288" s="5">
        <v>0.13016758</v>
      </c>
      <c r="P1288" s="5">
        <v>0.0</v>
      </c>
      <c r="Q1288" s="5">
        <v>0.0</v>
      </c>
    </row>
    <row r="1289" outlineLevel="1">
      <c r="B1289" s="0" t="inlineStr">
        <is>
          <t xml:space="preserve">ELECTRON ENERGY CORP</t>
        </is>
      </c>
      <c r="C1289" s="0" t="inlineStr">
        <is>
          <t xml:space="preserve">SJHXC3VYDPB8</t>
        </is>
      </c>
      <c r="D1289" s="0" t="inlineStr">
        <is>
          <t xml:space="preserve">-</t>
        </is>
      </c>
      <c r="E1289" s="0" t="inlineStr">
        <is>
          <t xml:space="preserve">-</t>
        </is>
      </c>
      <c r="F1289" s="0" t="inlineStr">
        <is>
          <t xml:space="preserve">-</t>
        </is>
      </c>
      <c r="G1289" s="5">
        <v>0.203092</v>
      </c>
      <c r="H1289" s="0" t="inlineStr">
        <is>
          <t xml:space="preserve">supplier</t>
        </is>
      </c>
      <c r="I1289" s="0" t="inlineStr">
        <is>
          <t xml:space="preserve">unbucketed</t>
        </is>
      </c>
      <c r="J1289" s="0" t="inlineStr">
        <is>
          <t xml:space="preserve">residual</t>
        </is>
      </c>
      <c r="K1289" s="5">
        <v>0</v>
      </c>
      <c r="L1289" s="5">
        <v>0</v>
      </c>
      <c r="M1289" s="5">
        <v>0.0</v>
      </c>
      <c r="N1289" s="5">
        <v>0.0</v>
      </c>
      <c r="O1289" s="5">
        <v>0.0</v>
      </c>
      <c r="P1289" s="5">
        <v>0.0</v>
      </c>
      <c r="Q1289" s="5">
        <v>0.0</v>
      </c>
    </row>
    <row r="1290" outlineLevel="1">
      <c r="B1290" s="0" t="inlineStr">
        <is>
          <t xml:space="preserve">CASEMER TOOL &amp; MACHINE, INC.</t>
        </is>
      </c>
      <c r="C1290" s="0" t="inlineStr">
        <is>
          <t xml:space="preserve">JE1BMK3T9FN1</t>
        </is>
      </c>
      <c r="D1290" s="0" t="inlineStr">
        <is>
          <t xml:space="preserve">-</t>
        </is>
      </c>
      <c r="E1290" s="0" t="inlineStr">
        <is>
          <t xml:space="preserve">-</t>
        </is>
      </c>
      <c r="F1290" s="0" t="inlineStr">
        <is>
          <t xml:space="preserve">-</t>
        </is>
      </c>
      <c r="G1290" s="5">
        <v>0.20247700000000002</v>
      </c>
      <c r="H1290" s="0" t="inlineStr">
        <is>
          <t xml:space="preserve">supplier</t>
        </is>
      </c>
      <c r="I1290" s="0" t="inlineStr">
        <is>
          <t xml:space="preserve">unbucketed</t>
        </is>
      </c>
      <c r="J1290" s="0" t="inlineStr">
        <is>
          <t xml:space="preserve">residual</t>
        </is>
      </c>
      <c r="K1290" s="5">
        <v>0</v>
      </c>
      <c r="L1290" s="5">
        <v>0</v>
      </c>
      <c r="M1290" s="5">
        <v>0.0</v>
      </c>
      <c r="N1290" s="5">
        <v>0.0</v>
      </c>
      <c r="O1290" s="5">
        <v>0.0</v>
      </c>
      <c r="P1290" s="5">
        <v>0.0</v>
      </c>
      <c r="Q1290" s="5">
        <v>0.0</v>
      </c>
    </row>
    <row r="1291" outlineLevel="1">
      <c r="B1291" s="0" t="inlineStr">
        <is>
          <t xml:space="preserve">GILBERT MECHANICAL CONTRACTORS, INC.</t>
        </is>
      </c>
      <c r="C1291" s="0" t="inlineStr">
        <is>
          <t xml:space="preserve">D7GHHEGVNK24</t>
        </is>
      </c>
      <c r="D1291" s="0" t="inlineStr">
        <is>
          <t xml:space="preserve">-</t>
        </is>
      </c>
      <c r="E1291" s="0" t="inlineStr">
        <is>
          <t xml:space="preserve">-</t>
        </is>
      </c>
      <c r="F1291" s="0" t="inlineStr">
        <is>
          <t xml:space="preserve">-</t>
        </is>
      </c>
      <c r="G1291" s="5">
        <v>0.202015</v>
      </c>
      <c r="H1291" s="0" t="inlineStr">
        <is>
          <t xml:space="preserve">supplier</t>
        </is>
      </c>
      <c r="I1291" s="0" t="inlineStr">
        <is>
          <t xml:space="preserve">unbucketed</t>
        </is>
      </c>
      <c r="J1291" s="0" t="inlineStr">
        <is>
          <t xml:space="preserve">residual</t>
        </is>
      </c>
      <c r="K1291" s="5">
        <v>0</v>
      </c>
      <c r="L1291" s="5">
        <v>0</v>
      </c>
      <c r="M1291" s="5">
        <v>0.0</v>
      </c>
      <c r="N1291" s="5">
        <v>0.0</v>
      </c>
      <c r="O1291" s="5">
        <v>0.0</v>
      </c>
      <c r="P1291" s="5">
        <v>0.0</v>
      </c>
      <c r="Q1291" s="5">
        <v>0.0</v>
      </c>
    </row>
    <row r="1292" outlineLevel="1">
      <c r="B1292" s="0" t="inlineStr">
        <is>
          <t xml:space="preserve">ELECTRON ENERGY CORPORATION</t>
        </is>
      </c>
      <c r="C1292" s="0" t="inlineStr">
        <is>
          <t xml:space="preserve">SJHXC3VYDPB8</t>
        </is>
      </c>
      <c r="D1292" s="0" t="inlineStr">
        <is>
          <t xml:space="preserve">-</t>
        </is>
      </c>
      <c r="E1292" s="0" t="inlineStr">
        <is>
          <t xml:space="preserve">-</t>
        </is>
      </c>
      <c r="F1292" s="0" t="inlineStr">
        <is>
          <t xml:space="preserve">-</t>
        </is>
      </c>
      <c r="G1292" s="5">
        <v>0.201585</v>
      </c>
      <c r="H1292" s="0" t="inlineStr">
        <is>
          <t xml:space="preserve">supplier</t>
        </is>
      </c>
      <c r="I1292" s="0" t="inlineStr">
        <is>
          <t xml:space="preserve">unbucketed</t>
        </is>
      </c>
      <c r="J1292" s="0" t="inlineStr">
        <is>
          <t xml:space="preserve">residual</t>
        </is>
      </c>
      <c r="K1292" s="5">
        <v>0</v>
      </c>
      <c r="L1292" s="5">
        <v>0</v>
      </c>
      <c r="M1292" s="5">
        <v>0.0</v>
      </c>
      <c r="N1292" s="5">
        <v>0.0</v>
      </c>
      <c r="O1292" s="5">
        <v>0.0</v>
      </c>
      <c r="P1292" s="5">
        <v>0.0</v>
      </c>
      <c r="Q1292" s="5">
        <v>0.0</v>
      </c>
    </row>
    <row r="1293" outlineLevel="1">
      <c r="B1293" s="0" t="inlineStr">
        <is>
          <t xml:space="preserve">BACHARACH, INC.</t>
        </is>
      </c>
      <c r="C1293" s="0" t="inlineStr">
        <is>
          <t xml:space="preserve">SLTUM1DV4433</t>
        </is>
      </c>
      <c r="D1293" s="0" t="inlineStr">
        <is>
          <t xml:space="preserve">-</t>
        </is>
      </c>
      <c r="E1293" s="0" t="inlineStr">
        <is>
          <t xml:space="preserve">-</t>
        </is>
      </c>
      <c r="F1293" s="0" t="inlineStr">
        <is>
          <t xml:space="preserve">-</t>
        </is>
      </c>
      <c r="G1293" s="5">
        <v>0.19803880000000001</v>
      </c>
      <c r="H1293" s="0" t="inlineStr">
        <is>
          <t xml:space="preserve">supplier</t>
        </is>
      </c>
      <c r="I1293" s="0" t="inlineStr">
        <is>
          <t xml:space="preserve">unbucketed</t>
        </is>
      </c>
      <c r="J1293" s="0" t="inlineStr">
        <is>
          <t xml:space="preserve">residual</t>
        </is>
      </c>
      <c r="K1293" s="5">
        <v>0</v>
      </c>
      <c r="L1293" s="5">
        <v>0</v>
      </c>
      <c r="M1293" s="5">
        <v>0.19803880000000001</v>
      </c>
      <c r="N1293" s="5">
        <v>0.0</v>
      </c>
      <c r="O1293" s="5">
        <v>0.0</v>
      </c>
      <c r="P1293" s="5">
        <v>0.0</v>
      </c>
      <c r="Q1293" s="5">
        <v>0.0</v>
      </c>
    </row>
    <row r="1294" outlineLevel="1">
      <c r="B1294" s="0" t="inlineStr">
        <is>
          <t xml:space="preserve">AA CONTAINER SALES INC</t>
        </is>
      </c>
      <c r="C1294" s="0" t="inlineStr">
        <is>
          <t xml:space="preserve">GA91C48LHEH3</t>
        </is>
      </c>
      <c r="D1294" s="0" t="inlineStr">
        <is>
          <t xml:space="preserve">-</t>
        </is>
      </c>
      <c r="E1294" s="0" t="inlineStr">
        <is>
          <t xml:space="preserve">-</t>
        </is>
      </c>
      <c r="F1294" s="0" t="inlineStr">
        <is>
          <t xml:space="preserve">-</t>
        </is>
      </c>
      <c r="G1294" s="5">
        <v>0.198</v>
      </c>
      <c r="H1294" s="0" t="inlineStr">
        <is>
          <t xml:space="preserve">supplier</t>
        </is>
      </c>
      <c r="I1294" s="0" t="inlineStr">
        <is>
          <t xml:space="preserve">unbucketed</t>
        </is>
      </c>
      <c r="J1294" s="0" t="inlineStr">
        <is>
          <t xml:space="preserve">residual</t>
        </is>
      </c>
      <c r="K1294" s="5">
        <v>0</v>
      </c>
      <c r="L1294" s="5">
        <v>0</v>
      </c>
      <c r="M1294" s="5">
        <v>0.0</v>
      </c>
      <c r="N1294" s="5">
        <v>0.0</v>
      </c>
      <c r="O1294" s="5">
        <v>0.0</v>
      </c>
      <c r="P1294" s="5">
        <v>0.0</v>
      </c>
      <c r="Q1294" s="5">
        <v>0.0</v>
      </c>
    </row>
    <row r="1295" outlineLevel="1">
      <c r="B1295" s="0" t="inlineStr">
        <is>
          <t xml:space="preserve">CHRISTIAN PETER THOMSEN HOLDING APS</t>
        </is>
      </c>
      <c r="C1295" s="0" t="inlineStr">
        <is>
          <t xml:space="preserve">XSVGNUK78U74</t>
        </is>
      </c>
      <c r="D1295" s="0" t="inlineStr">
        <is>
          <t xml:space="preserve">Foreign</t>
        </is>
      </c>
      <c r="E1295" s="0" t="inlineStr">
        <is>
          <t xml:space="preserve">-</t>
        </is>
      </c>
      <c r="F1295" s="0" t="inlineStr">
        <is>
          <t xml:space="preserve">-</t>
        </is>
      </c>
      <c r="G1295" s="5">
        <v>0.19686145</v>
      </c>
      <c r="H1295" s="0" t="inlineStr">
        <is>
          <t xml:space="preserve">foreign_fms</t>
        </is>
      </c>
      <c r="I1295" s="0" t="inlineStr">
        <is>
          <t xml:space="preserve">-</t>
        </is>
      </c>
      <c r="J1295" s="0" t="inlineStr">
        <is>
          <t xml:space="preserve">foreign flag</t>
        </is>
      </c>
      <c r="K1295" s="5">
        <v>0</v>
      </c>
      <c r="L1295" s="5">
        <v>0</v>
      </c>
      <c r="M1295" s="5">
        <v>0.0</v>
      </c>
      <c r="N1295" s="5">
        <v>0.0</v>
      </c>
      <c r="O1295" s="5">
        <v>0.0</v>
      </c>
      <c r="P1295" s="5">
        <v>0.0</v>
      </c>
      <c r="Q1295" s="5">
        <v>0.0</v>
      </c>
    </row>
    <row r="1296" outlineLevel="1">
      <c r="B1296" s="0" t="inlineStr">
        <is>
          <t xml:space="preserve">TIMKEN COMPANY, THE</t>
        </is>
      </c>
      <c r="C1296" s="0" t="inlineStr">
        <is>
          <t xml:space="preserve">G9N1X873CYJ6</t>
        </is>
      </c>
      <c r="D1296" s="0" t="inlineStr">
        <is>
          <t xml:space="preserve">-</t>
        </is>
      </c>
      <c r="E1296" s="0" t="inlineStr">
        <is>
          <t xml:space="preserve">-</t>
        </is>
      </c>
      <c r="F1296" s="0" t="inlineStr">
        <is>
          <t xml:space="preserve">-</t>
        </is>
      </c>
      <c r="G1296" s="5">
        <v>0.19666957999999998</v>
      </c>
      <c r="H1296" s="0" t="inlineStr">
        <is>
          <t xml:space="preserve">supplier</t>
        </is>
      </c>
      <c r="I1296" s="0" t="inlineStr">
        <is>
          <t xml:space="preserve">unbucketed</t>
        </is>
      </c>
      <c r="J1296" s="0" t="inlineStr">
        <is>
          <t xml:space="preserve">residual</t>
        </is>
      </c>
      <c r="K1296" s="5">
        <v>0</v>
      </c>
      <c r="L1296" s="5">
        <v>0</v>
      </c>
      <c r="M1296" s="5">
        <v>0.19666957999999998</v>
      </c>
      <c r="N1296" s="5">
        <v>0.0</v>
      </c>
      <c r="O1296" s="5">
        <v>0.19666957999999998</v>
      </c>
      <c r="P1296" s="5">
        <v>0.0</v>
      </c>
      <c r="Q1296" s="5">
        <v>0.0</v>
      </c>
    </row>
    <row r="1297" outlineLevel="1">
      <c r="B1297" s="0" t="inlineStr">
        <is>
          <t xml:space="preserve">AGM CONTAINER CONTROLS, INC.</t>
        </is>
      </c>
      <c r="C1297" s="0" t="inlineStr">
        <is>
          <t xml:space="preserve">LJH7EQHQAK35</t>
        </is>
      </c>
      <c r="D1297" s="0" t="inlineStr">
        <is>
          <t xml:space="preserve">-</t>
        </is>
      </c>
      <c r="E1297" s="0" t="inlineStr">
        <is>
          <t xml:space="preserve">-</t>
        </is>
      </c>
      <c r="F1297" s="0" t="inlineStr">
        <is>
          <t xml:space="preserve">-</t>
        </is>
      </c>
      <c r="G1297" s="5">
        <v>0.19653353999999998</v>
      </c>
      <c r="H1297" s="0" t="inlineStr">
        <is>
          <t xml:space="preserve">supplier</t>
        </is>
      </c>
      <c r="I1297" s="0" t="inlineStr">
        <is>
          <t xml:space="preserve">unbucketed</t>
        </is>
      </c>
      <c r="J1297" s="0" t="inlineStr">
        <is>
          <t xml:space="preserve">residual</t>
        </is>
      </c>
      <c r="K1297" s="5">
        <v>0</v>
      </c>
      <c r="L1297" s="5">
        <v>0</v>
      </c>
      <c r="M1297" s="5">
        <v>0.0</v>
      </c>
      <c r="N1297" s="5">
        <v>0.0</v>
      </c>
      <c r="O1297" s="5">
        <v>0.0</v>
      </c>
      <c r="P1297" s="5">
        <v>0.0</v>
      </c>
      <c r="Q1297" s="5">
        <v>0.0</v>
      </c>
    </row>
    <row r="1298" outlineLevel="1">
      <c r="B1298" s="0" t="inlineStr">
        <is>
          <t xml:space="preserve">L3 TECHNOLOGIES, INC.</t>
        </is>
      </c>
      <c r="C1298" s="0" t="inlineStr">
        <is>
          <t xml:space="preserve">J4BFCJJ3VK36</t>
        </is>
      </c>
      <c r="D1298" s="0" t="inlineStr">
        <is>
          <t xml:space="preserve">USA</t>
        </is>
      </c>
      <c r="E1298" s="0" t="inlineStr">
        <is>
          <t xml:space="preserve">3345</t>
        </is>
      </c>
      <c r="F1298" s="0" t="inlineStr">
        <is>
          <t xml:space="preserve">Search, Detection, Navigation, Guidance, Aeronautical, and Nautical System and Instrument Manufacturing</t>
        </is>
      </c>
      <c r="G1298" s="5">
        <v>0.19544499999999998</v>
      </c>
      <c r="H1298" s="0" t="inlineStr">
        <is>
          <t xml:space="preserve">supplier</t>
        </is>
      </c>
      <c r="I1298" s="0" t="inlineStr">
        <is>
          <t xml:space="preserve">unbucketed</t>
        </is>
      </c>
      <c r="J1298" s="0" t="inlineStr">
        <is>
          <t xml:space="preserve">residual</t>
        </is>
      </c>
      <c r="K1298" s="5">
        <v>0</v>
      </c>
      <c r="L1298" s="5">
        <v>0</v>
      </c>
      <c r="M1298" s="5">
        <v>0.0</v>
      </c>
      <c r="N1298" s="5">
        <v>0.0</v>
      </c>
      <c r="O1298" s="5">
        <v>0.0</v>
      </c>
      <c r="P1298" s="5">
        <v>0.0</v>
      </c>
      <c r="Q1298" s="5">
        <v>0.0</v>
      </c>
    </row>
    <row r="1299" outlineLevel="1">
      <c r="B1299" s="0" t="inlineStr">
        <is>
          <t xml:space="preserve">BAE SYSTEMS HOLDINGS INC.</t>
        </is>
      </c>
      <c r="C1299" s="0" t="inlineStr">
        <is>
          <t xml:space="preserve">ZMBFGXHLGLM3</t>
        </is>
      </c>
      <c r="D1299" s="0" t="inlineStr">
        <is>
          <t xml:space="preserve">-</t>
        </is>
      </c>
      <c r="E1299" s="0" t="inlineStr">
        <is>
          <t xml:space="preserve">-</t>
        </is>
      </c>
      <c r="F1299" s="0" t="inlineStr">
        <is>
          <t xml:space="preserve">-</t>
        </is>
      </c>
      <c r="G1299" s="5">
        <v>0.194786</v>
      </c>
      <c r="H1299" s="0" t="inlineStr">
        <is>
          <t xml:space="preserve">supplier</t>
        </is>
      </c>
      <c r="I1299" s="0" t="inlineStr">
        <is>
          <t xml:space="preserve">unbucketed</t>
        </is>
      </c>
      <c r="J1299" s="0" t="inlineStr">
        <is>
          <t xml:space="preserve">residual</t>
        </is>
      </c>
      <c r="K1299" s="5">
        <v>0</v>
      </c>
      <c r="L1299" s="5">
        <v>0</v>
      </c>
      <c r="M1299" s="5">
        <v>0.194786</v>
      </c>
      <c r="N1299" s="5">
        <v>0.0</v>
      </c>
      <c r="O1299" s="5">
        <v>0.0</v>
      </c>
      <c r="P1299" s="5">
        <v>0.0</v>
      </c>
      <c r="Q1299" s="5">
        <v>0.0</v>
      </c>
    </row>
    <row r="1300" outlineLevel="1">
      <c r="B1300" s="0" t="inlineStr">
        <is>
          <t xml:space="preserve">DURAMAX MARINE, LLC</t>
        </is>
      </c>
      <c r="C1300" s="0" t="inlineStr">
        <is>
          <t xml:space="preserve">VD1NLZGAJ2L4</t>
        </is>
      </c>
      <c r="D1300" s="0" t="inlineStr">
        <is>
          <t xml:space="preserve">-</t>
        </is>
      </c>
      <c r="E1300" s="0" t="inlineStr">
        <is>
          <t xml:space="preserve">-</t>
        </is>
      </c>
      <c r="F1300" s="0" t="inlineStr">
        <is>
          <t xml:space="preserve">-</t>
        </is>
      </c>
      <c r="G1300" s="5">
        <v>0.19435000000000002</v>
      </c>
      <c r="H1300" s="0" t="inlineStr">
        <is>
          <t xml:space="preserve">supplier</t>
        </is>
      </c>
      <c r="I1300" s="0" t="inlineStr">
        <is>
          <t xml:space="preserve">unbucketed</t>
        </is>
      </c>
      <c r="J1300" s="0" t="inlineStr">
        <is>
          <t xml:space="preserve">residual</t>
        </is>
      </c>
      <c r="K1300" s="5">
        <v>0</v>
      </c>
      <c r="L1300" s="5">
        <v>0</v>
      </c>
      <c r="M1300" s="5">
        <v>0.0</v>
      </c>
      <c r="N1300" s="5">
        <v>0.0</v>
      </c>
      <c r="O1300" s="5">
        <v>0.0</v>
      </c>
      <c r="P1300" s="5">
        <v>0.0</v>
      </c>
      <c r="Q1300" s="5">
        <v>0.0</v>
      </c>
    </row>
    <row r="1301" outlineLevel="1">
      <c r="B1301" s="0" t="inlineStr">
        <is>
          <t xml:space="preserve">JOHNSON CONTROLS INTERNATIONAL PUBLIC LIMITED COMPANY</t>
        </is>
      </c>
      <c r="C1301" s="0" t="inlineStr">
        <is>
          <t xml:space="preserve">K9HJHLAKXE96</t>
        </is>
      </c>
      <c r="D1301" s="0" t="inlineStr">
        <is>
          <t xml:space="preserve">-</t>
        </is>
      </c>
      <c r="E1301" s="0" t="inlineStr">
        <is>
          <t xml:space="preserve">-</t>
        </is>
      </c>
      <c r="F1301" s="0" t="inlineStr">
        <is>
          <t xml:space="preserve">-</t>
        </is>
      </c>
      <c r="G1301" s="5">
        <v>0.19429967</v>
      </c>
      <c r="H1301" s="0" t="inlineStr">
        <is>
          <t xml:space="preserve">supplier</t>
        </is>
      </c>
      <c r="I1301" s="0" t="inlineStr">
        <is>
          <t xml:space="preserve">unbucketed</t>
        </is>
      </c>
      <c r="J1301" s="0" t="inlineStr">
        <is>
          <t xml:space="preserve">residual</t>
        </is>
      </c>
      <c r="K1301" s="5">
        <v>0</v>
      </c>
      <c r="L1301" s="5">
        <v>0</v>
      </c>
      <c r="M1301" s="5">
        <v>0.0</v>
      </c>
      <c r="N1301" s="5">
        <v>0.0</v>
      </c>
      <c r="O1301" s="5">
        <v>0.0</v>
      </c>
      <c r="P1301" s="5">
        <v>0.0</v>
      </c>
      <c r="Q1301" s="5">
        <v>0.0</v>
      </c>
    </row>
    <row r="1302" outlineLevel="1">
      <c r="B1302" s="0" t="inlineStr">
        <is>
          <t xml:space="preserve">WIND RIVER SYSTEMS, INC.</t>
        </is>
      </c>
      <c r="C1302" s="0" t="inlineStr">
        <is>
          <t xml:space="preserve">FMNVM66XGFY7</t>
        </is>
      </c>
      <c r="D1302" s="0" t="inlineStr">
        <is>
          <t xml:space="preserve">-</t>
        </is>
      </c>
      <c r="E1302" s="0" t="inlineStr">
        <is>
          <t xml:space="preserve">-</t>
        </is>
      </c>
      <c r="F1302" s="0" t="inlineStr">
        <is>
          <t xml:space="preserve">-</t>
        </is>
      </c>
      <c r="G1302" s="5">
        <v>0.1939111</v>
      </c>
      <c r="H1302" s="0" t="inlineStr">
        <is>
          <t xml:space="preserve">supplier</t>
        </is>
      </c>
      <c r="I1302" s="0" t="inlineStr">
        <is>
          <t xml:space="preserve">unbucketed</t>
        </is>
      </c>
      <c r="J1302" s="0" t="inlineStr">
        <is>
          <t xml:space="preserve">residual</t>
        </is>
      </c>
      <c r="K1302" s="5">
        <v>0</v>
      </c>
      <c r="L1302" s="5">
        <v>0</v>
      </c>
      <c r="M1302" s="5">
        <v>0.0</v>
      </c>
      <c r="N1302" s="5">
        <v>0.0</v>
      </c>
      <c r="O1302" s="5">
        <v>0.0</v>
      </c>
      <c r="P1302" s="5">
        <v>0.0</v>
      </c>
      <c r="Q1302" s="5">
        <v>0.0</v>
      </c>
    </row>
    <row r="1303" outlineLevel="1">
      <c r="B1303" s="0" t="inlineStr">
        <is>
          <t xml:space="preserve">METLFAB INC</t>
        </is>
      </c>
      <c r="C1303" s="0" t="inlineStr">
        <is>
          <t xml:space="preserve">HQDAAL1XU6E4</t>
        </is>
      </c>
      <c r="D1303" s="0" t="inlineStr">
        <is>
          <t xml:space="preserve">-</t>
        </is>
      </c>
      <c r="E1303" s="0" t="inlineStr">
        <is>
          <t xml:space="preserve">-</t>
        </is>
      </c>
      <c r="F1303" s="0" t="inlineStr">
        <is>
          <t xml:space="preserve">-</t>
        </is>
      </c>
      <c r="G1303" s="5">
        <v>0.19380327</v>
      </c>
      <c r="H1303" s="0" t="inlineStr">
        <is>
          <t xml:space="preserve">supplier</t>
        </is>
      </c>
      <c r="I1303" s="0" t="inlineStr">
        <is>
          <t xml:space="preserve">unbucketed</t>
        </is>
      </c>
      <c r="J1303" s="0" t="inlineStr">
        <is>
          <t xml:space="preserve">residual</t>
        </is>
      </c>
      <c r="K1303" s="5">
        <v>0</v>
      </c>
      <c r="L1303" s="5">
        <v>0</v>
      </c>
      <c r="M1303" s="5">
        <v>0.0</v>
      </c>
      <c r="N1303" s="5">
        <v>0.0</v>
      </c>
      <c r="O1303" s="5">
        <v>0.0</v>
      </c>
      <c r="P1303" s="5">
        <v>0.0</v>
      </c>
      <c r="Q1303" s="5">
        <v>0.0</v>
      </c>
    </row>
    <row r="1304" outlineLevel="1">
      <c r="B1304" s="0" t="inlineStr">
        <is>
          <t xml:space="preserve">LANSDALE SEMICONDUCTOR, INC.</t>
        </is>
      </c>
      <c r="C1304" s="0" t="inlineStr">
        <is>
          <t xml:space="preserve">M9APHD19U9M4</t>
        </is>
      </c>
      <c r="D1304" s="0" t="inlineStr">
        <is>
          <t xml:space="preserve">-</t>
        </is>
      </c>
      <c r="E1304" s="0" t="inlineStr">
        <is>
          <t xml:space="preserve">-</t>
        </is>
      </c>
      <c r="F1304" s="0" t="inlineStr">
        <is>
          <t xml:space="preserve">-</t>
        </is>
      </c>
      <c r="G1304" s="5">
        <v>0.193552</v>
      </c>
      <c r="H1304" s="0" t="inlineStr">
        <is>
          <t xml:space="preserve">supplier</t>
        </is>
      </c>
      <c r="I1304" s="0" t="inlineStr">
        <is>
          <t xml:space="preserve">unbucketed</t>
        </is>
      </c>
      <c r="J1304" s="0" t="inlineStr">
        <is>
          <t xml:space="preserve">residual</t>
        </is>
      </c>
      <c r="K1304" s="5">
        <v>0</v>
      </c>
      <c r="L1304" s="5">
        <v>0</v>
      </c>
      <c r="M1304" s="5">
        <v>0.0</v>
      </c>
      <c r="N1304" s="5">
        <v>0.0</v>
      </c>
      <c r="O1304" s="5">
        <v>0.0</v>
      </c>
      <c r="P1304" s="5">
        <v>0.0</v>
      </c>
      <c r="Q1304" s="5">
        <v>0.0</v>
      </c>
    </row>
    <row r="1305" outlineLevel="1">
      <c r="B1305" s="0" t="inlineStr">
        <is>
          <t xml:space="preserve">ARC TECHNOLOGIES, INC.</t>
        </is>
      </c>
      <c r="C1305" s="0" t="inlineStr">
        <is>
          <t xml:space="preserve">F98TZC6J5XV1</t>
        </is>
      </c>
      <c r="D1305" s="0" t="inlineStr">
        <is>
          <t xml:space="preserve">-</t>
        </is>
      </c>
      <c r="E1305" s="0" t="inlineStr">
        <is>
          <t xml:space="preserve">-</t>
        </is>
      </c>
      <c r="F1305" s="0" t="inlineStr">
        <is>
          <t xml:space="preserve">-</t>
        </is>
      </c>
      <c r="G1305" s="5">
        <v>0.1926599</v>
      </c>
      <c r="H1305" s="0" t="inlineStr">
        <is>
          <t xml:space="preserve">supplier</t>
        </is>
      </c>
      <c r="I1305" s="0" t="inlineStr">
        <is>
          <t xml:space="preserve">unbucketed</t>
        </is>
      </c>
      <c r="J1305" s="0" t="inlineStr">
        <is>
          <t xml:space="preserve">residual</t>
        </is>
      </c>
      <c r="K1305" s="5">
        <v>0</v>
      </c>
      <c r="L1305" s="5">
        <v>0</v>
      </c>
      <c r="M1305" s="5">
        <v>0.1926599</v>
      </c>
      <c r="N1305" s="5">
        <v>0.0</v>
      </c>
      <c r="O1305" s="5">
        <v>0.0</v>
      </c>
      <c r="P1305" s="5">
        <v>0.0</v>
      </c>
      <c r="Q1305" s="5">
        <v>0.0</v>
      </c>
    </row>
    <row r="1306" outlineLevel="1">
      <c r="B1306" s="0" t="inlineStr">
        <is>
          <t xml:space="preserve">PHX HOLDINGS, LLC</t>
        </is>
      </c>
      <c r="C1306" s="0" t="inlineStr">
        <is>
          <t xml:space="preserve">DENBPPDE8YD5</t>
        </is>
      </c>
      <c r="D1306" s="0" t="inlineStr">
        <is>
          <t xml:space="preserve">-</t>
        </is>
      </c>
      <c r="E1306" s="0" t="inlineStr">
        <is>
          <t xml:space="preserve">-</t>
        </is>
      </c>
      <c r="F1306" s="0" t="inlineStr">
        <is>
          <t xml:space="preserve">-</t>
        </is>
      </c>
      <c r="G1306" s="5">
        <v>0.19227664000000003</v>
      </c>
      <c r="H1306" s="0" t="inlineStr">
        <is>
          <t xml:space="preserve">supplier</t>
        </is>
      </c>
      <c r="I1306" s="0" t="inlineStr">
        <is>
          <t xml:space="preserve">unbucketed</t>
        </is>
      </c>
      <c r="J1306" s="0" t="inlineStr">
        <is>
          <t xml:space="preserve">residual</t>
        </is>
      </c>
      <c r="K1306" s="5">
        <v>0</v>
      </c>
      <c r="L1306" s="5">
        <v>0</v>
      </c>
      <c r="M1306" s="5">
        <v>0.0</v>
      </c>
      <c r="N1306" s="5">
        <v>0.0</v>
      </c>
      <c r="O1306" s="5">
        <v>0.0</v>
      </c>
      <c r="P1306" s="5">
        <v>0.0</v>
      </c>
      <c r="Q1306" s="5">
        <v>0.0</v>
      </c>
    </row>
    <row r="1307" outlineLevel="1">
      <c r="B1307" s="0" t="inlineStr">
        <is>
          <t xml:space="preserve">RESION LLC</t>
        </is>
      </c>
      <c r="C1307" s="0" t="inlineStr">
        <is>
          <t xml:space="preserve">W1WKZNCSK6G1</t>
        </is>
      </c>
      <c r="D1307" s="0" t="inlineStr">
        <is>
          <t xml:space="preserve">-</t>
        </is>
      </c>
      <c r="E1307" s="0" t="inlineStr">
        <is>
          <t xml:space="preserve">-</t>
        </is>
      </c>
      <c r="F1307" s="0" t="inlineStr">
        <is>
          <t xml:space="preserve">-</t>
        </is>
      </c>
      <c r="G1307" s="5">
        <v>0.19135551</v>
      </c>
      <c r="H1307" s="0" t="inlineStr">
        <is>
          <t xml:space="preserve">supplier</t>
        </is>
      </c>
      <c r="I1307" s="0" t="inlineStr">
        <is>
          <t xml:space="preserve">unbucketed</t>
        </is>
      </c>
      <c r="J1307" s="0" t="inlineStr">
        <is>
          <t xml:space="preserve">residual</t>
        </is>
      </c>
      <c r="K1307" s="5">
        <v>0</v>
      </c>
      <c r="L1307" s="5">
        <v>0</v>
      </c>
      <c r="M1307" s="5">
        <v>0.0</v>
      </c>
      <c r="N1307" s="5">
        <v>0.0</v>
      </c>
      <c r="O1307" s="5">
        <v>0.0</v>
      </c>
      <c r="P1307" s="5">
        <v>0.0</v>
      </c>
      <c r="Q1307" s="5">
        <v>0.0</v>
      </c>
    </row>
    <row r="1308" outlineLevel="1">
      <c r="B1308" s="0" t="inlineStr">
        <is>
          <t xml:space="preserve">PEKO PRECISION PRODUCTS, INC.</t>
        </is>
      </c>
      <c r="C1308" s="0" t="inlineStr">
        <is>
          <t xml:space="preserve">FMQKP7DAMG35</t>
        </is>
      </c>
      <c r="D1308" s="0" t="inlineStr">
        <is>
          <t xml:space="preserve">-</t>
        </is>
      </c>
      <c r="E1308" s="0" t="inlineStr">
        <is>
          <t xml:space="preserve">-</t>
        </is>
      </c>
      <c r="F1308" s="0" t="inlineStr">
        <is>
          <t xml:space="preserve">-</t>
        </is>
      </c>
      <c r="G1308" s="5">
        <v>0.19111665</v>
      </c>
      <c r="H1308" s="0" t="inlineStr">
        <is>
          <t xml:space="preserve">supplier</t>
        </is>
      </c>
      <c r="I1308" s="0" t="inlineStr">
        <is>
          <t xml:space="preserve">unbucketed</t>
        </is>
      </c>
      <c r="J1308" s="0" t="inlineStr">
        <is>
          <t xml:space="preserve">residual</t>
        </is>
      </c>
      <c r="K1308" s="5">
        <v>0</v>
      </c>
      <c r="L1308" s="5">
        <v>0</v>
      </c>
      <c r="M1308" s="5">
        <v>0.0</v>
      </c>
      <c r="N1308" s="5">
        <v>0.0</v>
      </c>
      <c r="O1308" s="5">
        <v>0.0</v>
      </c>
      <c r="P1308" s="5">
        <v>0.0</v>
      </c>
      <c r="Q1308" s="5">
        <v>0.0</v>
      </c>
    </row>
    <row r="1309" outlineLevel="1">
      <c r="B1309" s="0" t="inlineStr">
        <is>
          <t xml:space="preserve">A &amp; A MACHINE CO INC</t>
        </is>
      </c>
      <c r="C1309" s="0" t="inlineStr">
        <is>
          <t xml:space="preserve">RBH1T4FLDYN5</t>
        </is>
      </c>
      <c r="D1309" s="0" t="inlineStr">
        <is>
          <t xml:space="preserve">-</t>
        </is>
      </c>
      <c r="E1309" s="0" t="inlineStr">
        <is>
          <t xml:space="preserve">-</t>
        </is>
      </c>
      <c r="F1309" s="0" t="inlineStr">
        <is>
          <t xml:space="preserve">-</t>
        </is>
      </c>
      <c r="G1309" s="5">
        <v>0.19059416</v>
      </c>
      <c r="H1309" s="0" t="inlineStr">
        <is>
          <t xml:space="preserve">supplier</t>
        </is>
      </c>
      <c r="I1309" s="0" t="inlineStr">
        <is>
          <t xml:space="preserve">unbucketed</t>
        </is>
      </c>
      <c r="J1309" s="0" t="inlineStr">
        <is>
          <t xml:space="preserve">residual</t>
        </is>
      </c>
      <c r="K1309" s="5">
        <v>0</v>
      </c>
      <c r="L1309" s="5">
        <v>0</v>
      </c>
      <c r="M1309" s="5">
        <v>0.0</v>
      </c>
      <c r="N1309" s="5">
        <v>0.0</v>
      </c>
      <c r="O1309" s="5">
        <v>0.0</v>
      </c>
      <c r="P1309" s="5">
        <v>0.0</v>
      </c>
      <c r="Q1309" s="5">
        <v>0.0</v>
      </c>
    </row>
    <row r="1310" outlineLevel="1">
      <c r="B1310" s="0" t="inlineStr">
        <is>
          <t xml:space="preserve">HONEYWELL SAFETY PRODUCTS USA, INC.</t>
        </is>
      </c>
      <c r="C1310" s="0" t="inlineStr">
        <is>
          <t xml:space="preserve">TKE2CB4A5YW4</t>
        </is>
      </c>
      <c r="D1310" s="0" t="inlineStr">
        <is>
          <t xml:space="preserve">-</t>
        </is>
      </c>
      <c r="E1310" s="0" t="inlineStr">
        <is>
          <t xml:space="preserve">-</t>
        </is>
      </c>
      <c r="F1310" s="0" t="inlineStr">
        <is>
          <t xml:space="preserve">-</t>
        </is>
      </c>
      <c r="G1310" s="5">
        <v>0.19029614</v>
      </c>
      <c r="H1310" s="0" t="inlineStr">
        <is>
          <t xml:space="preserve">supplier</t>
        </is>
      </c>
      <c r="I1310" s="0" t="inlineStr">
        <is>
          <t xml:space="preserve">unbucketed</t>
        </is>
      </c>
      <c r="J1310" s="0" t="inlineStr">
        <is>
          <t xml:space="preserve">residual</t>
        </is>
      </c>
      <c r="K1310" s="5">
        <v>0</v>
      </c>
      <c r="L1310" s="5">
        <v>0</v>
      </c>
      <c r="M1310" s="5">
        <v>0.09897</v>
      </c>
      <c r="N1310" s="5">
        <v>0.0</v>
      </c>
      <c r="O1310" s="5">
        <v>0.0</v>
      </c>
      <c r="P1310" s="5">
        <v>0.09897</v>
      </c>
      <c r="Q1310" s="5">
        <v>0.0</v>
      </c>
    </row>
    <row r="1311" outlineLevel="1">
      <c r="B1311" s="0" t="inlineStr">
        <is>
          <t xml:space="preserve">PARKER-HANNIFIN CORPORATION</t>
        </is>
      </c>
      <c r="C1311" s="0" t="inlineStr">
        <is>
          <t xml:space="preserve">CYUNBAPLQXN8</t>
        </is>
      </c>
      <c r="D1311" s="0" t="inlineStr">
        <is>
          <t xml:space="preserve">USA</t>
        </is>
      </c>
      <c r="E1311" s="0" t="inlineStr">
        <is>
          <t xml:space="preserve">5511</t>
        </is>
      </c>
      <c r="F1311" s="0" t="inlineStr">
        <is>
          <t xml:space="preserve">Corporate, Subsidiary, and Regional Managing Offices</t>
        </is>
      </c>
      <c r="G1311" s="5">
        <v>0.18973824</v>
      </c>
      <c r="H1311" s="0" t="inlineStr">
        <is>
          <t xml:space="preserve">holding</t>
        </is>
      </c>
      <c r="I1311" s="0" t="inlineStr">
        <is>
          <t xml:space="preserve">-</t>
        </is>
      </c>
      <c r="J1311" s="0" t="inlineStr">
        <is>
          <t xml:space="preserve">holding-co (5511)</t>
        </is>
      </c>
      <c r="K1311" s="5">
        <v>0</v>
      </c>
      <c r="L1311" s="5">
        <v>0</v>
      </c>
      <c r="M1311" s="5">
        <v>0.0</v>
      </c>
      <c r="N1311" s="5">
        <v>0.0</v>
      </c>
      <c r="O1311" s="5">
        <v>0.0</v>
      </c>
      <c r="P1311" s="5">
        <v>0.0</v>
      </c>
      <c r="Q1311" s="5">
        <v>0.0</v>
      </c>
    </row>
    <row r="1312" outlineLevel="1">
      <c r="B1312" s="0" t="inlineStr">
        <is>
          <t xml:space="preserve">ONEXIA, INC.</t>
        </is>
      </c>
      <c r="C1312" s="0" t="inlineStr">
        <is>
          <t xml:space="preserve">QZDVJJHSMJK1</t>
        </is>
      </c>
      <c r="D1312" s="0" t="inlineStr">
        <is>
          <t xml:space="preserve">-</t>
        </is>
      </c>
      <c r="E1312" s="0" t="inlineStr">
        <is>
          <t xml:space="preserve">-</t>
        </is>
      </c>
      <c r="F1312" s="0" t="inlineStr">
        <is>
          <t xml:space="preserve">-</t>
        </is>
      </c>
      <c r="G1312" s="5">
        <v>0.189</v>
      </c>
      <c r="H1312" s="0" t="inlineStr">
        <is>
          <t xml:space="preserve">supplier</t>
        </is>
      </c>
      <c r="I1312" s="0" t="inlineStr">
        <is>
          <t xml:space="preserve">unbucketed</t>
        </is>
      </c>
      <c r="J1312" s="0" t="inlineStr">
        <is>
          <t xml:space="preserve">residual</t>
        </is>
      </c>
      <c r="K1312" s="5">
        <v>0</v>
      </c>
      <c r="L1312" s="5">
        <v>0</v>
      </c>
      <c r="M1312" s="5">
        <v>0.0</v>
      </c>
      <c r="N1312" s="5">
        <v>0.0</v>
      </c>
      <c r="O1312" s="5">
        <v>0.0</v>
      </c>
      <c r="P1312" s="5">
        <v>0.0</v>
      </c>
      <c r="Q1312" s="5">
        <v>0.0</v>
      </c>
    </row>
    <row r="1313" outlineLevel="1">
      <c r="B1313" s="0" t="inlineStr">
        <is>
          <t xml:space="preserve">DOW-KEY MICROWAVE CORPORATION</t>
        </is>
      </c>
      <c r="C1313" s="0" t="inlineStr">
        <is>
          <t xml:space="preserve">CY8NHKM9KM17</t>
        </is>
      </c>
      <c r="D1313" s="0" t="inlineStr">
        <is>
          <t xml:space="preserve">-</t>
        </is>
      </c>
      <c r="E1313" s="0" t="inlineStr">
        <is>
          <t xml:space="preserve">-</t>
        </is>
      </c>
      <c r="F1313" s="0" t="inlineStr">
        <is>
          <t xml:space="preserve">-</t>
        </is>
      </c>
      <c r="G1313" s="5">
        <v>0.188832</v>
      </c>
      <c r="H1313" s="0" t="inlineStr">
        <is>
          <t xml:space="preserve">supplier</t>
        </is>
      </c>
      <c r="I1313" s="0" t="inlineStr">
        <is>
          <t xml:space="preserve">unbucketed</t>
        </is>
      </c>
      <c r="J1313" s="0" t="inlineStr">
        <is>
          <t xml:space="preserve">residual</t>
        </is>
      </c>
      <c r="K1313" s="5">
        <v>0</v>
      </c>
      <c r="L1313" s="5">
        <v>0</v>
      </c>
      <c r="M1313" s="5">
        <v>0.0</v>
      </c>
      <c r="N1313" s="5">
        <v>0.0</v>
      </c>
      <c r="O1313" s="5">
        <v>0.0</v>
      </c>
      <c r="P1313" s="5">
        <v>0.0</v>
      </c>
      <c r="Q1313" s="5">
        <v>0.0</v>
      </c>
    </row>
    <row r="1314" outlineLevel="1">
      <c r="B1314" s="0" t="inlineStr">
        <is>
          <t xml:space="preserve">SURVITEC HOLDINGS 1 LIMITED</t>
        </is>
      </c>
      <c r="C1314" s="0" t="inlineStr">
        <is>
          <t xml:space="preserve">V32LJNFLKBT7</t>
        </is>
      </c>
      <c r="D1314" s="0" t="inlineStr">
        <is>
          <t xml:space="preserve">-</t>
        </is>
      </c>
      <c r="E1314" s="0" t="inlineStr">
        <is>
          <t xml:space="preserve">-</t>
        </is>
      </c>
      <c r="F1314" s="0" t="inlineStr">
        <is>
          <t xml:space="preserve">-</t>
        </is>
      </c>
      <c r="G1314" s="5">
        <v>0.186371</v>
      </c>
      <c r="H1314" s="0" t="inlineStr">
        <is>
          <t xml:space="preserve">supplier</t>
        </is>
      </c>
      <c r="I1314" s="0" t="inlineStr">
        <is>
          <t xml:space="preserve">unbucketed</t>
        </is>
      </c>
      <c r="J1314" s="0" t="inlineStr">
        <is>
          <t xml:space="preserve">residual</t>
        </is>
      </c>
      <c r="K1314" s="5">
        <v>0</v>
      </c>
      <c r="L1314" s="5">
        <v>0</v>
      </c>
      <c r="M1314" s="5">
        <v>0.186371</v>
      </c>
      <c r="N1314" s="5">
        <v>0.0</v>
      </c>
      <c r="O1314" s="5">
        <v>0.0</v>
      </c>
      <c r="P1314" s="5">
        <v>0.0</v>
      </c>
      <c r="Q1314" s="5">
        <v>0.0</v>
      </c>
    </row>
    <row r="1315" outlineLevel="1">
      <c r="B1315" s="0" t="inlineStr">
        <is>
          <t xml:space="preserve">SURVITEC GROUP LIMITED</t>
        </is>
      </c>
      <c r="C1315" s="0" t="inlineStr">
        <is>
          <t xml:space="preserve">V32LJNFLKBT7</t>
        </is>
      </c>
      <c r="D1315" s="0" t="inlineStr">
        <is>
          <t xml:space="preserve">-</t>
        </is>
      </c>
      <c r="E1315" s="0" t="inlineStr">
        <is>
          <t xml:space="preserve">-</t>
        </is>
      </c>
      <c r="F1315" s="0" t="inlineStr">
        <is>
          <t xml:space="preserve">-</t>
        </is>
      </c>
      <c r="G1315" s="5">
        <v>0.186371</v>
      </c>
      <c r="H1315" s="0" t="inlineStr">
        <is>
          <t xml:space="preserve">supplier</t>
        </is>
      </c>
      <c r="I1315" s="0" t="inlineStr">
        <is>
          <t xml:space="preserve">unbucketed</t>
        </is>
      </c>
      <c r="J1315" s="0" t="inlineStr">
        <is>
          <t xml:space="preserve">residual</t>
        </is>
      </c>
      <c r="K1315" s="5">
        <v>0</v>
      </c>
      <c r="L1315" s="5">
        <v>0</v>
      </c>
      <c r="M1315" s="5">
        <v>0.186371</v>
      </c>
      <c r="N1315" s="5">
        <v>0.0</v>
      </c>
      <c r="O1315" s="5">
        <v>0.0</v>
      </c>
      <c r="P1315" s="5">
        <v>0.0</v>
      </c>
      <c r="Q1315" s="5">
        <v>0.0</v>
      </c>
    </row>
    <row r="1316" outlineLevel="1">
      <c r="B1316" s="0" t="inlineStr">
        <is>
          <t xml:space="preserve">COMPUTER CONVERSIONS CORP</t>
        </is>
      </c>
      <c r="C1316" s="0" t="inlineStr">
        <is>
          <t xml:space="preserve">PR7QMALR6TN4</t>
        </is>
      </c>
      <c r="D1316" s="0" t="inlineStr">
        <is>
          <t xml:space="preserve">-</t>
        </is>
      </c>
      <c r="E1316" s="0" t="inlineStr">
        <is>
          <t xml:space="preserve">-</t>
        </is>
      </c>
      <c r="F1316" s="0" t="inlineStr">
        <is>
          <t xml:space="preserve">-</t>
        </is>
      </c>
      <c r="G1316" s="5">
        <v>0.18625</v>
      </c>
      <c r="H1316" s="0" t="inlineStr">
        <is>
          <t xml:space="preserve">supplier</t>
        </is>
      </c>
      <c r="I1316" s="0" t="inlineStr">
        <is>
          <t xml:space="preserve">unbucketed</t>
        </is>
      </c>
      <c r="J1316" s="0" t="inlineStr">
        <is>
          <t xml:space="preserve">residual</t>
        </is>
      </c>
      <c r="K1316" s="5">
        <v>0</v>
      </c>
      <c r="L1316" s="5">
        <v>0</v>
      </c>
      <c r="M1316" s="5">
        <v>0.0</v>
      </c>
      <c r="N1316" s="5">
        <v>0.0</v>
      </c>
      <c r="O1316" s="5">
        <v>0.0</v>
      </c>
      <c r="P1316" s="5">
        <v>0.0</v>
      </c>
      <c r="Q1316" s="5">
        <v>0.0</v>
      </c>
    </row>
    <row r="1317" outlineLevel="1">
      <c r="B1317" s="0" t="inlineStr">
        <is>
          <t xml:space="preserve">SHI INTERNATIONAL CORP.</t>
        </is>
      </c>
      <c r="C1317" s="0" t="inlineStr">
        <is>
          <t xml:space="preserve">CEFCD41CLDJ8</t>
        </is>
      </c>
      <c r="D1317" s="0" t="inlineStr">
        <is>
          <t xml:space="preserve">-</t>
        </is>
      </c>
      <c r="E1317" s="0" t="inlineStr">
        <is>
          <t xml:space="preserve">-</t>
        </is>
      </c>
      <c r="F1317" s="0" t="inlineStr">
        <is>
          <t xml:space="preserve">-</t>
        </is>
      </c>
      <c r="G1317" s="5">
        <v>0.18622460000000002</v>
      </c>
      <c r="H1317" s="0" t="inlineStr">
        <is>
          <t xml:space="preserve">supplier</t>
        </is>
      </c>
      <c r="I1317" s="0" t="inlineStr">
        <is>
          <t xml:space="preserve">unbucketed</t>
        </is>
      </c>
      <c r="J1317" s="0" t="inlineStr">
        <is>
          <t xml:space="preserve">residual</t>
        </is>
      </c>
      <c r="K1317" s="5">
        <v>0</v>
      </c>
      <c r="L1317" s="5">
        <v>0</v>
      </c>
      <c r="M1317" s="5">
        <v>0.0</v>
      </c>
      <c r="N1317" s="5">
        <v>0.0</v>
      </c>
      <c r="O1317" s="5">
        <v>0.0</v>
      </c>
      <c r="P1317" s="5">
        <v>0.0</v>
      </c>
      <c r="Q1317" s="5">
        <v>0.0</v>
      </c>
    </row>
    <row r="1318" outlineLevel="1">
      <c r="B1318" s="0" t="inlineStr">
        <is>
          <t xml:space="preserve">HOUDSTERMAATSCHAPPIJ WILG B.V.</t>
        </is>
      </c>
      <c r="C1318" s="0" t="inlineStr">
        <is>
          <t xml:space="preserve">LGVPVLMRHH51</t>
        </is>
      </c>
      <c r="D1318" s="0" t="inlineStr">
        <is>
          <t xml:space="preserve">-</t>
        </is>
      </c>
      <c r="E1318" s="0" t="inlineStr">
        <is>
          <t xml:space="preserve">-</t>
        </is>
      </c>
      <c r="F1318" s="0" t="inlineStr">
        <is>
          <t xml:space="preserve">-</t>
        </is>
      </c>
      <c r="G1318" s="5">
        <v>0.18542053999999997</v>
      </c>
      <c r="H1318" s="0" t="inlineStr">
        <is>
          <t xml:space="preserve">supplier</t>
        </is>
      </c>
      <c r="I1318" s="0" t="inlineStr">
        <is>
          <t xml:space="preserve">piping</t>
        </is>
      </c>
      <c r="J1318" s="0" t="inlineStr">
        <is>
          <t xml:space="preserve">registry</t>
        </is>
      </c>
      <c r="K1318" s="5">
        <v>0</v>
      </c>
      <c r="L1318" s="5">
        <v>0</v>
      </c>
      <c r="M1318" s="5">
        <v>0.18542053999999997</v>
      </c>
      <c r="N1318" s="5">
        <v>0.0</v>
      </c>
      <c r="O1318" s="5">
        <v>0.0</v>
      </c>
      <c r="P1318" s="5">
        <v>0.0</v>
      </c>
      <c r="Q1318" s="5">
        <v>0.0</v>
      </c>
    </row>
    <row r="1319" outlineLevel="1">
      <c r="B1319" s="0" t="inlineStr">
        <is>
          <t xml:space="preserve">KRATOS DEFENSE &amp; SECURITY SOLUTIONS, INC.</t>
        </is>
      </c>
      <c r="C1319" s="0" t="inlineStr">
        <is>
          <t xml:space="preserve">GURMFDFLENX4</t>
        </is>
      </c>
      <c r="D1319" s="0" t="inlineStr">
        <is>
          <t xml:space="preserve">-</t>
        </is>
      </c>
      <c r="E1319" s="0" t="inlineStr">
        <is>
          <t xml:space="preserve">-</t>
        </is>
      </c>
      <c r="F1319" s="0" t="inlineStr">
        <is>
          <t xml:space="preserve">-</t>
        </is>
      </c>
      <c r="G1319" s="5">
        <v>0.18510919999999997</v>
      </c>
      <c r="H1319" s="0" t="inlineStr">
        <is>
          <t xml:space="preserve">supplier</t>
        </is>
      </c>
      <c r="I1319" s="0" t="inlineStr">
        <is>
          <t xml:space="preserve">unbucketed</t>
        </is>
      </c>
      <c r="J1319" s="0" t="inlineStr">
        <is>
          <t xml:space="preserve">residual</t>
        </is>
      </c>
      <c r="K1319" s="5">
        <v>0</v>
      </c>
      <c r="L1319" s="5">
        <v>0</v>
      </c>
      <c r="M1319" s="5">
        <v>0.0</v>
      </c>
      <c r="N1319" s="5">
        <v>0.0</v>
      </c>
      <c r="O1319" s="5">
        <v>0.0</v>
      </c>
      <c r="P1319" s="5">
        <v>0.0</v>
      </c>
      <c r="Q1319" s="5">
        <v>0.0</v>
      </c>
    </row>
    <row r="1320" outlineLevel="1">
      <c r="B1320" s="0" t="inlineStr">
        <is>
          <t xml:space="preserve">BASIC RUBBER AND PLASTICS CO.</t>
        </is>
      </c>
      <c r="C1320" s="0" t="inlineStr">
        <is>
          <t xml:space="preserve">V8M7VR28LYL1</t>
        </is>
      </c>
      <c r="D1320" s="0" t="inlineStr">
        <is>
          <t xml:space="preserve">-</t>
        </is>
      </c>
      <c r="E1320" s="0" t="inlineStr">
        <is>
          <t xml:space="preserve">-</t>
        </is>
      </c>
      <c r="F1320" s="0" t="inlineStr">
        <is>
          <t xml:space="preserve">-</t>
        </is>
      </c>
      <c r="G1320" s="5">
        <v>0.18485102</v>
      </c>
      <c r="H1320" s="0" t="inlineStr">
        <is>
          <t xml:space="preserve">supplier</t>
        </is>
      </c>
      <c r="I1320" s="0" t="inlineStr">
        <is>
          <t xml:space="preserve">unbucketed</t>
        </is>
      </c>
      <c r="J1320" s="0" t="inlineStr">
        <is>
          <t xml:space="preserve">residual</t>
        </is>
      </c>
      <c r="K1320" s="5">
        <v>0</v>
      </c>
      <c r="L1320" s="5">
        <v>0</v>
      </c>
      <c r="M1320" s="5">
        <v>0.0</v>
      </c>
      <c r="N1320" s="5">
        <v>0.0</v>
      </c>
      <c r="O1320" s="5">
        <v>0.0</v>
      </c>
      <c r="P1320" s="5">
        <v>0.0</v>
      </c>
      <c r="Q1320" s="5">
        <v>0.0</v>
      </c>
    </row>
    <row r="1321" outlineLevel="1">
      <c r="B1321" s="0" t="inlineStr">
        <is>
          <t xml:space="preserve">PANTHER PRECISION MACHINE, INCORPORATED</t>
        </is>
      </c>
      <c r="C1321" s="0" t="inlineStr">
        <is>
          <t xml:space="preserve">F3QWAEK8UPR8</t>
        </is>
      </c>
      <c r="D1321" s="0" t="inlineStr">
        <is>
          <t xml:space="preserve">-</t>
        </is>
      </c>
      <c r="E1321" s="0" t="inlineStr">
        <is>
          <t xml:space="preserve">-</t>
        </is>
      </c>
      <c r="F1321" s="0" t="inlineStr">
        <is>
          <t xml:space="preserve">-</t>
        </is>
      </c>
      <c r="G1321" s="5">
        <v>0.18389</v>
      </c>
      <c r="H1321" s="0" t="inlineStr">
        <is>
          <t xml:space="preserve">supplier</t>
        </is>
      </c>
      <c r="I1321" s="0" t="inlineStr">
        <is>
          <t xml:space="preserve">unbucketed</t>
        </is>
      </c>
      <c r="J1321" s="0" t="inlineStr">
        <is>
          <t xml:space="preserve">residual</t>
        </is>
      </c>
      <c r="K1321" s="5">
        <v>0</v>
      </c>
      <c r="L1321" s="5">
        <v>0</v>
      </c>
      <c r="M1321" s="5">
        <v>0.0</v>
      </c>
      <c r="N1321" s="5">
        <v>0.0</v>
      </c>
      <c r="O1321" s="5">
        <v>0.0</v>
      </c>
      <c r="P1321" s="5">
        <v>0.0</v>
      </c>
      <c r="Q1321" s="5">
        <v>0.0</v>
      </c>
    </row>
    <row r="1322" outlineLevel="1">
      <c r="B1322" s="0" t="inlineStr">
        <is>
          <t xml:space="preserve">PACIFIC MARITIME INDUSTRIES CORP.</t>
        </is>
      </c>
      <c r="C1322" s="0" t="inlineStr">
        <is>
          <t xml:space="preserve">NB6DNPN49S95</t>
        </is>
      </c>
      <c r="D1322" s="0" t="inlineStr">
        <is>
          <t xml:space="preserve">-</t>
        </is>
      </c>
      <c r="E1322" s="0" t="inlineStr">
        <is>
          <t xml:space="preserve">-</t>
        </is>
      </c>
      <c r="F1322" s="0" t="inlineStr">
        <is>
          <t xml:space="preserve">-</t>
        </is>
      </c>
      <c r="G1322" s="5">
        <v>0.18328</v>
      </c>
      <c r="H1322" s="0" t="inlineStr">
        <is>
          <t xml:space="preserve">supplier</t>
        </is>
      </c>
      <c r="I1322" s="0" t="inlineStr">
        <is>
          <t xml:space="preserve">unbucketed</t>
        </is>
      </c>
      <c r="J1322" s="0" t="inlineStr">
        <is>
          <t xml:space="preserve">residual</t>
        </is>
      </c>
      <c r="K1322" s="5">
        <v>0</v>
      </c>
      <c r="L1322" s="5">
        <v>0</v>
      </c>
      <c r="M1322" s="5">
        <v>0.0</v>
      </c>
      <c r="N1322" s="5">
        <v>0.0</v>
      </c>
      <c r="O1322" s="5">
        <v>0.0</v>
      </c>
      <c r="P1322" s="5">
        <v>0.0</v>
      </c>
      <c r="Q1322" s="5">
        <v>0.0</v>
      </c>
    </row>
    <row r="1323" outlineLevel="1">
      <c r="B1323" s="0" t="inlineStr">
        <is>
          <t xml:space="preserve">THERMA, LLC</t>
        </is>
      </c>
      <c r="C1323" s="0" t="inlineStr">
        <is>
          <t xml:space="preserve">D7GHHEGVNK24</t>
        </is>
      </c>
      <c r="D1323" s="0" t="inlineStr">
        <is>
          <t xml:space="preserve">-</t>
        </is>
      </c>
      <c r="E1323" s="0" t="inlineStr">
        <is>
          <t xml:space="preserve">-</t>
        </is>
      </c>
      <c r="F1323" s="0" t="inlineStr">
        <is>
          <t xml:space="preserve">-</t>
        </is>
      </c>
      <c r="G1323" s="5">
        <v>0.183096</v>
      </c>
      <c r="H1323" s="0" t="inlineStr">
        <is>
          <t xml:space="preserve">supplier</t>
        </is>
      </c>
      <c r="I1323" s="0" t="inlineStr">
        <is>
          <t xml:space="preserve">unbucketed</t>
        </is>
      </c>
      <c r="J1323" s="0" t="inlineStr">
        <is>
          <t xml:space="preserve">residual</t>
        </is>
      </c>
      <c r="K1323" s="5">
        <v>0</v>
      </c>
      <c r="L1323" s="5">
        <v>0</v>
      </c>
      <c r="M1323" s="5">
        <v>0.0</v>
      </c>
      <c r="N1323" s="5">
        <v>0.0</v>
      </c>
      <c r="O1323" s="5">
        <v>0.0</v>
      </c>
      <c r="P1323" s="5">
        <v>0.0</v>
      </c>
      <c r="Q1323" s="5">
        <v>0.0</v>
      </c>
    </row>
    <row r="1324" outlineLevel="1">
      <c r="B1324" s="0" t="inlineStr">
        <is>
          <t xml:space="preserve">SEATECH PRODUCTS</t>
        </is>
      </c>
      <c r="C1324" s="0" t="inlineStr">
        <is>
          <t xml:space="preserve">XTB5UHKL6VE8</t>
        </is>
      </c>
      <c r="D1324" s="0" t="inlineStr">
        <is>
          <t xml:space="preserve">-</t>
        </is>
      </c>
      <c r="E1324" s="0" t="inlineStr">
        <is>
          <t xml:space="preserve">-</t>
        </is>
      </c>
      <c r="F1324" s="0" t="inlineStr">
        <is>
          <t xml:space="preserve">-</t>
        </is>
      </c>
      <c r="G1324" s="5">
        <v>0.182829</v>
      </c>
      <c r="H1324" s="0" t="inlineStr">
        <is>
          <t xml:space="preserve">supplier</t>
        </is>
      </c>
      <c r="I1324" s="0" t="inlineStr">
        <is>
          <t xml:space="preserve">unbucketed</t>
        </is>
      </c>
      <c r="J1324" s="0" t="inlineStr">
        <is>
          <t xml:space="preserve">residual</t>
        </is>
      </c>
      <c r="K1324" s="5">
        <v>0</v>
      </c>
      <c r="L1324" s="5">
        <v>0</v>
      </c>
      <c r="M1324" s="5">
        <v>0.0</v>
      </c>
      <c r="N1324" s="5">
        <v>0.0</v>
      </c>
      <c r="O1324" s="5">
        <v>0.0</v>
      </c>
      <c r="P1324" s="5">
        <v>0.0</v>
      </c>
      <c r="Q1324" s="5">
        <v>0.0</v>
      </c>
    </row>
    <row r="1325" outlineLevel="1">
      <c r="B1325" s="0" t="inlineStr">
        <is>
          <t xml:space="preserve">EMERGENT, LLC</t>
        </is>
      </c>
      <c r="C1325" s="0" t="inlineStr">
        <is>
          <t xml:space="preserve">NUNVJJM2UYY1</t>
        </is>
      </c>
      <c r="D1325" s="0" t="inlineStr">
        <is>
          <t xml:space="preserve">-</t>
        </is>
      </c>
      <c r="E1325" s="0" t="inlineStr">
        <is>
          <t xml:space="preserve">-</t>
        </is>
      </c>
      <c r="F1325" s="0" t="inlineStr">
        <is>
          <t xml:space="preserve">-</t>
        </is>
      </c>
      <c r="G1325" s="5">
        <v>0.18218772</v>
      </c>
      <c r="H1325" s="0" t="inlineStr">
        <is>
          <t xml:space="preserve">supplier</t>
        </is>
      </c>
      <c r="I1325" s="0" t="inlineStr">
        <is>
          <t xml:space="preserve">unbucketed</t>
        </is>
      </c>
      <c r="J1325" s="0" t="inlineStr">
        <is>
          <t xml:space="preserve">residual</t>
        </is>
      </c>
      <c r="K1325" s="5">
        <v>0</v>
      </c>
      <c r="L1325" s="5">
        <v>0</v>
      </c>
      <c r="M1325" s="5">
        <v>0.0</v>
      </c>
      <c r="N1325" s="5">
        <v>0.0</v>
      </c>
      <c r="O1325" s="5">
        <v>0.0</v>
      </c>
      <c r="P1325" s="5">
        <v>0.0</v>
      </c>
      <c r="Q1325" s="5">
        <v>0.0</v>
      </c>
    </row>
    <row r="1326" outlineLevel="1">
      <c r="B1326" s="0" t="inlineStr">
        <is>
          <t xml:space="preserve">TOOL-SMITH COMPANY, INCORPORATED</t>
        </is>
      </c>
      <c r="C1326" s="0" t="inlineStr">
        <is>
          <t xml:space="preserve">S1TGQ9L36486</t>
        </is>
      </c>
      <c r="D1326" s="0" t="inlineStr">
        <is>
          <t xml:space="preserve">-</t>
        </is>
      </c>
      <c r="E1326" s="0" t="inlineStr">
        <is>
          <t xml:space="preserve">-</t>
        </is>
      </c>
      <c r="F1326" s="0" t="inlineStr">
        <is>
          <t xml:space="preserve">-</t>
        </is>
      </c>
      <c r="G1326" s="5">
        <v>0.18210364</v>
      </c>
      <c r="H1326" s="0" t="inlineStr">
        <is>
          <t xml:space="preserve">supplier</t>
        </is>
      </c>
      <c r="I1326" s="0" t="inlineStr">
        <is>
          <t xml:space="preserve">unbucketed</t>
        </is>
      </c>
      <c r="J1326" s="0" t="inlineStr">
        <is>
          <t xml:space="preserve">residual</t>
        </is>
      </c>
      <c r="K1326" s="5">
        <v>0</v>
      </c>
      <c r="L1326" s="5">
        <v>0</v>
      </c>
      <c r="M1326" s="5">
        <v>0.18210364</v>
      </c>
      <c r="N1326" s="5">
        <v>0.0</v>
      </c>
      <c r="O1326" s="5">
        <v>0.0</v>
      </c>
      <c r="P1326" s="5">
        <v>0.0</v>
      </c>
      <c r="Q1326" s="5">
        <v>0.0</v>
      </c>
    </row>
    <row r="1327" outlineLevel="1">
      <c r="B1327" s="0" t="inlineStr">
        <is>
          <t xml:space="preserve">BULL MOOSE TUBE CO</t>
        </is>
      </c>
      <c r="C1327" s="0" t="inlineStr">
        <is>
          <t xml:space="preserve">KMRUJJMRJSV6</t>
        </is>
      </c>
      <c r="D1327" s="0" t="inlineStr">
        <is>
          <t xml:space="preserve">-</t>
        </is>
      </c>
      <c r="E1327" s="0" t="inlineStr">
        <is>
          <t xml:space="preserve">-</t>
        </is>
      </c>
      <c r="F1327" s="0" t="inlineStr">
        <is>
          <t xml:space="preserve">-</t>
        </is>
      </c>
      <c r="G1327" s="5">
        <v>0.18138432000000002</v>
      </c>
      <c r="H1327" s="0" t="inlineStr">
        <is>
          <t xml:space="preserve">supplier</t>
        </is>
      </c>
      <c r="I1327" s="0" t="inlineStr">
        <is>
          <t xml:space="preserve">unbucketed</t>
        </is>
      </c>
      <c r="J1327" s="0" t="inlineStr">
        <is>
          <t xml:space="preserve">residual</t>
        </is>
      </c>
      <c r="K1327" s="5">
        <v>0</v>
      </c>
      <c r="L1327" s="5">
        <v>0</v>
      </c>
      <c r="M1327" s="5">
        <v>0.0</v>
      </c>
      <c r="N1327" s="5">
        <v>0.0</v>
      </c>
      <c r="O1327" s="5">
        <v>0.0</v>
      </c>
      <c r="P1327" s="5">
        <v>0.0</v>
      </c>
      <c r="Q1327" s="5">
        <v>0.0</v>
      </c>
    </row>
    <row r="1328" outlineLevel="1">
      <c r="B1328" s="0" t="inlineStr">
        <is>
          <t xml:space="preserve">ASC ENGINEERED SOLUTIONS LLC</t>
        </is>
      </c>
      <c r="C1328" s="0" t="inlineStr">
        <is>
          <t xml:space="preserve">KNY4J2WMVJX3</t>
        </is>
      </c>
      <c r="D1328" s="0" t="inlineStr">
        <is>
          <t xml:space="preserve">-</t>
        </is>
      </c>
      <c r="E1328" s="0" t="inlineStr">
        <is>
          <t xml:space="preserve">-</t>
        </is>
      </c>
      <c r="F1328" s="0" t="inlineStr">
        <is>
          <t xml:space="preserve">-</t>
        </is>
      </c>
      <c r="G1328" s="5">
        <v>0.18003252</v>
      </c>
      <c r="H1328" s="0" t="inlineStr">
        <is>
          <t xml:space="preserve">supplier</t>
        </is>
      </c>
      <c r="I1328" s="0" t="inlineStr">
        <is>
          <t xml:space="preserve">unbucketed</t>
        </is>
      </c>
      <c r="J1328" s="0" t="inlineStr">
        <is>
          <t xml:space="preserve">residual</t>
        </is>
      </c>
      <c r="K1328" s="5">
        <v>0</v>
      </c>
      <c r="L1328" s="5">
        <v>0</v>
      </c>
      <c r="M1328" s="5">
        <v>0.18003252</v>
      </c>
      <c r="N1328" s="5">
        <v>0.137663</v>
      </c>
      <c r="O1328" s="5">
        <v>0.0</v>
      </c>
      <c r="P1328" s="5">
        <v>0.0</v>
      </c>
      <c r="Q1328" s="5">
        <v>0.042369519999999994</v>
      </c>
    </row>
    <row r="1329" outlineLevel="1">
      <c r="B1329" s="0" t="inlineStr">
        <is>
          <t xml:space="preserve">ITW FOOD EQUIPMENT GROUP LLC</t>
        </is>
      </c>
      <c r="C1329" s="0" t="inlineStr">
        <is>
          <t xml:space="preserve">LRYRHNM7EHJ8</t>
        </is>
      </c>
      <c r="D1329" s="0" t="inlineStr">
        <is>
          <t xml:space="preserve">-</t>
        </is>
      </c>
      <c r="E1329" s="0" t="inlineStr">
        <is>
          <t xml:space="preserve">-</t>
        </is>
      </c>
      <c r="F1329" s="0" t="inlineStr">
        <is>
          <t xml:space="preserve">-</t>
        </is>
      </c>
      <c r="G1329" s="5">
        <v>0.1787</v>
      </c>
      <c r="H1329" s="0" t="inlineStr">
        <is>
          <t xml:space="preserve">supplier</t>
        </is>
      </c>
      <c r="I1329" s="0" t="inlineStr">
        <is>
          <t xml:space="preserve">unbucketed</t>
        </is>
      </c>
      <c r="J1329" s="0" t="inlineStr">
        <is>
          <t xml:space="preserve">residual</t>
        </is>
      </c>
      <c r="K1329" s="5">
        <v>0</v>
      </c>
      <c r="L1329" s="5">
        <v>0</v>
      </c>
      <c r="M1329" s="5">
        <v>0.1787</v>
      </c>
      <c r="N1329" s="5">
        <v>0.0</v>
      </c>
      <c r="O1329" s="5">
        <v>0.0</v>
      </c>
      <c r="P1329" s="5">
        <v>0.0</v>
      </c>
      <c r="Q1329" s="5">
        <v>0.0</v>
      </c>
    </row>
    <row r="1330" outlineLevel="1">
      <c r="B1330" s="0" t="inlineStr">
        <is>
          <t xml:space="preserve">SYSTEMS ENGINEERING SUPPORT CO.</t>
        </is>
      </c>
      <c r="C1330" s="0" t="inlineStr">
        <is>
          <t xml:space="preserve">WH4DRDKB7RR8</t>
        </is>
      </c>
      <c r="D1330" s="0" t="inlineStr">
        <is>
          <t xml:space="preserve">-</t>
        </is>
      </c>
      <c r="E1330" s="0" t="inlineStr">
        <is>
          <t xml:space="preserve">-</t>
        </is>
      </c>
      <c r="F1330" s="0" t="inlineStr">
        <is>
          <t xml:space="preserve">-</t>
        </is>
      </c>
      <c r="G1330" s="5">
        <v>0.17837557</v>
      </c>
      <c r="H1330" s="0" t="inlineStr">
        <is>
          <t xml:space="preserve">supplier</t>
        </is>
      </c>
      <c r="I1330" s="0" t="inlineStr">
        <is>
          <t xml:space="preserve">unbucketed</t>
        </is>
      </c>
      <c r="J1330" s="0" t="inlineStr">
        <is>
          <t xml:space="preserve">residual</t>
        </is>
      </c>
      <c r="K1330" s="5">
        <v>0</v>
      </c>
      <c r="L1330" s="5">
        <v>0</v>
      </c>
      <c r="M1330" s="5">
        <v>0.17837557</v>
      </c>
      <c r="N1330" s="5">
        <v>0.0</v>
      </c>
      <c r="O1330" s="5">
        <v>0.0</v>
      </c>
      <c r="P1330" s="5">
        <v>0.17837557</v>
      </c>
      <c r="Q1330" s="5">
        <v>0.0</v>
      </c>
    </row>
    <row r="1331" outlineLevel="1">
      <c r="B1331" s="0" t="inlineStr">
        <is>
          <t xml:space="preserve">AGM CONTAINER CONTROLS INC</t>
        </is>
      </c>
      <c r="C1331" s="0" t="inlineStr">
        <is>
          <t xml:space="preserve">LJH7EQHQAK35</t>
        </is>
      </c>
      <c r="D1331" s="0" t="inlineStr">
        <is>
          <t xml:space="preserve">-</t>
        </is>
      </c>
      <c r="E1331" s="0" t="inlineStr">
        <is>
          <t xml:space="preserve">-</t>
        </is>
      </c>
      <c r="F1331" s="0" t="inlineStr">
        <is>
          <t xml:space="preserve">-</t>
        </is>
      </c>
      <c r="G1331" s="5">
        <v>0.17749095</v>
      </c>
      <c r="H1331" s="0" t="inlineStr">
        <is>
          <t xml:space="preserve">supplier</t>
        </is>
      </c>
      <c r="I1331" s="0" t="inlineStr">
        <is>
          <t xml:space="preserve">unbucketed</t>
        </is>
      </c>
      <c r="J1331" s="0" t="inlineStr">
        <is>
          <t xml:space="preserve">residual</t>
        </is>
      </c>
      <c r="K1331" s="5">
        <v>0</v>
      </c>
      <c r="L1331" s="5">
        <v>0</v>
      </c>
      <c r="M1331" s="5">
        <v>0.0</v>
      </c>
      <c r="N1331" s="5">
        <v>0.0</v>
      </c>
      <c r="O1331" s="5">
        <v>0.0</v>
      </c>
      <c r="P1331" s="5">
        <v>0.0</v>
      </c>
      <c r="Q1331" s="5">
        <v>0.0</v>
      </c>
    </row>
    <row r="1332" outlineLevel="1">
      <c r="B1332" s="0" t="inlineStr">
        <is>
          <t xml:space="preserve">EATON CORPORATION PUBLIC LIMITED COMPANY</t>
        </is>
      </c>
      <c r="C1332" s="0" t="inlineStr">
        <is>
          <t xml:space="preserve">NVHCWMS3XHA8</t>
        </is>
      </c>
      <c r="D1332" s="0" t="inlineStr">
        <is>
          <t xml:space="preserve">-</t>
        </is>
      </c>
      <c r="E1332" s="0" t="inlineStr">
        <is>
          <t xml:space="preserve">-</t>
        </is>
      </c>
      <c r="F1332" s="0" t="inlineStr">
        <is>
          <t xml:space="preserve">-</t>
        </is>
      </c>
      <c r="G1332" s="5">
        <v>0.1773372</v>
      </c>
      <c r="H1332" s="0" t="inlineStr">
        <is>
          <t xml:space="preserve">supplier</t>
        </is>
      </c>
      <c r="I1332" s="0" t="inlineStr">
        <is>
          <t xml:space="preserve">unbucketed</t>
        </is>
      </c>
      <c r="J1332" s="0" t="inlineStr">
        <is>
          <t xml:space="preserve">residual</t>
        </is>
      </c>
      <c r="K1332" s="5">
        <v>0</v>
      </c>
      <c r="L1332" s="5">
        <v>0</v>
      </c>
      <c r="M1332" s="5">
        <v>0.0</v>
      </c>
      <c r="N1332" s="5">
        <v>0.0</v>
      </c>
      <c r="O1332" s="5">
        <v>0.0</v>
      </c>
      <c r="P1332" s="5">
        <v>0.0</v>
      </c>
      <c r="Q1332" s="5">
        <v>0.0</v>
      </c>
    </row>
    <row r="1333" outlineLevel="1">
      <c r="B1333" s="0" t="inlineStr">
        <is>
          <t xml:space="preserve">ADVANCED COOLING TECHNOLOGIES INC</t>
        </is>
      </c>
      <c r="C1333" s="0" t="inlineStr">
        <is>
          <t xml:space="preserve">Z8KVZV3DR7J4</t>
        </is>
      </c>
      <c r="D1333" s="0" t="inlineStr">
        <is>
          <t xml:space="preserve">-</t>
        </is>
      </c>
      <c r="E1333" s="0" t="inlineStr">
        <is>
          <t xml:space="preserve">-</t>
        </is>
      </c>
      <c r="F1333" s="0" t="inlineStr">
        <is>
          <t xml:space="preserve">-</t>
        </is>
      </c>
      <c r="G1333" s="5">
        <v>0.17670000000000002</v>
      </c>
      <c r="H1333" s="0" t="inlineStr">
        <is>
          <t xml:space="preserve">supplier</t>
        </is>
      </c>
      <c r="I1333" s="0" t="inlineStr">
        <is>
          <t xml:space="preserve">unbucketed</t>
        </is>
      </c>
      <c r="J1333" s="0" t="inlineStr">
        <is>
          <t xml:space="preserve">residual</t>
        </is>
      </c>
      <c r="K1333" s="5">
        <v>0</v>
      </c>
      <c r="L1333" s="5">
        <v>0</v>
      </c>
      <c r="M1333" s="5">
        <v>0.0</v>
      </c>
      <c r="N1333" s="5">
        <v>0.0</v>
      </c>
      <c r="O1333" s="5">
        <v>0.0</v>
      </c>
      <c r="P1333" s="5">
        <v>0.0</v>
      </c>
      <c r="Q1333" s="5">
        <v>0.0</v>
      </c>
    </row>
    <row r="1334" outlineLevel="1">
      <c r="B1334" s="0" t="inlineStr">
        <is>
          <t xml:space="preserve">QUALASTAT ELECTRONICS, INC.</t>
        </is>
      </c>
      <c r="C1334" s="0" t="inlineStr">
        <is>
          <t xml:space="preserve">LVSBF1JHVJG5</t>
        </is>
      </c>
      <c r="D1334" s="0" t="inlineStr">
        <is>
          <t xml:space="preserve">-</t>
        </is>
      </c>
      <c r="E1334" s="0" t="inlineStr">
        <is>
          <t xml:space="preserve">-</t>
        </is>
      </c>
      <c r="F1334" s="0" t="inlineStr">
        <is>
          <t xml:space="preserve">-</t>
        </is>
      </c>
      <c r="G1334" s="5">
        <v>0.1766526</v>
      </c>
      <c r="H1334" s="0" t="inlineStr">
        <is>
          <t xml:space="preserve">supplier</t>
        </is>
      </c>
      <c r="I1334" s="0" t="inlineStr">
        <is>
          <t xml:space="preserve">unbucketed</t>
        </is>
      </c>
      <c r="J1334" s="0" t="inlineStr">
        <is>
          <t xml:space="preserve">residual</t>
        </is>
      </c>
      <c r="K1334" s="5">
        <v>0</v>
      </c>
      <c r="L1334" s="5">
        <v>0</v>
      </c>
      <c r="M1334" s="5">
        <v>0.0</v>
      </c>
      <c r="N1334" s="5">
        <v>0.0</v>
      </c>
      <c r="O1334" s="5">
        <v>0.0</v>
      </c>
      <c r="P1334" s="5">
        <v>0.0</v>
      </c>
      <c r="Q1334" s="5">
        <v>0.0</v>
      </c>
    </row>
    <row r="1335" outlineLevel="1">
      <c r="B1335" s="0" t="inlineStr">
        <is>
          <t xml:space="preserve">ARSENAL HOLDINGS, LLC</t>
        </is>
      </c>
      <c r="C1335" s="0" t="inlineStr">
        <is>
          <t xml:space="preserve">J5AJWFZ9H8Q6</t>
        </is>
      </c>
      <c r="D1335" s="0" t="inlineStr">
        <is>
          <t xml:space="preserve">-</t>
        </is>
      </c>
      <c r="E1335" s="0" t="inlineStr">
        <is>
          <t xml:space="preserve">-</t>
        </is>
      </c>
      <c r="F1335" s="0" t="inlineStr">
        <is>
          <t xml:space="preserve">-</t>
        </is>
      </c>
      <c r="G1335" s="5">
        <v>0.17634218000000002</v>
      </c>
      <c r="H1335" s="0" t="inlineStr">
        <is>
          <t xml:space="preserve">supplier</t>
        </is>
      </c>
      <c r="I1335" s="0" t="inlineStr">
        <is>
          <t xml:space="preserve">unbucketed</t>
        </is>
      </c>
      <c r="J1335" s="0" t="inlineStr">
        <is>
          <t xml:space="preserve">residual</t>
        </is>
      </c>
      <c r="K1335" s="5">
        <v>0</v>
      </c>
      <c r="L1335" s="5">
        <v>0</v>
      </c>
      <c r="M1335" s="5">
        <v>0.0</v>
      </c>
      <c r="N1335" s="5">
        <v>0.0</v>
      </c>
      <c r="O1335" s="5">
        <v>0.0</v>
      </c>
      <c r="P1335" s="5">
        <v>0.0</v>
      </c>
      <c r="Q1335" s="5">
        <v>0.0</v>
      </c>
    </row>
    <row r="1336" outlineLevel="1">
      <c r="B1336" s="0" t="inlineStr">
        <is>
          <t xml:space="preserve">BESTWELD, INC.</t>
        </is>
      </c>
      <c r="C1336" s="0" t="inlineStr">
        <is>
          <t xml:space="preserve">WWMME88ERQG5</t>
        </is>
      </c>
      <c r="D1336" s="0" t="inlineStr">
        <is>
          <t xml:space="preserve">-</t>
        </is>
      </c>
      <c r="E1336" s="0" t="inlineStr">
        <is>
          <t xml:space="preserve">-</t>
        </is>
      </c>
      <c r="F1336" s="0" t="inlineStr">
        <is>
          <t xml:space="preserve">-</t>
        </is>
      </c>
      <c r="G1336" s="5">
        <v>0.17620049999999998</v>
      </c>
      <c r="H1336" s="0" t="inlineStr">
        <is>
          <t xml:space="preserve">supplier</t>
        </is>
      </c>
      <c r="I1336" s="0" t="inlineStr">
        <is>
          <t xml:space="preserve">unbucketed</t>
        </is>
      </c>
      <c r="J1336" s="0" t="inlineStr">
        <is>
          <t xml:space="preserve">residual</t>
        </is>
      </c>
      <c r="K1336" s="5">
        <v>0</v>
      </c>
      <c r="L1336" s="5">
        <v>0</v>
      </c>
      <c r="M1336" s="5">
        <v>0.17620049999999998</v>
      </c>
      <c r="N1336" s="5">
        <v>0.0906645</v>
      </c>
      <c r="O1336" s="5">
        <v>0.0</v>
      </c>
      <c r="P1336" s="5">
        <v>0.0</v>
      </c>
      <c r="Q1336" s="5">
        <v>0.0</v>
      </c>
    </row>
    <row r="1337" outlineLevel="1">
      <c r="B1337" s="0" t="inlineStr">
        <is>
          <t xml:space="preserve">INFINITE ELECTRONICS INTERNATIONAL, INC.</t>
        </is>
      </c>
      <c r="C1337" s="0" t="inlineStr">
        <is>
          <t xml:space="preserve">NYEMFJ7MMJB5</t>
        </is>
      </c>
      <c r="D1337" s="0" t="inlineStr">
        <is>
          <t xml:space="preserve">-</t>
        </is>
      </c>
      <c r="E1337" s="0" t="inlineStr">
        <is>
          <t xml:space="preserve">-</t>
        </is>
      </c>
      <c r="F1337" s="0" t="inlineStr">
        <is>
          <t xml:space="preserve">-</t>
        </is>
      </c>
      <c r="G1337" s="5">
        <v>0.17570329999999998</v>
      </c>
      <c r="H1337" s="0" t="inlineStr">
        <is>
          <t xml:space="preserve">supplier</t>
        </is>
      </c>
      <c r="I1337" s="0" t="inlineStr">
        <is>
          <t xml:space="preserve">unbucketed</t>
        </is>
      </c>
      <c r="J1337" s="0" t="inlineStr">
        <is>
          <t xml:space="preserve">residual</t>
        </is>
      </c>
      <c r="K1337" s="5">
        <v>0</v>
      </c>
      <c r="L1337" s="5">
        <v>0</v>
      </c>
      <c r="M1337" s="5">
        <v>0.0</v>
      </c>
      <c r="N1337" s="5">
        <v>0.0</v>
      </c>
      <c r="O1337" s="5">
        <v>0.0</v>
      </c>
      <c r="P1337" s="5">
        <v>0.0</v>
      </c>
      <c r="Q1337" s="5">
        <v>0.0</v>
      </c>
    </row>
    <row r="1338" outlineLevel="1">
      <c r="B1338" s="0" t="inlineStr">
        <is>
          <t xml:space="preserve">SENER TAFS SA.</t>
        </is>
      </c>
      <c r="C1338" s="0" t="inlineStr">
        <is>
          <t xml:space="preserve">KQYHKJS57J76</t>
        </is>
      </c>
      <c r="D1338" s="0" t="inlineStr">
        <is>
          <t xml:space="preserve">Foreign</t>
        </is>
      </c>
      <c r="E1338" s="0" t="inlineStr">
        <is>
          <t xml:space="preserve">-</t>
        </is>
      </c>
      <c r="F1338" s="0" t="inlineStr">
        <is>
          <t xml:space="preserve">-</t>
        </is>
      </c>
      <c r="G1338" s="5">
        <v>0.17469348</v>
      </c>
      <c r="H1338" s="0" t="inlineStr">
        <is>
          <t xml:space="preserve">foreign_fms</t>
        </is>
      </c>
      <c r="I1338" s="0" t="inlineStr">
        <is>
          <t xml:space="preserve">-</t>
        </is>
      </c>
      <c r="J1338" s="0" t="inlineStr">
        <is>
          <t xml:space="preserve">registry</t>
        </is>
      </c>
      <c r="K1338" s="5">
        <v>0</v>
      </c>
      <c r="L1338" s="5">
        <v>0</v>
      </c>
      <c r="M1338" s="5">
        <v>0.0</v>
      </c>
      <c r="N1338" s="5">
        <v>0.0</v>
      </c>
      <c r="O1338" s="5">
        <v>0.0</v>
      </c>
      <c r="P1338" s="5">
        <v>0.0</v>
      </c>
      <c r="Q1338" s="5">
        <v>0.0</v>
      </c>
    </row>
    <row r="1339" outlineLevel="1">
      <c r="B1339" s="0" t="inlineStr">
        <is>
          <t xml:space="preserve">TE CONNECTIVITY LTD.</t>
        </is>
      </c>
      <c r="C1339" s="0" t="inlineStr">
        <is>
          <t xml:space="preserve">X28YWLZ3L7S1</t>
        </is>
      </c>
      <c r="D1339" s="0" t="inlineStr">
        <is>
          <t xml:space="preserve">-</t>
        </is>
      </c>
      <c r="E1339" s="0" t="inlineStr">
        <is>
          <t xml:space="preserve">-</t>
        </is>
      </c>
      <c r="F1339" s="0" t="inlineStr">
        <is>
          <t xml:space="preserve">-</t>
        </is>
      </c>
      <c r="G1339" s="5">
        <v>0.17230776000000003</v>
      </c>
      <c r="H1339" s="0" t="inlineStr">
        <is>
          <t xml:space="preserve">supplier</t>
        </is>
      </c>
      <c r="I1339" s="0" t="inlineStr">
        <is>
          <t xml:space="preserve">unbucketed</t>
        </is>
      </c>
      <c r="J1339" s="0" t="inlineStr">
        <is>
          <t xml:space="preserve">residual</t>
        </is>
      </c>
      <c r="K1339" s="5">
        <v>0</v>
      </c>
      <c r="L1339" s="5">
        <v>0</v>
      </c>
      <c r="M1339" s="5">
        <v>0.0</v>
      </c>
      <c r="N1339" s="5">
        <v>0.0</v>
      </c>
      <c r="O1339" s="5">
        <v>0.0</v>
      </c>
      <c r="P1339" s="5">
        <v>0.0</v>
      </c>
      <c r="Q1339" s="5">
        <v>0.0</v>
      </c>
    </row>
    <row r="1340" outlineLevel="1">
      <c r="B1340" s="0" t="inlineStr">
        <is>
          <t xml:space="preserve">WATER RECOVERY, LLC</t>
        </is>
      </c>
      <c r="C1340" s="0" t="inlineStr">
        <is>
          <t xml:space="preserve">KPAKHRJJJBL3</t>
        </is>
      </c>
      <c r="D1340" s="0" t="inlineStr">
        <is>
          <t xml:space="preserve">-</t>
        </is>
      </c>
      <c r="E1340" s="0" t="inlineStr">
        <is>
          <t xml:space="preserve">-</t>
        </is>
      </c>
      <c r="F1340" s="0" t="inlineStr">
        <is>
          <t xml:space="preserve">-</t>
        </is>
      </c>
      <c r="G1340" s="5">
        <v>0.17190349000000002</v>
      </c>
      <c r="H1340" s="0" t="inlineStr">
        <is>
          <t xml:space="preserve">supplier</t>
        </is>
      </c>
      <c r="I1340" s="0" t="inlineStr">
        <is>
          <t xml:space="preserve">unbucketed</t>
        </is>
      </c>
      <c r="J1340" s="0" t="inlineStr">
        <is>
          <t xml:space="preserve">residual</t>
        </is>
      </c>
      <c r="K1340" s="5">
        <v>0</v>
      </c>
      <c r="L1340" s="5">
        <v>0</v>
      </c>
      <c r="M1340" s="5">
        <v>0.0</v>
      </c>
      <c r="N1340" s="5">
        <v>0.0</v>
      </c>
      <c r="O1340" s="5">
        <v>0.0</v>
      </c>
      <c r="P1340" s="5">
        <v>0.0</v>
      </c>
      <c r="Q1340" s="5">
        <v>0.0</v>
      </c>
    </row>
    <row r="1341" outlineLevel="1">
      <c r="B1341" s="0" t="inlineStr">
        <is>
          <t xml:space="preserve">ELECTRONICS INSTRUMENTS &amp; OPTICS INC</t>
        </is>
      </c>
      <c r="C1341" s="0" t="inlineStr">
        <is>
          <t xml:space="preserve">QMMDLDN2D9A1</t>
        </is>
      </c>
      <c r="D1341" s="0" t="inlineStr">
        <is>
          <t xml:space="preserve">-</t>
        </is>
      </c>
      <c r="E1341" s="0" t="inlineStr">
        <is>
          <t xml:space="preserve">-</t>
        </is>
      </c>
      <c r="F1341" s="0" t="inlineStr">
        <is>
          <t xml:space="preserve">-</t>
        </is>
      </c>
      <c r="G1341" s="5">
        <v>0.1717189</v>
      </c>
      <c r="H1341" s="0" t="inlineStr">
        <is>
          <t xml:space="preserve">supplier</t>
        </is>
      </c>
      <c r="I1341" s="0" t="inlineStr">
        <is>
          <t xml:space="preserve">unbucketed</t>
        </is>
      </c>
      <c r="J1341" s="0" t="inlineStr">
        <is>
          <t xml:space="preserve">residual</t>
        </is>
      </c>
      <c r="K1341" s="5">
        <v>0</v>
      </c>
      <c r="L1341" s="5">
        <v>0</v>
      </c>
      <c r="M1341" s="5">
        <v>0.0</v>
      </c>
      <c r="N1341" s="5">
        <v>0.0</v>
      </c>
      <c r="O1341" s="5">
        <v>0.0</v>
      </c>
      <c r="P1341" s="5">
        <v>0.0</v>
      </c>
      <c r="Q1341" s="5">
        <v>0.0</v>
      </c>
    </row>
    <row r="1342" outlineLevel="1">
      <c r="B1342" s="0" t="inlineStr">
        <is>
          <t xml:space="preserve">OMEGA II., INC.</t>
        </is>
      </c>
      <c r="C1342" s="0" t="inlineStr">
        <is>
          <t xml:space="preserve">Z1VWGF454BY7</t>
        </is>
      </c>
      <c r="D1342" s="0" t="inlineStr">
        <is>
          <t xml:space="preserve">-</t>
        </is>
      </c>
      <c r="E1342" s="0" t="inlineStr">
        <is>
          <t xml:space="preserve">-</t>
        </is>
      </c>
      <c r="F1342" s="0" t="inlineStr">
        <is>
          <t xml:space="preserve">-</t>
        </is>
      </c>
      <c r="G1342" s="5">
        <v>0.17106</v>
      </c>
      <c r="H1342" s="0" t="inlineStr">
        <is>
          <t xml:space="preserve">supplier</t>
        </is>
      </c>
      <c r="I1342" s="0" t="inlineStr">
        <is>
          <t xml:space="preserve">unbucketed</t>
        </is>
      </c>
      <c r="J1342" s="0" t="inlineStr">
        <is>
          <t xml:space="preserve">residual</t>
        </is>
      </c>
      <c r="K1342" s="5">
        <v>0</v>
      </c>
      <c r="L1342" s="5">
        <v>0</v>
      </c>
      <c r="M1342" s="5">
        <v>0.0</v>
      </c>
      <c r="N1342" s="5">
        <v>0.0</v>
      </c>
      <c r="O1342" s="5">
        <v>0.0</v>
      </c>
      <c r="P1342" s="5">
        <v>0.0</v>
      </c>
      <c r="Q1342" s="5">
        <v>0.0</v>
      </c>
    </row>
    <row r="1343" outlineLevel="1">
      <c r="B1343" s="0" t="inlineStr">
        <is>
          <t xml:space="preserve">FOX VALLEY METAL TECH INC</t>
        </is>
      </c>
      <c r="C1343" s="0" t="inlineStr">
        <is>
          <t xml:space="preserve">JCVKA8HHMMT5</t>
        </is>
      </c>
      <c r="D1343" s="0" t="inlineStr">
        <is>
          <t xml:space="preserve">-</t>
        </is>
      </c>
      <c r="E1343" s="0" t="inlineStr">
        <is>
          <t xml:space="preserve">-</t>
        </is>
      </c>
      <c r="F1343" s="0" t="inlineStr">
        <is>
          <t xml:space="preserve">-</t>
        </is>
      </c>
      <c r="G1343" s="5">
        <v>0.1707172</v>
      </c>
      <c r="H1343" s="0" t="inlineStr">
        <is>
          <t xml:space="preserve">supplier</t>
        </is>
      </c>
      <c r="I1343" s="0" t="inlineStr">
        <is>
          <t xml:space="preserve">unbucketed</t>
        </is>
      </c>
      <c r="J1343" s="0" t="inlineStr">
        <is>
          <t xml:space="preserve">residual</t>
        </is>
      </c>
      <c r="K1343" s="5">
        <v>0</v>
      </c>
      <c r="L1343" s="5">
        <v>0</v>
      </c>
      <c r="M1343" s="5">
        <v>0.0</v>
      </c>
      <c r="N1343" s="5">
        <v>0.0</v>
      </c>
      <c r="O1343" s="5">
        <v>0.0</v>
      </c>
      <c r="P1343" s="5">
        <v>0.0</v>
      </c>
      <c r="Q1343" s="5">
        <v>0.0</v>
      </c>
    </row>
    <row r="1344" outlineLevel="1">
      <c r="B1344" s="0" t="inlineStr">
        <is>
          <t xml:space="preserve">B &amp; E TOOL COMPANY, INC.</t>
        </is>
      </c>
      <c r="C1344" s="0" t="inlineStr">
        <is>
          <t xml:space="preserve">J8D4M7FDKZF7</t>
        </is>
      </c>
      <c r="D1344" s="0" t="inlineStr">
        <is>
          <t xml:space="preserve">-</t>
        </is>
      </c>
      <c r="E1344" s="0" t="inlineStr">
        <is>
          <t xml:space="preserve">-</t>
        </is>
      </c>
      <c r="F1344" s="0" t="inlineStr">
        <is>
          <t xml:space="preserve">-</t>
        </is>
      </c>
      <c r="G1344" s="5">
        <v>0.170375</v>
      </c>
      <c r="H1344" s="0" t="inlineStr">
        <is>
          <t xml:space="preserve">supplier</t>
        </is>
      </c>
      <c r="I1344" s="0" t="inlineStr">
        <is>
          <t xml:space="preserve">unbucketed</t>
        </is>
      </c>
      <c r="J1344" s="0" t="inlineStr">
        <is>
          <t xml:space="preserve">residual</t>
        </is>
      </c>
      <c r="K1344" s="5">
        <v>0</v>
      </c>
      <c r="L1344" s="5">
        <v>0</v>
      </c>
      <c r="M1344" s="5">
        <v>0.0</v>
      </c>
      <c r="N1344" s="5">
        <v>0.0</v>
      </c>
      <c r="O1344" s="5">
        <v>0.0</v>
      </c>
      <c r="P1344" s="5">
        <v>0.0</v>
      </c>
      <c r="Q1344" s="5">
        <v>0.0</v>
      </c>
    </row>
    <row r="1345" outlineLevel="1">
      <c r="B1345" s="0" t="inlineStr">
        <is>
          <t xml:space="preserve">FEDERAL BRONZE CASTING INDUSTRIES, INC.</t>
        </is>
      </c>
      <c r="C1345" s="0" t="inlineStr">
        <is>
          <t xml:space="preserve">HTR5K76FMH84</t>
        </is>
      </c>
      <c r="D1345" s="0" t="inlineStr">
        <is>
          <t xml:space="preserve">-</t>
        </is>
      </c>
      <c r="E1345" s="0" t="inlineStr">
        <is>
          <t xml:space="preserve">-</t>
        </is>
      </c>
      <c r="F1345" s="0" t="inlineStr">
        <is>
          <t xml:space="preserve">-</t>
        </is>
      </c>
      <c r="G1345" s="5">
        <v>0.169712</v>
      </c>
      <c r="H1345" s="0" t="inlineStr">
        <is>
          <t xml:space="preserve">supplier</t>
        </is>
      </c>
      <c r="I1345" s="0" t="inlineStr">
        <is>
          <t xml:space="preserve">unbucketed</t>
        </is>
      </c>
      <c r="J1345" s="0" t="inlineStr">
        <is>
          <t xml:space="preserve">residual</t>
        </is>
      </c>
      <c r="K1345" s="5">
        <v>0</v>
      </c>
      <c r="L1345" s="5">
        <v>0</v>
      </c>
      <c r="M1345" s="5">
        <v>0.0</v>
      </c>
      <c r="N1345" s="5">
        <v>0.0</v>
      </c>
      <c r="O1345" s="5">
        <v>0.0</v>
      </c>
      <c r="P1345" s="5">
        <v>0.0</v>
      </c>
      <c r="Q1345" s="5">
        <v>0.0</v>
      </c>
    </row>
    <row r="1346" outlineLevel="1">
      <c r="B1346" s="0" t="inlineStr">
        <is>
          <t xml:space="preserve">SMITHS INTERCONNECT, INC.</t>
        </is>
      </c>
      <c r="C1346" s="0" t="inlineStr">
        <is>
          <t xml:space="preserve">LXM1WU4Y1Q63</t>
        </is>
      </c>
      <c r="D1346" s="0" t="inlineStr">
        <is>
          <t xml:space="preserve">-</t>
        </is>
      </c>
      <c r="E1346" s="0" t="inlineStr">
        <is>
          <t xml:space="preserve">-</t>
        </is>
      </c>
      <c r="F1346" s="0" t="inlineStr">
        <is>
          <t xml:space="preserve">-</t>
        </is>
      </c>
      <c r="G1346" s="5">
        <v>0.169685</v>
      </c>
      <c r="H1346" s="0" t="inlineStr">
        <is>
          <t xml:space="preserve">supplier</t>
        </is>
      </c>
      <c r="I1346" s="0" t="inlineStr">
        <is>
          <t xml:space="preserve">unbucketed</t>
        </is>
      </c>
      <c r="J1346" s="0" t="inlineStr">
        <is>
          <t xml:space="preserve">residual</t>
        </is>
      </c>
      <c r="K1346" s="5">
        <v>0</v>
      </c>
      <c r="L1346" s="5">
        <v>0</v>
      </c>
      <c r="M1346" s="5">
        <v>0.0</v>
      </c>
      <c r="N1346" s="5">
        <v>0.0</v>
      </c>
      <c r="O1346" s="5">
        <v>0.0</v>
      </c>
      <c r="P1346" s="5">
        <v>0.0</v>
      </c>
      <c r="Q1346" s="5">
        <v>0.0</v>
      </c>
    </row>
    <row r="1347" outlineLevel="1">
      <c r="B1347" s="0" t="inlineStr">
        <is>
          <t xml:space="preserve">TTM TECHNOLOGIES, INC.</t>
        </is>
      </c>
      <c r="C1347" s="0" t="inlineStr">
        <is>
          <t xml:space="preserve">LGRAV9DLD7D4</t>
        </is>
      </c>
      <c r="D1347" s="0" t="inlineStr">
        <is>
          <t xml:space="preserve">USA</t>
        </is>
      </c>
      <c r="E1347" s="0" t="inlineStr">
        <is>
          <t xml:space="preserve">3342</t>
        </is>
      </c>
      <c r="F1347" s="0" t="inlineStr">
        <is>
          <t xml:space="preserve">Radio and Television Broadcasting and Wireless Communications Equipment Manufacturing</t>
        </is>
      </c>
      <c r="G1347" s="5">
        <v>0.1689</v>
      </c>
      <c r="H1347" s="0" t="inlineStr">
        <is>
          <t xml:space="preserve">mission_systems</t>
        </is>
      </c>
      <c r="I1347" s="0" t="inlineStr">
        <is>
          <t xml:space="preserve">-</t>
        </is>
      </c>
      <c r="J1347" s="0" t="inlineStr">
        <is>
          <t xml:space="preserve">registry</t>
        </is>
      </c>
      <c r="K1347" s="5">
        <v>0</v>
      </c>
      <c r="L1347" s="5">
        <v>0</v>
      </c>
      <c r="M1347" s="5">
        <v>0.0</v>
      </c>
      <c r="N1347" s="5">
        <v>0.0</v>
      </c>
      <c r="O1347" s="5">
        <v>0.0</v>
      </c>
      <c r="P1347" s="5">
        <v>0.0</v>
      </c>
      <c r="Q1347" s="5">
        <v>0.0</v>
      </c>
    </row>
    <row r="1348" outlineLevel="1">
      <c r="B1348" s="0" t="inlineStr">
        <is>
          <t xml:space="preserve">HUNT VALVE COMPANY, INC.</t>
        </is>
      </c>
      <c r="C1348" s="0" t="inlineStr">
        <is>
          <t xml:space="preserve">DJG7NEG7QRK5</t>
        </is>
      </c>
      <c r="D1348" s="0" t="inlineStr">
        <is>
          <t xml:space="preserve">-</t>
        </is>
      </c>
      <c r="E1348" s="0" t="inlineStr">
        <is>
          <t xml:space="preserve">-</t>
        </is>
      </c>
      <c r="F1348" s="0" t="inlineStr">
        <is>
          <t xml:space="preserve">-</t>
        </is>
      </c>
      <c r="G1348" s="5">
        <v>0.1677825</v>
      </c>
      <c r="H1348" s="0" t="inlineStr">
        <is>
          <t xml:space="preserve">supplier</t>
        </is>
      </c>
      <c r="I1348" s="0" t="inlineStr">
        <is>
          <t xml:space="preserve">piping</t>
        </is>
      </c>
      <c r="J1348" s="0" t="inlineStr">
        <is>
          <t xml:space="preserve">registry</t>
        </is>
      </c>
      <c r="K1348" s="5">
        <v>0</v>
      </c>
      <c r="L1348" s="5">
        <v>0</v>
      </c>
      <c r="M1348" s="5">
        <v>0.1677825</v>
      </c>
      <c r="N1348" s="5">
        <v>0.0</v>
      </c>
      <c r="O1348" s="5">
        <v>0.0</v>
      </c>
      <c r="P1348" s="5">
        <v>0.0</v>
      </c>
      <c r="Q1348" s="5">
        <v>0.0</v>
      </c>
    </row>
    <row r="1349" outlineLevel="1">
      <c r="B1349" s="0" t="inlineStr">
        <is>
          <t xml:space="preserve">PARK-OHIO HOLDINGS CORP.</t>
        </is>
      </c>
      <c r="C1349" s="0" t="inlineStr">
        <is>
          <t xml:space="preserve">L4UNPH4DJQJ7</t>
        </is>
      </c>
      <c r="D1349" s="0" t="inlineStr">
        <is>
          <t xml:space="preserve">-</t>
        </is>
      </c>
      <c r="E1349" s="0" t="inlineStr">
        <is>
          <t xml:space="preserve">-</t>
        </is>
      </c>
      <c r="F1349" s="0" t="inlineStr">
        <is>
          <t xml:space="preserve">-</t>
        </is>
      </c>
      <c r="G1349" s="5">
        <v>0.16735839</v>
      </c>
      <c r="H1349" s="0" t="inlineStr">
        <is>
          <t xml:space="preserve">supplier</t>
        </is>
      </c>
      <c r="I1349" s="0" t="inlineStr">
        <is>
          <t xml:space="preserve">unbucketed</t>
        </is>
      </c>
      <c r="J1349" s="0" t="inlineStr">
        <is>
          <t xml:space="preserve">residual</t>
        </is>
      </c>
      <c r="K1349" s="5">
        <v>0</v>
      </c>
      <c r="L1349" s="5">
        <v>0</v>
      </c>
      <c r="M1349" s="5">
        <v>0.0</v>
      </c>
      <c r="N1349" s="5">
        <v>0.0</v>
      </c>
      <c r="O1349" s="5">
        <v>0.0</v>
      </c>
      <c r="P1349" s="5">
        <v>0.0</v>
      </c>
      <c r="Q1349" s="5">
        <v>0.0</v>
      </c>
    </row>
    <row r="1350" outlineLevel="1">
      <c r="B1350" s="0" t="inlineStr">
        <is>
          <t xml:space="preserve">EAST BAY MECHANICAL SERVICES, INC.</t>
        </is>
      </c>
      <c r="C1350" s="0" t="inlineStr">
        <is>
          <t xml:space="preserve">DJYESA6RM8J5</t>
        </is>
      </c>
      <c r="D1350" s="0" t="inlineStr">
        <is>
          <t xml:space="preserve">-</t>
        </is>
      </c>
      <c r="E1350" s="0" t="inlineStr">
        <is>
          <t xml:space="preserve">-</t>
        </is>
      </c>
      <c r="F1350" s="0" t="inlineStr">
        <is>
          <t xml:space="preserve">-</t>
        </is>
      </c>
      <c r="G1350" s="5">
        <v>0.16704</v>
      </c>
      <c r="H1350" s="0" t="inlineStr">
        <is>
          <t xml:space="preserve">supplier</t>
        </is>
      </c>
      <c r="I1350" s="0" t="inlineStr">
        <is>
          <t xml:space="preserve">unbucketed</t>
        </is>
      </c>
      <c r="J1350" s="0" t="inlineStr">
        <is>
          <t xml:space="preserve">residual</t>
        </is>
      </c>
      <c r="K1350" s="5">
        <v>0</v>
      </c>
      <c r="L1350" s="5">
        <v>0</v>
      </c>
      <c r="M1350" s="5">
        <v>0.0</v>
      </c>
      <c r="N1350" s="5">
        <v>0.0</v>
      </c>
      <c r="O1350" s="5">
        <v>0.0</v>
      </c>
      <c r="P1350" s="5">
        <v>0.0</v>
      </c>
      <c r="Q1350" s="5">
        <v>0.0</v>
      </c>
    </row>
    <row r="1351" outlineLevel="1">
      <c r="B1351" s="0" t="inlineStr">
        <is>
          <t xml:space="preserve">SECURITAS AB</t>
        </is>
      </c>
      <c r="C1351" s="0" t="inlineStr">
        <is>
          <t xml:space="preserve">HMBSX7Z72UK4</t>
        </is>
      </c>
      <c r="D1351" s="0" t="inlineStr">
        <is>
          <t xml:space="preserve">-</t>
        </is>
      </c>
      <c r="E1351" s="0" t="inlineStr">
        <is>
          <t xml:space="preserve">-</t>
        </is>
      </c>
      <c r="F1351" s="0" t="inlineStr">
        <is>
          <t xml:space="preserve">-</t>
        </is>
      </c>
      <c r="G1351" s="5">
        <v>0.166365</v>
      </c>
      <c r="H1351" s="0" t="inlineStr">
        <is>
          <t xml:space="preserve">supplier</t>
        </is>
      </c>
      <c r="I1351" s="0" t="inlineStr">
        <is>
          <t xml:space="preserve">unbucketed</t>
        </is>
      </c>
      <c r="J1351" s="0" t="inlineStr">
        <is>
          <t xml:space="preserve">residual</t>
        </is>
      </c>
      <c r="K1351" s="5">
        <v>0</v>
      </c>
      <c r="L1351" s="5">
        <v>0</v>
      </c>
      <c r="M1351" s="5">
        <v>0.166365</v>
      </c>
      <c r="N1351" s="5">
        <v>0.0</v>
      </c>
      <c r="O1351" s="5">
        <v>0.0</v>
      </c>
      <c r="P1351" s="5">
        <v>0.0</v>
      </c>
      <c r="Q1351" s="5">
        <v>0.0</v>
      </c>
    </row>
    <row r="1352" outlineLevel="1">
      <c r="B1352" s="0" t="inlineStr">
        <is>
          <t xml:space="preserve">LINEMASTER SWITCH CORPORATION</t>
        </is>
      </c>
      <c r="C1352" s="0" t="inlineStr">
        <is>
          <t xml:space="preserve">NCLCB9TERCF1</t>
        </is>
      </c>
      <c r="D1352" s="0" t="inlineStr">
        <is>
          <t xml:space="preserve">-</t>
        </is>
      </c>
      <c r="E1352" s="0" t="inlineStr">
        <is>
          <t xml:space="preserve">-</t>
        </is>
      </c>
      <c r="F1352" s="0" t="inlineStr">
        <is>
          <t xml:space="preserve">-</t>
        </is>
      </c>
      <c r="G1352" s="5">
        <v>0.16629011999999999</v>
      </c>
      <c r="H1352" s="0" t="inlineStr">
        <is>
          <t xml:space="preserve">supplier</t>
        </is>
      </c>
      <c r="I1352" s="0" t="inlineStr">
        <is>
          <t xml:space="preserve">unbucketed</t>
        </is>
      </c>
      <c r="J1352" s="0" t="inlineStr">
        <is>
          <t xml:space="preserve">residual</t>
        </is>
      </c>
      <c r="K1352" s="5">
        <v>0</v>
      </c>
      <c r="L1352" s="5">
        <v>0</v>
      </c>
      <c r="M1352" s="5">
        <v>0.0</v>
      </c>
      <c r="N1352" s="5">
        <v>0.0</v>
      </c>
      <c r="O1352" s="5">
        <v>0.0</v>
      </c>
      <c r="P1352" s="5">
        <v>0.0</v>
      </c>
      <c r="Q1352" s="5">
        <v>0.0</v>
      </c>
    </row>
    <row r="1353" outlineLevel="1">
      <c r="B1353" s="0" t="inlineStr">
        <is>
          <t xml:space="preserve">TOOL-SMITH COMPANY, INC</t>
        </is>
      </c>
      <c r="C1353" s="0" t="inlineStr">
        <is>
          <t xml:space="preserve">S1TGQ9L36486</t>
        </is>
      </c>
      <c r="D1353" s="0" t="inlineStr">
        <is>
          <t xml:space="preserve">-</t>
        </is>
      </c>
      <c r="E1353" s="0" t="inlineStr">
        <is>
          <t xml:space="preserve">-</t>
        </is>
      </c>
      <c r="F1353" s="0" t="inlineStr">
        <is>
          <t xml:space="preserve">-</t>
        </is>
      </c>
      <c r="G1353" s="5">
        <v>0.16607591000000002</v>
      </c>
      <c r="H1353" s="0" t="inlineStr">
        <is>
          <t xml:space="preserve">supplier</t>
        </is>
      </c>
      <c r="I1353" s="0" t="inlineStr">
        <is>
          <t xml:space="preserve">unbucketed</t>
        </is>
      </c>
      <c r="J1353" s="0" t="inlineStr">
        <is>
          <t xml:space="preserve">residual</t>
        </is>
      </c>
      <c r="K1353" s="5">
        <v>0</v>
      </c>
      <c r="L1353" s="5">
        <v>0</v>
      </c>
      <c r="M1353" s="5">
        <v>0.16607591000000002</v>
      </c>
      <c r="N1353" s="5">
        <v>0.0</v>
      </c>
      <c r="O1353" s="5">
        <v>0.0</v>
      </c>
      <c r="P1353" s="5">
        <v>0.16607591000000002</v>
      </c>
      <c r="Q1353" s="5">
        <v>0.0</v>
      </c>
    </row>
    <row r="1354" outlineLevel="1">
      <c r="B1354" s="0" t="inlineStr">
        <is>
          <t xml:space="preserve">VICOR CORPORATION</t>
        </is>
      </c>
      <c r="C1354" s="0" t="inlineStr">
        <is>
          <t xml:space="preserve">PZK1KSXFFNX9</t>
        </is>
      </c>
      <c r="D1354" s="0" t="inlineStr">
        <is>
          <t xml:space="preserve">-</t>
        </is>
      </c>
      <c r="E1354" s="0" t="inlineStr">
        <is>
          <t xml:space="preserve">-</t>
        </is>
      </c>
      <c r="F1354" s="0" t="inlineStr">
        <is>
          <t xml:space="preserve">-</t>
        </is>
      </c>
      <c r="G1354" s="5">
        <v>0.165662</v>
      </c>
      <c r="H1354" s="0" t="inlineStr">
        <is>
          <t xml:space="preserve">supplier</t>
        </is>
      </c>
      <c r="I1354" s="0" t="inlineStr">
        <is>
          <t xml:space="preserve">unbucketed</t>
        </is>
      </c>
      <c r="J1354" s="0" t="inlineStr">
        <is>
          <t xml:space="preserve">residual</t>
        </is>
      </c>
      <c r="K1354" s="5">
        <v>0</v>
      </c>
      <c r="L1354" s="5">
        <v>0</v>
      </c>
      <c r="M1354" s="5">
        <v>0.0</v>
      </c>
      <c r="N1354" s="5">
        <v>0.0</v>
      </c>
      <c r="O1354" s="5">
        <v>0.0</v>
      </c>
      <c r="P1354" s="5">
        <v>0.0</v>
      </c>
      <c r="Q1354" s="5">
        <v>0.0</v>
      </c>
    </row>
    <row r="1355" outlineLevel="1">
      <c r="B1355" s="0" t="inlineStr">
        <is>
          <t xml:space="preserve">SUN COUNTRY INDUSTRIES, LLC</t>
        </is>
      </c>
      <c r="C1355" s="0" t="inlineStr">
        <is>
          <t xml:space="preserve">JDNJH4TFTGR9</t>
        </is>
      </c>
      <c r="D1355" s="0" t="inlineStr">
        <is>
          <t xml:space="preserve">-</t>
        </is>
      </c>
      <c r="E1355" s="0" t="inlineStr">
        <is>
          <t xml:space="preserve">-</t>
        </is>
      </c>
      <c r="F1355" s="0" t="inlineStr">
        <is>
          <t xml:space="preserve">-</t>
        </is>
      </c>
      <c r="G1355" s="5">
        <v>0.165491</v>
      </c>
      <c r="H1355" s="0" t="inlineStr">
        <is>
          <t xml:space="preserve">supplier</t>
        </is>
      </c>
      <c r="I1355" s="0" t="inlineStr">
        <is>
          <t xml:space="preserve">unbucketed</t>
        </is>
      </c>
      <c r="J1355" s="0" t="inlineStr">
        <is>
          <t xml:space="preserve">residual</t>
        </is>
      </c>
      <c r="K1355" s="5">
        <v>0</v>
      </c>
      <c r="L1355" s="5">
        <v>0</v>
      </c>
      <c r="M1355" s="5">
        <v>0.0</v>
      </c>
      <c r="N1355" s="5">
        <v>0.0</v>
      </c>
      <c r="O1355" s="5">
        <v>0.0</v>
      </c>
      <c r="P1355" s="5">
        <v>0.0</v>
      </c>
      <c r="Q1355" s="5">
        <v>0.0</v>
      </c>
    </row>
    <row r="1356" outlineLevel="1">
      <c r="B1356" s="0" t="inlineStr">
        <is>
          <t xml:space="preserve">E &amp; A PRODUCTS INC</t>
        </is>
      </c>
      <c r="C1356" s="0" t="inlineStr">
        <is>
          <t xml:space="preserve">RF2BMJ23CUK5</t>
        </is>
      </c>
      <c r="D1356" s="0" t="inlineStr">
        <is>
          <t xml:space="preserve">-</t>
        </is>
      </c>
      <c r="E1356" s="0" t="inlineStr">
        <is>
          <t xml:space="preserve">-</t>
        </is>
      </c>
      <c r="F1356" s="0" t="inlineStr">
        <is>
          <t xml:space="preserve">-</t>
        </is>
      </c>
      <c r="G1356" s="5">
        <v>0.16513355</v>
      </c>
      <c r="H1356" s="0" t="inlineStr">
        <is>
          <t xml:space="preserve">supplier</t>
        </is>
      </c>
      <c r="I1356" s="0" t="inlineStr">
        <is>
          <t xml:space="preserve">unbucketed</t>
        </is>
      </c>
      <c r="J1356" s="0" t="inlineStr">
        <is>
          <t xml:space="preserve">residual</t>
        </is>
      </c>
      <c r="K1356" s="5">
        <v>0</v>
      </c>
      <c r="L1356" s="5">
        <v>0</v>
      </c>
      <c r="M1356" s="5">
        <v>0.0</v>
      </c>
      <c r="N1356" s="5">
        <v>0.0</v>
      </c>
      <c r="O1356" s="5">
        <v>0.0</v>
      </c>
      <c r="P1356" s="5">
        <v>0.0</v>
      </c>
      <c r="Q1356" s="5">
        <v>0.0</v>
      </c>
    </row>
    <row r="1357" outlineLevel="1">
      <c r="B1357" s="0" t="inlineStr">
        <is>
          <t xml:space="preserve">ELECTRO ADAPTER, INC.</t>
        </is>
      </c>
      <c r="C1357" s="0" t="inlineStr">
        <is>
          <t xml:space="preserve">G9JTK7A4JL35</t>
        </is>
      </c>
      <c r="D1357" s="0" t="inlineStr">
        <is>
          <t xml:space="preserve">-</t>
        </is>
      </c>
      <c r="E1357" s="0" t="inlineStr">
        <is>
          <t xml:space="preserve">-</t>
        </is>
      </c>
      <c r="F1357" s="0" t="inlineStr">
        <is>
          <t xml:space="preserve">-</t>
        </is>
      </c>
      <c r="G1357" s="5">
        <v>0.16506432</v>
      </c>
      <c r="H1357" s="0" t="inlineStr">
        <is>
          <t xml:space="preserve">supplier</t>
        </is>
      </c>
      <c r="I1357" s="0" t="inlineStr">
        <is>
          <t xml:space="preserve">unbucketed</t>
        </is>
      </c>
      <c r="J1357" s="0" t="inlineStr">
        <is>
          <t xml:space="preserve">residual</t>
        </is>
      </c>
      <c r="K1357" s="5">
        <v>0</v>
      </c>
      <c r="L1357" s="5">
        <v>0</v>
      </c>
      <c r="M1357" s="5">
        <v>0.0</v>
      </c>
      <c r="N1357" s="5">
        <v>0.0</v>
      </c>
      <c r="O1357" s="5">
        <v>0.0</v>
      </c>
      <c r="P1357" s="5">
        <v>0.0</v>
      </c>
      <c r="Q1357" s="5">
        <v>0.0</v>
      </c>
    </row>
    <row r="1358" outlineLevel="1">
      <c r="B1358" s="0" t="inlineStr">
        <is>
          <t xml:space="preserve">ANDERSON METAL INDUSTRIES INC</t>
        </is>
      </c>
      <c r="C1358" s="0" t="inlineStr">
        <is>
          <t xml:space="preserve">M6ZTA4NZGLQ5</t>
        </is>
      </c>
      <c r="D1358" s="0" t="inlineStr">
        <is>
          <t xml:space="preserve">-</t>
        </is>
      </c>
      <c r="E1358" s="0" t="inlineStr">
        <is>
          <t xml:space="preserve">-</t>
        </is>
      </c>
      <c r="F1358" s="0" t="inlineStr">
        <is>
          <t xml:space="preserve">-</t>
        </is>
      </c>
      <c r="G1358" s="5">
        <v>0.1648364</v>
      </c>
      <c r="H1358" s="0" t="inlineStr">
        <is>
          <t xml:space="preserve">supplier</t>
        </is>
      </c>
      <c r="I1358" s="0" t="inlineStr">
        <is>
          <t xml:space="preserve">unbucketed</t>
        </is>
      </c>
      <c r="J1358" s="0" t="inlineStr">
        <is>
          <t xml:space="preserve">residual</t>
        </is>
      </c>
      <c r="K1358" s="5">
        <v>0</v>
      </c>
      <c r="L1358" s="5">
        <v>0</v>
      </c>
      <c r="M1358" s="5">
        <v>0.1648364</v>
      </c>
      <c r="N1358" s="5">
        <v>0.0</v>
      </c>
      <c r="O1358" s="5">
        <v>0.052168400000000004</v>
      </c>
      <c r="P1358" s="5">
        <v>0.0</v>
      </c>
      <c r="Q1358" s="5">
        <v>0.0</v>
      </c>
    </row>
    <row r="1359" outlineLevel="1">
      <c r="B1359" s="0" t="inlineStr">
        <is>
          <t xml:space="preserve">AMETEK INC.</t>
        </is>
      </c>
      <c r="C1359" s="0" t="inlineStr">
        <is>
          <t xml:space="preserve">NJ2XXKQ6M8K3</t>
        </is>
      </c>
      <c r="D1359" s="0" t="inlineStr">
        <is>
          <t xml:space="preserve">USA</t>
        </is>
      </c>
      <c r="E1359" s="0" t="inlineStr">
        <is>
          <t xml:space="preserve">3359</t>
        </is>
      </c>
      <c r="F1359" s="0" t="inlineStr">
        <is>
          <t xml:space="preserve">All Other Miscellaneous Electrical Equipment and Component Manufacturing</t>
        </is>
      </c>
      <c r="G1359" s="5">
        <v>0.164552</v>
      </c>
      <c r="H1359" s="0" t="inlineStr">
        <is>
          <t xml:space="preserve">supplier</t>
        </is>
      </c>
      <c r="I1359" s="0" t="inlineStr">
        <is>
          <t xml:space="preserve">electrical</t>
        </is>
      </c>
      <c r="J1359" s="0" t="inlineStr">
        <is>
          <t xml:space="preserve">naics4</t>
        </is>
      </c>
      <c r="K1359" s="5">
        <v>0</v>
      </c>
      <c r="L1359" s="5">
        <v>0</v>
      </c>
      <c r="M1359" s="5">
        <v>0.0</v>
      </c>
      <c r="N1359" s="5">
        <v>0.0</v>
      </c>
      <c r="O1359" s="5">
        <v>0.0</v>
      </c>
      <c r="P1359" s="5">
        <v>0.0</v>
      </c>
      <c r="Q1359" s="5">
        <v>0.0</v>
      </c>
    </row>
    <row r="1360" outlineLevel="1">
      <c r="B1360" s="0" t="inlineStr">
        <is>
          <t xml:space="preserve">PACIFIC MARITIME FREIGHT, INC.</t>
        </is>
      </c>
      <c r="C1360" s="0" t="inlineStr">
        <is>
          <t xml:space="preserve">ZRBPR96JCE93</t>
        </is>
      </c>
      <c r="D1360" s="0" t="inlineStr">
        <is>
          <t xml:space="preserve">-</t>
        </is>
      </c>
      <c r="E1360" s="0" t="inlineStr">
        <is>
          <t xml:space="preserve">-</t>
        </is>
      </c>
      <c r="F1360" s="0" t="inlineStr">
        <is>
          <t xml:space="preserve">-</t>
        </is>
      </c>
      <c r="G1360" s="5">
        <v>0.163932</v>
      </c>
      <c r="H1360" s="0" t="inlineStr">
        <is>
          <t xml:space="preserve">supplier</t>
        </is>
      </c>
      <c r="I1360" s="0" t="inlineStr">
        <is>
          <t xml:space="preserve">unbucketed</t>
        </is>
      </c>
      <c r="J1360" s="0" t="inlineStr">
        <is>
          <t xml:space="preserve">residual</t>
        </is>
      </c>
      <c r="K1360" s="5">
        <v>0</v>
      </c>
      <c r="L1360" s="5">
        <v>0</v>
      </c>
      <c r="M1360" s="5">
        <v>0.0</v>
      </c>
      <c r="N1360" s="5">
        <v>0.0</v>
      </c>
      <c r="O1360" s="5">
        <v>0.0</v>
      </c>
      <c r="P1360" s="5">
        <v>0.0</v>
      </c>
      <c r="Q1360" s="5">
        <v>0.0</v>
      </c>
    </row>
    <row r="1361" outlineLevel="1">
      <c r="B1361" s="0" t="inlineStr">
        <is>
          <t xml:space="preserve">MAMMOET NORTHERN USA INC.</t>
        </is>
      </c>
      <c r="C1361" s="0" t="inlineStr">
        <is>
          <t xml:space="preserve">SJJDMJLYX997</t>
        </is>
      </c>
      <c r="D1361" s="0" t="inlineStr">
        <is>
          <t xml:space="preserve">-</t>
        </is>
      </c>
      <c r="E1361" s="0" t="inlineStr">
        <is>
          <t xml:space="preserve">-</t>
        </is>
      </c>
      <c r="F1361" s="0" t="inlineStr">
        <is>
          <t xml:space="preserve">-</t>
        </is>
      </c>
      <c r="G1361" s="5">
        <v>0.16383074999999997</v>
      </c>
      <c r="H1361" s="0" t="inlineStr">
        <is>
          <t xml:space="preserve">supplier</t>
        </is>
      </c>
      <c r="I1361" s="0" t="inlineStr">
        <is>
          <t xml:space="preserve">unbucketed</t>
        </is>
      </c>
      <c r="J1361" s="0" t="inlineStr">
        <is>
          <t xml:space="preserve">residual</t>
        </is>
      </c>
      <c r="K1361" s="5">
        <v>0</v>
      </c>
      <c r="L1361" s="5">
        <v>0</v>
      </c>
      <c r="M1361" s="5">
        <v>0.0</v>
      </c>
      <c r="N1361" s="5">
        <v>0.0</v>
      </c>
      <c r="O1361" s="5">
        <v>0.0</v>
      </c>
      <c r="P1361" s="5">
        <v>0.0</v>
      </c>
      <c r="Q1361" s="5">
        <v>0.0</v>
      </c>
    </row>
    <row r="1362" outlineLevel="1">
      <c r="B1362" s="0" t="inlineStr">
        <is>
          <t xml:space="preserve">CALIFORNIA MARINE CLEANING, INC.</t>
        </is>
      </c>
      <c r="C1362" s="0" t="inlineStr">
        <is>
          <t xml:space="preserve">YJH3JZ6LJM77</t>
        </is>
      </c>
      <c r="D1362" s="0" t="inlineStr">
        <is>
          <t xml:space="preserve">-</t>
        </is>
      </c>
      <c r="E1362" s="0" t="inlineStr">
        <is>
          <t xml:space="preserve">-</t>
        </is>
      </c>
      <c r="F1362" s="0" t="inlineStr">
        <is>
          <t xml:space="preserve">-</t>
        </is>
      </c>
      <c r="G1362" s="5">
        <v>0.163626</v>
      </c>
      <c r="H1362" s="0" t="inlineStr">
        <is>
          <t xml:space="preserve">supplier</t>
        </is>
      </c>
      <c r="I1362" s="0" t="inlineStr">
        <is>
          <t xml:space="preserve">unbucketed</t>
        </is>
      </c>
      <c r="J1362" s="0" t="inlineStr">
        <is>
          <t xml:space="preserve">residual</t>
        </is>
      </c>
      <c r="K1362" s="5">
        <v>0</v>
      </c>
      <c r="L1362" s="5">
        <v>0</v>
      </c>
      <c r="M1362" s="5">
        <v>0.0</v>
      </c>
      <c r="N1362" s="5">
        <v>0.0</v>
      </c>
      <c r="O1362" s="5">
        <v>0.0</v>
      </c>
      <c r="P1362" s="5">
        <v>0.0</v>
      </c>
      <c r="Q1362" s="5">
        <v>0.0</v>
      </c>
    </row>
    <row r="1363" outlineLevel="1">
      <c r="B1363" s="0" t="inlineStr">
        <is>
          <t xml:space="preserve">PARKER-HANNIFIN CORPORATION</t>
        </is>
      </c>
      <c r="C1363" s="0" t="inlineStr">
        <is>
          <t xml:space="preserve">ULFLGM9AKCH3</t>
        </is>
      </c>
      <c r="D1363" s="0" t="inlineStr">
        <is>
          <t xml:space="preserve">USA</t>
        </is>
      </c>
      <c r="E1363" s="0" t="inlineStr">
        <is>
          <t xml:space="preserve">5511</t>
        </is>
      </c>
      <c r="F1363" s="0" t="inlineStr">
        <is>
          <t xml:space="preserve">Corporate, Subsidiary, and Regional Managing Offices</t>
        </is>
      </c>
      <c r="G1363" s="5">
        <v>0.16325</v>
      </c>
      <c r="H1363" s="0" t="inlineStr">
        <is>
          <t xml:space="preserve">holding</t>
        </is>
      </c>
      <c r="I1363" s="0" t="inlineStr">
        <is>
          <t xml:space="preserve">-</t>
        </is>
      </c>
      <c r="J1363" s="0" t="inlineStr">
        <is>
          <t xml:space="preserve">holding-co (5511)</t>
        </is>
      </c>
      <c r="K1363" s="5">
        <v>0</v>
      </c>
      <c r="L1363" s="5">
        <v>0</v>
      </c>
      <c r="M1363" s="5">
        <v>0.0</v>
      </c>
      <c r="N1363" s="5">
        <v>0.0</v>
      </c>
      <c r="O1363" s="5">
        <v>0.0</v>
      </c>
      <c r="P1363" s="5">
        <v>0.0</v>
      </c>
      <c r="Q1363" s="5">
        <v>0.0</v>
      </c>
    </row>
    <row r="1364" outlineLevel="1">
      <c r="B1364" s="0" t="inlineStr">
        <is>
          <t xml:space="preserve">CHARTER INDUSTRIAL SUPPLY, INC.</t>
        </is>
      </c>
      <c r="C1364" s="0" t="inlineStr">
        <is>
          <t xml:space="preserve">E5ETGL3SJKP7</t>
        </is>
      </c>
      <c r="D1364" s="0" t="inlineStr">
        <is>
          <t xml:space="preserve">-</t>
        </is>
      </c>
      <c r="E1364" s="0" t="inlineStr">
        <is>
          <t xml:space="preserve">-</t>
        </is>
      </c>
      <c r="F1364" s="0" t="inlineStr">
        <is>
          <t xml:space="preserve">-</t>
        </is>
      </c>
      <c r="G1364" s="5">
        <v>0.16242499999999999</v>
      </c>
      <c r="H1364" s="0" t="inlineStr">
        <is>
          <t xml:space="preserve">supplier</t>
        </is>
      </c>
      <c r="I1364" s="0" t="inlineStr">
        <is>
          <t xml:space="preserve">unbucketed</t>
        </is>
      </c>
      <c r="J1364" s="0" t="inlineStr">
        <is>
          <t xml:space="preserve">residual</t>
        </is>
      </c>
      <c r="K1364" s="5">
        <v>0</v>
      </c>
      <c r="L1364" s="5">
        <v>0</v>
      </c>
      <c r="M1364" s="5">
        <v>0.0</v>
      </c>
      <c r="N1364" s="5">
        <v>0.0</v>
      </c>
      <c r="O1364" s="5">
        <v>0.0</v>
      </c>
      <c r="P1364" s="5">
        <v>0.0</v>
      </c>
      <c r="Q1364" s="5">
        <v>0.0</v>
      </c>
    </row>
    <row r="1365" outlineLevel="1">
      <c r="B1365" s="0" t="inlineStr">
        <is>
          <t xml:space="preserve">SNR SYSTEMS, LLC</t>
        </is>
      </c>
      <c r="C1365" s="0" t="inlineStr">
        <is>
          <t xml:space="preserve">PBK1J5QBTXB1</t>
        </is>
      </c>
      <c r="D1365" s="0" t="inlineStr">
        <is>
          <t xml:space="preserve">-</t>
        </is>
      </c>
      <c r="E1365" s="0" t="inlineStr">
        <is>
          <t xml:space="preserve">-</t>
        </is>
      </c>
      <c r="F1365" s="0" t="inlineStr">
        <is>
          <t xml:space="preserve">-</t>
        </is>
      </c>
      <c r="G1365" s="5">
        <v>0.16225159</v>
      </c>
      <c r="H1365" s="0" t="inlineStr">
        <is>
          <t xml:space="preserve">supplier</t>
        </is>
      </c>
      <c r="I1365" s="0" t="inlineStr">
        <is>
          <t xml:space="preserve">unbucketed</t>
        </is>
      </c>
      <c r="J1365" s="0" t="inlineStr">
        <is>
          <t xml:space="preserve">residual</t>
        </is>
      </c>
      <c r="K1365" s="5">
        <v>0</v>
      </c>
      <c r="L1365" s="5">
        <v>0</v>
      </c>
      <c r="M1365" s="5">
        <v>0.0</v>
      </c>
      <c r="N1365" s="5">
        <v>0.0</v>
      </c>
      <c r="O1365" s="5">
        <v>0.0</v>
      </c>
      <c r="P1365" s="5">
        <v>0.0</v>
      </c>
      <c r="Q1365" s="5">
        <v>0.0</v>
      </c>
    </row>
    <row r="1366" outlineLevel="1">
      <c r="B1366" s="0" t="inlineStr">
        <is>
          <t xml:space="preserve">BAKER SHEET METAL CORPORATION</t>
        </is>
      </c>
      <c r="C1366" s="0" t="inlineStr">
        <is>
          <t xml:space="preserve">RYRLL49HWN65</t>
        </is>
      </c>
      <c r="D1366" s="0" t="inlineStr">
        <is>
          <t xml:space="preserve">-</t>
        </is>
      </c>
      <c r="E1366" s="0" t="inlineStr">
        <is>
          <t xml:space="preserve">-</t>
        </is>
      </c>
      <c r="F1366" s="0" t="inlineStr">
        <is>
          <t xml:space="preserve">-</t>
        </is>
      </c>
      <c r="G1366" s="5">
        <v>0.16086899999999998</v>
      </c>
      <c r="H1366" s="0" t="inlineStr">
        <is>
          <t xml:space="preserve">supplier</t>
        </is>
      </c>
      <c r="I1366" s="0" t="inlineStr">
        <is>
          <t xml:space="preserve">unbucketed</t>
        </is>
      </c>
      <c r="J1366" s="0" t="inlineStr">
        <is>
          <t xml:space="preserve">residual</t>
        </is>
      </c>
      <c r="K1366" s="5">
        <v>0</v>
      </c>
      <c r="L1366" s="5">
        <v>0</v>
      </c>
      <c r="M1366" s="5">
        <v>0.16086899999999998</v>
      </c>
      <c r="N1366" s="5">
        <v>0.048069</v>
      </c>
      <c r="O1366" s="5">
        <v>0.0</v>
      </c>
      <c r="P1366" s="5">
        <v>0.0</v>
      </c>
      <c r="Q1366" s="5">
        <v>0.0</v>
      </c>
    </row>
    <row r="1367" outlineLevel="1">
      <c r="B1367" s="0" t="inlineStr">
        <is>
          <t xml:space="preserve">WACO PRODUCTS, INC</t>
        </is>
      </c>
      <c r="C1367" s="0" t="inlineStr">
        <is>
          <t xml:space="preserve">VP7EM3WJPGF3</t>
        </is>
      </c>
      <c r="D1367" s="0" t="inlineStr">
        <is>
          <t xml:space="preserve">-</t>
        </is>
      </c>
      <c r="E1367" s="0" t="inlineStr">
        <is>
          <t xml:space="preserve">-</t>
        </is>
      </c>
      <c r="F1367" s="0" t="inlineStr">
        <is>
          <t xml:space="preserve">-</t>
        </is>
      </c>
      <c r="G1367" s="5">
        <v>0.16076941</v>
      </c>
      <c r="H1367" s="0" t="inlineStr">
        <is>
          <t xml:space="preserve">supplier</t>
        </is>
      </c>
      <c r="I1367" s="0" t="inlineStr">
        <is>
          <t xml:space="preserve">unbucketed</t>
        </is>
      </c>
      <c r="J1367" s="0" t="inlineStr">
        <is>
          <t xml:space="preserve">residual</t>
        </is>
      </c>
      <c r="K1367" s="5">
        <v>0</v>
      </c>
      <c r="L1367" s="5">
        <v>0</v>
      </c>
      <c r="M1367" s="5">
        <v>0.0</v>
      </c>
      <c r="N1367" s="5">
        <v>0.0</v>
      </c>
      <c r="O1367" s="5">
        <v>0.0</v>
      </c>
      <c r="P1367" s="5">
        <v>0.0</v>
      </c>
      <c r="Q1367" s="5">
        <v>0.0</v>
      </c>
    </row>
    <row r="1368" outlineLevel="1">
      <c r="B1368" s="0" t="inlineStr">
        <is>
          <t xml:space="preserve">ASCO POWER TECHNOLOGIES, L..P.</t>
        </is>
      </c>
      <c r="C1368" s="0" t="inlineStr">
        <is>
          <t xml:space="preserve">MDH6KH9D4SG7</t>
        </is>
      </c>
      <c r="D1368" s="0" t="inlineStr">
        <is>
          <t xml:space="preserve">-</t>
        </is>
      </c>
      <c r="E1368" s="0" t="inlineStr">
        <is>
          <t xml:space="preserve">-</t>
        </is>
      </c>
      <c r="F1368" s="0" t="inlineStr">
        <is>
          <t xml:space="preserve">-</t>
        </is>
      </c>
      <c r="G1368" s="5">
        <v>0.16054</v>
      </c>
      <c r="H1368" s="0" t="inlineStr">
        <is>
          <t xml:space="preserve">supplier</t>
        </is>
      </c>
      <c r="I1368" s="0" t="inlineStr">
        <is>
          <t xml:space="preserve">unbucketed</t>
        </is>
      </c>
      <c r="J1368" s="0" t="inlineStr">
        <is>
          <t xml:space="preserve">residual</t>
        </is>
      </c>
      <c r="K1368" s="5">
        <v>0</v>
      </c>
      <c r="L1368" s="5">
        <v>0</v>
      </c>
      <c r="M1368" s="5">
        <v>0.16054</v>
      </c>
      <c r="N1368" s="5">
        <v>0.0</v>
      </c>
      <c r="O1368" s="5">
        <v>0.0</v>
      </c>
      <c r="P1368" s="5">
        <v>0.16054</v>
      </c>
      <c r="Q1368" s="5">
        <v>0.0</v>
      </c>
    </row>
    <row r="1369" outlineLevel="1">
      <c r="B1369" s="0" t="inlineStr">
        <is>
          <t xml:space="preserve">FORKARDT INC.</t>
        </is>
      </c>
      <c r="C1369" s="0" t="inlineStr">
        <is>
          <t xml:space="preserve">K7NYL13UM9Q3</t>
        </is>
      </c>
      <c r="D1369" s="0" t="inlineStr">
        <is>
          <t xml:space="preserve">-</t>
        </is>
      </c>
      <c r="E1369" s="0" t="inlineStr">
        <is>
          <t xml:space="preserve">-</t>
        </is>
      </c>
      <c r="F1369" s="0" t="inlineStr">
        <is>
          <t xml:space="preserve">-</t>
        </is>
      </c>
      <c r="G1369" s="5">
        <v>0.16003</v>
      </c>
      <c r="H1369" s="0" t="inlineStr">
        <is>
          <t xml:space="preserve">supplier</t>
        </is>
      </c>
      <c r="I1369" s="0" t="inlineStr">
        <is>
          <t xml:space="preserve">unbucketed</t>
        </is>
      </c>
      <c r="J1369" s="0" t="inlineStr">
        <is>
          <t xml:space="preserve">residual</t>
        </is>
      </c>
      <c r="K1369" s="5">
        <v>0</v>
      </c>
      <c r="L1369" s="5">
        <v>0</v>
      </c>
      <c r="M1369" s="5">
        <v>0.0</v>
      </c>
      <c r="N1369" s="5">
        <v>0.0</v>
      </c>
      <c r="O1369" s="5">
        <v>0.0</v>
      </c>
      <c r="P1369" s="5">
        <v>0.0</v>
      </c>
      <c r="Q1369" s="5">
        <v>0.0</v>
      </c>
    </row>
    <row r="1370" outlineLevel="1">
      <c r="B1370" s="0" t="inlineStr">
        <is>
          <t xml:space="preserve">PAR MARINE SERVICES, LLC</t>
        </is>
      </c>
      <c r="C1370" s="0" t="inlineStr">
        <is>
          <t xml:space="preserve">KJ89JMBDB6Y5</t>
        </is>
      </c>
      <c r="D1370" s="0" t="inlineStr">
        <is>
          <t xml:space="preserve">-</t>
        </is>
      </c>
      <c r="E1370" s="0" t="inlineStr">
        <is>
          <t xml:space="preserve">-</t>
        </is>
      </c>
      <c r="F1370" s="0" t="inlineStr">
        <is>
          <t xml:space="preserve">-</t>
        </is>
      </c>
      <c r="G1370" s="5">
        <v>0.159605</v>
      </c>
      <c r="H1370" s="0" t="inlineStr">
        <is>
          <t xml:space="preserve">supplier</t>
        </is>
      </c>
      <c r="I1370" s="0" t="inlineStr">
        <is>
          <t xml:space="preserve">unbucketed</t>
        </is>
      </c>
      <c r="J1370" s="0" t="inlineStr">
        <is>
          <t xml:space="preserve">residual</t>
        </is>
      </c>
      <c r="K1370" s="5">
        <v>0</v>
      </c>
      <c r="L1370" s="5">
        <v>0</v>
      </c>
      <c r="M1370" s="5">
        <v>0.0</v>
      </c>
      <c r="N1370" s="5">
        <v>0.0</v>
      </c>
      <c r="O1370" s="5">
        <v>0.0</v>
      </c>
      <c r="P1370" s="5">
        <v>0.0</v>
      </c>
      <c r="Q1370" s="5">
        <v>0.0</v>
      </c>
    </row>
    <row r="1371" outlineLevel="1">
      <c r="B1371" s="0" t="inlineStr">
        <is>
          <t xml:space="preserve">ARCLINE INVESTMENT MANAGEMENT LP</t>
        </is>
      </c>
      <c r="C1371" s="0" t="inlineStr">
        <is>
          <t xml:space="preserve">DJG7NEG7QRK5</t>
        </is>
      </c>
      <c r="D1371" s="0" t="inlineStr">
        <is>
          <t xml:space="preserve">-</t>
        </is>
      </c>
      <c r="E1371" s="0" t="inlineStr">
        <is>
          <t xml:space="preserve">-</t>
        </is>
      </c>
      <c r="F1371" s="0" t="inlineStr">
        <is>
          <t xml:space="preserve">-</t>
        </is>
      </c>
      <c r="G1371" s="5">
        <v>0.159412</v>
      </c>
      <c r="H1371" s="0" t="inlineStr">
        <is>
          <t xml:space="preserve">supplier</t>
        </is>
      </c>
      <c r="I1371" s="0" t="inlineStr">
        <is>
          <t xml:space="preserve">piping</t>
        </is>
      </c>
      <c r="J1371" s="0" t="inlineStr">
        <is>
          <t xml:space="preserve">registry</t>
        </is>
      </c>
      <c r="K1371" s="5">
        <v>0</v>
      </c>
      <c r="L1371" s="5">
        <v>0</v>
      </c>
      <c r="M1371" s="5">
        <v>0.159412</v>
      </c>
      <c r="N1371" s="5">
        <v>0.159412</v>
      </c>
      <c r="O1371" s="5">
        <v>0.0</v>
      </c>
      <c r="P1371" s="5">
        <v>0.0</v>
      </c>
      <c r="Q1371" s="5">
        <v>0.0</v>
      </c>
    </row>
    <row r="1372" outlineLevel="1">
      <c r="B1372" s="0" t="inlineStr">
        <is>
          <t xml:space="preserve">THE LOUISIANA ASSOCIATION FOR THE BLIND</t>
        </is>
      </c>
      <c r="C1372" s="0" t="inlineStr">
        <is>
          <t xml:space="preserve">XGUEGCF761T9</t>
        </is>
      </c>
      <c r="D1372" s="0" t="inlineStr">
        <is>
          <t xml:space="preserve">-</t>
        </is>
      </c>
      <c r="E1372" s="0" t="inlineStr">
        <is>
          <t xml:space="preserve">-</t>
        </is>
      </c>
      <c r="F1372" s="0" t="inlineStr">
        <is>
          <t xml:space="preserve">-</t>
        </is>
      </c>
      <c r="G1372" s="5">
        <v>0.15849673</v>
      </c>
      <c r="H1372" s="0" t="inlineStr">
        <is>
          <t xml:space="preserve">supplier</t>
        </is>
      </c>
      <c r="I1372" s="0" t="inlineStr">
        <is>
          <t xml:space="preserve">unbucketed</t>
        </is>
      </c>
      <c r="J1372" s="0" t="inlineStr">
        <is>
          <t xml:space="preserve">residual</t>
        </is>
      </c>
      <c r="K1372" s="5">
        <v>0</v>
      </c>
      <c r="L1372" s="5">
        <v>0</v>
      </c>
      <c r="M1372" s="5">
        <v>0.15849673</v>
      </c>
      <c r="N1372" s="5">
        <v>0.0</v>
      </c>
      <c r="O1372" s="5">
        <v>0.0</v>
      </c>
      <c r="P1372" s="5">
        <v>0.0</v>
      </c>
      <c r="Q1372" s="5">
        <v>0.0</v>
      </c>
    </row>
    <row r="1373" outlineLevel="1">
      <c r="B1373" s="0" t="inlineStr">
        <is>
          <t xml:space="preserve">DYCO ELECTRONICS, INC</t>
        </is>
      </c>
      <c r="C1373" s="0" t="inlineStr">
        <is>
          <t xml:space="preserve">C2E5XKE6U313</t>
        </is>
      </c>
      <c r="D1373" s="0" t="inlineStr">
        <is>
          <t xml:space="preserve">-</t>
        </is>
      </c>
      <c r="E1373" s="0" t="inlineStr">
        <is>
          <t xml:space="preserve">-</t>
        </is>
      </c>
      <c r="F1373" s="0" t="inlineStr">
        <is>
          <t xml:space="preserve">-</t>
        </is>
      </c>
      <c r="G1373" s="5">
        <v>0.15827534</v>
      </c>
      <c r="H1373" s="0" t="inlineStr">
        <is>
          <t xml:space="preserve">supplier</t>
        </is>
      </c>
      <c r="I1373" s="0" t="inlineStr">
        <is>
          <t xml:space="preserve">unbucketed</t>
        </is>
      </c>
      <c r="J1373" s="0" t="inlineStr">
        <is>
          <t xml:space="preserve">residual</t>
        </is>
      </c>
      <c r="K1373" s="5">
        <v>0</v>
      </c>
      <c r="L1373" s="5">
        <v>0</v>
      </c>
      <c r="M1373" s="5">
        <v>0.0</v>
      </c>
      <c r="N1373" s="5">
        <v>0.0</v>
      </c>
      <c r="O1373" s="5">
        <v>0.0</v>
      </c>
      <c r="P1373" s="5">
        <v>0.0</v>
      </c>
      <c r="Q1373" s="5">
        <v>0.0</v>
      </c>
    </row>
    <row r="1374" outlineLevel="1">
      <c r="B1374" s="0" t="inlineStr">
        <is>
          <t xml:space="preserve">ORBIT INTERNATIONAL CORP.</t>
        </is>
      </c>
      <c r="C1374" s="0" t="inlineStr">
        <is>
          <t xml:space="preserve">YKNKYPE8HVA8</t>
        </is>
      </c>
      <c r="D1374" s="0" t="inlineStr">
        <is>
          <t xml:space="preserve">-</t>
        </is>
      </c>
      <c r="E1374" s="0" t="inlineStr">
        <is>
          <t xml:space="preserve">-</t>
        </is>
      </c>
      <c r="F1374" s="0" t="inlineStr">
        <is>
          <t xml:space="preserve">-</t>
        </is>
      </c>
      <c r="G1374" s="5">
        <v>0.158075</v>
      </c>
      <c r="H1374" s="0" t="inlineStr">
        <is>
          <t xml:space="preserve">supplier</t>
        </is>
      </c>
      <c r="I1374" s="0" t="inlineStr">
        <is>
          <t xml:space="preserve">unbucketed</t>
        </is>
      </c>
      <c r="J1374" s="0" t="inlineStr">
        <is>
          <t xml:space="preserve">residual</t>
        </is>
      </c>
      <c r="K1374" s="5">
        <v>0</v>
      </c>
      <c r="L1374" s="5">
        <v>0</v>
      </c>
      <c r="M1374" s="5">
        <v>0.0</v>
      </c>
      <c r="N1374" s="5">
        <v>0.0</v>
      </c>
      <c r="O1374" s="5">
        <v>0.0</v>
      </c>
      <c r="P1374" s="5">
        <v>0.0</v>
      </c>
      <c r="Q1374" s="5">
        <v>0.0</v>
      </c>
    </row>
    <row r="1375" outlineLevel="1">
      <c r="B1375" s="0" t="inlineStr">
        <is>
          <t xml:space="preserve">ROLLING ENTERPRISES INC</t>
        </is>
      </c>
      <c r="C1375" s="0" t="inlineStr">
        <is>
          <t xml:space="preserve">NW8HMUTVNTN7</t>
        </is>
      </c>
      <c r="D1375" s="0" t="inlineStr">
        <is>
          <t xml:space="preserve">-</t>
        </is>
      </c>
      <c r="E1375" s="0" t="inlineStr">
        <is>
          <t xml:space="preserve">-</t>
        </is>
      </c>
      <c r="F1375" s="0" t="inlineStr">
        <is>
          <t xml:space="preserve">-</t>
        </is>
      </c>
      <c r="G1375" s="5">
        <v>0.158019</v>
      </c>
      <c r="H1375" s="0" t="inlineStr">
        <is>
          <t xml:space="preserve">supplier</t>
        </is>
      </c>
      <c r="I1375" s="0" t="inlineStr">
        <is>
          <t xml:space="preserve">unbucketed</t>
        </is>
      </c>
      <c r="J1375" s="0" t="inlineStr">
        <is>
          <t xml:space="preserve">residual</t>
        </is>
      </c>
      <c r="K1375" s="5">
        <v>0</v>
      </c>
      <c r="L1375" s="5">
        <v>0</v>
      </c>
      <c r="M1375" s="5">
        <v>0.0</v>
      </c>
      <c r="N1375" s="5">
        <v>0.0</v>
      </c>
      <c r="O1375" s="5">
        <v>0.0</v>
      </c>
      <c r="P1375" s="5">
        <v>0.0</v>
      </c>
      <c r="Q1375" s="5">
        <v>0.0</v>
      </c>
    </row>
    <row r="1376" outlineLevel="1">
      <c r="B1376" s="0" t="inlineStr">
        <is>
          <t xml:space="preserve">TRAC REGULATORS INC</t>
        </is>
      </c>
      <c r="C1376" s="0" t="inlineStr">
        <is>
          <t xml:space="preserve">MAKYNVTMNZX1</t>
        </is>
      </c>
      <c r="D1376" s="0" t="inlineStr">
        <is>
          <t xml:space="preserve">-</t>
        </is>
      </c>
      <c r="E1376" s="0" t="inlineStr">
        <is>
          <t xml:space="preserve">-</t>
        </is>
      </c>
      <c r="F1376" s="0" t="inlineStr">
        <is>
          <t xml:space="preserve">-</t>
        </is>
      </c>
      <c r="G1376" s="5">
        <v>0.1572</v>
      </c>
      <c r="H1376" s="0" t="inlineStr">
        <is>
          <t xml:space="preserve">supplier</t>
        </is>
      </c>
      <c r="I1376" s="0" t="inlineStr">
        <is>
          <t xml:space="preserve">unbucketed</t>
        </is>
      </c>
      <c r="J1376" s="0" t="inlineStr">
        <is>
          <t xml:space="preserve">residual</t>
        </is>
      </c>
      <c r="K1376" s="5">
        <v>0</v>
      </c>
      <c r="L1376" s="5">
        <v>0</v>
      </c>
      <c r="M1376" s="5">
        <v>0.0</v>
      </c>
      <c r="N1376" s="5">
        <v>0.0</v>
      </c>
      <c r="O1376" s="5">
        <v>0.0</v>
      </c>
      <c r="P1376" s="5">
        <v>0.0</v>
      </c>
      <c r="Q1376" s="5">
        <v>0.0</v>
      </c>
    </row>
    <row r="1377" outlineLevel="1">
      <c r="B1377" s="0" t="inlineStr">
        <is>
          <t xml:space="preserve">GENERAL DYNAMICS CORPORATION</t>
        </is>
      </c>
      <c r="C1377" s="0" t="inlineStr">
        <is>
          <t xml:space="preserve">JHRUTRMQGW17</t>
        </is>
      </c>
      <c r="D1377" s="0" t="inlineStr">
        <is>
          <t xml:space="preserve">USA</t>
        </is>
      </c>
      <c r="E1377" s="0" t="inlineStr">
        <is>
          <t xml:space="preserve">3369</t>
        </is>
      </c>
      <c r="F1377" s="0" t="inlineStr">
        <is>
          <t xml:space="preserve">Military Armored Vehicle, Tank, and Tank Component Manufacturing</t>
        </is>
      </c>
      <c r="G1377" s="5">
        <v>0.1569</v>
      </c>
      <c r="H1377" s="0" t="inlineStr">
        <is>
          <t xml:space="preserve">prime</t>
        </is>
      </c>
      <c r="I1377" s="0" t="inlineStr">
        <is>
          <t xml:space="preserve">-</t>
        </is>
      </c>
      <c r="J1377" s="0" t="inlineStr">
        <is>
          <t xml:space="preserve">prime/co-prime name</t>
        </is>
      </c>
      <c r="K1377" s="5">
        <v>0</v>
      </c>
      <c r="L1377" s="5">
        <v>0</v>
      </c>
      <c r="M1377" s="5">
        <v>0.0</v>
      </c>
      <c r="N1377" s="5">
        <v>0.0</v>
      </c>
      <c r="O1377" s="5">
        <v>0.0</v>
      </c>
      <c r="P1377" s="5">
        <v>0.0</v>
      </c>
      <c r="Q1377" s="5">
        <v>0.0</v>
      </c>
    </row>
    <row r="1378" outlineLevel="1">
      <c r="B1378" s="0" t="inlineStr">
        <is>
          <t xml:space="preserve">POTTER ELECTRIC, INC.</t>
        </is>
      </c>
      <c r="C1378" s="0" t="inlineStr">
        <is>
          <t xml:space="preserve">C1PFB91NJY47</t>
        </is>
      </c>
      <c r="D1378" s="0" t="inlineStr">
        <is>
          <t xml:space="preserve">-</t>
        </is>
      </c>
      <c r="E1378" s="0" t="inlineStr">
        <is>
          <t xml:space="preserve">-</t>
        </is>
      </c>
      <c r="F1378" s="0" t="inlineStr">
        <is>
          <t xml:space="preserve">-</t>
        </is>
      </c>
      <c r="G1378" s="5">
        <v>0.15680049999999998</v>
      </c>
      <c r="H1378" s="0" t="inlineStr">
        <is>
          <t xml:space="preserve">supplier</t>
        </is>
      </c>
      <c r="I1378" s="0" t="inlineStr">
        <is>
          <t xml:space="preserve">unbucketed</t>
        </is>
      </c>
      <c r="J1378" s="0" t="inlineStr">
        <is>
          <t xml:space="preserve">residual</t>
        </is>
      </c>
      <c r="K1378" s="5">
        <v>0</v>
      </c>
      <c r="L1378" s="5">
        <v>0</v>
      </c>
      <c r="M1378" s="5">
        <v>0.0</v>
      </c>
      <c r="N1378" s="5">
        <v>0.0</v>
      </c>
      <c r="O1378" s="5">
        <v>0.0</v>
      </c>
      <c r="P1378" s="5">
        <v>0.0</v>
      </c>
      <c r="Q1378" s="5">
        <v>0.0</v>
      </c>
    </row>
    <row r="1379" outlineLevel="1">
      <c r="B1379" s="0" t="inlineStr">
        <is>
          <t xml:space="preserve">MOBILEMATICS, INC.</t>
        </is>
      </c>
      <c r="C1379" s="0" t="inlineStr">
        <is>
          <t xml:space="preserve">HG3VKBQEG5K4</t>
        </is>
      </c>
      <c r="D1379" s="0" t="inlineStr">
        <is>
          <t xml:space="preserve">-</t>
        </is>
      </c>
      <c r="E1379" s="0" t="inlineStr">
        <is>
          <t xml:space="preserve">-</t>
        </is>
      </c>
      <c r="F1379" s="0" t="inlineStr">
        <is>
          <t xml:space="preserve">-</t>
        </is>
      </c>
      <c r="G1379" s="5">
        <v>0.15665703</v>
      </c>
      <c r="H1379" s="0" t="inlineStr">
        <is>
          <t xml:space="preserve">supplier</t>
        </is>
      </c>
      <c r="I1379" s="0" t="inlineStr">
        <is>
          <t xml:space="preserve">unbucketed</t>
        </is>
      </c>
      <c r="J1379" s="0" t="inlineStr">
        <is>
          <t xml:space="preserve">residual</t>
        </is>
      </c>
      <c r="K1379" s="5">
        <v>0</v>
      </c>
      <c r="L1379" s="5">
        <v>0</v>
      </c>
      <c r="M1379" s="5">
        <v>0.0</v>
      </c>
      <c r="N1379" s="5">
        <v>0.0</v>
      </c>
      <c r="O1379" s="5">
        <v>0.0</v>
      </c>
      <c r="P1379" s="5">
        <v>0.0</v>
      </c>
      <c r="Q1379" s="5">
        <v>0.0</v>
      </c>
    </row>
    <row r="1380" outlineLevel="1">
      <c r="B1380" s="0" t="inlineStr">
        <is>
          <t xml:space="preserve">PTC PRECISION LLC</t>
        </is>
      </c>
      <c r="C1380" s="0" t="inlineStr">
        <is>
          <t xml:space="preserve">K88JMQ5QWFT1</t>
        </is>
      </c>
      <c r="D1380" s="0" t="inlineStr">
        <is>
          <t xml:space="preserve">-</t>
        </is>
      </c>
      <c r="E1380" s="0" t="inlineStr">
        <is>
          <t xml:space="preserve">-</t>
        </is>
      </c>
      <c r="F1380" s="0" t="inlineStr">
        <is>
          <t xml:space="preserve">-</t>
        </is>
      </c>
      <c r="G1380" s="5">
        <v>0.15621772</v>
      </c>
      <c r="H1380" s="0" t="inlineStr">
        <is>
          <t xml:space="preserve">supplier</t>
        </is>
      </c>
      <c r="I1380" s="0" t="inlineStr">
        <is>
          <t xml:space="preserve">unbucketed</t>
        </is>
      </c>
      <c r="J1380" s="0" t="inlineStr">
        <is>
          <t xml:space="preserve">residual</t>
        </is>
      </c>
      <c r="K1380" s="5">
        <v>0</v>
      </c>
      <c r="L1380" s="5">
        <v>0</v>
      </c>
      <c r="M1380" s="5">
        <v>0.0</v>
      </c>
      <c r="N1380" s="5">
        <v>0.0</v>
      </c>
      <c r="O1380" s="5">
        <v>0.0</v>
      </c>
      <c r="P1380" s="5">
        <v>0.0</v>
      </c>
      <c r="Q1380" s="5">
        <v>0.0</v>
      </c>
    </row>
    <row r="1381" outlineLevel="1">
      <c r="B1381" s="0" t="inlineStr">
        <is>
          <t xml:space="preserve">PPG INDUSTRIES, INC.</t>
        </is>
      </c>
      <c r="C1381" s="0" t="inlineStr">
        <is>
          <t xml:space="preserve">H5SRTTFJPFF5</t>
        </is>
      </c>
      <c r="D1381" s="0" t="inlineStr">
        <is>
          <t xml:space="preserve">-</t>
        </is>
      </c>
      <c r="E1381" s="0" t="inlineStr">
        <is>
          <t xml:space="preserve">-</t>
        </is>
      </c>
      <c r="F1381" s="0" t="inlineStr">
        <is>
          <t xml:space="preserve">-</t>
        </is>
      </c>
      <c r="G1381" s="5">
        <v>0.15582600000000002</v>
      </c>
      <c r="H1381" s="0" t="inlineStr">
        <is>
          <t xml:space="preserve">supplier</t>
        </is>
      </c>
      <c r="I1381" s="0" t="inlineStr">
        <is>
          <t xml:space="preserve">unbucketed</t>
        </is>
      </c>
      <c r="J1381" s="0" t="inlineStr">
        <is>
          <t xml:space="preserve">residual</t>
        </is>
      </c>
      <c r="K1381" s="5">
        <v>0</v>
      </c>
      <c r="L1381" s="5">
        <v>0</v>
      </c>
      <c r="M1381" s="5">
        <v>0.0</v>
      </c>
      <c r="N1381" s="5">
        <v>0.0</v>
      </c>
      <c r="O1381" s="5">
        <v>0.0</v>
      </c>
      <c r="P1381" s="5">
        <v>0.0</v>
      </c>
      <c r="Q1381" s="5">
        <v>0.0</v>
      </c>
    </row>
    <row r="1382" outlineLevel="1">
      <c r="B1382" s="0" t="inlineStr">
        <is>
          <t xml:space="preserve">THUNDERCAT TECHNOLOGY, LLC</t>
        </is>
      </c>
      <c r="C1382" s="0" t="inlineStr">
        <is>
          <t xml:space="preserve">UER4AJLUB8D5</t>
        </is>
      </c>
      <c r="D1382" s="0" t="inlineStr">
        <is>
          <t xml:space="preserve">-</t>
        </is>
      </c>
      <c r="E1382" s="0" t="inlineStr">
        <is>
          <t xml:space="preserve">-</t>
        </is>
      </c>
      <c r="F1382" s="0" t="inlineStr">
        <is>
          <t xml:space="preserve">-</t>
        </is>
      </c>
      <c r="G1382" s="5">
        <v>0.15493337</v>
      </c>
      <c r="H1382" s="0" t="inlineStr">
        <is>
          <t xml:space="preserve">supplier</t>
        </is>
      </c>
      <c r="I1382" s="0" t="inlineStr">
        <is>
          <t xml:space="preserve">unbucketed</t>
        </is>
      </c>
      <c r="J1382" s="0" t="inlineStr">
        <is>
          <t xml:space="preserve">residual</t>
        </is>
      </c>
      <c r="K1382" s="5">
        <v>0</v>
      </c>
      <c r="L1382" s="5">
        <v>0</v>
      </c>
      <c r="M1382" s="5">
        <v>0.0</v>
      </c>
      <c r="N1382" s="5">
        <v>0.0</v>
      </c>
      <c r="O1382" s="5">
        <v>0.0</v>
      </c>
      <c r="P1382" s="5">
        <v>0.0</v>
      </c>
      <c r="Q1382" s="5">
        <v>0.0</v>
      </c>
    </row>
    <row r="1383" outlineLevel="1">
      <c r="B1383" s="0" t="inlineStr">
        <is>
          <t xml:space="preserve">RELLI TECHNOLOGY INC</t>
        </is>
      </c>
      <c r="C1383" s="0" t="inlineStr">
        <is>
          <t xml:space="preserve">KBGXUEJNWJH9</t>
        </is>
      </c>
      <c r="D1383" s="0" t="inlineStr">
        <is>
          <t xml:space="preserve">-</t>
        </is>
      </c>
      <c r="E1383" s="0" t="inlineStr">
        <is>
          <t xml:space="preserve">-</t>
        </is>
      </c>
      <c r="F1383" s="0" t="inlineStr">
        <is>
          <t xml:space="preserve">-</t>
        </is>
      </c>
      <c r="G1383" s="5">
        <v>0.154</v>
      </c>
      <c r="H1383" s="0" t="inlineStr">
        <is>
          <t xml:space="preserve">supplier</t>
        </is>
      </c>
      <c r="I1383" s="0" t="inlineStr">
        <is>
          <t xml:space="preserve">unbucketed</t>
        </is>
      </c>
      <c r="J1383" s="0" t="inlineStr">
        <is>
          <t xml:space="preserve">residual</t>
        </is>
      </c>
      <c r="K1383" s="5">
        <v>0</v>
      </c>
      <c r="L1383" s="5">
        <v>0</v>
      </c>
      <c r="M1383" s="5">
        <v>0.0</v>
      </c>
      <c r="N1383" s="5">
        <v>0.0</v>
      </c>
      <c r="O1383" s="5">
        <v>0.0</v>
      </c>
      <c r="P1383" s="5">
        <v>0.0</v>
      </c>
      <c r="Q1383" s="5">
        <v>0.0</v>
      </c>
    </row>
    <row r="1384" outlineLevel="1">
      <c r="B1384" s="0" t="inlineStr">
        <is>
          <t xml:space="preserve">ATLAS MACHINE COMPANY, INC.</t>
        </is>
      </c>
      <c r="C1384" s="0" t="inlineStr">
        <is>
          <t xml:space="preserve">FK4DADNKNCR5</t>
        </is>
      </c>
      <c r="D1384" s="0" t="inlineStr">
        <is>
          <t xml:space="preserve">-</t>
        </is>
      </c>
      <c r="E1384" s="0" t="inlineStr">
        <is>
          <t xml:space="preserve">-</t>
        </is>
      </c>
      <c r="F1384" s="0" t="inlineStr">
        <is>
          <t xml:space="preserve">-</t>
        </is>
      </c>
      <c r="G1384" s="5">
        <v>0.153738</v>
      </c>
      <c r="H1384" s="0" t="inlineStr">
        <is>
          <t xml:space="preserve">supplier</t>
        </is>
      </c>
      <c r="I1384" s="0" t="inlineStr">
        <is>
          <t xml:space="preserve">unbucketed</t>
        </is>
      </c>
      <c r="J1384" s="0" t="inlineStr">
        <is>
          <t xml:space="preserve">residual</t>
        </is>
      </c>
      <c r="K1384" s="5">
        <v>0</v>
      </c>
      <c r="L1384" s="5">
        <v>0</v>
      </c>
      <c r="M1384" s="5">
        <v>0.0</v>
      </c>
      <c r="N1384" s="5">
        <v>0.0</v>
      </c>
      <c r="O1384" s="5">
        <v>0.0</v>
      </c>
      <c r="P1384" s="5">
        <v>0.0</v>
      </c>
      <c r="Q1384" s="5">
        <v>0.0</v>
      </c>
    </row>
    <row r="1385" outlineLevel="1">
      <c r="B1385" s="0" t="inlineStr">
        <is>
          <t xml:space="preserve">RUGGED SYSTEMS INC.</t>
        </is>
      </c>
      <c r="C1385" s="0" t="inlineStr">
        <is>
          <t xml:space="preserve">N34DGEPC1N57</t>
        </is>
      </c>
      <c r="D1385" s="0" t="inlineStr">
        <is>
          <t xml:space="preserve">-</t>
        </is>
      </c>
      <c r="E1385" s="0" t="inlineStr">
        <is>
          <t xml:space="preserve">-</t>
        </is>
      </c>
      <c r="F1385" s="0" t="inlineStr">
        <is>
          <t xml:space="preserve">-</t>
        </is>
      </c>
      <c r="G1385" s="5">
        <v>0.15335935999999997</v>
      </c>
      <c r="H1385" s="0" t="inlineStr">
        <is>
          <t xml:space="preserve">supplier</t>
        </is>
      </c>
      <c r="I1385" s="0" t="inlineStr">
        <is>
          <t xml:space="preserve">unbucketed</t>
        </is>
      </c>
      <c r="J1385" s="0" t="inlineStr">
        <is>
          <t xml:space="preserve">residual</t>
        </is>
      </c>
      <c r="K1385" s="5">
        <v>0</v>
      </c>
      <c r="L1385" s="5">
        <v>0</v>
      </c>
      <c r="M1385" s="5">
        <v>0.0</v>
      </c>
      <c r="N1385" s="5">
        <v>0.0</v>
      </c>
      <c r="O1385" s="5">
        <v>0.0</v>
      </c>
      <c r="P1385" s="5">
        <v>0.0</v>
      </c>
      <c r="Q1385" s="5">
        <v>0.0</v>
      </c>
    </row>
    <row r="1386" outlineLevel="1">
      <c r="B1386" s="0" t="inlineStr">
        <is>
          <t xml:space="preserve">NCP COATINGS, LLC</t>
        </is>
      </c>
      <c r="C1386" s="0" t="inlineStr">
        <is>
          <t xml:space="preserve">ERR4X5JLJWV5</t>
        </is>
      </c>
      <c r="D1386" s="0" t="inlineStr">
        <is>
          <t xml:space="preserve">-</t>
        </is>
      </c>
      <c r="E1386" s="0" t="inlineStr">
        <is>
          <t xml:space="preserve">-</t>
        </is>
      </c>
      <c r="F1386" s="0" t="inlineStr">
        <is>
          <t xml:space="preserve">-</t>
        </is>
      </c>
      <c r="G1386" s="5">
        <v>0.15312</v>
      </c>
      <c r="H1386" s="0" t="inlineStr">
        <is>
          <t xml:space="preserve">supplier</t>
        </is>
      </c>
      <c r="I1386" s="0" t="inlineStr">
        <is>
          <t xml:space="preserve">unbucketed</t>
        </is>
      </c>
      <c r="J1386" s="0" t="inlineStr">
        <is>
          <t xml:space="preserve">residual</t>
        </is>
      </c>
      <c r="K1386" s="5">
        <v>0</v>
      </c>
      <c r="L1386" s="5">
        <v>0</v>
      </c>
      <c r="M1386" s="5">
        <v>0.15312</v>
      </c>
      <c r="N1386" s="5">
        <v>0.15312</v>
      </c>
      <c r="O1386" s="5">
        <v>0.0</v>
      </c>
      <c r="P1386" s="5">
        <v>0.0</v>
      </c>
      <c r="Q1386" s="5">
        <v>0.0</v>
      </c>
    </row>
    <row r="1387" outlineLevel="1">
      <c r="B1387" s="0" t="inlineStr">
        <is>
          <t xml:space="preserve">FAIRMOUNT AUTOMATION, INC</t>
        </is>
      </c>
      <c r="C1387" s="0" t="inlineStr">
        <is>
          <t xml:space="preserve">P2LKC7KAFFR2</t>
        </is>
      </c>
      <c r="D1387" s="0" t="inlineStr">
        <is>
          <t xml:space="preserve">-</t>
        </is>
      </c>
      <c r="E1387" s="0" t="inlineStr">
        <is>
          <t xml:space="preserve">-</t>
        </is>
      </c>
      <c r="F1387" s="0" t="inlineStr">
        <is>
          <t xml:space="preserve">-</t>
        </is>
      </c>
      <c r="G1387" s="5">
        <v>0.15284</v>
      </c>
      <c r="H1387" s="0" t="inlineStr">
        <is>
          <t xml:space="preserve">supplier</t>
        </is>
      </c>
      <c r="I1387" s="0" t="inlineStr">
        <is>
          <t xml:space="preserve">unbucketed</t>
        </is>
      </c>
      <c r="J1387" s="0" t="inlineStr">
        <is>
          <t xml:space="preserve">residual</t>
        </is>
      </c>
      <c r="K1387" s="5">
        <v>0</v>
      </c>
      <c r="L1387" s="5">
        <v>0</v>
      </c>
      <c r="M1387" s="5">
        <v>0.0</v>
      </c>
      <c r="N1387" s="5">
        <v>0.0</v>
      </c>
      <c r="O1387" s="5">
        <v>0.0</v>
      </c>
      <c r="P1387" s="5">
        <v>0.0</v>
      </c>
      <c r="Q1387" s="5">
        <v>0.0</v>
      </c>
    </row>
    <row r="1388" outlineLevel="1">
      <c r="B1388" s="0" t="inlineStr">
        <is>
          <t xml:space="preserve">PACE MACHINE &amp; TOOL, INC.</t>
        </is>
      </c>
      <c r="C1388" s="0" t="inlineStr">
        <is>
          <t xml:space="preserve">S7Y5HNJJ1RL7</t>
        </is>
      </c>
      <c r="D1388" s="0" t="inlineStr">
        <is>
          <t xml:space="preserve">-</t>
        </is>
      </c>
      <c r="E1388" s="0" t="inlineStr">
        <is>
          <t xml:space="preserve">-</t>
        </is>
      </c>
      <c r="F1388" s="0" t="inlineStr">
        <is>
          <t xml:space="preserve">-</t>
        </is>
      </c>
      <c r="G1388" s="5">
        <v>0.15283364</v>
      </c>
      <c r="H1388" s="0" t="inlineStr">
        <is>
          <t xml:space="preserve">supplier</t>
        </is>
      </c>
      <c r="I1388" s="0" t="inlineStr">
        <is>
          <t xml:space="preserve">unbucketed</t>
        </is>
      </c>
      <c r="J1388" s="0" t="inlineStr">
        <is>
          <t xml:space="preserve">residual</t>
        </is>
      </c>
      <c r="K1388" s="5">
        <v>0</v>
      </c>
      <c r="L1388" s="5">
        <v>0</v>
      </c>
      <c r="M1388" s="5">
        <v>0.0</v>
      </c>
      <c r="N1388" s="5">
        <v>0.0</v>
      </c>
      <c r="O1388" s="5">
        <v>0.0</v>
      </c>
      <c r="P1388" s="5">
        <v>0.0</v>
      </c>
      <c r="Q1388" s="5">
        <v>0.0</v>
      </c>
    </row>
    <row r="1389" outlineLevel="1">
      <c r="B1389" s="0" t="inlineStr">
        <is>
          <t xml:space="preserve">API TECHNOLOGIES CORP.</t>
        </is>
      </c>
      <c r="C1389" s="0" t="inlineStr">
        <is>
          <t xml:space="preserve">QNBSZPKPXN83</t>
        </is>
      </c>
      <c r="D1389" s="0" t="inlineStr">
        <is>
          <t xml:space="preserve">-</t>
        </is>
      </c>
      <c r="E1389" s="0" t="inlineStr">
        <is>
          <t xml:space="preserve">-</t>
        </is>
      </c>
      <c r="F1389" s="0" t="inlineStr">
        <is>
          <t xml:space="preserve">-</t>
        </is>
      </c>
      <c r="G1389" s="5">
        <v>0.15254760999999997</v>
      </c>
      <c r="H1389" s="0" t="inlineStr">
        <is>
          <t xml:space="preserve">supplier</t>
        </is>
      </c>
      <c r="I1389" s="0" t="inlineStr">
        <is>
          <t xml:space="preserve">unbucketed</t>
        </is>
      </c>
      <c r="J1389" s="0" t="inlineStr">
        <is>
          <t xml:space="preserve">residual</t>
        </is>
      </c>
      <c r="K1389" s="5">
        <v>0</v>
      </c>
      <c r="L1389" s="5">
        <v>0</v>
      </c>
      <c r="M1389" s="5">
        <v>0.0</v>
      </c>
      <c r="N1389" s="5">
        <v>0.0</v>
      </c>
      <c r="O1389" s="5">
        <v>0.0</v>
      </c>
      <c r="P1389" s="5">
        <v>0.0</v>
      </c>
      <c r="Q1389" s="5">
        <v>0.0</v>
      </c>
    </row>
    <row r="1390" outlineLevel="1">
      <c r="B1390" s="0" t="inlineStr">
        <is>
          <t xml:space="preserve">ROCKWELL COLLINS, INC.</t>
        </is>
      </c>
      <c r="C1390" s="0" t="inlineStr">
        <is>
          <t xml:space="preserve">HHMTMP5HY8C9</t>
        </is>
      </c>
      <c r="D1390" s="0" t="inlineStr">
        <is>
          <t xml:space="preserve">-</t>
        </is>
      </c>
      <c r="E1390" s="0" t="inlineStr">
        <is>
          <t xml:space="preserve">-</t>
        </is>
      </c>
      <c r="F1390" s="0" t="inlineStr">
        <is>
          <t xml:space="preserve">-</t>
        </is>
      </c>
      <c r="G1390" s="5">
        <v>0.152397</v>
      </c>
      <c r="H1390" s="0" t="inlineStr">
        <is>
          <t xml:space="preserve">supplier</t>
        </is>
      </c>
      <c r="I1390" s="0" t="inlineStr">
        <is>
          <t xml:space="preserve">unbucketed</t>
        </is>
      </c>
      <c r="J1390" s="0" t="inlineStr">
        <is>
          <t xml:space="preserve">residual</t>
        </is>
      </c>
      <c r="K1390" s="5">
        <v>0</v>
      </c>
      <c r="L1390" s="5">
        <v>0</v>
      </c>
      <c r="M1390" s="5">
        <v>0.0</v>
      </c>
      <c r="N1390" s="5">
        <v>0.0</v>
      </c>
      <c r="O1390" s="5">
        <v>0.0</v>
      </c>
      <c r="P1390" s="5">
        <v>0.0</v>
      </c>
      <c r="Q1390" s="5">
        <v>0.0</v>
      </c>
    </row>
    <row r="1391" outlineLevel="1">
      <c r="B1391" s="0" t="inlineStr">
        <is>
          <t xml:space="preserve">FASTENAL COMPANY</t>
        </is>
      </c>
      <c r="C1391" s="0" t="inlineStr">
        <is>
          <t xml:space="preserve">XNK8NGRN3C93</t>
        </is>
      </c>
      <c r="D1391" s="0" t="inlineStr">
        <is>
          <t xml:space="preserve">-</t>
        </is>
      </c>
      <c r="E1391" s="0" t="inlineStr">
        <is>
          <t xml:space="preserve">-</t>
        </is>
      </c>
      <c r="F1391" s="0" t="inlineStr">
        <is>
          <t xml:space="preserve">-</t>
        </is>
      </c>
      <c r="G1391" s="5">
        <v>0.15205832</v>
      </c>
      <c r="H1391" s="0" t="inlineStr">
        <is>
          <t xml:space="preserve">supplier</t>
        </is>
      </c>
      <c r="I1391" s="0" t="inlineStr">
        <is>
          <t xml:space="preserve">unbucketed</t>
        </is>
      </c>
      <c r="J1391" s="0" t="inlineStr">
        <is>
          <t xml:space="preserve">residual</t>
        </is>
      </c>
      <c r="K1391" s="5">
        <v>0</v>
      </c>
      <c r="L1391" s="5">
        <v>0</v>
      </c>
      <c r="M1391" s="5">
        <v>0.0</v>
      </c>
      <c r="N1391" s="5">
        <v>0.0</v>
      </c>
      <c r="O1391" s="5">
        <v>0.0</v>
      </c>
      <c r="P1391" s="5">
        <v>0.0</v>
      </c>
      <c r="Q1391" s="5">
        <v>0.0</v>
      </c>
    </row>
    <row r="1392" outlineLevel="1">
      <c r="B1392" s="0" t="inlineStr">
        <is>
          <t xml:space="preserve">ANIXTER INTERNATIONAL INC.</t>
        </is>
      </c>
      <c r="C1392" s="0" t="inlineStr">
        <is>
          <t xml:space="preserve">TAB4FBLR5UM1</t>
        </is>
      </c>
      <c r="D1392" s="0" t="inlineStr">
        <is>
          <t xml:space="preserve">-</t>
        </is>
      </c>
      <c r="E1392" s="0" t="inlineStr">
        <is>
          <t xml:space="preserve">-</t>
        </is>
      </c>
      <c r="F1392" s="0" t="inlineStr">
        <is>
          <t xml:space="preserve">-</t>
        </is>
      </c>
      <c r="G1392" s="5">
        <v>0.15200823000000002</v>
      </c>
      <c r="H1392" s="0" t="inlineStr">
        <is>
          <t xml:space="preserve">supplier</t>
        </is>
      </c>
      <c r="I1392" s="0" t="inlineStr">
        <is>
          <t xml:space="preserve">unbucketed</t>
        </is>
      </c>
      <c r="J1392" s="0" t="inlineStr">
        <is>
          <t xml:space="preserve">residual</t>
        </is>
      </c>
      <c r="K1392" s="5">
        <v>0</v>
      </c>
      <c r="L1392" s="5">
        <v>0</v>
      </c>
      <c r="M1392" s="5">
        <v>0.15200823000000002</v>
      </c>
      <c r="N1392" s="5">
        <v>0.0</v>
      </c>
      <c r="O1392" s="5">
        <v>0.0</v>
      </c>
      <c r="P1392" s="5">
        <v>0.0</v>
      </c>
      <c r="Q1392" s="5">
        <v>0.0</v>
      </c>
    </row>
    <row r="1393" outlineLevel="1">
      <c r="B1393" s="0" t="inlineStr">
        <is>
          <t xml:space="preserve">CP INDUSTRIES HOLDINGS, INC</t>
        </is>
      </c>
      <c r="C1393" s="0" t="inlineStr">
        <is>
          <t xml:space="preserve">MSYWUDGYPKF5</t>
        </is>
      </c>
      <c r="D1393" s="0" t="inlineStr">
        <is>
          <t xml:space="preserve">-</t>
        </is>
      </c>
      <c r="E1393" s="0" t="inlineStr">
        <is>
          <t xml:space="preserve">-</t>
        </is>
      </c>
      <c r="F1393" s="0" t="inlineStr">
        <is>
          <t xml:space="preserve">-</t>
        </is>
      </c>
      <c r="G1393" s="5">
        <v>0.15112799999999998</v>
      </c>
      <c r="H1393" s="0" t="inlineStr">
        <is>
          <t xml:space="preserve">supplier</t>
        </is>
      </c>
      <c r="I1393" s="0" t="inlineStr">
        <is>
          <t xml:space="preserve">structural</t>
        </is>
      </c>
      <c r="J1393" s="0" t="inlineStr">
        <is>
          <t xml:space="preserve">registry</t>
        </is>
      </c>
      <c r="K1393" s="5">
        <v>0</v>
      </c>
      <c r="L1393" s="5">
        <v>0</v>
      </c>
      <c r="M1393" s="5">
        <v>0.15112799999999998</v>
      </c>
      <c r="N1393" s="5">
        <v>0.0</v>
      </c>
      <c r="O1393" s="5">
        <v>0.0</v>
      </c>
      <c r="P1393" s="5">
        <v>0.11793</v>
      </c>
      <c r="Q1393" s="5">
        <v>0.033198</v>
      </c>
    </row>
    <row r="1394" outlineLevel="1">
      <c r="B1394" s="0" t="inlineStr">
        <is>
          <t xml:space="preserve">BG SYSTEMS, INC</t>
        </is>
      </c>
      <c r="C1394" s="0" t="inlineStr">
        <is>
          <t xml:space="preserve">GQBDLD57QVV7</t>
        </is>
      </c>
      <c r="D1394" s="0" t="inlineStr">
        <is>
          <t xml:space="preserve">-</t>
        </is>
      </c>
      <c r="E1394" s="0" t="inlineStr">
        <is>
          <t xml:space="preserve">-</t>
        </is>
      </c>
      <c r="F1394" s="0" t="inlineStr">
        <is>
          <t xml:space="preserve">-</t>
        </is>
      </c>
      <c r="G1394" s="5">
        <v>0.15104</v>
      </c>
      <c r="H1394" s="0" t="inlineStr">
        <is>
          <t xml:space="preserve">supplier</t>
        </is>
      </c>
      <c r="I1394" s="0" t="inlineStr">
        <is>
          <t xml:space="preserve">unbucketed</t>
        </is>
      </c>
      <c r="J1394" s="0" t="inlineStr">
        <is>
          <t xml:space="preserve">residual</t>
        </is>
      </c>
      <c r="K1394" s="5">
        <v>0</v>
      </c>
      <c r="L1394" s="5">
        <v>0</v>
      </c>
      <c r="M1394" s="5">
        <v>0.0</v>
      </c>
      <c r="N1394" s="5">
        <v>0.0</v>
      </c>
      <c r="O1394" s="5">
        <v>0.0</v>
      </c>
      <c r="P1394" s="5">
        <v>0.0</v>
      </c>
      <c r="Q1394" s="5">
        <v>0.0</v>
      </c>
    </row>
    <row r="1395" outlineLevel="1">
      <c r="B1395" s="0" t="inlineStr">
        <is>
          <t xml:space="preserve">DEBAN ENTERPRISES INC</t>
        </is>
      </c>
      <c r="C1395" s="0" t="inlineStr">
        <is>
          <t xml:space="preserve">LSGYNGHKB863</t>
        </is>
      </c>
      <c r="D1395" s="0" t="inlineStr">
        <is>
          <t xml:space="preserve">-</t>
        </is>
      </c>
      <c r="E1395" s="0" t="inlineStr">
        <is>
          <t xml:space="preserve">-</t>
        </is>
      </c>
      <c r="F1395" s="0" t="inlineStr">
        <is>
          <t xml:space="preserve">-</t>
        </is>
      </c>
      <c r="G1395" s="5">
        <v>0.150845</v>
      </c>
      <c r="H1395" s="0" t="inlineStr">
        <is>
          <t xml:space="preserve">supplier</t>
        </is>
      </c>
      <c r="I1395" s="0" t="inlineStr">
        <is>
          <t xml:space="preserve">unbucketed</t>
        </is>
      </c>
      <c r="J1395" s="0" t="inlineStr">
        <is>
          <t xml:space="preserve">residual</t>
        </is>
      </c>
      <c r="K1395" s="5">
        <v>0</v>
      </c>
      <c r="L1395" s="5">
        <v>0</v>
      </c>
      <c r="M1395" s="5">
        <v>0.150845</v>
      </c>
      <c r="N1395" s="5">
        <v>0.0</v>
      </c>
      <c r="O1395" s="5">
        <v>0.0</v>
      </c>
      <c r="P1395" s="5">
        <v>0.0</v>
      </c>
      <c r="Q1395" s="5">
        <v>0.0</v>
      </c>
    </row>
    <row r="1396" outlineLevel="1">
      <c r="B1396" s="0" t="inlineStr">
        <is>
          <t xml:space="preserve">MILLER MARINE</t>
        </is>
      </c>
      <c r="C1396" s="0" t="inlineStr">
        <is>
          <t xml:space="preserve">FEPNND8HMMA3</t>
        </is>
      </c>
      <c r="D1396" s="0" t="inlineStr">
        <is>
          <t xml:space="preserve">-</t>
        </is>
      </c>
      <c r="E1396" s="0" t="inlineStr">
        <is>
          <t xml:space="preserve">-</t>
        </is>
      </c>
      <c r="F1396" s="0" t="inlineStr">
        <is>
          <t xml:space="preserve">-</t>
        </is>
      </c>
      <c r="G1396" s="5">
        <v>0.150611</v>
      </c>
      <c r="H1396" s="0" t="inlineStr">
        <is>
          <t xml:space="preserve">supplier</t>
        </is>
      </c>
      <c r="I1396" s="0" t="inlineStr">
        <is>
          <t xml:space="preserve">unbucketed</t>
        </is>
      </c>
      <c r="J1396" s="0" t="inlineStr">
        <is>
          <t xml:space="preserve">residual</t>
        </is>
      </c>
      <c r="K1396" s="5">
        <v>0</v>
      </c>
      <c r="L1396" s="5">
        <v>0</v>
      </c>
      <c r="M1396" s="5">
        <v>0.0</v>
      </c>
      <c r="N1396" s="5">
        <v>0.0</v>
      </c>
      <c r="O1396" s="5">
        <v>0.0</v>
      </c>
      <c r="P1396" s="5">
        <v>0.0</v>
      </c>
      <c r="Q1396" s="5">
        <v>0.0</v>
      </c>
    </row>
    <row r="1397" outlineLevel="1">
      <c r="B1397" s="0" t="inlineStr">
        <is>
          <t xml:space="preserve">ALLIED WIRE &amp; CABLE, LLC</t>
        </is>
      </c>
      <c r="C1397" s="0" t="inlineStr">
        <is>
          <t xml:space="preserve">GLT9FNADUMA4</t>
        </is>
      </c>
      <c r="D1397" s="0" t="inlineStr">
        <is>
          <t xml:space="preserve">-</t>
        </is>
      </c>
      <c r="E1397" s="0" t="inlineStr">
        <is>
          <t xml:space="preserve">-</t>
        </is>
      </c>
      <c r="F1397" s="0" t="inlineStr">
        <is>
          <t xml:space="preserve">-</t>
        </is>
      </c>
      <c r="G1397" s="5">
        <v>0.15012202000000002</v>
      </c>
      <c r="H1397" s="0" t="inlineStr">
        <is>
          <t xml:space="preserve">supplier</t>
        </is>
      </c>
      <c r="I1397" s="0" t="inlineStr">
        <is>
          <t xml:space="preserve">unbucketed</t>
        </is>
      </c>
      <c r="J1397" s="0" t="inlineStr">
        <is>
          <t xml:space="preserve">residual</t>
        </is>
      </c>
      <c r="K1397" s="5">
        <v>0</v>
      </c>
      <c r="L1397" s="5">
        <v>0</v>
      </c>
      <c r="M1397" s="5">
        <v>0.0</v>
      </c>
      <c r="N1397" s="5">
        <v>0.0</v>
      </c>
      <c r="O1397" s="5">
        <v>0.0</v>
      </c>
      <c r="P1397" s="5">
        <v>0.0</v>
      </c>
      <c r="Q1397" s="5">
        <v>0.0</v>
      </c>
    </row>
    <row r="1398" outlineLevel="1">
      <c r="B1398" s="0" t="inlineStr">
        <is>
          <t xml:space="preserve">WYMAN-GORDON INVESTMENT CASTINGS, INC</t>
        </is>
      </c>
      <c r="C1398" s="0" t="inlineStr">
        <is>
          <t xml:space="preserve">LMYZVK7K5MH5</t>
        </is>
      </c>
      <c r="D1398" s="0" t="inlineStr">
        <is>
          <t xml:space="preserve">-</t>
        </is>
      </c>
      <c r="E1398" s="0" t="inlineStr">
        <is>
          <t xml:space="preserve">-</t>
        </is>
      </c>
      <c r="F1398" s="0" t="inlineStr">
        <is>
          <t xml:space="preserve">-</t>
        </is>
      </c>
      <c r="G1398" s="5">
        <v>0.15005819</v>
      </c>
      <c r="H1398" s="0" t="inlineStr">
        <is>
          <t xml:space="preserve">supplier</t>
        </is>
      </c>
      <c r="I1398" s="0" t="inlineStr">
        <is>
          <t xml:space="preserve">unbucketed</t>
        </is>
      </c>
      <c r="J1398" s="0" t="inlineStr">
        <is>
          <t xml:space="preserve">residual</t>
        </is>
      </c>
      <c r="K1398" s="5">
        <v>0</v>
      </c>
      <c r="L1398" s="5">
        <v>0</v>
      </c>
      <c r="M1398" s="5">
        <v>0.0</v>
      </c>
      <c r="N1398" s="5">
        <v>0.0</v>
      </c>
      <c r="O1398" s="5">
        <v>0.0</v>
      </c>
      <c r="P1398" s="5">
        <v>0.0</v>
      </c>
      <c r="Q1398" s="5">
        <v>0.0</v>
      </c>
    </row>
    <row r="1399" outlineLevel="1">
      <c r="B1399" s="0" t="inlineStr">
        <is>
          <t xml:space="preserve">SHIPBOARD ELECTRICAL SUPPLY INC</t>
        </is>
      </c>
      <c r="C1399" s="0" t="inlineStr">
        <is>
          <t xml:space="preserve">HMJML9M8QC13</t>
        </is>
      </c>
      <c r="D1399" s="0" t="inlineStr">
        <is>
          <t xml:space="preserve">-</t>
        </is>
      </c>
      <c r="E1399" s="0" t="inlineStr">
        <is>
          <t xml:space="preserve">-</t>
        </is>
      </c>
      <c r="F1399" s="0" t="inlineStr">
        <is>
          <t xml:space="preserve">-</t>
        </is>
      </c>
      <c r="G1399" s="5">
        <v>0.14997798999999998</v>
      </c>
      <c r="H1399" s="0" t="inlineStr">
        <is>
          <t xml:space="preserve">supplier</t>
        </is>
      </c>
      <c r="I1399" s="0" t="inlineStr">
        <is>
          <t xml:space="preserve">unbucketed</t>
        </is>
      </c>
      <c r="J1399" s="0" t="inlineStr">
        <is>
          <t xml:space="preserve">residual</t>
        </is>
      </c>
      <c r="K1399" s="5">
        <v>0</v>
      </c>
      <c r="L1399" s="5">
        <v>0</v>
      </c>
      <c r="M1399" s="5">
        <v>0.0</v>
      </c>
      <c r="N1399" s="5">
        <v>0.0</v>
      </c>
      <c r="O1399" s="5">
        <v>0.0</v>
      </c>
      <c r="P1399" s="5">
        <v>0.0</v>
      </c>
      <c r="Q1399" s="5">
        <v>0.0</v>
      </c>
    </row>
    <row r="1400" outlineLevel="1">
      <c r="B1400" s="0" t="inlineStr">
        <is>
          <t xml:space="preserve">TESAR ROBBINS INC</t>
        </is>
      </c>
      <c r="C1400" s="0" t="inlineStr">
        <is>
          <t xml:space="preserve">F89GU9TUZJU6</t>
        </is>
      </c>
      <c r="D1400" s="0" t="inlineStr">
        <is>
          <t xml:space="preserve">-</t>
        </is>
      </c>
      <c r="E1400" s="0" t="inlineStr">
        <is>
          <t xml:space="preserve">-</t>
        </is>
      </c>
      <c r="F1400" s="0" t="inlineStr">
        <is>
          <t xml:space="preserve">-</t>
        </is>
      </c>
      <c r="G1400" s="5">
        <v>0.14987699999999998</v>
      </c>
      <c r="H1400" s="0" t="inlineStr">
        <is>
          <t xml:space="preserve">supplier</t>
        </is>
      </c>
      <c r="I1400" s="0" t="inlineStr">
        <is>
          <t xml:space="preserve">unbucketed</t>
        </is>
      </c>
      <c r="J1400" s="0" t="inlineStr">
        <is>
          <t xml:space="preserve">residual</t>
        </is>
      </c>
      <c r="K1400" s="5">
        <v>0</v>
      </c>
      <c r="L1400" s="5">
        <v>0</v>
      </c>
      <c r="M1400" s="5">
        <v>0.0</v>
      </c>
      <c r="N1400" s="5">
        <v>0.0</v>
      </c>
      <c r="O1400" s="5">
        <v>0.0</v>
      </c>
      <c r="P1400" s="5">
        <v>0.0</v>
      </c>
      <c r="Q1400" s="5">
        <v>0.0</v>
      </c>
    </row>
    <row r="1401" outlineLevel="1">
      <c r="B1401" s="0" t="inlineStr">
        <is>
          <t xml:space="preserve">DUPONT DE NEMOURS, INC.</t>
        </is>
      </c>
      <c r="C1401" s="0" t="inlineStr">
        <is>
          <t xml:space="preserve">GKNSVFLU4EC1</t>
        </is>
      </c>
      <c r="D1401" s="0" t="inlineStr">
        <is>
          <t xml:space="preserve">-</t>
        </is>
      </c>
      <c r="E1401" s="0" t="inlineStr">
        <is>
          <t xml:space="preserve">-</t>
        </is>
      </c>
      <c r="F1401" s="0" t="inlineStr">
        <is>
          <t xml:space="preserve">-</t>
        </is>
      </c>
      <c r="G1401" s="5">
        <v>0.149582</v>
      </c>
      <c r="H1401" s="0" t="inlineStr">
        <is>
          <t xml:space="preserve">supplier</t>
        </is>
      </c>
      <c r="I1401" s="0" t="inlineStr">
        <is>
          <t xml:space="preserve">unbucketed</t>
        </is>
      </c>
      <c r="J1401" s="0" t="inlineStr">
        <is>
          <t xml:space="preserve">residual</t>
        </is>
      </c>
      <c r="K1401" s="5">
        <v>0</v>
      </c>
      <c r="L1401" s="5">
        <v>0</v>
      </c>
      <c r="M1401" s="5">
        <v>0.0</v>
      </c>
      <c r="N1401" s="5">
        <v>0.0</v>
      </c>
      <c r="O1401" s="5">
        <v>0.0</v>
      </c>
      <c r="P1401" s="5">
        <v>0.0</v>
      </c>
      <c r="Q1401" s="5">
        <v>0.0</v>
      </c>
    </row>
    <row r="1402" outlineLevel="1">
      <c r="B1402" s="0" t="inlineStr">
        <is>
          <t xml:space="preserve">GREAT LAKES SOUND &amp; VIBRATION, INC.</t>
        </is>
      </c>
      <c r="C1402" s="0" t="inlineStr">
        <is>
          <t xml:space="preserve">KH1SMVPKSHY4</t>
        </is>
      </c>
      <c r="D1402" s="0" t="inlineStr">
        <is>
          <t xml:space="preserve">-</t>
        </is>
      </c>
      <c r="E1402" s="0" t="inlineStr">
        <is>
          <t xml:space="preserve">-</t>
        </is>
      </c>
      <c r="F1402" s="0" t="inlineStr">
        <is>
          <t xml:space="preserve">-</t>
        </is>
      </c>
      <c r="G1402" s="5">
        <v>0.149137</v>
      </c>
      <c r="H1402" s="0" t="inlineStr">
        <is>
          <t xml:space="preserve">supplier</t>
        </is>
      </c>
      <c r="I1402" s="0" t="inlineStr">
        <is>
          <t xml:space="preserve">unbucketed</t>
        </is>
      </c>
      <c r="J1402" s="0" t="inlineStr">
        <is>
          <t xml:space="preserve">residual</t>
        </is>
      </c>
      <c r="K1402" s="5">
        <v>0</v>
      </c>
      <c r="L1402" s="5">
        <v>0</v>
      </c>
      <c r="M1402" s="5">
        <v>0.149137</v>
      </c>
      <c r="N1402" s="5">
        <v>0.149137</v>
      </c>
      <c r="O1402" s="5">
        <v>0.0</v>
      </c>
      <c r="P1402" s="5">
        <v>0.0</v>
      </c>
      <c r="Q1402" s="5">
        <v>0.0</v>
      </c>
    </row>
    <row r="1403" outlineLevel="1">
      <c r="B1403" s="0" t="inlineStr">
        <is>
          <t xml:space="preserve">AVNET, INC.</t>
        </is>
      </c>
      <c r="C1403" s="0" t="inlineStr">
        <is>
          <t xml:space="preserve">Z2VAJVVHTKD5</t>
        </is>
      </c>
      <c r="D1403" s="0" t="inlineStr">
        <is>
          <t xml:space="preserve">-</t>
        </is>
      </c>
      <c r="E1403" s="0" t="inlineStr">
        <is>
          <t xml:space="preserve">-</t>
        </is>
      </c>
      <c r="F1403" s="0" t="inlineStr">
        <is>
          <t xml:space="preserve">-</t>
        </is>
      </c>
      <c r="G1403" s="5">
        <v>0.14894826</v>
      </c>
      <c r="H1403" s="0" t="inlineStr">
        <is>
          <t xml:space="preserve">supplier</t>
        </is>
      </c>
      <c r="I1403" s="0" t="inlineStr">
        <is>
          <t xml:space="preserve">unbucketed</t>
        </is>
      </c>
      <c r="J1403" s="0" t="inlineStr">
        <is>
          <t xml:space="preserve">residual</t>
        </is>
      </c>
      <c r="K1403" s="5">
        <v>0</v>
      </c>
      <c r="L1403" s="5">
        <v>0</v>
      </c>
      <c r="M1403" s="5">
        <v>0.0</v>
      </c>
      <c r="N1403" s="5">
        <v>0.0</v>
      </c>
      <c r="O1403" s="5">
        <v>0.0</v>
      </c>
      <c r="P1403" s="5">
        <v>0.0</v>
      </c>
      <c r="Q1403" s="5">
        <v>0.0</v>
      </c>
    </row>
    <row r="1404" outlineLevel="1">
      <c r="B1404" s="0" t="inlineStr">
        <is>
          <t xml:space="preserve">BORG DESIGN INC</t>
        </is>
      </c>
      <c r="C1404" s="0" t="inlineStr">
        <is>
          <t xml:space="preserve">FJ5KUWG5MEQ3</t>
        </is>
      </c>
      <c r="D1404" s="0" t="inlineStr">
        <is>
          <t xml:space="preserve">-</t>
        </is>
      </c>
      <c r="E1404" s="0" t="inlineStr">
        <is>
          <t xml:space="preserve">-</t>
        </is>
      </c>
      <c r="F1404" s="0" t="inlineStr">
        <is>
          <t xml:space="preserve">-</t>
        </is>
      </c>
      <c r="G1404" s="5">
        <v>0.14893800000000001</v>
      </c>
      <c r="H1404" s="0" t="inlineStr">
        <is>
          <t xml:space="preserve">supplier</t>
        </is>
      </c>
      <c r="I1404" s="0" t="inlineStr">
        <is>
          <t xml:space="preserve">unbucketed</t>
        </is>
      </c>
      <c r="J1404" s="0" t="inlineStr">
        <is>
          <t xml:space="preserve">residual</t>
        </is>
      </c>
      <c r="K1404" s="5">
        <v>0</v>
      </c>
      <c r="L1404" s="5">
        <v>0</v>
      </c>
      <c r="M1404" s="5">
        <v>0.0</v>
      </c>
      <c r="N1404" s="5">
        <v>0.0</v>
      </c>
      <c r="O1404" s="5">
        <v>0.0</v>
      </c>
      <c r="P1404" s="5">
        <v>0.0</v>
      </c>
      <c r="Q1404" s="5">
        <v>0.0</v>
      </c>
    </row>
    <row r="1405" outlineLevel="1">
      <c r="B1405" s="0" t="inlineStr">
        <is>
          <t xml:space="preserve">CP INDUSTRIES HOLDINGS, INC.</t>
        </is>
      </c>
      <c r="C1405" s="0" t="inlineStr">
        <is>
          <t xml:space="preserve">MSYWUDGYPKF5</t>
        </is>
      </c>
      <c r="D1405" s="0" t="inlineStr">
        <is>
          <t xml:space="preserve">-</t>
        </is>
      </c>
      <c r="E1405" s="0" t="inlineStr">
        <is>
          <t xml:space="preserve">-</t>
        </is>
      </c>
      <c r="F1405" s="0" t="inlineStr">
        <is>
          <t xml:space="preserve">-</t>
        </is>
      </c>
      <c r="G1405" s="5">
        <v>0.148914</v>
      </c>
      <c r="H1405" s="0" t="inlineStr">
        <is>
          <t xml:space="preserve">supplier</t>
        </is>
      </c>
      <c r="I1405" s="0" t="inlineStr">
        <is>
          <t xml:space="preserve">structural</t>
        </is>
      </c>
      <c r="J1405" s="0" t="inlineStr">
        <is>
          <t xml:space="preserve">registry</t>
        </is>
      </c>
      <c r="K1405" s="5">
        <v>0</v>
      </c>
      <c r="L1405" s="5">
        <v>0</v>
      </c>
      <c r="M1405" s="5">
        <v>0.148914</v>
      </c>
      <c r="N1405" s="5">
        <v>0.0</v>
      </c>
      <c r="O1405" s="5">
        <v>0.148914</v>
      </c>
      <c r="P1405" s="5">
        <v>0.0</v>
      </c>
      <c r="Q1405" s="5">
        <v>0.0</v>
      </c>
    </row>
    <row r="1406" outlineLevel="1">
      <c r="B1406" s="0" t="inlineStr">
        <is>
          <t xml:space="preserve">PACIFIC MOBILE STRUCTURES, INC.</t>
        </is>
      </c>
      <c r="C1406" s="0" t="inlineStr">
        <is>
          <t xml:space="preserve">ELA3HTZ25FJ3</t>
        </is>
      </c>
      <c r="D1406" s="0" t="inlineStr">
        <is>
          <t xml:space="preserve">-</t>
        </is>
      </c>
      <c r="E1406" s="0" t="inlineStr">
        <is>
          <t xml:space="preserve">-</t>
        </is>
      </c>
      <c r="F1406" s="0" t="inlineStr">
        <is>
          <t xml:space="preserve">-</t>
        </is>
      </c>
      <c r="G1406" s="5">
        <v>0.147962</v>
      </c>
      <c r="H1406" s="0" t="inlineStr">
        <is>
          <t xml:space="preserve">supplier</t>
        </is>
      </c>
      <c r="I1406" s="0" t="inlineStr">
        <is>
          <t xml:space="preserve">unbucketed</t>
        </is>
      </c>
      <c r="J1406" s="0" t="inlineStr">
        <is>
          <t xml:space="preserve">residual</t>
        </is>
      </c>
      <c r="K1406" s="5">
        <v>0</v>
      </c>
      <c r="L1406" s="5">
        <v>0</v>
      </c>
      <c r="M1406" s="5">
        <v>0.0</v>
      </c>
      <c r="N1406" s="5">
        <v>0.0</v>
      </c>
      <c r="O1406" s="5">
        <v>0.0</v>
      </c>
      <c r="P1406" s="5">
        <v>0.0</v>
      </c>
      <c r="Q1406" s="5">
        <v>0.0</v>
      </c>
    </row>
    <row r="1407" outlineLevel="1">
      <c r="B1407" s="0" t="inlineStr">
        <is>
          <t xml:space="preserve">MORPAC INDUSTRIES INC</t>
        </is>
      </c>
      <c r="C1407" s="0" t="inlineStr">
        <is>
          <t xml:space="preserve">FGNQE3RF1FK5</t>
        </is>
      </c>
      <c r="D1407" s="0" t="inlineStr">
        <is>
          <t xml:space="preserve">USA</t>
        </is>
      </c>
      <c r="E1407" s="0" t="inlineStr">
        <is>
          <t xml:space="preserve">3329</t>
        </is>
      </c>
      <c r="F1407" s="0" t="inlineStr">
        <is>
          <t xml:space="preserve">Industrial Valve Manufacturing</t>
        </is>
      </c>
      <c r="G1407" s="5">
        <v>0.14768699</v>
      </c>
      <c r="H1407" s="0" t="inlineStr">
        <is>
          <t xml:space="preserve">supplier</t>
        </is>
      </c>
      <c r="I1407" s="0" t="inlineStr">
        <is>
          <t xml:space="preserve">piping</t>
        </is>
      </c>
      <c r="J1407" s="0" t="inlineStr">
        <is>
          <t xml:space="preserve">naics4</t>
        </is>
      </c>
      <c r="K1407" s="5">
        <v>0</v>
      </c>
      <c r="L1407" s="5">
        <v>0</v>
      </c>
      <c r="M1407" s="5">
        <v>0.14768699</v>
      </c>
      <c r="N1407" s="5">
        <v>0.14768699</v>
      </c>
      <c r="O1407" s="5">
        <v>0.0</v>
      </c>
      <c r="P1407" s="5">
        <v>0.0</v>
      </c>
      <c r="Q1407" s="5">
        <v>0.0</v>
      </c>
    </row>
    <row r="1408" outlineLevel="1">
      <c r="B1408" s="0" t="inlineStr">
        <is>
          <t xml:space="preserve">KPS CAPITAL PARTNERS LP</t>
        </is>
      </c>
      <c r="C1408" s="0" t="inlineStr">
        <is>
          <t xml:space="preserve">JW6PXX1WALN4</t>
        </is>
      </c>
      <c r="D1408" s="0" t="inlineStr">
        <is>
          <t xml:space="preserve">-</t>
        </is>
      </c>
      <c r="E1408" s="0" t="inlineStr">
        <is>
          <t xml:space="preserve">-</t>
        </is>
      </c>
      <c r="F1408" s="0" t="inlineStr">
        <is>
          <t xml:space="preserve">-</t>
        </is>
      </c>
      <c r="G1408" s="5">
        <v>0.147586</v>
      </c>
      <c r="H1408" s="0" t="inlineStr">
        <is>
          <t xml:space="preserve">supplier</t>
        </is>
      </c>
      <c r="I1408" s="0" t="inlineStr">
        <is>
          <t xml:space="preserve">hvac</t>
        </is>
      </c>
      <c r="J1408" s="0" t="inlineStr">
        <is>
          <t xml:space="preserve">registry</t>
        </is>
      </c>
      <c r="K1408" s="5">
        <v>0</v>
      </c>
      <c r="L1408" s="5">
        <v>0</v>
      </c>
      <c r="M1408" s="5">
        <v>0.147586</v>
      </c>
      <c r="N1408" s="5">
        <v>0.0</v>
      </c>
      <c r="O1408" s="5">
        <v>0.0</v>
      </c>
      <c r="P1408" s="5">
        <v>0.0</v>
      </c>
      <c r="Q1408" s="5">
        <v>0.147586</v>
      </c>
    </row>
    <row r="1409" outlineLevel="1">
      <c r="B1409" s="0" t="inlineStr">
        <is>
          <t xml:space="preserve">CGI AUTOMATED MANUFACTURING, INC.</t>
        </is>
      </c>
      <c r="C1409" s="0" t="inlineStr">
        <is>
          <t xml:space="preserve">MS9XWCRV8XD8</t>
        </is>
      </c>
      <c r="D1409" s="0" t="inlineStr">
        <is>
          <t xml:space="preserve">USA</t>
        </is>
      </c>
      <c r="E1409" s="0" t="inlineStr">
        <is>
          <t xml:space="preserve">3329</t>
        </is>
      </c>
      <c r="F1409" s="0" t="inlineStr">
        <is>
          <t xml:space="preserve">All Other Miscellaneous Fabricated Metal Product Manufacturing</t>
        </is>
      </c>
      <c r="G1409" s="5">
        <v>0.14735526</v>
      </c>
      <c r="H1409" s="0" t="inlineStr">
        <is>
          <t xml:space="preserve">supplier</t>
        </is>
      </c>
      <c r="I1409" s="0" t="inlineStr">
        <is>
          <t xml:space="preserve">structural</t>
        </is>
      </c>
      <c r="J1409" s="0" t="inlineStr">
        <is>
          <t xml:space="preserve">registry</t>
        </is>
      </c>
      <c r="K1409" s="5">
        <v>0</v>
      </c>
      <c r="L1409" s="5">
        <v>0</v>
      </c>
      <c r="M1409" s="5">
        <v>0.0</v>
      </c>
      <c r="N1409" s="5">
        <v>0.0</v>
      </c>
      <c r="O1409" s="5">
        <v>0.0</v>
      </c>
      <c r="P1409" s="5">
        <v>0.0</v>
      </c>
      <c r="Q1409" s="5">
        <v>0.0</v>
      </c>
    </row>
    <row r="1410" outlineLevel="1">
      <c r="B1410" s="0" t="inlineStr">
        <is>
          <t xml:space="preserve">KRATOS DEFENSE &amp; SECURITY SOLUTIONS, INC.</t>
        </is>
      </c>
      <c r="C1410" s="0" t="inlineStr">
        <is>
          <t xml:space="preserve">TRL2CYVH8P43</t>
        </is>
      </c>
      <c r="D1410" s="0" t="inlineStr">
        <is>
          <t xml:space="preserve">-</t>
        </is>
      </c>
      <c r="E1410" s="0" t="inlineStr">
        <is>
          <t xml:space="preserve">-</t>
        </is>
      </c>
      <c r="F1410" s="0" t="inlineStr">
        <is>
          <t xml:space="preserve">-</t>
        </is>
      </c>
      <c r="G1410" s="5">
        <v>0.14725</v>
      </c>
      <c r="H1410" s="0" t="inlineStr">
        <is>
          <t xml:space="preserve">supplier</t>
        </is>
      </c>
      <c r="I1410" s="0" t="inlineStr">
        <is>
          <t xml:space="preserve">unbucketed</t>
        </is>
      </c>
      <c r="J1410" s="0" t="inlineStr">
        <is>
          <t xml:space="preserve">residual</t>
        </is>
      </c>
      <c r="K1410" s="5">
        <v>0</v>
      </c>
      <c r="L1410" s="5">
        <v>0</v>
      </c>
      <c r="M1410" s="5">
        <v>0.0</v>
      </c>
      <c r="N1410" s="5">
        <v>0.0</v>
      </c>
      <c r="O1410" s="5">
        <v>0.0</v>
      </c>
      <c r="P1410" s="5">
        <v>0.0</v>
      </c>
      <c r="Q1410" s="5">
        <v>0.0</v>
      </c>
    </row>
    <row r="1411" outlineLevel="1">
      <c r="B1411" s="0" t="inlineStr">
        <is>
          <t xml:space="preserve">CARAHSOFT TECHNOLOGY CORP</t>
        </is>
      </c>
      <c r="C1411" s="0" t="inlineStr">
        <is>
          <t xml:space="preserve">DT8KJHZXVJH5</t>
        </is>
      </c>
      <c r="D1411" s="0" t="inlineStr">
        <is>
          <t xml:space="preserve">-</t>
        </is>
      </c>
      <c r="E1411" s="0" t="inlineStr">
        <is>
          <t xml:space="preserve">-</t>
        </is>
      </c>
      <c r="F1411" s="0" t="inlineStr">
        <is>
          <t xml:space="preserve">-</t>
        </is>
      </c>
      <c r="G1411" s="5">
        <v>0.14721678</v>
      </c>
      <c r="H1411" s="0" t="inlineStr">
        <is>
          <t xml:space="preserve">supplier</t>
        </is>
      </c>
      <c r="I1411" s="0" t="inlineStr">
        <is>
          <t xml:space="preserve">unbucketed</t>
        </is>
      </c>
      <c r="J1411" s="0" t="inlineStr">
        <is>
          <t xml:space="preserve">residual</t>
        </is>
      </c>
      <c r="K1411" s="5">
        <v>0</v>
      </c>
      <c r="L1411" s="5">
        <v>0</v>
      </c>
      <c r="M1411" s="5">
        <v>0.0</v>
      </c>
      <c r="N1411" s="5">
        <v>0.0</v>
      </c>
      <c r="O1411" s="5">
        <v>0.0</v>
      </c>
      <c r="P1411" s="5">
        <v>0.0</v>
      </c>
      <c r="Q1411" s="5">
        <v>0.0</v>
      </c>
    </row>
    <row r="1412" outlineLevel="1">
      <c r="B1412" s="0" t="inlineStr">
        <is>
          <t xml:space="preserve">COMPASS SYSTEMS, INC.</t>
        </is>
      </c>
      <c r="C1412" s="0" t="inlineStr">
        <is>
          <t xml:space="preserve">DSXRN7GV2M91</t>
        </is>
      </c>
      <c r="D1412" s="0" t="inlineStr">
        <is>
          <t xml:space="preserve">-</t>
        </is>
      </c>
      <c r="E1412" s="0" t="inlineStr">
        <is>
          <t xml:space="preserve">-</t>
        </is>
      </c>
      <c r="F1412" s="0" t="inlineStr">
        <is>
          <t xml:space="preserve">-</t>
        </is>
      </c>
      <c r="G1412" s="5">
        <v>0.1471741</v>
      </c>
      <c r="H1412" s="0" t="inlineStr">
        <is>
          <t xml:space="preserve">supplier</t>
        </is>
      </c>
      <c r="I1412" s="0" t="inlineStr">
        <is>
          <t xml:space="preserve">unbucketed</t>
        </is>
      </c>
      <c r="J1412" s="0" t="inlineStr">
        <is>
          <t xml:space="preserve">residual</t>
        </is>
      </c>
      <c r="K1412" s="5">
        <v>0</v>
      </c>
      <c r="L1412" s="5">
        <v>0</v>
      </c>
      <c r="M1412" s="5">
        <v>0.0</v>
      </c>
      <c r="N1412" s="5">
        <v>0.0</v>
      </c>
      <c r="O1412" s="5">
        <v>0.0</v>
      </c>
      <c r="P1412" s="5">
        <v>0.0</v>
      </c>
      <c r="Q1412" s="5">
        <v>0.0</v>
      </c>
    </row>
    <row r="1413" outlineLevel="1">
      <c r="B1413" s="0" t="inlineStr">
        <is>
          <t xml:space="preserve">DONALDSON COMPANY, INC.</t>
        </is>
      </c>
      <c r="C1413" s="0" t="inlineStr">
        <is>
          <t xml:space="preserve">UES5F4AAZJK5</t>
        </is>
      </c>
      <c r="D1413" s="0" t="inlineStr">
        <is>
          <t xml:space="preserve">-</t>
        </is>
      </c>
      <c r="E1413" s="0" t="inlineStr">
        <is>
          <t xml:space="preserve">-</t>
        </is>
      </c>
      <c r="F1413" s="0" t="inlineStr">
        <is>
          <t xml:space="preserve">-</t>
        </is>
      </c>
      <c r="G1413" s="5">
        <v>0.14670774</v>
      </c>
      <c r="H1413" s="0" t="inlineStr">
        <is>
          <t xml:space="preserve">supplier</t>
        </is>
      </c>
      <c r="I1413" s="0" t="inlineStr">
        <is>
          <t xml:space="preserve">unbucketed</t>
        </is>
      </c>
      <c r="J1413" s="0" t="inlineStr">
        <is>
          <t xml:space="preserve">residual</t>
        </is>
      </c>
      <c r="K1413" s="5">
        <v>0</v>
      </c>
      <c r="L1413" s="5">
        <v>0</v>
      </c>
      <c r="M1413" s="5">
        <v>0.14670774</v>
      </c>
      <c r="N1413" s="5">
        <v>0.0</v>
      </c>
      <c r="O1413" s="5">
        <v>0.0</v>
      </c>
      <c r="P1413" s="5">
        <v>0.0</v>
      </c>
      <c r="Q1413" s="5">
        <v>0.0</v>
      </c>
    </row>
    <row r="1414" outlineLevel="1">
      <c r="B1414" s="0" t="inlineStr">
        <is>
          <t xml:space="preserve">IDEAL SYSTEM SOLUTIONS, INC.</t>
        </is>
      </c>
      <c r="C1414" s="0" t="inlineStr">
        <is>
          <t xml:space="preserve">TC3NF4XRLGV7</t>
        </is>
      </c>
      <c r="D1414" s="0" t="inlineStr">
        <is>
          <t xml:space="preserve">-</t>
        </is>
      </c>
      <c r="E1414" s="0" t="inlineStr">
        <is>
          <t xml:space="preserve">-</t>
        </is>
      </c>
      <c r="F1414" s="0" t="inlineStr">
        <is>
          <t xml:space="preserve">-</t>
        </is>
      </c>
      <c r="G1414" s="5">
        <v>0.14657775</v>
      </c>
      <c r="H1414" s="0" t="inlineStr">
        <is>
          <t xml:space="preserve">supplier</t>
        </is>
      </c>
      <c r="I1414" s="0" t="inlineStr">
        <is>
          <t xml:space="preserve">unbucketed</t>
        </is>
      </c>
      <c r="J1414" s="0" t="inlineStr">
        <is>
          <t xml:space="preserve">residual</t>
        </is>
      </c>
      <c r="K1414" s="5">
        <v>0</v>
      </c>
      <c r="L1414" s="5">
        <v>0</v>
      </c>
      <c r="M1414" s="5">
        <v>0.0</v>
      </c>
      <c r="N1414" s="5">
        <v>0.0</v>
      </c>
      <c r="O1414" s="5">
        <v>0.0</v>
      </c>
      <c r="P1414" s="5">
        <v>0.0</v>
      </c>
      <c r="Q1414" s="5">
        <v>0.0</v>
      </c>
    </row>
    <row r="1415" outlineLevel="1">
      <c r="B1415" s="0" t="inlineStr">
        <is>
          <t xml:space="preserve">ASI MARINE &amp; INDUSTRIAL INC</t>
        </is>
      </c>
      <c r="C1415" s="0" t="inlineStr">
        <is>
          <t xml:space="preserve">XK8VBJ94L4E9</t>
        </is>
      </c>
      <c r="D1415" s="0" t="inlineStr">
        <is>
          <t xml:space="preserve">-</t>
        </is>
      </c>
      <c r="E1415" s="0" t="inlineStr">
        <is>
          <t xml:space="preserve">-</t>
        </is>
      </c>
      <c r="F1415" s="0" t="inlineStr">
        <is>
          <t xml:space="preserve">-</t>
        </is>
      </c>
      <c r="G1415" s="5">
        <v>0.14637</v>
      </c>
      <c r="H1415" s="0" t="inlineStr">
        <is>
          <t xml:space="preserve">supplier</t>
        </is>
      </c>
      <c r="I1415" s="0" t="inlineStr">
        <is>
          <t xml:space="preserve">unbucketed</t>
        </is>
      </c>
      <c r="J1415" s="0" t="inlineStr">
        <is>
          <t xml:space="preserve">residual</t>
        </is>
      </c>
      <c r="K1415" s="5">
        <v>0</v>
      </c>
      <c r="L1415" s="5">
        <v>0</v>
      </c>
      <c r="M1415" s="5">
        <v>0.14637</v>
      </c>
      <c r="N1415" s="5">
        <v>0.0</v>
      </c>
      <c r="O1415" s="5">
        <v>0.0</v>
      </c>
      <c r="P1415" s="5">
        <v>0.0</v>
      </c>
      <c r="Q1415" s="5">
        <v>0.0</v>
      </c>
    </row>
    <row r="1416" outlineLevel="1">
      <c r="B1416" s="0" t="inlineStr">
        <is>
          <t xml:space="preserve">CDW CORPORATION</t>
        </is>
      </c>
      <c r="C1416" s="0" t="inlineStr">
        <is>
          <t xml:space="preserve">PHZDZ8SJ5CM1</t>
        </is>
      </c>
      <c r="D1416" s="0" t="inlineStr">
        <is>
          <t xml:space="preserve">-</t>
        </is>
      </c>
      <c r="E1416" s="0" t="inlineStr">
        <is>
          <t xml:space="preserve">-</t>
        </is>
      </c>
      <c r="F1416" s="0" t="inlineStr">
        <is>
          <t xml:space="preserve">-</t>
        </is>
      </c>
      <c r="G1416" s="5">
        <v>0.1458404</v>
      </c>
      <c r="H1416" s="0" t="inlineStr">
        <is>
          <t xml:space="preserve">supplier</t>
        </is>
      </c>
      <c r="I1416" s="0" t="inlineStr">
        <is>
          <t xml:space="preserve">unbucketed</t>
        </is>
      </c>
      <c r="J1416" s="0" t="inlineStr">
        <is>
          <t xml:space="preserve">residual</t>
        </is>
      </c>
      <c r="K1416" s="5">
        <v>0</v>
      </c>
      <c r="L1416" s="5">
        <v>0</v>
      </c>
      <c r="M1416" s="5">
        <v>0.0</v>
      </c>
      <c r="N1416" s="5">
        <v>0.0</v>
      </c>
      <c r="O1416" s="5">
        <v>0.0</v>
      </c>
      <c r="P1416" s="5">
        <v>0.0</v>
      </c>
      <c r="Q1416" s="5">
        <v>0.0</v>
      </c>
    </row>
    <row r="1417" outlineLevel="1">
      <c r="B1417" s="0" t="inlineStr">
        <is>
          <t xml:space="preserve">VERTIV HOLDINGS CO</t>
        </is>
      </c>
      <c r="C1417" s="0" t="inlineStr">
        <is>
          <t xml:space="preserve">JYHDD6GCU254</t>
        </is>
      </c>
      <c r="D1417" s="0" t="inlineStr">
        <is>
          <t xml:space="preserve">-</t>
        </is>
      </c>
      <c r="E1417" s="0" t="inlineStr">
        <is>
          <t xml:space="preserve">-</t>
        </is>
      </c>
      <c r="F1417" s="0" t="inlineStr">
        <is>
          <t xml:space="preserve">-</t>
        </is>
      </c>
      <c r="G1417" s="5">
        <v>0.14582</v>
      </c>
      <c r="H1417" s="0" t="inlineStr">
        <is>
          <t xml:space="preserve">supplier</t>
        </is>
      </c>
      <c r="I1417" s="0" t="inlineStr">
        <is>
          <t xml:space="preserve">unbucketed</t>
        </is>
      </c>
      <c r="J1417" s="0" t="inlineStr">
        <is>
          <t xml:space="preserve">residual</t>
        </is>
      </c>
      <c r="K1417" s="5">
        <v>0</v>
      </c>
      <c r="L1417" s="5">
        <v>0</v>
      </c>
      <c r="M1417" s="5">
        <v>0.0</v>
      </c>
      <c r="N1417" s="5">
        <v>0.0</v>
      </c>
      <c r="O1417" s="5">
        <v>0.0</v>
      </c>
      <c r="P1417" s="5">
        <v>0.0</v>
      </c>
      <c r="Q1417" s="5">
        <v>0.0</v>
      </c>
    </row>
    <row r="1418" outlineLevel="1">
      <c r="B1418" s="0" t="inlineStr">
        <is>
          <t xml:space="preserve">QED SYSTEMS INC</t>
        </is>
      </c>
      <c r="C1418" s="0" t="inlineStr">
        <is>
          <t xml:space="preserve">N62LME8FBJL6</t>
        </is>
      </c>
      <c r="D1418" s="0" t="inlineStr">
        <is>
          <t xml:space="preserve">-</t>
        </is>
      </c>
      <c r="E1418" s="0" t="inlineStr">
        <is>
          <t xml:space="preserve">-</t>
        </is>
      </c>
      <c r="F1418" s="0" t="inlineStr">
        <is>
          <t xml:space="preserve">-</t>
        </is>
      </c>
      <c r="G1418" s="5">
        <v>0.145638</v>
      </c>
      <c r="H1418" s="0" t="inlineStr">
        <is>
          <t xml:space="preserve">supplier</t>
        </is>
      </c>
      <c r="I1418" s="0" t="inlineStr">
        <is>
          <t xml:space="preserve">unbucketed</t>
        </is>
      </c>
      <c r="J1418" s="0" t="inlineStr">
        <is>
          <t xml:space="preserve">residual</t>
        </is>
      </c>
      <c r="K1418" s="5">
        <v>0</v>
      </c>
      <c r="L1418" s="5">
        <v>0</v>
      </c>
      <c r="M1418" s="5">
        <v>0.0</v>
      </c>
      <c r="N1418" s="5">
        <v>0.0</v>
      </c>
      <c r="O1418" s="5">
        <v>0.0</v>
      </c>
      <c r="P1418" s="5">
        <v>0.0</v>
      </c>
      <c r="Q1418" s="5">
        <v>0.0</v>
      </c>
    </row>
    <row r="1419" outlineLevel="1">
      <c r="B1419" s="0" t="inlineStr">
        <is>
          <t xml:space="preserve">ASTUTE ELECTRONICS, INC.</t>
        </is>
      </c>
      <c r="C1419" s="0" t="inlineStr">
        <is>
          <t xml:space="preserve">MCEDCKDJ4188</t>
        </is>
      </c>
      <c r="D1419" s="0" t="inlineStr">
        <is>
          <t xml:space="preserve">-</t>
        </is>
      </c>
      <c r="E1419" s="0" t="inlineStr">
        <is>
          <t xml:space="preserve">-</t>
        </is>
      </c>
      <c r="F1419" s="0" t="inlineStr">
        <is>
          <t xml:space="preserve">-</t>
        </is>
      </c>
      <c r="G1419" s="5">
        <v>0.145571</v>
      </c>
      <c r="H1419" s="0" t="inlineStr">
        <is>
          <t xml:space="preserve">supplier</t>
        </is>
      </c>
      <c r="I1419" s="0" t="inlineStr">
        <is>
          <t xml:space="preserve">unbucketed</t>
        </is>
      </c>
      <c r="J1419" s="0" t="inlineStr">
        <is>
          <t xml:space="preserve">residual</t>
        </is>
      </c>
      <c r="K1419" s="5">
        <v>0</v>
      </c>
      <c r="L1419" s="5">
        <v>0</v>
      </c>
      <c r="M1419" s="5">
        <v>0.0</v>
      </c>
      <c r="N1419" s="5">
        <v>0.0</v>
      </c>
      <c r="O1419" s="5">
        <v>0.0</v>
      </c>
      <c r="P1419" s="5">
        <v>0.0</v>
      </c>
      <c r="Q1419" s="5">
        <v>0.0</v>
      </c>
    </row>
    <row r="1420" outlineLevel="1">
      <c r="B1420" s="0" t="inlineStr">
        <is>
          <t xml:space="preserve">TRP INC</t>
        </is>
      </c>
      <c r="C1420" s="0" t="inlineStr">
        <is>
          <t xml:space="preserve">VJYSTMJME536</t>
        </is>
      </c>
      <c r="D1420" s="0" t="inlineStr">
        <is>
          <t xml:space="preserve">-</t>
        </is>
      </c>
      <c r="E1420" s="0" t="inlineStr">
        <is>
          <t xml:space="preserve">-</t>
        </is>
      </c>
      <c r="F1420" s="0" t="inlineStr">
        <is>
          <t xml:space="preserve">-</t>
        </is>
      </c>
      <c r="G1420" s="5">
        <v>0.14542802</v>
      </c>
      <c r="H1420" s="0" t="inlineStr">
        <is>
          <t xml:space="preserve">supplier</t>
        </is>
      </c>
      <c r="I1420" s="0" t="inlineStr">
        <is>
          <t xml:space="preserve">unbucketed</t>
        </is>
      </c>
      <c r="J1420" s="0" t="inlineStr">
        <is>
          <t xml:space="preserve">residual</t>
        </is>
      </c>
      <c r="K1420" s="5">
        <v>0</v>
      </c>
      <c r="L1420" s="5">
        <v>0</v>
      </c>
      <c r="M1420" s="5">
        <v>0.0</v>
      </c>
      <c r="N1420" s="5">
        <v>0.0</v>
      </c>
      <c r="O1420" s="5">
        <v>0.0</v>
      </c>
      <c r="P1420" s="5">
        <v>0.0</v>
      </c>
      <c r="Q1420" s="5">
        <v>0.0</v>
      </c>
    </row>
    <row r="1421" outlineLevel="1">
      <c r="B1421" s="0" t="inlineStr">
        <is>
          <t xml:space="preserve">LAPEER INDUSTRIES, INC.</t>
        </is>
      </c>
      <c r="C1421" s="0" t="inlineStr">
        <is>
          <t xml:space="preserve">LBSEMJP3HZV7</t>
        </is>
      </c>
      <c r="D1421" s="0" t="inlineStr">
        <is>
          <t xml:space="preserve">-</t>
        </is>
      </c>
      <c r="E1421" s="0" t="inlineStr">
        <is>
          <t xml:space="preserve">-</t>
        </is>
      </c>
      <c r="F1421" s="0" t="inlineStr">
        <is>
          <t xml:space="preserve">-</t>
        </is>
      </c>
      <c r="G1421" s="5">
        <v>0.14517773</v>
      </c>
      <c r="H1421" s="0" t="inlineStr">
        <is>
          <t xml:space="preserve">supplier</t>
        </is>
      </c>
      <c r="I1421" s="0" t="inlineStr">
        <is>
          <t xml:space="preserve">unbucketed</t>
        </is>
      </c>
      <c r="J1421" s="0" t="inlineStr">
        <is>
          <t xml:space="preserve">residual</t>
        </is>
      </c>
      <c r="K1421" s="5">
        <v>0</v>
      </c>
      <c r="L1421" s="5">
        <v>0</v>
      </c>
      <c r="M1421" s="5">
        <v>0.0</v>
      </c>
      <c r="N1421" s="5">
        <v>0.0</v>
      </c>
      <c r="O1421" s="5">
        <v>0.0</v>
      </c>
      <c r="P1421" s="5">
        <v>0.0</v>
      </c>
      <c r="Q1421" s="5">
        <v>0.0</v>
      </c>
    </row>
    <row r="1422" outlineLevel="1">
      <c r="B1422" s="0" t="inlineStr">
        <is>
          <t xml:space="preserve">POWELL ELECTRONICS INC.</t>
        </is>
      </c>
      <c r="C1422" s="0" t="inlineStr">
        <is>
          <t xml:space="preserve">M2XAYNY2P889</t>
        </is>
      </c>
      <c r="D1422" s="0" t="inlineStr">
        <is>
          <t xml:space="preserve">-</t>
        </is>
      </c>
      <c r="E1422" s="0" t="inlineStr">
        <is>
          <t xml:space="preserve">-</t>
        </is>
      </c>
      <c r="F1422" s="0" t="inlineStr">
        <is>
          <t xml:space="preserve">-</t>
        </is>
      </c>
      <c r="G1422" s="5">
        <v>0.14404132</v>
      </c>
      <c r="H1422" s="0" t="inlineStr">
        <is>
          <t xml:space="preserve">supplier</t>
        </is>
      </c>
      <c r="I1422" s="0" t="inlineStr">
        <is>
          <t xml:space="preserve">unbucketed</t>
        </is>
      </c>
      <c r="J1422" s="0" t="inlineStr">
        <is>
          <t xml:space="preserve">residual</t>
        </is>
      </c>
      <c r="K1422" s="5">
        <v>0</v>
      </c>
      <c r="L1422" s="5">
        <v>0</v>
      </c>
      <c r="M1422" s="5">
        <v>0.0</v>
      </c>
      <c r="N1422" s="5">
        <v>0.0</v>
      </c>
      <c r="O1422" s="5">
        <v>0.0</v>
      </c>
      <c r="P1422" s="5">
        <v>0.0</v>
      </c>
      <c r="Q1422" s="5">
        <v>0.0</v>
      </c>
    </row>
    <row r="1423" outlineLevel="1">
      <c r="B1423" s="0" t="inlineStr">
        <is>
          <t xml:space="preserve">MOELLER MFG. COMPANY, LLC</t>
        </is>
      </c>
      <c r="C1423" s="0" t="inlineStr">
        <is>
          <t xml:space="preserve">C1H9M7YF9LW8</t>
        </is>
      </c>
      <c r="D1423" s="0" t="inlineStr">
        <is>
          <t xml:space="preserve">-</t>
        </is>
      </c>
      <c r="E1423" s="0" t="inlineStr">
        <is>
          <t xml:space="preserve">-</t>
        </is>
      </c>
      <c r="F1423" s="0" t="inlineStr">
        <is>
          <t xml:space="preserve">-</t>
        </is>
      </c>
      <c r="G1423" s="5">
        <v>0.143436</v>
      </c>
      <c r="H1423" s="0" t="inlineStr">
        <is>
          <t xml:space="preserve">supplier</t>
        </is>
      </c>
      <c r="I1423" s="0" t="inlineStr">
        <is>
          <t xml:space="preserve">unbucketed</t>
        </is>
      </c>
      <c r="J1423" s="0" t="inlineStr">
        <is>
          <t xml:space="preserve">residual</t>
        </is>
      </c>
      <c r="K1423" s="5">
        <v>0</v>
      </c>
      <c r="L1423" s="5">
        <v>0</v>
      </c>
      <c r="M1423" s="5">
        <v>0.0</v>
      </c>
      <c r="N1423" s="5">
        <v>0.0</v>
      </c>
      <c r="O1423" s="5">
        <v>0.0</v>
      </c>
      <c r="P1423" s="5">
        <v>0.0</v>
      </c>
      <c r="Q1423" s="5">
        <v>0.0</v>
      </c>
    </row>
    <row r="1424" outlineLevel="1">
      <c r="B1424" s="0" t="inlineStr">
        <is>
          <t xml:space="preserve">VALKYRIE ENTERPRISES, LLC</t>
        </is>
      </c>
      <c r="C1424" s="0" t="inlineStr">
        <is>
          <t xml:space="preserve">X9C7KVWCMQJ6</t>
        </is>
      </c>
      <c r="D1424" s="0" t="inlineStr">
        <is>
          <t xml:space="preserve">-</t>
        </is>
      </c>
      <c r="E1424" s="0" t="inlineStr">
        <is>
          <t xml:space="preserve">-</t>
        </is>
      </c>
      <c r="F1424" s="0" t="inlineStr">
        <is>
          <t xml:space="preserve">-</t>
        </is>
      </c>
      <c r="G1424" s="5">
        <v>0.1433382</v>
      </c>
      <c r="H1424" s="0" t="inlineStr">
        <is>
          <t xml:space="preserve">supplier</t>
        </is>
      </c>
      <c r="I1424" s="0" t="inlineStr">
        <is>
          <t xml:space="preserve">unbucketed</t>
        </is>
      </c>
      <c r="J1424" s="0" t="inlineStr">
        <is>
          <t xml:space="preserve">residual</t>
        </is>
      </c>
      <c r="K1424" s="5">
        <v>0</v>
      </c>
      <c r="L1424" s="5">
        <v>0</v>
      </c>
      <c r="M1424" s="5">
        <v>0.1433382</v>
      </c>
      <c r="N1424" s="5">
        <v>0.0</v>
      </c>
      <c r="O1424" s="5">
        <v>0.0</v>
      </c>
      <c r="P1424" s="5">
        <v>0.1433382</v>
      </c>
      <c r="Q1424" s="5">
        <v>0.0</v>
      </c>
    </row>
    <row r="1425" outlineLevel="1">
      <c r="B1425" s="0" t="inlineStr">
        <is>
          <t xml:space="preserve">ELECTRO METHODS INC</t>
        </is>
      </c>
      <c r="C1425" s="0" t="inlineStr">
        <is>
          <t xml:space="preserve">H6XZGGE3NEL5</t>
        </is>
      </c>
      <c r="D1425" s="0" t="inlineStr">
        <is>
          <t xml:space="preserve">-</t>
        </is>
      </c>
      <c r="E1425" s="0" t="inlineStr">
        <is>
          <t xml:space="preserve">-</t>
        </is>
      </c>
      <c r="F1425" s="0" t="inlineStr">
        <is>
          <t xml:space="preserve">-</t>
        </is>
      </c>
      <c r="G1425" s="5">
        <v>0.143307</v>
      </c>
      <c r="H1425" s="0" t="inlineStr">
        <is>
          <t xml:space="preserve">supplier</t>
        </is>
      </c>
      <c r="I1425" s="0" t="inlineStr">
        <is>
          <t xml:space="preserve">unbucketed</t>
        </is>
      </c>
      <c r="J1425" s="0" t="inlineStr">
        <is>
          <t xml:space="preserve">residual</t>
        </is>
      </c>
      <c r="K1425" s="5">
        <v>0</v>
      </c>
      <c r="L1425" s="5">
        <v>0</v>
      </c>
      <c r="M1425" s="5">
        <v>0.0</v>
      </c>
      <c r="N1425" s="5">
        <v>0.0</v>
      </c>
      <c r="O1425" s="5">
        <v>0.0</v>
      </c>
      <c r="P1425" s="5">
        <v>0.0</v>
      </c>
      <c r="Q1425" s="5">
        <v>0.0</v>
      </c>
    </row>
    <row r="1426" outlineLevel="1">
      <c r="B1426" s="0" t="inlineStr">
        <is>
          <t xml:space="preserve">GK MECHANICAL SYSTEMS LLC</t>
        </is>
      </c>
      <c r="C1426" s="0" t="inlineStr">
        <is>
          <t xml:space="preserve">G58FFJ6F2CA7</t>
        </is>
      </c>
      <c r="D1426" s="0" t="inlineStr">
        <is>
          <t xml:space="preserve">-</t>
        </is>
      </c>
      <c r="E1426" s="0" t="inlineStr">
        <is>
          <t xml:space="preserve">-</t>
        </is>
      </c>
      <c r="F1426" s="0" t="inlineStr">
        <is>
          <t xml:space="preserve">-</t>
        </is>
      </c>
      <c r="G1426" s="5">
        <v>0.143287</v>
      </c>
      <c r="H1426" s="0" t="inlineStr">
        <is>
          <t xml:space="preserve">supplier</t>
        </is>
      </c>
      <c r="I1426" s="0" t="inlineStr">
        <is>
          <t xml:space="preserve">unbucketed</t>
        </is>
      </c>
      <c r="J1426" s="0" t="inlineStr">
        <is>
          <t xml:space="preserve">residual</t>
        </is>
      </c>
      <c r="K1426" s="5">
        <v>0</v>
      </c>
      <c r="L1426" s="5">
        <v>0</v>
      </c>
      <c r="M1426" s="5">
        <v>0.143287</v>
      </c>
      <c r="N1426" s="5">
        <v>0.068468</v>
      </c>
      <c r="O1426" s="5">
        <v>0.074819</v>
      </c>
      <c r="P1426" s="5">
        <v>0.0</v>
      </c>
      <c r="Q1426" s="5">
        <v>0.0</v>
      </c>
    </row>
    <row r="1427" outlineLevel="1">
      <c r="B1427" s="0" t="inlineStr">
        <is>
          <t xml:space="preserve">JD MACHINE CORP</t>
        </is>
      </c>
      <c r="C1427" s="0" t="inlineStr">
        <is>
          <t xml:space="preserve">D3FHXWMJ5YX6</t>
        </is>
      </c>
      <c r="D1427" s="0" t="inlineStr">
        <is>
          <t xml:space="preserve">-</t>
        </is>
      </c>
      <c r="E1427" s="0" t="inlineStr">
        <is>
          <t xml:space="preserve">-</t>
        </is>
      </c>
      <c r="F1427" s="0" t="inlineStr">
        <is>
          <t xml:space="preserve">-</t>
        </is>
      </c>
      <c r="G1427" s="5">
        <v>0.1431575</v>
      </c>
      <c r="H1427" s="0" t="inlineStr">
        <is>
          <t xml:space="preserve">supplier</t>
        </is>
      </c>
      <c r="I1427" s="0" t="inlineStr">
        <is>
          <t xml:space="preserve">unbucketed</t>
        </is>
      </c>
      <c r="J1427" s="0" t="inlineStr">
        <is>
          <t xml:space="preserve">residual</t>
        </is>
      </c>
      <c r="K1427" s="5">
        <v>0</v>
      </c>
      <c r="L1427" s="5">
        <v>0</v>
      </c>
      <c r="M1427" s="5">
        <v>0.0</v>
      </c>
      <c r="N1427" s="5">
        <v>0.0</v>
      </c>
      <c r="O1427" s="5">
        <v>0.0</v>
      </c>
      <c r="P1427" s="5">
        <v>0.0</v>
      </c>
      <c r="Q1427" s="5">
        <v>0.0</v>
      </c>
    </row>
    <row r="1428" outlineLevel="1">
      <c r="B1428" s="0" t="inlineStr">
        <is>
          <t xml:space="preserve">DEWEY ELECTRONICS CORPORATION</t>
        </is>
      </c>
      <c r="C1428" s="0" t="inlineStr">
        <is>
          <t xml:space="preserve">M647MA6E64V1</t>
        </is>
      </c>
      <c r="D1428" s="0" t="inlineStr">
        <is>
          <t xml:space="preserve">-</t>
        </is>
      </c>
      <c r="E1428" s="0" t="inlineStr">
        <is>
          <t xml:space="preserve">-</t>
        </is>
      </c>
      <c r="F1428" s="0" t="inlineStr">
        <is>
          <t xml:space="preserve">-</t>
        </is>
      </c>
      <c r="G1428" s="5">
        <v>0.14291868</v>
      </c>
      <c r="H1428" s="0" t="inlineStr">
        <is>
          <t xml:space="preserve">supplier</t>
        </is>
      </c>
      <c r="I1428" s="0" t="inlineStr">
        <is>
          <t xml:space="preserve">unbucketed</t>
        </is>
      </c>
      <c r="J1428" s="0" t="inlineStr">
        <is>
          <t xml:space="preserve">residual</t>
        </is>
      </c>
      <c r="K1428" s="5">
        <v>0</v>
      </c>
      <c r="L1428" s="5">
        <v>0</v>
      </c>
      <c r="M1428" s="5">
        <v>0.14291868</v>
      </c>
      <c r="N1428" s="5">
        <v>0.0</v>
      </c>
      <c r="O1428" s="5">
        <v>0.0449085</v>
      </c>
      <c r="P1428" s="5">
        <v>0.09801018</v>
      </c>
      <c r="Q1428" s="5">
        <v>0.0</v>
      </c>
    </row>
    <row r="1429" outlineLevel="1">
      <c r="B1429" s="0" t="inlineStr">
        <is>
          <t xml:space="preserve">CORDMASTER ENGINEERING COMPANY, INC.</t>
        </is>
      </c>
      <c r="C1429" s="0" t="inlineStr">
        <is>
          <t xml:space="preserve">F8A1A24FCTN9</t>
        </is>
      </c>
      <c r="D1429" s="0" t="inlineStr">
        <is>
          <t xml:space="preserve">-</t>
        </is>
      </c>
      <c r="E1429" s="0" t="inlineStr">
        <is>
          <t xml:space="preserve">-</t>
        </is>
      </c>
      <c r="F1429" s="0" t="inlineStr">
        <is>
          <t xml:space="preserve">-</t>
        </is>
      </c>
      <c r="G1429" s="5">
        <v>0.142287</v>
      </c>
      <c r="H1429" s="0" t="inlineStr">
        <is>
          <t xml:space="preserve">supplier</t>
        </is>
      </c>
      <c r="I1429" s="0" t="inlineStr">
        <is>
          <t xml:space="preserve">unbucketed</t>
        </is>
      </c>
      <c r="J1429" s="0" t="inlineStr">
        <is>
          <t xml:space="preserve">residual</t>
        </is>
      </c>
      <c r="K1429" s="5">
        <v>0</v>
      </c>
      <c r="L1429" s="5">
        <v>0</v>
      </c>
      <c r="M1429" s="5">
        <v>0.0</v>
      </c>
      <c r="N1429" s="5">
        <v>0.0</v>
      </c>
      <c r="O1429" s="5">
        <v>0.0</v>
      </c>
      <c r="P1429" s="5">
        <v>0.0</v>
      </c>
      <c r="Q1429" s="5">
        <v>0.0</v>
      </c>
    </row>
    <row r="1430" outlineLevel="1">
      <c r="B1430" s="0" t="inlineStr">
        <is>
          <t xml:space="preserve">ENPRO INDUSTRIES, INC.</t>
        </is>
      </c>
      <c r="C1430" s="0" t="inlineStr">
        <is>
          <t xml:space="preserve">TJ2MWNHN22G8</t>
        </is>
      </c>
      <c r="D1430" s="0" t="inlineStr">
        <is>
          <t xml:space="preserve">-</t>
        </is>
      </c>
      <c r="E1430" s="0" t="inlineStr">
        <is>
          <t xml:space="preserve">-</t>
        </is>
      </c>
      <c r="F1430" s="0" t="inlineStr">
        <is>
          <t xml:space="preserve">-</t>
        </is>
      </c>
      <c r="G1430" s="5">
        <v>0.14186385999999998</v>
      </c>
      <c r="H1430" s="0" t="inlineStr">
        <is>
          <t xml:space="preserve">supplier</t>
        </is>
      </c>
      <c r="I1430" s="0" t="inlineStr">
        <is>
          <t xml:space="preserve">unbucketed</t>
        </is>
      </c>
      <c r="J1430" s="0" t="inlineStr">
        <is>
          <t xml:space="preserve">residual</t>
        </is>
      </c>
      <c r="K1430" s="5">
        <v>0</v>
      </c>
      <c r="L1430" s="5">
        <v>0</v>
      </c>
      <c r="M1430" s="5">
        <v>0.14186385999999998</v>
      </c>
      <c r="N1430" s="5">
        <v>0.0</v>
      </c>
      <c r="O1430" s="5">
        <v>0.0</v>
      </c>
      <c r="P1430" s="5">
        <v>0.0</v>
      </c>
      <c r="Q1430" s="5">
        <v>0.0</v>
      </c>
    </row>
    <row r="1431" outlineLevel="1">
      <c r="B1431" s="0" t="inlineStr">
        <is>
          <t xml:space="preserve">BAM ENTERPRISES, INC.</t>
        </is>
      </c>
      <c r="C1431" s="0" t="inlineStr">
        <is>
          <t xml:space="preserve">K88JMQ5QWFT1</t>
        </is>
      </c>
      <c r="D1431" s="0" t="inlineStr">
        <is>
          <t xml:space="preserve">-</t>
        </is>
      </c>
      <c r="E1431" s="0" t="inlineStr">
        <is>
          <t xml:space="preserve">-</t>
        </is>
      </c>
      <c r="F1431" s="0" t="inlineStr">
        <is>
          <t xml:space="preserve">-</t>
        </is>
      </c>
      <c r="G1431" s="5">
        <v>0.14175</v>
      </c>
      <c r="H1431" s="0" t="inlineStr">
        <is>
          <t xml:space="preserve">supplier</t>
        </is>
      </c>
      <c r="I1431" s="0" t="inlineStr">
        <is>
          <t xml:space="preserve">unbucketed</t>
        </is>
      </c>
      <c r="J1431" s="0" t="inlineStr">
        <is>
          <t xml:space="preserve">residual</t>
        </is>
      </c>
      <c r="K1431" s="5">
        <v>0</v>
      </c>
      <c r="L1431" s="5">
        <v>0</v>
      </c>
      <c r="M1431" s="5">
        <v>0.0</v>
      </c>
      <c r="N1431" s="5">
        <v>0.0</v>
      </c>
      <c r="O1431" s="5">
        <v>0.0</v>
      </c>
      <c r="P1431" s="5">
        <v>0.0</v>
      </c>
      <c r="Q1431" s="5">
        <v>0.0</v>
      </c>
    </row>
    <row r="1432" outlineLevel="1">
      <c r="B1432" s="0" t="inlineStr">
        <is>
          <t xml:space="preserve">ARIES FILTERWORKS, INC.</t>
        </is>
      </c>
      <c r="C1432" s="0" t="inlineStr">
        <is>
          <t xml:space="preserve">D7L6DVQTJDM5</t>
        </is>
      </c>
      <c r="D1432" s="0" t="inlineStr">
        <is>
          <t xml:space="preserve">-</t>
        </is>
      </c>
      <c r="E1432" s="0" t="inlineStr">
        <is>
          <t xml:space="preserve">-</t>
        </is>
      </c>
      <c r="F1432" s="0" t="inlineStr">
        <is>
          <t xml:space="preserve">-</t>
        </is>
      </c>
      <c r="G1432" s="5">
        <v>0.1416</v>
      </c>
      <c r="H1432" s="0" t="inlineStr">
        <is>
          <t xml:space="preserve">supplier</t>
        </is>
      </c>
      <c r="I1432" s="0" t="inlineStr">
        <is>
          <t xml:space="preserve">unbucketed</t>
        </is>
      </c>
      <c r="J1432" s="0" t="inlineStr">
        <is>
          <t xml:space="preserve">residual</t>
        </is>
      </c>
      <c r="K1432" s="5">
        <v>0</v>
      </c>
      <c r="L1432" s="5">
        <v>0</v>
      </c>
      <c r="M1432" s="5">
        <v>0.0</v>
      </c>
      <c r="N1432" s="5">
        <v>0.0</v>
      </c>
      <c r="O1432" s="5">
        <v>0.0</v>
      </c>
      <c r="P1432" s="5">
        <v>0.0</v>
      </c>
      <c r="Q1432" s="5">
        <v>0.0</v>
      </c>
    </row>
    <row r="1433" outlineLevel="1">
      <c r="B1433" s="0" t="inlineStr">
        <is>
          <t xml:space="preserve">AVERS MACHINE &amp; MFG, INC</t>
        </is>
      </c>
      <c r="C1433" s="0" t="inlineStr">
        <is>
          <t xml:space="preserve">RD7HS69ASZM3</t>
        </is>
      </c>
      <c r="D1433" s="0" t="inlineStr">
        <is>
          <t xml:space="preserve">-</t>
        </is>
      </c>
      <c r="E1433" s="0" t="inlineStr">
        <is>
          <t xml:space="preserve">-</t>
        </is>
      </c>
      <c r="F1433" s="0" t="inlineStr">
        <is>
          <t xml:space="preserve">-</t>
        </is>
      </c>
      <c r="G1433" s="5">
        <v>0.141505</v>
      </c>
      <c r="H1433" s="0" t="inlineStr">
        <is>
          <t xml:space="preserve">supplier</t>
        </is>
      </c>
      <c r="I1433" s="0" t="inlineStr">
        <is>
          <t xml:space="preserve">unbucketed</t>
        </is>
      </c>
      <c r="J1433" s="0" t="inlineStr">
        <is>
          <t xml:space="preserve">residual</t>
        </is>
      </c>
      <c r="K1433" s="5">
        <v>0</v>
      </c>
      <c r="L1433" s="5">
        <v>0</v>
      </c>
      <c r="M1433" s="5">
        <v>0.0</v>
      </c>
      <c r="N1433" s="5">
        <v>0.0</v>
      </c>
      <c r="O1433" s="5">
        <v>0.0</v>
      </c>
      <c r="P1433" s="5">
        <v>0.0</v>
      </c>
      <c r="Q1433" s="5">
        <v>0.0</v>
      </c>
    </row>
    <row r="1434" outlineLevel="1">
      <c r="B1434" s="0" t="inlineStr">
        <is>
          <t xml:space="preserve">CIRCUIT CHECK, INC.</t>
        </is>
      </c>
      <c r="C1434" s="0" t="inlineStr">
        <is>
          <t xml:space="preserve">UGLLS8KB34F9</t>
        </is>
      </c>
      <c r="D1434" s="0" t="inlineStr">
        <is>
          <t xml:space="preserve">-</t>
        </is>
      </c>
      <c r="E1434" s="0" t="inlineStr">
        <is>
          <t xml:space="preserve">-</t>
        </is>
      </c>
      <c r="F1434" s="0" t="inlineStr">
        <is>
          <t xml:space="preserve">-</t>
        </is>
      </c>
      <c r="G1434" s="5">
        <v>0.141228</v>
      </c>
      <c r="H1434" s="0" t="inlineStr">
        <is>
          <t xml:space="preserve">supplier</t>
        </is>
      </c>
      <c r="I1434" s="0" t="inlineStr">
        <is>
          <t xml:space="preserve">unbucketed</t>
        </is>
      </c>
      <c r="J1434" s="0" t="inlineStr">
        <is>
          <t xml:space="preserve">residual</t>
        </is>
      </c>
      <c r="K1434" s="5">
        <v>0</v>
      </c>
      <c r="L1434" s="5">
        <v>0</v>
      </c>
      <c r="M1434" s="5">
        <v>0.0</v>
      </c>
      <c r="N1434" s="5">
        <v>0.0</v>
      </c>
      <c r="O1434" s="5">
        <v>0.0</v>
      </c>
      <c r="P1434" s="5">
        <v>0.0</v>
      </c>
      <c r="Q1434" s="5">
        <v>0.0</v>
      </c>
    </row>
    <row r="1435" outlineLevel="1">
      <c r="B1435" s="0" t="inlineStr">
        <is>
          <t xml:space="preserve">COOPER INDUSTRIES PUBLIC LIMITED COMPANY</t>
        </is>
      </c>
      <c r="C1435" s="0" t="inlineStr">
        <is>
          <t xml:space="preserve">TXM4HHZKGKC7</t>
        </is>
      </c>
      <c r="D1435" s="0" t="inlineStr">
        <is>
          <t xml:space="preserve">-</t>
        </is>
      </c>
      <c r="E1435" s="0" t="inlineStr">
        <is>
          <t xml:space="preserve">-</t>
        </is>
      </c>
      <c r="F1435" s="0" t="inlineStr">
        <is>
          <t xml:space="preserve">-</t>
        </is>
      </c>
      <c r="G1435" s="5">
        <v>0.14094</v>
      </c>
      <c r="H1435" s="0" t="inlineStr">
        <is>
          <t xml:space="preserve">supplier</t>
        </is>
      </c>
      <c r="I1435" s="0" t="inlineStr">
        <is>
          <t xml:space="preserve">unbucketed</t>
        </is>
      </c>
      <c r="J1435" s="0" t="inlineStr">
        <is>
          <t xml:space="preserve">residual</t>
        </is>
      </c>
      <c r="K1435" s="5">
        <v>0</v>
      </c>
      <c r="L1435" s="5">
        <v>0</v>
      </c>
      <c r="M1435" s="5">
        <v>0.0</v>
      </c>
      <c r="N1435" s="5">
        <v>0.0</v>
      </c>
      <c r="O1435" s="5">
        <v>0.0</v>
      </c>
      <c r="P1435" s="5">
        <v>0.0</v>
      </c>
      <c r="Q1435" s="5">
        <v>0.0</v>
      </c>
    </row>
    <row r="1436" outlineLevel="1">
      <c r="B1436" s="0" t="inlineStr">
        <is>
          <t xml:space="preserve">TRIO MANUFACTURING</t>
        </is>
      </c>
      <c r="C1436" s="0" t="inlineStr">
        <is>
          <t xml:space="preserve">DNRBCSK2PEG1</t>
        </is>
      </c>
      <c r="D1436" s="0" t="inlineStr">
        <is>
          <t xml:space="preserve">-</t>
        </is>
      </c>
      <c r="E1436" s="0" t="inlineStr">
        <is>
          <t xml:space="preserve">-</t>
        </is>
      </c>
      <c r="F1436" s="0" t="inlineStr">
        <is>
          <t xml:space="preserve">-</t>
        </is>
      </c>
      <c r="G1436" s="5">
        <v>0.140521</v>
      </c>
      <c r="H1436" s="0" t="inlineStr">
        <is>
          <t xml:space="preserve">supplier</t>
        </is>
      </c>
      <c r="I1436" s="0" t="inlineStr">
        <is>
          <t xml:space="preserve">unbucketed</t>
        </is>
      </c>
      <c r="J1436" s="0" t="inlineStr">
        <is>
          <t xml:space="preserve">residual</t>
        </is>
      </c>
      <c r="K1436" s="5">
        <v>0</v>
      </c>
      <c r="L1436" s="5">
        <v>0</v>
      </c>
      <c r="M1436" s="5">
        <v>0.0</v>
      </c>
      <c r="N1436" s="5">
        <v>0.0</v>
      </c>
      <c r="O1436" s="5">
        <v>0.0</v>
      </c>
      <c r="P1436" s="5">
        <v>0.0</v>
      </c>
      <c r="Q1436" s="5">
        <v>0.0</v>
      </c>
    </row>
    <row r="1437" outlineLevel="1">
      <c r="B1437" s="0" t="inlineStr">
        <is>
          <t xml:space="preserve">AUDAX PRIVATE EQUITY FUND II, L.P.</t>
        </is>
      </c>
      <c r="C1437" s="0" t="inlineStr">
        <is>
          <t xml:space="preserve">SBKKUUHKGXQ1</t>
        </is>
      </c>
      <c r="D1437" s="0" t="inlineStr">
        <is>
          <t xml:space="preserve">-</t>
        </is>
      </c>
      <c r="E1437" s="0" t="inlineStr">
        <is>
          <t xml:space="preserve">-</t>
        </is>
      </c>
      <c r="F1437" s="0" t="inlineStr">
        <is>
          <t xml:space="preserve">-</t>
        </is>
      </c>
      <c r="G1437" s="5">
        <v>0.14032399</v>
      </c>
      <c r="H1437" s="0" t="inlineStr">
        <is>
          <t xml:space="preserve">supplier</t>
        </is>
      </c>
      <c r="I1437" s="0" t="inlineStr">
        <is>
          <t xml:space="preserve">unbucketed</t>
        </is>
      </c>
      <c r="J1437" s="0" t="inlineStr">
        <is>
          <t xml:space="preserve">residual</t>
        </is>
      </c>
      <c r="K1437" s="5">
        <v>0</v>
      </c>
      <c r="L1437" s="5">
        <v>0</v>
      </c>
      <c r="M1437" s="5">
        <v>0.0</v>
      </c>
      <c r="N1437" s="5">
        <v>0.0</v>
      </c>
      <c r="O1437" s="5">
        <v>0.0</v>
      </c>
      <c r="P1437" s="5">
        <v>0.0</v>
      </c>
      <c r="Q1437" s="5">
        <v>0.0</v>
      </c>
    </row>
    <row r="1438" outlineLevel="1">
      <c r="B1438" s="0" t="inlineStr">
        <is>
          <t xml:space="preserve">ANDERSON METAL INDUSTRIES, INC.</t>
        </is>
      </c>
      <c r="C1438" s="0" t="inlineStr">
        <is>
          <t xml:space="preserve">M6ZTA4NZGLQ5</t>
        </is>
      </c>
      <c r="D1438" s="0" t="inlineStr">
        <is>
          <t xml:space="preserve">-</t>
        </is>
      </c>
      <c r="E1438" s="0" t="inlineStr">
        <is>
          <t xml:space="preserve">-</t>
        </is>
      </c>
      <c r="F1438" s="0" t="inlineStr">
        <is>
          <t xml:space="preserve">-</t>
        </is>
      </c>
      <c r="G1438" s="5">
        <v>0.1401662</v>
      </c>
      <c r="H1438" s="0" t="inlineStr">
        <is>
          <t xml:space="preserve">supplier</t>
        </is>
      </c>
      <c r="I1438" s="0" t="inlineStr">
        <is>
          <t xml:space="preserve">unbucketed</t>
        </is>
      </c>
      <c r="J1438" s="0" t="inlineStr">
        <is>
          <t xml:space="preserve">residual</t>
        </is>
      </c>
      <c r="K1438" s="5">
        <v>0</v>
      </c>
      <c r="L1438" s="5">
        <v>0</v>
      </c>
      <c r="M1438" s="5">
        <v>0.1401662</v>
      </c>
      <c r="N1438" s="5">
        <v>0.0</v>
      </c>
      <c r="O1438" s="5">
        <v>0.0</v>
      </c>
      <c r="P1438" s="5">
        <v>0.0</v>
      </c>
      <c r="Q1438" s="5">
        <v>0.0</v>
      </c>
    </row>
    <row r="1439" outlineLevel="1">
      <c r="B1439" s="0" t="inlineStr">
        <is>
          <t xml:space="preserve">WARTSILA DEFENSE INC</t>
        </is>
      </c>
      <c r="C1439" s="0" t="inlineStr">
        <is>
          <t xml:space="preserve">JA2KCX21NL48</t>
        </is>
      </c>
      <c r="D1439" s="0" t="inlineStr">
        <is>
          <t xml:space="preserve">-</t>
        </is>
      </c>
      <c r="E1439" s="0" t="inlineStr">
        <is>
          <t xml:space="preserve">-</t>
        </is>
      </c>
      <c r="F1439" s="0" t="inlineStr">
        <is>
          <t xml:space="preserve">-</t>
        </is>
      </c>
      <c r="G1439" s="5">
        <v>0.14006873</v>
      </c>
      <c r="H1439" s="0" t="inlineStr">
        <is>
          <t xml:space="preserve">supplier</t>
        </is>
      </c>
      <c r="I1439" s="0" t="inlineStr">
        <is>
          <t xml:space="preserve">machining</t>
        </is>
      </c>
      <c r="J1439" s="0" t="inlineStr">
        <is>
          <t xml:space="preserve">registry</t>
        </is>
      </c>
      <c r="K1439" s="5">
        <v>0</v>
      </c>
      <c r="L1439" s="5">
        <v>0</v>
      </c>
      <c r="M1439" s="5">
        <v>0.14006873</v>
      </c>
      <c r="N1439" s="5">
        <v>0.0</v>
      </c>
      <c r="O1439" s="5">
        <v>0.10263973</v>
      </c>
      <c r="P1439" s="5">
        <v>0.037429</v>
      </c>
      <c r="Q1439" s="5">
        <v>0.0</v>
      </c>
    </row>
    <row r="1440" outlineLevel="1">
      <c r="B1440" s="0" t="inlineStr">
        <is>
          <t xml:space="preserve">RENISHAW P L C</t>
        </is>
      </c>
      <c r="C1440" s="0" t="inlineStr">
        <is>
          <t xml:space="preserve">RW4LM9C3A8N3</t>
        </is>
      </c>
      <c r="D1440" s="0" t="inlineStr">
        <is>
          <t xml:space="preserve">-</t>
        </is>
      </c>
      <c r="E1440" s="0" t="inlineStr">
        <is>
          <t xml:space="preserve">-</t>
        </is>
      </c>
      <c r="F1440" s="0" t="inlineStr">
        <is>
          <t xml:space="preserve">-</t>
        </is>
      </c>
      <c r="G1440" s="5">
        <v>0.14</v>
      </c>
      <c r="H1440" s="0" t="inlineStr">
        <is>
          <t xml:space="preserve">supplier</t>
        </is>
      </c>
      <c r="I1440" s="0" t="inlineStr">
        <is>
          <t xml:space="preserve">unbucketed</t>
        </is>
      </c>
      <c r="J1440" s="0" t="inlineStr">
        <is>
          <t xml:space="preserve">residual</t>
        </is>
      </c>
      <c r="K1440" s="5">
        <v>0</v>
      </c>
      <c r="L1440" s="5">
        <v>0</v>
      </c>
      <c r="M1440" s="5">
        <v>0.0</v>
      </c>
      <c r="N1440" s="5">
        <v>0.0</v>
      </c>
      <c r="O1440" s="5">
        <v>0.0</v>
      </c>
      <c r="P1440" s="5">
        <v>0.0</v>
      </c>
      <c r="Q1440" s="5">
        <v>0.0</v>
      </c>
    </row>
    <row r="1441" outlineLevel="1">
      <c r="B1441" s="0" t="inlineStr">
        <is>
          <t xml:space="preserve">ONEX CORPORATION</t>
        </is>
      </c>
      <c r="C1441" s="0" t="inlineStr">
        <is>
          <t xml:space="preserve">E6KQEMMCJ9B6</t>
        </is>
      </c>
      <c r="D1441" s="0" t="inlineStr">
        <is>
          <t xml:space="preserve">-</t>
        </is>
      </c>
      <c r="E1441" s="0" t="inlineStr">
        <is>
          <t xml:space="preserve">-</t>
        </is>
      </c>
      <c r="F1441" s="0" t="inlineStr">
        <is>
          <t xml:space="preserve">-</t>
        </is>
      </c>
      <c r="G1441" s="5">
        <v>0.139248</v>
      </c>
      <c r="H1441" s="0" t="inlineStr">
        <is>
          <t xml:space="preserve">supplier</t>
        </is>
      </c>
      <c r="I1441" s="0" t="inlineStr">
        <is>
          <t xml:space="preserve">unbucketed</t>
        </is>
      </c>
      <c r="J1441" s="0" t="inlineStr">
        <is>
          <t xml:space="preserve">residual</t>
        </is>
      </c>
      <c r="K1441" s="5">
        <v>0</v>
      </c>
      <c r="L1441" s="5">
        <v>0</v>
      </c>
      <c r="M1441" s="5">
        <v>0.0</v>
      </c>
      <c r="N1441" s="5">
        <v>0.0</v>
      </c>
      <c r="O1441" s="5">
        <v>0.0</v>
      </c>
      <c r="P1441" s="5">
        <v>0.0</v>
      </c>
      <c r="Q1441" s="5">
        <v>0.0</v>
      </c>
    </row>
    <row r="1442" outlineLevel="1">
      <c r="B1442" s="0" t="inlineStr">
        <is>
          <t xml:space="preserve">CIRCOR INTERNATIONAL, INC.</t>
        </is>
      </c>
      <c r="C1442" s="0" t="inlineStr">
        <is>
          <t xml:space="preserve">K574V7KEQUC8</t>
        </is>
      </c>
      <c r="D1442" s="0" t="inlineStr">
        <is>
          <t xml:space="preserve">-</t>
        </is>
      </c>
      <c r="E1442" s="0" t="inlineStr">
        <is>
          <t xml:space="preserve">-</t>
        </is>
      </c>
      <c r="F1442" s="0" t="inlineStr">
        <is>
          <t xml:space="preserve">-</t>
        </is>
      </c>
      <c r="G1442" s="5">
        <v>0.1390575</v>
      </c>
      <c r="H1442" s="0" t="inlineStr">
        <is>
          <t xml:space="preserve">supplier</t>
        </is>
      </c>
      <c r="I1442" s="0" t="inlineStr">
        <is>
          <t xml:space="preserve">piping</t>
        </is>
      </c>
      <c r="J1442" s="0" t="inlineStr">
        <is>
          <t xml:space="preserve">vendor-override</t>
        </is>
      </c>
      <c r="K1442" s="5">
        <v>0</v>
      </c>
      <c r="L1442" s="5">
        <v>0</v>
      </c>
      <c r="M1442" s="5">
        <v>0.0</v>
      </c>
      <c r="N1442" s="5">
        <v>0.0</v>
      </c>
      <c r="O1442" s="5">
        <v>0.0</v>
      </c>
      <c r="P1442" s="5">
        <v>0.0</v>
      </c>
      <c r="Q1442" s="5">
        <v>0.0</v>
      </c>
    </row>
    <row r="1443" outlineLevel="1">
      <c r="B1443" s="0" t="inlineStr">
        <is>
          <t xml:space="preserve">JAANN INC</t>
        </is>
      </c>
      <c r="C1443" s="0" t="inlineStr">
        <is>
          <t xml:space="preserve">WZQNCGF1CQC3</t>
        </is>
      </c>
      <c r="D1443" s="0" t="inlineStr">
        <is>
          <t xml:space="preserve">-</t>
        </is>
      </c>
      <c r="E1443" s="0" t="inlineStr">
        <is>
          <t xml:space="preserve">-</t>
        </is>
      </c>
      <c r="F1443" s="0" t="inlineStr">
        <is>
          <t xml:space="preserve">-</t>
        </is>
      </c>
      <c r="G1443" s="5">
        <v>0.1387046</v>
      </c>
      <c r="H1443" s="0" t="inlineStr">
        <is>
          <t xml:space="preserve">supplier</t>
        </is>
      </c>
      <c r="I1443" s="0" t="inlineStr">
        <is>
          <t xml:space="preserve">unbucketed</t>
        </is>
      </c>
      <c r="J1443" s="0" t="inlineStr">
        <is>
          <t xml:space="preserve">residual</t>
        </is>
      </c>
      <c r="K1443" s="5">
        <v>0</v>
      </c>
      <c r="L1443" s="5">
        <v>0</v>
      </c>
      <c r="M1443" s="5">
        <v>0.0</v>
      </c>
      <c r="N1443" s="5">
        <v>0.0</v>
      </c>
      <c r="O1443" s="5">
        <v>0.0</v>
      </c>
      <c r="P1443" s="5">
        <v>0.0</v>
      </c>
      <c r="Q1443" s="5">
        <v>0.0</v>
      </c>
    </row>
    <row r="1444" outlineLevel="1">
      <c r="B1444" s="0" t="inlineStr">
        <is>
          <t xml:space="preserve">SOLID STATE DEVICES, INC.</t>
        </is>
      </c>
      <c r="C1444" s="0" t="inlineStr">
        <is>
          <t xml:space="preserve">GKMQFZNVUCF2</t>
        </is>
      </c>
      <c r="D1444" s="0" t="inlineStr">
        <is>
          <t xml:space="preserve">-</t>
        </is>
      </c>
      <c r="E1444" s="0" t="inlineStr">
        <is>
          <t xml:space="preserve">-</t>
        </is>
      </c>
      <c r="F1444" s="0" t="inlineStr">
        <is>
          <t xml:space="preserve">-</t>
        </is>
      </c>
      <c r="G1444" s="5">
        <v>0.138495</v>
      </c>
      <c r="H1444" s="0" t="inlineStr">
        <is>
          <t xml:space="preserve">supplier</t>
        </is>
      </c>
      <c r="I1444" s="0" t="inlineStr">
        <is>
          <t xml:space="preserve">unbucketed</t>
        </is>
      </c>
      <c r="J1444" s="0" t="inlineStr">
        <is>
          <t xml:space="preserve">residual</t>
        </is>
      </c>
      <c r="K1444" s="5">
        <v>0</v>
      </c>
      <c r="L1444" s="5">
        <v>0</v>
      </c>
      <c r="M1444" s="5">
        <v>0.0</v>
      </c>
      <c r="N1444" s="5">
        <v>0.0</v>
      </c>
      <c r="O1444" s="5">
        <v>0.0</v>
      </c>
      <c r="P1444" s="5">
        <v>0.0</v>
      </c>
      <c r="Q1444" s="5">
        <v>0.0</v>
      </c>
    </row>
    <row r="1445" outlineLevel="1">
      <c r="B1445" s="0" t="inlineStr">
        <is>
          <t xml:space="preserve">ROBERTSON MANUFACTURING, INC</t>
        </is>
      </c>
      <c r="C1445" s="0" t="inlineStr">
        <is>
          <t xml:space="preserve">U18CH2ENEMX4</t>
        </is>
      </c>
      <c r="D1445" s="0" t="inlineStr">
        <is>
          <t xml:space="preserve">-</t>
        </is>
      </c>
      <c r="E1445" s="0" t="inlineStr">
        <is>
          <t xml:space="preserve">-</t>
        </is>
      </c>
      <c r="F1445" s="0" t="inlineStr">
        <is>
          <t xml:space="preserve">-</t>
        </is>
      </c>
      <c r="G1445" s="5">
        <v>0.13818082</v>
      </c>
      <c r="H1445" s="0" t="inlineStr">
        <is>
          <t xml:space="preserve">supplier</t>
        </is>
      </c>
      <c r="I1445" s="0" t="inlineStr">
        <is>
          <t xml:space="preserve">unbucketed</t>
        </is>
      </c>
      <c r="J1445" s="0" t="inlineStr">
        <is>
          <t xml:space="preserve">residual</t>
        </is>
      </c>
      <c r="K1445" s="5">
        <v>0</v>
      </c>
      <c r="L1445" s="5">
        <v>0</v>
      </c>
      <c r="M1445" s="5">
        <v>0.0</v>
      </c>
      <c r="N1445" s="5">
        <v>0.0</v>
      </c>
      <c r="O1445" s="5">
        <v>0.0</v>
      </c>
      <c r="P1445" s="5">
        <v>0.0</v>
      </c>
      <c r="Q1445" s="5">
        <v>0.0</v>
      </c>
    </row>
    <row r="1446" outlineLevel="1">
      <c r="B1446" s="0" t="inlineStr">
        <is>
          <t xml:space="preserve">WESCO INTERNATIONAL, INC</t>
        </is>
      </c>
      <c r="C1446" s="0" t="inlineStr">
        <is>
          <t xml:space="preserve">TAB4FBLR5UM1</t>
        </is>
      </c>
      <c r="D1446" s="0" t="inlineStr">
        <is>
          <t xml:space="preserve">-</t>
        </is>
      </c>
      <c r="E1446" s="0" t="inlineStr">
        <is>
          <t xml:space="preserve">-</t>
        </is>
      </c>
      <c r="F1446" s="0" t="inlineStr">
        <is>
          <t xml:space="preserve">-</t>
        </is>
      </c>
      <c r="G1446" s="5">
        <v>0.138</v>
      </c>
      <c r="H1446" s="0" t="inlineStr">
        <is>
          <t xml:space="preserve">supplier</t>
        </is>
      </c>
      <c r="I1446" s="0" t="inlineStr">
        <is>
          <t xml:space="preserve">unbucketed</t>
        </is>
      </c>
      <c r="J1446" s="0" t="inlineStr">
        <is>
          <t xml:space="preserve">residual</t>
        </is>
      </c>
      <c r="K1446" s="5">
        <v>0</v>
      </c>
      <c r="L1446" s="5">
        <v>0</v>
      </c>
      <c r="M1446" s="5">
        <v>0.0</v>
      </c>
      <c r="N1446" s="5">
        <v>0.0</v>
      </c>
      <c r="O1446" s="5">
        <v>0.0</v>
      </c>
      <c r="P1446" s="5">
        <v>0.0</v>
      </c>
      <c r="Q1446" s="5">
        <v>0.0</v>
      </c>
    </row>
    <row r="1447" outlineLevel="1">
      <c r="B1447" s="0" t="inlineStr">
        <is>
          <t xml:space="preserve">ARROW ELECTRONICS, INC.</t>
        </is>
      </c>
      <c r="C1447" s="0" t="inlineStr">
        <is>
          <t xml:space="preserve">VLCFFL6WMXJ5</t>
        </is>
      </c>
      <c r="D1447" s="0" t="inlineStr">
        <is>
          <t xml:space="preserve">USA</t>
        </is>
      </c>
      <c r="E1447" s="0" t="inlineStr">
        <is>
          <t xml:space="preserve">4236</t>
        </is>
      </c>
      <c r="F1447" s="0" t="inlineStr">
        <is>
          <t xml:space="preserve">Other Electronic Parts and Equipment Merchant Wholesalers</t>
        </is>
      </c>
      <c r="G1447" s="5">
        <v>0.13768095</v>
      </c>
      <c r="H1447" s="0" t="inlineStr">
        <is>
          <t xml:space="preserve">service</t>
        </is>
      </c>
      <c r="I1447" s="0" t="inlineStr">
        <is>
          <t xml:space="preserve">-</t>
        </is>
      </c>
      <c r="J1447" s="0" t="inlineStr">
        <is>
          <t xml:space="preserve">service NAICS</t>
        </is>
      </c>
      <c r="K1447" s="5">
        <v>0</v>
      </c>
      <c r="L1447" s="5">
        <v>0</v>
      </c>
      <c r="M1447" s="5">
        <v>0.0</v>
      </c>
      <c r="N1447" s="5">
        <v>0.0</v>
      </c>
      <c r="O1447" s="5">
        <v>0.0</v>
      </c>
      <c r="P1447" s="5">
        <v>0.0</v>
      </c>
      <c r="Q1447" s="5">
        <v>0.0</v>
      </c>
    </row>
    <row r="1448" outlineLevel="1">
      <c r="B1448" s="0" t="inlineStr">
        <is>
          <t xml:space="preserve">PAR SYSTEMS, INC.</t>
        </is>
      </c>
      <c r="C1448" s="0" t="inlineStr">
        <is>
          <t xml:space="preserve">MEMSWT1LFU18</t>
        </is>
      </c>
      <c r="D1448" s="0" t="inlineStr">
        <is>
          <t xml:space="preserve">-</t>
        </is>
      </c>
      <c r="E1448" s="0" t="inlineStr">
        <is>
          <t xml:space="preserve">-</t>
        </is>
      </c>
      <c r="F1448" s="0" t="inlineStr">
        <is>
          <t xml:space="preserve">-</t>
        </is>
      </c>
      <c r="G1448" s="5">
        <v>0.13644042</v>
      </c>
      <c r="H1448" s="0" t="inlineStr">
        <is>
          <t xml:space="preserve">supplier</t>
        </is>
      </c>
      <c r="I1448" s="0" t="inlineStr">
        <is>
          <t xml:space="preserve">unbucketed</t>
        </is>
      </c>
      <c r="J1448" s="0" t="inlineStr">
        <is>
          <t xml:space="preserve">residual</t>
        </is>
      </c>
      <c r="K1448" s="5">
        <v>0</v>
      </c>
      <c r="L1448" s="5">
        <v>0</v>
      </c>
      <c r="M1448" s="5">
        <v>0.13644042</v>
      </c>
      <c r="N1448" s="5">
        <v>0.0</v>
      </c>
      <c r="O1448" s="5">
        <v>0.0</v>
      </c>
      <c r="P1448" s="5">
        <v>0.0</v>
      </c>
      <c r="Q1448" s="5">
        <v>0.0</v>
      </c>
    </row>
    <row r="1449" outlineLevel="1">
      <c r="B1449" s="0" t="inlineStr">
        <is>
          <t xml:space="preserve">CHAND LLC</t>
        </is>
      </c>
      <c r="C1449" s="0" t="inlineStr">
        <is>
          <t xml:space="preserve">J8ATNVMEGLK1</t>
        </is>
      </c>
      <c r="D1449" s="0" t="inlineStr">
        <is>
          <t xml:space="preserve">-</t>
        </is>
      </c>
      <c r="E1449" s="0" t="inlineStr">
        <is>
          <t xml:space="preserve">-</t>
        </is>
      </c>
      <c r="F1449" s="0" t="inlineStr">
        <is>
          <t xml:space="preserve">-</t>
        </is>
      </c>
      <c r="G1449" s="5">
        <v>0.13577517</v>
      </c>
      <c r="H1449" s="0" t="inlineStr">
        <is>
          <t xml:space="preserve">supplier</t>
        </is>
      </c>
      <c r="I1449" s="0" t="inlineStr">
        <is>
          <t xml:space="preserve">unbucketed</t>
        </is>
      </c>
      <c r="J1449" s="0" t="inlineStr">
        <is>
          <t xml:space="preserve">residual</t>
        </is>
      </c>
      <c r="K1449" s="5">
        <v>0</v>
      </c>
      <c r="L1449" s="5">
        <v>0</v>
      </c>
      <c r="M1449" s="5">
        <v>0.13577517</v>
      </c>
      <c r="N1449" s="5">
        <v>0.0</v>
      </c>
      <c r="O1449" s="5">
        <v>0.0</v>
      </c>
      <c r="P1449" s="5">
        <v>0.13577517</v>
      </c>
      <c r="Q1449" s="5">
        <v>0.0</v>
      </c>
    </row>
    <row r="1450" outlineLevel="1">
      <c r="B1450" s="0" t="inlineStr">
        <is>
          <t xml:space="preserve">MAJR PRODUCTS CORP</t>
        </is>
      </c>
      <c r="C1450" s="0" t="inlineStr">
        <is>
          <t xml:space="preserve">GL3ZJ22GLNT6</t>
        </is>
      </c>
      <c r="D1450" s="0" t="inlineStr">
        <is>
          <t xml:space="preserve">-</t>
        </is>
      </c>
      <c r="E1450" s="0" t="inlineStr">
        <is>
          <t xml:space="preserve">-</t>
        </is>
      </c>
      <c r="F1450" s="0" t="inlineStr">
        <is>
          <t xml:space="preserve">-</t>
        </is>
      </c>
      <c r="G1450" s="5">
        <v>0.13566287</v>
      </c>
      <c r="H1450" s="0" t="inlineStr">
        <is>
          <t xml:space="preserve">supplier</t>
        </is>
      </c>
      <c r="I1450" s="0" t="inlineStr">
        <is>
          <t xml:space="preserve">unbucketed</t>
        </is>
      </c>
      <c r="J1450" s="0" t="inlineStr">
        <is>
          <t xml:space="preserve">residual</t>
        </is>
      </c>
      <c r="K1450" s="5">
        <v>0</v>
      </c>
      <c r="L1450" s="5">
        <v>0</v>
      </c>
      <c r="M1450" s="5">
        <v>0.0</v>
      </c>
      <c r="N1450" s="5">
        <v>0.0</v>
      </c>
      <c r="O1450" s="5">
        <v>0.0</v>
      </c>
      <c r="P1450" s="5">
        <v>0.0</v>
      </c>
      <c r="Q1450" s="5">
        <v>0.0</v>
      </c>
    </row>
    <row r="1451" outlineLevel="1">
      <c r="B1451" s="0" t="inlineStr">
        <is>
          <t xml:space="preserve">TYCO INTERNATIONAL PUBLIC LIMITED COMPANY</t>
        </is>
      </c>
      <c r="C1451" s="0" t="inlineStr">
        <is>
          <t xml:space="preserve">LWX4LFMMF4K8</t>
        </is>
      </c>
      <c r="D1451" s="0" t="inlineStr">
        <is>
          <t xml:space="preserve">-</t>
        </is>
      </c>
      <c r="E1451" s="0" t="inlineStr">
        <is>
          <t xml:space="preserve">-</t>
        </is>
      </c>
      <c r="F1451" s="0" t="inlineStr">
        <is>
          <t xml:space="preserve">-</t>
        </is>
      </c>
      <c r="G1451" s="5">
        <v>0.134825</v>
      </c>
      <c r="H1451" s="0" t="inlineStr">
        <is>
          <t xml:space="preserve">supplier</t>
        </is>
      </c>
      <c r="I1451" s="0" t="inlineStr">
        <is>
          <t xml:space="preserve">unbucketed</t>
        </is>
      </c>
      <c r="J1451" s="0" t="inlineStr">
        <is>
          <t xml:space="preserve">residual</t>
        </is>
      </c>
      <c r="K1451" s="5">
        <v>0</v>
      </c>
      <c r="L1451" s="5">
        <v>0</v>
      </c>
      <c r="M1451" s="5">
        <v>0.0</v>
      </c>
      <c r="N1451" s="5">
        <v>0.0</v>
      </c>
      <c r="O1451" s="5">
        <v>0.0</v>
      </c>
      <c r="P1451" s="5">
        <v>0.0</v>
      </c>
      <c r="Q1451" s="5">
        <v>0.0</v>
      </c>
    </row>
    <row r="1452" outlineLevel="1">
      <c r="B1452" s="0" t="inlineStr">
        <is>
          <t xml:space="preserve">SAMTEC INC</t>
        </is>
      </c>
      <c r="C1452" s="0" t="inlineStr">
        <is>
          <t xml:space="preserve">RDWJT82H4MW8</t>
        </is>
      </c>
      <c r="D1452" s="0" t="inlineStr">
        <is>
          <t xml:space="preserve">-</t>
        </is>
      </c>
      <c r="E1452" s="0" t="inlineStr">
        <is>
          <t xml:space="preserve">-</t>
        </is>
      </c>
      <c r="F1452" s="0" t="inlineStr">
        <is>
          <t xml:space="preserve">-</t>
        </is>
      </c>
      <c r="G1452" s="5">
        <v>0.134607</v>
      </c>
      <c r="H1452" s="0" t="inlineStr">
        <is>
          <t xml:space="preserve">supplier</t>
        </is>
      </c>
      <c r="I1452" s="0" t="inlineStr">
        <is>
          <t xml:space="preserve">unbucketed</t>
        </is>
      </c>
      <c r="J1452" s="0" t="inlineStr">
        <is>
          <t xml:space="preserve">residual</t>
        </is>
      </c>
      <c r="K1452" s="5">
        <v>0</v>
      </c>
      <c r="L1452" s="5">
        <v>0</v>
      </c>
      <c r="M1452" s="5">
        <v>0.0</v>
      </c>
      <c r="N1452" s="5">
        <v>0.0</v>
      </c>
      <c r="O1452" s="5">
        <v>0.0</v>
      </c>
      <c r="P1452" s="5">
        <v>0.0</v>
      </c>
      <c r="Q1452" s="5">
        <v>0.0</v>
      </c>
    </row>
    <row r="1453" outlineLevel="1">
      <c r="B1453" s="0" t="inlineStr">
        <is>
          <t xml:space="preserve">MIDDLEGROUND MANAGEMENT, LP</t>
        </is>
      </c>
      <c r="C1453" s="0" t="inlineStr">
        <is>
          <t xml:space="preserve">W6SWKAS2DBE5</t>
        </is>
      </c>
      <c r="D1453" s="0" t="inlineStr">
        <is>
          <t xml:space="preserve">-</t>
        </is>
      </c>
      <c r="E1453" s="0" t="inlineStr">
        <is>
          <t xml:space="preserve">-</t>
        </is>
      </c>
      <c r="F1453" s="0" t="inlineStr">
        <is>
          <t xml:space="preserve">-</t>
        </is>
      </c>
      <c r="G1453" s="5">
        <v>0.13456</v>
      </c>
      <c r="H1453" s="0" t="inlineStr">
        <is>
          <t xml:space="preserve">supplier</t>
        </is>
      </c>
      <c r="I1453" s="0" t="inlineStr">
        <is>
          <t xml:space="preserve">unbucketed</t>
        </is>
      </c>
      <c r="J1453" s="0" t="inlineStr">
        <is>
          <t xml:space="preserve">residual</t>
        </is>
      </c>
      <c r="K1453" s="5">
        <v>0</v>
      </c>
      <c r="L1453" s="5">
        <v>0</v>
      </c>
      <c r="M1453" s="5">
        <v>0.0</v>
      </c>
      <c r="N1453" s="5">
        <v>0.0</v>
      </c>
      <c r="O1453" s="5">
        <v>0.0</v>
      </c>
      <c r="P1453" s="5">
        <v>0.0</v>
      </c>
      <c r="Q1453" s="5">
        <v>0.0</v>
      </c>
    </row>
    <row r="1454" outlineLevel="1">
      <c r="B1454" s="0" t="inlineStr">
        <is>
          <t xml:space="preserve">BRUCE ZIERWICK CONSULTING LLC</t>
        </is>
      </c>
      <c r="C1454" s="0" t="inlineStr">
        <is>
          <t xml:space="preserve">JZVMRV1K2JZ1</t>
        </is>
      </c>
      <c r="D1454" s="0" t="inlineStr">
        <is>
          <t xml:space="preserve">-</t>
        </is>
      </c>
      <c r="E1454" s="0" t="inlineStr">
        <is>
          <t xml:space="preserve">-</t>
        </is>
      </c>
      <c r="F1454" s="0" t="inlineStr">
        <is>
          <t xml:space="preserve">-</t>
        </is>
      </c>
      <c r="G1454" s="5">
        <v>0.13419999999999999</v>
      </c>
      <c r="H1454" s="0" t="inlineStr">
        <is>
          <t xml:space="preserve">supplier</t>
        </is>
      </c>
      <c r="I1454" s="0" t="inlineStr">
        <is>
          <t xml:space="preserve">unbucketed</t>
        </is>
      </c>
      <c r="J1454" s="0" t="inlineStr">
        <is>
          <t xml:space="preserve">residual</t>
        </is>
      </c>
      <c r="K1454" s="5">
        <v>0</v>
      </c>
      <c r="L1454" s="5">
        <v>0</v>
      </c>
      <c r="M1454" s="5">
        <v>0.0</v>
      </c>
      <c r="N1454" s="5">
        <v>0.0</v>
      </c>
      <c r="O1454" s="5">
        <v>0.0</v>
      </c>
      <c r="P1454" s="5">
        <v>0.0</v>
      </c>
      <c r="Q1454" s="5">
        <v>0.0</v>
      </c>
    </row>
    <row r="1455" outlineLevel="1">
      <c r="B1455" s="0" t="inlineStr">
        <is>
          <t xml:space="preserve">DUNMON INCORPORATED</t>
        </is>
      </c>
      <c r="C1455" s="0" t="inlineStr">
        <is>
          <t xml:space="preserve">JQYEX1N1U749</t>
        </is>
      </c>
      <c r="D1455" s="0" t="inlineStr">
        <is>
          <t xml:space="preserve">-</t>
        </is>
      </c>
      <c r="E1455" s="0" t="inlineStr">
        <is>
          <t xml:space="preserve">-</t>
        </is>
      </c>
      <c r="F1455" s="0" t="inlineStr">
        <is>
          <t xml:space="preserve">-</t>
        </is>
      </c>
      <c r="G1455" s="5">
        <v>0.13419409999999998</v>
      </c>
      <c r="H1455" s="0" t="inlineStr">
        <is>
          <t xml:space="preserve">supplier</t>
        </is>
      </c>
      <c r="I1455" s="0" t="inlineStr">
        <is>
          <t xml:space="preserve">unbucketed</t>
        </is>
      </c>
      <c r="J1455" s="0" t="inlineStr">
        <is>
          <t xml:space="preserve">residual</t>
        </is>
      </c>
      <c r="K1455" s="5">
        <v>0</v>
      </c>
      <c r="L1455" s="5">
        <v>0</v>
      </c>
      <c r="M1455" s="5">
        <v>0.0</v>
      </c>
      <c r="N1455" s="5">
        <v>0.0</v>
      </c>
      <c r="O1455" s="5">
        <v>0.0</v>
      </c>
      <c r="P1455" s="5">
        <v>0.0</v>
      </c>
      <c r="Q1455" s="5">
        <v>0.0</v>
      </c>
    </row>
    <row r="1456" outlineLevel="1">
      <c r="B1456" s="0" t="inlineStr">
        <is>
          <t xml:space="preserve">JOHNSON BRASS &amp; MACHINE FOUNDRY, INC.</t>
        </is>
      </c>
      <c r="C1456" s="0" t="inlineStr">
        <is>
          <t xml:space="preserve">R1M8JJH7J5W5</t>
        </is>
      </c>
      <c r="D1456" s="0" t="inlineStr">
        <is>
          <t xml:space="preserve">-</t>
        </is>
      </c>
      <c r="E1456" s="0" t="inlineStr">
        <is>
          <t xml:space="preserve">-</t>
        </is>
      </c>
      <c r="F1456" s="0" t="inlineStr">
        <is>
          <t xml:space="preserve">-</t>
        </is>
      </c>
      <c r="G1456" s="5">
        <v>0.134106</v>
      </c>
      <c r="H1456" s="0" t="inlineStr">
        <is>
          <t xml:space="preserve">supplier</t>
        </is>
      </c>
      <c r="I1456" s="0" t="inlineStr">
        <is>
          <t xml:space="preserve">unbucketed</t>
        </is>
      </c>
      <c r="J1456" s="0" t="inlineStr">
        <is>
          <t xml:space="preserve">residual</t>
        </is>
      </c>
      <c r="K1456" s="5">
        <v>0</v>
      </c>
      <c r="L1456" s="5">
        <v>0</v>
      </c>
      <c r="M1456" s="5">
        <v>0.134106</v>
      </c>
      <c r="N1456" s="5">
        <v>0.0</v>
      </c>
      <c r="O1456" s="5">
        <v>0.0</v>
      </c>
      <c r="P1456" s="5">
        <v>0.0</v>
      </c>
      <c r="Q1456" s="5">
        <v>0.0</v>
      </c>
    </row>
    <row r="1457" outlineLevel="1">
      <c r="B1457" s="0" t="inlineStr">
        <is>
          <t xml:space="preserve">KILDER CORP</t>
        </is>
      </c>
      <c r="C1457" s="0" t="inlineStr">
        <is>
          <t xml:space="preserve">MERSKMH33AG9</t>
        </is>
      </c>
      <c r="D1457" s="0" t="inlineStr">
        <is>
          <t xml:space="preserve">-</t>
        </is>
      </c>
      <c r="E1457" s="0" t="inlineStr">
        <is>
          <t xml:space="preserve">-</t>
        </is>
      </c>
      <c r="F1457" s="0" t="inlineStr">
        <is>
          <t xml:space="preserve">-</t>
        </is>
      </c>
      <c r="G1457" s="5">
        <v>0.133825</v>
      </c>
      <c r="H1457" s="0" t="inlineStr">
        <is>
          <t xml:space="preserve">supplier</t>
        </is>
      </c>
      <c r="I1457" s="0" t="inlineStr">
        <is>
          <t xml:space="preserve">unbucketed</t>
        </is>
      </c>
      <c r="J1457" s="0" t="inlineStr">
        <is>
          <t xml:space="preserve">residual</t>
        </is>
      </c>
      <c r="K1457" s="5">
        <v>0</v>
      </c>
      <c r="L1457" s="5">
        <v>0</v>
      </c>
      <c r="M1457" s="5">
        <v>0.0</v>
      </c>
      <c r="N1457" s="5">
        <v>0.0</v>
      </c>
      <c r="O1457" s="5">
        <v>0.0</v>
      </c>
      <c r="P1457" s="5">
        <v>0.0</v>
      </c>
      <c r="Q1457" s="5">
        <v>0.0</v>
      </c>
    </row>
    <row r="1458" outlineLevel="1">
      <c r="B1458" s="0" t="inlineStr">
        <is>
          <t xml:space="preserve">YOUNG ENGINEERING COMPANY INC.</t>
        </is>
      </c>
      <c r="C1458" s="0" t="inlineStr">
        <is>
          <t xml:space="preserve">E383LRP25MY6</t>
        </is>
      </c>
      <c r="D1458" s="0" t="inlineStr">
        <is>
          <t xml:space="preserve">-</t>
        </is>
      </c>
      <c r="E1458" s="0" t="inlineStr">
        <is>
          <t xml:space="preserve">-</t>
        </is>
      </c>
      <c r="F1458" s="0" t="inlineStr">
        <is>
          <t xml:space="preserve">-</t>
        </is>
      </c>
      <c r="G1458" s="5">
        <v>0.133251</v>
      </c>
      <c r="H1458" s="0" t="inlineStr">
        <is>
          <t xml:space="preserve">supplier</t>
        </is>
      </c>
      <c r="I1458" s="0" t="inlineStr">
        <is>
          <t xml:space="preserve">unbucketed</t>
        </is>
      </c>
      <c r="J1458" s="0" t="inlineStr">
        <is>
          <t xml:space="preserve">residual</t>
        </is>
      </c>
      <c r="K1458" s="5">
        <v>0</v>
      </c>
      <c r="L1458" s="5">
        <v>0</v>
      </c>
      <c r="M1458" s="5">
        <v>0.133251</v>
      </c>
      <c r="N1458" s="5">
        <v>0.0</v>
      </c>
      <c r="O1458" s="5">
        <v>0.0</v>
      </c>
      <c r="P1458" s="5">
        <v>0.0</v>
      </c>
      <c r="Q1458" s="5">
        <v>0.0</v>
      </c>
    </row>
    <row r="1459" outlineLevel="1">
      <c r="B1459" s="0" t="inlineStr">
        <is>
          <t xml:space="preserve">MULTISOURCE MANUFACTURING LLC</t>
        </is>
      </c>
      <c r="C1459" s="0" t="inlineStr">
        <is>
          <t xml:space="preserve">QNV1MYJFLAG1</t>
        </is>
      </c>
      <c r="D1459" s="0" t="inlineStr">
        <is>
          <t xml:space="preserve">-</t>
        </is>
      </c>
      <c r="E1459" s="0" t="inlineStr">
        <is>
          <t xml:space="preserve">-</t>
        </is>
      </c>
      <c r="F1459" s="0" t="inlineStr">
        <is>
          <t xml:space="preserve">-</t>
        </is>
      </c>
      <c r="G1459" s="5">
        <v>0.1326192</v>
      </c>
      <c r="H1459" s="0" t="inlineStr">
        <is>
          <t xml:space="preserve">supplier</t>
        </is>
      </c>
      <c r="I1459" s="0" t="inlineStr">
        <is>
          <t xml:space="preserve">unbucketed</t>
        </is>
      </c>
      <c r="J1459" s="0" t="inlineStr">
        <is>
          <t xml:space="preserve">residual</t>
        </is>
      </c>
      <c r="K1459" s="5">
        <v>0</v>
      </c>
      <c r="L1459" s="5">
        <v>0</v>
      </c>
      <c r="M1459" s="5">
        <v>0.0</v>
      </c>
      <c r="N1459" s="5">
        <v>0.0</v>
      </c>
      <c r="O1459" s="5">
        <v>0.0</v>
      </c>
      <c r="P1459" s="5">
        <v>0.0</v>
      </c>
      <c r="Q1459" s="5">
        <v>0.0</v>
      </c>
    </row>
    <row r="1460" outlineLevel="1">
      <c r="B1460" s="0" t="inlineStr">
        <is>
          <t xml:space="preserve">HUNTER DEFENSE TECHNOLOGIES, INC.</t>
        </is>
      </c>
      <c r="C1460" s="0" t="inlineStr">
        <is>
          <t xml:space="preserve">LX5BF78ZTHW4</t>
        </is>
      </c>
      <c r="D1460" s="0" t="inlineStr">
        <is>
          <t xml:space="preserve">-</t>
        </is>
      </c>
      <c r="E1460" s="0" t="inlineStr">
        <is>
          <t xml:space="preserve">-</t>
        </is>
      </c>
      <c r="F1460" s="0" t="inlineStr">
        <is>
          <t xml:space="preserve">-</t>
        </is>
      </c>
      <c r="G1460" s="5">
        <v>0.132608</v>
      </c>
      <c r="H1460" s="0" t="inlineStr">
        <is>
          <t xml:space="preserve">supplier</t>
        </is>
      </c>
      <c r="I1460" s="0" t="inlineStr">
        <is>
          <t xml:space="preserve">unbucketed</t>
        </is>
      </c>
      <c r="J1460" s="0" t="inlineStr">
        <is>
          <t xml:space="preserve">residual</t>
        </is>
      </c>
      <c r="K1460" s="5">
        <v>0</v>
      </c>
      <c r="L1460" s="5">
        <v>0</v>
      </c>
      <c r="M1460" s="5">
        <v>0.132608</v>
      </c>
      <c r="N1460" s="5">
        <v>0.0</v>
      </c>
      <c r="O1460" s="5">
        <v>0.0</v>
      </c>
      <c r="P1460" s="5">
        <v>0.0</v>
      </c>
      <c r="Q1460" s="5">
        <v>0.0</v>
      </c>
    </row>
    <row r="1461" outlineLevel="1">
      <c r="B1461" s="0" t="inlineStr">
        <is>
          <t xml:space="preserve">BOLAND MARINE &amp; INDUSTRIAL LLC</t>
        </is>
      </c>
      <c r="C1461" s="0" t="inlineStr">
        <is>
          <t xml:space="preserve">DSVCC3S92J21</t>
        </is>
      </c>
      <c r="D1461" s="0" t="inlineStr">
        <is>
          <t xml:space="preserve">-</t>
        </is>
      </c>
      <c r="E1461" s="0" t="inlineStr">
        <is>
          <t xml:space="preserve">-</t>
        </is>
      </c>
      <c r="F1461" s="0" t="inlineStr">
        <is>
          <t xml:space="preserve">-</t>
        </is>
      </c>
      <c r="G1461" s="5">
        <v>0.13254</v>
      </c>
      <c r="H1461" s="0" t="inlineStr">
        <is>
          <t xml:space="preserve">supplier</t>
        </is>
      </c>
      <c r="I1461" s="0" t="inlineStr">
        <is>
          <t xml:space="preserve">unbucketed</t>
        </is>
      </c>
      <c r="J1461" s="0" t="inlineStr">
        <is>
          <t xml:space="preserve">residual</t>
        </is>
      </c>
      <c r="K1461" s="5">
        <v>0</v>
      </c>
      <c r="L1461" s="5">
        <v>0</v>
      </c>
      <c r="M1461" s="5">
        <v>0.13254</v>
      </c>
      <c r="N1461" s="5">
        <v>0.0</v>
      </c>
      <c r="O1461" s="5">
        <v>0.13254</v>
      </c>
      <c r="P1461" s="5">
        <v>0.0</v>
      </c>
      <c r="Q1461" s="5">
        <v>0.0</v>
      </c>
    </row>
    <row r="1462" outlineLevel="1">
      <c r="B1462" s="0" t="inlineStr">
        <is>
          <t xml:space="preserve">A.Z.E. SUPPLY COMPANY, INC.</t>
        </is>
      </c>
      <c r="C1462" s="0" t="inlineStr">
        <is>
          <t xml:space="preserve">DMXKGDQFGMM9</t>
        </is>
      </c>
      <c r="D1462" s="0" t="inlineStr">
        <is>
          <t xml:space="preserve">-</t>
        </is>
      </c>
      <c r="E1462" s="0" t="inlineStr">
        <is>
          <t xml:space="preserve">-</t>
        </is>
      </c>
      <c r="F1462" s="0" t="inlineStr">
        <is>
          <t xml:space="preserve">-</t>
        </is>
      </c>
      <c r="G1462" s="5">
        <v>0.132196</v>
      </c>
      <c r="H1462" s="0" t="inlineStr">
        <is>
          <t xml:space="preserve">supplier</t>
        </is>
      </c>
      <c r="I1462" s="0" t="inlineStr">
        <is>
          <t xml:space="preserve">unbucketed</t>
        </is>
      </c>
      <c r="J1462" s="0" t="inlineStr">
        <is>
          <t xml:space="preserve">residual</t>
        </is>
      </c>
      <c r="K1462" s="5">
        <v>0</v>
      </c>
      <c r="L1462" s="5">
        <v>0</v>
      </c>
      <c r="M1462" s="5">
        <v>0.0</v>
      </c>
      <c r="N1462" s="5">
        <v>0.0</v>
      </c>
      <c r="O1462" s="5">
        <v>0.0</v>
      </c>
      <c r="P1462" s="5">
        <v>0.0</v>
      </c>
      <c r="Q1462" s="5">
        <v>0.0</v>
      </c>
    </row>
    <row r="1463" outlineLevel="1">
      <c r="B1463" s="0" t="inlineStr">
        <is>
          <t xml:space="preserve">INTEGRITS CORPORATION</t>
        </is>
      </c>
      <c r="C1463" s="0" t="inlineStr">
        <is>
          <t xml:space="preserve">QVMYLK59N3G2</t>
        </is>
      </c>
      <c r="D1463" s="0" t="inlineStr">
        <is>
          <t xml:space="preserve">-</t>
        </is>
      </c>
      <c r="E1463" s="0" t="inlineStr">
        <is>
          <t xml:space="preserve">-</t>
        </is>
      </c>
      <c r="F1463" s="0" t="inlineStr">
        <is>
          <t xml:space="preserve">-</t>
        </is>
      </c>
      <c r="G1463" s="5">
        <v>0.13214924</v>
      </c>
      <c r="H1463" s="0" t="inlineStr">
        <is>
          <t xml:space="preserve">supplier</t>
        </is>
      </c>
      <c r="I1463" s="0" t="inlineStr">
        <is>
          <t xml:space="preserve">unbucketed</t>
        </is>
      </c>
      <c r="J1463" s="0" t="inlineStr">
        <is>
          <t xml:space="preserve">residual</t>
        </is>
      </c>
      <c r="K1463" s="5">
        <v>0</v>
      </c>
      <c r="L1463" s="5">
        <v>0</v>
      </c>
      <c r="M1463" s="5">
        <v>0.0</v>
      </c>
      <c r="N1463" s="5">
        <v>0.0</v>
      </c>
      <c r="O1463" s="5">
        <v>0.0</v>
      </c>
      <c r="P1463" s="5">
        <v>0.0</v>
      </c>
      <c r="Q1463" s="5">
        <v>0.0</v>
      </c>
    </row>
    <row r="1464" outlineLevel="1">
      <c r="B1464" s="0" t="inlineStr">
        <is>
          <t xml:space="preserve">ERIE ENGINEERED PRODUCTS INC</t>
        </is>
      </c>
      <c r="C1464" s="0" t="inlineStr">
        <is>
          <t xml:space="preserve">YDCCAJCSPGW3</t>
        </is>
      </c>
      <c r="D1464" s="0" t="inlineStr">
        <is>
          <t xml:space="preserve">-</t>
        </is>
      </c>
      <c r="E1464" s="0" t="inlineStr">
        <is>
          <t xml:space="preserve">-</t>
        </is>
      </c>
      <c r="F1464" s="0" t="inlineStr">
        <is>
          <t xml:space="preserve">-</t>
        </is>
      </c>
      <c r="G1464" s="5">
        <v>0.131985</v>
      </c>
      <c r="H1464" s="0" t="inlineStr">
        <is>
          <t xml:space="preserve">supplier</t>
        </is>
      </c>
      <c r="I1464" s="0" t="inlineStr">
        <is>
          <t xml:space="preserve">unbucketed</t>
        </is>
      </c>
      <c r="J1464" s="0" t="inlineStr">
        <is>
          <t xml:space="preserve">residual</t>
        </is>
      </c>
      <c r="K1464" s="5">
        <v>0</v>
      </c>
      <c r="L1464" s="5">
        <v>0</v>
      </c>
      <c r="M1464" s="5">
        <v>0.0</v>
      </c>
      <c r="N1464" s="5">
        <v>0.0</v>
      </c>
      <c r="O1464" s="5">
        <v>0.0</v>
      </c>
      <c r="P1464" s="5">
        <v>0.0</v>
      </c>
      <c r="Q1464" s="5">
        <v>0.0</v>
      </c>
    </row>
    <row r="1465" outlineLevel="1">
      <c r="B1465" s="0" t="inlineStr">
        <is>
          <t xml:space="preserve">WESCO AIRCRAFT HARDWARE CORP.</t>
        </is>
      </c>
      <c r="C1465" s="0" t="inlineStr">
        <is>
          <t xml:space="preserve">P3L6TZHG6EG3</t>
        </is>
      </c>
      <c r="D1465" s="0" t="inlineStr">
        <is>
          <t xml:space="preserve">-</t>
        </is>
      </c>
      <c r="E1465" s="0" t="inlineStr">
        <is>
          <t xml:space="preserve">-</t>
        </is>
      </c>
      <c r="F1465" s="0" t="inlineStr">
        <is>
          <t xml:space="preserve">-</t>
        </is>
      </c>
      <c r="G1465" s="5">
        <v>0.131881</v>
      </c>
      <c r="H1465" s="0" t="inlineStr">
        <is>
          <t xml:space="preserve">supplier</t>
        </is>
      </c>
      <c r="I1465" s="0" t="inlineStr">
        <is>
          <t xml:space="preserve">unbucketed</t>
        </is>
      </c>
      <c r="J1465" s="0" t="inlineStr">
        <is>
          <t xml:space="preserve">residual</t>
        </is>
      </c>
      <c r="K1465" s="5">
        <v>0</v>
      </c>
      <c r="L1465" s="5">
        <v>0</v>
      </c>
      <c r="M1465" s="5">
        <v>0.0</v>
      </c>
      <c r="N1465" s="5">
        <v>0.0</v>
      </c>
      <c r="O1465" s="5">
        <v>0.0</v>
      </c>
      <c r="P1465" s="5">
        <v>0.0</v>
      </c>
      <c r="Q1465" s="5">
        <v>0.0</v>
      </c>
    </row>
    <row r="1466" outlineLevel="1">
      <c r="B1466" s="0" t="inlineStr">
        <is>
          <t xml:space="preserve">CRITICAL COMMUNICATIONS CONTROLS &amp; INSTRUMENTS LLC</t>
        </is>
      </c>
      <c r="C1466" s="0" t="inlineStr">
        <is>
          <t xml:space="preserve">DH7CZ5SHWTN7</t>
        </is>
      </c>
      <c r="D1466" s="0" t="inlineStr">
        <is>
          <t xml:space="preserve">-</t>
        </is>
      </c>
      <c r="E1466" s="0" t="inlineStr">
        <is>
          <t xml:space="preserve">-</t>
        </is>
      </c>
      <c r="F1466" s="0" t="inlineStr">
        <is>
          <t xml:space="preserve">-</t>
        </is>
      </c>
      <c r="G1466" s="5">
        <v>0.131804</v>
      </c>
      <c r="H1466" s="0" t="inlineStr">
        <is>
          <t xml:space="preserve">supplier</t>
        </is>
      </c>
      <c r="I1466" s="0" t="inlineStr">
        <is>
          <t xml:space="preserve">unbucketed</t>
        </is>
      </c>
      <c r="J1466" s="0" t="inlineStr">
        <is>
          <t xml:space="preserve">residual</t>
        </is>
      </c>
      <c r="K1466" s="5">
        <v>0</v>
      </c>
      <c r="L1466" s="5">
        <v>0</v>
      </c>
      <c r="M1466" s="5">
        <v>0.131804</v>
      </c>
      <c r="N1466" s="5">
        <v>0.131804</v>
      </c>
      <c r="O1466" s="5">
        <v>0.0</v>
      </c>
      <c r="P1466" s="5">
        <v>0.0</v>
      </c>
      <c r="Q1466" s="5">
        <v>0.0</v>
      </c>
    </row>
    <row r="1467" outlineLevel="1">
      <c r="B1467" s="0" t="inlineStr">
        <is>
          <t xml:space="preserve">CDW GOVERNMENT LLC</t>
        </is>
      </c>
      <c r="C1467" s="0" t="inlineStr">
        <is>
          <t xml:space="preserve">PHZDZ8SJ5CM1</t>
        </is>
      </c>
      <c r="D1467" s="0" t="inlineStr">
        <is>
          <t xml:space="preserve">-</t>
        </is>
      </c>
      <c r="E1467" s="0" t="inlineStr">
        <is>
          <t xml:space="preserve">-</t>
        </is>
      </c>
      <c r="F1467" s="0" t="inlineStr">
        <is>
          <t xml:space="preserve">-</t>
        </is>
      </c>
      <c r="G1467" s="5">
        <v>0.130596</v>
      </c>
      <c r="H1467" s="0" t="inlineStr">
        <is>
          <t xml:space="preserve">supplier</t>
        </is>
      </c>
      <c r="I1467" s="0" t="inlineStr">
        <is>
          <t xml:space="preserve">unbucketed</t>
        </is>
      </c>
      <c r="J1467" s="0" t="inlineStr">
        <is>
          <t xml:space="preserve">residual</t>
        </is>
      </c>
      <c r="K1467" s="5">
        <v>0</v>
      </c>
      <c r="L1467" s="5">
        <v>0</v>
      </c>
      <c r="M1467" s="5">
        <v>0.0</v>
      </c>
      <c r="N1467" s="5">
        <v>0.0</v>
      </c>
      <c r="O1467" s="5">
        <v>0.0</v>
      </c>
      <c r="P1467" s="5">
        <v>0.0</v>
      </c>
      <c r="Q1467" s="5">
        <v>0.0</v>
      </c>
    </row>
    <row r="1468" outlineLevel="1">
      <c r="B1468" s="0" t="inlineStr">
        <is>
          <t xml:space="preserve">THE INDIUM CORPORATION OF AMERICA</t>
        </is>
      </c>
      <c r="C1468" s="0" t="inlineStr">
        <is>
          <t xml:space="preserve">MVJ8VFHHZ9J1</t>
        </is>
      </c>
      <c r="D1468" s="0" t="inlineStr">
        <is>
          <t xml:space="preserve">-</t>
        </is>
      </c>
      <c r="E1468" s="0" t="inlineStr">
        <is>
          <t xml:space="preserve">-</t>
        </is>
      </c>
      <c r="F1468" s="0" t="inlineStr">
        <is>
          <t xml:space="preserve">-</t>
        </is>
      </c>
      <c r="G1468" s="5">
        <v>0.13050699999999998</v>
      </c>
      <c r="H1468" s="0" t="inlineStr">
        <is>
          <t xml:space="preserve">supplier</t>
        </is>
      </c>
      <c r="I1468" s="0" t="inlineStr">
        <is>
          <t xml:space="preserve">unbucketed</t>
        </is>
      </c>
      <c r="J1468" s="0" t="inlineStr">
        <is>
          <t xml:space="preserve">residual</t>
        </is>
      </c>
      <c r="K1468" s="5">
        <v>0</v>
      </c>
      <c r="L1468" s="5">
        <v>0</v>
      </c>
      <c r="M1468" s="5">
        <v>0.0</v>
      </c>
      <c r="N1468" s="5">
        <v>0.0</v>
      </c>
      <c r="O1468" s="5">
        <v>0.0</v>
      </c>
      <c r="P1468" s="5">
        <v>0.0</v>
      </c>
      <c r="Q1468" s="5">
        <v>0.0</v>
      </c>
    </row>
    <row r="1469" outlineLevel="1">
      <c r="B1469" s="0" t="inlineStr">
        <is>
          <t xml:space="preserve">CLEAN HARBORS, INC</t>
        </is>
      </c>
      <c r="C1469" s="0" t="inlineStr">
        <is>
          <t xml:space="preserve">MBMCF42D4CF7</t>
        </is>
      </c>
      <c r="D1469" s="0" t="inlineStr">
        <is>
          <t xml:space="preserve">-</t>
        </is>
      </c>
      <c r="E1469" s="0" t="inlineStr">
        <is>
          <t xml:space="preserve">-</t>
        </is>
      </c>
      <c r="F1469" s="0" t="inlineStr">
        <is>
          <t xml:space="preserve">-</t>
        </is>
      </c>
      <c r="G1469" s="5">
        <v>0.1305</v>
      </c>
      <c r="H1469" s="0" t="inlineStr">
        <is>
          <t xml:space="preserve">supplier</t>
        </is>
      </c>
      <c r="I1469" s="0" t="inlineStr">
        <is>
          <t xml:space="preserve">unbucketed</t>
        </is>
      </c>
      <c r="J1469" s="0" t="inlineStr">
        <is>
          <t xml:space="preserve">residual</t>
        </is>
      </c>
      <c r="K1469" s="5">
        <v>0</v>
      </c>
      <c r="L1469" s="5">
        <v>0</v>
      </c>
      <c r="M1469" s="5">
        <v>0.0</v>
      </c>
      <c r="N1469" s="5">
        <v>0.0</v>
      </c>
      <c r="O1469" s="5">
        <v>0.0</v>
      </c>
      <c r="P1469" s="5">
        <v>0.0</v>
      </c>
      <c r="Q1469" s="5">
        <v>0.0</v>
      </c>
    </row>
    <row r="1470" outlineLevel="1">
      <c r="B1470" s="0" t="inlineStr">
        <is>
          <t xml:space="preserve">MIL-SPEC MAGNETICS, INC</t>
        </is>
      </c>
      <c r="C1470" s="0" t="inlineStr">
        <is>
          <t xml:space="preserve">DNVQJ81GNA51</t>
        </is>
      </c>
      <c r="D1470" s="0" t="inlineStr">
        <is>
          <t xml:space="preserve">-</t>
        </is>
      </c>
      <c r="E1470" s="0" t="inlineStr">
        <is>
          <t xml:space="preserve">-</t>
        </is>
      </c>
      <c r="F1470" s="0" t="inlineStr">
        <is>
          <t xml:space="preserve">-</t>
        </is>
      </c>
      <c r="G1470" s="5">
        <v>0.13041912</v>
      </c>
      <c r="H1470" s="0" t="inlineStr">
        <is>
          <t xml:space="preserve">supplier</t>
        </is>
      </c>
      <c r="I1470" s="0" t="inlineStr">
        <is>
          <t xml:space="preserve">unbucketed</t>
        </is>
      </c>
      <c r="J1470" s="0" t="inlineStr">
        <is>
          <t xml:space="preserve">residual</t>
        </is>
      </c>
      <c r="K1470" s="5">
        <v>0</v>
      </c>
      <c r="L1470" s="5">
        <v>0</v>
      </c>
      <c r="M1470" s="5">
        <v>0.0</v>
      </c>
      <c r="N1470" s="5">
        <v>0.0</v>
      </c>
      <c r="O1470" s="5">
        <v>0.0</v>
      </c>
      <c r="P1470" s="5">
        <v>0.0</v>
      </c>
      <c r="Q1470" s="5">
        <v>0.0</v>
      </c>
    </row>
    <row r="1471" outlineLevel="1">
      <c r="B1471" s="0" t="inlineStr">
        <is>
          <t xml:space="preserve">AEGIS POWER SYSTEMS, INC.</t>
        </is>
      </c>
      <c r="C1471" s="0" t="inlineStr">
        <is>
          <t xml:space="preserve">C8V6T36LW557</t>
        </is>
      </c>
      <c r="D1471" s="0" t="inlineStr">
        <is>
          <t xml:space="preserve">-</t>
        </is>
      </c>
      <c r="E1471" s="0" t="inlineStr">
        <is>
          <t xml:space="preserve">-</t>
        </is>
      </c>
      <c r="F1471" s="0" t="inlineStr">
        <is>
          <t xml:space="preserve">-</t>
        </is>
      </c>
      <c r="G1471" s="5">
        <v>0.130325</v>
      </c>
      <c r="H1471" s="0" t="inlineStr">
        <is>
          <t xml:space="preserve">supplier</t>
        </is>
      </c>
      <c r="I1471" s="0" t="inlineStr">
        <is>
          <t xml:space="preserve">unbucketed</t>
        </is>
      </c>
      <c r="J1471" s="0" t="inlineStr">
        <is>
          <t xml:space="preserve">residual</t>
        </is>
      </c>
      <c r="K1471" s="5">
        <v>0</v>
      </c>
      <c r="L1471" s="5">
        <v>0</v>
      </c>
      <c r="M1471" s="5">
        <v>0.0</v>
      </c>
      <c r="N1471" s="5">
        <v>0.0</v>
      </c>
      <c r="O1471" s="5">
        <v>0.0</v>
      </c>
      <c r="P1471" s="5">
        <v>0.0</v>
      </c>
      <c r="Q1471" s="5">
        <v>0.0</v>
      </c>
    </row>
    <row r="1472" outlineLevel="1">
      <c r="B1472" s="0" t="inlineStr">
        <is>
          <t xml:space="preserve">ZIVARO INC</t>
        </is>
      </c>
      <c r="C1472" s="0" t="inlineStr">
        <is>
          <t xml:space="preserve">WL9HGM6PCK53</t>
        </is>
      </c>
      <c r="D1472" s="0" t="inlineStr">
        <is>
          <t xml:space="preserve">-</t>
        </is>
      </c>
      <c r="E1472" s="0" t="inlineStr">
        <is>
          <t xml:space="preserve">-</t>
        </is>
      </c>
      <c r="F1472" s="0" t="inlineStr">
        <is>
          <t xml:space="preserve">-</t>
        </is>
      </c>
      <c r="G1472" s="5">
        <v>0.13023477</v>
      </c>
      <c r="H1472" s="0" t="inlineStr">
        <is>
          <t xml:space="preserve">supplier</t>
        </is>
      </c>
      <c r="I1472" s="0" t="inlineStr">
        <is>
          <t xml:space="preserve">unbucketed</t>
        </is>
      </c>
      <c r="J1472" s="0" t="inlineStr">
        <is>
          <t xml:space="preserve">residual</t>
        </is>
      </c>
      <c r="K1472" s="5">
        <v>0</v>
      </c>
      <c r="L1472" s="5">
        <v>0</v>
      </c>
      <c r="M1472" s="5">
        <v>0.0</v>
      </c>
      <c r="N1472" s="5">
        <v>0.0</v>
      </c>
      <c r="O1472" s="5">
        <v>0.0</v>
      </c>
      <c r="P1472" s="5">
        <v>0.0</v>
      </c>
      <c r="Q1472" s="5">
        <v>0.0</v>
      </c>
    </row>
    <row r="1473" outlineLevel="1">
      <c r="B1473" s="0" t="inlineStr">
        <is>
          <t xml:space="preserve">MFM SERVICES, LLC</t>
        </is>
      </c>
      <c r="C1473" s="0" t="inlineStr">
        <is>
          <t xml:space="preserve">LDEENBUBEX24</t>
        </is>
      </c>
      <c r="D1473" s="0" t="inlineStr">
        <is>
          <t xml:space="preserve">-</t>
        </is>
      </c>
      <c r="E1473" s="0" t="inlineStr">
        <is>
          <t xml:space="preserve">-</t>
        </is>
      </c>
      <c r="F1473" s="0" t="inlineStr">
        <is>
          <t xml:space="preserve">-</t>
        </is>
      </c>
      <c r="G1473" s="5">
        <v>0.13023</v>
      </c>
      <c r="H1473" s="0" t="inlineStr">
        <is>
          <t xml:space="preserve">supplier</t>
        </is>
      </c>
      <c r="I1473" s="0" t="inlineStr">
        <is>
          <t xml:space="preserve">unbucketed</t>
        </is>
      </c>
      <c r="J1473" s="0" t="inlineStr">
        <is>
          <t xml:space="preserve">residual</t>
        </is>
      </c>
      <c r="K1473" s="5">
        <v>0</v>
      </c>
      <c r="L1473" s="5">
        <v>0</v>
      </c>
      <c r="M1473" s="5">
        <v>0.0</v>
      </c>
      <c r="N1473" s="5">
        <v>0.0</v>
      </c>
      <c r="O1473" s="5">
        <v>0.0</v>
      </c>
      <c r="P1473" s="5">
        <v>0.0</v>
      </c>
      <c r="Q1473" s="5">
        <v>0.0</v>
      </c>
    </row>
    <row r="1474" outlineLevel="1">
      <c r="B1474" s="0" t="inlineStr">
        <is>
          <t xml:space="preserve">ELECTROWEAVE, INC.</t>
        </is>
      </c>
      <c r="C1474" s="0" t="inlineStr">
        <is>
          <t xml:space="preserve">F4TYC1N7UEH3</t>
        </is>
      </c>
      <c r="D1474" s="0" t="inlineStr">
        <is>
          <t xml:space="preserve">-</t>
        </is>
      </c>
      <c r="E1474" s="0" t="inlineStr">
        <is>
          <t xml:space="preserve">-</t>
        </is>
      </c>
      <c r="F1474" s="0" t="inlineStr">
        <is>
          <t xml:space="preserve">-</t>
        </is>
      </c>
      <c r="G1474" s="5">
        <v>0.13003599999999998</v>
      </c>
      <c r="H1474" s="0" t="inlineStr">
        <is>
          <t xml:space="preserve">supplier</t>
        </is>
      </c>
      <c r="I1474" s="0" t="inlineStr">
        <is>
          <t xml:space="preserve">unbucketed</t>
        </is>
      </c>
      <c r="J1474" s="0" t="inlineStr">
        <is>
          <t xml:space="preserve">residual</t>
        </is>
      </c>
      <c r="K1474" s="5">
        <v>0</v>
      </c>
      <c r="L1474" s="5">
        <v>0</v>
      </c>
      <c r="M1474" s="5">
        <v>0.0</v>
      </c>
      <c r="N1474" s="5">
        <v>0.0</v>
      </c>
      <c r="O1474" s="5">
        <v>0.0</v>
      </c>
      <c r="P1474" s="5">
        <v>0.0</v>
      </c>
      <c r="Q1474" s="5">
        <v>0.0</v>
      </c>
    </row>
    <row r="1475" outlineLevel="1">
      <c r="B1475" s="0" t="inlineStr">
        <is>
          <t xml:space="preserve">ELECTRO SWITCH CORP.</t>
        </is>
      </c>
      <c r="C1475" s="0" t="inlineStr">
        <is>
          <t xml:space="preserve">N9H8MCLMH8J5</t>
        </is>
      </c>
      <c r="D1475" s="0" t="inlineStr">
        <is>
          <t xml:space="preserve">-</t>
        </is>
      </c>
      <c r="E1475" s="0" t="inlineStr">
        <is>
          <t xml:space="preserve">-</t>
        </is>
      </c>
      <c r="F1475" s="0" t="inlineStr">
        <is>
          <t xml:space="preserve">-</t>
        </is>
      </c>
      <c r="G1475" s="5">
        <v>0.1294488</v>
      </c>
      <c r="H1475" s="0" t="inlineStr">
        <is>
          <t xml:space="preserve">supplier</t>
        </is>
      </c>
      <c r="I1475" s="0" t="inlineStr">
        <is>
          <t xml:space="preserve">unbucketed</t>
        </is>
      </c>
      <c r="J1475" s="0" t="inlineStr">
        <is>
          <t xml:space="preserve">residual</t>
        </is>
      </c>
      <c r="K1475" s="5">
        <v>0</v>
      </c>
      <c r="L1475" s="5">
        <v>0</v>
      </c>
      <c r="M1475" s="5">
        <v>0.0</v>
      </c>
      <c r="N1475" s="5">
        <v>0.0</v>
      </c>
      <c r="O1475" s="5">
        <v>0.0</v>
      </c>
      <c r="P1475" s="5">
        <v>0.0</v>
      </c>
      <c r="Q1475" s="5">
        <v>0.0</v>
      </c>
    </row>
    <row r="1476" outlineLevel="1">
      <c r="B1476" s="0" t="inlineStr">
        <is>
          <t xml:space="preserve">PASCAGOULA LAUNCH SERVICE INC</t>
        </is>
      </c>
      <c r="C1476" s="0" t="inlineStr">
        <is>
          <t xml:space="preserve">FD69PPCVM2B8</t>
        </is>
      </c>
      <c r="D1476" s="0" t="inlineStr">
        <is>
          <t xml:space="preserve">-</t>
        </is>
      </c>
      <c r="E1476" s="0" t="inlineStr">
        <is>
          <t xml:space="preserve">-</t>
        </is>
      </c>
      <c r="F1476" s="0" t="inlineStr">
        <is>
          <t xml:space="preserve">-</t>
        </is>
      </c>
      <c r="G1476" s="5">
        <v>0.129271</v>
      </c>
      <c r="H1476" s="0" t="inlineStr">
        <is>
          <t xml:space="preserve">supplier</t>
        </is>
      </c>
      <c r="I1476" s="0" t="inlineStr">
        <is>
          <t xml:space="preserve">unbucketed</t>
        </is>
      </c>
      <c r="J1476" s="0" t="inlineStr">
        <is>
          <t xml:space="preserve">residual</t>
        </is>
      </c>
      <c r="K1476" s="5">
        <v>0</v>
      </c>
      <c r="L1476" s="5">
        <v>0</v>
      </c>
      <c r="M1476" s="5">
        <v>0.129271</v>
      </c>
      <c r="N1476" s="5">
        <v>0.0</v>
      </c>
      <c r="O1476" s="5">
        <v>0.03753</v>
      </c>
      <c r="P1476" s="5">
        <v>0.0</v>
      </c>
      <c r="Q1476" s="5">
        <v>0.091741</v>
      </c>
    </row>
    <row r="1477" outlineLevel="1">
      <c r="B1477" s="0" t="inlineStr">
        <is>
          <t xml:space="preserve">FIERCE SOFTWARE CORPORATION</t>
        </is>
      </c>
      <c r="C1477" s="0" t="inlineStr">
        <is>
          <t xml:space="preserve">UYCFM7GJBHK7</t>
        </is>
      </c>
      <c r="D1477" s="0" t="inlineStr">
        <is>
          <t xml:space="preserve">-</t>
        </is>
      </c>
      <c r="E1477" s="0" t="inlineStr">
        <is>
          <t xml:space="preserve">-</t>
        </is>
      </c>
      <c r="F1477" s="0" t="inlineStr">
        <is>
          <t xml:space="preserve">-</t>
        </is>
      </c>
      <c r="G1477" s="5">
        <v>0.12917131999999998</v>
      </c>
      <c r="H1477" s="0" t="inlineStr">
        <is>
          <t xml:space="preserve">supplier</t>
        </is>
      </c>
      <c r="I1477" s="0" t="inlineStr">
        <is>
          <t xml:space="preserve">unbucketed</t>
        </is>
      </c>
      <c r="J1477" s="0" t="inlineStr">
        <is>
          <t xml:space="preserve">residual</t>
        </is>
      </c>
      <c r="K1477" s="5">
        <v>0</v>
      </c>
      <c r="L1477" s="5">
        <v>0</v>
      </c>
      <c r="M1477" s="5">
        <v>0.0</v>
      </c>
      <c r="N1477" s="5">
        <v>0.0</v>
      </c>
      <c r="O1477" s="5">
        <v>0.0</v>
      </c>
      <c r="P1477" s="5">
        <v>0.0</v>
      </c>
      <c r="Q1477" s="5">
        <v>0.0</v>
      </c>
    </row>
    <row r="1478" outlineLevel="1">
      <c r="B1478" s="0" t="inlineStr">
        <is>
          <t xml:space="preserve">RELADYNE, INC.</t>
        </is>
      </c>
      <c r="C1478" s="0" t="inlineStr">
        <is>
          <t xml:space="preserve">F2BEQJNKFY83</t>
        </is>
      </c>
      <c r="D1478" s="0" t="inlineStr">
        <is>
          <t xml:space="preserve">-</t>
        </is>
      </c>
      <c r="E1478" s="0" t="inlineStr">
        <is>
          <t xml:space="preserve">-</t>
        </is>
      </c>
      <c r="F1478" s="0" t="inlineStr">
        <is>
          <t xml:space="preserve">-</t>
        </is>
      </c>
      <c r="G1478" s="5">
        <v>0.12904</v>
      </c>
      <c r="H1478" s="0" t="inlineStr">
        <is>
          <t xml:space="preserve">supplier</t>
        </is>
      </c>
      <c r="I1478" s="0" t="inlineStr">
        <is>
          <t xml:space="preserve">unbucketed</t>
        </is>
      </c>
      <c r="J1478" s="0" t="inlineStr">
        <is>
          <t xml:space="preserve">residual</t>
        </is>
      </c>
      <c r="K1478" s="5">
        <v>0</v>
      </c>
      <c r="L1478" s="5">
        <v>0</v>
      </c>
      <c r="M1478" s="5">
        <v>0.0</v>
      </c>
      <c r="N1478" s="5">
        <v>0.0</v>
      </c>
      <c r="O1478" s="5">
        <v>0.0</v>
      </c>
      <c r="P1478" s="5">
        <v>0.0</v>
      </c>
      <c r="Q1478" s="5">
        <v>0.0</v>
      </c>
    </row>
    <row r="1479" outlineLevel="1">
      <c r="B1479" s="0" t="inlineStr">
        <is>
          <t xml:space="preserve">L.S. STARRETT COMPANY (THE)</t>
        </is>
      </c>
      <c r="C1479" s="0" t="inlineStr">
        <is>
          <t xml:space="preserve">GL11VKK8MDH3</t>
        </is>
      </c>
      <c r="D1479" s="0" t="inlineStr">
        <is>
          <t xml:space="preserve">-</t>
        </is>
      </c>
      <c r="E1479" s="0" t="inlineStr">
        <is>
          <t xml:space="preserve">-</t>
        </is>
      </c>
      <c r="F1479" s="0" t="inlineStr">
        <is>
          <t xml:space="preserve">-</t>
        </is>
      </c>
      <c r="G1479" s="5">
        <v>0.128925</v>
      </c>
      <c r="H1479" s="0" t="inlineStr">
        <is>
          <t xml:space="preserve">supplier</t>
        </is>
      </c>
      <c r="I1479" s="0" t="inlineStr">
        <is>
          <t xml:space="preserve">unbucketed</t>
        </is>
      </c>
      <c r="J1479" s="0" t="inlineStr">
        <is>
          <t xml:space="preserve">residual</t>
        </is>
      </c>
      <c r="K1479" s="5">
        <v>0</v>
      </c>
      <c r="L1479" s="5">
        <v>0</v>
      </c>
      <c r="M1479" s="5">
        <v>0.0</v>
      </c>
      <c r="N1479" s="5">
        <v>0.0</v>
      </c>
      <c r="O1479" s="5">
        <v>0.0</v>
      </c>
      <c r="P1479" s="5">
        <v>0.0</v>
      </c>
      <c r="Q1479" s="5">
        <v>0.0</v>
      </c>
    </row>
    <row r="1480" outlineLevel="1">
      <c r="B1480" s="0" t="inlineStr">
        <is>
          <t xml:space="preserve">DYNAMIC AIR ENGINEERING, INC.</t>
        </is>
      </c>
      <c r="C1480" s="0" t="inlineStr">
        <is>
          <t xml:space="preserve">D7F1WVKZ91Q3</t>
        </is>
      </c>
      <c r="D1480" s="0" t="inlineStr">
        <is>
          <t xml:space="preserve">-</t>
        </is>
      </c>
      <c r="E1480" s="0" t="inlineStr">
        <is>
          <t xml:space="preserve">-</t>
        </is>
      </c>
      <c r="F1480" s="0" t="inlineStr">
        <is>
          <t xml:space="preserve">-</t>
        </is>
      </c>
      <c r="G1480" s="5">
        <v>0.128292</v>
      </c>
      <c r="H1480" s="0" t="inlineStr">
        <is>
          <t xml:space="preserve">supplier</t>
        </is>
      </c>
      <c r="I1480" s="0" t="inlineStr">
        <is>
          <t xml:space="preserve">unbucketed</t>
        </is>
      </c>
      <c r="J1480" s="0" t="inlineStr">
        <is>
          <t xml:space="preserve">residual</t>
        </is>
      </c>
      <c r="K1480" s="5">
        <v>0</v>
      </c>
      <c r="L1480" s="5">
        <v>0</v>
      </c>
      <c r="M1480" s="5">
        <v>0.0</v>
      </c>
      <c r="N1480" s="5">
        <v>0.0</v>
      </c>
      <c r="O1480" s="5">
        <v>0.0</v>
      </c>
      <c r="P1480" s="5">
        <v>0.0</v>
      </c>
      <c r="Q1480" s="5">
        <v>0.0</v>
      </c>
    </row>
    <row r="1481" outlineLevel="1">
      <c r="B1481" s="0" t="inlineStr">
        <is>
          <t xml:space="preserve">TECH GLOBAL INC.</t>
        </is>
      </c>
      <c r="C1481" s="0" t="inlineStr">
        <is>
          <t xml:space="preserve">H12PZPAGKSZ8</t>
        </is>
      </c>
      <c r="D1481" s="0" t="inlineStr">
        <is>
          <t xml:space="preserve">-</t>
        </is>
      </c>
      <c r="E1481" s="0" t="inlineStr">
        <is>
          <t xml:space="preserve">-</t>
        </is>
      </c>
      <c r="F1481" s="0" t="inlineStr">
        <is>
          <t xml:space="preserve">-</t>
        </is>
      </c>
      <c r="G1481" s="5">
        <v>0.128151</v>
      </c>
      <c r="H1481" s="0" t="inlineStr">
        <is>
          <t xml:space="preserve">supplier</t>
        </is>
      </c>
      <c r="I1481" s="0" t="inlineStr">
        <is>
          <t xml:space="preserve">unbucketed</t>
        </is>
      </c>
      <c r="J1481" s="0" t="inlineStr">
        <is>
          <t xml:space="preserve">residual</t>
        </is>
      </c>
      <c r="K1481" s="5">
        <v>0</v>
      </c>
      <c r="L1481" s="5">
        <v>0</v>
      </c>
      <c r="M1481" s="5">
        <v>0.0</v>
      </c>
      <c r="N1481" s="5">
        <v>0.0</v>
      </c>
      <c r="O1481" s="5">
        <v>0.0</v>
      </c>
      <c r="P1481" s="5">
        <v>0.0</v>
      </c>
      <c r="Q1481" s="5">
        <v>0.0</v>
      </c>
    </row>
    <row r="1482" outlineLevel="1">
      <c r="B1482" s="0" t="inlineStr">
        <is>
          <t xml:space="preserve">DETROIT SWITCH, INC.</t>
        </is>
      </c>
      <c r="C1482" s="0" t="inlineStr">
        <is>
          <t xml:space="preserve">NK1RB5VKXES9</t>
        </is>
      </c>
      <c r="D1482" s="0" t="inlineStr">
        <is>
          <t xml:space="preserve">-</t>
        </is>
      </c>
      <c r="E1482" s="0" t="inlineStr">
        <is>
          <t xml:space="preserve">-</t>
        </is>
      </c>
      <c r="F1482" s="0" t="inlineStr">
        <is>
          <t xml:space="preserve">-</t>
        </is>
      </c>
      <c r="G1482" s="5">
        <v>0.12792399999999998</v>
      </c>
      <c r="H1482" s="0" t="inlineStr">
        <is>
          <t xml:space="preserve">supplier</t>
        </is>
      </c>
      <c r="I1482" s="0" t="inlineStr">
        <is>
          <t xml:space="preserve">unbucketed</t>
        </is>
      </c>
      <c r="J1482" s="0" t="inlineStr">
        <is>
          <t xml:space="preserve">residual</t>
        </is>
      </c>
      <c r="K1482" s="5">
        <v>0</v>
      </c>
      <c r="L1482" s="5">
        <v>0</v>
      </c>
      <c r="M1482" s="5">
        <v>0.12792399999999998</v>
      </c>
      <c r="N1482" s="5">
        <v>0.0337285</v>
      </c>
      <c r="O1482" s="5">
        <v>0.0</v>
      </c>
      <c r="P1482" s="5">
        <v>0.0</v>
      </c>
      <c r="Q1482" s="5">
        <v>0.0</v>
      </c>
    </row>
    <row r="1483" outlineLevel="1">
      <c r="B1483" s="0" t="inlineStr">
        <is>
          <t xml:space="preserve">TTM PRINTED CIRCUIT GROUP, LLC</t>
        </is>
      </c>
      <c r="C1483" s="0" t="inlineStr">
        <is>
          <t xml:space="preserve">GZMNALVP4ME3</t>
        </is>
      </c>
      <c r="D1483" s="0" t="inlineStr">
        <is>
          <t xml:space="preserve">-</t>
        </is>
      </c>
      <c r="E1483" s="0" t="inlineStr">
        <is>
          <t xml:space="preserve">-</t>
        </is>
      </c>
      <c r="F1483" s="0" t="inlineStr">
        <is>
          <t xml:space="preserve">-</t>
        </is>
      </c>
      <c r="G1483" s="5">
        <v>0.127896</v>
      </c>
      <c r="H1483" s="0" t="inlineStr">
        <is>
          <t xml:space="preserve">supplier</t>
        </is>
      </c>
      <c r="I1483" s="0" t="inlineStr">
        <is>
          <t xml:space="preserve">unbucketed</t>
        </is>
      </c>
      <c r="J1483" s="0" t="inlineStr">
        <is>
          <t xml:space="preserve">residual</t>
        </is>
      </c>
      <c r="K1483" s="5">
        <v>0</v>
      </c>
      <c r="L1483" s="5">
        <v>0</v>
      </c>
      <c r="M1483" s="5">
        <v>0.0</v>
      </c>
      <c r="N1483" s="5">
        <v>0.0</v>
      </c>
      <c r="O1483" s="5">
        <v>0.0</v>
      </c>
      <c r="P1483" s="5">
        <v>0.0</v>
      </c>
      <c r="Q1483" s="5">
        <v>0.0</v>
      </c>
    </row>
    <row r="1484" outlineLevel="1">
      <c r="B1484" s="0" t="inlineStr">
        <is>
          <t xml:space="preserve">MURPHY WAREHOUSE COMPANY</t>
        </is>
      </c>
      <c r="C1484" s="0" t="inlineStr">
        <is>
          <t xml:space="preserve">T2FBBL2MHN31</t>
        </is>
      </c>
      <c r="D1484" s="0" t="inlineStr">
        <is>
          <t xml:space="preserve">-</t>
        </is>
      </c>
      <c r="E1484" s="0" t="inlineStr">
        <is>
          <t xml:space="preserve">-</t>
        </is>
      </c>
      <c r="F1484" s="0" t="inlineStr">
        <is>
          <t xml:space="preserve">-</t>
        </is>
      </c>
      <c r="G1484" s="5">
        <v>0.126865</v>
      </c>
      <c r="H1484" s="0" t="inlineStr">
        <is>
          <t xml:space="preserve">supplier</t>
        </is>
      </c>
      <c r="I1484" s="0" t="inlineStr">
        <is>
          <t xml:space="preserve">unbucketed</t>
        </is>
      </c>
      <c r="J1484" s="0" t="inlineStr">
        <is>
          <t xml:space="preserve">residual</t>
        </is>
      </c>
      <c r="K1484" s="5">
        <v>0</v>
      </c>
      <c r="L1484" s="5">
        <v>0</v>
      </c>
      <c r="M1484" s="5">
        <v>0.0</v>
      </c>
      <c r="N1484" s="5">
        <v>0.0</v>
      </c>
      <c r="O1484" s="5">
        <v>0.0</v>
      </c>
      <c r="P1484" s="5">
        <v>0.0</v>
      </c>
      <c r="Q1484" s="5">
        <v>0.0</v>
      </c>
    </row>
    <row r="1485" outlineLevel="1">
      <c r="B1485" s="0" t="inlineStr">
        <is>
          <t xml:space="preserve">MEGGITT DEFENSE SYSTEMS, INC.</t>
        </is>
      </c>
      <c r="C1485" s="0" t="inlineStr">
        <is>
          <t xml:space="preserve">T4RCBDVMPVM4</t>
        </is>
      </c>
      <c r="D1485" s="0" t="inlineStr">
        <is>
          <t xml:space="preserve">-</t>
        </is>
      </c>
      <c r="E1485" s="0" t="inlineStr">
        <is>
          <t xml:space="preserve">-</t>
        </is>
      </c>
      <c r="F1485" s="0" t="inlineStr">
        <is>
          <t xml:space="preserve">-</t>
        </is>
      </c>
      <c r="G1485" s="5">
        <v>0.126719</v>
      </c>
      <c r="H1485" s="0" t="inlineStr">
        <is>
          <t xml:space="preserve">supplier</t>
        </is>
      </c>
      <c r="I1485" s="0" t="inlineStr">
        <is>
          <t xml:space="preserve">unbucketed</t>
        </is>
      </c>
      <c r="J1485" s="0" t="inlineStr">
        <is>
          <t xml:space="preserve">residual</t>
        </is>
      </c>
      <c r="K1485" s="5">
        <v>0</v>
      </c>
      <c r="L1485" s="5">
        <v>0</v>
      </c>
      <c r="M1485" s="5">
        <v>0.126719</v>
      </c>
      <c r="N1485" s="5">
        <v>0.055335</v>
      </c>
      <c r="O1485" s="5">
        <v>0.0</v>
      </c>
      <c r="P1485" s="5">
        <v>0.071384</v>
      </c>
      <c r="Q1485" s="5">
        <v>0.0</v>
      </c>
    </row>
    <row r="1486" outlineLevel="1">
      <c r="B1486" s="0" t="inlineStr">
        <is>
          <t xml:space="preserve">HEXAGON AB</t>
        </is>
      </c>
      <c r="C1486" s="0" t="inlineStr">
        <is>
          <t xml:space="preserve">EK4EVQQNEFC6</t>
        </is>
      </c>
      <c r="D1486" s="0" t="inlineStr">
        <is>
          <t xml:space="preserve">-</t>
        </is>
      </c>
      <c r="E1486" s="0" t="inlineStr">
        <is>
          <t xml:space="preserve">-</t>
        </is>
      </c>
      <c r="F1486" s="0" t="inlineStr">
        <is>
          <t xml:space="preserve">-</t>
        </is>
      </c>
      <c r="G1486" s="5">
        <v>0.12621928999999998</v>
      </c>
      <c r="H1486" s="0" t="inlineStr">
        <is>
          <t xml:space="preserve">supplier</t>
        </is>
      </c>
      <c r="I1486" s="0" t="inlineStr">
        <is>
          <t xml:space="preserve">unbucketed</t>
        </is>
      </c>
      <c r="J1486" s="0" t="inlineStr">
        <is>
          <t xml:space="preserve">residual</t>
        </is>
      </c>
      <c r="K1486" s="5">
        <v>0</v>
      </c>
      <c r="L1486" s="5">
        <v>0</v>
      </c>
      <c r="M1486" s="5">
        <v>0.0</v>
      </c>
      <c r="N1486" s="5">
        <v>0.0</v>
      </c>
      <c r="O1486" s="5">
        <v>0.0</v>
      </c>
      <c r="P1486" s="5">
        <v>0.0</v>
      </c>
      <c r="Q1486" s="5">
        <v>0.0</v>
      </c>
    </row>
    <row r="1487" outlineLevel="1">
      <c r="B1487" s="0" t="inlineStr">
        <is>
          <t xml:space="preserve">REXNORD INDUSTRIES, LLC</t>
        </is>
      </c>
      <c r="C1487" s="0" t="inlineStr">
        <is>
          <t xml:space="preserve">N275HH82HAR1</t>
        </is>
      </c>
      <c r="D1487" s="0" t="inlineStr">
        <is>
          <t xml:space="preserve">-</t>
        </is>
      </c>
      <c r="E1487" s="0" t="inlineStr">
        <is>
          <t xml:space="preserve">-</t>
        </is>
      </c>
      <c r="F1487" s="0" t="inlineStr">
        <is>
          <t xml:space="preserve">-</t>
        </is>
      </c>
      <c r="G1487" s="5">
        <v>0.12597760000000002</v>
      </c>
      <c r="H1487" s="0" t="inlineStr">
        <is>
          <t xml:space="preserve">supplier</t>
        </is>
      </c>
      <c r="I1487" s="0" t="inlineStr">
        <is>
          <t xml:space="preserve">unbucketed</t>
        </is>
      </c>
      <c r="J1487" s="0" t="inlineStr">
        <is>
          <t xml:space="preserve">residual</t>
        </is>
      </c>
      <c r="K1487" s="5">
        <v>0</v>
      </c>
      <c r="L1487" s="5">
        <v>0</v>
      </c>
      <c r="M1487" s="5">
        <v>0.0</v>
      </c>
      <c r="N1487" s="5">
        <v>0.0</v>
      </c>
      <c r="O1487" s="5">
        <v>0.0</v>
      </c>
      <c r="P1487" s="5">
        <v>0.0</v>
      </c>
      <c r="Q1487" s="5">
        <v>0.0</v>
      </c>
    </row>
    <row r="1488" outlineLevel="1">
      <c r="B1488" s="0" t="inlineStr">
        <is>
          <t xml:space="preserve">MACHINTEK CO</t>
        </is>
      </c>
      <c r="C1488" s="0" t="inlineStr">
        <is>
          <t xml:space="preserve">GHBNDMFTEGX8</t>
        </is>
      </c>
      <c r="D1488" s="0" t="inlineStr">
        <is>
          <t xml:space="preserve">-</t>
        </is>
      </c>
      <c r="E1488" s="0" t="inlineStr">
        <is>
          <t xml:space="preserve">-</t>
        </is>
      </c>
      <c r="F1488" s="0" t="inlineStr">
        <is>
          <t xml:space="preserve">-</t>
        </is>
      </c>
      <c r="G1488" s="5">
        <v>0.12546822000000002</v>
      </c>
      <c r="H1488" s="0" t="inlineStr">
        <is>
          <t xml:space="preserve">supplier</t>
        </is>
      </c>
      <c r="I1488" s="0" t="inlineStr">
        <is>
          <t xml:space="preserve">unbucketed</t>
        </is>
      </c>
      <c r="J1488" s="0" t="inlineStr">
        <is>
          <t xml:space="preserve">residual</t>
        </is>
      </c>
      <c r="K1488" s="5">
        <v>0</v>
      </c>
      <c r="L1488" s="5">
        <v>0</v>
      </c>
      <c r="M1488" s="5">
        <v>0.0</v>
      </c>
      <c r="N1488" s="5">
        <v>0.0</v>
      </c>
      <c r="O1488" s="5">
        <v>0.0</v>
      </c>
      <c r="P1488" s="5">
        <v>0.0</v>
      </c>
      <c r="Q1488" s="5">
        <v>0.0</v>
      </c>
    </row>
    <row r="1489" outlineLevel="1">
      <c r="B1489" s="0" t="inlineStr">
        <is>
          <t xml:space="preserve">ATI LADISH LLC</t>
        </is>
      </c>
      <c r="C1489" s="0" t="inlineStr">
        <is>
          <t xml:space="preserve">MWCVNKNHLF53</t>
        </is>
      </c>
      <c r="D1489" s="0" t="inlineStr">
        <is>
          <t xml:space="preserve">-</t>
        </is>
      </c>
      <c r="E1489" s="0" t="inlineStr">
        <is>
          <t xml:space="preserve">-</t>
        </is>
      </c>
      <c r="F1489" s="0" t="inlineStr">
        <is>
          <t xml:space="preserve">-</t>
        </is>
      </c>
      <c r="G1489" s="5">
        <v>0.125056</v>
      </c>
      <c r="H1489" s="0" t="inlineStr">
        <is>
          <t xml:space="preserve">supplier</t>
        </is>
      </c>
      <c r="I1489" s="0" t="inlineStr">
        <is>
          <t xml:space="preserve">unbucketed</t>
        </is>
      </c>
      <c r="J1489" s="0" t="inlineStr">
        <is>
          <t xml:space="preserve">residual</t>
        </is>
      </c>
      <c r="K1489" s="5">
        <v>0</v>
      </c>
      <c r="L1489" s="5">
        <v>0</v>
      </c>
      <c r="M1489" s="5">
        <v>0.0</v>
      </c>
      <c r="N1489" s="5">
        <v>0.0</v>
      </c>
      <c r="O1489" s="5">
        <v>0.0</v>
      </c>
      <c r="P1489" s="5">
        <v>0.0</v>
      </c>
      <c r="Q1489" s="5">
        <v>0.0</v>
      </c>
    </row>
    <row r="1490" outlineLevel="1">
      <c r="B1490" s="0" t="inlineStr">
        <is>
          <t xml:space="preserve">SITTA, PAIGE &amp; ASSOCIATES, INC.</t>
        </is>
      </c>
      <c r="C1490" s="0" t="inlineStr">
        <is>
          <t xml:space="preserve">JBXBP1UZWCJ3</t>
        </is>
      </c>
      <c r="D1490" s="0" t="inlineStr">
        <is>
          <t xml:space="preserve">-</t>
        </is>
      </c>
      <c r="E1490" s="0" t="inlineStr">
        <is>
          <t xml:space="preserve">-</t>
        </is>
      </c>
      <c r="F1490" s="0" t="inlineStr">
        <is>
          <t xml:space="preserve">-</t>
        </is>
      </c>
      <c r="G1490" s="5">
        <v>0.12472298000000001</v>
      </c>
      <c r="H1490" s="0" t="inlineStr">
        <is>
          <t xml:space="preserve">supplier</t>
        </is>
      </c>
      <c r="I1490" s="0" t="inlineStr">
        <is>
          <t xml:space="preserve">unbucketed</t>
        </is>
      </c>
      <c r="J1490" s="0" t="inlineStr">
        <is>
          <t xml:space="preserve">residual</t>
        </is>
      </c>
      <c r="K1490" s="5">
        <v>0</v>
      </c>
      <c r="L1490" s="5">
        <v>0</v>
      </c>
      <c r="M1490" s="5">
        <v>0.0</v>
      </c>
      <c r="N1490" s="5">
        <v>0.0</v>
      </c>
      <c r="O1490" s="5">
        <v>0.0</v>
      </c>
      <c r="P1490" s="5">
        <v>0.0</v>
      </c>
      <c r="Q1490" s="5">
        <v>0.0</v>
      </c>
    </row>
    <row r="1491" outlineLevel="1">
      <c r="B1491" s="0" t="inlineStr">
        <is>
          <t xml:space="preserve">KEYSTONE FIRE PROTECTION CO</t>
        </is>
      </c>
      <c r="C1491" s="0" t="inlineStr">
        <is>
          <t xml:space="preserve">KKRXVDJZQ5V5</t>
        </is>
      </c>
      <c r="D1491" s="0" t="inlineStr">
        <is>
          <t xml:space="preserve">-</t>
        </is>
      </c>
      <c r="E1491" s="0" t="inlineStr">
        <is>
          <t xml:space="preserve">-</t>
        </is>
      </c>
      <c r="F1491" s="0" t="inlineStr">
        <is>
          <t xml:space="preserve">-</t>
        </is>
      </c>
      <c r="G1491" s="5">
        <v>0.1243512</v>
      </c>
      <c r="H1491" s="0" t="inlineStr">
        <is>
          <t xml:space="preserve">supplier</t>
        </is>
      </c>
      <c r="I1491" s="0" t="inlineStr">
        <is>
          <t xml:space="preserve">unbucketed</t>
        </is>
      </c>
      <c r="J1491" s="0" t="inlineStr">
        <is>
          <t xml:space="preserve">residual</t>
        </is>
      </c>
      <c r="K1491" s="5">
        <v>0</v>
      </c>
      <c r="L1491" s="5">
        <v>0</v>
      </c>
      <c r="M1491" s="5">
        <v>0.0</v>
      </c>
      <c r="N1491" s="5">
        <v>0.0</v>
      </c>
      <c r="O1491" s="5">
        <v>0.0</v>
      </c>
      <c r="P1491" s="5">
        <v>0.0</v>
      </c>
      <c r="Q1491" s="5">
        <v>0.0</v>
      </c>
    </row>
    <row r="1492" outlineLevel="1">
      <c r="B1492" s="0" t="inlineStr">
        <is>
          <t xml:space="preserve">PARKER-HANNIFIN CORPORATION</t>
        </is>
      </c>
      <c r="C1492" s="0" t="inlineStr">
        <is>
          <t xml:space="preserve">QYKAR7MJJXL7</t>
        </is>
      </c>
      <c r="D1492" s="0" t="inlineStr">
        <is>
          <t xml:space="preserve">-</t>
        </is>
      </c>
      <c r="E1492" s="0" t="inlineStr">
        <is>
          <t xml:space="preserve">-</t>
        </is>
      </c>
      <c r="F1492" s="0" t="inlineStr">
        <is>
          <t xml:space="preserve">-</t>
        </is>
      </c>
      <c r="G1492" s="5">
        <v>0.12403700000000001</v>
      </c>
      <c r="H1492" s="0" t="inlineStr">
        <is>
          <t xml:space="preserve">supplier</t>
        </is>
      </c>
      <c r="I1492" s="0" t="inlineStr">
        <is>
          <t xml:space="preserve">unbucketed</t>
        </is>
      </c>
      <c r="J1492" s="0" t="inlineStr">
        <is>
          <t xml:space="preserve">residual</t>
        </is>
      </c>
      <c r="K1492" s="5">
        <v>0</v>
      </c>
      <c r="L1492" s="5">
        <v>0</v>
      </c>
      <c r="M1492" s="5">
        <v>0.12403700000000001</v>
      </c>
      <c r="N1492" s="5">
        <v>0.0</v>
      </c>
      <c r="O1492" s="5">
        <v>0.0</v>
      </c>
      <c r="P1492" s="5">
        <v>0.0</v>
      </c>
      <c r="Q1492" s="5">
        <v>0.042579</v>
      </c>
    </row>
    <row r="1493" outlineLevel="1">
      <c r="B1493" s="0" t="inlineStr">
        <is>
          <t xml:space="preserve">FERGUSON HOLDINGS LIMITED</t>
        </is>
      </c>
      <c r="C1493" s="0" t="inlineStr">
        <is>
          <t xml:space="preserve">G3UJV497QGU3</t>
        </is>
      </c>
      <c r="D1493" s="0" t="inlineStr">
        <is>
          <t xml:space="preserve">-</t>
        </is>
      </c>
      <c r="E1493" s="0" t="inlineStr">
        <is>
          <t xml:space="preserve">-</t>
        </is>
      </c>
      <c r="F1493" s="0" t="inlineStr">
        <is>
          <t xml:space="preserve">-</t>
        </is>
      </c>
      <c r="G1493" s="5">
        <v>0.123537</v>
      </c>
      <c r="H1493" s="0" t="inlineStr">
        <is>
          <t xml:space="preserve">supplier</t>
        </is>
      </c>
      <c r="I1493" s="0" t="inlineStr">
        <is>
          <t xml:space="preserve">unbucketed</t>
        </is>
      </c>
      <c r="J1493" s="0" t="inlineStr">
        <is>
          <t xml:space="preserve">residual</t>
        </is>
      </c>
      <c r="K1493" s="5">
        <v>0</v>
      </c>
      <c r="L1493" s="5">
        <v>0</v>
      </c>
      <c r="M1493" s="5">
        <v>0.0</v>
      </c>
      <c r="N1493" s="5">
        <v>0.0</v>
      </c>
      <c r="O1493" s="5">
        <v>0.0</v>
      </c>
      <c r="P1493" s="5">
        <v>0.0</v>
      </c>
      <c r="Q1493" s="5">
        <v>0.0</v>
      </c>
    </row>
    <row r="1494" outlineLevel="1">
      <c r="B1494" s="0" t="inlineStr">
        <is>
          <t xml:space="preserve">PRECISION GRINDING &amp; MANUFACTURING CORP</t>
        </is>
      </c>
      <c r="C1494" s="0" t="inlineStr">
        <is>
          <t xml:space="preserve">QEB1F43QCFD7</t>
        </is>
      </c>
      <c r="D1494" s="0" t="inlineStr">
        <is>
          <t xml:space="preserve">-</t>
        </is>
      </c>
      <c r="E1494" s="0" t="inlineStr">
        <is>
          <t xml:space="preserve">-</t>
        </is>
      </c>
      <c r="F1494" s="0" t="inlineStr">
        <is>
          <t xml:space="preserve">-</t>
        </is>
      </c>
      <c r="G1494" s="5">
        <v>0.123536</v>
      </c>
      <c r="H1494" s="0" t="inlineStr">
        <is>
          <t xml:space="preserve">supplier</t>
        </is>
      </c>
      <c r="I1494" s="0" t="inlineStr">
        <is>
          <t xml:space="preserve">unbucketed</t>
        </is>
      </c>
      <c r="J1494" s="0" t="inlineStr">
        <is>
          <t xml:space="preserve">residual</t>
        </is>
      </c>
      <c r="K1494" s="5">
        <v>0</v>
      </c>
      <c r="L1494" s="5">
        <v>0</v>
      </c>
      <c r="M1494" s="5">
        <v>0.0</v>
      </c>
      <c r="N1494" s="5">
        <v>0.0</v>
      </c>
      <c r="O1494" s="5">
        <v>0.0</v>
      </c>
      <c r="P1494" s="5">
        <v>0.0</v>
      </c>
      <c r="Q1494" s="5">
        <v>0.0</v>
      </c>
    </row>
    <row r="1495" outlineLevel="1">
      <c r="B1495" s="0" t="inlineStr">
        <is>
          <t xml:space="preserve">MATHESON SERVICES LIMITED</t>
        </is>
      </c>
      <c r="C1495" s="0" t="inlineStr">
        <is>
          <t xml:space="preserve">PUZ1NCWDC719</t>
        </is>
      </c>
      <c r="D1495" s="0" t="inlineStr">
        <is>
          <t xml:space="preserve">-</t>
        </is>
      </c>
      <c r="E1495" s="0" t="inlineStr">
        <is>
          <t xml:space="preserve">-</t>
        </is>
      </c>
      <c r="F1495" s="0" t="inlineStr">
        <is>
          <t xml:space="preserve">-</t>
        </is>
      </c>
      <c r="G1495" s="5">
        <v>0.123484</v>
      </c>
      <c r="H1495" s="0" t="inlineStr">
        <is>
          <t xml:space="preserve">supplier</t>
        </is>
      </c>
      <c r="I1495" s="0" t="inlineStr">
        <is>
          <t xml:space="preserve">unbucketed</t>
        </is>
      </c>
      <c r="J1495" s="0" t="inlineStr">
        <is>
          <t xml:space="preserve">residual</t>
        </is>
      </c>
      <c r="K1495" s="5">
        <v>0</v>
      </c>
      <c r="L1495" s="5">
        <v>0</v>
      </c>
      <c r="M1495" s="5">
        <v>0.0</v>
      </c>
      <c r="N1495" s="5">
        <v>0.0</v>
      </c>
      <c r="O1495" s="5">
        <v>0.0</v>
      </c>
      <c r="P1495" s="5">
        <v>0.0</v>
      </c>
      <c r="Q1495" s="5">
        <v>0.0</v>
      </c>
    </row>
    <row r="1496" outlineLevel="1">
      <c r="B1496" s="0" t="inlineStr">
        <is>
          <t xml:space="preserve">THE INDIUM CORP OF AMERICA</t>
        </is>
      </c>
      <c r="C1496" s="0" t="inlineStr">
        <is>
          <t xml:space="preserve">MVJ8VFHHZ9J1</t>
        </is>
      </c>
      <c r="D1496" s="0" t="inlineStr">
        <is>
          <t xml:space="preserve">-</t>
        </is>
      </c>
      <c r="E1496" s="0" t="inlineStr">
        <is>
          <t xml:space="preserve">-</t>
        </is>
      </c>
      <c r="F1496" s="0" t="inlineStr">
        <is>
          <t xml:space="preserve">-</t>
        </is>
      </c>
      <c r="G1496" s="5">
        <v>0.123229</v>
      </c>
      <c r="H1496" s="0" t="inlineStr">
        <is>
          <t xml:space="preserve">supplier</t>
        </is>
      </c>
      <c r="I1496" s="0" t="inlineStr">
        <is>
          <t xml:space="preserve">unbucketed</t>
        </is>
      </c>
      <c r="J1496" s="0" t="inlineStr">
        <is>
          <t xml:space="preserve">residual</t>
        </is>
      </c>
      <c r="K1496" s="5">
        <v>0</v>
      </c>
      <c r="L1496" s="5">
        <v>0</v>
      </c>
      <c r="M1496" s="5">
        <v>0.0</v>
      </c>
      <c r="N1496" s="5">
        <v>0.0</v>
      </c>
      <c r="O1496" s="5">
        <v>0.0</v>
      </c>
      <c r="P1496" s="5">
        <v>0.0</v>
      </c>
      <c r="Q1496" s="5">
        <v>0.0</v>
      </c>
    </row>
    <row r="1497" outlineLevel="1">
      <c r="B1497" s="0" t="inlineStr">
        <is>
          <t xml:space="preserve">ALTRA INDUSTRIAL MOTION CORP.</t>
        </is>
      </c>
      <c r="C1497" s="0" t="inlineStr">
        <is>
          <t xml:space="preserve">XTMGLQE33CZ8</t>
        </is>
      </c>
      <c r="D1497" s="0" t="inlineStr">
        <is>
          <t xml:space="preserve">USA</t>
        </is>
      </c>
      <c r="E1497" s="0" t="inlineStr">
        <is>
          <t xml:space="preserve">5511</t>
        </is>
      </c>
      <c r="F1497" s="0" t="inlineStr">
        <is>
          <t xml:space="preserve">Corporate, Subsidiary, and Regional Managing Offices</t>
        </is>
      </c>
      <c r="G1497" s="5">
        <v>0.12300861</v>
      </c>
      <c r="H1497" s="0" t="inlineStr">
        <is>
          <t xml:space="preserve">holding</t>
        </is>
      </c>
      <c r="I1497" s="0" t="inlineStr">
        <is>
          <t xml:space="preserve">-</t>
        </is>
      </c>
      <c r="J1497" s="0" t="inlineStr">
        <is>
          <t xml:space="preserve">holding-co (5511)</t>
        </is>
      </c>
      <c r="K1497" s="5">
        <v>0</v>
      </c>
      <c r="L1497" s="5">
        <v>0</v>
      </c>
      <c r="M1497" s="5">
        <v>0.0</v>
      </c>
      <c r="N1497" s="5">
        <v>0.0</v>
      </c>
      <c r="O1497" s="5">
        <v>0.0</v>
      </c>
      <c r="P1497" s="5">
        <v>0.0</v>
      </c>
      <c r="Q1497" s="5">
        <v>0.0</v>
      </c>
    </row>
    <row r="1498" outlineLevel="1">
      <c r="B1498" s="0" t="inlineStr">
        <is>
          <t xml:space="preserve">BERKSHIRE HATHAWAY INC.</t>
        </is>
      </c>
      <c r="C1498" s="0" t="inlineStr">
        <is>
          <t xml:space="preserve">LMYZVK7K5MH5</t>
        </is>
      </c>
      <c r="D1498" s="0" t="inlineStr">
        <is>
          <t xml:space="preserve">USA</t>
        </is>
      </c>
      <c r="E1498" s="0" t="inlineStr">
        <is>
          <t xml:space="preserve">5511</t>
        </is>
      </c>
      <c r="F1498" s="0" t="inlineStr">
        <is>
          <t xml:space="preserve">Offices of Other Holding Companies</t>
        </is>
      </c>
      <c r="G1498" s="5">
        <v>0.122568</v>
      </c>
      <c r="H1498" s="0" t="inlineStr">
        <is>
          <t xml:space="preserve">holding</t>
        </is>
      </c>
      <c r="I1498" s="0" t="inlineStr">
        <is>
          <t xml:space="preserve">-</t>
        </is>
      </c>
      <c r="J1498" s="0" t="inlineStr">
        <is>
          <t xml:space="preserve">holding-co (5511)</t>
        </is>
      </c>
      <c r="K1498" s="5">
        <v>0</v>
      </c>
      <c r="L1498" s="5">
        <v>0</v>
      </c>
      <c r="M1498" s="5">
        <v>0.0</v>
      </c>
      <c r="N1498" s="5">
        <v>0.0</v>
      </c>
      <c r="O1498" s="5">
        <v>0.0</v>
      </c>
      <c r="P1498" s="5">
        <v>0.0</v>
      </c>
      <c r="Q1498" s="5">
        <v>0.0</v>
      </c>
    </row>
    <row r="1499" outlineLevel="1">
      <c r="B1499" s="0" t="inlineStr">
        <is>
          <t xml:space="preserve">WELCO ELECTRONICS INCORPORATED</t>
        </is>
      </c>
      <c r="C1499" s="0" t="inlineStr">
        <is>
          <t xml:space="preserve">HCMCF9N19ZE7</t>
        </is>
      </c>
      <c r="D1499" s="0" t="inlineStr">
        <is>
          <t xml:space="preserve">-</t>
        </is>
      </c>
      <c r="E1499" s="0" t="inlineStr">
        <is>
          <t xml:space="preserve">-</t>
        </is>
      </c>
      <c r="F1499" s="0" t="inlineStr">
        <is>
          <t xml:space="preserve">-</t>
        </is>
      </c>
      <c r="G1499" s="5">
        <v>0.12254025</v>
      </c>
      <c r="H1499" s="0" t="inlineStr">
        <is>
          <t xml:space="preserve">supplier</t>
        </is>
      </c>
      <c r="I1499" s="0" t="inlineStr">
        <is>
          <t xml:space="preserve">unbucketed</t>
        </is>
      </c>
      <c r="J1499" s="0" t="inlineStr">
        <is>
          <t xml:space="preserve">residual</t>
        </is>
      </c>
      <c r="K1499" s="5">
        <v>0</v>
      </c>
      <c r="L1499" s="5">
        <v>0</v>
      </c>
      <c r="M1499" s="5">
        <v>0.0</v>
      </c>
      <c r="N1499" s="5">
        <v>0.0</v>
      </c>
      <c r="O1499" s="5">
        <v>0.0</v>
      </c>
      <c r="P1499" s="5">
        <v>0.0</v>
      </c>
      <c r="Q1499" s="5">
        <v>0.0</v>
      </c>
    </row>
    <row r="1500" outlineLevel="1">
      <c r="B1500" s="0" t="inlineStr">
        <is>
          <t xml:space="preserve">SHILOH INDUSTRIES, INC.</t>
        </is>
      </c>
      <c r="C1500" s="0" t="inlineStr">
        <is>
          <t xml:space="preserve">W6SWKAS2DBE5</t>
        </is>
      </c>
      <c r="D1500" s="0" t="inlineStr">
        <is>
          <t xml:space="preserve">-</t>
        </is>
      </c>
      <c r="E1500" s="0" t="inlineStr">
        <is>
          <t xml:space="preserve">-</t>
        </is>
      </c>
      <c r="F1500" s="0" t="inlineStr">
        <is>
          <t xml:space="preserve">-</t>
        </is>
      </c>
      <c r="G1500" s="5">
        <v>0.12253400000000002</v>
      </c>
      <c r="H1500" s="0" t="inlineStr">
        <is>
          <t xml:space="preserve">supplier</t>
        </is>
      </c>
      <c r="I1500" s="0" t="inlineStr">
        <is>
          <t xml:space="preserve">unbucketed</t>
        </is>
      </c>
      <c r="J1500" s="0" t="inlineStr">
        <is>
          <t xml:space="preserve">residual</t>
        </is>
      </c>
      <c r="K1500" s="5">
        <v>0</v>
      </c>
      <c r="L1500" s="5">
        <v>0</v>
      </c>
      <c r="M1500" s="5">
        <v>0.0</v>
      </c>
      <c r="N1500" s="5">
        <v>0.0</v>
      </c>
      <c r="O1500" s="5">
        <v>0.0</v>
      </c>
      <c r="P1500" s="5">
        <v>0.0</v>
      </c>
      <c r="Q1500" s="5">
        <v>0.0</v>
      </c>
    </row>
    <row r="1501" outlineLevel="1">
      <c r="B1501" s="0" t="inlineStr">
        <is>
          <t xml:space="preserve">H. M. CRAGG CO.</t>
        </is>
      </c>
      <c r="C1501" s="0" t="inlineStr">
        <is>
          <t xml:space="preserve">UV1TAZREC7S7</t>
        </is>
      </c>
      <c r="D1501" s="0" t="inlineStr">
        <is>
          <t xml:space="preserve">-</t>
        </is>
      </c>
      <c r="E1501" s="0" t="inlineStr">
        <is>
          <t xml:space="preserve">-</t>
        </is>
      </c>
      <c r="F1501" s="0" t="inlineStr">
        <is>
          <t xml:space="preserve">-</t>
        </is>
      </c>
      <c r="G1501" s="5">
        <v>0.12205232</v>
      </c>
      <c r="H1501" s="0" t="inlineStr">
        <is>
          <t xml:space="preserve">supplier</t>
        </is>
      </c>
      <c r="I1501" s="0" t="inlineStr">
        <is>
          <t xml:space="preserve">unbucketed</t>
        </is>
      </c>
      <c r="J1501" s="0" t="inlineStr">
        <is>
          <t xml:space="preserve">residual</t>
        </is>
      </c>
      <c r="K1501" s="5">
        <v>0</v>
      </c>
      <c r="L1501" s="5">
        <v>0</v>
      </c>
      <c r="M1501" s="5">
        <v>0.0</v>
      </c>
      <c r="N1501" s="5">
        <v>0.0</v>
      </c>
      <c r="O1501" s="5">
        <v>0.0</v>
      </c>
      <c r="P1501" s="5">
        <v>0.0</v>
      </c>
      <c r="Q1501" s="5">
        <v>0.0</v>
      </c>
    </row>
    <row r="1502" outlineLevel="1">
      <c r="B1502" s="0" t="inlineStr">
        <is>
          <t xml:space="preserve">BOB TURNER'S CRANE SERVICE INCORPORATED</t>
        </is>
      </c>
      <c r="C1502" s="0" t="inlineStr">
        <is>
          <t xml:space="preserve">YHCKC93MG135</t>
        </is>
      </c>
      <c r="D1502" s="0" t="inlineStr">
        <is>
          <t xml:space="preserve">-</t>
        </is>
      </c>
      <c r="E1502" s="0" t="inlineStr">
        <is>
          <t xml:space="preserve">-</t>
        </is>
      </c>
      <c r="F1502" s="0" t="inlineStr">
        <is>
          <t xml:space="preserve">-</t>
        </is>
      </c>
      <c r="G1502" s="5">
        <v>0.12158200000000001</v>
      </c>
      <c r="H1502" s="0" t="inlineStr">
        <is>
          <t xml:space="preserve">supplier</t>
        </is>
      </c>
      <c r="I1502" s="0" t="inlineStr">
        <is>
          <t xml:space="preserve">unbucketed</t>
        </is>
      </c>
      <c r="J1502" s="0" t="inlineStr">
        <is>
          <t xml:space="preserve">residual</t>
        </is>
      </c>
      <c r="K1502" s="5">
        <v>0</v>
      </c>
      <c r="L1502" s="5">
        <v>0</v>
      </c>
      <c r="M1502" s="5">
        <v>0.0</v>
      </c>
      <c r="N1502" s="5">
        <v>0.0</v>
      </c>
      <c r="O1502" s="5">
        <v>0.0</v>
      </c>
      <c r="P1502" s="5">
        <v>0.0</v>
      </c>
      <c r="Q1502" s="5">
        <v>0.0</v>
      </c>
    </row>
    <row r="1503" outlineLevel="1">
      <c r="B1503" s="0" t="inlineStr">
        <is>
          <t xml:space="preserve">ESTERLINE TECHNOLOGIES CORP</t>
        </is>
      </c>
      <c r="C1503" s="0" t="inlineStr">
        <is>
          <t xml:space="preserve">XRN4L5GSHNJ5</t>
        </is>
      </c>
      <c r="D1503" s="0" t="inlineStr">
        <is>
          <t xml:space="preserve">-</t>
        </is>
      </c>
      <c r="E1503" s="0" t="inlineStr">
        <is>
          <t xml:space="preserve">-</t>
        </is>
      </c>
      <c r="F1503" s="0" t="inlineStr">
        <is>
          <t xml:space="preserve">-</t>
        </is>
      </c>
      <c r="G1503" s="5">
        <v>0.12091093</v>
      </c>
      <c r="H1503" s="0" t="inlineStr">
        <is>
          <t xml:space="preserve">supplier</t>
        </is>
      </c>
      <c r="I1503" s="0" t="inlineStr">
        <is>
          <t xml:space="preserve">unbucketed</t>
        </is>
      </c>
      <c r="J1503" s="0" t="inlineStr">
        <is>
          <t xml:space="preserve">residual</t>
        </is>
      </c>
      <c r="K1503" s="5">
        <v>0</v>
      </c>
      <c r="L1503" s="5">
        <v>0</v>
      </c>
      <c r="M1503" s="5">
        <v>0.0</v>
      </c>
      <c r="N1503" s="5">
        <v>0.0</v>
      </c>
      <c r="O1503" s="5">
        <v>0.0</v>
      </c>
      <c r="P1503" s="5">
        <v>0.0</v>
      </c>
      <c r="Q1503" s="5">
        <v>0.0</v>
      </c>
    </row>
    <row r="1504" outlineLevel="1">
      <c r="B1504" s="0" t="inlineStr">
        <is>
          <t xml:space="preserve">ATF AEROSPACE LLC</t>
        </is>
      </c>
      <c r="C1504" s="0" t="inlineStr">
        <is>
          <t xml:space="preserve">SKP7U7LZMV41</t>
        </is>
      </c>
      <c r="D1504" s="0" t="inlineStr">
        <is>
          <t xml:space="preserve">-</t>
        </is>
      </c>
      <c r="E1504" s="0" t="inlineStr">
        <is>
          <t xml:space="preserve">-</t>
        </is>
      </c>
      <c r="F1504" s="0" t="inlineStr">
        <is>
          <t xml:space="preserve">-</t>
        </is>
      </c>
      <c r="G1504" s="5">
        <v>0.12000240000000001</v>
      </c>
      <c r="H1504" s="0" t="inlineStr">
        <is>
          <t xml:space="preserve">supplier</t>
        </is>
      </c>
      <c r="I1504" s="0" t="inlineStr">
        <is>
          <t xml:space="preserve">unbucketed</t>
        </is>
      </c>
      <c r="J1504" s="0" t="inlineStr">
        <is>
          <t xml:space="preserve">residual</t>
        </is>
      </c>
      <c r="K1504" s="5">
        <v>0</v>
      </c>
      <c r="L1504" s="5">
        <v>0</v>
      </c>
      <c r="M1504" s="5">
        <v>0.0</v>
      </c>
      <c r="N1504" s="5">
        <v>0.0</v>
      </c>
      <c r="O1504" s="5">
        <v>0.0</v>
      </c>
      <c r="P1504" s="5">
        <v>0.0</v>
      </c>
      <c r="Q1504" s="5">
        <v>0.0</v>
      </c>
    </row>
    <row r="1505" outlineLevel="1">
      <c r="B1505" s="0" t="inlineStr">
        <is>
          <t xml:space="preserve">ANNA HOLDING AG</t>
        </is>
      </c>
      <c r="C1505" s="0" t="inlineStr">
        <is>
          <t xml:space="preserve">H9ZKFPSK9PK1</t>
        </is>
      </c>
      <c r="D1505" s="0" t="inlineStr">
        <is>
          <t xml:space="preserve">-</t>
        </is>
      </c>
      <c r="E1505" s="0" t="inlineStr">
        <is>
          <t xml:space="preserve">-</t>
        </is>
      </c>
      <c r="F1505" s="0" t="inlineStr">
        <is>
          <t xml:space="preserve">-</t>
        </is>
      </c>
      <c r="G1505" s="5">
        <v>0.12</v>
      </c>
      <c r="H1505" s="0" t="inlineStr">
        <is>
          <t xml:space="preserve">supplier</t>
        </is>
      </c>
      <c r="I1505" s="0" t="inlineStr">
        <is>
          <t xml:space="preserve">unbucketed</t>
        </is>
      </c>
      <c r="J1505" s="0" t="inlineStr">
        <is>
          <t xml:space="preserve">residual</t>
        </is>
      </c>
      <c r="K1505" s="5">
        <v>0</v>
      </c>
      <c r="L1505" s="5">
        <v>0</v>
      </c>
      <c r="M1505" s="5">
        <v>0.0</v>
      </c>
      <c r="N1505" s="5">
        <v>0.0</v>
      </c>
      <c r="O1505" s="5">
        <v>0.0</v>
      </c>
      <c r="P1505" s="5">
        <v>0.0</v>
      </c>
      <c r="Q1505" s="5">
        <v>0.0</v>
      </c>
    </row>
    <row r="1506" outlineLevel="1">
      <c r="B1506" s="0" t="inlineStr">
        <is>
          <t xml:space="preserve">KAYDON CORPORATION</t>
        </is>
      </c>
      <c r="C1506" s="0" t="inlineStr">
        <is>
          <t xml:space="preserve">HYE2BEDQHM44</t>
        </is>
      </c>
      <c r="D1506" s="0" t="inlineStr">
        <is>
          <t xml:space="preserve">-</t>
        </is>
      </c>
      <c r="E1506" s="0" t="inlineStr">
        <is>
          <t xml:space="preserve">-</t>
        </is>
      </c>
      <c r="F1506" s="0" t="inlineStr">
        <is>
          <t xml:space="preserve">-</t>
        </is>
      </c>
      <c r="G1506" s="5">
        <v>0.11993605</v>
      </c>
      <c r="H1506" s="0" t="inlineStr">
        <is>
          <t xml:space="preserve">supplier</t>
        </is>
      </c>
      <c r="I1506" s="0" t="inlineStr">
        <is>
          <t xml:space="preserve">unbucketed</t>
        </is>
      </c>
      <c r="J1506" s="0" t="inlineStr">
        <is>
          <t xml:space="preserve">residual</t>
        </is>
      </c>
      <c r="K1506" s="5">
        <v>0</v>
      </c>
      <c r="L1506" s="5">
        <v>0</v>
      </c>
      <c r="M1506" s="5">
        <v>0.0</v>
      </c>
      <c r="N1506" s="5">
        <v>0.0</v>
      </c>
      <c r="O1506" s="5">
        <v>0.0</v>
      </c>
      <c r="P1506" s="5">
        <v>0.0</v>
      </c>
      <c r="Q1506" s="5">
        <v>0.0</v>
      </c>
    </row>
    <row r="1507" outlineLevel="1">
      <c r="B1507" s="0" t="inlineStr">
        <is>
          <t xml:space="preserve">KOLLMORGEN CORP</t>
        </is>
      </c>
      <c r="C1507" s="0" t="inlineStr">
        <is>
          <t xml:space="preserve">EXKBGDDB8ME9</t>
        </is>
      </c>
      <c r="D1507" s="0" t="inlineStr">
        <is>
          <t xml:space="preserve">-</t>
        </is>
      </c>
      <c r="E1507" s="0" t="inlineStr">
        <is>
          <t xml:space="preserve">-</t>
        </is>
      </c>
      <c r="F1507" s="0" t="inlineStr">
        <is>
          <t xml:space="preserve">-</t>
        </is>
      </c>
      <c r="G1507" s="5">
        <v>0.119675</v>
      </c>
      <c r="H1507" s="0" t="inlineStr">
        <is>
          <t xml:space="preserve">supplier</t>
        </is>
      </c>
      <c r="I1507" s="0" t="inlineStr">
        <is>
          <t xml:space="preserve">unbucketed</t>
        </is>
      </c>
      <c r="J1507" s="0" t="inlineStr">
        <is>
          <t xml:space="preserve">residual</t>
        </is>
      </c>
      <c r="K1507" s="5">
        <v>0</v>
      </c>
      <c r="L1507" s="5">
        <v>0</v>
      </c>
      <c r="M1507" s="5">
        <v>0.0</v>
      </c>
      <c r="N1507" s="5">
        <v>0.0</v>
      </c>
      <c r="O1507" s="5">
        <v>0.0</v>
      </c>
      <c r="P1507" s="5">
        <v>0.0</v>
      </c>
      <c r="Q1507" s="5">
        <v>0.0</v>
      </c>
    </row>
    <row r="1508" outlineLevel="1">
      <c r="B1508" s="0" t="inlineStr">
        <is>
          <t xml:space="preserve">UIP INTERNATIONAL LLC</t>
        </is>
      </c>
      <c r="C1508" s="0" t="inlineStr">
        <is>
          <t xml:space="preserve">L6EMG925NF78</t>
        </is>
      </c>
      <c r="D1508" s="0" t="inlineStr">
        <is>
          <t xml:space="preserve">-</t>
        </is>
      </c>
      <c r="E1508" s="0" t="inlineStr">
        <is>
          <t xml:space="preserve">-</t>
        </is>
      </c>
      <c r="F1508" s="0" t="inlineStr">
        <is>
          <t xml:space="preserve">-</t>
        </is>
      </c>
      <c r="G1508" s="5">
        <v>0.119527</v>
      </c>
      <c r="H1508" s="0" t="inlineStr">
        <is>
          <t xml:space="preserve">supplier</t>
        </is>
      </c>
      <c r="I1508" s="0" t="inlineStr">
        <is>
          <t xml:space="preserve">unbucketed</t>
        </is>
      </c>
      <c r="J1508" s="0" t="inlineStr">
        <is>
          <t xml:space="preserve">residual</t>
        </is>
      </c>
      <c r="K1508" s="5">
        <v>0</v>
      </c>
      <c r="L1508" s="5">
        <v>0</v>
      </c>
      <c r="M1508" s="5">
        <v>0.119527</v>
      </c>
      <c r="N1508" s="5">
        <v>0.0</v>
      </c>
      <c r="O1508" s="5">
        <v>0.0</v>
      </c>
      <c r="P1508" s="5">
        <v>0.0</v>
      </c>
      <c r="Q1508" s="5">
        <v>0.034536</v>
      </c>
    </row>
    <row r="1509" outlineLevel="1">
      <c r="B1509" s="0" t="inlineStr">
        <is>
          <t xml:space="preserve">CORLAND CO.</t>
        </is>
      </c>
      <c r="C1509" s="0" t="inlineStr">
        <is>
          <t xml:space="preserve">L33CDLJCPFC6</t>
        </is>
      </c>
      <c r="D1509" s="0" t="inlineStr">
        <is>
          <t xml:space="preserve">-</t>
        </is>
      </c>
      <c r="E1509" s="0" t="inlineStr">
        <is>
          <t xml:space="preserve">-</t>
        </is>
      </c>
      <c r="F1509" s="0" t="inlineStr">
        <is>
          <t xml:space="preserve">-</t>
        </is>
      </c>
      <c r="G1509" s="5">
        <v>0.119478</v>
      </c>
      <c r="H1509" s="0" t="inlineStr">
        <is>
          <t xml:space="preserve">supplier</t>
        </is>
      </c>
      <c r="I1509" s="0" t="inlineStr">
        <is>
          <t xml:space="preserve">unbucketed</t>
        </is>
      </c>
      <c r="J1509" s="0" t="inlineStr">
        <is>
          <t xml:space="preserve">residual</t>
        </is>
      </c>
      <c r="K1509" s="5">
        <v>0</v>
      </c>
      <c r="L1509" s="5">
        <v>0</v>
      </c>
      <c r="M1509" s="5">
        <v>0.0</v>
      </c>
      <c r="N1509" s="5">
        <v>0.0</v>
      </c>
      <c r="O1509" s="5">
        <v>0.0</v>
      </c>
      <c r="P1509" s="5">
        <v>0.0</v>
      </c>
      <c r="Q1509" s="5">
        <v>0.0</v>
      </c>
    </row>
    <row r="1510" outlineLevel="1">
      <c r="B1510" s="0" t="inlineStr">
        <is>
          <t xml:space="preserve">CADRE HOLDINGS, INC.</t>
        </is>
      </c>
      <c r="C1510" s="0" t="inlineStr">
        <is>
          <t xml:space="preserve">VJSTD8U7QBD9</t>
        </is>
      </c>
      <c r="D1510" s="0" t="inlineStr">
        <is>
          <t xml:space="preserve">-</t>
        </is>
      </c>
      <c r="E1510" s="0" t="inlineStr">
        <is>
          <t xml:space="preserve">-</t>
        </is>
      </c>
      <c r="F1510" s="0" t="inlineStr">
        <is>
          <t xml:space="preserve">-</t>
        </is>
      </c>
      <c r="G1510" s="5">
        <v>0.119448</v>
      </c>
      <c r="H1510" s="0" t="inlineStr">
        <is>
          <t xml:space="preserve">supplier</t>
        </is>
      </c>
      <c r="I1510" s="0" t="inlineStr">
        <is>
          <t xml:space="preserve">unbucketed</t>
        </is>
      </c>
      <c r="J1510" s="0" t="inlineStr">
        <is>
          <t xml:space="preserve">residual</t>
        </is>
      </c>
      <c r="K1510" s="5">
        <v>0</v>
      </c>
      <c r="L1510" s="5">
        <v>0</v>
      </c>
      <c r="M1510" s="5">
        <v>0.119448</v>
      </c>
      <c r="N1510" s="5">
        <v>0.055764</v>
      </c>
      <c r="O1510" s="5">
        <v>0.0</v>
      </c>
      <c r="P1510" s="5">
        <v>0.0</v>
      </c>
      <c r="Q1510" s="5">
        <v>0.063684</v>
      </c>
    </row>
    <row r="1511" outlineLevel="1">
      <c r="B1511" s="0" t="inlineStr">
        <is>
          <t xml:space="preserve">ENERGY MACHINERY, INC.</t>
        </is>
      </c>
      <c r="C1511" s="0" t="inlineStr">
        <is>
          <t xml:space="preserve">XR3UT8BLTKP7</t>
        </is>
      </c>
      <c r="D1511" s="0" t="inlineStr">
        <is>
          <t xml:space="preserve">-</t>
        </is>
      </c>
      <c r="E1511" s="0" t="inlineStr">
        <is>
          <t xml:space="preserve">-</t>
        </is>
      </c>
      <c r="F1511" s="0" t="inlineStr">
        <is>
          <t xml:space="preserve">-</t>
        </is>
      </c>
      <c r="G1511" s="5">
        <v>0.119184</v>
      </c>
      <c r="H1511" s="0" t="inlineStr">
        <is>
          <t xml:space="preserve">supplier</t>
        </is>
      </c>
      <c r="I1511" s="0" t="inlineStr">
        <is>
          <t xml:space="preserve">unbucketed</t>
        </is>
      </c>
      <c r="J1511" s="0" t="inlineStr">
        <is>
          <t xml:space="preserve">residual</t>
        </is>
      </c>
      <c r="K1511" s="5">
        <v>0</v>
      </c>
      <c r="L1511" s="5">
        <v>0</v>
      </c>
      <c r="M1511" s="5">
        <v>0.119184</v>
      </c>
      <c r="N1511" s="5">
        <v>0.0</v>
      </c>
      <c r="O1511" s="5">
        <v>0.119184</v>
      </c>
      <c r="P1511" s="5">
        <v>0.0</v>
      </c>
      <c r="Q1511" s="5">
        <v>0.0</v>
      </c>
    </row>
    <row r="1512" outlineLevel="1">
      <c r="B1512" s="0" t="inlineStr">
        <is>
          <t xml:space="preserve">PARKER-HANNIFIN CORPORATION</t>
        </is>
      </c>
      <c r="C1512" s="0" t="inlineStr">
        <is>
          <t xml:space="preserve">QF82VVEDYFC3</t>
        </is>
      </c>
      <c r="D1512" s="0" t="inlineStr">
        <is>
          <t xml:space="preserve">USA</t>
        </is>
      </c>
      <c r="E1512" s="0" t="inlineStr">
        <is>
          <t xml:space="preserve">5511</t>
        </is>
      </c>
      <c r="F1512" s="0" t="inlineStr">
        <is>
          <t xml:space="preserve">Corporate, Subsidiary, and Regional Managing Offices</t>
        </is>
      </c>
      <c r="G1512" s="5">
        <v>0.11904848</v>
      </c>
      <c r="H1512" s="0" t="inlineStr">
        <is>
          <t xml:space="preserve">holding</t>
        </is>
      </c>
      <c r="I1512" s="0" t="inlineStr">
        <is>
          <t xml:space="preserve">-</t>
        </is>
      </c>
      <c r="J1512" s="0" t="inlineStr">
        <is>
          <t xml:space="preserve">holding-co (5511)</t>
        </is>
      </c>
      <c r="K1512" s="5">
        <v>0</v>
      </c>
      <c r="L1512" s="5">
        <v>0</v>
      </c>
      <c r="M1512" s="5">
        <v>0.0</v>
      </c>
      <c r="N1512" s="5">
        <v>0.0</v>
      </c>
      <c r="O1512" s="5">
        <v>0.0</v>
      </c>
      <c r="P1512" s="5">
        <v>0.0</v>
      </c>
      <c r="Q1512" s="5">
        <v>0.0</v>
      </c>
    </row>
    <row r="1513" outlineLevel="1">
      <c r="B1513" s="0" t="inlineStr">
        <is>
          <t xml:space="preserve">P4 MANUFACTURING</t>
        </is>
      </c>
      <c r="C1513" s="0" t="inlineStr">
        <is>
          <t xml:space="preserve">KKSHM9X4VR99</t>
        </is>
      </c>
      <c r="D1513" s="0" t="inlineStr">
        <is>
          <t xml:space="preserve">-</t>
        </is>
      </c>
      <c r="E1513" s="0" t="inlineStr">
        <is>
          <t xml:space="preserve">-</t>
        </is>
      </c>
      <c r="F1513" s="0" t="inlineStr">
        <is>
          <t xml:space="preserve">-</t>
        </is>
      </c>
      <c r="G1513" s="5">
        <v>0.119035</v>
      </c>
      <c r="H1513" s="0" t="inlineStr">
        <is>
          <t xml:space="preserve">supplier</t>
        </is>
      </c>
      <c r="I1513" s="0" t="inlineStr">
        <is>
          <t xml:space="preserve">unbucketed</t>
        </is>
      </c>
      <c r="J1513" s="0" t="inlineStr">
        <is>
          <t xml:space="preserve">residual</t>
        </is>
      </c>
      <c r="K1513" s="5">
        <v>0</v>
      </c>
      <c r="L1513" s="5">
        <v>0</v>
      </c>
      <c r="M1513" s="5">
        <v>0.0</v>
      </c>
      <c r="N1513" s="5">
        <v>0.0</v>
      </c>
      <c r="O1513" s="5">
        <v>0.0</v>
      </c>
      <c r="P1513" s="5">
        <v>0.0</v>
      </c>
      <c r="Q1513" s="5">
        <v>0.0</v>
      </c>
    </row>
    <row r="1514" outlineLevel="1">
      <c r="B1514" s="0" t="inlineStr">
        <is>
          <t xml:space="preserve">HEICO CORP</t>
        </is>
      </c>
      <c r="C1514" s="0" t="inlineStr">
        <is>
          <t xml:space="preserve">NCG7W2K7P7R6</t>
        </is>
      </c>
      <c r="D1514" s="0" t="inlineStr">
        <is>
          <t xml:space="preserve">-</t>
        </is>
      </c>
      <c r="E1514" s="0" t="inlineStr">
        <is>
          <t xml:space="preserve">-</t>
        </is>
      </c>
      <c r="F1514" s="0" t="inlineStr">
        <is>
          <t xml:space="preserve">-</t>
        </is>
      </c>
      <c r="G1514" s="5">
        <v>0.118593</v>
      </c>
      <c r="H1514" s="0" t="inlineStr">
        <is>
          <t xml:space="preserve">supplier</t>
        </is>
      </c>
      <c r="I1514" s="0" t="inlineStr">
        <is>
          <t xml:space="preserve">unbucketed</t>
        </is>
      </c>
      <c r="J1514" s="0" t="inlineStr">
        <is>
          <t xml:space="preserve">residual</t>
        </is>
      </c>
      <c r="K1514" s="5">
        <v>0</v>
      </c>
      <c r="L1514" s="5">
        <v>0</v>
      </c>
      <c r="M1514" s="5">
        <v>0.118593</v>
      </c>
      <c r="N1514" s="5">
        <v>0.0</v>
      </c>
      <c r="O1514" s="5">
        <v>0.0</v>
      </c>
      <c r="P1514" s="5">
        <v>0.0</v>
      </c>
      <c r="Q1514" s="5">
        <v>0.118593</v>
      </c>
    </row>
    <row r="1515" outlineLevel="1">
      <c r="B1515" s="0" t="inlineStr">
        <is>
          <t xml:space="preserve">ADVANCED ACOUSTIC CONCEPTS, LLC</t>
        </is>
      </c>
      <c r="C1515" s="0" t="inlineStr">
        <is>
          <t xml:space="preserve">EQ2TN2GMDFT5</t>
        </is>
      </c>
      <c r="D1515" s="0" t="inlineStr">
        <is>
          <t xml:space="preserve">-</t>
        </is>
      </c>
      <c r="E1515" s="0" t="inlineStr">
        <is>
          <t xml:space="preserve">-</t>
        </is>
      </c>
      <c r="F1515" s="0" t="inlineStr">
        <is>
          <t xml:space="preserve">-</t>
        </is>
      </c>
      <c r="G1515" s="5">
        <v>0.118583</v>
      </c>
      <c r="H1515" s="0" t="inlineStr">
        <is>
          <t xml:space="preserve">supplier</t>
        </is>
      </c>
      <c r="I1515" s="0" t="inlineStr">
        <is>
          <t xml:space="preserve">unbucketed</t>
        </is>
      </c>
      <c r="J1515" s="0" t="inlineStr">
        <is>
          <t xml:space="preserve">residual</t>
        </is>
      </c>
      <c r="K1515" s="5">
        <v>0</v>
      </c>
      <c r="L1515" s="5">
        <v>0</v>
      </c>
      <c r="M1515" s="5">
        <v>0.118583</v>
      </c>
      <c r="N1515" s="5">
        <v>0.0</v>
      </c>
      <c r="O1515" s="5">
        <v>0.0</v>
      </c>
      <c r="P1515" s="5">
        <v>0.118583</v>
      </c>
      <c r="Q1515" s="5">
        <v>0.0</v>
      </c>
    </row>
    <row r="1516" outlineLevel="1">
      <c r="B1516" s="0" t="inlineStr">
        <is>
          <t xml:space="preserve">SPIRIT AMERICA LABS CORP</t>
        </is>
      </c>
      <c r="C1516" s="0" t="inlineStr">
        <is>
          <t xml:space="preserve">WJFVKFC33X99</t>
        </is>
      </c>
      <c r="D1516" s="0" t="inlineStr">
        <is>
          <t xml:space="preserve">-</t>
        </is>
      </c>
      <c r="E1516" s="0" t="inlineStr">
        <is>
          <t xml:space="preserve">-</t>
        </is>
      </c>
      <c r="F1516" s="0" t="inlineStr">
        <is>
          <t xml:space="preserve">-</t>
        </is>
      </c>
      <c r="G1516" s="5">
        <v>0.11826500000000001</v>
      </c>
      <c r="H1516" s="0" t="inlineStr">
        <is>
          <t xml:space="preserve">supplier</t>
        </is>
      </c>
      <c r="I1516" s="0" t="inlineStr">
        <is>
          <t xml:space="preserve">unbucketed</t>
        </is>
      </c>
      <c r="J1516" s="0" t="inlineStr">
        <is>
          <t xml:space="preserve">residual</t>
        </is>
      </c>
      <c r="K1516" s="5">
        <v>0</v>
      </c>
      <c r="L1516" s="5">
        <v>0</v>
      </c>
      <c r="M1516" s="5">
        <v>0.0</v>
      </c>
      <c r="N1516" s="5">
        <v>0.0</v>
      </c>
      <c r="O1516" s="5">
        <v>0.0</v>
      </c>
      <c r="P1516" s="5">
        <v>0.0</v>
      </c>
      <c r="Q1516" s="5">
        <v>0.0</v>
      </c>
    </row>
    <row r="1517" outlineLevel="1">
      <c r="B1517" s="0" t="inlineStr">
        <is>
          <t xml:space="preserve">HILLER COMPANIES, INC., THE</t>
        </is>
      </c>
      <c r="C1517" s="0" t="inlineStr">
        <is>
          <t xml:space="preserve">SSD8KRDXKG46</t>
        </is>
      </c>
      <c r="D1517" s="0" t="inlineStr">
        <is>
          <t xml:space="preserve">USA</t>
        </is>
      </c>
      <c r="E1517" s="0" t="inlineStr">
        <is>
          <t xml:space="preserve">2382</t>
        </is>
      </c>
      <c r="F1517" s="0" t="inlineStr">
        <is>
          <t xml:space="preserve">Electrical Contractors and Other Wiring Installation Contractors</t>
        </is>
      </c>
      <c r="G1517" s="5">
        <v>0.11811</v>
      </c>
      <c r="H1517" s="0" t="inlineStr">
        <is>
          <t xml:space="preserve">supplier</t>
        </is>
      </c>
      <c r="I1517" s="0" t="inlineStr">
        <is>
          <t xml:space="preserve">piping</t>
        </is>
      </c>
      <c r="J1517" s="0" t="inlineStr">
        <is>
          <t xml:space="preserve">registry</t>
        </is>
      </c>
      <c r="K1517" s="5">
        <v>0</v>
      </c>
      <c r="L1517" s="5">
        <v>0</v>
      </c>
      <c r="M1517" s="5">
        <v>0.11811</v>
      </c>
      <c r="N1517" s="5">
        <v>0.11811</v>
      </c>
      <c r="O1517" s="5">
        <v>0.0</v>
      </c>
      <c r="P1517" s="5">
        <v>0.0</v>
      </c>
      <c r="Q1517" s="5">
        <v>0.0</v>
      </c>
    </row>
    <row r="1518" outlineLevel="1">
      <c r="B1518" s="0" t="inlineStr">
        <is>
          <t xml:space="preserve">GENERAL DIGITAL CORPORATION</t>
        </is>
      </c>
      <c r="C1518" s="0" t="inlineStr">
        <is>
          <t xml:space="preserve">DWMEGPGHBGY5</t>
        </is>
      </c>
      <c r="D1518" s="0" t="inlineStr">
        <is>
          <t xml:space="preserve">-</t>
        </is>
      </c>
      <c r="E1518" s="0" t="inlineStr">
        <is>
          <t xml:space="preserve">-</t>
        </is>
      </c>
      <c r="F1518" s="0" t="inlineStr">
        <is>
          <t xml:space="preserve">-</t>
        </is>
      </c>
      <c r="G1518" s="5">
        <v>0.11796</v>
      </c>
      <c r="H1518" s="0" t="inlineStr">
        <is>
          <t xml:space="preserve">supplier</t>
        </is>
      </c>
      <c r="I1518" s="0" t="inlineStr">
        <is>
          <t xml:space="preserve">unbucketed</t>
        </is>
      </c>
      <c r="J1518" s="0" t="inlineStr">
        <is>
          <t xml:space="preserve">residual</t>
        </is>
      </c>
      <c r="K1518" s="5">
        <v>0</v>
      </c>
      <c r="L1518" s="5">
        <v>0</v>
      </c>
      <c r="M1518" s="5">
        <v>0.0</v>
      </c>
      <c r="N1518" s="5">
        <v>0.0</v>
      </c>
      <c r="O1518" s="5">
        <v>0.0</v>
      </c>
      <c r="P1518" s="5">
        <v>0.0</v>
      </c>
      <c r="Q1518" s="5">
        <v>0.0</v>
      </c>
    </row>
    <row r="1519" outlineLevel="1">
      <c r="B1519" s="0" t="inlineStr">
        <is>
          <t xml:space="preserve">ROMAC INDUSTRIES, INC.</t>
        </is>
      </c>
      <c r="C1519" s="0" t="inlineStr">
        <is>
          <t xml:space="preserve">N16ET1YJ6QZ3</t>
        </is>
      </c>
      <c r="D1519" s="0" t="inlineStr">
        <is>
          <t xml:space="preserve">-</t>
        </is>
      </c>
      <c r="E1519" s="0" t="inlineStr">
        <is>
          <t xml:space="preserve">-</t>
        </is>
      </c>
      <c r="F1519" s="0" t="inlineStr">
        <is>
          <t xml:space="preserve">-</t>
        </is>
      </c>
      <c r="G1519" s="5">
        <v>0.1173964</v>
      </c>
      <c r="H1519" s="0" t="inlineStr">
        <is>
          <t xml:space="preserve">supplier</t>
        </is>
      </c>
      <c r="I1519" s="0" t="inlineStr">
        <is>
          <t xml:space="preserve">unbucketed</t>
        </is>
      </c>
      <c r="J1519" s="0" t="inlineStr">
        <is>
          <t xml:space="preserve">residual</t>
        </is>
      </c>
      <c r="K1519" s="5">
        <v>0</v>
      </c>
      <c r="L1519" s="5">
        <v>0</v>
      </c>
      <c r="M1519" s="5">
        <v>0.0</v>
      </c>
      <c r="N1519" s="5">
        <v>0.0</v>
      </c>
      <c r="O1519" s="5">
        <v>0.0</v>
      </c>
      <c r="P1519" s="5">
        <v>0.0</v>
      </c>
      <c r="Q1519" s="5">
        <v>0.0</v>
      </c>
    </row>
    <row r="1520" outlineLevel="1">
      <c r="B1520" s="0" t="inlineStr">
        <is>
          <t xml:space="preserve">WOODWARD GOVERNOR COMPANY</t>
        </is>
      </c>
      <c r="C1520" s="0" t="inlineStr">
        <is>
          <t xml:space="preserve">N77BPJK25ZM4</t>
        </is>
      </c>
      <c r="D1520" s="0" t="inlineStr">
        <is>
          <t xml:space="preserve">-</t>
        </is>
      </c>
      <c r="E1520" s="0" t="inlineStr">
        <is>
          <t xml:space="preserve">-</t>
        </is>
      </c>
      <c r="F1520" s="0" t="inlineStr">
        <is>
          <t xml:space="preserve">-</t>
        </is>
      </c>
      <c r="G1520" s="5">
        <v>0.1172395</v>
      </c>
      <c r="H1520" s="0" t="inlineStr">
        <is>
          <t xml:space="preserve">supplier</t>
        </is>
      </c>
      <c r="I1520" s="0" t="inlineStr">
        <is>
          <t xml:space="preserve">unbucketed</t>
        </is>
      </c>
      <c r="J1520" s="0" t="inlineStr">
        <is>
          <t xml:space="preserve">residual</t>
        </is>
      </c>
      <c r="K1520" s="5">
        <v>0</v>
      </c>
      <c r="L1520" s="5">
        <v>0</v>
      </c>
      <c r="M1520" s="5">
        <v>0.0</v>
      </c>
      <c r="N1520" s="5">
        <v>0.0</v>
      </c>
      <c r="O1520" s="5">
        <v>0.0</v>
      </c>
      <c r="P1520" s="5">
        <v>0.0</v>
      </c>
      <c r="Q1520" s="5">
        <v>0.0</v>
      </c>
    </row>
    <row r="1521" outlineLevel="1">
      <c r="B1521" s="0" t="inlineStr">
        <is>
          <t xml:space="preserve">KPS CAPITAL PARTNERS, LP</t>
        </is>
      </c>
      <c r="C1521" s="0" t="inlineStr">
        <is>
          <t xml:space="preserve">FFB3NUKMTNJ9</t>
        </is>
      </c>
      <c r="D1521" s="0" t="inlineStr">
        <is>
          <t xml:space="preserve">-</t>
        </is>
      </c>
      <c r="E1521" s="0" t="inlineStr">
        <is>
          <t xml:space="preserve">-</t>
        </is>
      </c>
      <c r="F1521" s="0" t="inlineStr">
        <is>
          <t xml:space="preserve">-</t>
        </is>
      </c>
      <c r="G1521" s="5">
        <v>0.11710499999999999</v>
      </c>
      <c r="H1521" s="0" t="inlineStr">
        <is>
          <t xml:space="preserve">supplier</t>
        </is>
      </c>
      <c r="I1521" s="0" t="inlineStr">
        <is>
          <t xml:space="preserve">unbucketed</t>
        </is>
      </c>
      <c r="J1521" s="0" t="inlineStr">
        <is>
          <t xml:space="preserve">residual</t>
        </is>
      </c>
      <c r="K1521" s="5">
        <v>0</v>
      </c>
      <c r="L1521" s="5">
        <v>0</v>
      </c>
      <c r="M1521" s="5">
        <v>0.0</v>
      </c>
      <c r="N1521" s="5">
        <v>0.0</v>
      </c>
      <c r="O1521" s="5">
        <v>0.0</v>
      </c>
      <c r="P1521" s="5">
        <v>0.0</v>
      </c>
      <c r="Q1521" s="5">
        <v>0.0</v>
      </c>
    </row>
    <row r="1522" outlineLevel="1">
      <c r="B1522" s="0" t="inlineStr">
        <is>
          <t xml:space="preserve">PHILADELPHIA PIPE BENDING COMPANY, THE</t>
        </is>
      </c>
      <c r="C1522" s="0" t="inlineStr">
        <is>
          <t xml:space="preserve">WPDLRZ9LA4Z7</t>
        </is>
      </c>
      <c r="D1522" s="0" t="inlineStr">
        <is>
          <t xml:space="preserve">-</t>
        </is>
      </c>
      <c r="E1522" s="0" t="inlineStr">
        <is>
          <t xml:space="preserve">-</t>
        </is>
      </c>
      <c r="F1522" s="0" t="inlineStr">
        <is>
          <t xml:space="preserve">-</t>
        </is>
      </c>
      <c r="G1522" s="5">
        <v>0.11702625</v>
      </c>
      <c r="H1522" s="0" t="inlineStr">
        <is>
          <t xml:space="preserve">supplier</t>
        </is>
      </c>
      <c r="I1522" s="0" t="inlineStr">
        <is>
          <t xml:space="preserve">unbucketed</t>
        </is>
      </c>
      <c r="J1522" s="0" t="inlineStr">
        <is>
          <t xml:space="preserve">residual</t>
        </is>
      </c>
      <c r="K1522" s="5">
        <v>0</v>
      </c>
      <c r="L1522" s="5">
        <v>0</v>
      </c>
      <c r="M1522" s="5">
        <v>0.0</v>
      </c>
      <c r="N1522" s="5">
        <v>0.0</v>
      </c>
      <c r="O1522" s="5">
        <v>0.0</v>
      </c>
      <c r="P1522" s="5">
        <v>0.0</v>
      </c>
      <c r="Q1522" s="5">
        <v>0.0</v>
      </c>
    </row>
    <row r="1523" outlineLevel="1">
      <c r="B1523" s="0" t="inlineStr">
        <is>
          <t xml:space="preserve">FULL CIRCLE COMPOSITES LLC</t>
        </is>
      </c>
      <c r="C1523" s="0" t="inlineStr">
        <is>
          <t xml:space="preserve">K2XQUFJHV4M1</t>
        </is>
      </c>
      <c r="D1523" s="0" t="inlineStr">
        <is>
          <t xml:space="preserve">-</t>
        </is>
      </c>
      <c r="E1523" s="0" t="inlineStr">
        <is>
          <t xml:space="preserve">-</t>
        </is>
      </c>
      <c r="F1523" s="0" t="inlineStr">
        <is>
          <t xml:space="preserve">-</t>
        </is>
      </c>
      <c r="G1523" s="5">
        <v>0.116995</v>
      </c>
      <c r="H1523" s="0" t="inlineStr">
        <is>
          <t xml:space="preserve">supplier</t>
        </is>
      </c>
      <c r="I1523" s="0" t="inlineStr">
        <is>
          <t xml:space="preserve">unbucketed</t>
        </is>
      </c>
      <c r="J1523" s="0" t="inlineStr">
        <is>
          <t xml:space="preserve">residual</t>
        </is>
      </c>
      <c r="K1523" s="5">
        <v>0</v>
      </c>
      <c r="L1523" s="5">
        <v>0</v>
      </c>
      <c r="M1523" s="5">
        <v>0.0</v>
      </c>
      <c r="N1523" s="5">
        <v>0.0</v>
      </c>
      <c r="O1523" s="5">
        <v>0.0</v>
      </c>
      <c r="P1523" s="5">
        <v>0.0</v>
      </c>
      <c r="Q1523" s="5">
        <v>0.0</v>
      </c>
    </row>
    <row r="1524" outlineLevel="1">
      <c r="B1524" s="0" t="inlineStr">
        <is>
          <t xml:space="preserve">PRIME SCIENCE &amp; TECHNOLOGY, LLC</t>
        </is>
      </c>
      <c r="C1524" s="0" t="inlineStr">
        <is>
          <t xml:space="preserve">JH61GLV2MCA7</t>
        </is>
      </c>
      <c r="D1524" s="0" t="inlineStr">
        <is>
          <t xml:space="preserve">-</t>
        </is>
      </c>
      <c r="E1524" s="0" t="inlineStr">
        <is>
          <t xml:space="preserve">-</t>
        </is>
      </c>
      <c r="F1524" s="0" t="inlineStr">
        <is>
          <t xml:space="preserve">-</t>
        </is>
      </c>
      <c r="G1524" s="5">
        <v>0.11625</v>
      </c>
      <c r="H1524" s="0" t="inlineStr">
        <is>
          <t xml:space="preserve">supplier</t>
        </is>
      </c>
      <c r="I1524" s="0" t="inlineStr">
        <is>
          <t xml:space="preserve">unbucketed</t>
        </is>
      </c>
      <c r="J1524" s="0" t="inlineStr">
        <is>
          <t xml:space="preserve">residual</t>
        </is>
      </c>
      <c r="K1524" s="5">
        <v>0</v>
      </c>
      <c r="L1524" s="5">
        <v>0</v>
      </c>
      <c r="M1524" s="5">
        <v>0.11625</v>
      </c>
      <c r="N1524" s="5">
        <v>0.0</v>
      </c>
      <c r="O1524" s="5">
        <v>0.11625</v>
      </c>
      <c r="P1524" s="5">
        <v>0.0</v>
      </c>
      <c r="Q1524" s="5">
        <v>0.0</v>
      </c>
    </row>
    <row r="1525" outlineLevel="1">
      <c r="B1525" s="0" t="inlineStr">
        <is>
          <t xml:space="preserve">BOEING COMPANY, THE</t>
        </is>
      </c>
      <c r="C1525" s="0" t="inlineStr">
        <is>
          <t xml:space="preserve">LCKATM42Y1M1</t>
        </is>
      </c>
      <c r="D1525" s="0" t="inlineStr">
        <is>
          <t xml:space="preserve">-</t>
        </is>
      </c>
      <c r="E1525" s="0" t="inlineStr">
        <is>
          <t xml:space="preserve">-</t>
        </is>
      </c>
      <c r="F1525" s="0" t="inlineStr">
        <is>
          <t xml:space="preserve">-</t>
        </is>
      </c>
      <c r="G1525" s="5">
        <v>0.116203</v>
      </c>
      <c r="H1525" s="0" t="inlineStr">
        <is>
          <t xml:space="preserve">supplier</t>
        </is>
      </c>
      <c r="I1525" s="0" t="inlineStr">
        <is>
          <t xml:space="preserve">unbucketed</t>
        </is>
      </c>
      <c r="J1525" s="0" t="inlineStr">
        <is>
          <t xml:space="preserve">residual</t>
        </is>
      </c>
      <c r="K1525" s="5">
        <v>0</v>
      </c>
      <c r="L1525" s="5">
        <v>0</v>
      </c>
      <c r="M1525" s="5">
        <v>0.116203</v>
      </c>
      <c r="N1525" s="5">
        <v>0.116203</v>
      </c>
      <c r="O1525" s="5">
        <v>0.0</v>
      </c>
      <c r="P1525" s="5">
        <v>0.0</v>
      </c>
      <c r="Q1525" s="5">
        <v>0.0</v>
      </c>
    </row>
    <row r="1526" outlineLevel="1">
      <c r="B1526" s="0" t="inlineStr">
        <is>
          <t xml:space="preserve">EACO CORPORATION</t>
        </is>
      </c>
      <c r="C1526" s="0" t="inlineStr">
        <is>
          <t xml:space="preserve">C5AVL25NKLD4</t>
        </is>
      </c>
      <c r="D1526" s="0" t="inlineStr">
        <is>
          <t xml:space="preserve">-</t>
        </is>
      </c>
      <c r="E1526" s="0" t="inlineStr">
        <is>
          <t xml:space="preserve">-</t>
        </is>
      </c>
      <c r="F1526" s="0" t="inlineStr">
        <is>
          <t xml:space="preserve">-</t>
        </is>
      </c>
      <c r="G1526" s="5">
        <v>0.116085</v>
      </c>
      <c r="H1526" s="0" t="inlineStr">
        <is>
          <t xml:space="preserve">supplier</t>
        </is>
      </c>
      <c r="I1526" s="0" t="inlineStr">
        <is>
          <t xml:space="preserve">unbucketed</t>
        </is>
      </c>
      <c r="J1526" s="0" t="inlineStr">
        <is>
          <t xml:space="preserve">residual</t>
        </is>
      </c>
      <c r="K1526" s="5">
        <v>0</v>
      </c>
      <c r="L1526" s="5">
        <v>0</v>
      </c>
      <c r="M1526" s="5">
        <v>0.0</v>
      </c>
      <c r="N1526" s="5">
        <v>0.0</v>
      </c>
      <c r="O1526" s="5">
        <v>0.0</v>
      </c>
      <c r="P1526" s="5">
        <v>0.0</v>
      </c>
      <c r="Q1526" s="5">
        <v>0.0</v>
      </c>
    </row>
    <row r="1527" outlineLevel="1">
      <c r="B1527" s="0" t="inlineStr">
        <is>
          <t xml:space="preserve">SYSCO CORP</t>
        </is>
      </c>
      <c r="C1527" s="0" t="inlineStr">
        <is>
          <t xml:space="preserve">CJ8CQLEM2RW3</t>
        </is>
      </c>
      <c r="D1527" s="0" t="inlineStr">
        <is>
          <t xml:space="preserve">-</t>
        </is>
      </c>
      <c r="E1527" s="0" t="inlineStr">
        <is>
          <t xml:space="preserve">-</t>
        </is>
      </c>
      <c r="F1527" s="0" t="inlineStr">
        <is>
          <t xml:space="preserve">-</t>
        </is>
      </c>
      <c r="G1527" s="5">
        <v>0.116</v>
      </c>
      <c r="H1527" s="0" t="inlineStr">
        <is>
          <t xml:space="preserve">supplier</t>
        </is>
      </c>
      <c r="I1527" s="0" t="inlineStr">
        <is>
          <t xml:space="preserve">unbucketed</t>
        </is>
      </c>
      <c r="J1527" s="0" t="inlineStr">
        <is>
          <t xml:space="preserve">residual</t>
        </is>
      </c>
      <c r="K1527" s="5">
        <v>0</v>
      </c>
      <c r="L1527" s="5">
        <v>0</v>
      </c>
      <c r="M1527" s="5">
        <v>0.116</v>
      </c>
      <c r="N1527" s="5">
        <v>0.0</v>
      </c>
      <c r="O1527" s="5">
        <v>0.0</v>
      </c>
      <c r="P1527" s="5">
        <v>0.0</v>
      </c>
      <c r="Q1527" s="5">
        <v>0.116</v>
      </c>
    </row>
    <row r="1528" outlineLevel="1">
      <c r="B1528" s="0" t="inlineStr">
        <is>
          <t xml:space="preserve">ATF, INC</t>
        </is>
      </c>
      <c r="C1528" s="0" t="inlineStr">
        <is>
          <t xml:space="preserve">SKP7U7LZMV41</t>
        </is>
      </c>
      <c r="D1528" s="0" t="inlineStr">
        <is>
          <t xml:space="preserve">-</t>
        </is>
      </c>
      <c r="E1528" s="0" t="inlineStr">
        <is>
          <t xml:space="preserve">-</t>
        </is>
      </c>
      <c r="F1528" s="0" t="inlineStr">
        <is>
          <t xml:space="preserve">-</t>
        </is>
      </c>
      <c r="G1528" s="5">
        <v>0.11504828</v>
      </c>
      <c r="H1528" s="0" t="inlineStr">
        <is>
          <t xml:space="preserve">supplier</t>
        </is>
      </c>
      <c r="I1528" s="0" t="inlineStr">
        <is>
          <t xml:space="preserve">unbucketed</t>
        </is>
      </c>
      <c r="J1528" s="0" t="inlineStr">
        <is>
          <t xml:space="preserve">residual</t>
        </is>
      </c>
      <c r="K1528" s="5">
        <v>0</v>
      </c>
      <c r="L1528" s="5">
        <v>0</v>
      </c>
      <c r="M1528" s="5">
        <v>0.0</v>
      </c>
      <c r="N1528" s="5">
        <v>0.0</v>
      </c>
      <c r="O1528" s="5">
        <v>0.0</v>
      </c>
      <c r="P1528" s="5">
        <v>0.0</v>
      </c>
      <c r="Q1528" s="5">
        <v>0.0</v>
      </c>
    </row>
    <row r="1529" outlineLevel="1">
      <c r="B1529" s="0" t="inlineStr">
        <is>
          <t xml:space="preserve">ASKEW INDUSTRIAL CORP</t>
        </is>
      </c>
      <c r="C1529" s="0" t="inlineStr">
        <is>
          <t xml:space="preserve">KATZHMD3P8B1</t>
        </is>
      </c>
      <c r="D1529" s="0" t="inlineStr">
        <is>
          <t xml:space="preserve">-</t>
        </is>
      </c>
      <c r="E1529" s="0" t="inlineStr">
        <is>
          <t xml:space="preserve">-</t>
        </is>
      </c>
      <c r="F1529" s="0" t="inlineStr">
        <is>
          <t xml:space="preserve">-</t>
        </is>
      </c>
      <c r="G1529" s="5">
        <v>0.114734</v>
      </c>
      <c r="H1529" s="0" t="inlineStr">
        <is>
          <t xml:space="preserve">supplier</t>
        </is>
      </c>
      <c r="I1529" s="0" t="inlineStr">
        <is>
          <t xml:space="preserve">unbucketed</t>
        </is>
      </c>
      <c r="J1529" s="0" t="inlineStr">
        <is>
          <t xml:space="preserve">residual</t>
        </is>
      </c>
      <c r="K1529" s="5">
        <v>0</v>
      </c>
      <c r="L1529" s="5">
        <v>0</v>
      </c>
      <c r="M1529" s="5">
        <v>0.0</v>
      </c>
      <c r="N1529" s="5">
        <v>0.0</v>
      </c>
      <c r="O1529" s="5">
        <v>0.0</v>
      </c>
      <c r="P1529" s="5">
        <v>0.0</v>
      </c>
      <c r="Q1529" s="5">
        <v>0.0</v>
      </c>
    </row>
    <row r="1530" outlineLevel="1">
      <c r="B1530" s="0" t="inlineStr">
        <is>
          <t xml:space="preserve">MASTER MACHINE, INC</t>
        </is>
      </c>
      <c r="C1530" s="0" t="inlineStr">
        <is>
          <t xml:space="preserve">D8LCXTGXHJJ3</t>
        </is>
      </c>
      <c r="D1530" s="0" t="inlineStr">
        <is>
          <t xml:space="preserve">-</t>
        </is>
      </c>
      <c r="E1530" s="0" t="inlineStr">
        <is>
          <t xml:space="preserve">-</t>
        </is>
      </c>
      <c r="F1530" s="0" t="inlineStr">
        <is>
          <t xml:space="preserve">-</t>
        </is>
      </c>
      <c r="G1530" s="5">
        <v>0.11463145</v>
      </c>
      <c r="H1530" s="0" t="inlineStr">
        <is>
          <t xml:space="preserve">supplier</t>
        </is>
      </c>
      <c r="I1530" s="0" t="inlineStr">
        <is>
          <t xml:space="preserve">unbucketed</t>
        </is>
      </c>
      <c r="J1530" s="0" t="inlineStr">
        <is>
          <t xml:space="preserve">residual</t>
        </is>
      </c>
      <c r="K1530" s="5">
        <v>0</v>
      </c>
      <c r="L1530" s="5">
        <v>0</v>
      </c>
      <c r="M1530" s="5">
        <v>0.0</v>
      </c>
      <c r="N1530" s="5">
        <v>0.0</v>
      </c>
      <c r="O1530" s="5">
        <v>0.0</v>
      </c>
      <c r="P1530" s="5">
        <v>0.0</v>
      </c>
      <c r="Q1530" s="5">
        <v>0.0</v>
      </c>
    </row>
    <row r="1531" outlineLevel="1">
      <c r="B1531" s="0" t="inlineStr">
        <is>
          <t xml:space="preserve">TRANSDIGM GROUP INCORPORATED</t>
        </is>
      </c>
      <c r="C1531" s="0" t="inlineStr">
        <is>
          <t xml:space="preserve">KLN3SMHBL368</t>
        </is>
      </c>
      <c r="D1531" s="0" t="inlineStr">
        <is>
          <t xml:space="preserve">-</t>
        </is>
      </c>
      <c r="E1531" s="0" t="inlineStr">
        <is>
          <t xml:space="preserve">-</t>
        </is>
      </c>
      <c r="F1531" s="0" t="inlineStr">
        <is>
          <t xml:space="preserve">-</t>
        </is>
      </c>
      <c r="G1531" s="5">
        <v>0.114422</v>
      </c>
      <c r="H1531" s="0" t="inlineStr">
        <is>
          <t xml:space="preserve">supplier</t>
        </is>
      </c>
      <c r="I1531" s="0" t="inlineStr">
        <is>
          <t xml:space="preserve">unbucketed</t>
        </is>
      </c>
      <c r="J1531" s="0" t="inlineStr">
        <is>
          <t xml:space="preserve">residual</t>
        </is>
      </c>
      <c r="K1531" s="5">
        <v>0</v>
      </c>
      <c r="L1531" s="5">
        <v>0</v>
      </c>
      <c r="M1531" s="5">
        <v>0.0</v>
      </c>
      <c r="N1531" s="5">
        <v>0.0</v>
      </c>
      <c r="O1531" s="5">
        <v>0.0</v>
      </c>
      <c r="P1531" s="5">
        <v>0.0</v>
      </c>
      <c r="Q1531" s="5">
        <v>0.0</v>
      </c>
    </row>
    <row r="1532" outlineLevel="1">
      <c r="B1532" s="0" t="inlineStr">
        <is>
          <t xml:space="preserve">GTC MACHINING LLC</t>
        </is>
      </c>
      <c r="C1532" s="0" t="inlineStr">
        <is>
          <t xml:space="preserve">DENBPPDE8YD5</t>
        </is>
      </c>
      <c r="D1532" s="0" t="inlineStr">
        <is>
          <t xml:space="preserve">-</t>
        </is>
      </c>
      <c r="E1532" s="0" t="inlineStr">
        <is>
          <t xml:space="preserve">-</t>
        </is>
      </c>
      <c r="F1532" s="0" t="inlineStr">
        <is>
          <t xml:space="preserve">-</t>
        </is>
      </c>
      <c r="G1532" s="5">
        <v>0.11427500000000002</v>
      </c>
      <c r="H1532" s="0" t="inlineStr">
        <is>
          <t xml:space="preserve">supplier</t>
        </is>
      </c>
      <c r="I1532" s="0" t="inlineStr">
        <is>
          <t xml:space="preserve">unbucketed</t>
        </is>
      </c>
      <c r="J1532" s="0" t="inlineStr">
        <is>
          <t xml:space="preserve">residual</t>
        </is>
      </c>
      <c r="K1532" s="5">
        <v>0</v>
      </c>
      <c r="L1532" s="5">
        <v>0</v>
      </c>
      <c r="M1532" s="5">
        <v>0.0</v>
      </c>
      <c r="N1532" s="5">
        <v>0.0</v>
      </c>
      <c r="O1532" s="5">
        <v>0.0</v>
      </c>
      <c r="P1532" s="5">
        <v>0.0</v>
      </c>
      <c r="Q1532" s="5">
        <v>0.0</v>
      </c>
    </row>
    <row r="1533" outlineLevel="1">
      <c r="B1533" s="0" t="inlineStr">
        <is>
          <t xml:space="preserve">CDM INC.</t>
        </is>
      </c>
      <c r="C1533" s="0" t="inlineStr">
        <is>
          <t xml:space="preserve">DJ7MS9GQWDC8</t>
        </is>
      </c>
      <c r="D1533" s="0" t="inlineStr">
        <is>
          <t xml:space="preserve">-</t>
        </is>
      </c>
      <c r="E1533" s="0" t="inlineStr">
        <is>
          <t xml:space="preserve">-</t>
        </is>
      </c>
      <c r="F1533" s="0" t="inlineStr">
        <is>
          <t xml:space="preserve">-</t>
        </is>
      </c>
      <c r="G1533" s="5">
        <v>0.114044</v>
      </c>
      <c r="H1533" s="0" t="inlineStr">
        <is>
          <t xml:space="preserve">supplier</t>
        </is>
      </c>
      <c r="I1533" s="0" t="inlineStr">
        <is>
          <t xml:space="preserve">unbucketed</t>
        </is>
      </c>
      <c r="J1533" s="0" t="inlineStr">
        <is>
          <t xml:space="preserve">residual</t>
        </is>
      </c>
      <c r="K1533" s="5">
        <v>0</v>
      </c>
      <c r="L1533" s="5">
        <v>0</v>
      </c>
      <c r="M1533" s="5">
        <v>0.0</v>
      </c>
      <c r="N1533" s="5">
        <v>0.0</v>
      </c>
      <c r="O1533" s="5">
        <v>0.0</v>
      </c>
      <c r="P1533" s="5">
        <v>0.0</v>
      </c>
      <c r="Q1533" s="5">
        <v>0.0</v>
      </c>
    </row>
    <row r="1534" outlineLevel="1">
      <c r="B1534" s="0" t="inlineStr">
        <is>
          <t xml:space="preserve">MODULAR COMPONENTS NATIONAL, INC.</t>
        </is>
      </c>
      <c r="C1534" s="0" t="inlineStr">
        <is>
          <t xml:space="preserve">YJKHH5R1J9P5</t>
        </is>
      </c>
      <c r="D1534" s="0" t="inlineStr">
        <is>
          <t xml:space="preserve">-</t>
        </is>
      </c>
      <c r="E1534" s="0" t="inlineStr">
        <is>
          <t xml:space="preserve">-</t>
        </is>
      </c>
      <c r="F1534" s="0" t="inlineStr">
        <is>
          <t xml:space="preserve">-</t>
        </is>
      </c>
      <c r="G1534" s="5">
        <v>0.1134</v>
      </c>
      <c r="H1534" s="0" t="inlineStr">
        <is>
          <t xml:space="preserve">supplier</t>
        </is>
      </c>
      <c r="I1534" s="0" t="inlineStr">
        <is>
          <t xml:space="preserve">unbucketed</t>
        </is>
      </c>
      <c r="J1534" s="0" t="inlineStr">
        <is>
          <t xml:space="preserve">residual</t>
        </is>
      </c>
      <c r="K1534" s="5">
        <v>0</v>
      </c>
      <c r="L1534" s="5">
        <v>0</v>
      </c>
      <c r="M1534" s="5">
        <v>0.0</v>
      </c>
      <c r="N1534" s="5">
        <v>0.0</v>
      </c>
      <c r="O1534" s="5">
        <v>0.0</v>
      </c>
      <c r="P1534" s="5">
        <v>0.0</v>
      </c>
      <c r="Q1534" s="5">
        <v>0.0</v>
      </c>
    </row>
    <row r="1535" outlineLevel="1">
      <c r="B1535" s="0" t="inlineStr">
        <is>
          <t xml:space="preserve">PLASCORE, INC.</t>
        </is>
      </c>
      <c r="C1535" s="0" t="inlineStr">
        <is>
          <t xml:space="preserve">QJNQRG8FVSC5</t>
        </is>
      </c>
      <c r="D1535" s="0" t="inlineStr">
        <is>
          <t xml:space="preserve">-</t>
        </is>
      </c>
      <c r="E1535" s="0" t="inlineStr">
        <is>
          <t xml:space="preserve">-</t>
        </is>
      </c>
      <c r="F1535" s="0" t="inlineStr">
        <is>
          <t xml:space="preserve">-</t>
        </is>
      </c>
      <c r="G1535" s="5">
        <v>0.11332</v>
      </c>
      <c r="H1535" s="0" t="inlineStr">
        <is>
          <t xml:space="preserve">supplier</t>
        </is>
      </c>
      <c r="I1535" s="0" t="inlineStr">
        <is>
          <t xml:space="preserve">unbucketed</t>
        </is>
      </c>
      <c r="J1535" s="0" t="inlineStr">
        <is>
          <t xml:space="preserve">residual</t>
        </is>
      </c>
      <c r="K1535" s="5">
        <v>0</v>
      </c>
      <c r="L1535" s="5">
        <v>0</v>
      </c>
      <c r="M1535" s="5">
        <v>0.0</v>
      </c>
      <c r="N1535" s="5">
        <v>0.0</v>
      </c>
      <c r="O1535" s="5">
        <v>0.0</v>
      </c>
      <c r="P1535" s="5">
        <v>0.0</v>
      </c>
      <c r="Q1535" s="5">
        <v>0.0</v>
      </c>
    </row>
    <row r="1536" outlineLevel="1">
      <c r="B1536" s="0" t="inlineStr">
        <is>
          <t xml:space="preserve">RHINESTAHL CORPORATION</t>
        </is>
      </c>
      <c r="C1536" s="0" t="inlineStr">
        <is>
          <t xml:space="preserve">V6JXCLR8QR37</t>
        </is>
      </c>
      <c r="D1536" s="0" t="inlineStr">
        <is>
          <t xml:space="preserve">-</t>
        </is>
      </c>
      <c r="E1536" s="0" t="inlineStr">
        <is>
          <t xml:space="preserve">-</t>
        </is>
      </c>
      <c r="F1536" s="0" t="inlineStr">
        <is>
          <t xml:space="preserve">-</t>
        </is>
      </c>
      <c r="G1536" s="5">
        <v>0.11300199999999999</v>
      </c>
      <c r="H1536" s="0" t="inlineStr">
        <is>
          <t xml:space="preserve">supplier</t>
        </is>
      </c>
      <c r="I1536" s="0" t="inlineStr">
        <is>
          <t xml:space="preserve">unbucketed</t>
        </is>
      </c>
      <c r="J1536" s="0" t="inlineStr">
        <is>
          <t xml:space="preserve">residual</t>
        </is>
      </c>
      <c r="K1536" s="5">
        <v>0</v>
      </c>
      <c r="L1536" s="5">
        <v>0</v>
      </c>
      <c r="M1536" s="5">
        <v>0.039212</v>
      </c>
      <c r="N1536" s="5">
        <v>0.0</v>
      </c>
      <c r="O1536" s="5">
        <v>0.0</v>
      </c>
      <c r="P1536" s="5">
        <v>0.0</v>
      </c>
      <c r="Q1536" s="5">
        <v>0.0</v>
      </c>
    </row>
    <row r="1537" outlineLevel="1">
      <c r="B1537" s="0" t="inlineStr">
        <is>
          <t xml:space="preserve">YYK ENTERPRISES OPERATIONS LLC</t>
        </is>
      </c>
      <c r="C1537" s="0" t="inlineStr">
        <is>
          <t xml:space="preserve">PDZ9LHNSJXN4</t>
        </is>
      </c>
      <c r="D1537" s="0" t="inlineStr">
        <is>
          <t xml:space="preserve">-</t>
        </is>
      </c>
      <c r="E1537" s="0" t="inlineStr">
        <is>
          <t xml:space="preserve">-</t>
        </is>
      </c>
      <c r="F1537" s="0" t="inlineStr">
        <is>
          <t xml:space="preserve">-</t>
        </is>
      </c>
      <c r="G1537" s="5">
        <v>0.112819</v>
      </c>
      <c r="H1537" s="0" t="inlineStr">
        <is>
          <t xml:space="preserve">supplier</t>
        </is>
      </c>
      <c r="I1537" s="0" t="inlineStr">
        <is>
          <t xml:space="preserve">unbucketed</t>
        </is>
      </c>
      <c r="J1537" s="0" t="inlineStr">
        <is>
          <t xml:space="preserve">residual</t>
        </is>
      </c>
      <c r="K1537" s="5">
        <v>0</v>
      </c>
      <c r="L1537" s="5">
        <v>0</v>
      </c>
      <c r="M1537" s="5">
        <v>0.0</v>
      </c>
      <c r="N1537" s="5">
        <v>0.0</v>
      </c>
      <c r="O1537" s="5">
        <v>0.0</v>
      </c>
      <c r="P1537" s="5">
        <v>0.0</v>
      </c>
      <c r="Q1537" s="5">
        <v>0.0</v>
      </c>
    </row>
    <row r="1538" outlineLevel="1">
      <c r="B1538" s="0" t="inlineStr">
        <is>
          <t xml:space="preserve">TOZOUR ENERGY SYSTEMS, INC.</t>
        </is>
      </c>
      <c r="C1538" s="0" t="inlineStr">
        <is>
          <t xml:space="preserve">DCEMQDTD7XM9</t>
        </is>
      </c>
      <c r="D1538" s="0" t="inlineStr">
        <is>
          <t xml:space="preserve">-</t>
        </is>
      </c>
      <c r="E1538" s="0" t="inlineStr">
        <is>
          <t xml:space="preserve">-</t>
        </is>
      </c>
      <c r="F1538" s="0" t="inlineStr">
        <is>
          <t xml:space="preserve">-</t>
        </is>
      </c>
      <c r="G1538" s="5">
        <v>0.112569</v>
      </c>
      <c r="H1538" s="0" t="inlineStr">
        <is>
          <t xml:space="preserve">supplier</t>
        </is>
      </c>
      <c r="I1538" s="0" t="inlineStr">
        <is>
          <t xml:space="preserve">unbucketed</t>
        </is>
      </c>
      <c r="J1538" s="0" t="inlineStr">
        <is>
          <t xml:space="preserve">residual</t>
        </is>
      </c>
      <c r="K1538" s="5">
        <v>0</v>
      </c>
      <c r="L1538" s="5">
        <v>0</v>
      </c>
      <c r="M1538" s="5">
        <v>0.0</v>
      </c>
      <c r="N1538" s="5">
        <v>0.0</v>
      </c>
      <c r="O1538" s="5">
        <v>0.0</v>
      </c>
      <c r="P1538" s="5">
        <v>0.0</v>
      </c>
      <c r="Q1538" s="5">
        <v>0.0</v>
      </c>
    </row>
    <row r="1539" outlineLevel="1">
      <c r="B1539" s="0" t="inlineStr">
        <is>
          <t xml:space="preserve">POHLAD COMPANIES</t>
        </is>
      </c>
      <c r="C1539" s="0" t="inlineStr">
        <is>
          <t xml:space="preserve">MEMSWT1LFU18</t>
        </is>
      </c>
      <c r="D1539" s="0" t="inlineStr">
        <is>
          <t xml:space="preserve">-</t>
        </is>
      </c>
      <c r="E1539" s="0" t="inlineStr">
        <is>
          <t xml:space="preserve">-</t>
        </is>
      </c>
      <c r="F1539" s="0" t="inlineStr">
        <is>
          <t xml:space="preserve">-</t>
        </is>
      </c>
      <c r="G1539" s="5">
        <v>0.112446</v>
      </c>
      <c r="H1539" s="0" t="inlineStr">
        <is>
          <t xml:space="preserve">supplier</t>
        </is>
      </c>
      <c r="I1539" s="0" t="inlineStr">
        <is>
          <t xml:space="preserve">unbucketed</t>
        </is>
      </c>
      <c r="J1539" s="0" t="inlineStr">
        <is>
          <t xml:space="preserve">residual</t>
        </is>
      </c>
      <c r="K1539" s="5">
        <v>0</v>
      </c>
      <c r="L1539" s="5">
        <v>0</v>
      </c>
      <c r="M1539" s="5">
        <v>0.112446</v>
      </c>
      <c r="N1539" s="5">
        <v>0.0</v>
      </c>
      <c r="O1539" s="5">
        <v>0.0</v>
      </c>
      <c r="P1539" s="5">
        <v>0.0</v>
      </c>
      <c r="Q1539" s="5">
        <v>0.0</v>
      </c>
    </row>
    <row r="1540" outlineLevel="1">
      <c r="B1540" s="0" t="inlineStr">
        <is>
          <t xml:space="preserve">ARTCRAFT FABRICATORS, INC.</t>
        </is>
      </c>
      <c r="C1540" s="0" t="inlineStr">
        <is>
          <t xml:space="preserve">H4ZMPGLLZ8D9</t>
        </is>
      </c>
      <c r="D1540" s="0" t="inlineStr">
        <is>
          <t xml:space="preserve">-</t>
        </is>
      </c>
      <c r="E1540" s="0" t="inlineStr">
        <is>
          <t xml:space="preserve">-</t>
        </is>
      </c>
      <c r="F1540" s="0" t="inlineStr">
        <is>
          <t xml:space="preserve">-</t>
        </is>
      </c>
      <c r="G1540" s="5">
        <v>0.112426</v>
      </c>
      <c r="H1540" s="0" t="inlineStr">
        <is>
          <t xml:space="preserve">supplier</t>
        </is>
      </c>
      <c r="I1540" s="0" t="inlineStr">
        <is>
          <t xml:space="preserve">unbucketed</t>
        </is>
      </c>
      <c r="J1540" s="0" t="inlineStr">
        <is>
          <t xml:space="preserve">residual</t>
        </is>
      </c>
      <c r="K1540" s="5">
        <v>0</v>
      </c>
      <c r="L1540" s="5">
        <v>0</v>
      </c>
      <c r="M1540" s="5">
        <v>0.0</v>
      </c>
      <c r="N1540" s="5">
        <v>0.0</v>
      </c>
      <c r="O1540" s="5">
        <v>0.0</v>
      </c>
      <c r="P1540" s="5">
        <v>0.0</v>
      </c>
      <c r="Q1540" s="5">
        <v>0.0</v>
      </c>
    </row>
    <row r="1541" outlineLevel="1">
      <c r="B1541" s="0" t="inlineStr">
        <is>
          <t xml:space="preserve">KAMPI COMPONENTS CO INC</t>
        </is>
      </c>
      <c r="C1541" s="0" t="inlineStr">
        <is>
          <t xml:space="preserve">XX2WFHJEFB45</t>
        </is>
      </c>
      <c r="D1541" s="0" t="inlineStr">
        <is>
          <t xml:space="preserve">-</t>
        </is>
      </c>
      <c r="E1541" s="0" t="inlineStr">
        <is>
          <t xml:space="preserve">-</t>
        </is>
      </c>
      <c r="F1541" s="0" t="inlineStr">
        <is>
          <t xml:space="preserve">-</t>
        </is>
      </c>
      <c r="G1541" s="5">
        <v>0.11228239999999999</v>
      </c>
      <c r="H1541" s="0" t="inlineStr">
        <is>
          <t xml:space="preserve">supplier</t>
        </is>
      </c>
      <c r="I1541" s="0" t="inlineStr">
        <is>
          <t xml:space="preserve">unbucketed</t>
        </is>
      </c>
      <c r="J1541" s="0" t="inlineStr">
        <is>
          <t xml:space="preserve">residual</t>
        </is>
      </c>
      <c r="K1541" s="5">
        <v>0</v>
      </c>
      <c r="L1541" s="5">
        <v>0</v>
      </c>
      <c r="M1541" s="5">
        <v>0.0</v>
      </c>
      <c r="N1541" s="5">
        <v>0.0</v>
      </c>
      <c r="O1541" s="5">
        <v>0.0</v>
      </c>
      <c r="P1541" s="5">
        <v>0.0</v>
      </c>
      <c r="Q1541" s="5">
        <v>0.0</v>
      </c>
    </row>
    <row r="1542" outlineLevel="1">
      <c r="B1542" s="0" t="inlineStr">
        <is>
          <t xml:space="preserve">CASEMER TOOL &amp; MACHINE INC</t>
        </is>
      </c>
      <c r="C1542" s="0" t="inlineStr">
        <is>
          <t xml:space="preserve">JE1BMK3T9FN1</t>
        </is>
      </c>
      <c r="D1542" s="0" t="inlineStr">
        <is>
          <t xml:space="preserve">-</t>
        </is>
      </c>
      <c r="E1542" s="0" t="inlineStr">
        <is>
          <t xml:space="preserve">-</t>
        </is>
      </c>
      <c r="F1542" s="0" t="inlineStr">
        <is>
          <t xml:space="preserve">-</t>
        </is>
      </c>
      <c r="G1542" s="5">
        <v>0.112159</v>
      </c>
      <c r="H1542" s="0" t="inlineStr">
        <is>
          <t xml:space="preserve">supplier</t>
        </is>
      </c>
      <c r="I1542" s="0" t="inlineStr">
        <is>
          <t xml:space="preserve">unbucketed</t>
        </is>
      </c>
      <c r="J1542" s="0" t="inlineStr">
        <is>
          <t xml:space="preserve">residual</t>
        </is>
      </c>
      <c r="K1542" s="5">
        <v>0</v>
      </c>
      <c r="L1542" s="5">
        <v>0</v>
      </c>
      <c r="M1542" s="5">
        <v>0.0</v>
      </c>
      <c r="N1542" s="5">
        <v>0.0</v>
      </c>
      <c r="O1542" s="5">
        <v>0.0</v>
      </c>
      <c r="P1542" s="5">
        <v>0.0</v>
      </c>
      <c r="Q1542" s="5">
        <v>0.0</v>
      </c>
    </row>
    <row r="1543" outlineLevel="1">
      <c r="B1543" s="0" t="inlineStr">
        <is>
          <t xml:space="preserve">SAGINAW PRODUCTS CORPORATION</t>
        </is>
      </c>
      <c r="C1543" s="0" t="inlineStr">
        <is>
          <t xml:space="preserve">JLQEV9MULTF3</t>
        </is>
      </c>
      <c r="D1543" s="0" t="inlineStr">
        <is>
          <t xml:space="preserve">-</t>
        </is>
      </c>
      <c r="E1543" s="0" t="inlineStr">
        <is>
          <t xml:space="preserve">-</t>
        </is>
      </c>
      <c r="F1543" s="0" t="inlineStr">
        <is>
          <t xml:space="preserve">-</t>
        </is>
      </c>
      <c r="G1543" s="5">
        <v>0.11205516000000001</v>
      </c>
      <c r="H1543" s="0" t="inlineStr">
        <is>
          <t xml:space="preserve">supplier</t>
        </is>
      </c>
      <c r="I1543" s="0" t="inlineStr">
        <is>
          <t xml:space="preserve">unbucketed</t>
        </is>
      </c>
      <c r="J1543" s="0" t="inlineStr">
        <is>
          <t xml:space="preserve">residual</t>
        </is>
      </c>
      <c r="K1543" s="5">
        <v>0</v>
      </c>
      <c r="L1543" s="5">
        <v>0</v>
      </c>
      <c r="M1543" s="5">
        <v>0.0</v>
      </c>
      <c r="N1543" s="5">
        <v>0.0</v>
      </c>
      <c r="O1543" s="5">
        <v>0.0</v>
      </c>
      <c r="P1543" s="5">
        <v>0.0</v>
      </c>
      <c r="Q1543" s="5">
        <v>0.0</v>
      </c>
    </row>
    <row r="1544" outlineLevel="1">
      <c r="B1544" s="0" t="inlineStr">
        <is>
          <t xml:space="preserve">APPLIED AVIONICS, INC.</t>
        </is>
      </c>
      <c r="C1544" s="0" t="inlineStr">
        <is>
          <t xml:space="preserve">ZAS1Y8LV2653</t>
        </is>
      </c>
      <c r="D1544" s="0" t="inlineStr">
        <is>
          <t xml:space="preserve">-</t>
        </is>
      </c>
      <c r="E1544" s="0" t="inlineStr">
        <is>
          <t xml:space="preserve">-</t>
        </is>
      </c>
      <c r="F1544" s="0" t="inlineStr">
        <is>
          <t xml:space="preserve">-</t>
        </is>
      </c>
      <c r="G1544" s="5">
        <v>0.111842</v>
      </c>
      <c r="H1544" s="0" t="inlineStr">
        <is>
          <t xml:space="preserve">supplier</t>
        </is>
      </c>
      <c r="I1544" s="0" t="inlineStr">
        <is>
          <t xml:space="preserve">unbucketed</t>
        </is>
      </c>
      <c r="J1544" s="0" t="inlineStr">
        <is>
          <t xml:space="preserve">residual</t>
        </is>
      </c>
      <c r="K1544" s="5">
        <v>0</v>
      </c>
      <c r="L1544" s="5">
        <v>0</v>
      </c>
      <c r="M1544" s="5">
        <v>0.0</v>
      </c>
      <c r="N1544" s="5">
        <v>0.0</v>
      </c>
      <c r="O1544" s="5">
        <v>0.0</v>
      </c>
      <c r="P1544" s="5">
        <v>0.0</v>
      </c>
      <c r="Q1544" s="5">
        <v>0.0</v>
      </c>
    </row>
    <row r="1545" outlineLevel="1">
      <c r="B1545" s="0" t="inlineStr">
        <is>
          <t xml:space="preserve">CRENLO CAB PRODUCTS, INC</t>
        </is>
      </c>
      <c r="C1545" s="0" t="inlineStr">
        <is>
          <t xml:space="preserve">FFB3NUKMTNJ9</t>
        </is>
      </c>
      <c r="D1545" s="0" t="inlineStr">
        <is>
          <t xml:space="preserve">-</t>
        </is>
      </c>
      <c r="E1545" s="0" t="inlineStr">
        <is>
          <t xml:space="preserve">-</t>
        </is>
      </c>
      <c r="F1545" s="0" t="inlineStr">
        <is>
          <t xml:space="preserve">-</t>
        </is>
      </c>
      <c r="G1545" s="5">
        <v>0.111699</v>
      </c>
      <c r="H1545" s="0" t="inlineStr">
        <is>
          <t xml:space="preserve">supplier</t>
        </is>
      </c>
      <c r="I1545" s="0" t="inlineStr">
        <is>
          <t xml:space="preserve">unbucketed</t>
        </is>
      </c>
      <c r="J1545" s="0" t="inlineStr">
        <is>
          <t xml:space="preserve">residual</t>
        </is>
      </c>
      <c r="K1545" s="5">
        <v>0</v>
      </c>
      <c r="L1545" s="5">
        <v>0</v>
      </c>
      <c r="M1545" s="5">
        <v>0.0</v>
      </c>
      <c r="N1545" s="5">
        <v>0.0</v>
      </c>
      <c r="O1545" s="5">
        <v>0.0</v>
      </c>
      <c r="P1545" s="5">
        <v>0.0</v>
      </c>
      <c r="Q1545" s="5">
        <v>0.0</v>
      </c>
    </row>
    <row r="1546" outlineLevel="1">
      <c r="B1546" s="0" t="inlineStr">
        <is>
          <t xml:space="preserve">MFM SERVICES, LLC</t>
        </is>
      </c>
      <c r="C1546" s="0" t="inlineStr">
        <is>
          <t xml:space="preserve">FLD2KLJ6DLA3</t>
        </is>
      </c>
      <c r="D1546" s="0" t="inlineStr">
        <is>
          <t xml:space="preserve">-</t>
        </is>
      </c>
      <c r="E1546" s="0" t="inlineStr">
        <is>
          <t xml:space="preserve">-</t>
        </is>
      </c>
      <c r="F1546" s="0" t="inlineStr">
        <is>
          <t xml:space="preserve">-</t>
        </is>
      </c>
      <c r="G1546" s="5">
        <v>0.11119799999999999</v>
      </c>
      <c r="H1546" s="0" t="inlineStr">
        <is>
          <t xml:space="preserve">supplier</t>
        </is>
      </c>
      <c r="I1546" s="0" t="inlineStr">
        <is>
          <t xml:space="preserve">unbucketed</t>
        </is>
      </c>
      <c r="J1546" s="0" t="inlineStr">
        <is>
          <t xml:space="preserve">residual</t>
        </is>
      </c>
      <c r="K1546" s="5">
        <v>0</v>
      </c>
      <c r="L1546" s="5">
        <v>0</v>
      </c>
      <c r="M1546" s="5">
        <v>0.0</v>
      </c>
      <c r="N1546" s="5">
        <v>0.0</v>
      </c>
      <c r="O1546" s="5">
        <v>0.0</v>
      </c>
      <c r="P1546" s="5">
        <v>0.0</v>
      </c>
      <c r="Q1546" s="5">
        <v>0.0</v>
      </c>
    </row>
    <row r="1547" outlineLevel="1">
      <c r="B1547" s="0" t="inlineStr">
        <is>
          <t xml:space="preserve">FEDERAL RESOURCES SUPPLY COMPANY, LLC</t>
        </is>
      </c>
      <c r="C1547" s="0" t="inlineStr">
        <is>
          <t xml:space="preserve">UR5TFK3LAVL5</t>
        </is>
      </c>
      <c r="D1547" s="0" t="inlineStr">
        <is>
          <t xml:space="preserve">-</t>
        </is>
      </c>
      <c r="E1547" s="0" t="inlineStr">
        <is>
          <t xml:space="preserve">-</t>
        </is>
      </c>
      <c r="F1547" s="0" t="inlineStr">
        <is>
          <t xml:space="preserve">-</t>
        </is>
      </c>
      <c r="G1547" s="5">
        <v>0.11094551999999999</v>
      </c>
      <c r="H1547" s="0" t="inlineStr">
        <is>
          <t xml:space="preserve">supplier</t>
        </is>
      </c>
      <c r="I1547" s="0" t="inlineStr">
        <is>
          <t xml:space="preserve">unbucketed</t>
        </is>
      </c>
      <c r="J1547" s="0" t="inlineStr">
        <is>
          <t xml:space="preserve">residual</t>
        </is>
      </c>
      <c r="K1547" s="5">
        <v>0</v>
      </c>
      <c r="L1547" s="5">
        <v>0</v>
      </c>
      <c r="M1547" s="5">
        <v>0.11094551999999999</v>
      </c>
      <c r="N1547" s="5">
        <v>0.0</v>
      </c>
      <c r="O1547" s="5">
        <v>0.0</v>
      </c>
      <c r="P1547" s="5">
        <v>0.11094551999999999</v>
      </c>
      <c r="Q1547" s="5">
        <v>0.0</v>
      </c>
    </row>
    <row r="1548" outlineLevel="1">
      <c r="B1548" s="0" t="inlineStr">
        <is>
          <t xml:space="preserve">JACKSON PLATING CO.</t>
        </is>
      </c>
      <c r="C1548" s="0" t="inlineStr">
        <is>
          <t xml:space="preserve">JL4THZCMNKR7</t>
        </is>
      </c>
      <c r="D1548" s="0" t="inlineStr">
        <is>
          <t xml:space="preserve">-</t>
        </is>
      </c>
      <c r="E1548" s="0" t="inlineStr">
        <is>
          <t xml:space="preserve">-</t>
        </is>
      </c>
      <c r="F1548" s="0" t="inlineStr">
        <is>
          <t xml:space="preserve">-</t>
        </is>
      </c>
      <c r="G1548" s="5">
        <v>0.11049608</v>
      </c>
      <c r="H1548" s="0" t="inlineStr">
        <is>
          <t xml:space="preserve">supplier</t>
        </is>
      </c>
      <c r="I1548" s="0" t="inlineStr">
        <is>
          <t xml:space="preserve">unbucketed</t>
        </is>
      </c>
      <c r="J1548" s="0" t="inlineStr">
        <is>
          <t xml:space="preserve">residual</t>
        </is>
      </c>
      <c r="K1548" s="5">
        <v>0</v>
      </c>
      <c r="L1548" s="5">
        <v>0</v>
      </c>
      <c r="M1548" s="5">
        <v>0.11049608</v>
      </c>
      <c r="N1548" s="5">
        <v>0.0</v>
      </c>
      <c r="O1548" s="5">
        <v>0.0</v>
      </c>
      <c r="P1548" s="5">
        <v>0.0</v>
      </c>
      <c r="Q1548" s="5">
        <v>0.0</v>
      </c>
    </row>
    <row r="1549" outlineLevel="1">
      <c r="B1549" s="0" t="inlineStr">
        <is>
          <t xml:space="preserve">AUTOMATED PRECISION INC.</t>
        </is>
      </c>
      <c r="C1549" s="0" t="inlineStr">
        <is>
          <t xml:space="preserve">LR8MS4H7N2U5</t>
        </is>
      </c>
      <c r="D1549" s="0" t="inlineStr">
        <is>
          <t xml:space="preserve">-</t>
        </is>
      </c>
      <c r="E1549" s="0" t="inlineStr">
        <is>
          <t xml:space="preserve">-</t>
        </is>
      </c>
      <c r="F1549" s="0" t="inlineStr">
        <is>
          <t xml:space="preserve">-</t>
        </is>
      </c>
      <c r="G1549" s="5">
        <v>0.110405</v>
      </c>
      <c r="H1549" s="0" t="inlineStr">
        <is>
          <t xml:space="preserve">supplier</t>
        </is>
      </c>
      <c r="I1549" s="0" t="inlineStr">
        <is>
          <t xml:space="preserve">unbucketed</t>
        </is>
      </c>
      <c r="J1549" s="0" t="inlineStr">
        <is>
          <t xml:space="preserve">residual</t>
        </is>
      </c>
      <c r="K1549" s="5">
        <v>0</v>
      </c>
      <c r="L1549" s="5">
        <v>0</v>
      </c>
      <c r="M1549" s="5">
        <v>0.0</v>
      </c>
      <c r="N1549" s="5">
        <v>0.0</v>
      </c>
      <c r="O1549" s="5">
        <v>0.0</v>
      </c>
      <c r="P1549" s="5">
        <v>0.0</v>
      </c>
      <c r="Q1549" s="5">
        <v>0.0</v>
      </c>
    </row>
    <row r="1550" outlineLevel="1">
      <c r="B1550" s="0" t="inlineStr">
        <is>
          <t xml:space="preserve">USBID INCORPORATED</t>
        </is>
      </c>
      <c r="C1550" s="0" t="inlineStr">
        <is>
          <t xml:space="preserve">GGERZB4A1FB3</t>
        </is>
      </c>
      <c r="D1550" s="0" t="inlineStr">
        <is>
          <t xml:space="preserve">-</t>
        </is>
      </c>
      <c r="E1550" s="0" t="inlineStr">
        <is>
          <t xml:space="preserve">-</t>
        </is>
      </c>
      <c r="F1550" s="0" t="inlineStr">
        <is>
          <t xml:space="preserve">-</t>
        </is>
      </c>
      <c r="G1550" s="5">
        <v>0.1103875</v>
      </c>
      <c r="H1550" s="0" t="inlineStr">
        <is>
          <t xml:space="preserve">supplier</t>
        </is>
      </c>
      <c r="I1550" s="0" t="inlineStr">
        <is>
          <t xml:space="preserve">unbucketed</t>
        </is>
      </c>
      <c r="J1550" s="0" t="inlineStr">
        <is>
          <t xml:space="preserve">residual</t>
        </is>
      </c>
      <c r="K1550" s="5">
        <v>0</v>
      </c>
      <c r="L1550" s="5">
        <v>0</v>
      </c>
      <c r="M1550" s="5">
        <v>0.1103875</v>
      </c>
      <c r="N1550" s="5">
        <v>0.0533875</v>
      </c>
      <c r="O1550" s="5">
        <v>0.0</v>
      </c>
      <c r="P1550" s="5">
        <v>0.0</v>
      </c>
      <c r="Q1550" s="5">
        <v>0.0</v>
      </c>
    </row>
    <row r="1551" outlineLevel="1">
      <c r="B1551" s="0" t="inlineStr">
        <is>
          <t xml:space="preserve">ES BETA, INC.</t>
        </is>
      </c>
      <c r="C1551" s="0" t="inlineStr">
        <is>
          <t xml:space="preserve">QHM2PDDGFVN5</t>
        </is>
      </c>
      <c r="D1551" s="0" t="inlineStr">
        <is>
          <t xml:space="preserve">-</t>
        </is>
      </c>
      <c r="E1551" s="0" t="inlineStr">
        <is>
          <t xml:space="preserve">-</t>
        </is>
      </c>
      <c r="F1551" s="0" t="inlineStr">
        <is>
          <t xml:space="preserve">-</t>
        </is>
      </c>
      <c r="G1551" s="5">
        <v>0.11032</v>
      </c>
      <c r="H1551" s="0" t="inlineStr">
        <is>
          <t xml:space="preserve">supplier</t>
        </is>
      </c>
      <c r="I1551" s="0" t="inlineStr">
        <is>
          <t xml:space="preserve">unbucketed</t>
        </is>
      </c>
      <c r="J1551" s="0" t="inlineStr">
        <is>
          <t xml:space="preserve">residual</t>
        </is>
      </c>
      <c r="K1551" s="5">
        <v>0</v>
      </c>
      <c r="L1551" s="5">
        <v>0</v>
      </c>
      <c r="M1551" s="5">
        <v>0.0</v>
      </c>
      <c r="N1551" s="5">
        <v>0.0</v>
      </c>
      <c r="O1551" s="5">
        <v>0.0</v>
      </c>
      <c r="P1551" s="5">
        <v>0.0</v>
      </c>
      <c r="Q1551" s="5">
        <v>0.0</v>
      </c>
    </row>
    <row r="1552" outlineLevel="1">
      <c r="B1552" s="0" t="inlineStr">
        <is>
          <t xml:space="preserve">ISOVOLTA INC.</t>
        </is>
      </c>
      <c r="C1552" s="0" t="inlineStr">
        <is>
          <t xml:space="preserve">VGG2LCJZKF13</t>
        </is>
      </c>
      <c r="D1552" s="0" t="inlineStr">
        <is>
          <t xml:space="preserve">-</t>
        </is>
      </c>
      <c r="E1552" s="0" t="inlineStr">
        <is>
          <t xml:space="preserve">-</t>
        </is>
      </c>
      <c r="F1552" s="0" t="inlineStr">
        <is>
          <t xml:space="preserve">-</t>
        </is>
      </c>
      <c r="G1552" s="5">
        <v>0.110316</v>
      </c>
      <c r="H1552" s="0" t="inlineStr">
        <is>
          <t xml:space="preserve">supplier</t>
        </is>
      </c>
      <c r="I1552" s="0" t="inlineStr">
        <is>
          <t xml:space="preserve">unbucketed</t>
        </is>
      </c>
      <c r="J1552" s="0" t="inlineStr">
        <is>
          <t xml:space="preserve">residual</t>
        </is>
      </c>
      <c r="K1552" s="5">
        <v>0</v>
      </c>
      <c r="L1552" s="5">
        <v>0</v>
      </c>
      <c r="M1552" s="5">
        <v>0.0</v>
      </c>
      <c r="N1552" s="5">
        <v>0.0</v>
      </c>
      <c r="O1552" s="5">
        <v>0.0</v>
      </c>
      <c r="P1552" s="5">
        <v>0.0</v>
      </c>
      <c r="Q1552" s="5">
        <v>0.0</v>
      </c>
    </row>
    <row r="1553" outlineLevel="1">
      <c r="B1553" s="0" t="inlineStr">
        <is>
          <t xml:space="preserve">US TOOL GRINDING INC</t>
        </is>
      </c>
      <c r="C1553" s="0" t="inlineStr">
        <is>
          <t xml:space="preserve">UDMKPLHU8N48</t>
        </is>
      </c>
      <c r="D1553" s="0" t="inlineStr">
        <is>
          <t xml:space="preserve">-</t>
        </is>
      </c>
      <c r="E1553" s="0" t="inlineStr">
        <is>
          <t xml:space="preserve">-</t>
        </is>
      </c>
      <c r="F1553" s="0" t="inlineStr">
        <is>
          <t xml:space="preserve">-</t>
        </is>
      </c>
      <c r="G1553" s="5">
        <v>0.11022392</v>
      </c>
      <c r="H1553" s="0" t="inlineStr">
        <is>
          <t xml:space="preserve">supplier</t>
        </is>
      </c>
      <c r="I1553" s="0" t="inlineStr">
        <is>
          <t xml:space="preserve">unbucketed</t>
        </is>
      </c>
      <c r="J1553" s="0" t="inlineStr">
        <is>
          <t xml:space="preserve">residual</t>
        </is>
      </c>
      <c r="K1553" s="5">
        <v>0</v>
      </c>
      <c r="L1553" s="5">
        <v>0</v>
      </c>
      <c r="M1553" s="5">
        <v>0.11022392</v>
      </c>
      <c r="N1553" s="5">
        <v>0.0</v>
      </c>
      <c r="O1553" s="5">
        <v>0.0</v>
      </c>
      <c r="P1553" s="5">
        <v>0.11022392</v>
      </c>
      <c r="Q1553" s="5">
        <v>0.0</v>
      </c>
    </row>
    <row r="1554" outlineLevel="1">
      <c r="B1554" s="0" t="inlineStr">
        <is>
          <t xml:space="preserve">INDUSTRIAL FILTER MANUFACTURERS INC</t>
        </is>
      </c>
      <c r="C1554" s="0" t="inlineStr">
        <is>
          <t xml:space="preserve">K73HH1JM4245</t>
        </is>
      </c>
      <c r="D1554" s="0" t="inlineStr">
        <is>
          <t xml:space="preserve">-</t>
        </is>
      </c>
      <c r="E1554" s="0" t="inlineStr">
        <is>
          <t xml:space="preserve">-</t>
        </is>
      </c>
      <c r="F1554" s="0" t="inlineStr">
        <is>
          <t xml:space="preserve">-</t>
        </is>
      </c>
      <c r="G1554" s="5">
        <v>0.11018</v>
      </c>
      <c r="H1554" s="0" t="inlineStr">
        <is>
          <t xml:space="preserve">supplier</t>
        </is>
      </c>
      <c r="I1554" s="0" t="inlineStr">
        <is>
          <t xml:space="preserve">unbucketed</t>
        </is>
      </c>
      <c r="J1554" s="0" t="inlineStr">
        <is>
          <t xml:space="preserve">residual</t>
        </is>
      </c>
      <c r="K1554" s="5">
        <v>0</v>
      </c>
      <c r="L1554" s="5">
        <v>0</v>
      </c>
      <c r="M1554" s="5">
        <v>0.0</v>
      </c>
      <c r="N1554" s="5">
        <v>0.0</v>
      </c>
      <c r="O1554" s="5">
        <v>0.0</v>
      </c>
      <c r="P1554" s="5">
        <v>0.0</v>
      </c>
      <c r="Q1554" s="5">
        <v>0.0</v>
      </c>
    </row>
    <row r="1555" outlineLevel="1">
      <c r="B1555" s="0" t="inlineStr">
        <is>
          <t xml:space="preserve">LORD CORPORATION</t>
        </is>
      </c>
      <c r="C1555" s="0" t="inlineStr">
        <is>
          <t xml:space="preserve">FH8KQEYJMGL3</t>
        </is>
      </c>
      <c r="D1555" s="0" t="inlineStr">
        <is>
          <t xml:space="preserve">-</t>
        </is>
      </c>
      <c r="E1555" s="0" t="inlineStr">
        <is>
          <t xml:space="preserve">-</t>
        </is>
      </c>
      <c r="F1555" s="0" t="inlineStr">
        <is>
          <t xml:space="preserve">-</t>
        </is>
      </c>
      <c r="G1555" s="5">
        <v>0.1098456</v>
      </c>
      <c r="H1555" s="0" t="inlineStr">
        <is>
          <t xml:space="preserve">supplier</t>
        </is>
      </c>
      <c r="I1555" s="0" t="inlineStr">
        <is>
          <t xml:space="preserve">unbucketed</t>
        </is>
      </c>
      <c r="J1555" s="0" t="inlineStr">
        <is>
          <t xml:space="preserve">residual</t>
        </is>
      </c>
      <c r="K1555" s="5">
        <v>0</v>
      </c>
      <c r="L1555" s="5">
        <v>0</v>
      </c>
      <c r="M1555" s="5">
        <v>0.0</v>
      </c>
      <c r="N1555" s="5">
        <v>0.0</v>
      </c>
      <c r="O1555" s="5">
        <v>0.0</v>
      </c>
      <c r="P1555" s="5">
        <v>0.0</v>
      </c>
      <c r="Q1555" s="5">
        <v>0.0</v>
      </c>
    </row>
    <row r="1556" outlineLevel="1">
      <c r="B1556" s="0" t="inlineStr">
        <is>
          <t xml:space="preserve">THEMIS COMPUTER</t>
        </is>
      </c>
      <c r="C1556" s="0" t="inlineStr">
        <is>
          <t xml:space="preserve">K85XUK3ARLX6</t>
        </is>
      </c>
      <c r="D1556" s="0" t="inlineStr">
        <is>
          <t xml:space="preserve">-</t>
        </is>
      </c>
      <c r="E1556" s="0" t="inlineStr">
        <is>
          <t xml:space="preserve">-</t>
        </is>
      </c>
      <c r="F1556" s="0" t="inlineStr">
        <is>
          <t xml:space="preserve">-</t>
        </is>
      </c>
      <c r="G1556" s="5">
        <v>0.109368</v>
      </c>
      <c r="H1556" s="0" t="inlineStr">
        <is>
          <t xml:space="preserve">supplier</t>
        </is>
      </c>
      <c r="I1556" s="0" t="inlineStr">
        <is>
          <t xml:space="preserve">unbucketed</t>
        </is>
      </c>
      <c r="J1556" s="0" t="inlineStr">
        <is>
          <t xml:space="preserve">residual</t>
        </is>
      </c>
      <c r="K1556" s="5">
        <v>0</v>
      </c>
      <c r="L1556" s="5">
        <v>0</v>
      </c>
      <c r="M1556" s="5">
        <v>0.0</v>
      </c>
      <c r="N1556" s="5">
        <v>0.0</v>
      </c>
      <c r="O1556" s="5">
        <v>0.0</v>
      </c>
      <c r="P1556" s="5">
        <v>0.0</v>
      </c>
      <c r="Q1556" s="5">
        <v>0.0</v>
      </c>
    </row>
    <row r="1557" outlineLevel="1">
      <c r="B1557" s="0" t="inlineStr">
        <is>
          <t xml:space="preserve">COBHAM ADVANCED ELECTRONIC SOLUTIONS INC.</t>
        </is>
      </c>
      <c r="C1557" s="0" t="inlineStr">
        <is>
          <t xml:space="preserve">VNP2L293JWL6</t>
        </is>
      </c>
      <c r="D1557" s="0" t="inlineStr">
        <is>
          <t xml:space="preserve">-</t>
        </is>
      </c>
      <c r="E1557" s="0" t="inlineStr">
        <is>
          <t xml:space="preserve">-</t>
        </is>
      </c>
      <c r="F1557" s="0" t="inlineStr">
        <is>
          <t xml:space="preserve">-</t>
        </is>
      </c>
      <c r="G1557" s="5">
        <v>0.1092</v>
      </c>
      <c r="H1557" s="0" t="inlineStr">
        <is>
          <t xml:space="preserve">mission_systems</t>
        </is>
      </c>
      <c r="I1557" s="0" t="inlineStr">
        <is>
          <t xml:space="preserve">-</t>
        </is>
      </c>
      <c r="J1557" s="0" t="inlineStr">
        <is>
          <t xml:space="preserve">registry</t>
        </is>
      </c>
      <c r="K1557" s="5">
        <v>0</v>
      </c>
      <c r="L1557" s="5">
        <v>0</v>
      </c>
      <c r="M1557" s="5">
        <v>0.0</v>
      </c>
      <c r="N1557" s="5">
        <v>0.0</v>
      </c>
      <c r="O1557" s="5">
        <v>0.0</v>
      </c>
      <c r="P1557" s="5">
        <v>0.0</v>
      </c>
      <c r="Q1557" s="5">
        <v>0.0</v>
      </c>
    </row>
    <row r="1558" outlineLevel="1">
      <c r="B1558" s="0" t="inlineStr">
        <is>
          <t xml:space="preserve">MESTEK INC</t>
        </is>
      </c>
      <c r="C1558" s="0" t="inlineStr">
        <is>
          <t xml:space="preserve">D497LKJGKS84</t>
        </is>
      </c>
      <c r="D1558" s="0" t="inlineStr">
        <is>
          <t xml:space="preserve">-</t>
        </is>
      </c>
      <c r="E1558" s="0" t="inlineStr">
        <is>
          <t xml:space="preserve">-</t>
        </is>
      </c>
      <c r="F1558" s="0" t="inlineStr">
        <is>
          <t xml:space="preserve">-</t>
        </is>
      </c>
      <c r="G1558" s="5">
        <v>0.109061</v>
      </c>
      <c r="H1558" s="0" t="inlineStr">
        <is>
          <t xml:space="preserve">supplier</t>
        </is>
      </c>
      <c r="I1558" s="0" t="inlineStr">
        <is>
          <t xml:space="preserve">unbucketed</t>
        </is>
      </c>
      <c r="J1558" s="0" t="inlineStr">
        <is>
          <t xml:space="preserve">residual</t>
        </is>
      </c>
      <c r="K1558" s="5">
        <v>0</v>
      </c>
      <c r="L1558" s="5">
        <v>0</v>
      </c>
      <c r="M1558" s="5">
        <v>0.109061</v>
      </c>
      <c r="N1558" s="5">
        <v>0.0</v>
      </c>
      <c r="O1558" s="5">
        <v>0.109061</v>
      </c>
      <c r="P1558" s="5">
        <v>0.0</v>
      </c>
      <c r="Q1558" s="5">
        <v>0.0</v>
      </c>
    </row>
    <row r="1559" outlineLevel="1">
      <c r="B1559" s="0" t="inlineStr">
        <is>
          <t xml:space="preserve">PREMIER FARNELL LIMITED</t>
        </is>
      </c>
      <c r="C1559" s="0" t="inlineStr">
        <is>
          <t xml:space="preserve">R71XN254HA36</t>
        </is>
      </c>
      <c r="D1559" s="0" t="inlineStr">
        <is>
          <t xml:space="preserve">-</t>
        </is>
      </c>
      <c r="E1559" s="0" t="inlineStr">
        <is>
          <t xml:space="preserve">-</t>
        </is>
      </c>
      <c r="F1559" s="0" t="inlineStr">
        <is>
          <t xml:space="preserve">-</t>
        </is>
      </c>
      <c r="G1559" s="5">
        <v>0.10906</v>
      </c>
      <c r="H1559" s="0" t="inlineStr">
        <is>
          <t xml:space="preserve">supplier</t>
        </is>
      </c>
      <c r="I1559" s="0" t="inlineStr">
        <is>
          <t xml:space="preserve">unbucketed</t>
        </is>
      </c>
      <c r="J1559" s="0" t="inlineStr">
        <is>
          <t xml:space="preserve">residual</t>
        </is>
      </c>
      <c r="K1559" s="5">
        <v>0</v>
      </c>
      <c r="L1559" s="5">
        <v>0</v>
      </c>
      <c r="M1559" s="5">
        <v>0.10906</v>
      </c>
      <c r="N1559" s="5">
        <v>0.0</v>
      </c>
      <c r="O1559" s="5">
        <v>0.0</v>
      </c>
      <c r="P1559" s="5">
        <v>0.0</v>
      </c>
      <c r="Q1559" s="5">
        <v>0.0</v>
      </c>
    </row>
    <row r="1560" outlineLevel="1">
      <c r="B1560" s="0" t="inlineStr">
        <is>
          <t xml:space="preserve">AUDIOSCIENCE INC.</t>
        </is>
      </c>
      <c r="C1560" s="0" t="inlineStr">
        <is>
          <t xml:space="preserve">Z7D5BQGNHC99</t>
        </is>
      </c>
      <c r="D1560" s="0" t="inlineStr">
        <is>
          <t xml:space="preserve">-</t>
        </is>
      </c>
      <c r="E1560" s="0" t="inlineStr">
        <is>
          <t xml:space="preserve">-</t>
        </is>
      </c>
      <c r="F1560" s="0" t="inlineStr">
        <is>
          <t xml:space="preserve">-</t>
        </is>
      </c>
      <c r="G1560" s="5">
        <v>0.109</v>
      </c>
      <c r="H1560" s="0" t="inlineStr">
        <is>
          <t xml:space="preserve">supplier</t>
        </is>
      </c>
      <c r="I1560" s="0" t="inlineStr">
        <is>
          <t xml:space="preserve">unbucketed</t>
        </is>
      </c>
      <c r="J1560" s="0" t="inlineStr">
        <is>
          <t xml:space="preserve">residual</t>
        </is>
      </c>
      <c r="K1560" s="5">
        <v>0</v>
      </c>
      <c r="L1560" s="5">
        <v>0</v>
      </c>
      <c r="M1560" s="5">
        <v>0.0</v>
      </c>
      <c r="N1560" s="5">
        <v>0.0</v>
      </c>
      <c r="O1560" s="5">
        <v>0.0</v>
      </c>
      <c r="P1560" s="5">
        <v>0.0</v>
      </c>
      <c r="Q1560" s="5">
        <v>0.0</v>
      </c>
    </row>
    <row r="1561" outlineLevel="1">
      <c r="B1561" s="0" t="inlineStr">
        <is>
          <t xml:space="preserve">BETA SHIM CO.</t>
        </is>
      </c>
      <c r="C1561" s="0" t="inlineStr">
        <is>
          <t xml:space="preserve">EVJJETY9ZF95</t>
        </is>
      </c>
      <c r="D1561" s="0" t="inlineStr">
        <is>
          <t xml:space="preserve">-</t>
        </is>
      </c>
      <c r="E1561" s="0" t="inlineStr">
        <is>
          <t xml:space="preserve">-</t>
        </is>
      </c>
      <c r="F1561" s="0" t="inlineStr">
        <is>
          <t xml:space="preserve">-</t>
        </is>
      </c>
      <c r="G1561" s="5">
        <v>0.108736</v>
      </c>
      <c r="H1561" s="0" t="inlineStr">
        <is>
          <t xml:space="preserve">supplier</t>
        </is>
      </c>
      <c r="I1561" s="0" t="inlineStr">
        <is>
          <t xml:space="preserve">unbucketed</t>
        </is>
      </c>
      <c r="J1561" s="0" t="inlineStr">
        <is>
          <t xml:space="preserve">residual</t>
        </is>
      </c>
      <c r="K1561" s="5">
        <v>0</v>
      </c>
      <c r="L1561" s="5">
        <v>0</v>
      </c>
      <c r="M1561" s="5">
        <v>0.0</v>
      </c>
      <c r="N1561" s="5">
        <v>0.0</v>
      </c>
      <c r="O1561" s="5">
        <v>0.0</v>
      </c>
      <c r="P1561" s="5">
        <v>0.0</v>
      </c>
      <c r="Q1561" s="5">
        <v>0.0</v>
      </c>
    </row>
    <row r="1562" outlineLevel="1">
      <c r="B1562" s="0" t="inlineStr">
        <is>
          <t xml:space="preserve">ANDREW TOOL &amp; MACHINING COMPANY</t>
        </is>
      </c>
      <c r="C1562" s="0" t="inlineStr">
        <is>
          <t xml:space="preserve">DQYSCPNPTTY4</t>
        </is>
      </c>
      <c r="D1562" s="0" t="inlineStr">
        <is>
          <t xml:space="preserve">-</t>
        </is>
      </c>
      <c r="E1562" s="0" t="inlineStr">
        <is>
          <t xml:space="preserve">-</t>
        </is>
      </c>
      <c r="F1562" s="0" t="inlineStr">
        <is>
          <t xml:space="preserve">-</t>
        </is>
      </c>
      <c r="G1562" s="5">
        <v>0.108485</v>
      </c>
      <c r="H1562" s="0" t="inlineStr">
        <is>
          <t xml:space="preserve">supplier</t>
        </is>
      </c>
      <c r="I1562" s="0" t="inlineStr">
        <is>
          <t xml:space="preserve">unbucketed</t>
        </is>
      </c>
      <c r="J1562" s="0" t="inlineStr">
        <is>
          <t xml:space="preserve">residual</t>
        </is>
      </c>
      <c r="K1562" s="5">
        <v>0</v>
      </c>
      <c r="L1562" s="5">
        <v>0</v>
      </c>
      <c r="M1562" s="5">
        <v>0.0</v>
      </c>
      <c r="N1562" s="5">
        <v>0.0</v>
      </c>
      <c r="O1562" s="5">
        <v>0.0</v>
      </c>
      <c r="P1562" s="5">
        <v>0.0</v>
      </c>
      <c r="Q1562" s="5">
        <v>0.0</v>
      </c>
    </row>
    <row r="1563" outlineLevel="1">
      <c r="B1563" s="0" t="inlineStr">
        <is>
          <t xml:space="preserve">METLFAB, INC.</t>
        </is>
      </c>
      <c r="C1563" s="0" t="inlineStr">
        <is>
          <t xml:space="preserve">HQDAAL1XU6E4</t>
        </is>
      </c>
      <c r="D1563" s="0" t="inlineStr">
        <is>
          <t xml:space="preserve">-</t>
        </is>
      </c>
      <c r="E1563" s="0" t="inlineStr">
        <is>
          <t xml:space="preserve">-</t>
        </is>
      </c>
      <c r="F1563" s="0" t="inlineStr">
        <is>
          <t xml:space="preserve">-</t>
        </is>
      </c>
      <c r="G1563" s="5">
        <v>0.10841086</v>
      </c>
      <c r="H1563" s="0" t="inlineStr">
        <is>
          <t xml:space="preserve">supplier</t>
        </is>
      </c>
      <c r="I1563" s="0" t="inlineStr">
        <is>
          <t xml:space="preserve">unbucketed</t>
        </is>
      </c>
      <c r="J1563" s="0" t="inlineStr">
        <is>
          <t xml:space="preserve">residual</t>
        </is>
      </c>
      <c r="K1563" s="5">
        <v>0</v>
      </c>
      <c r="L1563" s="5">
        <v>0</v>
      </c>
      <c r="M1563" s="5">
        <v>0.0</v>
      </c>
      <c r="N1563" s="5">
        <v>0.0</v>
      </c>
      <c r="O1563" s="5">
        <v>0.0</v>
      </c>
      <c r="P1563" s="5">
        <v>0.0</v>
      </c>
      <c r="Q1563" s="5">
        <v>0.0</v>
      </c>
    </row>
    <row r="1564" outlineLevel="1">
      <c r="B1564" s="0" t="inlineStr">
        <is>
          <t xml:space="preserve">GENUINE PARTS COMPANY</t>
        </is>
      </c>
      <c r="C1564" s="0" t="inlineStr">
        <is>
          <t xml:space="preserve">SBKKUUHKGXQ1</t>
        </is>
      </c>
      <c r="D1564" s="0" t="inlineStr">
        <is>
          <t xml:space="preserve">-</t>
        </is>
      </c>
      <c r="E1564" s="0" t="inlineStr">
        <is>
          <t xml:space="preserve">-</t>
        </is>
      </c>
      <c r="F1564" s="0" t="inlineStr">
        <is>
          <t xml:space="preserve">-</t>
        </is>
      </c>
      <c r="G1564" s="5">
        <v>0.108365</v>
      </c>
      <c r="H1564" s="0" t="inlineStr">
        <is>
          <t xml:space="preserve">supplier</t>
        </is>
      </c>
      <c r="I1564" s="0" t="inlineStr">
        <is>
          <t xml:space="preserve">unbucketed</t>
        </is>
      </c>
      <c r="J1564" s="0" t="inlineStr">
        <is>
          <t xml:space="preserve">residual</t>
        </is>
      </c>
      <c r="K1564" s="5">
        <v>0</v>
      </c>
      <c r="L1564" s="5">
        <v>0</v>
      </c>
      <c r="M1564" s="5">
        <v>0.0</v>
      </c>
      <c r="N1564" s="5">
        <v>0.0</v>
      </c>
      <c r="O1564" s="5">
        <v>0.0</v>
      </c>
      <c r="P1564" s="5">
        <v>0.0</v>
      </c>
      <c r="Q1564" s="5">
        <v>0.0</v>
      </c>
    </row>
    <row r="1565" outlineLevel="1">
      <c r="B1565" s="0" t="inlineStr">
        <is>
          <t xml:space="preserve">ELECTRO SWITCH CORP.</t>
        </is>
      </c>
      <c r="C1565" s="0" t="inlineStr">
        <is>
          <t xml:space="preserve">V9LMYED91357</t>
        </is>
      </c>
      <c r="D1565" s="0" t="inlineStr">
        <is>
          <t xml:space="preserve">-</t>
        </is>
      </c>
      <c r="E1565" s="0" t="inlineStr">
        <is>
          <t xml:space="preserve">-</t>
        </is>
      </c>
      <c r="F1565" s="0" t="inlineStr">
        <is>
          <t xml:space="preserve">-</t>
        </is>
      </c>
      <c r="G1565" s="5">
        <v>0.1077895</v>
      </c>
      <c r="H1565" s="0" t="inlineStr">
        <is>
          <t xml:space="preserve">supplier</t>
        </is>
      </c>
      <c r="I1565" s="0" t="inlineStr">
        <is>
          <t xml:space="preserve">unbucketed</t>
        </is>
      </c>
      <c r="J1565" s="0" t="inlineStr">
        <is>
          <t xml:space="preserve">residual</t>
        </is>
      </c>
      <c r="K1565" s="5">
        <v>0</v>
      </c>
      <c r="L1565" s="5">
        <v>0</v>
      </c>
      <c r="M1565" s="5">
        <v>0.0</v>
      </c>
      <c r="N1565" s="5">
        <v>0.0</v>
      </c>
      <c r="O1565" s="5">
        <v>0.0</v>
      </c>
      <c r="P1565" s="5">
        <v>0.0</v>
      </c>
      <c r="Q1565" s="5">
        <v>0.0</v>
      </c>
    </row>
    <row r="1566" outlineLevel="1">
      <c r="B1566" s="0" t="inlineStr">
        <is>
          <t xml:space="preserve">CIRRIS, INC.</t>
        </is>
      </c>
      <c r="C1566" s="0" t="inlineStr">
        <is>
          <t xml:space="preserve">W7HUVY8QK6C3</t>
        </is>
      </c>
      <c r="D1566" s="0" t="inlineStr">
        <is>
          <t xml:space="preserve">-</t>
        </is>
      </c>
      <c r="E1566" s="0" t="inlineStr">
        <is>
          <t xml:space="preserve">-</t>
        </is>
      </c>
      <c r="F1566" s="0" t="inlineStr">
        <is>
          <t xml:space="preserve">-</t>
        </is>
      </c>
      <c r="G1566" s="5">
        <v>0.107598</v>
      </c>
      <c r="H1566" s="0" t="inlineStr">
        <is>
          <t xml:space="preserve">supplier</t>
        </is>
      </c>
      <c r="I1566" s="0" t="inlineStr">
        <is>
          <t xml:space="preserve">unbucketed</t>
        </is>
      </c>
      <c r="J1566" s="0" t="inlineStr">
        <is>
          <t xml:space="preserve">residual</t>
        </is>
      </c>
      <c r="K1566" s="5">
        <v>0</v>
      </c>
      <c r="L1566" s="5">
        <v>0</v>
      </c>
      <c r="M1566" s="5">
        <v>0.0</v>
      </c>
      <c r="N1566" s="5">
        <v>0.0</v>
      </c>
      <c r="O1566" s="5">
        <v>0.0</v>
      </c>
      <c r="P1566" s="5">
        <v>0.0</v>
      </c>
      <c r="Q1566" s="5">
        <v>0.0</v>
      </c>
    </row>
    <row r="1567" outlineLevel="1">
      <c r="B1567" s="0" t="inlineStr">
        <is>
          <t xml:space="preserve">THYSSENKRUPP AG</t>
        </is>
      </c>
      <c r="C1567" s="0" t="inlineStr">
        <is>
          <t xml:space="preserve">V9LSQ75M16G3</t>
        </is>
      </c>
      <c r="D1567" s="0" t="inlineStr">
        <is>
          <t xml:space="preserve">-</t>
        </is>
      </c>
      <c r="E1567" s="0" t="inlineStr">
        <is>
          <t xml:space="preserve">-</t>
        </is>
      </c>
      <c r="F1567" s="0" t="inlineStr">
        <is>
          <t xml:space="preserve">-</t>
        </is>
      </c>
      <c r="G1567" s="5">
        <v>0.10755932000000001</v>
      </c>
      <c r="H1567" s="0" t="inlineStr">
        <is>
          <t xml:space="preserve">supplier</t>
        </is>
      </c>
      <c r="I1567" s="0" t="inlineStr">
        <is>
          <t xml:space="preserve">unbucketed</t>
        </is>
      </c>
      <c r="J1567" s="0" t="inlineStr">
        <is>
          <t xml:space="preserve">residual</t>
        </is>
      </c>
      <c r="K1567" s="5">
        <v>0</v>
      </c>
      <c r="L1567" s="5">
        <v>0</v>
      </c>
      <c r="M1567" s="5">
        <v>0.0</v>
      </c>
      <c r="N1567" s="5">
        <v>0.0</v>
      </c>
      <c r="O1567" s="5">
        <v>0.0</v>
      </c>
      <c r="P1567" s="5">
        <v>0.0</v>
      </c>
      <c r="Q1567" s="5">
        <v>0.0</v>
      </c>
    </row>
    <row r="1568" outlineLevel="1">
      <c r="B1568" s="0" t="inlineStr">
        <is>
          <t xml:space="preserve">DUCWORKS INC</t>
        </is>
      </c>
      <c r="C1568" s="0" t="inlineStr">
        <is>
          <t xml:space="preserve">PMEEVBBB7418</t>
        </is>
      </c>
      <c r="D1568" s="0" t="inlineStr">
        <is>
          <t xml:space="preserve">-</t>
        </is>
      </c>
      <c r="E1568" s="0" t="inlineStr">
        <is>
          <t xml:space="preserve">-</t>
        </is>
      </c>
      <c r="F1568" s="0" t="inlineStr">
        <is>
          <t xml:space="preserve">-</t>
        </is>
      </c>
      <c r="G1568" s="5">
        <v>0.10746</v>
      </c>
      <c r="H1568" s="0" t="inlineStr">
        <is>
          <t xml:space="preserve">supplier</t>
        </is>
      </c>
      <c r="I1568" s="0" t="inlineStr">
        <is>
          <t xml:space="preserve">unbucketed</t>
        </is>
      </c>
      <c r="J1568" s="0" t="inlineStr">
        <is>
          <t xml:space="preserve">residual</t>
        </is>
      </c>
      <c r="K1568" s="5">
        <v>0</v>
      </c>
      <c r="L1568" s="5">
        <v>0</v>
      </c>
      <c r="M1568" s="5">
        <v>0.0</v>
      </c>
      <c r="N1568" s="5">
        <v>0.0</v>
      </c>
      <c r="O1568" s="5">
        <v>0.0</v>
      </c>
      <c r="P1568" s="5">
        <v>0.0</v>
      </c>
      <c r="Q1568" s="5">
        <v>0.0</v>
      </c>
    </row>
    <row r="1569" outlineLevel="1">
      <c r="B1569" s="0" t="inlineStr">
        <is>
          <t xml:space="preserve">WESCO INTERNATIONAL, INC.</t>
        </is>
      </c>
      <c r="C1569" s="0" t="inlineStr">
        <is>
          <t xml:space="preserve">LJLZRNS9DYC6</t>
        </is>
      </c>
      <c r="D1569" s="0" t="inlineStr">
        <is>
          <t xml:space="preserve">-</t>
        </is>
      </c>
      <c r="E1569" s="0" t="inlineStr">
        <is>
          <t xml:space="preserve">-</t>
        </is>
      </c>
      <c r="F1569" s="0" t="inlineStr">
        <is>
          <t xml:space="preserve">-</t>
        </is>
      </c>
      <c r="G1569" s="5">
        <v>0.10732447</v>
      </c>
      <c r="H1569" s="0" t="inlineStr">
        <is>
          <t xml:space="preserve">supplier</t>
        </is>
      </c>
      <c r="I1569" s="0" t="inlineStr">
        <is>
          <t xml:space="preserve">unbucketed</t>
        </is>
      </c>
      <c r="J1569" s="0" t="inlineStr">
        <is>
          <t xml:space="preserve">residual</t>
        </is>
      </c>
      <c r="K1569" s="5">
        <v>0</v>
      </c>
      <c r="L1569" s="5">
        <v>0</v>
      </c>
      <c r="M1569" s="5">
        <v>0.10732447</v>
      </c>
      <c r="N1569" s="5">
        <v>0.0</v>
      </c>
      <c r="O1569" s="5">
        <v>0.10732447</v>
      </c>
      <c r="P1569" s="5">
        <v>0.0</v>
      </c>
      <c r="Q1569" s="5">
        <v>0.0</v>
      </c>
    </row>
    <row r="1570" outlineLevel="1">
      <c r="B1570" s="0" t="inlineStr">
        <is>
          <t xml:space="preserve">WEMS INC.</t>
        </is>
      </c>
      <c r="C1570" s="0" t="inlineStr">
        <is>
          <t xml:space="preserve">N7GBGFJV66J6</t>
        </is>
      </c>
      <c r="D1570" s="0" t="inlineStr">
        <is>
          <t xml:space="preserve">-</t>
        </is>
      </c>
      <c r="E1570" s="0" t="inlineStr">
        <is>
          <t xml:space="preserve">-</t>
        </is>
      </c>
      <c r="F1570" s="0" t="inlineStr">
        <is>
          <t xml:space="preserve">-</t>
        </is>
      </c>
      <c r="G1570" s="5">
        <v>0.10728</v>
      </c>
      <c r="H1570" s="0" t="inlineStr">
        <is>
          <t xml:space="preserve">supplier</t>
        </is>
      </c>
      <c r="I1570" s="0" t="inlineStr">
        <is>
          <t xml:space="preserve">unbucketed</t>
        </is>
      </c>
      <c r="J1570" s="0" t="inlineStr">
        <is>
          <t xml:space="preserve">residual</t>
        </is>
      </c>
      <c r="K1570" s="5">
        <v>0</v>
      </c>
      <c r="L1570" s="5">
        <v>0</v>
      </c>
      <c r="M1570" s="5">
        <v>0.0</v>
      </c>
      <c r="N1570" s="5">
        <v>0.0</v>
      </c>
      <c r="O1570" s="5">
        <v>0.0</v>
      </c>
      <c r="P1570" s="5">
        <v>0.0</v>
      </c>
      <c r="Q1570" s="5">
        <v>0.0</v>
      </c>
    </row>
    <row r="1571" outlineLevel="1">
      <c r="B1571" s="0" t="inlineStr">
        <is>
          <t xml:space="preserve">KRATOS SYSTEMS AND SOLUTIONS, INC.</t>
        </is>
      </c>
      <c r="C1571" s="0" t="inlineStr">
        <is>
          <t xml:space="preserve">ZQJ2U2BRUB15</t>
        </is>
      </c>
      <c r="D1571" s="0" t="inlineStr">
        <is>
          <t xml:space="preserve">-</t>
        </is>
      </c>
      <c r="E1571" s="0" t="inlineStr">
        <is>
          <t xml:space="preserve">-</t>
        </is>
      </c>
      <c r="F1571" s="0" t="inlineStr">
        <is>
          <t xml:space="preserve">-</t>
        </is>
      </c>
      <c r="G1571" s="5">
        <v>0.106296</v>
      </c>
      <c r="H1571" s="0" t="inlineStr">
        <is>
          <t xml:space="preserve">supplier</t>
        </is>
      </c>
      <c r="I1571" s="0" t="inlineStr">
        <is>
          <t xml:space="preserve">unbucketed</t>
        </is>
      </c>
      <c r="J1571" s="0" t="inlineStr">
        <is>
          <t xml:space="preserve">residual</t>
        </is>
      </c>
      <c r="K1571" s="5">
        <v>0</v>
      </c>
      <c r="L1571" s="5">
        <v>0</v>
      </c>
      <c r="M1571" s="5">
        <v>0.0</v>
      </c>
      <c r="N1571" s="5">
        <v>0.0</v>
      </c>
      <c r="O1571" s="5">
        <v>0.0</v>
      </c>
      <c r="P1571" s="5">
        <v>0.0</v>
      </c>
      <c r="Q1571" s="5">
        <v>0.0</v>
      </c>
    </row>
    <row r="1572" outlineLevel="1">
      <c r="B1572" s="0" t="inlineStr">
        <is>
          <t xml:space="preserve">CARLISLE INTERCONNECT TECHNOLOGIES INC</t>
        </is>
      </c>
      <c r="C1572" s="0" t="inlineStr">
        <is>
          <t xml:space="preserve">LMQSGJM2N5Y5</t>
        </is>
      </c>
      <c r="D1572" s="0" t="inlineStr">
        <is>
          <t xml:space="preserve">-</t>
        </is>
      </c>
      <c r="E1572" s="0" t="inlineStr">
        <is>
          <t xml:space="preserve">-</t>
        </is>
      </c>
      <c r="F1572" s="0" t="inlineStr">
        <is>
          <t xml:space="preserve">-</t>
        </is>
      </c>
      <c r="G1572" s="5">
        <v>0.105994</v>
      </c>
      <c r="H1572" s="0" t="inlineStr">
        <is>
          <t xml:space="preserve">supplier</t>
        </is>
      </c>
      <c r="I1572" s="0" t="inlineStr">
        <is>
          <t xml:space="preserve">unbucketed</t>
        </is>
      </c>
      <c r="J1572" s="0" t="inlineStr">
        <is>
          <t xml:space="preserve">residual</t>
        </is>
      </c>
      <c r="K1572" s="5">
        <v>0</v>
      </c>
      <c r="L1572" s="5">
        <v>0</v>
      </c>
      <c r="M1572" s="5">
        <v>0.0</v>
      </c>
      <c r="N1572" s="5">
        <v>0.0</v>
      </c>
      <c r="O1572" s="5">
        <v>0.0</v>
      </c>
      <c r="P1572" s="5">
        <v>0.0</v>
      </c>
      <c r="Q1572" s="5">
        <v>0.0</v>
      </c>
    </row>
    <row r="1573" outlineLevel="1">
      <c r="B1573" s="0" t="inlineStr">
        <is>
          <t xml:space="preserve">DIGI-KEY CORP</t>
        </is>
      </c>
      <c r="C1573" s="0" t="inlineStr">
        <is>
          <t xml:space="preserve">FAHMKDSUM9H9</t>
        </is>
      </c>
      <c r="D1573" s="0" t="inlineStr">
        <is>
          <t xml:space="preserve">-</t>
        </is>
      </c>
      <c r="E1573" s="0" t="inlineStr">
        <is>
          <t xml:space="preserve">-</t>
        </is>
      </c>
      <c r="F1573" s="0" t="inlineStr">
        <is>
          <t xml:space="preserve">-</t>
        </is>
      </c>
      <c r="G1573" s="5">
        <v>0.105204</v>
      </c>
      <c r="H1573" s="0" t="inlineStr">
        <is>
          <t xml:space="preserve">supplier</t>
        </is>
      </c>
      <c r="I1573" s="0" t="inlineStr">
        <is>
          <t xml:space="preserve">unbucketed</t>
        </is>
      </c>
      <c r="J1573" s="0" t="inlineStr">
        <is>
          <t xml:space="preserve">residual</t>
        </is>
      </c>
      <c r="K1573" s="5">
        <v>0</v>
      </c>
      <c r="L1573" s="5">
        <v>0</v>
      </c>
      <c r="M1573" s="5">
        <v>0.0</v>
      </c>
      <c r="N1573" s="5">
        <v>0.0</v>
      </c>
      <c r="O1573" s="5">
        <v>0.0</v>
      </c>
      <c r="P1573" s="5">
        <v>0.0</v>
      </c>
      <c r="Q1573" s="5">
        <v>0.0</v>
      </c>
    </row>
    <row r="1574" outlineLevel="1">
      <c r="B1574" s="0" t="inlineStr">
        <is>
          <t xml:space="preserve">HORIZONS INCORPORATED</t>
        </is>
      </c>
      <c r="C1574" s="0" t="inlineStr">
        <is>
          <t xml:space="preserve">X51YWDJN2ED6</t>
        </is>
      </c>
      <c r="D1574" s="0" t="inlineStr">
        <is>
          <t xml:space="preserve">-</t>
        </is>
      </c>
      <c r="E1574" s="0" t="inlineStr">
        <is>
          <t xml:space="preserve">-</t>
        </is>
      </c>
      <c r="F1574" s="0" t="inlineStr">
        <is>
          <t xml:space="preserve">-</t>
        </is>
      </c>
      <c r="G1574" s="5">
        <v>0.10497675</v>
      </c>
      <c r="H1574" s="0" t="inlineStr">
        <is>
          <t xml:space="preserve">supplier</t>
        </is>
      </c>
      <c r="I1574" s="0" t="inlineStr">
        <is>
          <t xml:space="preserve">unbucketed</t>
        </is>
      </c>
      <c r="J1574" s="0" t="inlineStr">
        <is>
          <t xml:space="preserve">residual</t>
        </is>
      </c>
      <c r="K1574" s="5">
        <v>0</v>
      </c>
      <c r="L1574" s="5">
        <v>0</v>
      </c>
      <c r="M1574" s="5">
        <v>0.10497675</v>
      </c>
      <c r="N1574" s="5">
        <v>0.0</v>
      </c>
      <c r="O1574" s="5">
        <v>0.07499175</v>
      </c>
      <c r="P1574" s="5">
        <v>0.029985</v>
      </c>
      <c r="Q1574" s="5">
        <v>0.0</v>
      </c>
    </row>
    <row r="1575" outlineLevel="1">
      <c r="B1575" s="0" t="inlineStr">
        <is>
          <t xml:space="preserve">ALCOA EXTRUSIONS, INC.</t>
        </is>
      </c>
      <c r="C1575" s="0" t="inlineStr">
        <is>
          <t xml:space="preserve">J9LFZF3KXMJ1</t>
        </is>
      </c>
      <c r="D1575" s="0" t="inlineStr">
        <is>
          <t xml:space="preserve">-</t>
        </is>
      </c>
      <c r="E1575" s="0" t="inlineStr">
        <is>
          <t xml:space="preserve">-</t>
        </is>
      </c>
      <c r="F1575" s="0" t="inlineStr">
        <is>
          <t xml:space="preserve">-</t>
        </is>
      </c>
      <c r="G1575" s="5">
        <v>0.10488</v>
      </c>
      <c r="H1575" s="0" t="inlineStr">
        <is>
          <t xml:space="preserve">supplier</t>
        </is>
      </c>
      <c r="I1575" s="0" t="inlineStr">
        <is>
          <t xml:space="preserve">unbucketed</t>
        </is>
      </c>
      <c r="J1575" s="0" t="inlineStr">
        <is>
          <t xml:space="preserve">residual</t>
        </is>
      </c>
      <c r="K1575" s="5">
        <v>0</v>
      </c>
      <c r="L1575" s="5">
        <v>0</v>
      </c>
      <c r="M1575" s="5">
        <v>0.0</v>
      </c>
      <c r="N1575" s="5">
        <v>0.0</v>
      </c>
      <c r="O1575" s="5">
        <v>0.0</v>
      </c>
      <c r="P1575" s="5">
        <v>0.0</v>
      </c>
      <c r="Q1575" s="5">
        <v>0.0</v>
      </c>
    </row>
    <row r="1576" outlineLevel="1">
      <c r="B1576" s="0" t="inlineStr">
        <is>
          <t xml:space="preserve">TATE ANDALE, INC.</t>
        </is>
      </c>
      <c r="C1576" s="0" t="inlineStr">
        <is>
          <t xml:space="preserve">DQLZFV6PFCB9</t>
        </is>
      </c>
      <c r="D1576" s="0" t="inlineStr">
        <is>
          <t xml:space="preserve">-</t>
        </is>
      </c>
      <c r="E1576" s="0" t="inlineStr">
        <is>
          <t xml:space="preserve">-</t>
        </is>
      </c>
      <c r="F1576" s="0" t="inlineStr">
        <is>
          <t xml:space="preserve">-</t>
        </is>
      </c>
      <c r="G1576" s="5">
        <v>0.10481275</v>
      </c>
      <c r="H1576" s="0" t="inlineStr">
        <is>
          <t xml:space="preserve">supplier</t>
        </is>
      </c>
      <c r="I1576" s="0" t="inlineStr">
        <is>
          <t xml:space="preserve">unbucketed</t>
        </is>
      </c>
      <c r="J1576" s="0" t="inlineStr">
        <is>
          <t xml:space="preserve">residual</t>
        </is>
      </c>
      <c r="K1576" s="5">
        <v>0</v>
      </c>
      <c r="L1576" s="5">
        <v>0</v>
      </c>
      <c r="M1576" s="5">
        <v>0.10481275</v>
      </c>
      <c r="N1576" s="5">
        <v>0.0</v>
      </c>
      <c r="O1576" s="5">
        <v>0.0</v>
      </c>
      <c r="P1576" s="5">
        <v>0.0</v>
      </c>
      <c r="Q1576" s="5">
        <v>0.0</v>
      </c>
    </row>
    <row r="1577" outlineLevel="1">
      <c r="B1577" s="0" t="inlineStr">
        <is>
          <t xml:space="preserve">TORK SYSTEMS INC</t>
        </is>
      </c>
      <c r="C1577" s="0" t="inlineStr">
        <is>
          <t xml:space="preserve">QMXJLLJZ5QY4</t>
        </is>
      </c>
      <c r="D1577" s="0" t="inlineStr">
        <is>
          <t xml:space="preserve">-</t>
        </is>
      </c>
      <c r="E1577" s="0" t="inlineStr">
        <is>
          <t xml:space="preserve">-</t>
        </is>
      </c>
      <c r="F1577" s="0" t="inlineStr">
        <is>
          <t xml:space="preserve">-</t>
        </is>
      </c>
      <c r="G1577" s="5">
        <v>0.104314</v>
      </c>
      <c r="H1577" s="0" t="inlineStr">
        <is>
          <t xml:space="preserve">supplier</t>
        </is>
      </c>
      <c r="I1577" s="0" t="inlineStr">
        <is>
          <t xml:space="preserve">unbucketed</t>
        </is>
      </c>
      <c r="J1577" s="0" t="inlineStr">
        <is>
          <t xml:space="preserve">residual</t>
        </is>
      </c>
      <c r="K1577" s="5">
        <v>0</v>
      </c>
      <c r="L1577" s="5">
        <v>0</v>
      </c>
      <c r="M1577" s="5">
        <v>0.104314</v>
      </c>
      <c r="N1577" s="5">
        <v>0.0</v>
      </c>
      <c r="O1577" s="5">
        <v>0.0</v>
      </c>
      <c r="P1577" s="5">
        <v>0.104314</v>
      </c>
      <c r="Q1577" s="5">
        <v>0.0</v>
      </c>
    </row>
    <row r="1578" outlineLevel="1">
      <c r="B1578" s="0" t="inlineStr">
        <is>
          <t xml:space="preserve">ALTRA INDUSTRIAL MOTION CORP</t>
        </is>
      </c>
      <c r="C1578" s="0" t="inlineStr">
        <is>
          <t xml:space="preserve">EXKBGDDB8ME9</t>
        </is>
      </c>
      <c r="D1578" s="0" t="inlineStr">
        <is>
          <t xml:space="preserve">-</t>
        </is>
      </c>
      <c r="E1578" s="0" t="inlineStr">
        <is>
          <t xml:space="preserve">-</t>
        </is>
      </c>
      <c r="F1578" s="0" t="inlineStr">
        <is>
          <t xml:space="preserve">-</t>
        </is>
      </c>
      <c r="G1578" s="5">
        <v>0.104092</v>
      </c>
      <c r="H1578" s="0" t="inlineStr">
        <is>
          <t xml:space="preserve">supplier</t>
        </is>
      </c>
      <c r="I1578" s="0" t="inlineStr">
        <is>
          <t xml:space="preserve">unbucketed</t>
        </is>
      </c>
      <c r="J1578" s="0" t="inlineStr">
        <is>
          <t xml:space="preserve">residual</t>
        </is>
      </c>
      <c r="K1578" s="5">
        <v>0</v>
      </c>
      <c r="L1578" s="5">
        <v>0</v>
      </c>
      <c r="M1578" s="5">
        <v>0.0</v>
      </c>
      <c r="N1578" s="5">
        <v>0.0</v>
      </c>
      <c r="O1578" s="5">
        <v>0.0</v>
      </c>
      <c r="P1578" s="5">
        <v>0.0</v>
      </c>
      <c r="Q1578" s="5">
        <v>0.0</v>
      </c>
    </row>
    <row r="1579" outlineLevel="1">
      <c r="B1579" s="0" t="inlineStr">
        <is>
          <t xml:space="preserve">MILITARY &amp; COMMERCIAL FASTENERS CORP</t>
        </is>
      </c>
      <c r="C1579" s="0" t="inlineStr">
        <is>
          <t xml:space="preserve">FGRKX2N2WAE4</t>
        </is>
      </c>
      <c r="D1579" s="0" t="inlineStr">
        <is>
          <t xml:space="preserve">-</t>
        </is>
      </c>
      <c r="E1579" s="0" t="inlineStr">
        <is>
          <t xml:space="preserve">-</t>
        </is>
      </c>
      <c r="F1579" s="0" t="inlineStr">
        <is>
          <t xml:space="preserve">-</t>
        </is>
      </c>
      <c r="G1579" s="5">
        <v>0.10335912</v>
      </c>
      <c r="H1579" s="0" t="inlineStr">
        <is>
          <t xml:space="preserve">supplier</t>
        </is>
      </c>
      <c r="I1579" s="0" t="inlineStr">
        <is>
          <t xml:space="preserve">unbucketed</t>
        </is>
      </c>
      <c r="J1579" s="0" t="inlineStr">
        <is>
          <t xml:space="preserve">residual</t>
        </is>
      </c>
      <c r="K1579" s="5">
        <v>0</v>
      </c>
      <c r="L1579" s="5">
        <v>0</v>
      </c>
      <c r="M1579" s="5">
        <v>0.0</v>
      </c>
      <c r="N1579" s="5">
        <v>0.0</v>
      </c>
      <c r="O1579" s="5">
        <v>0.0</v>
      </c>
      <c r="P1579" s="5">
        <v>0.0</v>
      </c>
      <c r="Q1579" s="5">
        <v>0.0</v>
      </c>
    </row>
    <row r="1580" outlineLevel="1">
      <c r="B1580" s="0" t="inlineStr">
        <is>
          <t xml:space="preserve">HOWELL LABORATORIES INC</t>
        </is>
      </c>
      <c r="C1580" s="0" t="inlineStr">
        <is>
          <t xml:space="preserve">DWUHNL9BC3U7</t>
        </is>
      </c>
      <c r="D1580" s="0" t="inlineStr">
        <is>
          <t xml:space="preserve">-</t>
        </is>
      </c>
      <c r="E1580" s="0" t="inlineStr">
        <is>
          <t xml:space="preserve">-</t>
        </is>
      </c>
      <c r="F1580" s="0" t="inlineStr">
        <is>
          <t xml:space="preserve">-</t>
        </is>
      </c>
      <c r="G1580" s="5">
        <v>0.103232</v>
      </c>
      <c r="H1580" s="0" t="inlineStr">
        <is>
          <t xml:space="preserve">supplier</t>
        </is>
      </c>
      <c r="I1580" s="0" t="inlineStr">
        <is>
          <t xml:space="preserve">unbucketed</t>
        </is>
      </c>
      <c r="J1580" s="0" t="inlineStr">
        <is>
          <t xml:space="preserve">residual</t>
        </is>
      </c>
      <c r="K1580" s="5">
        <v>0</v>
      </c>
      <c r="L1580" s="5">
        <v>0</v>
      </c>
      <c r="M1580" s="5">
        <v>0.103232</v>
      </c>
      <c r="N1580" s="5">
        <v>0.0</v>
      </c>
      <c r="O1580" s="5">
        <v>0.103232</v>
      </c>
      <c r="P1580" s="5">
        <v>0.0</v>
      </c>
      <c r="Q1580" s="5">
        <v>0.0</v>
      </c>
    </row>
    <row r="1581" outlineLevel="1">
      <c r="B1581" s="0" t="inlineStr">
        <is>
          <t xml:space="preserve">BLACKMER</t>
        </is>
      </c>
      <c r="C1581" s="0" t="inlineStr">
        <is>
          <t xml:space="preserve">FVGUCFG6HLK7</t>
        </is>
      </c>
      <c r="D1581" s="0" t="inlineStr">
        <is>
          <t xml:space="preserve">-</t>
        </is>
      </c>
      <c r="E1581" s="0" t="inlineStr">
        <is>
          <t xml:space="preserve">-</t>
        </is>
      </c>
      <c r="F1581" s="0" t="inlineStr">
        <is>
          <t xml:space="preserve">-</t>
        </is>
      </c>
      <c r="G1581" s="5">
        <v>0.10287</v>
      </c>
      <c r="H1581" s="0" t="inlineStr">
        <is>
          <t xml:space="preserve">supplier</t>
        </is>
      </c>
      <c r="I1581" s="0" t="inlineStr">
        <is>
          <t xml:space="preserve">unbucketed</t>
        </is>
      </c>
      <c r="J1581" s="0" t="inlineStr">
        <is>
          <t xml:space="preserve">residual</t>
        </is>
      </c>
      <c r="K1581" s="5">
        <v>0</v>
      </c>
      <c r="L1581" s="5">
        <v>0</v>
      </c>
      <c r="M1581" s="5">
        <v>0.10287</v>
      </c>
      <c r="N1581" s="5">
        <v>0.0</v>
      </c>
      <c r="O1581" s="5">
        <v>0.0</v>
      </c>
      <c r="P1581" s="5">
        <v>0.0</v>
      </c>
      <c r="Q1581" s="5">
        <v>0.0</v>
      </c>
    </row>
    <row r="1582" outlineLevel="1">
      <c r="B1582" s="0" t="inlineStr">
        <is>
          <t xml:space="preserve">SIVYER STEEL CASTINGS LLC</t>
        </is>
      </c>
      <c r="C1582" s="0" t="inlineStr">
        <is>
          <t xml:space="preserve">K7SAUMHPLDJ9</t>
        </is>
      </c>
      <c r="D1582" s="0" t="inlineStr">
        <is>
          <t xml:space="preserve">-</t>
        </is>
      </c>
      <c r="E1582" s="0" t="inlineStr">
        <is>
          <t xml:space="preserve">-</t>
        </is>
      </c>
      <c r="F1582" s="0" t="inlineStr">
        <is>
          <t xml:space="preserve">-</t>
        </is>
      </c>
      <c r="G1582" s="5">
        <v>0.10205074</v>
      </c>
      <c r="H1582" s="0" t="inlineStr">
        <is>
          <t xml:space="preserve">supplier</t>
        </is>
      </c>
      <c r="I1582" s="0" t="inlineStr">
        <is>
          <t xml:space="preserve">unbucketed</t>
        </is>
      </c>
      <c r="J1582" s="0" t="inlineStr">
        <is>
          <t xml:space="preserve">residual</t>
        </is>
      </c>
      <c r="K1582" s="5">
        <v>0</v>
      </c>
      <c r="L1582" s="5">
        <v>0</v>
      </c>
      <c r="M1582" s="5">
        <v>0.10205074</v>
      </c>
      <c r="N1582" s="5">
        <v>0.0</v>
      </c>
      <c r="O1582" s="5">
        <v>0.10205074</v>
      </c>
      <c r="P1582" s="5">
        <v>0.0</v>
      </c>
      <c r="Q1582" s="5">
        <v>0.0</v>
      </c>
    </row>
    <row r="1583" outlineLevel="1">
      <c r="B1583" s="0" t="inlineStr">
        <is>
          <t xml:space="preserve">INTERNATIONAL BUSINESS MACHINES CORPORATION</t>
        </is>
      </c>
      <c r="C1583" s="0" t="inlineStr">
        <is>
          <t xml:space="preserve">FU7PX76JHM17</t>
        </is>
      </c>
      <c r="D1583" s="0" t="inlineStr">
        <is>
          <t xml:space="preserve">-</t>
        </is>
      </c>
      <c r="E1583" s="0" t="inlineStr">
        <is>
          <t xml:space="preserve">-</t>
        </is>
      </c>
      <c r="F1583" s="0" t="inlineStr">
        <is>
          <t xml:space="preserve">-</t>
        </is>
      </c>
      <c r="G1583" s="5">
        <v>0.10172236999999999</v>
      </c>
      <c r="H1583" s="0" t="inlineStr">
        <is>
          <t xml:space="preserve">supplier</t>
        </is>
      </c>
      <c r="I1583" s="0" t="inlineStr">
        <is>
          <t xml:space="preserve">unbucketed</t>
        </is>
      </c>
      <c r="J1583" s="0" t="inlineStr">
        <is>
          <t xml:space="preserve">residual</t>
        </is>
      </c>
      <c r="K1583" s="5">
        <v>0</v>
      </c>
      <c r="L1583" s="5">
        <v>0</v>
      </c>
      <c r="M1583" s="5">
        <v>0.0</v>
      </c>
      <c r="N1583" s="5">
        <v>0.0</v>
      </c>
      <c r="O1583" s="5">
        <v>0.0</v>
      </c>
      <c r="P1583" s="5">
        <v>0.0</v>
      </c>
      <c r="Q1583" s="5">
        <v>0.0</v>
      </c>
    </row>
    <row r="1584" outlineLevel="1">
      <c r="B1584" s="0" t="inlineStr">
        <is>
          <t xml:space="preserve">ARCONIC INC.</t>
        </is>
      </c>
      <c r="C1584" s="0" t="inlineStr">
        <is>
          <t xml:space="preserve">F44WPYUCMGV8</t>
        </is>
      </c>
      <c r="D1584" s="0" t="inlineStr">
        <is>
          <t xml:space="preserve">-</t>
        </is>
      </c>
      <c r="E1584" s="0" t="inlineStr">
        <is>
          <t xml:space="preserve">-</t>
        </is>
      </c>
      <c r="F1584" s="0" t="inlineStr">
        <is>
          <t xml:space="preserve">-</t>
        </is>
      </c>
      <c r="G1584" s="5">
        <v>0.101268</v>
      </c>
      <c r="H1584" s="0" t="inlineStr">
        <is>
          <t xml:space="preserve">supplier</t>
        </is>
      </c>
      <c r="I1584" s="0" t="inlineStr">
        <is>
          <t xml:space="preserve">unbucketed</t>
        </is>
      </c>
      <c r="J1584" s="0" t="inlineStr">
        <is>
          <t xml:space="preserve">residual</t>
        </is>
      </c>
      <c r="K1584" s="5">
        <v>0</v>
      </c>
      <c r="L1584" s="5">
        <v>0</v>
      </c>
      <c r="M1584" s="5">
        <v>0.0</v>
      </c>
      <c r="N1584" s="5">
        <v>0.0</v>
      </c>
      <c r="O1584" s="5">
        <v>0.0</v>
      </c>
      <c r="P1584" s="5">
        <v>0.0</v>
      </c>
      <c r="Q1584" s="5">
        <v>0.0</v>
      </c>
    </row>
    <row r="1585" outlineLevel="1">
      <c r="B1585" s="0" t="inlineStr">
        <is>
          <t xml:space="preserve">HARDIE-TYNES CO., INC.</t>
        </is>
      </c>
      <c r="C1585" s="0" t="inlineStr">
        <is>
          <t xml:space="preserve">XHAJDVH3BMU5</t>
        </is>
      </c>
      <c r="D1585" s="0" t="inlineStr">
        <is>
          <t xml:space="preserve">-</t>
        </is>
      </c>
      <c r="E1585" s="0" t="inlineStr">
        <is>
          <t xml:space="preserve">-</t>
        </is>
      </c>
      <c r="F1585" s="0" t="inlineStr">
        <is>
          <t xml:space="preserve">-</t>
        </is>
      </c>
      <c r="G1585" s="5">
        <v>0.101183</v>
      </c>
      <c r="H1585" s="0" t="inlineStr">
        <is>
          <t xml:space="preserve">supplier</t>
        </is>
      </c>
      <c r="I1585" s="0" t="inlineStr">
        <is>
          <t xml:space="preserve">unbucketed</t>
        </is>
      </c>
      <c r="J1585" s="0" t="inlineStr">
        <is>
          <t xml:space="preserve">residual</t>
        </is>
      </c>
      <c r="K1585" s="5">
        <v>0</v>
      </c>
      <c r="L1585" s="5">
        <v>0</v>
      </c>
      <c r="M1585" s="5">
        <v>0.0</v>
      </c>
      <c r="N1585" s="5">
        <v>0.0</v>
      </c>
      <c r="O1585" s="5">
        <v>0.0</v>
      </c>
      <c r="P1585" s="5">
        <v>0.0</v>
      </c>
      <c r="Q1585" s="5">
        <v>0.0</v>
      </c>
    </row>
    <row r="1586" outlineLevel="1">
      <c r="B1586" s="0" t="inlineStr">
        <is>
          <t xml:space="preserve">RTX CORP</t>
        </is>
      </c>
      <c r="C1586" s="0" t="inlineStr">
        <is>
          <t xml:space="preserve">CBMZJ3Z5SC89</t>
        </is>
      </c>
      <c r="D1586" s="0" t="inlineStr">
        <is>
          <t xml:space="preserve">-</t>
        </is>
      </c>
      <c r="E1586" s="0" t="inlineStr">
        <is>
          <t xml:space="preserve">-</t>
        </is>
      </c>
      <c r="F1586" s="0" t="inlineStr">
        <is>
          <t xml:space="preserve">-</t>
        </is>
      </c>
      <c r="G1586" s="5">
        <v>0.101</v>
      </c>
      <c r="H1586" s="0" t="inlineStr">
        <is>
          <t xml:space="preserve">supplier</t>
        </is>
      </c>
      <c r="I1586" s="0" t="inlineStr">
        <is>
          <t xml:space="preserve">coatings</t>
        </is>
      </c>
      <c r="J1586" s="0" t="inlineStr">
        <is>
          <t xml:space="preserve">registry</t>
        </is>
      </c>
      <c r="K1586" s="5">
        <v>0</v>
      </c>
      <c r="L1586" s="5">
        <v>0</v>
      </c>
      <c r="M1586" s="5">
        <v>0.101</v>
      </c>
      <c r="N1586" s="5">
        <v>0.0</v>
      </c>
      <c r="O1586" s="5">
        <v>0.0</v>
      </c>
      <c r="P1586" s="5">
        <v>0.0</v>
      </c>
      <c r="Q1586" s="5">
        <v>0.0</v>
      </c>
    </row>
    <row r="1587" outlineLevel="1">
      <c r="B1587" s="0" t="inlineStr">
        <is>
          <t xml:space="preserve">GREENE RUBBER CO INC</t>
        </is>
      </c>
      <c r="C1587" s="0" t="inlineStr">
        <is>
          <t xml:space="preserve">VJFKVNQBYVL5</t>
        </is>
      </c>
      <c r="D1587" s="0" t="inlineStr">
        <is>
          <t xml:space="preserve">-</t>
        </is>
      </c>
      <c r="E1587" s="0" t="inlineStr">
        <is>
          <t xml:space="preserve">-</t>
        </is>
      </c>
      <c r="F1587" s="0" t="inlineStr">
        <is>
          <t xml:space="preserve">-</t>
        </is>
      </c>
      <c r="G1587" s="5">
        <v>0.10087676</v>
      </c>
      <c r="H1587" s="0" t="inlineStr">
        <is>
          <t xml:space="preserve">supplier</t>
        </is>
      </c>
      <c r="I1587" s="0" t="inlineStr">
        <is>
          <t xml:space="preserve">unbucketed</t>
        </is>
      </c>
      <c r="J1587" s="0" t="inlineStr">
        <is>
          <t xml:space="preserve">residual</t>
        </is>
      </c>
      <c r="K1587" s="5">
        <v>0</v>
      </c>
      <c r="L1587" s="5">
        <v>0</v>
      </c>
      <c r="M1587" s="5">
        <v>0.069988</v>
      </c>
      <c r="N1587" s="5">
        <v>0.0</v>
      </c>
      <c r="O1587" s="5">
        <v>0.069988</v>
      </c>
      <c r="P1587" s="5">
        <v>0.0</v>
      </c>
      <c r="Q1587" s="5">
        <v>0.0</v>
      </c>
    </row>
    <row r="1588" outlineLevel="1">
      <c r="B1588" s="0" t="inlineStr">
        <is>
          <t xml:space="preserve">CLAREMONT SALES CORPORATION, THE</t>
        </is>
      </c>
      <c r="C1588" s="0" t="inlineStr">
        <is>
          <t xml:space="preserve">VKJKBMHPVNL1</t>
        </is>
      </c>
      <c r="D1588" s="0" t="inlineStr">
        <is>
          <t xml:space="preserve">-</t>
        </is>
      </c>
      <c r="E1588" s="0" t="inlineStr">
        <is>
          <t xml:space="preserve">-</t>
        </is>
      </c>
      <c r="F1588" s="0" t="inlineStr">
        <is>
          <t xml:space="preserve">-</t>
        </is>
      </c>
      <c r="G1588" s="5">
        <v>0.10000465</v>
      </c>
      <c r="H1588" s="0" t="inlineStr">
        <is>
          <t xml:space="preserve">supplier</t>
        </is>
      </c>
      <c r="I1588" s="0" t="inlineStr">
        <is>
          <t xml:space="preserve">unbucketed</t>
        </is>
      </c>
      <c r="J1588" s="0" t="inlineStr">
        <is>
          <t xml:space="preserve">residual</t>
        </is>
      </c>
      <c r="K1588" s="5">
        <v>0</v>
      </c>
      <c r="L1588" s="5">
        <v>0</v>
      </c>
      <c r="M1588" s="5">
        <v>0.0</v>
      </c>
      <c r="N1588" s="5">
        <v>0.0</v>
      </c>
      <c r="O1588" s="5">
        <v>0.0</v>
      </c>
      <c r="P1588" s="5">
        <v>0.0</v>
      </c>
      <c r="Q1588" s="5">
        <v>0.0</v>
      </c>
    </row>
    <row r="1589" outlineLevel="1">
      <c r="B1589" s="0" t="inlineStr">
        <is>
          <t xml:space="preserve">BAY CITY MARINE, INC.</t>
        </is>
      </c>
      <c r="C1589" s="0" t="inlineStr">
        <is>
          <t xml:space="preserve">JN16VPC2PXN4</t>
        </is>
      </c>
      <c r="D1589" s="0" t="inlineStr">
        <is>
          <t xml:space="preserve">-</t>
        </is>
      </c>
      <c r="E1589" s="0" t="inlineStr">
        <is>
          <t xml:space="preserve">-</t>
        </is>
      </c>
      <c r="F1589" s="0" t="inlineStr">
        <is>
          <t xml:space="preserve">-</t>
        </is>
      </c>
      <c r="G1589" s="5">
        <v>0.1</v>
      </c>
      <c r="H1589" s="0" t="inlineStr">
        <is>
          <t xml:space="preserve">supplier</t>
        </is>
      </c>
      <c r="I1589" s="0" t="inlineStr">
        <is>
          <t xml:space="preserve">unbucketed</t>
        </is>
      </c>
      <c r="J1589" s="0" t="inlineStr">
        <is>
          <t xml:space="preserve">residual</t>
        </is>
      </c>
      <c r="K1589" s="5">
        <v>0</v>
      </c>
      <c r="L1589" s="5">
        <v>0</v>
      </c>
      <c r="M1589" s="5">
        <v>0.1</v>
      </c>
      <c r="N1589" s="5">
        <v>0.0</v>
      </c>
      <c r="O1589" s="5">
        <v>0.0</v>
      </c>
      <c r="P1589" s="5">
        <v>0.0</v>
      </c>
      <c r="Q1589" s="5">
        <v>0.0</v>
      </c>
    </row>
    <row r="1590" outlineLevel="1">
      <c r="B1590" s="0" t="inlineStr">
        <is>
          <t xml:space="preserve">LEIDOS HOLDINGS, INC.</t>
        </is>
      </c>
      <c r="C1590" s="0" t="inlineStr">
        <is>
          <t xml:space="preserve">KTMAJCY6JXM3</t>
        </is>
      </c>
      <c r="D1590" s="0" t="inlineStr">
        <is>
          <t xml:space="preserve">-</t>
        </is>
      </c>
      <c r="E1590" s="0" t="inlineStr">
        <is>
          <t xml:space="preserve">-</t>
        </is>
      </c>
      <c r="F1590" s="0" t="inlineStr">
        <is>
          <t xml:space="preserve">-</t>
        </is>
      </c>
      <c r="G1590" s="5">
        <v>0.1</v>
      </c>
      <c r="H1590" s="0" t="inlineStr">
        <is>
          <t xml:space="preserve">supplier</t>
        </is>
      </c>
      <c r="I1590" s="0" t="inlineStr">
        <is>
          <t xml:space="preserve">unbucketed</t>
        </is>
      </c>
      <c r="J1590" s="0" t="inlineStr">
        <is>
          <t xml:space="preserve">residual</t>
        </is>
      </c>
      <c r="K1590" s="5">
        <v>0</v>
      </c>
      <c r="L1590" s="5">
        <v>0</v>
      </c>
      <c r="M1590" s="5">
        <v>0.0</v>
      </c>
      <c r="N1590" s="5">
        <v>0.0</v>
      </c>
      <c r="O1590" s="5">
        <v>0.0</v>
      </c>
      <c r="P1590" s="5">
        <v>0.0</v>
      </c>
      <c r="Q1590" s="5">
        <v>0.0</v>
      </c>
    </row>
    <row r="1591" outlineLevel="1">
      <c r="B1591" s="0" t="inlineStr">
        <is>
          <t xml:space="preserve">ADEPT FASTENERS INC</t>
        </is>
      </c>
      <c r="C1591" s="0" t="inlineStr">
        <is>
          <t xml:space="preserve">MJFQFA5HK449</t>
        </is>
      </c>
      <c r="D1591" s="0" t="inlineStr">
        <is>
          <t xml:space="preserve">-</t>
        </is>
      </c>
      <c r="E1591" s="0" t="inlineStr">
        <is>
          <t xml:space="preserve">-</t>
        </is>
      </c>
      <c r="F1591" s="0" t="inlineStr">
        <is>
          <t xml:space="preserve">-</t>
        </is>
      </c>
      <c r="G1591" s="5">
        <v>0.1</v>
      </c>
      <c r="H1591" s="0" t="inlineStr">
        <is>
          <t xml:space="preserve">supplier</t>
        </is>
      </c>
      <c r="I1591" s="0" t="inlineStr">
        <is>
          <t xml:space="preserve">unbucketed</t>
        </is>
      </c>
      <c r="J1591" s="0" t="inlineStr">
        <is>
          <t xml:space="preserve">residual</t>
        </is>
      </c>
      <c r="K1591" s="5">
        <v>0</v>
      </c>
      <c r="L1591" s="5">
        <v>0</v>
      </c>
      <c r="M1591" s="5">
        <v>0.0</v>
      </c>
      <c r="N1591" s="5">
        <v>0.0</v>
      </c>
      <c r="O1591" s="5">
        <v>0.0</v>
      </c>
      <c r="P1591" s="5">
        <v>0.0</v>
      </c>
      <c r="Q1591" s="5">
        <v>0.0</v>
      </c>
    </row>
    <row r="1592" outlineLevel="1">
      <c r="B1592" s="0" t="inlineStr">
        <is>
          <t xml:space="preserve">VERITAS CAPITAL MANAGEMENT, L.L.C.</t>
        </is>
      </c>
      <c r="C1592" s="0" t="inlineStr">
        <is>
          <t xml:space="preserve">D9P7CUAJBG55</t>
        </is>
      </c>
      <c r="D1592" s="0" t="inlineStr">
        <is>
          <t xml:space="preserve">-</t>
        </is>
      </c>
      <c r="E1592" s="0" t="inlineStr">
        <is>
          <t xml:space="preserve">-</t>
        </is>
      </c>
      <c r="F1592" s="0" t="inlineStr">
        <is>
          <t xml:space="preserve">-</t>
        </is>
      </c>
      <c r="G1592" s="5">
        <v>0.0999985</v>
      </c>
      <c r="H1592" s="0" t="inlineStr">
        <is>
          <t xml:space="preserve">supplier</t>
        </is>
      </c>
      <c r="I1592" s="0" t="inlineStr">
        <is>
          <t xml:space="preserve">unbucketed</t>
        </is>
      </c>
      <c r="J1592" s="0" t="inlineStr">
        <is>
          <t xml:space="preserve">residual</t>
        </is>
      </c>
      <c r="K1592" s="5">
        <v>0</v>
      </c>
      <c r="L1592" s="5">
        <v>0</v>
      </c>
      <c r="M1592" s="5">
        <v>0.0</v>
      </c>
      <c r="N1592" s="5">
        <v>0.0</v>
      </c>
      <c r="O1592" s="5">
        <v>0.0</v>
      </c>
      <c r="P1592" s="5">
        <v>0.0</v>
      </c>
      <c r="Q1592" s="5">
        <v>0.0</v>
      </c>
    </row>
    <row r="1593" outlineLevel="1">
      <c r="B1593" s="0" t="inlineStr">
        <is>
          <t xml:space="preserve">COMPONENTS EXPRESS INC</t>
        </is>
      </c>
      <c r="C1593" s="0" t="inlineStr">
        <is>
          <t xml:space="preserve">DFABV8XL1NT8</t>
        </is>
      </c>
      <c r="D1593" s="0" t="inlineStr">
        <is>
          <t xml:space="preserve">-</t>
        </is>
      </c>
      <c r="E1593" s="0" t="inlineStr">
        <is>
          <t xml:space="preserve">-</t>
        </is>
      </c>
      <c r="F1593" s="0" t="inlineStr">
        <is>
          <t xml:space="preserve">-</t>
        </is>
      </c>
      <c r="G1593" s="5">
        <v>0.09981841000000001</v>
      </c>
      <c r="H1593" s="0" t="inlineStr">
        <is>
          <t xml:space="preserve">supplier</t>
        </is>
      </c>
      <c r="I1593" s="0" t="inlineStr">
        <is>
          <t xml:space="preserve">unbucketed</t>
        </is>
      </c>
      <c r="J1593" s="0" t="inlineStr">
        <is>
          <t xml:space="preserve">residual</t>
        </is>
      </c>
      <c r="K1593" s="5">
        <v>0</v>
      </c>
      <c r="L1593" s="5">
        <v>0</v>
      </c>
      <c r="M1593" s="5">
        <v>0.0</v>
      </c>
      <c r="N1593" s="5">
        <v>0.0</v>
      </c>
      <c r="O1593" s="5">
        <v>0.0</v>
      </c>
      <c r="P1593" s="5">
        <v>0.0</v>
      </c>
      <c r="Q1593" s="5">
        <v>0.0</v>
      </c>
    </row>
    <row r="1594" outlineLevel="1">
      <c r="B1594" s="0" t="inlineStr">
        <is>
          <t xml:space="preserve">CCM FABRICATION, INC.</t>
        </is>
      </c>
      <c r="C1594" s="0" t="inlineStr">
        <is>
          <t xml:space="preserve">W3ZKNSBKXKB6</t>
        </is>
      </c>
      <c r="D1594" s="0" t="inlineStr">
        <is>
          <t xml:space="preserve">-</t>
        </is>
      </c>
      <c r="E1594" s="0" t="inlineStr">
        <is>
          <t xml:space="preserve">-</t>
        </is>
      </c>
      <c r="F1594" s="0" t="inlineStr">
        <is>
          <t xml:space="preserve">-</t>
        </is>
      </c>
      <c r="G1594" s="5">
        <v>0.09952875</v>
      </c>
      <c r="H1594" s="0" t="inlineStr">
        <is>
          <t xml:space="preserve">supplier</t>
        </is>
      </c>
      <c r="I1594" s="0" t="inlineStr">
        <is>
          <t xml:space="preserve">unbucketed</t>
        </is>
      </c>
      <c r="J1594" s="0" t="inlineStr">
        <is>
          <t xml:space="preserve">residual</t>
        </is>
      </c>
      <c r="K1594" s="5">
        <v>0</v>
      </c>
      <c r="L1594" s="5">
        <v>0</v>
      </c>
      <c r="M1594" s="5">
        <v>0.0</v>
      </c>
      <c r="N1594" s="5">
        <v>0.0</v>
      </c>
      <c r="O1594" s="5">
        <v>0.0</v>
      </c>
      <c r="P1594" s="5">
        <v>0.0</v>
      </c>
      <c r="Q1594" s="5">
        <v>0.0</v>
      </c>
    </row>
    <row r="1595" outlineLevel="1">
      <c r="B1595" s="0" t="inlineStr">
        <is>
          <t xml:space="preserve">HA LU MACHINE SHOP INC.</t>
        </is>
      </c>
      <c r="C1595" s="0" t="inlineStr">
        <is>
          <t xml:space="preserve">E2UDYM8FM8S5</t>
        </is>
      </c>
      <c r="D1595" s="0" t="inlineStr">
        <is>
          <t xml:space="preserve">-</t>
        </is>
      </c>
      <c r="E1595" s="0" t="inlineStr">
        <is>
          <t xml:space="preserve">-</t>
        </is>
      </c>
      <c r="F1595" s="0" t="inlineStr">
        <is>
          <t xml:space="preserve">-</t>
        </is>
      </c>
      <c r="G1595" s="5">
        <v>0.09891511</v>
      </c>
      <c r="H1595" s="0" t="inlineStr">
        <is>
          <t xml:space="preserve">supplier</t>
        </is>
      </c>
      <c r="I1595" s="0" t="inlineStr">
        <is>
          <t xml:space="preserve">unbucketed</t>
        </is>
      </c>
      <c r="J1595" s="0" t="inlineStr">
        <is>
          <t xml:space="preserve">residual</t>
        </is>
      </c>
      <c r="K1595" s="5">
        <v>0</v>
      </c>
      <c r="L1595" s="5">
        <v>0</v>
      </c>
      <c r="M1595" s="5">
        <v>0.0</v>
      </c>
      <c r="N1595" s="5">
        <v>0.0</v>
      </c>
      <c r="O1595" s="5">
        <v>0.0</v>
      </c>
      <c r="P1595" s="5">
        <v>0.0</v>
      </c>
      <c r="Q1595" s="5">
        <v>0.0</v>
      </c>
    </row>
    <row r="1596" outlineLevel="1">
      <c r="B1596" s="0" t="inlineStr">
        <is>
          <t xml:space="preserve">ZIVARO, INC.</t>
        </is>
      </c>
      <c r="C1596" s="0" t="inlineStr">
        <is>
          <t xml:space="preserve">WL9HGM6PCK53</t>
        </is>
      </c>
      <c r="D1596" s="0" t="inlineStr">
        <is>
          <t xml:space="preserve">-</t>
        </is>
      </c>
      <c r="E1596" s="0" t="inlineStr">
        <is>
          <t xml:space="preserve">-</t>
        </is>
      </c>
      <c r="F1596" s="0" t="inlineStr">
        <is>
          <t xml:space="preserve">-</t>
        </is>
      </c>
      <c r="G1596" s="5">
        <v>0.0985674</v>
      </c>
      <c r="H1596" s="0" t="inlineStr">
        <is>
          <t xml:space="preserve">supplier</t>
        </is>
      </c>
      <c r="I1596" s="0" t="inlineStr">
        <is>
          <t xml:space="preserve">unbucketed</t>
        </is>
      </c>
      <c r="J1596" s="0" t="inlineStr">
        <is>
          <t xml:space="preserve">residual</t>
        </is>
      </c>
      <c r="K1596" s="5">
        <v>0</v>
      </c>
      <c r="L1596" s="5">
        <v>0</v>
      </c>
      <c r="M1596" s="5">
        <v>0.0</v>
      </c>
      <c r="N1596" s="5">
        <v>0.0</v>
      </c>
      <c r="O1596" s="5">
        <v>0.0</v>
      </c>
      <c r="P1596" s="5">
        <v>0.0</v>
      </c>
      <c r="Q1596" s="5">
        <v>0.0</v>
      </c>
    </row>
    <row r="1597" outlineLevel="1">
      <c r="B1597" s="0" t="inlineStr">
        <is>
          <t xml:space="preserve">ARCONIC INC.</t>
        </is>
      </c>
      <c r="C1597" s="0" t="inlineStr">
        <is>
          <t xml:space="preserve">DNKWWW1EHS28</t>
        </is>
      </c>
      <c r="D1597" s="0" t="inlineStr">
        <is>
          <t xml:space="preserve">-</t>
        </is>
      </c>
      <c r="E1597" s="0" t="inlineStr">
        <is>
          <t xml:space="preserve">-</t>
        </is>
      </c>
      <c r="F1597" s="0" t="inlineStr">
        <is>
          <t xml:space="preserve">-</t>
        </is>
      </c>
      <c r="G1597" s="5">
        <v>0.09851943</v>
      </c>
      <c r="H1597" s="0" t="inlineStr">
        <is>
          <t xml:space="preserve">supplier</t>
        </is>
      </c>
      <c r="I1597" s="0" t="inlineStr">
        <is>
          <t xml:space="preserve">unbucketed</t>
        </is>
      </c>
      <c r="J1597" s="0" t="inlineStr">
        <is>
          <t xml:space="preserve">residual</t>
        </is>
      </c>
      <c r="K1597" s="5">
        <v>0</v>
      </c>
      <c r="L1597" s="5">
        <v>0</v>
      </c>
      <c r="M1597" s="5">
        <v>0.0</v>
      </c>
      <c r="N1597" s="5">
        <v>0.0</v>
      </c>
      <c r="O1597" s="5">
        <v>0.0</v>
      </c>
      <c r="P1597" s="5">
        <v>0.0</v>
      </c>
      <c r="Q1597" s="5">
        <v>0.0</v>
      </c>
    </row>
    <row r="1598" outlineLevel="1">
      <c r="B1598" s="0" t="inlineStr">
        <is>
          <t xml:space="preserve">VITA MOTIVATOR CO., INC.</t>
        </is>
      </c>
      <c r="C1598" s="0" t="inlineStr">
        <is>
          <t xml:space="preserve">MQSPAE7NQQR8</t>
        </is>
      </c>
      <c r="D1598" s="0" t="inlineStr">
        <is>
          <t xml:space="preserve">-</t>
        </is>
      </c>
      <c r="E1598" s="0" t="inlineStr">
        <is>
          <t xml:space="preserve">-</t>
        </is>
      </c>
      <c r="F1598" s="0" t="inlineStr">
        <is>
          <t xml:space="preserve">-</t>
        </is>
      </c>
      <c r="G1598" s="5">
        <v>0.097998</v>
      </c>
      <c r="H1598" s="0" t="inlineStr">
        <is>
          <t xml:space="preserve">supplier</t>
        </is>
      </c>
      <c r="I1598" s="0" t="inlineStr">
        <is>
          <t xml:space="preserve">unbucketed</t>
        </is>
      </c>
      <c r="J1598" s="0" t="inlineStr">
        <is>
          <t xml:space="preserve">residual</t>
        </is>
      </c>
      <c r="K1598" s="5">
        <v>0</v>
      </c>
      <c r="L1598" s="5">
        <v>0</v>
      </c>
      <c r="M1598" s="5">
        <v>0.097998</v>
      </c>
      <c r="N1598" s="5">
        <v>0.0</v>
      </c>
      <c r="O1598" s="5">
        <v>0.097998</v>
      </c>
      <c r="P1598" s="5">
        <v>0.0</v>
      </c>
      <c r="Q1598" s="5">
        <v>0.0</v>
      </c>
    </row>
    <row r="1599" outlineLevel="1">
      <c r="B1599" s="0" t="inlineStr">
        <is>
          <t xml:space="preserve">GRAYBAR ELECTRIC COMPANY, INC.</t>
        </is>
      </c>
      <c r="C1599" s="0" t="inlineStr">
        <is>
          <t xml:space="preserve">ESEEGJRMDHF5</t>
        </is>
      </c>
      <c r="D1599" s="0" t="inlineStr">
        <is>
          <t xml:space="preserve">-</t>
        </is>
      </c>
      <c r="E1599" s="0" t="inlineStr">
        <is>
          <t xml:space="preserve">-</t>
        </is>
      </c>
      <c r="F1599" s="0" t="inlineStr">
        <is>
          <t xml:space="preserve">-</t>
        </is>
      </c>
      <c r="G1599" s="5">
        <v>0.09755759</v>
      </c>
      <c r="H1599" s="0" t="inlineStr">
        <is>
          <t xml:space="preserve">supplier</t>
        </is>
      </c>
      <c r="I1599" s="0" t="inlineStr">
        <is>
          <t xml:space="preserve">unbucketed</t>
        </is>
      </c>
      <c r="J1599" s="0" t="inlineStr">
        <is>
          <t xml:space="preserve">residual</t>
        </is>
      </c>
      <c r="K1599" s="5">
        <v>0</v>
      </c>
      <c r="L1599" s="5">
        <v>0</v>
      </c>
      <c r="M1599" s="5">
        <v>0.0</v>
      </c>
      <c r="N1599" s="5">
        <v>0.0</v>
      </c>
      <c r="O1599" s="5">
        <v>0.0</v>
      </c>
      <c r="P1599" s="5">
        <v>0.0</v>
      </c>
      <c r="Q1599" s="5">
        <v>0.0</v>
      </c>
    </row>
    <row r="1600" outlineLevel="1">
      <c r="B1600" s="0" t="inlineStr">
        <is>
          <t xml:space="preserve">GENERAL DYNAMICS MISSION SYSTEMS, INC.</t>
        </is>
      </c>
      <c r="C1600" s="0" t="inlineStr">
        <is>
          <t xml:space="preserve">S4ZAF64LJ1G3</t>
        </is>
      </c>
      <c r="D1600" s="0" t="inlineStr">
        <is>
          <t xml:space="preserve">-</t>
        </is>
      </c>
      <c r="E1600" s="0" t="inlineStr">
        <is>
          <t xml:space="preserve">-</t>
        </is>
      </c>
      <c r="F1600" s="0" t="inlineStr">
        <is>
          <t xml:space="preserve">-</t>
        </is>
      </c>
      <c r="G1600" s="5">
        <v>0.0975</v>
      </c>
      <c r="H1600" s="0" t="inlineStr">
        <is>
          <t xml:space="preserve">prime</t>
        </is>
      </c>
      <c r="I1600" s="0" t="inlineStr">
        <is>
          <t xml:space="preserve">-</t>
        </is>
      </c>
      <c r="J1600" s="0" t="inlineStr">
        <is>
          <t xml:space="preserve">prime/co-prime name</t>
        </is>
      </c>
      <c r="K1600" s="5">
        <v>0</v>
      </c>
      <c r="L1600" s="5">
        <v>0</v>
      </c>
      <c r="M1600" s="5">
        <v>0.0</v>
      </c>
      <c r="N1600" s="5">
        <v>0.0</v>
      </c>
      <c r="O1600" s="5">
        <v>0.0</v>
      </c>
      <c r="P1600" s="5">
        <v>0.0</v>
      </c>
      <c r="Q1600" s="5">
        <v>0.0</v>
      </c>
    </row>
    <row r="1601" outlineLevel="1">
      <c r="B1601" s="0" t="inlineStr">
        <is>
          <t xml:space="preserve">CRANE PUMPS &amp; SYSTEMS, INC.</t>
        </is>
      </c>
      <c r="C1601" s="0" t="inlineStr">
        <is>
          <t xml:space="preserve">ZJYJB7MBFE56</t>
        </is>
      </c>
      <c r="D1601" s="0" t="inlineStr">
        <is>
          <t xml:space="preserve">-</t>
        </is>
      </c>
      <c r="E1601" s="0" t="inlineStr">
        <is>
          <t xml:space="preserve">-</t>
        </is>
      </c>
      <c r="F1601" s="0" t="inlineStr">
        <is>
          <t xml:space="preserve">-</t>
        </is>
      </c>
      <c r="G1601" s="5">
        <v>0.09745</v>
      </c>
      <c r="H1601" s="0" t="inlineStr">
        <is>
          <t xml:space="preserve">supplier</t>
        </is>
      </c>
      <c r="I1601" s="0" t="inlineStr">
        <is>
          <t xml:space="preserve">unbucketed</t>
        </is>
      </c>
      <c r="J1601" s="0" t="inlineStr">
        <is>
          <t xml:space="preserve">residual</t>
        </is>
      </c>
      <c r="K1601" s="5">
        <v>0</v>
      </c>
      <c r="L1601" s="5">
        <v>0</v>
      </c>
      <c r="M1601" s="5">
        <v>0.09745</v>
      </c>
      <c r="N1601" s="5">
        <v>0.09745</v>
      </c>
      <c r="O1601" s="5">
        <v>0.0</v>
      </c>
      <c r="P1601" s="5">
        <v>0.0</v>
      </c>
      <c r="Q1601" s="5">
        <v>0.0</v>
      </c>
    </row>
    <row r="1602" outlineLevel="1">
      <c r="B1602" s="0" t="inlineStr">
        <is>
          <t xml:space="preserve">COMPOSIFLEX, INC.</t>
        </is>
      </c>
      <c r="C1602" s="0" t="inlineStr">
        <is>
          <t xml:space="preserve">MPZJLJD1AJ63</t>
        </is>
      </c>
      <c r="D1602" s="0" t="inlineStr">
        <is>
          <t xml:space="preserve">-</t>
        </is>
      </c>
      <c r="E1602" s="0" t="inlineStr">
        <is>
          <t xml:space="preserve">-</t>
        </is>
      </c>
      <c r="F1602" s="0" t="inlineStr">
        <is>
          <t xml:space="preserve">-</t>
        </is>
      </c>
      <c r="G1602" s="5">
        <v>0.097188</v>
      </c>
      <c r="H1602" s="0" t="inlineStr">
        <is>
          <t xml:space="preserve">supplier</t>
        </is>
      </c>
      <c r="I1602" s="0" t="inlineStr">
        <is>
          <t xml:space="preserve">unbucketed</t>
        </is>
      </c>
      <c r="J1602" s="0" t="inlineStr">
        <is>
          <t xml:space="preserve">residual</t>
        </is>
      </c>
      <c r="K1602" s="5">
        <v>0</v>
      </c>
      <c r="L1602" s="5">
        <v>0</v>
      </c>
      <c r="M1602" s="5">
        <v>0.0</v>
      </c>
      <c r="N1602" s="5">
        <v>0.0</v>
      </c>
      <c r="O1602" s="5">
        <v>0.0</v>
      </c>
      <c r="P1602" s="5">
        <v>0.0</v>
      </c>
      <c r="Q1602" s="5">
        <v>0.0</v>
      </c>
    </row>
    <row r="1603" outlineLevel="1">
      <c r="B1603" s="0" t="inlineStr">
        <is>
          <t xml:space="preserve">GOULD TECHNOLOGY, LLC</t>
        </is>
      </c>
      <c r="C1603" s="0" t="inlineStr">
        <is>
          <t xml:space="preserve">JMKUMJXFL4P7</t>
        </is>
      </c>
      <c r="D1603" s="0" t="inlineStr">
        <is>
          <t xml:space="preserve">-</t>
        </is>
      </c>
      <c r="E1603" s="0" t="inlineStr">
        <is>
          <t xml:space="preserve">-</t>
        </is>
      </c>
      <c r="F1603" s="0" t="inlineStr">
        <is>
          <t xml:space="preserve">-</t>
        </is>
      </c>
      <c r="G1603" s="5">
        <v>0.0969</v>
      </c>
      <c r="H1603" s="0" t="inlineStr">
        <is>
          <t xml:space="preserve">supplier</t>
        </is>
      </c>
      <c r="I1603" s="0" t="inlineStr">
        <is>
          <t xml:space="preserve">unbucketed</t>
        </is>
      </c>
      <c r="J1603" s="0" t="inlineStr">
        <is>
          <t xml:space="preserve">residual</t>
        </is>
      </c>
      <c r="K1603" s="5">
        <v>0</v>
      </c>
      <c r="L1603" s="5">
        <v>0</v>
      </c>
      <c r="M1603" s="5">
        <v>0.0</v>
      </c>
      <c r="N1603" s="5">
        <v>0.0</v>
      </c>
      <c r="O1603" s="5">
        <v>0.0</v>
      </c>
      <c r="P1603" s="5">
        <v>0.0</v>
      </c>
      <c r="Q1603" s="5">
        <v>0.0</v>
      </c>
    </row>
    <row r="1604" outlineLevel="1">
      <c r="B1604" s="0" t="inlineStr">
        <is>
          <t xml:space="preserve">FABRICATED COMPONENTS CORPORATION</t>
        </is>
      </c>
      <c r="C1604" s="0" t="inlineStr">
        <is>
          <t xml:space="preserve">TLJ7NJDTLD19</t>
        </is>
      </c>
      <c r="D1604" s="0" t="inlineStr">
        <is>
          <t xml:space="preserve">-</t>
        </is>
      </c>
      <c r="E1604" s="0" t="inlineStr">
        <is>
          <t xml:space="preserve">-</t>
        </is>
      </c>
      <c r="F1604" s="0" t="inlineStr">
        <is>
          <t xml:space="preserve">-</t>
        </is>
      </c>
      <c r="G1604" s="5">
        <v>0.09648635000000001</v>
      </c>
      <c r="H1604" s="0" t="inlineStr">
        <is>
          <t xml:space="preserve">supplier</t>
        </is>
      </c>
      <c r="I1604" s="0" t="inlineStr">
        <is>
          <t xml:space="preserve">unbucketed</t>
        </is>
      </c>
      <c r="J1604" s="0" t="inlineStr">
        <is>
          <t xml:space="preserve">residual</t>
        </is>
      </c>
      <c r="K1604" s="5">
        <v>0</v>
      </c>
      <c r="L1604" s="5">
        <v>0</v>
      </c>
      <c r="M1604" s="5">
        <v>0.0</v>
      </c>
      <c r="N1604" s="5">
        <v>0.0</v>
      </c>
      <c r="O1604" s="5">
        <v>0.0</v>
      </c>
      <c r="P1604" s="5">
        <v>0.0</v>
      </c>
      <c r="Q1604" s="5">
        <v>0.0</v>
      </c>
    </row>
    <row r="1605" outlineLevel="1">
      <c r="B1605" s="0" t="inlineStr">
        <is>
          <t xml:space="preserve">ELMO MOTION CONTROL, INC</t>
        </is>
      </c>
      <c r="C1605" s="0" t="inlineStr">
        <is>
          <t xml:space="preserve">G9L3E5CJSKS7</t>
        </is>
      </c>
      <c r="D1605" s="0" t="inlineStr">
        <is>
          <t xml:space="preserve">-</t>
        </is>
      </c>
      <c r="E1605" s="0" t="inlineStr">
        <is>
          <t xml:space="preserve">-</t>
        </is>
      </c>
      <c r="F1605" s="0" t="inlineStr">
        <is>
          <t xml:space="preserve">-</t>
        </is>
      </c>
      <c r="G1605" s="5">
        <v>0.096384</v>
      </c>
      <c r="H1605" s="0" t="inlineStr">
        <is>
          <t xml:space="preserve">supplier</t>
        </is>
      </c>
      <c r="I1605" s="0" t="inlineStr">
        <is>
          <t xml:space="preserve">unbucketed</t>
        </is>
      </c>
      <c r="J1605" s="0" t="inlineStr">
        <is>
          <t xml:space="preserve">residual</t>
        </is>
      </c>
      <c r="K1605" s="5">
        <v>0</v>
      </c>
      <c r="L1605" s="5">
        <v>0</v>
      </c>
      <c r="M1605" s="5">
        <v>0.0</v>
      </c>
      <c r="N1605" s="5">
        <v>0.0</v>
      </c>
      <c r="O1605" s="5">
        <v>0.0</v>
      </c>
      <c r="P1605" s="5">
        <v>0.0</v>
      </c>
      <c r="Q1605" s="5">
        <v>0.0</v>
      </c>
    </row>
    <row r="1606" outlineLevel="1">
      <c r="B1606" s="0" t="inlineStr">
        <is>
          <t xml:space="preserve">VEGAS FASTENER MANUFACTURING, LLC</t>
        </is>
      </c>
      <c r="C1606" s="0" t="inlineStr">
        <is>
          <t xml:space="preserve">CZKYJKB7H9J7</t>
        </is>
      </c>
      <c r="D1606" s="0" t="inlineStr">
        <is>
          <t xml:space="preserve">-</t>
        </is>
      </c>
      <c r="E1606" s="0" t="inlineStr">
        <is>
          <t xml:space="preserve">-</t>
        </is>
      </c>
      <c r="F1606" s="0" t="inlineStr">
        <is>
          <t xml:space="preserve">-</t>
        </is>
      </c>
      <c r="G1606" s="5">
        <v>0.0954256</v>
      </c>
      <c r="H1606" s="0" t="inlineStr">
        <is>
          <t xml:space="preserve">supplier</t>
        </is>
      </c>
      <c r="I1606" s="0" t="inlineStr">
        <is>
          <t xml:space="preserve">unbucketed</t>
        </is>
      </c>
      <c r="J1606" s="0" t="inlineStr">
        <is>
          <t xml:space="preserve">residual</t>
        </is>
      </c>
      <c r="K1606" s="5">
        <v>0</v>
      </c>
      <c r="L1606" s="5">
        <v>0</v>
      </c>
      <c r="M1606" s="5">
        <v>0.0954256</v>
      </c>
      <c r="N1606" s="5">
        <v>0.051676</v>
      </c>
      <c r="O1606" s="5">
        <v>0.0437496</v>
      </c>
      <c r="P1606" s="5">
        <v>0.0</v>
      </c>
      <c r="Q1606" s="5">
        <v>0.0</v>
      </c>
    </row>
    <row r="1607" outlineLevel="1">
      <c r="B1607" s="0" t="inlineStr">
        <is>
          <t xml:space="preserve">PROTECTIVE PACKAGING CORPORATION INC</t>
        </is>
      </c>
      <c r="C1607" s="0" t="inlineStr">
        <is>
          <t xml:space="preserve">EWEJVUJC8N46</t>
        </is>
      </c>
      <c r="D1607" s="0" t="inlineStr">
        <is>
          <t xml:space="preserve">-</t>
        </is>
      </c>
      <c r="E1607" s="0" t="inlineStr">
        <is>
          <t xml:space="preserve">-</t>
        </is>
      </c>
      <c r="F1607" s="0" t="inlineStr">
        <is>
          <t xml:space="preserve">-</t>
        </is>
      </c>
      <c r="G1607" s="5">
        <v>0.09517141999999999</v>
      </c>
      <c r="H1607" s="0" t="inlineStr">
        <is>
          <t xml:space="preserve">supplier</t>
        </is>
      </c>
      <c r="I1607" s="0" t="inlineStr">
        <is>
          <t xml:space="preserve">unbucketed</t>
        </is>
      </c>
      <c r="J1607" s="0" t="inlineStr">
        <is>
          <t xml:space="preserve">residual</t>
        </is>
      </c>
      <c r="K1607" s="5">
        <v>0</v>
      </c>
      <c r="L1607" s="5">
        <v>0</v>
      </c>
      <c r="M1607" s="5">
        <v>0.0</v>
      </c>
      <c r="N1607" s="5">
        <v>0.0</v>
      </c>
      <c r="O1607" s="5">
        <v>0.0</v>
      </c>
      <c r="P1607" s="5">
        <v>0.0</v>
      </c>
      <c r="Q1607" s="5">
        <v>0.0</v>
      </c>
    </row>
    <row r="1608" outlineLevel="1">
      <c r="B1608" s="0" t="inlineStr">
        <is>
          <t xml:space="preserve">COSPOLICH, INC.</t>
        </is>
      </c>
      <c r="C1608" s="0" t="inlineStr">
        <is>
          <t xml:space="preserve">FNQARYRJJEL5</t>
        </is>
      </c>
      <c r="D1608" s="0" t="inlineStr">
        <is>
          <t xml:space="preserve">-</t>
        </is>
      </c>
      <c r="E1608" s="0" t="inlineStr">
        <is>
          <t xml:space="preserve">-</t>
        </is>
      </c>
      <c r="F1608" s="0" t="inlineStr">
        <is>
          <t xml:space="preserve">-</t>
        </is>
      </c>
      <c r="G1608" s="5">
        <v>0.09508844999999999</v>
      </c>
      <c r="H1608" s="0" t="inlineStr">
        <is>
          <t xml:space="preserve">supplier</t>
        </is>
      </c>
      <c r="I1608" s="0" t="inlineStr">
        <is>
          <t xml:space="preserve">unbucketed</t>
        </is>
      </c>
      <c r="J1608" s="0" t="inlineStr">
        <is>
          <t xml:space="preserve">residual</t>
        </is>
      </c>
      <c r="K1608" s="5">
        <v>0</v>
      </c>
      <c r="L1608" s="5">
        <v>0</v>
      </c>
      <c r="M1608" s="5">
        <v>0.09508844999999999</v>
      </c>
      <c r="N1608" s="5">
        <v>0.0</v>
      </c>
      <c r="O1608" s="5">
        <v>0.0</v>
      </c>
      <c r="P1608" s="5">
        <v>0.0</v>
      </c>
      <c r="Q1608" s="5">
        <v>0.0</v>
      </c>
    </row>
    <row r="1609" outlineLevel="1">
      <c r="B1609" s="0" t="inlineStr">
        <is>
          <t xml:space="preserve">DVL GROUP, INC.</t>
        </is>
      </c>
      <c r="C1609" s="0" t="inlineStr">
        <is>
          <t xml:space="preserve">YCNVY6KAMVD6</t>
        </is>
      </c>
      <c r="D1609" s="0" t="inlineStr">
        <is>
          <t xml:space="preserve">-</t>
        </is>
      </c>
      <c r="E1609" s="0" t="inlineStr">
        <is>
          <t xml:space="preserve">-</t>
        </is>
      </c>
      <c r="F1609" s="0" t="inlineStr">
        <is>
          <t xml:space="preserve">-</t>
        </is>
      </c>
      <c r="G1609" s="5">
        <v>0.094736</v>
      </c>
      <c r="H1609" s="0" t="inlineStr">
        <is>
          <t xml:space="preserve">supplier</t>
        </is>
      </c>
      <c r="I1609" s="0" t="inlineStr">
        <is>
          <t xml:space="preserve">unbucketed</t>
        </is>
      </c>
      <c r="J1609" s="0" t="inlineStr">
        <is>
          <t xml:space="preserve">residual</t>
        </is>
      </c>
      <c r="K1609" s="5">
        <v>0</v>
      </c>
      <c r="L1609" s="5">
        <v>0</v>
      </c>
      <c r="M1609" s="5">
        <v>0.0</v>
      </c>
      <c r="N1609" s="5">
        <v>0.0</v>
      </c>
      <c r="O1609" s="5">
        <v>0.0</v>
      </c>
      <c r="P1609" s="5">
        <v>0.0</v>
      </c>
      <c r="Q1609" s="5">
        <v>0.0</v>
      </c>
    </row>
    <row r="1610" outlineLevel="1">
      <c r="B1610" s="0" t="inlineStr">
        <is>
          <t xml:space="preserve">BERKSHIRE HATHAWAY INC.</t>
        </is>
      </c>
      <c r="C1610" s="0" t="inlineStr">
        <is>
          <t xml:space="preserve">DLMJMPNYKBX1</t>
        </is>
      </c>
      <c r="D1610" s="0" t="inlineStr">
        <is>
          <t xml:space="preserve">USA</t>
        </is>
      </c>
      <c r="E1610" s="0" t="inlineStr">
        <is>
          <t xml:space="preserve">5511</t>
        </is>
      </c>
      <c r="F1610" s="0" t="inlineStr">
        <is>
          <t xml:space="preserve">Offices of Other Holding Companies</t>
        </is>
      </c>
      <c r="G1610" s="5">
        <v>0.094668</v>
      </c>
      <c r="H1610" s="0" t="inlineStr">
        <is>
          <t xml:space="preserve">holding</t>
        </is>
      </c>
      <c r="I1610" s="0" t="inlineStr">
        <is>
          <t xml:space="preserve">-</t>
        </is>
      </c>
      <c r="J1610" s="0" t="inlineStr">
        <is>
          <t xml:space="preserve">holding-co (5511)</t>
        </is>
      </c>
      <c r="K1610" s="5">
        <v>0</v>
      </c>
      <c r="L1610" s="5">
        <v>0</v>
      </c>
      <c r="M1610" s="5">
        <v>0.0</v>
      </c>
      <c r="N1610" s="5">
        <v>0.0</v>
      </c>
      <c r="O1610" s="5">
        <v>0.0</v>
      </c>
      <c r="P1610" s="5">
        <v>0.0</v>
      </c>
      <c r="Q1610" s="5">
        <v>0.0</v>
      </c>
    </row>
    <row r="1611" outlineLevel="1">
      <c r="B1611" s="0" t="inlineStr">
        <is>
          <t xml:space="preserve">MID-STATE AEROSPACE, INC.</t>
        </is>
      </c>
      <c r="C1611" s="0" t="inlineStr">
        <is>
          <t xml:space="preserve">LCNCK3DFQW57</t>
        </is>
      </c>
      <c r="D1611" s="0" t="inlineStr">
        <is>
          <t xml:space="preserve">-</t>
        </is>
      </c>
      <c r="E1611" s="0" t="inlineStr">
        <is>
          <t xml:space="preserve">-</t>
        </is>
      </c>
      <c r="F1611" s="0" t="inlineStr">
        <is>
          <t xml:space="preserve">-</t>
        </is>
      </c>
      <c r="G1611" s="5">
        <v>0.0945</v>
      </c>
      <c r="H1611" s="0" t="inlineStr">
        <is>
          <t xml:space="preserve">supplier</t>
        </is>
      </c>
      <c r="I1611" s="0" t="inlineStr">
        <is>
          <t xml:space="preserve">unbucketed</t>
        </is>
      </c>
      <c r="J1611" s="0" t="inlineStr">
        <is>
          <t xml:space="preserve">residual</t>
        </is>
      </c>
      <c r="K1611" s="5">
        <v>0</v>
      </c>
      <c r="L1611" s="5">
        <v>0</v>
      </c>
      <c r="M1611" s="5">
        <v>0.0</v>
      </c>
      <c r="N1611" s="5">
        <v>0.0</v>
      </c>
      <c r="O1611" s="5">
        <v>0.0</v>
      </c>
      <c r="P1611" s="5">
        <v>0.0</v>
      </c>
      <c r="Q1611" s="5">
        <v>0.0</v>
      </c>
    </row>
    <row r="1612" outlineLevel="1">
      <c r="B1612" s="0" t="inlineStr">
        <is>
          <t xml:space="preserve">GENERAL DYNAMICS LAND SYSTEMS - CANADA CORPORATION</t>
        </is>
      </c>
      <c r="C1612" s="0" t="inlineStr">
        <is>
          <t xml:space="preserve">E145JGXUWH24</t>
        </is>
      </c>
      <c r="D1612" s="0" t="inlineStr">
        <is>
          <t xml:space="preserve">Foreign</t>
        </is>
      </c>
      <c r="E1612" s="0" t="inlineStr">
        <is>
          <t xml:space="preserve">-</t>
        </is>
      </c>
      <c r="F1612" s="0" t="inlineStr">
        <is>
          <t xml:space="preserve">-</t>
        </is>
      </c>
      <c r="G1612" s="5">
        <v>0.09384</v>
      </c>
      <c r="H1612" s="0" t="inlineStr">
        <is>
          <t xml:space="preserve">prime</t>
        </is>
      </c>
      <c r="I1612" s="0" t="inlineStr">
        <is>
          <t xml:space="preserve">-</t>
        </is>
      </c>
      <c r="J1612" s="0" t="inlineStr">
        <is>
          <t xml:space="preserve">prime/co-prime name</t>
        </is>
      </c>
      <c r="K1612" s="5">
        <v>0</v>
      </c>
      <c r="L1612" s="5">
        <v>0</v>
      </c>
      <c r="M1612" s="5">
        <v>0.0</v>
      </c>
      <c r="N1612" s="5">
        <v>0.0</v>
      </c>
      <c r="O1612" s="5">
        <v>0.0</v>
      </c>
      <c r="P1612" s="5">
        <v>0.0</v>
      </c>
      <c r="Q1612" s="5">
        <v>0.0</v>
      </c>
    </row>
    <row r="1613" outlineLevel="1">
      <c r="B1613" s="0" t="inlineStr">
        <is>
          <t xml:space="preserve">GOODRICH CORP</t>
        </is>
      </c>
      <c r="C1613" s="0" t="inlineStr">
        <is>
          <t xml:space="preserve">M9GTF4HYWL87</t>
        </is>
      </c>
      <c r="D1613" s="0" t="inlineStr">
        <is>
          <t xml:space="preserve">-</t>
        </is>
      </c>
      <c r="E1613" s="0" t="inlineStr">
        <is>
          <t xml:space="preserve">-</t>
        </is>
      </c>
      <c r="F1613" s="0" t="inlineStr">
        <is>
          <t xml:space="preserve">-</t>
        </is>
      </c>
      <c r="G1613" s="5">
        <v>0.093792</v>
      </c>
      <c r="H1613" s="0" t="inlineStr">
        <is>
          <t xml:space="preserve">supplier</t>
        </is>
      </c>
      <c r="I1613" s="0" t="inlineStr">
        <is>
          <t xml:space="preserve">unbucketed</t>
        </is>
      </c>
      <c r="J1613" s="0" t="inlineStr">
        <is>
          <t xml:space="preserve">residual</t>
        </is>
      </c>
      <c r="K1613" s="5">
        <v>0</v>
      </c>
      <c r="L1613" s="5">
        <v>0</v>
      </c>
      <c r="M1613" s="5">
        <v>0.0</v>
      </c>
      <c r="N1613" s="5">
        <v>0.0</v>
      </c>
      <c r="O1613" s="5">
        <v>0.0</v>
      </c>
      <c r="P1613" s="5">
        <v>0.0</v>
      </c>
      <c r="Q1613" s="5">
        <v>0.0</v>
      </c>
    </row>
    <row r="1614" outlineLevel="1">
      <c r="B1614" s="0" t="inlineStr">
        <is>
          <t xml:space="preserve">INDUSTRIAL MOBILE HYDRAULICS INC</t>
        </is>
      </c>
      <c r="C1614" s="0" t="inlineStr">
        <is>
          <t xml:space="preserve">Y3G3HDW395J5</t>
        </is>
      </c>
      <c r="D1614" s="0" t="inlineStr">
        <is>
          <t xml:space="preserve">-</t>
        </is>
      </c>
      <c r="E1614" s="0" t="inlineStr">
        <is>
          <t xml:space="preserve">-</t>
        </is>
      </c>
      <c r="F1614" s="0" t="inlineStr">
        <is>
          <t xml:space="preserve">-</t>
        </is>
      </c>
      <c r="G1614" s="5">
        <v>0.093752</v>
      </c>
      <c r="H1614" s="0" t="inlineStr">
        <is>
          <t xml:space="preserve">supplier</t>
        </is>
      </c>
      <c r="I1614" s="0" t="inlineStr">
        <is>
          <t xml:space="preserve">unbucketed</t>
        </is>
      </c>
      <c r="J1614" s="0" t="inlineStr">
        <is>
          <t xml:space="preserve">residual</t>
        </is>
      </c>
      <c r="K1614" s="5">
        <v>0</v>
      </c>
      <c r="L1614" s="5">
        <v>0</v>
      </c>
      <c r="M1614" s="5">
        <v>0.0</v>
      </c>
      <c r="N1614" s="5">
        <v>0.0</v>
      </c>
      <c r="O1614" s="5">
        <v>0.0</v>
      </c>
      <c r="P1614" s="5">
        <v>0.0</v>
      </c>
      <c r="Q1614" s="5">
        <v>0.0</v>
      </c>
    </row>
    <row r="1615" outlineLevel="1">
      <c r="B1615" s="0" t="inlineStr">
        <is>
          <t xml:space="preserve">JOHNSON CONTROLS BUILDING AUTOMATION SYSTEMS, LLC</t>
        </is>
      </c>
      <c r="C1615" s="0" t="inlineStr">
        <is>
          <t xml:space="preserve">G15SWMLGAX81</t>
        </is>
      </c>
      <c r="D1615" s="0" t="inlineStr">
        <is>
          <t xml:space="preserve">-</t>
        </is>
      </c>
      <c r="E1615" s="0" t="inlineStr">
        <is>
          <t xml:space="preserve">-</t>
        </is>
      </c>
      <c r="F1615" s="0" t="inlineStr">
        <is>
          <t xml:space="preserve">-</t>
        </is>
      </c>
      <c r="G1615" s="5">
        <v>0.093674</v>
      </c>
      <c r="H1615" s="0" t="inlineStr">
        <is>
          <t xml:space="preserve">supplier</t>
        </is>
      </c>
      <c r="I1615" s="0" t="inlineStr">
        <is>
          <t xml:space="preserve">unbucketed</t>
        </is>
      </c>
      <c r="J1615" s="0" t="inlineStr">
        <is>
          <t xml:space="preserve">residual</t>
        </is>
      </c>
      <c r="K1615" s="5">
        <v>0</v>
      </c>
      <c r="L1615" s="5">
        <v>0</v>
      </c>
      <c r="M1615" s="5">
        <v>0.0</v>
      </c>
      <c r="N1615" s="5">
        <v>0.0</v>
      </c>
      <c r="O1615" s="5">
        <v>0.0</v>
      </c>
      <c r="P1615" s="5">
        <v>0.0</v>
      </c>
      <c r="Q1615" s="5">
        <v>0.0</v>
      </c>
    </row>
    <row r="1616" outlineLevel="1">
      <c r="B1616" s="0" t="inlineStr">
        <is>
          <t xml:space="preserve">CREATION TECHNOLOGIES INC</t>
        </is>
      </c>
      <c r="C1616" s="0" t="inlineStr">
        <is>
          <t xml:space="preserve">GMKMJQ6DM5K5</t>
        </is>
      </c>
      <c r="D1616" s="0" t="inlineStr">
        <is>
          <t xml:space="preserve">-</t>
        </is>
      </c>
      <c r="E1616" s="0" t="inlineStr">
        <is>
          <t xml:space="preserve">-</t>
        </is>
      </c>
      <c r="F1616" s="0" t="inlineStr">
        <is>
          <t xml:space="preserve">-</t>
        </is>
      </c>
      <c r="G1616" s="5">
        <v>0.09362523000000002</v>
      </c>
      <c r="H1616" s="0" t="inlineStr">
        <is>
          <t xml:space="preserve">supplier</t>
        </is>
      </c>
      <c r="I1616" s="0" t="inlineStr">
        <is>
          <t xml:space="preserve">unbucketed</t>
        </is>
      </c>
      <c r="J1616" s="0" t="inlineStr">
        <is>
          <t xml:space="preserve">residual</t>
        </is>
      </c>
      <c r="K1616" s="5">
        <v>0</v>
      </c>
      <c r="L1616" s="5">
        <v>0</v>
      </c>
      <c r="M1616" s="5">
        <v>0.0</v>
      </c>
      <c r="N1616" s="5">
        <v>0.0</v>
      </c>
      <c r="O1616" s="5">
        <v>0.0</v>
      </c>
      <c r="P1616" s="5">
        <v>0.0</v>
      </c>
      <c r="Q1616" s="5">
        <v>0.0</v>
      </c>
    </row>
    <row r="1617" outlineLevel="1">
      <c r="B1617" s="0" t="inlineStr">
        <is>
          <t xml:space="preserve">PARKER-HANNIFIN CORPORATION</t>
        </is>
      </c>
      <c r="C1617" s="0" t="inlineStr">
        <is>
          <t xml:space="preserve">N8JDP1S6URN3</t>
        </is>
      </c>
      <c r="D1617" s="0" t="inlineStr">
        <is>
          <t xml:space="preserve">-</t>
        </is>
      </c>
      <c r="E1617" s="0" t="inlineStr">
        <is>
          <t xml:space="preserve">-</t>
        </is>
      </c>
      <c r="F1617" s="0" t="inlineStr">
        <is>
          <t xml:space="preserve">-</t>
        </is>
      </c>
      <c r="G1617" s="5">
        <v>0.0933185</v>
      </c>
      <c r="H1617" s="0" t="inlineStr">
        <is>
          <t xml:space="preserve">supplier</t>
        </is>
      </c>
      <c r="I1617" s="0" t="inlineStr">
        <is>
          <t xml:space="preserve">unbucketed</t>
        </is>
      </c>
      <c r="J1617" s="0" t="inlineStr">
        <is>
          <t xml:space="preserve">residual</t>
        </is>
      </c>
      <c r="K1617" s="5">
        <v>0</v>
      </c>
      <c r="L1617" s="5">
        <v>0</v>
      </c>
      <c r="M1617" s="5">
        <v>0.0</v>
      </c>
      <c r="N1617" s="5">
        <v>0.0</v>
      </c>
      <c r="O1617" s="5">
        <v>0.0</v>
      </c>
      <c r="P1617" s="5">
        <v>0.0</v>
      </c>
      <c r="Q1617" s="5">
        <v>0.0</v>
      </c>
    </row>
    <row r="1618" outlineLevel="1">
      <c r="B1618" s="0" t="inlineStr">
        <is>
          <t xml:space="preserve">ES BETA, INC</t>
        </is>
      </c>
      <c r="C1618" s="0" t="inlineStr">
        <is>
          <t xml:space="preserve">QHM2PDDGFVN5</t>
        </is>
      </c>
      <c r="D1618" s="0" t="inlineStr">
        <is>
          <t xml:space="preserve">-</t>
        </is>
      </c>
      <c r="E1618" s="0" t="inlineStr">
        <is>
          <t xml:space="preserve">-</t>
        </is>
      </c>
      <c r="F1618" s="0" t="inlineStr">
        <is>
          <t xml:space="preserve">-</t>
        </is>
      </c>
      <c r="G1618" s="5">
        <v>0.09321750000000001</v>
      </c>
      <c r="H1618" s="0" t="inlineStr">
        <is>
          <t xml:space="preserve">supplier</t>
        </is>
      </c>
      <c r="I1618" s="0" t="inlineStr">
        <is>
          <t xml:space="preserve">unbucketed</t>
        </is>
      </c>
      <c r="J1618" s="0" t="inlineStr">
        <is>
          <t xml:space="preserve">residual</t>
        </is>
      </c>
      <c r="K1618" s="5">
        <v>0</v>
      </c>
      <c r="L1618" s="5">
        <v>0</v>
      </c>
      <c r="M1618" s="5">
        <v>0.0</v>
      </c>
      <c r="N1618" s="5">
        <v>0.0</v>
      </c>
      <c r="O1618" s="5">
        <v>0.0</v>
      </c>
      <c r="P1618" s="5">
        <v>0.0</v>
      </c>
      <c r="Q1618" s="5">
        <v>0.0</v>
      </c>
    </row>
    <row r="1619" outlineLevel="1">
      <c r="B1619" s="0" t="inlineStr">
        <is>
          <t xml:space="preserve">KENNETH INDUSTRIAL PRODUCTS, INC.</t>
        </is>
      </c>
      <c r="C1619" s="0" t="inlineStr">
        <is>
          <t xml:space="preserve">SQKNZVLF27Q4</t>
        </is>
      </c>
      <c r="D1619" s="0" t="inlineStr">
        <is>
          <t xml:space="preserve">-</t>
        </is>
      </c>
      <c r="E1619" s="0" t="inlineStr">
        <is>
          <t xml:space="preserve">-</t>
        </is>
      </c>
      <c r="F1619" s="0" t="inlineStr">
        <is>
          <t xml:space="preserve">-</t>
        </is>
      </c>
      <c r="G1619" s="5">
        <v>0.09285014</v>
      </c>
      <c r="H1619" s="0" t="inlineStr">
        <is>
          <t xml:space="preserve">supplier</t>
        </is>
      </c>
      <c r="I1619" s="0" t="inlineStr">
        <is>
          <t xml:space="preserve">unbucketed</t>
        </is>
      </c>
      <c r="J1619" s="0" t="inlineStr">
        <is>
          <t xml:space="preserve">residual</t>
        </is>
      </c>
      <c r="K1619" s="5">
        <v>0</v>
      </c>
      <c r="L1619" s="5">
        <v>0</v>
      </c>
      <c r="M1619" s="5">
        <v>0.0</v>
      </c>
      <c r="N1619" s="5">
        <v>0.0</v>
      </c>
      <c r="O1619" s="5">
        <v>0.0</v>
      </c>
      <c r="P1619" s="5">
        <v>0.0</v>
      </c>
      <c r="Q1619" s="5">
        <v>0.0</v>
      </c>
    </row>
    <row r="1620" outlineLevel="1">
      <c r="B1620" s="0" t="inlineStr">
        <is>
          <t xml:space="preserve">NOVARIA GROUP LLC</t>
        </is>
      </c>
      <c r="C1620" s="0" t="inlineStr">
        <is>
          <t xml:space="preserve">YYX6CCXJ9AS1</t>
        </is>
      </c>
      <c r="D1620" s="0" t="inlineStr">
        <is>
          <t xml:space="preserve">-</t>
        </is>
      </c>
      <c r="E1620" s="0" t="inlineStr">
        <is>
          <t xml:space="preserve">-</t>
        </is>
      </c>
      <c r="F1620" s="0" t="inlineStr">
        <is>
          <t xml:space="preserve">-</t>
        </is>
      </c>
      <c r="G1620" s="5">
        <v>0.09274827000000001</v>
      </c>
      <c r="H1620" s="0" t="inlineStr">
        <is>
          <t xml:space="preserve">supplier</t>
        </is>
      </c>
      <c r="I1620" s="0" t="inlineStr">
        <is>
          <t xml:space="preserve">unbucketed</t>
        </is>
      </c>
      <c r="J1620" s="0" t="inlineStr">
        <is>
          <t xml:space="preserve">residual</t>
        </is>
      </c>
      <c r="K1620" s="5">
        <v>0</v>
      </c>
      <c r="L1620" s="5">
        <v>0</v>
      </c>
      <c r="M1620" s="5">
        <v>0.0</v>
      </c>
      <c r="N1620" s="5">
        <v>0.0</v>
      </c>
      <c r="O1620" s="5">
        <v>0.0</v>
      </c>
      <c r="P1620" s="5">
        <v>0.0</v>
      </c>
      <c r="Q1620" s="5">
        <v>0.0</v>
      </c>
    </row>
    <row r="1621" outlineLevel="1">
      <c r="B1621" s="0" t="inlineStr">
        <is>
          <t xml:space="preserve">ADMARTEC, INC.</t>
        </is>
      </c>
      <c r="C1621" s="0" t="inlineStr">
        <is>
          <t xml:space="preserve">HQEUSUQSKVK7</t>
        </is>
      </c>
      <c r="D1621" s="0" t="inlineStr">
        <is>
          <t xml:space="preserve">-</t>
        </is>
      </c>
      <c r="E1621" s="0" t="inlineStr">
        <is>
          <t xml:space="preserve">-</t>
        </is>
      </c>
      <c r="F1621" s="0" t="inlineStr">
        <is>
          <t xml:space="preserve">-</t>
        </is>
      </c>
      <c r="G1621" s="5">
        <v>0.092709</v>
      </c>
      <c r="H1621" s="0" t="inlineStr">
        <is>
          <t xml:space="preserve">supplier</t>
        </is>
      </c>
      <c r="I1621" s="0" t="inlineStr">
        <is>
          <t xml:space="preserve">unbucketed</t>
        </is>
      </c>
      <c r="J1621" s="0" t="inlineStr">
        <is>
          <t xml:space="preserve">residual</t>
        </is>
      </c>
      <c r="K1621" s="5">
        <v>0</v>
      </c>
      <c r="L1621" s="5">
        <v>0</v>
      </c>
      <c r="M1621" s="5">
        <v>0.092709</v>
      </c>
      <c r="N1621" s="5">
        <v>0.037549</v>
      </c>
      <c r="O1621" s="5">
        <v>0.05516</v>
      </c>
      <c r="P1621" s="5">
        <v>0.0</v>
      </c>
      <c r="Q1621" s="5">
        <v>0.0</v>
      </c>
    </row>
    <row r="1622" outlineLevel="1">
      <c r="B1622" s="0" t="inlineStr">
        <is>
          <t xml:space="preserve">COILCRAFT INC</t>
        </is>
      </c>
      <c r="C1622" s="0" t="inlineStr">
        <is>
          <t xml:space="preserve">EQ6FZK8R7A75</t>
        </is>
      </c>
      <c r="D1622" s="0" t="inlineStr">
        <is>
          <t xml:space="preserve">-</t>
        </is>
      </c>
      <c r="E1622" s="0" t="inlineStr">
        <is>
          <t xml:space="preserve">-</t>
        </is>
      </c>
      <c r="F1622" s="0" t="inlineStr">
        <is>
          <t xml:space="preserve">-</t>
        </is>
      </c>
      <c r="G1622" s="5">
        <v>0.092683</v>
      </c>
      <c r="H1622" s="0" t="inlineStr">
        <is>
          <t xml:space="preserve">supplier</t>
        </is>
      </c>
      <c r="I1622" s="0" t="inlineStr">
        <is>
          <t xml:space="preserve">unbucketed</t>
        </is>
      </c>
      <c r="J1622" s="0" t="inlineStr">
        <is>
          <t xml:space="preserve">residual</t>
        </is>
      </c>
      <c r="K1622" s="5">
        <v>0</v>
      </c>
      <c r="L1622" s="5">
        <v>0</v>
      </c>
      <c r="M1622" s="5">
        <v>0.0</v>
      </c>
      <c r="N1622" s="5">
        <v>0.0</v>
      </c>
      <c r="O1622" s="5">
        <v>0.0</v>
      </c>
      <c r="P1622" s="5">
        <v>0.0</v>
      </c>
      <c r="Q1622" s="5">
        <v>0.0</v>
      </c>
    </row>
    <row r="1623" outlineLevel="1">
      <c r="B1623" s="0" t="inlineStr">
        <is>
          <t xml:space="preserve">NORTH CENTRAL STAMPINGS &amp; MFG. INC.</t>
        </is>
      </c>
      <c r="C1623" s="0" t="inlineStr">
        <is>
          <t xml:space="preserve">UH34AHJ81HT1</t>
        </is>
      </c>
      <c r="D1623" s="0" t="inlineStr">
        <is>
          <t xml:space="preserve">-</t>
        </is>
      </c>
      <c r="E1623" s="0" t="inlineStr">
        <is>
          <t xml:space="preserve">-</t>
        </is>
      </c>
      <c r="F1623" s="0" t="inlineStr">
        <is>
          <t xml:space="preserve">-</t>
        </is>
      </c>
      <c r="G1623" s="5">
        <v>0.09265537000000001</v>
      </c>
      <c r="H1623" s="0" t="inlineStr">
        <is>
          <t xml:space="preserve">supplier</t>
        </is>
      </c>
      <c r="I1623" s="0" t="inlineStr">
        <is>
          <t xml:space="preserve">unbucketed</t>
        </is>
      </c>
      <c r="J1623" s="0" t="inlineStr">
        <is>
          <t xml:space="preserve">residual</t>
        </is>
      </c>
      <c r="K1623" s="5">
        <v>0</v>
      </c>
      <c r="L1623" s="5">
        <v>0</v>
      </c>
      <c r="M1623" s="5">
        <v>0.0</v>
      </c>
      <c r="N1623" s="5">
        <v>0.0</v>
      </c>
      <c r="O1623" s="5">
        <v>0.0</v>
      </c>
      <c r="P1623" s="5">
        <v>0.0</v>
      </c>
      <c r="Q1623" s="5">
        <v>0.0</v>
      </c>
    </row>
    <row r="1624" outlineLevel="1">
      <c r="B1624" s="0" t="inlineStr">
        <is>
          <t xml:space="preserve">LEIDOS HOLDINGS, INC.</t>
        </is>
      </c>
      <c r="C1624" s="0" t="inlineStr">
        <is>
          <t xml:space="preserve">QLNMVC12KWY3</t>
        </is>
      </c>
      <c r="D1624" s="0" t="inlineStr">
        <is>
          <t xml:space="preserve">-</t>
        </is>
      </c>
      <c r="E1624" s="0" t="inlineStr">
        <is>
          <t xml:space="preserve">-</t>
        </is>
      </c>
      <c r="F1624" s="0" t="inlineStr">
        <is>
          <t xml:space="preserve">-</t>
        </is>
      </c>
      <c r="G1624" s="5">
        <v>0.092468</v>
      </c>
      <c r="H1624" s="0" t="inlineStr">
        <is>
          <t xml:space="preserve">supplier</t>
        </is>
      </c>
      <c r="I1624" s="0" t="inlineStr">
        <is>
          <t xml:space="preserve">unbucketed</t>
        </is>
      </c>
      <c r="J1624" s="0" t="inlineStr">
        <is>
          <t xml:space="preserve">residual</t>
        </is>
      </c>
      <c r="K1624" s="5">
        <v>0</v>
      </c>
      <c r="L1624" s="5">
        <v>0</v>
      </c>
      <c r="M1624" s="5">
        <v>0.092468</v>
      </c>
      <c r="N1624" s="5">
        <v>0.0</v>
      </c>
      <c r="O1624" s="5">
        <v>0.0</v>
      </c>
      <c r="P1624" s="5">
        <v>0.092468</v>
      </c>
      <c r="Q1624" s="5">
        <v>0.0</v>
      </c>
    </row>
    <row r="1625" outlineLevel="1">
      <c r="B1625" s="0" t="inlineStr">
        <is>
          <t xml:space="preserve">MARINE CHEMIST GROUP, LLC</t>
        </is>
      </c>
      <c r="C1625" s="0" t="inlineStr">
        <is>
          <t xml:space="preserve">JXJALN2U76G4</t>
        </is>
      </c>
      <c r="D1625" s="0" t="inlineStr">
        <is>
          <t xml:space="preserve">-</t>
        </is>
      </c>
      <c r="E1625" s="0" t="inlineStr">
        <is>
          <t xml:space="preserve">-</t>
        </is>
      </c>
      <c r="F1625" s="0" t="inlineStr">
        <is>
          <t xml:space="preserve">-</t>
        </is>
      </c>
      <c r="G1625" s="5">
        <v>0.09243000000000001</v>
      </c>
      <c r="H1625" s="0" t="inlineStr">
        <is>
          <t xml:space="preserve">supplier</t>
        </is>
      </c>
      <c r="I1625" s="0" t="inlineStr">
        <is>
          <t xml:space="preserve">unbucketed</t>
        </is>
      </c>
      <c r="J1625" s="0" t="inlineStr">
        <is>
          <t xml:space="preserve">residual</t>
        </is>
      </c>
      <c r="K1625" s="5">
        <v>0</v>
      </c>
      <c r="L1625" s="5">
        <v>0</v>
      </c>
      <c r="M1625" s="5">
        <v>0.0</v>
      </c>
      <c r="N1625" s="5">
        <v>0.0</v>
      </c>
      <c r="O1625" s="5">
        <v>0.0</v>
      </c>
      <c r="P1625" s="5">
        <v>0.0</v>
      </c>
      <c r="Q1625" s="5">
        <v>0.0</v>
      </c>
    </row>
    <row r="1626" outlineLevel="1">
      <c r="B1626" s="0" t="inlineStr">
        <is>
          <t xml:space="preserve">FALCON ELECTRONICS, INC</t>
        </is>
      </c>
      <c r="C1626" s="0" t="inlineStr">
        <is>
          <t xml:space="preserve">MJ1MDNUENC97</t>
        </is>
      </c>
      <c r="D1626" s="0" t="inlineStr">
        <is>
          <t xml:space="preserve">-</t>
        </is>
      </c>
      <c r="E1626" s="0" t="inlineStr">
        <is>
          <t xml:space="preserve">-</t>
        </is>
      </c>
      <c r="F1626" s="0" t="inlineStr">
        <is>
          <t xml:space="preserve">-</t>
        </is>
      </c>
      <c r="G1626" s="5">
        <v>0.092134</v>
      </c>
      <c r="H1626" s="0" t="inlineStr">
        <is>
          <t xml:space="preserve">supplier</t>
        </is>
      </c>
      <c r="I1626" s="0" t="inlineStr">
        <is>
          <t xml:space="preserve">unbucketed</t>
        </is>
      </c>
      <c r="J1626" s="0" t="inlineStr">
        <is>
          <t xml:space="preserve">residual</t>
        </is>
      </c>
      <c r="K1626" s="5">
        <v>0</v>
      </c>
      <c r="L1626" s="5">
        <v>0</v>
      </c>
      <c r="M1626" s="5">
        <v>0.0</v>
      </c>
      <c r="N1626" s="5">
        <v>0.0</v>
      </c>
      <c r="O1626" s="5">
        <v>0.0</v>
      </c>
      <c r="P1626" s="5">
        <v>0.0</v>
      </c>
      <c r="Q1626" s="5">
        <v>0.0</v>
      </c>
    </row>
    <row r="1627" outlineLevel="1">
      <c r="B1627" s="0" t="inlineStr">
        <is>
          <t xml:space="preserve">VFI FABRICATION LLC</t>
        </is>
      </c>
      <c r="C1627" s="0" t="inlineStr">
        <is>
          <t xml:space="preserve">CDUXGQBTPJS9</t>
        </is>
      </c>
      <c r="D1627" s="0" t="inlineStr">
        <is>
          <t xml:space="preserve">-</t>
        </is>
      </c>
      <c r="E1627" s="0" t="inlineStr">
        <is>
          <t xml:space="preserve">-</t>
        </is>
      </c>
      <c r="F1627" s="0" t="inlineStr">
        <is>
          <t xml:space="preserve">-</t>
        </is>
      </c>
      <c r="G1627" s="5">
        <v>0.09185908999999999</v>
      </c>
      <c r="H1627" s="0" t="inlineStr">
        <is>
          <t xml:space="preserve">supplier</t>
        </is>
      </c>
      <c r="I1627" s="0" t="inlineStr">
        <is>
          <t xml:space="preserve">unbucketed</t>
        </is>
      </c>
      <c r="J1627" s="0" t="inlineStr">
        <is>
          <t xml:space="preserve">residual</t>
        </is>
      </c>
      <c r="K1627" s="5">
        <v>0</v>
      </c>
      <c r="L1627" s="5">
        <v>0</v>
      </c>
      <c r="M1627" s="5">
        <v>0.0</v>
      </c>
      <c r="N1627" s="5">
        <v>0.0</v>
      </c>
      <c r="O1627" s="5">
        <v>0.0</v>
      </c>
      <c r="P1627" s="5">
        <v>0.0</v>
      </c>
      <c r="Q1627" s="5">
        <v>0.0</v>
      </c>
    </row>
    <row r="1628" outlineLevel="1">
      <c r="B1628" s="0" t="inlineStr">
        <is>
          <t xml:space="preserve">MCCLENDON'S PORTABLE TOILET INC</t>
        </is>
      </c>
      <c r="C1628" s="0" t="inlineStr">
        <is>
          <t xml:space="preserve">HKWNLFCBMJZ2</t>
        </is>
      </c>
      <c r="D1628" s="0" t="inlineStr">
        <is>
          <t xml:space="preserve">-</t>
        </is>
      </c>
      <c r="E1628" s="0" t="inlineStr">
        <is>
          <t xml:space="preserve">-</t>
        </is>
      </c>
      <c r="F1628" s="0" t="inlineStr">
        <is>
          <t xml:space="preserve">-</t>
        </is>
      </c>
      <c r="G1628" s="5">
        <v>0.09185</v>
      </c>
      <c r="H1628" s="0" t="inlineStr">
        <is>
          <t xml:space="preserve">supplier</t>
        </is>
      </c>
      <c r="I1628" s="0" t="inlineStr">
        <is>
          <t xml:space="preserve">unbucketed</t>
        </is>
      </c>
      <c r="J1628" s="0" t="inlineStr">
        <is>
          <t xml:space="preserve">residual</t>
        </is>
      </c>
      <c r="K1628" s="5">
        <v>0</v>
      </c>
      <c r="L1628" s="5">
        <v>0</v>
      </c>
      <c r="M1628" s="5">
        <v>0.0</v>
      </c>
      <c r="N1628" s="5">
        <v>0.0</v>
      </c>
      <c r="O1628" s="5">
        <v>0.0</v>
      </c>
      <c r="P1628" s="5">
        <v>0.0</v>
      </c>
      <c r="Q1628" s="5">
        <v>0.0</v>
      </c>
    </row>
    <row r="1629" outlineLevel="1">
      <c r="B1629" s="0" t="inlineStr">
        <is>
          <t xml:space="preserve">AEA EUROPE FUND L.P.</t>
        </is>
      </c>
      <c r="C1629" s="0" t="inlineStr">
        <is>
          <t xml:space="preserve">XK68QNYRQCH8</t>
        </is>
      </c>
      <c r="D1629" s="0" t="inlineStr">
        <is>
          <t xml:space="preserve">-</t>
        </is>
      </c>
      <c r="E1629" s="0" t="inlineStr">
        <is>
          <t xml:space="preserve">-</t>
        </is>
      </c>
      <c r="F1629" s="0" t="inlineStr">
        <is>
          <t xml:space="preserve">-</t>
        </is>
      </c>
      <c r="G1629" s="5">
        <v>0.09162</v>
      </c>
      <c r="H1629" s="0" t="inlineStr">
        <is>
          <t xml:space="preserve">supplier</t>
        </is>
      </c>
      <c r="I1629" s="0" t="inlineStr">
        <is>
          <t xml:space="preserve">unbucketed</t>
        </is>
      </c>
      <c r="J1629" s="0" t="inlineStr">
        <is>
          <t xml:space="preserve">residual</t>
        </is>
      </c>
      <c r="K1629" s="5">
        <v>0</v>
      </c>
      <c r="L1629" s="5">
        <v>0</v>
      </c>
      <c r="M1629" s="5">
        <v>0.09162</v>
      </c>
      <c r="N1629" s="5">
        <v>0.0</v>
      </c>
      <c r="O1629" s="5">
        <v>0.0</v>
      </c>
      <c r="P1629" s="5">
        <v>0.0</v>
      </c>
      <c r="Q1629" s="5">
        <v>0.0</v>
      </c>
    </row>
    <row r="1630" outlineLevel="1">
      <c r="B1630" s="0" t="inlineStr">
        <is>
          <t xml:space="preserve">SPECTRIS PLC</t>
        </is>
      </c>
      <c r="C1630" s="0" t="inlineStr">
        <is>
          <t xml:space="preserve">RHLAM7GSJGJ4</t>
        </is>
      </c>
      <c r="D1630" s="0" t="inlineStr">
        <is>
          <t xml:space="preserve">-</t>
        </is>
      </c>
      <c r="E1630" s="0" t="inlineStr">
        <is>
          <t xml:space="preserve">-</t>
        </is>
      </c>
      <c r="F1630" s="0" t="inlineStr">
        <is>
          <t xml:space="preserve">-</t>
        </is>
      </c>
      <c r="G1630" s="5">
        <v>0.091437</v>
      </c>
      <c r="H1630" s="0" t="inlineStr">
        <is>
          <t xml:space="preserve">supplier</t>
        </is>
      </c>
      <c r="I1630" s="0" t="inlineStr">
        <is>
          <t xml:space="preserve">unbucketed</t>
        </is>
      </c>
      <c r="J1630" s="0" t="inlineStr">
        <is>
          <t xml:space="preserve">residual</t>
        </is>
      </c>
      <c r="K1630" s="5">
        <v>0</v>
      </c>
      <c r="L1630" s="5">
        <v>0</v>
      </c>
      <c r="M1630" s="5">
        <v>0.091437</v>
      </c>
      <c r="N1630" s="5">
        <v>0.0</v>
      </c>
      <c r="O1630" s="5">
        <v>0.0</v>
      </c>
      <c r="P1630" s="5">
        <v>0.0</v>
      </c>
      <c r="Q1630" s="5">
        <v>0.0</v>
      </c>
    </row>
    <row r="1631" outlineLevel="1">
      <c r="B1631" s="0" t="inlineStr">
        <is>
          <t xml:space="preserve">AIR SYSTEMS COMPONENTS INC</t>
        </is>
      </c>
      <c r="C1631" s="0" t="inlineStr">
        <is>
          <t xml:space="preserve">E83TNKA9JCY6</t>
        </is>
      </c>
      <c r="D1631" s="0" t="inlineStr">
        <is>
          <t xml:space="preserve">-</t>
        </is>
      </c>
      <c r="E1631" s="0" t="inlineStr">
        <is>
          <t xml:space="preserve">-</t>
        </is>
      </c>
      <c r="F1631" s="0" t="inlineStr">
        <is>
          <t xml:space="preserve">-</t>
        </is>
      </c>
      <c r="G1631" s="5">
        <v>0.09143485999999999</v>
      </c>
      <c r="H1631" s="0" t="inlineStr">
        <is>
          <t xml:space="preserve">supplier</t>
        </is>
      </c>
      <c r="I1631" s="0" t="inlineStr">
        <is>
          <t xml:space="preserve">unbucketed</t>
        </is>
      </c>
      <c r="J1631" s="0" t="inlineStr">
        <is>
          <t xml:space="preserve">residual</t>
        </is>
      </c>
      <c r="K1631" s="5">
        <v>0</v>
      </c>
      <c r="L1631" s="5">
        <v>0</v>
      </c>
      <c r="M1631" s="5">
        <v>0.09143485999999999</v>
      </c>
      <c r="N1631" s="5">
        <v>0.0</v>
      </c>
      <c r="O1631" s="5">
        <v>0.09143485999999999</v>
      </c>
      <c r="P1631" s="5">
        <v>0.0</v>
      </c>
      <c r="Q1631" s="5">
        <v>0.0</v>
      </c>
    </row>
    <row r="1632" outlineLevel="1">
      <c r="B1632" s="0" t="inlineStr">
        <is>
          <t xml:space="preserve">BELCAN ENGINEERING GROUP, LLC</t>
        </is>
      </c>
      <c r="C1632" s="0" t="inlineStr">
        <is>
          <t xml:space="preserve">ZWLCEJLQ4YS5</t>
        </is>
      </c>
      <c r="D1632" s="0" t="inlineStr">
        <is>
          <t xml:space="preserve">-</t>
        </is>
      </c>
      <c r="E1632" s="0" t="inlineStr">
        <is>
          <t xml:space="preserve">-</t>
        </is>
      </c>
      <c r="F1632" s="0" t="inlineStr">
        <is>
          <t xml:space="preserve">-</t>
        </is>
      </c>
      <c r="G1632" s="5">
        <v>0.091201</v>
      </c>
      <c r="H1632" s="0" t="inlineStr">
        <is>
          <t xml:space="preserve">supplier</t>
        </is>
      </c>
      <c r="I1632" s="0" t="inlineStr">
        <is>
          <t xml:space="preserve">unbucketed</t>
        </is>
      </c>
      <c r="J1632" s="0" t="inlineStr">
        <is>
          <t xml:space="preserve">residual</t>
        </is>
      </c>
      <c r="K1632" s="5">
        <v>0</v>
      </c>
      <c r="L1632" s="5">
        <v>0</v>
      </c>
      <c r="M1632" s="5">
        <v>0.0</v>
      </c>
      <c r="N1632" s="5">
        <v>0.0</v>
      </c>
      <c r="O1632" s="5">
        <v>0.0</v>
      </c>
      <c r="P1632" s="5">
        <v>0.0</v>
      </c>
      <c r="Q1632" s="5">
        <v>0.0</v>
      </c>
    </row>
    <row r="1633" outlineLevel="1">
      <c r="B1633" s="0" t="inlineStr">
        <is>
          <t xml:space="preserve">HUNTINGTON INGALLS INDUSTRIES, INC</t>
        </is>
      </c>
      <c r="C1633" s="0" t="inlineStr">
        <is>
          <t xml:space="preserve">WMXDDH6HJNA5</t>
        </is>
      </c>
      <c r="D1633" s="0" t="inlineStr">
        <is>
          <t xml:space="preserve">-</t>
        </is>
      </c>
      <c r="E1633" s="0" t="inlineStr">
        <is>
          <t xml:space="preserve">-</t>
        </is>
      </c>
      <c r="F1633" s="0" t="inlineStr">
        <is>
          <t xml:space="preserve">-</t>
        </is>
      </c>
      <c r="G1633" s="5">
        <v>0.091064</v>
      </c>
      <c r="H1633" s="0" t="inlineStr">
        <is>
          <t xml:space="preserve">prime</t>
        </is>
      </c>
      <c r="I1633" s="0" t="inlineStr">
        <is>
          <t xml:space="preserve">-</t>
        </is>
      </c>
      <c r="J1633" s="0" t="inlineStr">
        <is>
          <t xml:space="preserve">registry</t>
        </is>
      </c>
      <c r="K1633" s="5">
        <v>0</v>
      </c>
      <c r="L1633" s="5">
        <v>0</v>
      </c>
      <c r="M1633" s="5">
        <v>0.0</v>
      </c>
      <c r="N1633" s="5">
        <v>0.0</v>
      </c>
      <c r="O1633" s="5">
        <v>0.0</v>
      </c>
      <c r="P1633" s="5">
        <v>0.0</v>
      </c>
      <c r="Q1633" s="5">
        <v>0.0</v>
      </c>
    </row>
    <row r="1634" outlineLevel="1">
      <c r="B1634" s="0" t="inlineStr">
        <is>
          <t xml:space="preserve">HEGEDUS ALUMINUM INDUSTRIES, INC</t>
        </is>
      </c>
      <c r="C1634" s="0" t="inlineStr">
        <is>
          <t xml:space="preserve">DLRDDPVKLLA1</t>
        </is>
      </c>
      <c r="D1634" s="0" t="inlineStr">
        <is>
          <t xml:space="preserve">-</t>
        </is>
      </c>
      <c r="E1634" s="0" t="inlineStr">
        <is>
          <t xml:space="preserve">-</t>
        </is>
      </c>
      <c r="F1634" s="0" t="inlineStr">
        <is>
          <t xml:space="preserve">-</t>
        </is>
      </c>
      <c r="G1634" s="5">
        <v>0.090644</v>
      </c>
      <c r="H1634" s="0" t="inlineStr">
        <is>
          <t xml:space="preserve">supplier</t>
        </is>
      </c>
      <c r="I1634" s="0" t="inlineStr">
        <is>
          <t xml:space="preserve">unbucketed</t>
        </is>
      </c>
      <c r="J1634" s="0" t="inlineStr">
        <is>
          <t xml:space="preserve">residual</t>
        </is>
      </c>
      <c r="K1634" s="5">
        <v>0</v>
      </c>
      <c r="L1634" s="5">
        <v>0</v>
      </c>
      <c r="M1634" s="5">
        <v>0.090644</v>
      </c>
      <c r="N1634" s="5">
        <v>0.0</v>
      </c>
      <c r="O1634" s="5">
        <v>0.0</v>
      </c>
      <c r="P1634" s="5">
        <v>0.045322</v>
      </c>
      <c r="Q1634" s="5">
        <v>0.045322</v>
      </c>
    </row>
    <row r="1635" outlineLevel="1">
      <c r="B1635" s="0" t="inlineStr">
        <is>
          <t xml:space="preserve">TABET MANUFACTURING CO INC</t>
        </is>
      </c>
      <c r="C1635" s="0" t="inlineStr">
        <is>
          <t xml:space="preserve">EEJPJ342F3P1</t>
        </is>
      </c>
      <c r="D1635" s="0" t="inlineStr">
        <is>
          <t xml:space="preserve">-</t>
        </is>
      </c>
      <c r="E1635" s="0" t="inlineStr">
        <is>
          <t xml:space="preserve">-</t>
        </is>
      </c>
      <c r="F1635" s="0" t="inlineStr">
        <is>
          <t xml:space="preserve">-</t>
        </is>
      </c>
      <c r="G1635" s="5">
        <v>0.09057</v>
      </c>
      <c r="H1635" s="0" t="inlineStr">
        <is>
          <t xml:space="preserve">supplier</t>
        </is>
      </c>
      <c r="I1635" s="0" t="inlineStr">
        <is>
          <t xml:space="preserve">unbucketed</t>
        </is>
      </c>
      <c r="J1635" s="0" t="inlineStr">
        <is>
          <t xml:space="preserve">residual</t>
        </is>
      </c>
      <c r="K1635" s="5">
        <v>0</v>
      </c>
      <c r="L1635" s="5">
        <v>0</v>
      </c>
      <c r="M1635" s="5">
        <v>0.09057</v>
      </c>
      <c r="N1635" s="5">
        <v>0.0</v>
      </c>
      <c r="O1635" s="5">
        <v>0.09057</v>
      </c>
      <c r="P1635" s="5">
        <v>0.0</v>
      </c>
      <c r="Q1635" s="5">
        <v>0.0</v>
      </c>
    </row>
    <row r="1636" outlineLevel="1">
      <c r="B1636" s="0" t="inlineStr">
        <is>
          <t xml:space="preserve">DYNATECT MANUFACTURING, INC.</t>
        </is>
      </c>
      <c r="C1636" s="0" t="inlineStr">
        <is>
          <t xml:space="preserve">GLAZWR3PE9S4</t>
        </is>
      </c>
      <c r="D1636" s="0" t="inlineStr">
        <is>
          <t xml:space="preserve">-</t>
        </is>
      </c>
      <c r="E1636" s="0" t="inlineStr">
        <is>
          <t xml:space="preserve">-</t>
        </is>
      </c>
      <c r="F1636" s="0" t="inlineStr">
        <is>
          <t xml:space="preserve">-</t>
        </is>
      </c>
      <c r="G1636" s="5">
        <v>0.09015</v>
      </c>
      <c r="H1636" s="0" t="inlineStr">
        <is>
          <t xml:space="preserve">supplier</t>
        </is>
      </c>
      <c r="I1636" s="0" t="inlineStr">
        <is>
          <t xml:space="preserve">unbucketed</t>
        </is>
      </c>
      <c r="J1636" s="0" t="inlineStr">
        <is>
          <t xml:space="preserve">residual</t>
        </is>
      </c>
      <c r="K1636" s="5">
        <v>0</v>
      </c>
      <c r="L1636" s="5">
        <v>0</v>
      </c>
      <c r="M1636" s="5">
        <v>0.0</v>
      </c>
      <c r="N1636" s="5">
        <v>0.0</v>
      </c>
      <c r="O1636" s="5">
        <v>0.0</v>
      </c>
      <c r="P1636" s="5">
        <v>0.0</v>
      </c>
      <c r="Q1636" s="5">
        <v>0.0</v>
      </c>
    </row>
    <row r="1637" outlineLevel="1">
      <c r="B1637" s="0" t="inlineStr">
        <is>
          <t xml:space="preserve">ROTRON INCORPORATED</t>
        </is>
      </c>
      <c r="C1637" s="0" t="inlineStr">
        <is>
          <t xml:space="preserve">SMZQB2YVYM66</t>
        </is>
      </c>
      <c r="D1637" s="0" t="inlineStr">
        <is>
          <t xml:space="preserve">-</t>
        </is>
      </c>
      <c r="E1637" s="0" t="inlineStr">
        <is>
          <t xml:space="preserve">-</t>
        </is>
      </c>
      <c r="F1637" s="0" t="inlineStr">
        <is>
          <t xml:space="preserve">-</t>
        </is>
      </c>
      <c r="G1637" s="5">
        <v>0.09009</v>
      </c>
      <c r="H1637" s="0" t="inlineStr">
        <is>
          <t xml:space="preserve">supplier</t>
        </is>
      </c>
      <c r="I1637" s="0" t="inlineStr">
        <is>
          <t xml:space="preserve">unbucketed</t>
        </is>
      </c>
      <c r="J1637" s="0" t="inlineStr">
        <is>
          <t xml:space="preserve">residual</t>
        </is>
      </c>
      <c r="K1637" s="5">
        <v>0</v>
      </c>
      <c r="L1637" s="5">
        <v>0</v>
      </c>
      <c r="M1637" s="5">
        <v>0.0</v>
      </c>
      <c r="N1637" s="5">
        <v>0.0</v>
      </c>
      <c r="O1637" s="5">
        <v>0.0</v>
      </c>
      <c r="P1637" s="5">
        <v>0.0</v>
      </c>
      <c r="Q1637" s="5">
        <v>0.0</v>
      </c>
    </row>
    <row r="1638" outlineLevel="1">
      <c r="B1638" s="0" t="inlineStr">
        <is>
          <t xml:space="preserve">PASCAGOULA LAUNCH SERVICE, INC</t>
        </is>
      </c>
      <c r="C1638" s="0" t="inlineStr">
        <is>
          <t xml:space="preserve">FD69PPCVM2B8</t>
        </is>
      </c>
      <c r="D1638" s="0" t="inlineStr">
        <is>
          <t xml:space="preserve">-</t>
        </is>
      </c>
      <c r="E1638" s="0" t="inlineStr">
        <is>
          <t xml:space="preserve">-</t>
        </is>
      </c>
      <c r="F1638" s="0" t="inlineStr">
        <is>
          <t xml:space="preserve">-</t>
        </is>
      </c>
      <c r="G1638" s="5">
        <v>0.09</v>
      </c>
      <c r="H1638" s="0" t="inlineStr">
        <is>
          <t xml:space="preserve">supplier</t>
        </is>
      </c>
      <c r="I1638" s="0" t="inlineStr">
        <is>
          <t xml:space="preserve">unbucketed</t>
        </is>
      </c>
      <c r="J1638" s="0" t="inlineStr">
        <is>
          <t xml:space="preserve">residual</t>
        </is>
      </c>
      <c r="K1638" s="5">
        <v>0</v>
      </c>
      <c r="L1638" s="5">
        <v>0</v>
      </c>
      <c r="M1638" s="5">
        <v>0.09</v>
      </c>
      <c r="N1638" s="5">
        <v>0.0</v>
      </c>
      <c r="O1638" s="5">
        <v>0.0</v>
      </c>
      <c r="P1638" s="5">
        <v>0.0</v>
      </c>
      <c r="Q1638" s="5">
        <v>0.0</v>
      </c>
    </row>
    <row r="1639" outlineLevel="1">
      <c r="B1639" s="0" t="inlineStr">
        <is>
          <t xml:space="preserve">DISTRIBUTION INTERNATIONAL, INC.</t>
        </is>
      </c>
      <c r="C1639" s="0" t="inlineStr">
        <is>
          <t xml:space="preserve">TC76NMCGN4F4</t>
        </is>
      </c>
      <c r="D1639" s="0" t="inlineStr">
        <is>
          <t xml:space="preserve">-</t>
        </is>
      </c>
      <c r="E1639" s="0" t="inlineStr">
        <is>
          <t xml:space="preserve">-</t>
        </is>
      </c>
      <c r="F1639" s="0" t="inlineStr">
        <is>
          <t xml:space="preserve">-</t>
        </is>
      </c>
      <c r="G1639" s="5">
        <v>0.089703</v>
      </c>
      <c r="H1639" s="0" t="inlineStr">
        <is>
          <t xml:space="preserve">supplier</t>
        </is>
      </c>
      <c r="I1639" s="0" t="inlineStr">
        <is>
          <t xml:space="preserve">unbucketed</t>
        </is>
      </c>
      <c r="J1639" s="0" t="inlineStr">
        <is>
          <t xml:space="preserve">residual</t>
        </is>
      </c>
      <c r="K1639" s="5">
        <v>0</v>
      </c>
      <c r="L1639" s="5">
        <v>0</v>
      </c>
      <c r="M1639" s="5">
        <v>0.0</v>
      </c>
      <c r="N1639" s="5">
        <v>0.0</v>
      </c>
      <c r="O1639" s="5">
        <v>0.0</v>
      </c>
      <c r="P1639" s="5">
        <v>0.0</v>
      </c>
      <c r="Q1639" s="5">
        <v>0.0</v>
      </c>
    </row>
    <row r="1640" outlineLevel="1">
      <c r="B1640" s="0" t="inlineStr">
        <is>
          <t xml:space="preserve">R P M SUPPLY CORPORATION</t>
        </is>
      </c>
      <c r="C1640" s="0" t="inlineStr">
        <is>
          <t xml:space="preserve">RDQDMFHFM8K3</t>
        </is>
      </c>
      <c r="D1640" s="0" t="inlineStr">
        <is>
          <t xml:space="preserve">-</t>
        </is>
      </c>
      <c r="E1640" s="0" t="inlineStr">
        <is>
          <t xml:space="preserve">-</t>
        </is>
      </c>
      <c r="F1640" s="0" t="inlineStr">
        <is>
          <t xml:space="preserve">-</t>
        </is>
      </c>
      <c r="G1640" s="5">
        <v>0.0896</v>
      </c>
      <c r="H1640" s="0" t="inlineStr">
        <is>
          <t xml:space="preserve">supplier</t>
        </is>
      </c>
      <c r="I1640" s="0" t="inlineStr">
        <is>
          <t xml:space="preserve">unbucketed</t>
        </is>
      </c>
      <c r="J1640" s="0" t="inlineStr">
        <is>
          <t xml:space="preserve">residual</t>
        </is>
      </c>
      <c r="K1640" s="5">
        <v>0</v>
      </c>
      <c r="L1640" s="5">
        <v>0</v>
      </c>
      <c r="M1640" s="5">
        <v>0.0896</v>
      </c>
      <c r="N1640" s="5">
        <v>0.0</v>
      </c>
      <c r="O1640" s="5">
        <v>0.0896</v>
      </c>
      <c r="P1640" s="5">
        <v>0.0</v>
      </c>
      <c r="Q1640" s="5">
        <v>0.0</v>
      </c>
    </row>
    <row r="1641" outlineLevel="1">
      <c r="B1641" s="0" t="inlineStr">
        <is>
          <t xml:space="preserve">ARROW ELECTRONICS INC</t>
        </is>
      </c>
      <c r="C1641" s="0" t="inlineStr">
        <is>
          <t xml:space="preserve">W9DNU9K3MJE5</t>
        </is>
      </c>
      <c r="D1641" s="0" t="inlineStr">
        <is>
          <t xml:space="preserve">USA</t>
        </is>
      </c>
      <c r="E1641" s="0" t="inlineStr">
        <is>
          <t xml:space="preserve">4236</t>
        </is>
      </c>
      <c r="F1641" s="0" t="inlineStr">
        <is>
          <t xml:space="preserve">Other Electronic Parts and Equipment Merchant Wholesalers</t>
        </is>
      </c>
      <c r="G1641" s="5">
        <v>0.08958522</v>
      </c>
      <c r="H1641" s="0" t="inlineStr">
        <is>
          <t xml:space="preserve">service</t>
        </is>
      </c>
      <c r="I1641" s="0" t="inlineStr">
        <is>
          <t xml:space="preserve">-</t>
        </is>
      </c>
      <c r="J1641" s="0" t="inlineStr">
        <is>
          <t xml:space="preserve">service NAICS</t>
        </is>
      </c>
      <c r="K1641" s="5">
        <v>0</v>
      </c>
      <c r="L1641" s="5">
        <v>0</v>
      </c>
      <c r="M1641" s="5">
        <v>0.0</v>
      </c>
      <c r="N1641" s="5">
        <v>0.0</v>
      </c>
      <c r="O1641" s="5">
        <v>0.0</v>
      </c>
      <c r="P1641" s="5">
        <v>0.0</v>
      </c>
      <c r="Q1641" s="5">
        <v>0.0</v>
      </c>
    </row>
    <row r="1642" outlineLevel="1">
      <c r="B1642" s="0" t="inlineStr">
        <is>
          <t xml:space="preserve">PEI/GENESIS, INC.</t>
        </is>
      </c>
      <c r="C1642" s="0" t="inlineStr">
        <is>
          <t xml:space="preserve">ZJPWDDNBK7D7</t>
        </is>
      </c>
      <c r="D1642" s="0" t="inlineStr">
        <is>
          <t xml:space="preserve">-</t>
        </is>
      </c>
      <c r="E1642" s="0" t="inlineStr">
        <is>
          <t xml:space="preserve">-</t>
        </is>
      </c>
      <c r="F1642" s="0" t="inlineStr">
        <is>
          <t xml:space="preserve">-</t>
        </is>
      </c>
      <c r="G1642" s="5">
        <v>0.08923510000000001</v>
      </c>
      <c r="H1642" s="0" t="inlineStr">
        <is>
          <t xml:space="preserve">supplier</t>
        </is>
      </c>
      <c r="I1642" s="0" t="inlineStr">
        <is>
          <t xml:space="preserve">unbucketed</t>
        </is>
      </c>
      <c r="J1642" s="0" t="inlineStr">
        <is>
          <t xml:space="preserve">residual</t>
        </is>
      </c>
      <c r="K1642" s="5">
        <v>0</v>
      </c>
      <c r="L1642" s="5">
        <v>0</v>
      </c>
      <c r="M1642" s="5">
        <v>0.0</v>
      </c>
      <c r="N1642" s="5">
        <v>0.0</v>
      </c>
      <c r="O1642" s="5">
        <v>0.0</v>
      </c>
      <c r="P1642" s="5">
        <v>0.0</v>
      </c>
      <c r="Q1642" s="5">
        <v>0.0</v>
      </c>
    </row>
    <row r="1643" outlineLevel="1">
      <c r="B1643" s="0" t="inlineStr">
        <is>
          <t xml:space="preserve">CORE MECHANICAL, INC.</t>
        </is>
      </c>
      <c r="C1643" s="0" t="inlineStr">
        <is>
          <t xml:space="preserve">WBRQJF16QA55</t>
        </is>
      </c>
      <c r="D1643" s="0" t="inlineStr">
        <is>
          <t xml:space="preserve">-</t>
        </is>
      </c>
      <c r="E1643" s="0" t="inlineStr">
        <is>
          <t xml:space="preserve">-</t>
        </is>
      </c>
      <c r="F1643" s="0" t="inlineStr">
        <is>
          <t xml:space="preserve">-</t>
        </is>
      </c>
      <c r="G1643" s="5">
        <v>0.089128</v>
      </c>
      <c r="H1643" s="0" t="inlineStr">
        <is>
          <t xml:space="preserve">supplier</t>
        </is>
      </c>
      <c r="I1643" s="0" t="inlineStr">
        <is>
          <t xml:space="preserve">unbucketed</t>
        </is>
      </c>
      <c r="J1643" s="0" t="inlineStr">
        <is>
          <t xml:space="preserve">residual</t>
        </is>
      </c>
      <c r="K1643" s="5">
        <v>0</v>
      </c>
      <c r="L1643" s="5">
        <v>0</v>
      </c>
      <c r="M1643" s="5">
        <v>0.0</v>
      </c>
      <c r="N1643" s="5">
        <v>0.0</v>
      </c>
      <c r="O1643" s="5">
        <v>0.0</v>
      </c>
      <c r="P1643" s="5">
        <v>0.0</v>
      </c>
      <c r="Q1643" s="5">
        <v>0.0</v>
      </c>
    </row>
    <row r="1644" outlineLevel="1">
      <c r="B1644" s="0" t="inlineStr">
        <is>
          <t xml:space="preserve">TRICOMM SERVICES CORPORATION</t>
        </is>
      </c>
      <c r="C1644" s="0" t="inlineStr">
        <is>
          <t xml:space="preserve">KA9ETLWPKTN4</t>
        </is>
      </c>
      <c r="D1644" s="0" t="inlineStr">
        <is>
          <t xml:space="preserve">-</t>
        </is>
      </c>
      <c r="E1644" s="0" t="inlineStr">
        <is>
          <t xml:space="preserve">-</t>
        </is>
      </c>
      <c r="F1644" s="0" t="inlineStr">
        <is>
          <t xml:space="preserve">-</t>
        </is>
      </c>
      <c r="G1644" s="5">
        <v>0.08879999999999999</v>
      </c>
      <c r="H1644" s="0" t="inlineStr">
        <is>
          <t xml:space="preserve">supplier</t>
        </is>
      </c>
      <c r="I1644" s="0" t="inlineStr">
        <is>
          <t xml:space="preserve">unbucketed</t>
        </is>
      </c>
      <c r="J1644" s="0" t="inlineStr">
        <is>
          <t xml:space="preserve">residual</t>
        </is>
      </c>
      <c r="K1644" s="5">
        <v>0</v>
      </c>
      <c r="L1644" s="5">
        <v>0</v>
      </c>
      <c r="M1644" s="5">
        <v>0.0</v>
      </c>
      <c r="N1644" s="5">
        <v>0.0</v>
      </c>
      <c r="O1644" s="5">
        <v>0.0</v>
      </c>
      <c r="P1644" s="5">
        <v>0.0</v>
      </c>
      <c r="Q1644" s="5">
        <v>0.0</v>
      </c>
    </row>
    <row r="1645" outlineLevel="1">
      <c r="B1645" s="0" t="inlineStr">
        <is>
          <t xml:space="preserve">AAR GOVERNMENT SERVICES INC.</t>
        </is>
      </c>
      <c r="C1645" s="0" t="inlineStr">
        <is>
          <t xml:space="preserve">TWJNLZXJ39F1</t>
        </is>
      </c>
      <c r="D1645" s="0" t="inlineStr">
        <is>
          <t xml:space="preserve">-</t>
        </is>
      </c>
      <c r="E1645" s="0" t="inlineStr">
        <is>
          <t xml:space="preserve">-</t>
        </is>
      </c>
      <c r="F1645" s="0" t="inlineStr">
        <is>
          <t xml:space="preserve">-</t>
        </is>
      </c>
      <c r="G1645" s="5">
        <v>0.08876617999999999</v>
      </c>
      <c r="H1645" s="0" t="inlineStr">
        <is>
          <t xml:space="preserve">supplier</t>
        </is>
      </c>
      <c r="I1645" s="0" t="inlineStr">
        <is>
          <t xml:space="preserve">unbucketed</t>
        </is>
      </c>
      <c r="J1645" s="0" t="inlineStr">
        <is>
          <t xml:space="preserve">residual</t>
        </is>
      </c>
      <c r="K1645" s="5">
        <v>0</v>
      </c>
      <c r="L1645" s="5">
        <v>0</v>
      </c>
      <c r="M1645" s="5">
        <v>0.0</v>
      </c>
      <c r="N1645" s="5">
        <v>0.0</v>
      </c>
      <c r="O1645" s="5">
        <v>0.0</v>
      </c>
      <c r="P1645" s="5">
        <v>0.0</v>
      </c>
      <c r="Q1645" s="5">
        <v>0.0</v>
      </c>
    </row>
    <row r="1646" outlineLevel="1">
      <c r="B1646" s="0" t="inlineStr">
        <is>
          <t xml:space="preserve">CUSTOM HYDRAULIC &amp; MACHINE, INC.</t>
        </is>
      </c>
      <c r="C1646" s="0" t="inlineStr">
        <is>
          <t xml:space="preserve">HJUAXSF12JR6</t>
        </is>
      </c>
      <c r="D1646" s="0" t="inlineStr">
        <is>
          <t xml:space="preserve">-</t>
        </is>
      </c>
      <c r="E1646" s="0" t="inlineStr">
        <is>
          <t xml:space="preserve">-</t>
        </is>
      </c>
      <c r="F1646" s="0" t="inlineStr">
        <is>
          <t xml:space="preserve">-</t>
        </is>
      </c>
      <c r="G1646" s="5">
        <v>0.08849869999999999</v>
      </c>
      <c r="H1646" s="0" t="inlineStr">
        <is>
          <t xml:space="preserve">supplier</t>
        </is>
      </c>
      <c r="I1646" s="0" t="inlineStr">
        <is>
          <t xml:space="preserve">unbucketed</t>
        </is>
      </c>
      <c r="J1646" s="0" t="inlineStr">
        <is>
          <t xml:space="preserve">residual</t>
        </is>
      </c>
      <c r="K1646" s="5">
        <v>0</v>
      </c>
      <c r="L1646" s="5">
        <v>0</v>
      </c>
      <c r="M1646" s="5">
        <v>0.043057</v>
      </c>
      <c r="N1646" s="5">
        <v>0.0</v>
      </c>
      <c r="O1646" s="5">
        <v>0.043057</v>
      </c>
      <c r="P1646" s="5">
        <v>0.0</v>
      </c>
      <c r="Q1646" s="5">
        <v>0.0</v>
      </c>
    </row>
    <row r="1647" outlineLevel="1">
      <c r="B1647" s="0" t="inlineStr">
        <is>
          <t xml:space="preserve">L3HARRIS TECHNOLOGIES, INC.</t>
        </is>
      </c>
      <c r="C1647" s="0" t="inlineStr">
        <is>
          <t xml:space="preserve">CFXRGJSB9UB6</t>
        </is>
      </c>
      <c r="D1647" s="0" t="inlineStr">
        <is>
          <t xml:space="preserve">USA</t>
        </is>
      </c>
      <c r="E1647" s="0" t="inlineStr">
        <is>
          <t xml:space="preserve">3345</t>
        </is>
      </c>
      <c r="F1647" s="0" t="inlineStr">
        <is>
          <t xml:space="preserve">Search, Detection, Navigation, Guidance, Aeronautical, and Nautical System and Instrument Manufacturing</t>
        </is>
      </c>
      <c r="G1647" s="5">
        <v>0.08842071</v>
      </c>
      <c r="H1647" s="0" t="inlineStr">
        <is>
          <t xml:space="preserve">mission_systems</t>
        </is>
      </c>
      <c r="I1647" s="0" t="inlineStr">
        <is>
          <t xml:space="preserve">-</t>
        </is>
      </c>
      <c r="J1647" s="0" t="inlineStr">
        <is>
          <t xml:space="preserve">registry</t>
        </is>
      </c>
      <c r="K1647" s="5">
        <v>0</v>
      </c>
      <c r="L1647" s="5">
        <v>0</v>
      </c>
      <c r="M1647" s="5">
        <v>0.08842071</v>
      </c>
      <c r="N1647" s="5">
        <v>0.0</v>
      </c>
      <c r="O1647" s="5">
        <v>0.0</v>
      </c>
      <c r="P1647" s="5">
        <v>0.0</v>
      </c>
      <c r="Q1647" s="5">
        <v>0.0</v>
      </c>
    </row>
    <row r="1648" outlineLevel="1">
      <c r="B1648" s="0" t="inlineStr">
        <is>
          <t xml:space="preserve">ULTI-MATE CONNECTOR LLC</t>
        </is>
      </c>
      <c r="C1648" s="0" t="inlineStr">
        <is>
          <t xml:space="preserve">G5GTNMLCCBB3</t>
        </is>
      </c>
      <c r="D1648" s="0" t="inlineStr">
        <is>
          <t xml:space="preserve">-</t>
        </is>
      </c>
      <c r="E1648" s="0" t="inlineStr">
        <is>
          <t xml:space="preserve">-</t>
        </is>
      </c>
      <c r="F1648" s="0" t="inlineStr">
        <is>
          <t xml:space="preserve">-</t>
        </is>
      </c>
      <c r="G1648" s="5">
        <v>0.087452</v>
      </c>
      <c r="H1648" s="0" t="inlineStr">
        <is>
          <t xml:space="preserve">supplier</t>
        </is>
      </c>
      <c r="I1648" s="0" t="inlineStr">
        <is>
          <t xml:space="preserve">unbucketed</t>
        </is>
      </c>
      <c r="J1648" s="0" t="inlineStr">
        <is>
          <t xml:space="preserve">residual</t>
        </is>
      </c>
      <c r="K1648" s="5">
        <v>0</v>
      </c>
      <c r="L1648" s="5">
        <v>0</v>
      </c>
      <c r="M1648" s="5">
        <v>0.0</v>
      </c>
      <c r="N1648" s="5">
        <v>0.0</v>
      </c>
      <c r="O1648" s="5">
        <v>0.0</v>
      </c>
      <c r="P1648" s="5">
        <v>0.0</v>
      </c>
      <c r="Q1648" s="5">
        <v>0.0</v>
      </c>
    </row>
    <row r="1649" outlineLevel="1">
      <c r="B1649" s="0" t="inlineStr">
        <is>
          <t xml:space="preserve">FORENTA L.P.</t>
        </is>
      </c>
      <c r="C1649" s="0" t="inlineStr">
        <is>
          <t xml:space="preserve">GU9WXNREUPZ1</t>
        </is>
      </c>
      <c r="D1649" s="0" t="inlineStr">
        <is>
          <t xml:space="preserve">-</t>
        </is>
      </c>
      <c r="E1649" s="0" t="inlineStr">
        <is>
          <t xml:space="preserve">-</t>
        </is>
      </c>
      <c r="F1649" s="0" t="inlineStr">
        <is>
          <t xml:space="preserve">-</t>
        </is>
      </c>
      <c r="G1649" s="5">
        <v>0.087156</v>
      </c>
      <c r="H1649" s="0" t="inlineStr">
        <is>
          <t xml:space="preserve">supplier</t>
        </is>
      </c>
      <c r="I1649" s="0" t="inlineStr">
        <is>
          <t xml:space="preserve">unbucketed</t>
        </is>
      </c>
      <c r="J1649" s="0" t="inlineStr">
        <is>
          <t xml:space="preserve">residual</t>
        </is>
      </c>
      <c r="K1649" s="5">
        <v>0</v>
      </c>
      <c r="L1649" s="5">
        <v>0</v>
      </c>
      <c r="M1649" s="5">
        <v>0.087156</v>
      </c>
      <c r="N1649" s="5">
        <v>0.03216</v>
      </c>
      <c r="O1649" s="5">
        <v>0.0</v>
      </c>
      <c r="P1649" s="5">
        <v>0.0</v>
      </c>
      <c r="Q1649" s="5">
        <v>0.0</v>
      </c>
    </row>
    <row r="1650" outlineLevel="1">
      <c r="B1650" s="0" t="inlineStr">
        <is>
          <t xml:space="preserve">TYCO FIRE PRODUCTS LP</t>
        </is>
      </c>
      <c r="C1650" s="0" t="inlineStr">
        <is>
          <t xml:space="preserve">H1PAVTLJBJ88</t>
        </is>
      </c>
      <c r="D1650" s="0" t="inlineStr">
        <is>
          <t xml:space="preserve">-</t>
        </is>
      </c>
      <c r="E1650" s="0" t="inlineStr">
        <is>
          <t xml:space="preserve">-</t>
        </is>
      </c>
      <c r="F1650" s="0" t="inlineStr">
        <is>
          <t xml:space="preserve">-</t>
        </is>
      </c>
      <c r="G1650" s="5">
        <v>0.08712675</v>
      </c>
      <c r="H1650" s="0" t="inlineStr">
        <is>
          <t xml:space="preserve">supplier</t>
        </is>
      </c>
      <c r="I1650" s="0" t="inlineStr">
        <is>
          <t xml:space="preserve">unbucketed</t>
        </is>
      </c>
      <c r="J1650" s="0" t="inlineStr">
        <is>
          <t xml:space="preserve">residual</t>
        </is>
      </c>
      <c r="K1650" s="5">
        <v>0</v>
      </c>
      <c r="L1650" s="5">
        <v>0</v>
      </c>
      <c r="M1650" s="5">
        <v>0.08712675</v>
      </c>
      <c r="N1650" s="5">
        <v>0.0</v>
      </c>
      <c r="O1650" s="5">
        <v>0.0</v>
      </c>
      <c r="P1650" s="5">
        <v>0.0</v>
      </c>
      <c r="Q1650" s="5">
        <v>0.0</v>
      </c>
    </row>
    <row r="1651" outlineLevel="1">
      <c r="B1651" s="0" t="inlineStr">
        <is>
          <t xml:space="preserve">MOOG INC.</t>
        </is>
      </c>
      <c r="C1651" s="0" t="inlineStr">
        <is>
          <t xml:space="preserve">EZL7KDSC19N6</t>
        </is>
      </c>
      <c r="D1651" s="0" t="inlineStr">
        <is>
          <t xml:space="preserve">-</t>
        </is>
      </c>
      <c r="E1651" s="0" t="inlineStr">
        <is>
          <t xml:space="preserve">-</t>
        </is>
      </c>
      <c r="F1651" s="0" t="inlineStr">
        <is>
          <t xml:space="preserve">-</t>
        </is>
      </c>
      <c r="G1651" s="5">
        <v>0.086756</v>
      </c>
      <c r="H1651" s="0" t="inlineStr">
        <is>
          <t xml:space="preserve">supplier</t>
        </is>
      </c>
      <c r="I1651" s="0" t="inlineStr">
        <is>
          <t xml:space="preserve">unbucketed</t>
        </is>
      </c>
      <c r="J1651" s="0" t="inlineStr">
        <is>
          <t xml:space="preserve">residual</t>
        </is>
      </c>
      <c r="K1651" s="5">
        <v>0</v>
      </c>
      <c r="L1651" s="5">
        <v>0</v>
      </c>
      <c r="M1651" s="5">
        <v>0.0</v>
      </c>
      <c r="N1651" s="5">
        <v>0.0</v>
      </c>
      <c r="O1651" s="5">
        <v>0.0</v>
      </c>
      <c r="P1651" s="5">
        <v>0.0</v>
      </c>
      <c r="Q1651" s="5">
        <v>0.0</v>
      </c>
    </row>
    <row r="1652" outlineLevel="1">
      <c r="B1652" s="0" t="inlineStr">
        <is>
          <t xml:space="preserve">DUCOMMUN LABARGE TECHNOLOGIES, INC</t>
        </is>
      </c>
      <c r="C1652" s="0" t="inlineStr">
        <is>
          <t xml:space="preserve">K3MSJ4UBNLX3</t>
        </is>
      </c>
      <c r="D1652" s="0" t="inlineStr">
        <is>
          <t xml:space="preserve">-</t>
        </is>
      </c>
      <c r="E1652" s="0" t="inlineStr">
        <is>
          <t xml:space="preserve">-</t>
        </is>
      </c>
      <c r="F1652" s="0" t="inlineStr">
        <is>
          <t xml:space="preserve">-</t>
        </is>
      </c>
      <c r="G1652" s="5">
        <v>0.0865</v>
      </c>
      <c r="H1652" s="0" t="inlineStr">
        <is>
          <t xml:space="preserve">supplier</t>
        </is>
      </c>
      <c r="I1652" s="0" t="inlineStr">
        <is>
          <t xml:space="preserve">unbucketed</t>
        </is>
      </c>
      <c r="J1652" s="0" t="inlineStr">
        <is>
          <t xml:space="preserve">residual</t>
        </is>
      </c>
      <c r="K1652" s="5">
        <v>0</v>
      </c>
      <c r="L1652" s="5">
        <v>0</v>
      </c>
      <c r="M1652" s="5">
        <v>0.0</v>
      </c>
      <c r="N1652" s="5">
        <v>0.0</v>
      </c>
      <c r="O1652" s="5">
        <v>0.0</v>
      </c>
      <c r="P1652" s="5">
        <v>0.0</v>
      </c>
      <c r="Q1652" s="5">
        <v>0.0</v>
      </c>
    </row>
    <row r="1653" outlineLevel="1">
      <c r="B1653" s="0" t="inlineStr">
        <is>
          <t xml:space="preserve">LAURA STOCKERT</t>
        </is>
      </c>
      <c r="C1653" s="0" t="inlineStr">
        <is>
          <t xml:space="preserve">RYYRAAAGPXB5</t>
        </is>
      </c>
      <c r="D1653" s="0" t="inlineStr">
        <is>
          <t xml:space="preserve">-</t>
        </is>
      </c>
      <c r="E1653" s="0" t="inlineStr">
        <is>
          <t xml:space="preserve">-</t>
        </is>
      </c>
      <c r="F1653" s="0" t="inlineStr">
        <is>
          <t xml:space="preserve">-</t>
        </is>
      </c>
      <c r="G1653" s="5">
        <v>0.086287</v>
      </c>
      <c r="H1653" s="0" t="inlineStr">
        <is>
          <t xml:space="preserve">supplier</t>
        </is>
      </c>
      <c r="I1653" s="0" t="inlineStr">
        <is>
          <t xml:space="preserve">unbucketed</t>
        </is>
      </c>
      <c r="J1653" s="0" t="inlineStr">
        <is>
          <t xml:space="preserve">residual</t>
        </is>
      </c>
      <c r="K1653" s="5">
        <v>0</v>
      </c>
      <c r="L1653" s="5">
        <v>0</v>
      </c>
      <c r="M1653" s="5">
        <v>0.086287</v>
      </c>
      <c r="N1653" s="5">
        <v>0.0</v>
      </c>
      <c r="O1653" s="5">
        <v>0.0</v>
      </c>
      <c r="P1653" s="5">
        <v>0.0</v>
      </c>
      <c r="Q1653" s="5">
        <v>0.0</v>
      </c>
    </row>
    <row r="1654" outlineLevel="1">
      <c r="B1654" s="0" t="inlineStr">
        <is>
          <t xml:space="preserve">VALLEY PRECISION TOOL AND TECHNOLOGY, INC.</t>
        </is>
      </c>
      <c r="C1654" s="0" t="inlineStr">
        <is>
          <t xml:space="preserve">V3RNMV4H5SP5</t>
        </is>
      </c>
      <c r="D1654" s="0" t="inlineStr">
        <is>
          <t xml:space="preserve">-</t>
        </is>
      </c>
      <c r="E1654" s="0" t="inlineStr">
        <is>
          <t xml:space="preserve">-</t>
        </is>
      </c>
      <c r="F1654" s="0" t="inlineStr">
        <is>
          <t xml:space="preserve">-</t>
        </is>
      </c>
      <c r="G1654" s="5">
        <v>0.08628228</v>
      </c>
      <c r="H1654" s="0" t="inlineStr">
        <is>
          <t xml:space="preserve">supplier</t>
        </is>
      </c>
      <c r="I1654" s="0" t="inlineStr">
        <is>
          <t xml:space="preserve">unbucketed</t>
        </is>
      </c>
      <c r="J1654" s="0" t="inlineStr">
        <is>
          <t xml:space="preserve">residual</t>
        </is>
      </c>
      <c r="K1654" s="5">
        <v>0</v>
      </c>
      <c r="L1654" s="5">
        <v>0</v>
      </c>
      <c r="M1654" s="5">
        <v>0.0</v>
      </c>
      <c r="N1654" s="5">
        <v>0.0</v>
      </c>
      <c r="O1654" s="5">
        <v>0.0</v>
      </c>
      <c r="P1654" s="5">
        <v>0.0</v>
      </c>
      <c r="Q1654" s="5">
        <v>0.0</v>
      </c>
    </row>
    <row r="1655" outlineLevel="1">
      <c r="B1655" s="0" t="inlineStr">
        <is>
          <t xml:space="preserve">AVNET INC</t>
        </is>
      </c>
      <c r="C1655" s="0" t="inlineStr">
        <is>
          <t xml:space="preserve">TV5JSF3NE1U1</t>
        </is>
      </c>
      <c r="D1655" s="0" t="inlineStr">
        <is>
          <t xml:space="preserve">-</t>
        </is>
      </c>
      <c r="E1655" s="0" t="inlineStr">
        <is>
          <t xml:space="preserve">-</t>
        </is>
      </c>
      <c r="F1655" s="0" t="inlineStr">
        <is>
          <t xml:space="preserve">-</t>
        </is>
      </c>
      <c r="G1655" s="5">
        <v>0.08623875</v>
      </c>
      <c r="H1655" s="0" t="inlineStr">
        <is>
          <t xml:space="preserve">supplier</t>
        </is>
      </c>
      <c r="I1655" s="0" t="inlineStr">
        <is>
          <t xml:space="preserve">unbucketed</t>
        </is>
      </c>
      <c r="J1655" s="0" t="inlineStr">
        <is>
          <t xml:space="preserve">residual</t>
        </is>
      </c>
      <c r="K1655" s="5">
        <v>0</v>
      </c>
      <c r="L1655" s="5">
        <v>0</v>
      </c>
      <c r="M1655" s="5">
        <v>0.0</v>
      </c>
      <c r="N1655" s="5">
        <v>0.0</v>
      </c>
      <c r="O1655" s="5">
        <v>0.0</v>
      </c>
      <c r="P1655" s="5">
        <v>0.0</v>
      </c>
      <c r="Q1655" s="5">
        <v>0.0</v>
      </c>
    </row>
    <row r="1656" outlineLevel="1">
      <c r="B1656" s="0" t="inlineStr">
        <is>
          <t xml:space="preserve">ORACLE CORPORATION</t>
        </is>
      </c>
      <c r="C1656" s="0" t="inlineStr">
        <is>
          <t xml:space="preserve">HE98WLUBNW88</t>
        </is>
      </c>
      <c r="D1656" s="0" t="inlineStr">
        <is>
          <t xml:space="preserve">-</t>
        </is>
      </c>
      <c r="E1656" s="0" t="inlineStr">
        <is>
          <t xml:space="preserve">-</t>
        </is>
      </c>
      <c r="F1656" s="0" t="inlineStr">
        <is>
          <t xml:space="preserve">-</t>
        </is>
      </c>
      <c r="G1656" s="5">
        <v>0.08582499</v>
      </c>
      <c r="H1656" s="0" t="inlineStr">
        <is>
          <t xml:space="preserve">supplier</t>
        </is>
      </c>
      <c r="I1656" s="0" t="inlineStr">
        <is>
          <t xml:space="preserve">unbucketed</t>
        </is>
      </c>
      <c r="J1656" s="0" t="inlineStr">
        <is>
          <t xml:space="preserve">residual</t>
        </is>
      </c>
      <c r="K1656" s="5">
        <v>0</v>
      </c>
      <c r="L1656" s="5">
        <v>0</v>
      </c>
      <c r="M1656" s="5">
        <v>0.0</v>
      </c>
      <c r="N1656" s="5">
        <v>0.0</v>
      </c>
      <c r="O1656" s="5">
        <v>0.0</v>
      </c>
      <c r="P1656" s="5">
        <v>0.0</v>
      </c>
      <c r="Q1656" s="5">
        <v>0.0</v>
      </c>
    </row>
    <row r="1657" outlineLevel="1">
      <c r="B1657" s="0" t="inlineStr">
        <is>
          <t xml:space="preserve">MAZZELLA LIFTING TECHNOLOGIES, INC.</t>
        </is>
      </c>
      <c r="C1657" s="0" t="inlineStr">
        <is>
          <t xml:space="preserve">MNZGEAM8WG31</t>
        </is>
      </c>
      <c r="D1657" s="0" t="inlineStr">
        <is>
          <t xml:space="preserve">-</t>
        </is>
      </c>
      <c r="E1657" s="0" t="inlineStr">
        <is>
          <t xml:space="preserve">-</t>
        </is>
      </c>
      <c r="F1657" s="0" t="inlineStr">
        <is>
          <t xml:space="preserve">-</t>
        </is>
      </c>
      <c r="G1657" s="5">
        <v>0.08560000000000001</v>
      </c>
      <c r="H1657" s="0" t="inlineStr">
        <is>
          <t xml:space="preserve">supplier</t>
        </is>
      </c>
      <c r="I1657" s="0" t="inlineStr">
        <is>
          <t xml:space="preserve">unbucketed</t>
        </is>
      </c>
      <c r="J1657" s="0" t="inlineStr">
        <is>
          <t xml:space="preserve">residual</t>
        </is>
      </c>
      <c r="K1657" s="5">
        <v>0</v>
      </c>
      <c r="L1657" s="5">
        <v>0</v>
      </c>
      <c r="M1657" s="5">
        <v>0.08560000000000001</v>
      </c>
      <c r="N1657" s="5">
        <v>0.0</v>
      </c>
      <c r="O1657" s="5">
        <v>0.0</v>
      </c>
      <c r="P1657" s="5">
        <v>0.0</v>
      </c>
      <c r="Q1657" s="5">
        <v>0.08560000000000001</v>
      </c>
    </row>
    <row r="1658" outlineLevel="1">
      <c r="B1658" s="0" t="inlineStr">
        <is>
          <t xml:space="preserve">PHOENIX LOGISTICS, INC.</t>
        </is>
      </c>
      <c r="C1658" s="0" t="inlineStr">
        <is>
          <t xml:space="preserve">EELNFQLNS977</t>
        </is>
      </c>
      <c r="D1658" s="0" t="inlineStr">
        <is>
          <t xml:space="preserve">-</t>
        </is>
      </c>
      <c r="E1658" s="0" t="inlineStr">
        <is>
          <t xml:space="preserve">-</t>
        </is>
      </c>
      <c r="F1658" s="0" t="inlineStr">
        <is>
          <t xml:space="preserve">-</t>
        </is>
      </c>
      <c r="G1658" s="5">
        <v>0.08545704000000001</v>
      </c>
      <c r="H1658" s="0" t="inlineStr">
        <is>
          <t xml:space="preserve">supplier</t>
        </is>
      </c>
      <c r="I1658" s="0" t="inlineStr">
        <is>
          <t xml:space="preserve">unbucketed</t>
        </is>
      </c>
      <c r="J1658" s="0" t="inlineStr">
        <is>
          <t xml:space="preserve">residual</t>
        </is>
      </c>
      <c r="K1658" s="5">
        <v>0</v>
      </c>
      <c r="L1658" s="5">
        <v>0</v>
      </c>
      <c r="M1658" s="5">
        <v>0.0</v>
      </c>
      <c r="N1658" s="5">
        <v>0.0</v>
      </c>
      <c r="O1658" s="5">
        <v>0.0</v>
      </c>
      <c r="P1658" s="5">
        <v>0.0</v>
      </c>
      <c r="Q1658" s="5">
        <v>0.0</v>
      </c>
    </row>
    <row r="1659" outlineLevel="1">
      <c r="B1659" s="0" t="inlineStr">
        <is>
          <t xml:space="preserve">FUTURE TECHNOLOGIES INC</t>
        </is>
      </c>
      <c r="C1659" s="0" t="inlineStr">
        <is>
          <t xml:space="preserve">P4WMHCR9W1H3</t>
        </is>
      </c>
      <c r="D1659" s="0" t="inlineStr">
        <is>
          <t xml:space="preserve">-</t>
        </is>
      </c>
      <c r="E1659" s="0" t="inlineStr">
        <is>
          <t xml:space="preserve">-</t>
        </is>
      </c>
      <c r="F1659" s="0" t="inlineStr">
        <is>
          <t xml:space="preserve">-</t>
        </is>
      </c>
      <c r="G1659" s="5">
        <v>0.08535947999999999</v>
      </c>
      <c r="H1659" s="0" t="inlineStr">
        <is>
          <t xml:space="preserve">supplier</t>
        </is>
      </c>
      <c r="I1659" s="0" t="inlineStr">
        <is>
          <t xml:space="preserve">unbucketed</t>
        </is>
      </c>
      <c r="J1659" s="0" t="inlineStr">
        <is>
          <t xml:space="preserve">residual</t>
        </is>
      </c>
      <c r="K1659" s="5">
        <v>0</v>
      </c>
      <c r="L1659" s="5">
        <v>0</v>
      </c>
      <c r="M1659" s="5">
        <v>0.0</v>
      </c>
      <c r="N1659" s="5">
        <v>0.0</v>
      </c>
      <c r="O1659" s="5">
        <v>0.0</v>
      </c>
      <c r="P1659" s="5">
        <v>0.0</v>
      </c>
      <c r="Q1659" s="5">
        <v>0.0</v>
      </c>
    </row>
    <row r="1660" outlineLevel="1">
      <c r="B1660" s="0" t="inlineStr">
        <is>
          <t xml:space="preserve">EXTREME ENGINEERING SOLUTIONS, INC</t>
        </is>
      </c>
      <c r="C1660" s="0" t="inlineStr">
        <is>
          <t xml:space="preserve">UXEGD3WECED5</t>
        </is>
      </c>
      <c r="D1660" s="0" t="inlineStr">
        <is>
          <t xml:space="preserve">USA</t>
        </is>
      </c>
      <c r="E1660" s="0" t="inlineStr">
        <is>
          <t xml:space="preserve">3341</t>
        </is>
      </c>
      <c r="F1660" s="0" t="inlineStr">
        <is>
          <t xml:space="preserve">Electronic Computer Manufacturing</t>
        </is>
      </c>
      <c r="G1660" s="5">
        <v>0.08535</v>
      </c>
      <c r="H1660" s="0" t="inlineStr">
        <is>
          <t xml:space="preserve">service</t>
        </is>
      </c>
      <c r="I1660" s="0" t="inlineStr">
        <is>
          <t xml:space="preserve">-</t>
        </is>
      </c>
      <c r="J1660" s="0" t="inlineStr">
        <is>
          <t xml:space="preserve">registry</t>
        </is>
      </c>
      <c r="K1660" s="5">
        <v>0</v>
      </c>
      <c r="L1660" s="5">
        <v>0</v>
      </c>
      <c r="M1660" s="5">
        <v>0.0</v>
      </c>
      <c r="N1660" s="5">
        <v>0.0</v>
      </c>
      <c r="O1660" s="5">
        <v>0.0</v>
      </c>
      <c r="P1660" s="5">
        <v>0.0</v>
      </c>
      <c r="Q1660" s="5">
        <v>0.0</v>
      </c>
    </row>
    <row r="1661" outlineLevel="1">
      <c r="B1661" s="0" t="inlineStr">
        <is>
          <t xml:space="preserve">CONNECTOR SPECIALISTS, INC.</t>
        </is>
      </c>
      <c r="C1661" s="0" t="inlineStr">
        <is>
          <t xml:space="preserve">Q4LMAMECTR44</t>
        </is>
      </c>
      <c r="D1661" s="0" t="inlineStr">
        <is>
          <t xml:space="preserve">-</t>
        </is>
      </c>
      <c r="E1661" s="0" t="inlineStr">
        <is>
          <t xml:space="preserve">-</t>
        </is>
      </c>
      <c r="F1661" s="0" t="inlineStr">
        <is>
          <t xml:space="preserve">-</t>
        </is>
      </c>
      <c r="G1661" s="5">
        <v>0.085176</v>
      </c>
      <c r="H1661" s="0" t="inlineStr">
        <is>
          <t xml:space="preserve">supplier</t>
        </is>
      </c>
      <c r="I1661" s="0" t="inlineStr">
        <is>
          <t xml:space="preserve">unbucketed</t>
        </is>
      </c>
      <c r="J1661" s="0" t="inlineStr">
        <is>
          <t xml:space="preserve">residual</t>
        </is>
      </c>
      <c r="K1661" s="5">
        <v>0</v>
      </c>
      <c r="L1661" s="5">
        <v>0</v>
      </c>
      <c r="M1661" s="5">
        <v>0.085176</v>
      </c>
      <c r="N1661" s="5">
        <v>0.0</v>
      </c>
      <c r="O1661" s="5">
        <v>0.0</v>
      </c>
      <c r="P1661" s="5">
        <v>0.0</v>
      </c>
      <c r="Q1661" s="5">
        <v>0.0</v>
      </c>
    </row>
    <row r="1662" outlineLevel="1">
      <c r="B1662" s="0" t="inlineStr">
        <is>
          <t xml:space="preserve">MAUI ACQUISITION CORP.</t>
        </is>
      </c>
      <c r="C1662" s="0" t="inlineStr">
        <is>
          <t xml:space="preserve">VJSTD8U7QBD9</t>
        </is>
      </c>
      <c r="D1662" s="0" t="inlineStr">
        <is>
          <t xml:space="preserve">-</t>
        </is>
      </c>
      <c r="E1662" s="0" t="inlineStr">
        <is>
          <t xml:space="preserve">-</t>
        </is>
      </c>
      <c r="F1662" s="0" t="inlineStr">
        <is>
          <t xml:space="preserve">-</t>
        </is>
      </c>
      <c r="G1662" s="5">
        <v>0.085036</v>
      </c>
      <c r="H1662" s="0" t="inlineStr">
        <is>
          <t xml:space="preserve">supplier</t>
        </is>
      </c>
      <c r="I1662" s="0" t="inlineStr">
        <is>
          <t xml:space="preserve">unbucketed</t>
        </is>
      </c>
      <c r="J1662" s="0" t="inlineStr">
        <is>
          <t xml:space="preserve">residual</t>
        </is>
      </c>
      <c r="K1662" s="5">
        <v>0</v>
      </c>
      <c r="L1662" s="5">
        <v>0</v>
      </c>
      <c r="M1662" s="5">
        <v>0.085036</v>
      </c>
      <c r="N1662" s="5">
        <v>0.0</v>
      </c>
      <c r="O1662" s="5">
        <v>0.0</v>
      </c>
      <c r="P1662" s="5">
        <v>0.0</v>
      </c>
      <c r="Q1662" s="5">
        <v>0.0</v>
      </c>
    </row>
    <row r="1663" outlineLevel="1">
      <c r="B1663" s="0" t="inlineStr">
        <is>
          <t xml:space="preserve">RANOR INC</t>
        </is>
      </c>
      <c r="C1663" s="0" t="inlineStr">
        <is>
          <t xml:space="preserve">MF1LU8RPCMB8</t>
        </is>
      </c>
      <c r="D1663" s="0" t="inlineStr">
        <is>
          <t xml:space="preserve">-</t>
        </is>
      </c>
      <c r="E1663" s="0" t="inlineStr">
        <is>
          <t xml:space="preserve">-</t>
        </is>
      </c>
      <c r="F1663" s="0" t="inlineStr">
        <is>
          <t xml:space="preserve">-</t>
        </is>
      </c>
      <c r="G1663" s="5">
        <v>0.08499</v>
      </c>
      <c r="H1663" s="0" t="inlineStr">
        <is>
          <t xml:space="preserve">supplier</t>
        </is>
      </c>
      <c r="I1663" s="0" t="inlineStr">
        <is>
          <t xml:space="preserve">unbucketed</t>
        </is>
      </c>
      <c r="J1663" s="0" t="inlineStr">
        <is>
          <t xml:space="preserve">residual</t>
        </is>
      </c>
      <c r="K1663" s="5">
        <v>0</v>
      </c>
      <c r="L1663" s="5">
        <v>0</v>
      </c>
      <c r="M1663" s="5">
        <v>0.0</v>
      </c>
      <c r="N1663" s="5">
        <v>0.0</v>
      </c>
      <c r="O1663" s="5">
        <v>0.0</v>
      </c>
      <c r="P1663" s="5">
        <v>0.0</v>
      </c>
      <c r="Q1663" s="5">
        <v>0.0</v>
      </c>
    </row>
    <row r="1664" outlineLevel="1">
      <c r="B1664" s="0" t="inlineStr">
        <is>
          <t xml:space="preserve">PRL INDUSTRIES INC</t>
        </is>
      </c>
      <c r="C1664" s="0" t="inlineStr">
        <is>
          <t xml:space="preserve">CXK2Y51KDBW1</t>
        </is>
      </c>
      <c r="D1664" s="0" t="inlineStr">
        <is>
          <t xml:space="preserve">-</t>
        </is>
      </c>
      <c r="E1664" s="0" t="inlineStr">
        <is>
          <t xml:space="preserve">-</t>
        </is>
      </c>
      <c r="F1664" s="0" t="inlineStr">
        <is>
          <t xml:space="preserve">-</t>
        </is>
      </c>
      <c r="G1664" s="5">
        <v>0.084873</v>
      </c>
      <c r="H1664" s="0" t="inlineStr">
        <is>
          <t xml:space="preserve">supplier</t>
        </is>
      </c>
      <c r="I1664" s="0" t="inlineStr">
        <is>
          <t xml:space="preserve">unbucketed</t>
        </is>
      </c>
      <c r="J1664" s="0" t="inlineStr">
        <is>
          <t xml:space="preserve">residual</t>
        </is>
      </c>
      <c r="K1664" s="5">
        <v>0</v>
      </c>
      <c r="L1664" s="5">
        <v>0</v>
      </c>
      <c r="M1664" s="5">
        <v>0.0</v>
      </c>
      <c r="N1664" s="5">
        <v>0.0</v>
      </c>
      <c r="O1664" s="5">
        <v>0.0</v>
      </c>
      <c r="P1664" s="5">
        <v>0.0</v>
      </c>
      <c r="Q1664" s="5">
        <v>0.0</v>
      </c>
    </row>
    <row r="1665" outlineLevel="1">
      <c r="B1665" s="0" t="inlineStr">
        <is>
          <t xml:space="preserve">EAGLE INDUSTRIES OF LOUISIANA, L.L.C.</t>
        </is>
      </c>
      <c r="C1665" s="0" t="inlineStr">
        <is>
          <t xml:space="preserve">DQAYCKTDLND5</t>
        </is>
      </c>
      <c r="D1665" s="0" t="inlineStr">
        <is>
          <t xml:space="preserve">-</t>
        </is>
      </c>
      <c r="E1665" s="0" t="inlineStr">
        <is>
          <t xml:space="preserve">-</t>
        </is>
      </c>
      <c r="F1665" s="0" t="inlineStr">
        <is>
          <t xml:space="preserve">-</t>
        </is>
      </c>
      <c r="G1665" s="5">
        <v>0.0848</v>
      </c>
      <c r="H1665" s="0" t="inlineStr">
        <is>
          <t xml:space="preserve">supplier</t>
        </is>
      </c>
      <c r="I1665" s="0" t="inlineStr">
        <is>
          <t xml:space="preserve">unbucketed</t>
        </is>
      </c>
      <c r="J1665" s="0" t="inlineStr">
        <is>
          <t xml:space="preserve">residual</t>
        </is>
      </c>
      <c r="K1665" s="5">
        <v>0</v>
      </c>
      <c r="L1665" s="5">
        <v>0</v>
      </c>
      <c r="M1665" s="5">
        <v>0.0848</v>
      </c>
      <c r="N1665" s="5">
        <v>0.0</v>
      </c>
      <c r="O1665" s="5">
        <v>0.0848</v>
      </c>
      <c r="P1665" s="5">
        <v>0.0</v>
      </c>
      <c r="Q1665" s="5">
        <v>0.0</v>
      </c>
    </row>
    <row r="1666" outlineLevel="1">
      <c r="B1666" s="0" t="inlineStr">
        <is>
          <t xml:space="preserve">ANIXTER INTERNATIONAL INC.</t>
        </is>
      </c>
      <c r="C1666" s="0" t="inlineStr">
        <is>
          <t xml:space="preserve">LJXMD6WRZJA5</t>
        </is>
      </c>
      <c r="D1666" s="0" t="inlineStr">
        <is>
          <t xml:space="preserve">-</t>
        </is>
      </c>
      <c r="E1666" s="0" t="inlineStr">
        <is>
          <t xml:space="preserve">-</t>
        </is>
      </c>
      <c r="F1666" s="0" t="inlineStr">
        <is>
          <t xml:space="preserve">-</t>
        </is>
      </c>
      <c r="G1666" s="5">
        <v>0.08459073</v>
      </c>
      <c r="H1666" s="0" t="inlineStr">
        <is>
          <t xml:space="preserve">supplier</t>
        </is>
      </c>
      <c r="I1666" s="0" t="inlineStr">
        <is>
          <t xml:space="preserve">unbucketed</t>
        </is>
      </c>
      <c r="J1666" s="0" t="inlineStr">
        <is>
          <t xml:space="preserve">residual</t>
        </is>
      </c>
      <c r="K1666" s="5">
        <v>0</v>
      </c>
      <c r="L1666" s="5">
        <v>0</v>
      </c>
      <c r="M1666" s="5">
        <v>0.0</v>
      </c>
      <c r="N1666" s="5">
        <v>0.0</v>
      </c>
      <c r="O1666" s="5">
        <v>0.0</v>
      </c>
      <c r="P1666" s="5">
        <v>0.0</v>
      </c>
      <c r="Q1666" s="5">
        <v>0.0</v>
      </c>
    </row>
    <row r="1667" outlineLevel="1">
      <c r="B1667" s="0" t="inlineStr">
        <is>
          <t xml:space="preserve">FLOWSERVE CORPORATION</t>
        </is>
      </c>
      <c r="C1667" s="0" t="inlineStr">
        <is>
          <t xml:space="preserve">KXWXRYB3FBW3</t>
        </is>
      </c>
      <c r="D1667" s="0" t="inlineStr">
        <is>
          <t xml:space="preserve">-</t>
        </is>
      </c>
      <c r="E1667" s="0" t="inlineStr">
        <is>
          <t xml:space="preserve">-</t>
        </is>
      </c>
      <c r="F1667" s="0" t="inlineStr">
        <is>
          <t xml:space="preserve">-</t>
        </is>
      </c>
      <c r="G1667" s="5">
        <v>0.084578</v>
      </c>
      <c r="H1667" s="0" t="inlineStr">
        <is>
          <t xml:space="preserve">supplier</t>
        </is>
      </c>
      <c r="I1667" s="0" t="inlineStr">
        <is>
          <t xml:space="preserve">unbucketed</t>
        </is>
      </c>
      <c r="J1667" s="0" t="inlineStr">
        <is>
          <t xml:space="preserve">residual</t>
        </is>
      </c>
      <c r="K1667" s="5">
        <v>0</v>
      </c>
      <c r="L1667" s="5">
        <v>0</v>
      </c>
      <c r="M1667" s="5">
        <v>0.084578</v>
      </c>
      <c r="N1667" s="5">
        <v>0.0</v>
      </c>
      <c r="O1667" s="5">
        <v>0.0</v>
      </c>
      <c r="P1667" s="5">
        <v>0.0</v>
      </c>
      <c r="Q1667" s="5">
        <v>0.0</v>
      </c>
    </row>
    <row r="1668" outlineLevel="1">
      <c r="B1668" s="0" t="inlineStr">
        <is>
          <t xml:space="preserve">JET INDUSTRIES, INC.</t>
        </is>
      </c>
      <c r="C1668" s="0" t="inlineStr">
        <is>
          <t xml:space="preserve">WN9TCWBUZKM5</t>
        </is>
      </c>
      <c r="D1668" s="0" t="inlineStr">
        <is>
          <t xml:space="preserve">-</t>
        </is>
      </c>
      <c r="E1668" s="0" t="inlineStr">
        <is>
          <t xml:space="preserve">-</t>
        </is>
      </c>
      <c r="F1668" s="0" t="inlineStr">
        <is>
          <t xml:space="preserve">-</t>
        </is>
      </c>
      <c r="G1668" s="5">
        <v>0.08456778</v>
      </c>
      <c r="H1668" s="0" t="inlineStr">
        <is>
          <t xml:space="preserve">supplier</t>
        </is>
      </c>
      <c r="I1668" s="0" t="inlineStr">
        <is>
          <t xml:space="preserve">unbucketed</t>
        </is>
      </c>
      <c r="J1668" s="0" t="inlineStr">
        <is>
          <t xml:space="preserve">residual</t>
        </is>
      </c>
      <c r="K1668" s="5">
        <v>0</v>
      </c>
      <c r="L1668" s="5">
        <v>0</v>
      </c>
      <c r="M1668" s="5">
        <v>0.0</v>
      </c>
      <c r="N1668" s="5">
        <v>0.0</v>
      </c>
      <c r="O1668" s="5">
        <v>0.0</v>
      </c>
      <c r="P1668" s="5">
        <v>0.0</v>
      </c>
      <c r="Q1668" s="5">
        <v>0.0</v>
      </c>
    </row>
    <row r="1669" outlineLevel="1">
      <c r="B1669" s="0" t="inlineStr">
        <is>
          <t xml:space="preserve">STERLING SUPPLY, INC.</t>
        </is>
      </c>
      <c r="C1669" s="0" t="inlineStr">
        <is>
          <t xml:space="preserve">JK5EDBJR5U15</t>
        </is>
      </c>
      <c r="D1669" s="0" t="inlineStr">
        <is>
          <t xml:space="preserve">-</t>
        </is>
      </c>
      <c r="E1669" s="0" t="inlineStr">
        <is>
          <t xml:space="preserve">-</t>
        </is>
      </c>
      <c r="F1669" s="0" t="inlineStr">
        <is>
          <t xml:space="preserve">-</t>
        </is>
      </c>
      <c r="G1669" s="5">
        <v>0.08424999999999999</v>
      </c>
      <c r="H1669" s="0" t="inlineStr">
        <is>
          <t xml:space="preserve">supplier</t>
        </is>
      </c>
      <c r="I1669" s="0" t="inlineStr">
        <is>
          <t xml:space="preserve">unbucketed</t>
        </is>
      </c>
      <c r="J1669" s="0" t="inlineStr">
        <is>
          <t xml:space="preserve">residual</t>
        </is>
      </c>
      <c r="K1669" s="5">
        <v>0</v>
      </c>
      <c r="L1669" s="5">
        <v>0</v>
      </c>
      <c r="M1669" s="5">
        <v>0.0</v>
      </c>
      <c r="N1669" s="5">
        <v>0.0</v>
      </c>
      <c r="O1669" s="5">
        <v>0.0</v>
      </c>
      <c r="P1669" s="5">
        <v>0.0</v>
      </c>
      <c r="Q1669" s="5">
        <v>0.0</v>
      </c>
    </row>
    <row r="1670" outlineLevel="1">
      <c r="B1670" s="0" t="inlineStr">
        <is>
          <t xml:space="preserve">ARA SERVICES LLC.</t>
        </is>
      </c>
      <c r="C1670" s="0" t="inlineStr">
        <is>
          <t xml:space="preserve">KFP8JR5HL191</t>
        </is>
      </c>
      <c r="D1670" s="0" t="inlineStr">
        <is>
          <t xml:space="preserve">-</t>
        </is>
      </c>
      <c r="E1670" s="0" t="inlineStr">
        <is>
          <t xml:space="preserve">-</t>
        </is>
      </c>
      <c r="F1670" s="0" t="inlineStr">
        <is>
          <t xml:space="preserve">-</t>
        </is>
      </c>
      <c r="G1670" s="5">
        <v>0.08424416000000001</v>
      </c>
      <c r="H1670" s="0" t="inlineStr">
        <is>
          <t xml:space="preserve">supplier</t>
        </is>
      </c>
      <c r="I1670" s="0" t="inlineStr">
        <is>
          <t xml:space="preserve">unbucketed</t>
        </is>
      </c>
      <c r="J1670" s="0" t="inlineStr">
        <is>
          <t xml:space="preserve">residual</t>
        </is>
      </c>
      <c r="K1670" s="5">
        <v>0</v>
      </c>
      <c r="L1670" s="5">
        <v>0</v>
      </c>
      <c r="M1670" s="5">
        <v>0.08424416000000001</v>
      </c>
      <c r="N1670" s="5">
        <v>0.0</v>
      </c>
      <c r="O1670" s="5">
        <v>0.0</v>
      </c>
      <c r="P1670" s="5">
        <v>0.0</v>
      </c>
      <c r="Q1670" s="5">
        <v>0.0</v>
      </c>
    </row>
    <row r="1671" outlineLevel="1">
      <c r="B1671" s="0" t="inlineStr">
        <is>
          <t xml:space="preserve">WESCO INTERNATIONAL, INC.</t>
        </is>
      </c>
      <c r="C1671" s="0" t="inlineStr">
        <is>
          <t xml:space="preserve">TAB4FBLR5UM1</t>
        </is>
      </c>
      <c r="D1671" s="0" t="inlineStr">
        <is>
          <t xml:space="preserve">-</t>
        </is>
      </c>
      <c r="E1671" s="0" t="inlineStr">
        <is>
          <t xml:space="preserve">-</t>
        </is>
      </c>
      <c r="F1671" s="0" t="inlineStr">
        <is>
          <t xml:space="preserve">-</t>
        </is>
      </c>
      <c r="G1671" s="5">
        <v>0.08404145</v>
      </c>
      <c r="H1671" s="0" t="inlineStr">
        <is>
          <t xml:space="preserve">supplier</t>
        </is>
      </c>
      <c r="I1671" s="0" t="inlineStr">
        <is>
          <t xml:space="preserve">unbucketed</t>
        </is>
      </c>
      <c r="J1671" s="0" t="inlineStr">
        <is>
          <t xml:space="preserve">residual</t>
        </is>
      </c>
      <c r="K1671" s="5">
        <v>0</v>
      </c>
      <c r="L1671" s="5">
        <v>0</v>
      </c>
      <c r="M1671" s="5">
        <v>0.08404145</v>
      </c>
      <c r="N1671" s="5">
        <v>0.0</v>
      </c>
      <c r="O1671" s="5">
        <v>0.0</v>
      </c>
      <c r="P1671" s="5">
        <v>0.0</v>
      </c>
      <c r="Q1671" s="5">
        <v>0.0</v>
      </c>
    </row>
    <row r="1672" outlineLevel="1">
      <c r="B1672" s="0" t="inlineStr">
        <is>
          <t xml:space="preserve">STOCKERT, LAURA</t>
        </is>
      </c>
      <c r="C1672" s="0" t="inlineStr">
        <is>
          <t xml:space="preserve">RYYRAAAGPXB5</t>
        </is>
      </c>
      <c r="D1672" s="0" t="inlineStr">
        <is>
          <t xml:space="preserve">-</t>
        </is>
      </c>
      <c r="E1672" s="0" t="inlineStr">
        <is>
          <t xml:space="preserve">-</t>
        </is>
      </c>
      <c r="F1672" s="0" t="inlineStr">
        <is>
          <t xml:space="preserve">-</t>
        </is>
      </c>
      <c r="G1672" s="5">
        <v>0.08403292</v>
      </c>
      <c r="H1672" s="0" t="inlineStr">
        <is>
          <t xml:space="preserve">supplier</t>
        </is>
      </c>
      <c r="I1672" s="0" t="inlineStr">
        <is>
          <t xml:space="preserve">unbucketed</t>
        </is>
      </c>
      <c r="J1672" s="0" t="inlineStr">
        <is>
          <t xml:space="preserve">residual</t>
        </is>
      </c>
      <c r="K1672" s="5">
        <v>0</v>
      </c>
      <c r="L1672" s="5">
        <v>0</v>
      </c>
      <c r="M1672" s="5">
        <v>0.08403292</v>
      </c>
      <c r="N1672" s="5">
        <v>0.0</v>
      </c>
      <c r="O1672" s="5">
        <v>0.0</v>
      </c>
      <c r="P1672" s="5">
        <v>0.0</v>
      </c>
      <c r="Q1672" s="5">
        <v>0.08403292</v>
      </c>
    </row>
    <row r="1673" outlineLevel="1">
      <c r="B1673" s="0" t="inlineStr">
        <is>
          <t xml:space="preserve">BOEING COMPANY, THE</t>
        </is>
      </c>
      <c r="C1673" s="0" t="inlineStr">
        <is>
          <t xml:space="preserve">M8JLMEHJADQ5</t>
        </is>
      </c>
      <c r="D1673" s="0" t="inlineStr">
        <is>
          <t xml:space="preserve">-</t>
        </is>
      </c>
      <c r="E1673" s="0" t="inlineStr">
        <is>
          <t xml:space="preserve">-</t>
        </is>
      </c>
      <c r="F1673" s="0" t="inlineStr">
        <is>
          <t xml:space="preserve">-</t>
        </is>
      </c>
      <c r="G1673" s="5">
        <v>0.083752</v>
      </c>
      <c r="H1673" s="0" t="inlineStr">
        <is>
          <t xml:space="preserve">supplier</t>
        </is>
      </c>
      <c r="I1673" s="0" t="inlineStr">
        <is>
          <t xml:space="preserve">unbucketed</t>
        </is>
      </c>
      <c r="J1673" s="0" t="inlineStr">
        <is>
          <t xml:space="preserve">residual</t>
        </is>
      </c>
      <c r="K1673" s="5">
        <v>0</v>
      </c>
      <c r="L1673" s="5">
        <v>0</v>
      </c>
      <c r="M1673" s="5">
        <v>0.083752</v>
      </c>
      <c r="N1673" s="5">
        <v>0.0</v>
      </c>
      <c r="O1673" s="5">
        <v>0.0</v>
      </c>
      <c r="P1673" s="5">
        <v>0.0</v>
      </c>
      <c r="Q1673" s="5">
        <v>0.0</v>
      </c>
    </row>
    <row r="1674" outlineLevel="1">
      <c r="B1674" s="0" t="inlineStr">
        <is>
          <t xml:space="preserve">MOOG INC</t>
        </is>
      </c>
      <c r="C1674" s="0" t="inlineStr">
        <is>
          <t xml:space="preserve">L4ZMKLM4MPL3</t>
        </is>
      </c>
      <c r="D1674" s="0" t="inlineStr">
        <is>
          <t xml:space="preserve">-</t>
        </is>
      </c>
      <c r="E1674" s="0" t="inlineStr">
        <is>
          <t xml:space="preserve">-</t>
        </is>
      </c>
      <c r="F1674" s="0" t="inlineStr">
        <is>
          <t xml:space="preserve">-</t>
        </is>
      </c>
      <c r="G1674" s="5">
        <v>0.08356121</v>
      </c>
      <c r="H1674" s="0" t="inlineStr">
        <is>
          <t xml:space="preserve">supplier</t>
        </is>
      </c>
      <c r="I1674" s="0" t="inlineStr">
        <is>
          <t xml:space="preserve">unbucketed</t>
        </is>
      </c>
      <c r="J1674" s="0" t="inlineStr">
        <is>
          <t xml:space="preserve">residual</t>
        </is>
      </c>
      <c r="K1674" s="5">
        <v>0</v>
      </c>
      <c r="L1674" s="5">
        <v>0</v>
      </c>
      <c r="M1674" s="5">
        <v>0.0</v>
      </c>
      <c r="N1674" s="5">
        <v>0.0</v>
      </c>
      <c r="O1674" s="5">
        <v>0.0</v>
      </c>
      <c r="P1674" s="5">
        <v>0.0</v>
      </c>
      <c r="Q1674" s="5">
        <v>0.0</v>
      </c>
    </row>
    <row r="1675" outlineLevel="1">
      <c r="B1675" s="0" t="inlineStr">
        <is>
          <t xml:space="preserve">NORTHEASTERN ELECTRONICS CO, INC</t>
        </is>
      </c>
      <c r="C1675" s="0" t="inlineStr">
        <is>
          <t xml:space="preserve">KAKSX3NT9AN7</t>
        </is>
      </c>
      <c r="D1675" s="0" t="inlineStr">
        <is>
          <t xml:space="preserve">-</t>
        </is>
      </c>
      <c r="E1675" s="0" t="inlineStr">
        <is>
          <t xml:space="preserve">-</t>
        </is>
      </c>
      <c r="F1675" s="0" t="inlineStr">
        <is>
          <t xml:space="preserve">-</t>
        </is>
      </c>
      <c r="G1675" s="5">
        <v>0.0830908</v>
      </c>
      <c r="H1675" s="0" t="inlineStr">
        <is>
          <t xml:space="preserve">supplier</t>
        </is>
      </c>
      <c r="I1675" s="0" t="inlineStr">
        <is>
          <t xml:space="preserve">unbucketed</t>
        </is>
      </c>
      <c r="J1675" s="0" t="inlineStr">
        <is>
          <t xml:space="preserve">residual</t>
        </is>
      </c>
      <c r="K1675" s="5">
        <v>0</v>
      </c>
      <c r="L1675" s="5">
        <v>0</v>
      </c>
      <c r="M1675" s="5">
        <v>0.0</v>
      </c>
      <c r="N1675" s="5">
        <v>0.0</v>
      </c>
      <c r="O1675" s="5">
        <v>0.0</v>
      </c>
      <c r="P1675" s="5">
        <v>0.0</v>
      </c>
      <c r="Q1675" s="5">
        <v>0.0</v>
      </c>
    </row>
    <row r="1676" outlineLevel="1">
      <c r="B1676" s="0" t="inlineStr">
        <is>
          <t xml:space="preserve">ARNOLD'S SAFE &amp; LOCK CO., INC.</t>
        </is>
      </c>
      <c r="C1676" s="0" t="inlineStr">
        <is>
          <t xml:space="preserve">H6BAML157J64</t>
        </is>
      </c>
      <c r="D1676" s="0" t="inlineStr">
        <is>
          <t xml:space="preserve">-</t>
        </is>
      </c>
      <c r="E1676" s="0" t="inlineStr">
        <is>
          <t xml:space="preserve">-</t>
        </is>
      </c>
      <c r="F1676" s="0" t="inlineStr">
        <is>
          <t xml:space="preserve">-</t>
        </is>
      </c>
      <c r="G1676" s="5">
        <v>0.08292303</v>
      </c>
      <c r="H1676" s="0" t="inlineStr">
        <is>
          <t xml:space="preserve">supplier</t>
        </is>
      </c>
      <c r="I1676" s="0" t="inlineStr">
        <is>
          <t xml:space="preserve">unbucketed</t>
        </is>
      </c>
      <c r="J1676" s="0" t="inlineStr">
        <is>
          <t xml:space="preserve">residual</t>
        </is>
      </c>
      <c r="K1676" s="5">
        <v>0</v>
      </c>
      <c r="L1676" s="5">
        <v>0</v>
      </c>
      <c r="M1676" s="5">
        <v>0.0</v>
      </c>
      <c r="N1676" s="5">
        <v>0.0</v>
      </c>
      <c r="O1676" s="5">
        <v>0.0</v>
      </c>
      <c r="P1676" s="5">
        <v>0.0</v>
      </c>
      <c r="Q1676" s="5">
        <v>0.0</v>
      </c>
    </row>
    <row r="1677" outlineLevel="1">
      <c r="B1677" s="0" t="inlineStr">
        <is>
          <t xml:space="preserve">HOSE-MCCANN TELEPHONE CO., INC.</t>
        </is>
      </c>
      <c r="C1677" s="0" t="inlineStr">
        <is>
          <t xml:space="preserve">FMKADN1KAXH6</t>
        </is>
      </c>
      <c r="D1677" s="0" t="inlineStr">
        <is>
          <t xml:space="preserve">-</t>
        </is>
      </c>
      <c r="E1677" s="0" t="inlineStr">
        <is>
          <t xml:space="preserve">-</t>
        </is>
      </c>
      <c r="F1677" s="0" t="inlineStr">
        <is>
          <t xml:space="preserve">-</t>
        </is>
      </c>
      <c r="G1677" s="5">
        <v>0.08271424</v>
      </c>
      <c r="H1677" s="0" t="inlineStr">
        <is>
          <t xml:space="preserve">supplier</t>
        </is>
      </c>
      <c r="I1677" s="0" t="inlineStr">
        <is>
          <t xml:space="preserve">unbucketed</t>
        </is>
      </c>
      <c r="J1677" s="0" t="inlineStr">
        <is>
          <t xml:space="preserve">residual</t>
        </is>
      </c>
      <c r="K1677" s="5">
        <v>0</v>
      </c>
      <c r="L1677" s="5">
        <v>0</v>
      </c>
      <c r="M1677" s="5">
        <v>0.08271424</v>
      </c>
      <c r="N1677" s="5">
        <v>0.0</v>
      </c>
      <c r="O1677" s="5">
        <v>0.0</v>
      </c>
      <c r="P1677" s="5">
        <v>0.0</v>
      </c>
      <c r="Q1677" s="5">
        <v>0.0</v>
      </c>
    </row>
    <row r="1678" outlineLevel="1">
      <c r="B1678" s="0" t="inlineStr">
        <is>
          <t xml:space="preserve">IRWIN AUTOMATION INC</t>
        </is>
      </c>
      <c r="C1678" s="0" t="inlineStr">
        <is>
          <t xml:space="preserve">MLRGP28FEQ41</t>
        </is>
      </c>
      <c r="D1678" s="0" t="inlineStr">
        <is>
          <t xml:space="preserve">-</t>
        </is>
      </c>
      <c r="E1678" s="0" t="inlineStr">
        <is>
          <t xml:space="preserve">-</t>
        </is>
      </c>
      <c r="F1678" s="0" t="inlineStr">
        <is>
          <t xml:space="preserve">-</t>
        </is>
      </c>
      <c r="G1678" s="5">
        <v>0.08251</v>
      </c>
      <c r="H1678" s="0" t="inlineStr">
        <is>
          <t xml:space="preserve">supplier</t>
        </is>
      </c>
      <c r="I1678" s="0" t="inlineStr">
        <is>
          <t xml:space="preserve">unbucketed</t>
        </is>
      </c>
      <c r="J1678" s="0" t="inlineStr">
        <is>
          <t xml:space="preserve">residual</t>
        </is>
      </c>
      <c r="K1678" s="5">
        <v>0</v>
      </c>
      <c r="L1678" s="5">
        <v>0</v>
      </c>
      <c r="M1678" s="5">
        <v>0.0</v>
      </c>
      <c r="N1678" s="5">
        <v>0.0</v>
      </c>
      <c r="O1678" s="5">
        <v>0.0</v>
      </c>
      <c r="P1678" s="5">
        <v>0.0</v>
      </c>
      <c r="Q1678" s="5">
        <v>0.0</v>
      </c>
    </row>
    <row r="1679" outlineLevel="1">
      <c r="B1679" s="0" t="inlineStr">
        <is>
          <t xml:space="preserve">DIVERSIFIED ENVIRONMENTAL LABORATORIES, INC.</t>
        </is>
      </c>
      <c r="C1679" s="0" t="inlineStr">
        <is>
          <t xml:space="preserve">JTRRJM76JAG8</t>
        </is>
      </c>
      <c r="D1679" s="0" t="inlineStr">
        <is>
          <t xml:space="preserve">-</t>
        </is>
      </c>
      <c r="E1679" s="0" t="inlineStr">
        <is>
          <t xml:space="preserve">-</t>
        </is>
      </c>
      <c r="F1679" s="0" t="inlineStr">
        <is>
          <t xml:space="preserve">-</t>
        </is>
      </c>
      <c r="G1679" s="5">
        <v>0.08234000000000001</v>
      </c>
      <c r="H1679" s="0" t="inlineStr">
        <is>
          <t xml:space="preserve">supplier</t>
        </is>
      </c>
      <c r="I1679" s="0" t="inlineStr">
        <is>
          <t xml:space="preserve">unbucketed</t>
        </is>
      </c>
      <c r="J1679" s="0" t="inlineStr">
        <is>
          <t xml:space="preserve">residual</t>
        </is>
      </c>
      <c r="K1679" s="5">
        <v>0</v>
      </c>
      <c r="L1679" s="5">
        <v>0</v>
      </c>
      <c r="M1679" s="5">
        <v>0.0</v>
      </c>
      <c r="N1679" s="5">
        <v>0.0</v>
      </c>
      <c r="O1679" s="5">
        <v>0.0</v>
      </c>
      <c r="P1679" s="5">
        <v>0.0</v>
      </c>
      <c r="Q1679" s="5">
        <v>0.0</v>
      </c>
    </row>
    <row r="1680" outlineLevel="1">
      <c r="B1680" s="0" t="inlineStr">
        <is>
          <t xml:space="preserve">RYERSON HOLDING CORPORATION</t>
        </is>
      </c>
      <c r="C1680" s="0" t="inlineStr">
        <is>
          <t xml:space="preserve">ZM8CV5ND9LG8</t>
        </is>
      </c>
      <c r="D1680" s="0" t="inlineStr">
        <is>
          <t xml:space="preserve">-</t>
        </is>
      </c>
      <c r="E1680" s="0" t="inlineStr">
        <is>
          <t xml:space="preserve">-</t>
        </is>
      </c>
      <c r="F1680" s="0" t="inlineStr">
        <is>
          <t xml:space="preserve">-</t>
        </is>
      </c>
      <c r="G1680" s="5">
        <v>0.082233</v>
      </c>
      <c r="H1680" s="0" t="inlineStr">
        <is>
          <t xml:space="preserve">supplier</t>
        </is>
      </c>
      <c r="I1680" s="0" t="inlineStr">
        <is>
          <t xml:space="preserve">unbucketed</t>
        </is>
      </c>
      <c r="J1680" s="0" t="inlineStr">
        <is>
          <t xml:space="preserve">residual</t>
        </is>
      </c>
      <c r="K1680" s="5">
        <v>0</v>
      </c>
      <c r="L1680" s="5">
        <v>0</v>
      </c>
      <c r="M1680" s="5">
        <v>0.0</v>
      </c>
      <c r="N1680" s="5">
        <v>0.0</v>
      </c>
      <c r="O1680" s="5">
        <v>0.0</v>
      </c>
      <c r="P1680" s="5">
        <v>0.0</v>
      </c>
      <c r="Q1680" s="5">
        <v>0.0</v>
      </c>
    </row>
    <row r="1681" outlineLevel="1">
      <c r="B1681" s="0" t="inlineStr">
        <is>
          <t xml:space="preserve">WATTS WATER TECHNOLOGIES INC</t>
        </is>
      </c>
      <c r="C1681" s="0" t="inlineStr">
        <is>
          <t xml:space="preserve">NB2HLRTJJJQ7</t>
        </is>
      </c>
      <c r="D1681" s="0" t="inlineStr">
        <is>
          <t xml:space="preserve">-</t>
        </is>
      </c>
      <c r="E1681" s="0" t="inlineStr">
        <is>
          <t xml:space="preserve">-</t>
        </is>
      </c>
      <c r="F1681" s="0" t="inlineStr">
        <is>
          <t xml:space="preserve">-</t>
        </is>
      </c>
      <c r="G1681" s="5">
        <v>0.08223</v>
      </c>
      <c r="H1681" s="0" t="inlineStr">
        <is>
          <t xml:space="preserve">supplier</t>
        </is>
      </c>
      <c r="I1681" s="0" t="inlineStr">
        <is>
          <t xml:space="preserve">unbucketed</t>
        </is>
      </c>
      <c r="J1681" s="0" t="inlineStr">
        <is>
          <t xml:space="preserve">residual</t>
        </is>
      </c>
      <c r="K1681" s="5">
        <v>0</v>
      </c>
      <c r="L1681" s="5">
        <v>0</v>
      </c>
      <c r="M1681" s="5">
        <v>0.08223</v>
      </c>
      <c r="N1681" s="5">
        <v>0.0</v>
      </c>
      <c r="O1681" s="5">
        <v>0.0</v>
      </c>
      <c r="P1681" s="5">
        <v>0.0</v>
      </c>
      <c r="Q1681" s="5">
        <v>0.0</v>
      </c>
    </row>
    <row r="1682" outlineLevel="1">
      <c r="B1682" s="0" t="inlineStr">
        <is>
          <t xml:space="preserve">SEA SHIELD MARINE PRODUCTS</t>
        </is>
      </c>
      <c r="C1682" s="0" t="inlineStr">
        <is>
          <t xml:space="preserve">MMW6ZK3412A7</t>
        </is>
      </c>
      <c r="D1682" s="0" t="inlineStr">
        <is>
          <t xml:space="preserve">-</t>
        </is>
      </c>
      <c r="E1682" s="0" t="inlineStr">
        <is>
          <t xml:space="preserve">-</t>
        </is>
      </c>
      <c r="F1682" s="0" t="inlineStr">
        <is>
          <t xml:space="preserve">-</t>
        </is>
      </c>
      <c r="G1682" s="5">
        <v>0.082053</v>
      </c>
      <c r="H1682" s="0" t="inlineStr">
        <is>
          <t xml:space="preserve">supplier</t>
        </is>
      </c>
      <c r="I1682" s="0" t="inlineStr">
        <is>
          <t xml:space="preserve">unbucketed</t>
        </is>
      </c>
      <c r="J1682" s="0" t="inlineStr">
        <is>
          <t xml:space="preserve">residual</t>
        </is>
      </c>
      <c r="K1682" s="5">
        <v>0</v>
      </c>
      <c r="L1682" s="5">
        <v>0</v>
      </c>
      <c r="M1682" s="5">
        <v>0.0</v>
      </c>
      <c r="N1682" s="5">
        <v>0.0</v>
      </c>
      <c r="O1682" s="5">
        <v>0.0</v>
      </c>
      <c r="P1682" s="5">
        <v>0.0</v>
      </c>
      <c r="Q1682" s="5">
        <v>0.0</v>
      </c>
    </row>
    <row r="1683" outlineLevel="1">
      <c r="B1683" s="0" t="inlineStr">
        <is>
          <t xml:space="preserve">ADI AMERICAN DISTRIBUTORS, LLC</t>
        </is>
      </c>
      <c r="C1683" s="0" t="inlineStr">
        <is>
          <t xml:space="preserve">NUJ2ZLYBTZH3</t>
        </is>
      </c>
      <c r="D1683" s="0" t="inlineStr">
        <is>
          <t xml:space="preserve">-</t>
        </is>
      </c>
      <c r="E1683" s="0" t="inlineStr">
        <is>
          <t xml:space="preserve">-</t>
        </is>
      </c>
      <c r="F1683" s="0" t="inlineStr">
        <is>
          <t xml:space="preserve">-</t>
        </is>
      </c>
      <c r="G1683" s="5">
        <v>0.0819</v>
      </c>
      <c r="H1683" s="0" t="inlineStr">
        <is>
          <t xml:space="preserve">supplier</t>
        </is>
      </c>
      <c r="I1683" s="0" t="inlineStr">
        <is>
          <t xml:space="preserve">unbucketed</t>
        </is>
      </c>
      <c r="J1683" s="0" t="inlineStr">
        <is>
          <t xml:space="preserve">residual</t>
        </is>
      </c>
      <c r="K1683" s="5">
        <v>0</v>
      </c>
      <c r="L1683" s="5">
        <v>0</v>
      </c>
      <c r="M1683" s="5">
        <v>0.0</v>
      </c>
      <c r="N1683" s="5">
        <v>0.0</v>
      </c>
      <c r="O1683" s="5">
        <v>0.0</v>
      </c>
      <c r="P1683" s="5">
        <v>0.0</v>
      </c>
      <c r="Q1683" s="5">
        <v>0.0</v>
      </c>
    </row>
    <row r="1684" outlineLevel="1">
      <c r="B1684" s="0" t="inlineStr">
        <is>
          <t xml:space="preserve">SCIENTIFIC COMPONENTS CORPORATION</t>
        </is>
      </c>
      <c r="C1684" s="0" t="inlineStr">
        <is>
          <t xml:space="preserve">PT2JJ2ENT5A7</t>
        </is>
      </c>
      <c r="D1684" s="0" t="inlineStr">
        <is>
          <t xml:space="preserve">-</t>
        </is>
      </c>
      <c r="E1684" s="0" t="inlineStr">
        <is>
          <t xml:space="preserve">-</t>
        </is>
      </c>
      <c r="F1684" s="0" t="inlineStr">
        <is>
          <t xml:space="preserve">-</t>
        </is>
      </c>
      <c r="G1684" s="5">
        <v>0.081721</v>
      </c>
      <c r="H1684" s="0" t="inlineStr">
        <is>
          <t xml:space="preserve">supplier</t>
        </is>
      </c>
      <c r="I1684" s="0" t="inlineStr">
        <is>
          <t xml:space="preserve">unbucketed</t>
        </is>
      </c>
      <c r="J1684" s="0" t="inlineStr">
        <is>
          <t xml:space="preserve">residual</t>
        </is>
      </c>
      <c r="K1684" s="5">
        <v>0</v>
      </c>
      <c r="L1684" s="5">
        <v>0</v>
      </c>
      <c r="M1684" s="5">
        <v>0.0</v>
      </c>
      <c r="N1684" s="5">
        <v>0.0</v>
      </c>
      <c r="O1684" s="5">
        <v>0.0</v>
      </c>
      <c r="P1684" s="5">
        <v>0.0</v>
      </c>
      <c r="Q1684" s="5">
        <v>0.0</v>
      </c>
    </row>
    <row r="1685" outlineLevel="1">
      <c r="B1685" s="0" t="inlineStr">
        <is>
          <t xml:space="preserve">COLONNA'S SHIP YARD, INCORPORATED</t>
        </is>
      </c>
      <c r="C1685" s="0" t="inlineStr">
        <is>
          <t xml:space="preserve">JSAXGRLNEJ63</t>
        </is>
      </c>
      <c r="D1685" s="0" t="inlineStr">
        <is>
          <t xml:space="preserve">-</t>
        </is>
      </c>
      <c r="E1685" s="0" t="inlineStr">
        <is>
          <t xml:space="preserve">-</t>
        </is>
      </c>
      <c r="F1685" s="0" t="inlineStr">
        <is>
          <t xml:space="preserve">-</t>
        </is>
      </c>
      <c r="G1685" s="5">
        <v>0.081704</v>
      </c>
      <c r="H1685" s="0" t="inlineStr">
        <is>
          <t xml:space="preserve">supplier</t>
        </is>
      </c>
      <c r="I1685" s="0" t="inlineStr">
        <is>
          <t xml:space="preserve">unbucketed</t>
        </is>
      </c>
      <c r="J1685" s="0" t="inlineStr">
        <is>
          <t xml:space="preserve">residual</t>
        </is>
      </c>
      <c r="K1685" s="5">
        <v>0</v>
      </c>
      <c r="L1685" s="5">
        <v>0</v>
      </c>
      <c r="M1685" s="5">
        <v>0.0</v>
      </c>
      <c r="N1685" s="5">
        <v>0.0</v>
      </c>
      <c r="O1685" s="5">
        <v>0.0</v>
      </c>
      <c r="P1685" s="5">
        <v>0.0</v>
      </c>
      <c r="Q1685" s="5">
        <v>0.0</v>
      </c>
    </row>
    <row r="1686" outlineLevel="1">
      <c r="B1686" s="0" t="inlineStr">
        <is>
          <t xml:space="preserve">BELL STEEL CO</t>
        </is>
      </c>
      <c r="C1686" s="0" t="inlineStr">
        <is>
          <t xml:space="preserve">WAK3LFCLKJR4</t>
        </is>
      </c>
      <c r="D1686" s="0" t="inlineStr">
        <is>
          <t xml:space="preserve">-</t>
        </is>
      </c>
      <c r="E1686" s="0" t="inlineStr">
        <is>
          <t xml:space="preserve">-</t>
        </is>
      </c>
      <c r="F1686" s="0" t="inlineStr">
        <is>
          <t xml:space="preserve">-</t>
        </is>
      </c>
      <c r="G1686" s="5">
        <v>0.08166824</v>
      </c>
      <c r="H1686" s="0" t="inlineStr">
        <is>
          <t xml:space="preserve">supplier</t>
        </is>
      </c>
      <c r="I1686" s="0" t="inlineStr">
        <is>
          <t xml:space="preserve">unbucketed</t>
        </is>
      </c>
      <c r="J1686" s="0" t="inlineStr">
        <is>
          <t xml:space="preserve">residual</t>
        </is>
      </c>
      <c r="K1686" s="5">
        <v>0</v>
      </c>
      <c r="L1686" s="5">
        <v>0</v>
      </c>
      <c r="M1686" s="5">
        <v>0.08166824</v>
      </c>
      <c r="N1686" s="5">
        <v>0.0</v>
      </c>
      <c r="O1686" s="5">
        <v>0.08166824</v>
      </c>
      <c r="P1686" s="5">
        <v>0.0</v>
      </c>
      <c r="Q1686" s="5">
        <v>0.0</v>
      </c>
    </row>
    <row r="1687" outlineLevel="1">
      <c r="B1687" s="0" t="inlineStr">
        <is>
          <t xml:space="preserve">ALTRA HOLDINGS, INC.</t>
        </is>
      </c>
      <c r="C1687" s="0" t="inlineStr">
        <is>
          <t xml:space="preserve">XTMGLQE33CZ8</t>
        </is>
      </c>
      <c r="D1687" s="0" t="inlineStr">
        <is>
          <t xml:space="preserve">USA</t>
        </is>
      </c>
      <c r="E1687" s="0" t="inlineStr">
        <is>
          <t xml:space="preserve">5511</t>
        </is>
      </c>
      <c r="F1687" s="0" t="inlineStr">
        <is>
          <t xml:space="preserve">Corporate, Subsidiary, and Regional Managing Offices</t>
        </is>
      </c>
      <c r="G1687" s="5">
        <v>0.08161940000000001</v>
      </c>
      <c r="H1687" s="0" t="inlineStr">
        <is>
          <t xml:space="preserve">holding</t>
        </is>
      </c>
      <c r="I1687" s="0" t="inlineStr">
        <is>
          <t xml:space="preserve">-</t>
        </is>
      </c>
      <c r="J1687" s="0" t="inlineStr">
        <is>
          <t xml:space="preserve">holding-co (5511)</t>
        </is>
      </c>
      <c r="K1687" s="5">
        <v>0</v>
      </c>
      <c r="L1687" s="5">
        <v>0</v>
      </c>
      <c r="M1687" s="5">
        <v>0.0</v>
      </c>
      <c r="N1687" s="5">
        <v>0.0</v>
      </c>
      <c r="O1687" s="5">
        <v>0.0</v>
      </c>
      <c r="P1687" s="5">
        <v>0.0</v>
      </c>
      <c r="Q1687" s="5">
        <v>0.0</v>
      </c>
    </row>
    <row r="1688" outlineLevel="1">
      <c r="B1688" s="0" t="inlineStr">
        <is>
          <t xml:space="preserve">TOTAL VIDEO PRODUCTS (INC)</t>
        </is>
      </c>
      <c r="C1688" s="0" t="inlineStr">
        <is>
          <t xml:space="preserve">CN4QBMBLPMJ3</t>
        </is>
      </c>
      <c r="D1688" s="0" t="inlineStr">
        <is>
          <t xml:space="preserve">-</t>
        </is>
      </c>
      <c r="E1688" s="0" t="inlineStr">
        <is>
          <t xml:space="preserve">-</t>
        </is>
      </c>
      <c r="F1688" s="0" t="inlineStr">
        <is>
          <t xml:space="preserve">-</t>
        </is>
      </c>
      <c r="G1688" s="5">
        <v>0.0810465</v>
      </c>
      <c r="H1688" s="0" t="inlineStr">
        <is>
          <t xml:space="preserve">supplier</t>
        </is>
      </c>
      <c r="I1688" s="0" t="inlineStr">
        <is>
          <t xml:space="preserve">unbucketed</t>
        </is>
      </c>
      <c r="J1688" s="0" t="inlineStr">
        <is>
          <t xml:space="preserve">residual</t>
        </is>
      </c>
      <c r="K1688" s="5">
        <v>0</v>
      </c>
      <c r="L1688" s="5">
        <v>0</v>
      </c>
      <c r="M1688" s="5">
        <v>0.0</v>
      </c>
      <c r="N1688" s="5">
        <v>0.0</v>
      </c>
      <c r="O1688" s="5">
        <v>0.0</v>
      </c>
      <c r="P1688" s="5">
        <v>0.0</v>
      </c>
      <c r="Q1688" s="5">
        <v>0.0</v>
      </c>
    </row>
    <row r="1689" outlineLevel="1">
      <c r="B1689" s="0" t="inlineStr">
        <is>
          <t xml:space="preserve">WIRELESS TELECOM GROUP, INC.</t>
        </is>
      </c>
      <c r="C1689" s="0" t="inlineStr">
        <is>
          <t xml:space="preserve">Q4KRG89MHJB3</t>
        </is>
      </c>
      <c r="D1689" s="0" t="inlineStr">
        <is>
          <t xml:space="preserve">-</t>
        </is>
      </c>
      <c r="E1689" s="0" t="inlineStr">
        <is>
          <t xml:space="preserve">-</t>
        </is>
      </c>
      <c r="F1689" s="0" t="inlineStr">
        <is>
          <t xml:space="preserve">-</t>
        </is>
      </c>
      <c r="G1689" s="5">
        <v>0.08088</v>
      </c>
      <c r="H1689" s="0" t="inlineStr">
        <is>
          <t xml:space="preserve">supplier</t>
        </is>
      </c>
      <c r="I1689" s="0" t="inlineStr">
        <is>
          <t xml:space="preserve">unbucketed</t>
        </is>
      </c>
      <c r="J1689" s="0" t="inlineStr">
        <is>
          <t xml:space="preserve">residual</t>
        </is>
      </c>
      <c r="K1689" s="5">
        <v>0</v>
      </c>
      <c r="L1689" s="5">
        <v>0</v>
      </c>
      <c r="M1689" s="5">
        <v>0.0</v>
      </c>
      <c r="N1689" s="5">
        <v>0.0</v>
      </c>
      <c r="O1689" s="5">
        <v>0.0</v>
      </c>
      <c r="P1689" s="5">
        <v>0.0</v>
      </c>
      <c r="Q1689" s="5">
        <v>0.0</v>
      </c>
    </row>
    <row r="1690" outlineLevel="1">
      <c r="B1690" s="0" t="inlineStr">
        <is>
          <t xml:space="preserve">TESTEQUITY LLC</t>
        </is>
      </c>
      <c r="C1690" s="0" t="inlineStr">
        <is>
          <t xml:space="preserve">NSDHS6ECR633</t>
        </is>
      </c>
      <c r="D1690" s="0" t="inlineStr">
        <is>
          <t xml:space="preserve">-</t>
        </is>
      </c>
      <c r="E1690" s="0" t="inlineStr">
        <is>
          <t xml:space="preserve">-</t>
        </is>
      </c>
      <c r="F1690" s="0" t="inlineStr">
        <is>
          <t xml:space="preserve">-</t>
        </is>
      </c>
      <c r="G1690" s="5">
        <v>0.08072399999999999</v>
      </c>
      <c r="H1690" s="0" t="inlineStr">
        <is>
          <t xml:space="preserve">supplier</t>
        </is>
      </c>
      <c r="I1690" s="0" t="inlineStr">
        <is>
          <t xml:space="preserve">unbucketed</t>
        </is>
      </c>
      <c r="J1690" s="0" t="inlineStr">
        <is>
          <t xml:space="preserve">residual</t>
        </is>
      </c>
      <c r="K1690" s="5">
        <v>0</v>
      </c>
      <c r="L1690" s="5">
        <v>0</v>
      </c>
      <c r="M1690" s="5">
        <v>0.0</v>
      </c>
      <c r="N1690" s="5">
        <v>0.0</v>
      </c>
      <c r="O1690" s="5">
        <v>0.0</v>
      </c>
      <c r="P1690" s="5">
        <v>0.0</v>
      </c>
      <c r="Q1690" s="5">
        <v>0.0</v>
      </c>
    </row>
    <row r="1691" outlineLevel="1">
      <c r="B1691" s="0" t="inlineStr">
        <is>
          <t xml:space="preserve">COATING HOUSE INC., THE</t>
        </is>
      </c>
      <c r="C1691" s="0" t="inlineStr">
        <is>
          <t xml:space="preserve">CYW5LK18T4D1</t>
        </is>
      </c>
      <c r="D1691" s="0" t="inlineStr">
        <is>
          <t xml:space="preserve">-</t>
        </is>
      </c>
      <c r="E1691" s="0" t="inlineStr">
        <is>
          <t xml:space="preserve">-</t>
        </is>
      </c>
      <c r="F1691" s="0" t="inlineStr">
        <is>
          <t xml:space="preserve">-</t>
        </is>
      </c>
      <c r="G1691" s="5">
        <v>0.08058399999999999</v>
      </c>
      <c r="H1691" s="0" t="inlineStr">
        <is>
          <t xml:space="preserve">supplier</t>
        </is>
      </c>
      <c r="I1691" s="0" t="inlineStr">
        <is>
          <t xml:space="preserve">unbucketed</t>
        </is>
      </c>
      <c r="J1691" s="0" t="inlineStr">
        <is>
          <t xml:space="preserve">residual</t>
        </is>
      </c>
      <c r="K1691" s="5">
        <v>0</v>
      </c>
      <c r="L1691" s="5">
        <v>0</v>
      </c>
      <c r="M1691" s="5">
        <v>0.0</v>
      </c>
      <c r="N1691" s="5">
        <v>0.0</v>
      </c>
      <c r="O1691" s="5">
        <v>0.0</v>
      </c>
      <c r="P1691" s="5">
        <v>0.0</v>
      </c>
      <c r="Q1691" s="5">
        <v>0.0</v>
      </c>
    </row>
    <row r="1692" outlineLevel="1">
      <c r="B1692" s="0" t="inlineStr">
        <is>
          <t xml:space="preserve">MARITIME APPLIED PHYSICS CORP</t>
        </is>
      </c>
      <c r="C1692" s="0" t="inlineStr">
        <is>
          <t xml:space="preserve">YK4TPH3YV3S3</t>
        </is>
      </c>
      <c r="D1692" s="0" t="inlineStr">
        <is>
          <t xml:space="preserve">-</t>
        </is>
      </c>
      <c r="E1692" s="0" t="inlineStr">
        <is>
          <t xml:space="preserve">-</t>
        </is>
      </c>
      <c r="F1692" s="0" t="inlineStr">
        <is>
          <t xml:space="preserve">-</t>
        </is>
      </c>
      <c r="G1692" s="5">
        <v>0.080291</v>
      </c>
      <c r="H1692" s="0" t="inlineStr">
        <is>
          <t xml:space="preserve">supplier</t>
        </is>
      </c>
      <c r="I1692" s="0" t="inlineStr">
        <is>
          <t xml:space="preserve">unbucketed</t>
        </is>
      </c>
      <c r="J1692" s="0" t="inlineStr">
        <is>
          <t xml:space="preserve">residual</t>
        </is>
      </c>
      <c r="K1692" s="5">
        <v>0</v>
      </c>
      <c r="L1692" s="5">
        <v>0</v>
      </c>
      <c r="M1692" s="5">
        <v>0.080291</v>
      </c>
      <c r="N1692" s="5">
        <v>0.0</v>
      </c>
      <c r="O1692" s="5">
        <v>0.0</v>
      </c>
      <c r="P1692" s="5">
        <v>0.0</v>
      </c>
      <c r="Q1692" s="5">
        <v>0.0</v>
      </c>
    </row>
    <row r="1693" outlineLevel="1">
      <c r="B1693" s="0" t="inlineStr">
        <is>
          <t xml:space="preserve">MOTION TECH AUTOMATION, LLC</t>
        </is>
      </c>
      <c r="C1693" s="0" t="inlineStr">
        <is>
          <t xml:space="preserve">TMDHK7X17JN6</t>
        </is>
      </c>
      <c r="D1693" s="0" t="inlineStr">
        <is>
          <t xml:space="preserve">-</t>
        </is>
      </c>
      <c r="E1693" s="0" t="inlineStr">
        <is>
          <t xml:space="preserve">-</t>
        </is>
      </c>
      <c r="F1693" s="0" t="inlineStr">
        <is>
          <t xml:space="preserve">-</t>
        </is>
      </c>
      <c r="G1693" s="5">
        <v>0.07993521</v>
      </c>
      <c r="H1693" s="0" t="inlineStr">
        <is>
          <t xml:space="preserve">supplier</t>
        </is>
      </c>
      <c r="I1693" s="0" t="inlineStr">
        <is>
          <t xml:space="preserve">unbucketed</t>
        </is>
      </c>
      <c r="J1693" s="0" t="inlineStr">
        <is>
          <t xml:space="preserve">residual</t>
        </is>
      </c>
      <c r="K1693" s="5">
        <v>0</v>
      </c>
      <c r="L1693" s="5">
        <v>0</v>
      </c>
      <c r="M1693" s="5">
        <v>0.0</v>
      </c>
      <c r="N1693" s="5">
        <v>0.0</v>
      </c>
      <c r="O1693" s="5">
        <v>0.0</v>
      </c>
      <c r="P1693" s="5">
        <v>0.0</v>
      </c>
      <c r="Q1693" s="5">
        <v>0.0</v>
      </c>
    </row>
    <row r="1694" outlineLevel="1">
      <c r="B1694" s="0" t="inlineStr">
        <is>
          <t xml:space="preserve">ELLSWORTH CORPORATION</t>
        </is>
      </c>
      <c r="C1694" s="0" t="inlineStr">
        <is>
          <t xml:space="preserve">NDCKP527ZCK8</t>
        </is>
      </c>
      <c r="D1694" s="0" t="inlineStr">
        <is>
          <t xml:space="preserve">-</t>
        </is>
      </c>
      <c r="E1694" s="0" t="inlineStr">
        <is>
          <t xml:space="preserve">-</t>
        </is>
      </c>
      <c r="F1694" s="0" t="inlineStr">
        <is>
          <t xml:space="preserve">-</t>
        </is>
      </c>
      <c r="G1694" s="5">
        <v>0.07972188000000001</v>
      </c>
      <c r="H1694" s="0" t="inlineStr">
        <is>
          <t xml:space="preserve">supplier</t>
        </is>
      </c>
      <c r="I1694" s="0" t="inlineStr">
        <is>
          <t xml:space="preserve">unbucketed</t>
        </is>
      </c>
      <c r="J1694" s="0" t="inlineStr">
        <is>
          <t xml:space="preserve">residual</t>
        </is>
      </c>
      <c r="K1694" s="5">
        <v>0</v>
      </c>
      <c r="L1694" s="5">
        <v>0</v>
      </c>
      <c r="M1694" s="5">
        <v>0.0</v>
      </c>
      <c r="N1694" s="5">
        <v>0.0</v>
      </c>
      <c r="O1694" s="5">
        <v>0.0</v>
      </c>
      <c r="P1694" s="5">
        <v>0.0</v>
      </c>
      <c r="Q1694" s="5">
        <v>0.0</v>
      </c>
    </row>
    <row r="1695" outlineLevel="1">
      <c r="B1695" s="0" t="inlineStr">
        <is>
          <t xml:space="preserve">RALOID CORPORATION</t>
        </is>
      </c>
      <c r="C1695" s="0" t="inlineStr">
        <is>
          <t xml:space="preserve">VFTES738SMW1</t>
        </is>
      </c>
      <c r="D1695" s="0" t="inlineStr">
        <is>
          <t xml:space="preserve">-</t>
        </is>
      </c>
      <c r="E1695" s="0" t="inlineStr">
        <is>
          <t xml:space="preserve">-</t>
        </is>
      </c>
      <c r="F1695" s="0" t="inlineStr">
        <is>
          <t xml:space="preserve">-</t>
        </is>
      </c>
      <c r="G1695" s="5">
        <v>0.079348</v>
      </c>
      <c r="H1695" s="0" t="inlineStr">
        <is>
          <t xml:space="preserve">supplier</t>
        </is>
      </c>
      <c r="I1695" s="0" t="inlineStr">
        <is>
          <t xml:space="preserve">unbucketed</t>
        </is>
      </c>
      <c r="J1695" s="0" t="inlineStr">
        <is>
          <t xml:space="preserve">residual</t>
        </is>
      </c>
      <c r="K1695" s="5">
        <v>0</v>
      </c>
      <c r="L1695" s="5">
        <v>0</v>
      </c>
      <c r="M1695" s="5">
        <v>0.0</v>
      </c>
      <c r="N1695" s="5">
        <v>0.0</v>
      </c>
      <c r="O1695" s="5">
        <v>0.0</v>
      </c>
      <c r="P1695" s="5">
        <v>0.0</v>
      </c>
      <c r="Q1695" s="5">
        <v>0.0</v>
      </c>
    </row>
    <row r="1696" outlineLevel="1">
      <c r="B1696" s="0" t="inlineStr">
        <is>
          <t xml:space="preserve">FUTURE TECHNOLOGIES, INC</t>
        </is>
      </c>
      <c r="C1696" s="0" t="inlineStr">
        <is>
          <t xml:space="preserve">P4WMHCR9W1H3</t>
        </is>
      </c>
      <c r="D1696" s="0" t="inlineStr">
        <is>
          <t xml:space="preserve">-</t>
        </is>
      </c>
      <c r="E1696" s="0" t="inlineStr">
        <is>
          <t xml:space="preserve">-</t>
        </is>
      </c>
      <c r="F1696" s="0" t="inlineStr">
        <is>
          <t xml:space="preserve">-</t>
        </is>
      </c>
      <c r="G1696" s="5">
        <v>0.0791374</v>
      </c>
      <c r="H1696" s="0" t="inlineStr">
        <is>
          <t xml:space="preserve">supplier</t>
        </is>
      </c>
      <c r="I1696" s="0" t="inlineStr">
        <is>
          <t xml:space="preserve">unbucketed</t>
        </is>
      </c>
      <c r="J1696" s="0" t="inlineStr">
        <is>
          <t xml:space="preserve">residual</t>
        </is>
      </c>
      <c r="K1696" s="5">
        <v>0</v>
      </c>
      <c r="L1696" s="5">
        <v>0</v>
      </c>
      <c r="M1696" s="5">
        <v>0.0</v>
      </c>
      <c r="N1696" s="5">
        <v>0.0</v>
      </c>
      <c r="O1696" s="5">
        <v>0.0</v>
      </c>
      <c r="P1696" s="5">
        <v>0.0</v>
      </c>
      <c r="Q1696" s="5">
        <v>0.0</v>
      </c>
    </row>
    <row r="1697" outlineLevel="1">
      <c r="B1697" s="0" t="inlineStr">
        <is>
          <t xml:space="preserve">SOLUTE</t>
        </is>
      </c>
      <c r="C1697" s="0" t="inlineStr">
        <is>
          <t xml:space="preserve">J2FBDMUBXE61</t>
        </is>
      </c>
      <c r="D1697" s="0" t="inlineStr">
        <is>
          <t xml:space="preserve">-</t>
        </is>
      </c>
      <c r="E1697" s="0" t="inlineStr">
        <is>
          <t xml:space="preserve">-</t>
        </is>
      </c>
      <c r="F1697" s="0" t="inlineStr">
        <is>
          <t xml:space="preserve">-</t>
        </is>
      </c>
      <c r="G1697" s="5">
        <v>0.07888015000000001</v>
      </c>
      <c r="H1697" s="0" t="inlineStr">
        <is>
          <t xml:space="preserve">supplier</t>
        </is>
      </c>
      <c r="I1697" s="0" t="inlineStr">
        <is>
          <t xml:space="preserve">unbucketed</t>
        </is>
      </c>
      <c r="J1697" s="0" t="inlineStr">
        <is>
          <t xml:space="preserve">residual</t>
        </is>
      </c>
      <c r="K1697" s="5">
        <v>0</v>
      </c>
      <c r="L1697" s="5">
        <v>0</v>
      </c>
      <c r="M1697" s="5">
        <v>0.0</v>
      </c>
      <c r="N1697" s="5">
        <v>0.0</v>
      </c>
      <c r="O1697" s="5">
        <v>0.0</v>
      </c>
      <c r="P1697" s="5">
        <v>0.0</v>
      </c>
      <c r="Q1697" s="5">
        <v>0.0</v>
      </c>
    </row>
    <row r="1698" outlineLevel="1">
      <c r="B1698" s="0" t="inlineStr">
        <is>
          <t xml:space="preserve">UNITED RENTALS NORTH AMERICA INC</t>
        </is>
      </c>
      <c r="C1698" s="0" t="inlineStr">
        <is>
          <t xml:space="preserve">V6JSJB6E6J24</t>
        </is>
      </c>
      <c r="D1698" s="0" t="inlineStr">
        <is>
          <t xml:space="preserve">-</t>
        </is>
      </c>
      <c r="E1698" s="0" t="inlineStr">
        <is>
          <t xml:space="preserve">-</t>
        </is>
      </c>
      <c r="F1698" s="0" t="inlineStr">
        <is>
          <t xml:space="preserve">-</t>
        </is>
      </c>
      <c r="G1698" s="5">
        <v>0.07814473000000001</v>
      </c>
      <c r="H1698" s="0" t="inlineStr">
        <is>
          <t xml:space="preserve">supplier</t>
        </is>
      </c>
      <c r="I1698" s="0" t="inlineStr">
        <is>
          <t xml:space="preserve">unbucketed</t>
        </is>
      </c>
      <c r="J1698" s="0" t="inlineStr">
        <is>
          <t xml:space="preserve">residual</t>
        </is>
      </c>
      <c r="K1698" s="5">
        <v>0</v>
      </c>
      <c r="L1698" s="5">
        <v>0</v>
      </c>
      <c r="M1698" s="5">
        <v>0.0</v>
      </c>
      <c r="N1698" s="5">
        <v>0.0</v>
      </c>
      <c r="O1698" s="5">
        <v>0.0</v>
      </c>
      <c r="P1698" s="5">
        <v>0.0</v>
      </c>
      <c r="Q1698" s="5">
        <v>0.0</v>
      </c>
    </row>
    <row r="1699" outlineLevel="1">
      <c r="B1699" s="0" t="inlineStr">
        <is>
          <t xml:space="preserve">UNITED TECHNOLOGIES CORPORATION</t>
        </is>
      </c>
      <c r="C1699" s="0" t="inlineStr">
        <is>
          <t xml:space="preserve">LGMFFHJ28878</t>
        </is>
      </c>
      <c r="D1699" s="0" t="inlineStr">
        <is>
          <t xml:space="preserve">-</t>
        </is>
      </c>
      <c r="E1699" s="0" t="inlineStr">
        <is>
          <t xml:space="preserve">-</t>
        </is>
      </c>
      <c r="F1699" s="0" t="inlineStr">
        <is>
          <t xml:space="preserve">-</t>
        </is>
      </c>
      <c r="G1699" s="5">
        <v>0.078</v>
      </c>
      <c r="H1699" s="0" t="inlineStr">
        <is>
          <t xml:space="preserve">supplier</t>
        </is>
      </c>
      <c r="I1699" s="0" t="inlineStr">
        <is>
          <t xml:space="preserve">unbucketed</t>
        </is>
      </c>
      <c r="J1699" s="0" t="inlineStr">
        <is>
          <t xml:space="preserve">residual</t>
        </is>
      </c>
      <c r="K1699" s="5">
        <v>0</v>
      </c>
      <c r="L1699" s="5">
        <v>0</v>
      </c>
      <c r="M1699" s="5">
        <v>0.0</v>
      </c>
      <c r="N1699" s="5">
        <v>0.0</v>
      </c>
      <c r="O1699" s="5">
        <v>0.0</v>
      </c>
      <c r="P1699" s="5">
        <v>0.0</v>
      </c>
      <c r="Q1699" s="5">
        <v>0.0</v>
      </c>
    </row>
    <row r="1700" outlineLevel="1">
      <c r="B1700" s="0" t="inlineStr">
        <is>
          <t xml:space="preserve">PIERCE ALUMINUM CO INC</t>
        </is>
      </c>
      <c r="C1700" s="0" t="inlineStr">
        <is>
          <t xml:space="preserve">N5HGL94UC1D6</t>
        </is>
      </c>
      <c r="D1700" s="0" t="inlineStr">
        <is>
          <t xml:space="preserve">-</t>
        </is>
      </c>
      <c r="E1700" s="0" t="inlineStr">
        <is>
          <t xml:space="preserve">-</t>
        </is>
      </c>
      <c r="F1700" s="0" t="inlineStr">
        <is>
          <t xml:space="preserve">-</t>
        </is>
      </c>
      <c r="G1700" s="5">
        <v>0.07791</v>
      </c>
      <c r="H1700" s="0" t="inlineStr">
        <is>
          <t xml:space="preserve">supplier</t>
        </is>
      </c>
      <c r="I1700" s="0" t="inlineStr">
        <is>
          <t xml:space="preserve">unbucketed</t>
        </is>
      </c>
      <c r="J1700" s="0" t="inlineStr">
        <is>
          <t xml:space="preserve">residual</t>
        </is>
      </c>
      <c r="K1700" s="5">
        <v>0</v>
      </c>
      <c r="L1700" s="5">
        <v>0</v>
      </c>
      <c r="M1700" s="5">
        <v>0.07791</v>
      </c>
      <c r="N1700" s="5">
        <v>0.0</v>
      </c>
      <c r="O1700" s="5">
        <v>0.07791</v>
      </c>
      <c r="P1700" s="5">
        <v>0.0</v>
      </c>
      <c r="Q1700" s="5">
        <v>0.0</v>
      </c>
    </row>
    <row r="1701" outlineLevel="1">
      <c r="B1701" s="0" t="inlineStr">
        <is>
          <t xml:space="preserve">BRENNTAG LUBRICANTS</t>
        </is>
      </c>
      <c r="C1701" s="0" t="inlineStr">
        <is>
          <t xml:space="preserve">YA86NYHUA353</t>
        </is>
      </c>
      <c r="D1701" s="0" t="inlineStr">
        <is>
          <t xml:space="preserve">-</t>
        </is>
      </c>
      <c r="E1701" s="0" t="inlineStr">
        <is>
          <t xml:space="preserve">-</t>
        </is>
      </c>
      <c r="F1701" s="0" t="inlineStr">
        <is>
          <t xml:space="preserve">-</t>
        </is>
      </c>
      <c r="G1701" s="5">
        <v>0.077592</v>
      </c>
      <c r="H1701" s="0" t="inlineStr">
        <is>
          <t xml:space="preserve">supplier</t>
        </is>
      </c>
      <c r="I1701" s="0" t="inlineStr">
        <is>
          <t xml:space="preserve">unbucketed</t>
        </is>
      </c>
      <c r="J1701" s="0" t="inlineStr">
        <is>
          <t xml:space="preserve">residual</t>
        </is>
      </c>
      <c r="K1701" s="5">
        <v>0</v>
      </c>
      <c r="L1701" s="5">
        <v>0</v>
      </c>
      <c r="M1701" s="5">
        <v>0.077592</v>
      </c>
      <c r="N1701" s="5">
        <v>0.0</v>
      </c>
      <c r="O1701" s="5">
        <v>0.077592</v>
      </c>
      <c r="P1701" s="5">
        <v>0.0</v>
      </c>
      <c r="Q1701" s="5">
        <v>0.0</v>
      </c>
    </row>
    <row r="1702" outlineLevel="1">
      <c r="B1702" s="0" t="inlineStr">
        <is>
          <t xml:space="preserve">ELECTRO SWITCH BUSINESS TRUST</t>
        </is>
      </c>
      <c r="C1702" s="0" t="inlineStr">
        <is>
          <t xml:space="preserve">N9H8MCLMH8J5</t>
        </is>
      </c>
      <c r="D1702" s="0" t="inlineStr">
        <is>
          <t xml:space="preserve">-</t>
        </is>
      </c>
      <c r="E1702" s="0" t="inlineStr">
        <is>
          <t xml:space="preserve">-</t>
        </is>
      </c>
      <c r="F1702" s="0" t="inlineStr">
        <is>
          <t xml:space="preserve">-</t>
        </is>
      </c>
      <c r="G1702" s="5">
        <v>0.0774864</v>
      </c>
      <c r="H1702" s="0" t="inlineStr">
        <is>
          <t xml:space="preserve">supplier</t>
        </is>
      </c>
      <c r="I1702" s="0" t="inlineStr">
        <is>
          <t xml:space="preserve">unbucketed</t>
        </is>
      </c>
      <c r="J1702" s="0" t="inlineStr">
        <is>
          <t xml:space="preserve">residual</t>
        </is>
      </c>
      <c r="K1702" s="5">
        <v>0</v>
      </c>
      <c r="L1702" s="5">
        <v>0</v>
      </c>
      <c r="M1702" s="5">
        <v>0.0</v>
      </c>
      <c r="N1702" s="5">
        <v>0.0</v>
      </c>
      <c r="O1702" s="5">
        <v>0.0</v>
      </c>
      <c r="P1702" s="5">
        <v>0.0</v>
      </c>
      <c r="Q1702" s="5">
        <v>0.0</v>
      </c>
    </row>
    <row r="1703" outlineLevel="1">
      <c r="B1703" s="0" t="inlineStr">
        <is>
          <t xml:space="preserve">FLOTECH, INC.</t>
        </is>
      </c>
      <c r="C1703" s="0" t="inlineStr">
        <is>
          <t xml:space="preserve">LH54NFMEJW46</t>
        </is>
      </c>
      <c r="D1703" s="0" t="inlineStr">
        <is>
          <t xml:space="preserve">-</t>
        </is>
      </c>
      <c r="E1703" s="0" t="inlineStr">
        <is>
          <t xml:space="preserve">-</t>
        </is>
      </c>
      <c r="F1703" s="0" t="inlineStr">
        <is>
          <t xml:space="preserve">-</t>
        </is>
      </c>
      <c r="G1703" s="5">
        <v>0.077425</v>
      </c>
      <c r="H1703" s="0" t="inlineStr">
        <is>
          <t xml:space="preserve">supplier</t>
        </is>
      </c>
      <c r="I1703" s="0" t="inlineStr">
        <is>
          <t xml:space="preserve">unbucketed</t>
        </is>
      </c>
      <c r="J1703" s="0" t="inlineStr">
        <is>
          <t xml:space="preserve">residual</t>
        </is>
      </c>
      <c r="K1703" s="5">
        <v>0</v>
      </c>
      <c r="L1703" s="5">
        <v>0</v>
      </c>
      <c r="M1703" s="5">
        <v>0.0</v>
      </c>
      <c r="N1703" s="5">
        <v>0.0</v>
      </c>
      <c r="O1703" s="5">
        <v>0.0</v>
      </c>
      <c r="P1703" s="5">
        <v>0.0</v>
      </c>
      <c r="Q1703" s="5">
        <v>0.0</v>
      </c>
    </row>
    <row r="1704" outlineLevel="1">
      <c r="B1704" s="0" t="inlineStr">
        <is>
          <t xml:space="preserve">MACHADO-PATANO, PLLC</t>
        </is>
      </c>
      <c r="C1704" s="0" t="inlineStr">
        <is>
          <t xml:space="preserve">HJSXML6UV9U5</t>
        </is>
      </c>
      <c r="D1704" s="0" t="inlineStr">
        <is>
          <t xml:space="preserve">-</t>
        </is>
      </c>
      <c r="E1704" s="0" t="inlineStr">
        <is>
          <t xml:space="preserve">-</t>
        </is>
      </c>
      <c r="F1704" s="0" t="inlineStr">
        <is>
          <t xml:space="preserve">-</t>
        </is>
      </c>
      <c r="G1704" s="5">
        <v>0.07726787</v>
      </c>
      <c r="H1704" s="0" t="inlineStr">
        <is>
          <t xml:space="preserve">supplier</t>
        </is>
      </c>
      <c r="I1704" s="0" t="inlineStr">
        <is>
          <t xml:space="preserve">unbucketed</t>
        </is>
      </c>
      <c r="J1704" s="0" t="inlineStr">
        <is>
          <t xml:space="preserve">residual</t>
        </is>
      </c>
      <c r="K1704" s="5">
        <v>0</v>
      </c>
      <c r="L1704" s="5">
        <v>0</v>
      </c>
      <c r="M1704" s="5">
        <v>0.0</v>
      </c>
      <c r="N1704" s="5">
        <v>0.0</v>
      </c>
      <c r="O1704" s="5">
        <v>0.0</v>
      </c>
      <c r="P1704" s="5">
        <v>0.0</v>
      </c>
      <c r="Q1704" s="5">
        <v>0.0</v>
      </c>
    </row>
    <row r="1705" outlineLevel="1">
      <c r="B1705" s="0" t="inlineStr">
        <is>
          <t xml:space="preserve">CONTINENTAL RESOURCES, INC.</t>
        </is>
      </c>
      <c r="C1705" s="0" t="inlineStr">
        <is>
          <t xml:space="preserve">EBPNMMDTMVS3</t>
        </is>
      </c>
      <c r="D1705" s="0" t="inlineStr">
        <is>
          <t xml:space="preserve">-</t>
        </is>
      </c>
      <c r="E1705" s="0" t="inlineStr">
        <is>
          <t xml:space="preserve">-</t>
        </is>
      </c>
      <c r="F1705" s="0" t="inlineStr">
        <is>
          <t xml:space="preserve">-</t>
        </is>
      </c>
      <c r="G1705" s="5">
        <v>0.07721895</v>
      </c>
      <c r="H1705" s="0" t="inlineStr">
        <is>
          <t xml:space="preserve">supplier</t>
        </is>
      </c>
      <c r="I1705" s="0" t="inlineStr">
        <is>
          <t xml:space="preserve">unbucketed</t>
        </is>
      </c>
      <c r="J1705" s="0" t="inlineStr">
        <is>
          <t xml:space="preserve">residual</t>
        </is>
      </c>
      <c r="K1705" s="5">
        <v>0</v>
      </c>
      <c r="L1705" s="5">
        <v>0</v>
      </c>
      <c r="M1705" s="5">
        <v>0.0</v>
      </c>
      <c r="N1705" s="5">
        <v>0.0</v>
      </c>
      <c r="O1705" s="5">
        <v>0.0</v>
      </c>
      <c r="P1705" s="5">
        <v>0.0</v>
      </c>
      <c r="Q1705" s="5">
        <v>0.0</v>
      </c>
    </row>
    <row r="1706" outlineLevel="1">
      <c r="B1706" s="0" t="inlineStr">
        <is>
          <t xml:space="preserve">PNC EQUITY PARTNERS LP</t>
        </is>
      </c>
      <c r="C1706" s="0" t="inlineStr">
        <is>
          <t xml:space="preserve">SLTUM1DV4433</t>
        </is>
      </c>
      <c r="D1706" s="0" t="inlineStr">
        <is>
          <t xml:space="preserve">-</t>
        </is>
      </c>
      <c r="E1706" s="0" t="inlineStr">
        <is>
          <t xml:space="preserve">-</t>
        </is>
      </c>
      <c r="F1706" s="0" t="inlineStr">
        <is>
          <t xml:space="preserve">-</t>
        </is>
      </c>
      <c r="G1706" s="5">
        <v>0.076946</v>
      </c>
      <c r="H1706" s="0" t="inlineStr">
        <is>
          <t xml:space="preserve">supplier</t>
        </is>
      </c>
      <c r="I1706" s="0" t="inlineStr">
        <is>
          <t xml:space="preserve">unbucketed</t>
        </is>
      </c>
      <c r="J1706" s="0" t="inlineStr">
        <is>
          <t xml:space="preserve">residual</t>
        </is>
      </c>
      <c r="K1706" s="5">
        <v>0</v>
      </c>
      <c r="L1706" s="5">
        <v>0</v>
      </c>
      <c r="M1706" s="5">
        <v>0.076946</v>
      </c>
      <c r="N1706" s="5">
        <v>0.0</v>
      </c>
      <c r="O1706" s="5">
        <v>0.0</v>
      </c>
      <c r="P1706" s="5">
        <v>0.0</v>
      </c>
      <c r="Q1706" s="5">
        <v>0.0</v>
      </c>
    </row>
    <row r="1707" outlineLevel="1">
      <c r="B1707" s="0" t="inlineStr">
        <is>
          <t xml:space="preserve">YORK ELECTRO-MECHANICAL CORP</t>
        </is>
      </c>
      <c r="C1707" s="0" t="inlineStr">
        <is>
          <t xml:space="preserve">DCT5EZ37RTF5</t>
        </is>
      </c>
      <c r="D1707" s="0" t="inlineStr">
        <is>
          <t xml:space="preserve">-</t>
        </is>
      </c>
      <c r="E1707" s="0" t="inlineStr">
        <is>
          <t xml:space="preserve">-</t>
        </is>
      </c>
      <c r="F1707" s="0" t="inlineStr">
        <is>
          <t xml:space="preserve">-</t>
        </is>
      </c>
      <c r="G1707" s="5">
        <v>0.07673039999999999</v>
      </c>
      <c r="H1707" s="0" t="inlineStr">
        <is>
          <t xml:space="preserve">supplier</t>
        </is>
      </c>
      <c r="I1707" s="0" t="inlineStr">
        <is>
          <t xml:space="preserve">unbucketed</t>
        </is>
      </c>
      <c r="J1707" s="0" t="inlineStr">
        <is>
          <t xml:space="preserve">residual</t>
        </is>
      </c>
      <c r="K1707" s="5">
        <v>0</v>
      </c>
      <c r="L1707" s="5">
        <v>0</v>
      </c>
      <c r="M1707" s="5">
        <v>0.0</v>
      </c>
      <c r="N1707" s="5">
        <v>0.0</v>
      </c>
      <c r="O1707" s="5">
        <v>0.0</v>
      </c>
      <c r="P1707" s="5">
        <v>0.0</v>
      </c>
      <c r="Q1707" s="5">
        <v>0.0</v>
      </c>
    </row>
    <row r="1708" outlineLevel="1">
      <c r="B1708" s="0" t="inlineStr">
        <is>
          <t xml:space="preserve">GENERAL DEVICES CO INC</t>
        </is>
      </c>
      <c r="C1708" s="0" t="inlineStr">
        <is>
          <t xml:space="preserve">FC25MJYWJQJ3</t>
        </is>
      </c>
      <c r="D1708" s="0" t="inlineStr">
        <is>
          <t xml:space="preserve">-</t>
        </is>
      </c>
      <c r="E1708" s="0" t="inlineStr">
        <is>
          <t xml:space="preserve">-</t>
        </is>
      </c>
      <c r="F1708" s="0" t="inlineStr">
        <is>
          <t xml:space="preserve">-</t>
        </is>
      </c>
      <c r="G1708" s="5">
        <v>0.07583606999999999</v>
      </c>
      <c r="H1708" s="0" t="inlineStr">
        <is>
          <t xml:space="preserve">supplier</t>
        </is>
      </c>
      <c r="I1708" s="0" t="inlineStr">
        <is>
          <t xml:space="preserve">unbucketed</t>
        </is>
      </c>
      <c r="J1708" s="0" t="inlineStr">
        <is>
          <t xml:space="preserve">residual</t>
        </is>
      </c>
      <c r="K1708" s="5">
        <v>0</v>
      </c>
      <c r="L1708" s="5">
        <v>0</v>
      </c>
      <c r="M1708" s="5">
        <v>0.0</v>
      </c>
      <c r="N1708" s="5">
        <v>0.0</v>
      </c>
      <c r="O1708" s="5">
        <v>0.0</v>
      </c>
      <c r="P1708" s="5">
        <v>0.0</v>
      </c>
      <c r="Q1708" s="5">
        <v>0.0</v>
      </c>
    </row>
    <row r="1709" outlineLevel="1">
      <c r="B1709" s="0" t="inlineStr">
        <is>
          <t xml:space="preserve">VICOR CORP</t>
        </is>
      </c>
      <c r="C1709" s="0" t="inlineStr">
        <is>
          <t xml:space="preserve">PZK1KSXFFNX9</t>
        </is>
      </c>
      <c r="D1709" s="0" t="inlineStr">
        <is>
          <t xml:space="preserve">-</t>
        </is>
      </c>
      <c r="E1709" s="0" t="inlineStr">
        <is>
          <t xml:space="preserve">-</t>
        </is>
      </c>
      <c r="F1709" s="0" t="inlineStr">
        <is>
          <t xml:space="preserve">-</t>
        </is>
      </c>
      <c r="G1709" s="5">
        <v>0.07555</v>
      </c>
      <c r="H1709" s="0" t="inlineStr">
        <is>
          <t xml:space="preserve">supplier</t>
        </is>
      </c>
      <c r="I1709" s="0" t="inlineStr">
        <is>
          <t xml:space="preserve">unbucketed</t>
        </is>
      </c>
      <c r="J1709" s="0" t="inlineStr">
        <is>
          <t xml:space="preserve">residual</t>
        </is>
      </c>
      <c r="K1709" s="5">
        <v>0</v>
      </c>
      <c r="L1709" s="5">
        <v>0</v>
      </c>
      <c r="M1709" s="5">
        <v>0.0</v>
      </c>
      <c r="N1709" s="5">
        <v>0.0</v>
      </c>
      <c r="O1709" s="5">
        <v>0.0</v>
      </c>
      <c r="P1709" s="5">
        <v>0.0</v>
      </c>
      <c r="Q1709" s="5">
        <v>0.0</v>
      </c>
    </row>
    <row r="1710" outlineLevel="1">
      <c r="B1710" s="0" t="inlineStr">
        <is>
          <t xml:space="preserve">COMSONICS, INC.</t>
        </is>
      </c>
      <c r="C1710" s="0" t="inlineStr">
        <is>
          <t xml:space="preserve">EJDDFEBYNKW4</t>
        </is>
      </c>
      <c r="D1710" s="0" t="inlineStr">
        <is>
          <t xml:space="preserve">-</t>
        </is>
      </c>
      <c r="E1710" s="0" t="inlineStr">
        <is>
          <t xml:space="preserve">-</t>
        </is>
      </c>
      <c r="F1710" s="0" t="inlineStr">
        <is>
          <t xml:space="preserve">-</t>
        </is>
      </c>
      <c r="G1710" s="5">
        <v>0.074646</v>
      </c>
      <c r="H1710" s="0" t="inlineStr">
        <is>
          <t xml:space="preserve">supplier</t>
        </is>
      </c>
      <c r="I1710" s="0" t="inlineStr">
        <is>
          <t xml:space="preserve">unbucketed</t>
        </is>
      </c>
      <c r="J1710" s="0" t="inlineStr">
        <is>
          <t xml:space="preserve">residual</t>
        </is>
      </c>
      <c r="K1710" s="5">
        <v>0</v>
      </c>
      <c r="L1710" s="5">
        <v>0</v>
      </c>
      <c r="M1710" s="5">
        <v>0.0</v>
      </c>
      <c r="N1710" s="5">
        <v>0.0</v>
      </c>
      <c r="O1710" s="5">
        <v>0.0</v>
      </c>
      <c r="P1710" s="5">
        <v>0.0</v>
      </c>
      <c r="Q1710" s="5">
        <v>0.0</v>
      </c>
    </row>
    <row r="1711" outlineLevel="1">
      <c r="B1711" s="0" t="inlineStr">
        <is>
          <t xml:space="preserve">MOTION &amp; FLOW CONTROL PRODUCTS, INC.</t>
        </is>
      </c>
      <c r="C1711" s="0" t="inlineStr">
        <is>
          <t xml:space="preserve">F1KGBDG9RSA7</t>
        </is>
      </c>
      <c r="D1711" s="0" t="inlineStr">
        <is>
          <t xml:space="preserve">-</t>
        </is>
      </c>
      <c r="E1711" s="0" t="inlineStr">
        <is>
          <t xml:space="preserve">-</t>
        </is>
      </c>
      <c r="F1711" s="0" t="inlineStr">
        <is>
          <t xml:space="preserve">-</t>
        </is>
      </c>
      <c r="G1711" s="5">
        <v>0.07361361</v>
      </c>
      <c r="H1711" s="0" t="inlineStr">
        <is>
          <t xml:space="preserve">supplier</t>
        </is>
      </c>
      <c r="I1711" s="0" t="inlineStr">
        <is>
          <t xml:space="preserve">unbucketed</t>
        </is>
      </c>
      <c r="J1711" s="0" t="inlineStr">
        <is>
          <t xml:space="preserve">residual</t>
        </is>
      </c>
      <c r="K1711" s="5">
        <v>0</v>
      </c>
      <c r="L1711" s="5">
        <v>0</v>
      </c>
      <c r="M1711" s="5">
        <v>0.0</v>
      </c>
      <c r="N1711" s="5">
        <v>0.0</v>
      </c>
      <c r="O1711" s="5">
        <v>0.0</v>
      </c>
      <c r="P1711" s="5">
        <v>0.0</v>
      </c>
      <c r="Q1711" s="5">
        <v>0.0</v>
      </c>
    </row>
    <row r="1712" outlineLevel="1">
      <c r="B1712" s="0" t="inlineStr">
        <is>
          <t xml:space="preserve">SPIRIT AMERICA CORP</t>
        </is>
      </c>
      <c r="C1712" s="0" t="inlineStr">
        <is>
          <t xml:space="preserve">WJFVKFC33X99</t>
        </is>
      </c>
      <c r="D1712" s="0" t="inlineStr">
        <is>
          <t xml:space="preserve">-</t>
        </is>
      </c>
      <c r="E1712" s="0" t="inlineStr">
        <is>
          <t xml:space="preserve">-</t>
        </is>
      </c>
      <c r="F1712" s="0" t="inlineStr">
        <is>
          <t xml:space="preserve">-</t>
        </is>
      </c>
      <c r="G1712" s="5">
        <v>0.073607</v>
      </c>
      <c r="H1712" s="0" t="inlineStr">
        <is>
          <t xml:space="preserve">supplier</t>
        </is>
      </c>
      <c r="I1712" s="0" t="inlineStr">
        <is>
          <t xml:space="preserve">unbucketed</t>
        </is>
      </c>
      <c r="J1712" s="0" t="inlineStr">
        <is>
          <t xml:space="preserve">residual</t>
        </is>
      </c>
      <c r="K1712" s="5">
        <v>0</v>
      </c>
      <c r="L1712" s="5">
        <v>0</v>
      </c>
      <c r="M1712" s="5">
        <v>0.0</v>
      </c>
      <c r="N1712" s="5">
        <v>0.0</v>
      </c>
      <c r="O1712" s="5">
        <v>0.0</v>
      </c>
      <c r="P1712" s="5">
        <v>0.0</v>
      </c>
      <c r="Q1712" s="5">
        <v>0.0</v>
      </c>
    </row>
    <row r="1713" outlineLevel="1">
      <c r="B1713" s="0" t="inlineStr">
        <is>
          <t xml:space="preserve">INTERNATIONAL MANUFACTURING SERVICES, INC</t>
        </is>
      </c>
      <c r="C1713" s="0" t="inlineStr">
        <is>
          <t xml:space="preserve">JWTCFYHTG6S4</t>
        </is>
      </c>
      <c r="D1713" s="0" t="inlineStr">
        <is>
          <t xml:space="preserve">-</t>
        </is>
      </c>
      <c r="E1713" s="0" t="inlineStr">
        <is>
          <t xml:space="preserve">-</t>
        </is>
      </c>
      <c r="F1713" s="0" t="inlineStr">
        <is>
          <t xml:space="preserve">-</t>
        </is>
      </c>
      <c r="G1713" s="5">
        <v>0.073393</v>
      </c>
      <c r="H1713" s="0" t="inlineStr">
        <is>
          <t xml:space="preserve">supplier</t>
        </is>
      </c>
      <c r="I1713" s="0" t="inlineStr">
        <is>
          <t xml:space="preserve">unbucketed</t>
        </is>
      </c>
      <c r="J1713" s="0" t="inlineStr">
        <is>
          <t xml:space="preserve">residual</t>
        </is>
      </c>
      <c r="K1713" s="5">
        <v>0</v>
      </c>
      <c r="L1713" s="5">
        <v>0</v>
      </c>
      <c r="M1713" s="5">
        <v>0.0</v>
      </c>
      <c r="N1713" s="5">
        <v>0.0</v>
      </c>
      <c r="O1713" s="5">
        <v>0.0</v>
      </c>
      <c r="P1713" s="5">
        <v>0.0</v>
      </c>
      <c r="Q1713" s="5">
        <v>0.0</v>
      </c>
    </row>
    <row r="1714" outlineLevel="1">
      <c r="B1714" s="0" t="inlineStr">
        <is>
          <t xml:space="preserve">PPG INDUSTRIES, INC.</t>
        </is>
      </c>
      <c r="C1714" s="0" t="inlineStr">
        <is>
          <t xml:space="preserve">JFN9TTCMKQH8</t>
        </is>
      </c>
      <c r="D1714" s="0" t="inlineStr">
        <is>
          <t xml:space="preserve">-</t>
        </is>
      </c>
      <c r="E1714" s="0" t="inlineStr">
        <is>
          <t xml:space="preserve">-</t>
        </is>
      </c>
      <c r="F1714" s="0" t="inlineStr">
        <is>
          <t xml:space="preserve">-</t>
        </is>
      </c>
      <c r="G1714" s="5">
        <v>0.073366</v>
      </c>
      <c r="H1714" s="0" t="inlineStr">
        <is>
          <t xml:space="preserve">supplier</t>
        </is>
      </c>
      <c r="I1714" s="0" t="inlineStr">
        <is>
          <t xml:space="preserve">unbucketed</t>
        </is>
      </c>
      <c r="J1714" s="0" t="inlineStr">
        <is>
          <t xml:space="preserve">residual</t>
        </is>
      </c>
      <c r="K1714" s="5">
        <v>0</v>
      </c>
      <c r="L1714" s="5">
        <v>0</v>
      </c>
      <c r="M1714" s="5">
        <v>0.073366</v>
      </c>
      <c r="N1714" s="5">
        <v>0.0</v>
      </c>
      <c r="O1714" s="5">
        <v>0.073366</v>
      </c>
      <c r="P1714" s="5">
        <v>0.0</v>
      </c>
      <c r="Q1714" s="5">
        <v>0.0</v>
      </c>
    </row>
    <row r="1715" outlineLevel="1">
      <c r="B1715" s="0" t="inlineStr">
        <is>
          <t xml:space="preserve">SEEMANN COMPOSITES, LLC</t>
        </is>
      </c>
      <c r="C1715" s="0" t="inlineStr">
        <is>
          <t xml:space="preserve">WXRTZLL25AE5</t>
        </is>
      </c>
      <c r="D1715" s="0" t="inlineStr">
        <is>
          <t xml:space="preserve">-</t>
        </is>
      </c>
      <c r="E1715" s="0" t="inlineStr">
        <is>
          <t xml:space="preserve">-</t>
        </is>
      </c>
      <c r="F1715" s="0" t="inlineStr">
        <is>
          <t xml:space="preserve">-</t>
        </is>
      </c>
      <c r="G1715" s="5">
        <v>0.07326675999999999</v>
      </c>
      <c r="H1715" s="0" t="inlineStr">
        <is>
          <t xml:space="preserve">supplier</t>
        </is>
      </c>
      <c r="I1715" s="0" t="inlineStr">
        <is>
          <t xml:space="preserve">unbucketed</t>
        </is>
      </c>
      <c r="J1715" s="0" t="inlineStr">
        <is>
          <t xml:space="preserve">residual</t>
        </is>
      </c>
      <c r="K1715" s="5">
        <v>0</v>
      </c>
      <c r="L1715" s="5">
        <v>0</v>
      </c>
      <c r="M1715" s="5">
        <v>0.07326675999999999</v>
      </c>
      <c r="N1715" s="5">
        <v>0.0</v>
      </c>
      <c r="O1715" s="5">
        <v>0.0</v>
      </c>
      <c r="P1715" s="5">
        <v>0.0</v>
      </c>
      <c r="Q1715" s="5">
        <v>0.0</v>
      </c>
    </row>
    <row r="1716" outlineLevel="1">
      <c r="B1716" s="0" t="inlineStr">
        <is>
          <t xml:space="preserve">CERBERUS CAPITAL MANAGEMENT, L.P</t>
        </is>
      </c>
      <c r="C1716" s="0" t="inlineStr">
        <is>
          <t xml:space="preserve">JT4PZH4BX5T9</t>
        </is>
      </c>
      <c r="D1716" s="0" t="inlineStr">
        <is>
          <t xml:space="preserve">USA</t>
        </is>
      </c>
      <c r="E1716" s="0" t="inlineStr">
        <is>
          <t xml:space="preserve">5415</t>
        </is>
      </c>
      <c r="F1716" s="0" t="inlineStr">
        <is>
          <t xml:space="preserve">Other Computer Related Services</t>
        </is>
      </c>
      <c r="G1716" s="5">
        <v>0.07288242</v>
      </c>
      <c r="H1716" s="0" t="inlineStr">
        <is>
          <t xml:space="preserve">service</t>
        </is>
      </c>
      <c r="I1716" s="0" t="inlineStr">
        <is>
          <t xml:space="preserve">-</t>
        </is>
      </c>
      <c r="J1716" s="0" t="inlineStr">
        <is>
          <t xml:space="preserve">service NAICS</t>
        </is>
      </c>
      <c r="K1716" s="5">
        <v>0</v>
      </c>
      <c r="L1716" s="5">
        <v>0</v>
      </c>
      <c r="M1716" s="5">
        <v>0.0</v>
      </c>
      <c r="N1716" s="5">
        <v>0.0</v>
      </c>
      <c r="O1716" s="5">
        <v>0.0</v>
      </c>
      <c r="P1716" s="5">
        <v>0.0</v>
      </c>
      <c r="Q1716" s="5">
        <v>0.0</v>
      </c>
    </row>
    <row r="1717" outlineLevel="1">
      <c r="B1717" s="0" t="inlineStr">
        <is>
          <t xml:space="preserve">CHASE CORPORATION</t>
        </is>
      </c>
      <c r="C1717" s="0" t="inlineStr">
        <is>
          <t xml:space="preserve">KCDDKU78L9P7</t>
        </is>
      </c>
      <c r="D1717" s="0" t="inlineStr">
        <is>
          <t xml:space="preserve">-</t>
        </is>
      </c>
      <c r="E1717" s="0" t="inlineStr">
        <is>
          <t xml:space="preserve">-</t>
        </is>
      </c>
      <c r="F1717" s="0" t="inlineStr">
        <is>
          <t xml:space="preserve">-</t>
        </is>
      </c>
      <c r="G1717" s="5">
        <v>0.072773</v>
      </c>
      <c r="H1717" s="0" t="inlineStr">
        <is>
          <t xml:space="preserve">supplier</t>
        </is>
      </c>
      <c r="I1717" s="0" t="inlineStr">
        <is>
          <t xml:space="preserve">unbucketed</t>
        </is>
      </c>
      <c r="J1717" s="0" t="inlineStr">
        <is>
          <t xml:space="preserve">residual</t>
        </is>
      </c>
      <c r="K1717" s="5">
        <v>0</v>
      </c>
      <c r="L1717" s="5">
        <v>0</v>
      </c>
      <c r="M1717" s="5">
        <v>0.072773</v>
      </c>
      <c r="N1717" s="5">
        <v>0.072773</v>
      </c>
      <c r="O1717" s="5">
        <v>0.0</v>
      </c>
      <c r="P1717" s="5">
        <v>0.0</v>
      </c>
      <c r="Q1717" s="5">
        <v>0.0</v>
      </c>
    </row>
    <row r="1718" outlineLevel="1">
      <c r="B1718" s="0" t="inlineStr">
        <is>
          <t xml:space="preserve">HEILIND ELECTRONICS INC</t>
        </is>
      </c>
      <c r="C1718" s="0" t="inlineStr">
        <is>
          <t xml:space="preserve">EPK7A98BB4B6</t>
        </is>
      </c>
      <c r="D1718" s="0" t="inlineStr">
        <is>
          <t xml:space="preserve">-</t>
        </is>
      </c>
      <c r="E1718" s="0" t="inlineStr">
        <is>
          <t xml:space="preserve">-</t>
        </is>
      </c>
      <c r="F1718" s="0" t="inlineStr">
        <is>
          <t xml:space="preserve">-</t>
        </is>
      </c>
      <c r="G1718" s="5">
        <v>0.07238464</v>
      </c>
      <c r="H1718" s="0" t="inlineStr">
        <is>
          <t xml:space="preserve">supplier</t>
        </is>
      </c>
      <c r="I1718" s="0" t="inlineStr">
        <is>
          <t xml:space="preserve">unbucketed</t>
        </is>
      </c>
      <c r="J1718" s="0" t="inlineStr">
        <is>
          <t xml:space="preserve">residual</t>
        </is>
      </c>
      <c r="K1718" s="5">
        <v>0</v>
      </c>
      <c r="L1718" s="5">
        <v>0</v>
      </c>
      <c r="M1718" s="5">
        <v>0.07238464</v>
      </c>
      <c r="N1718" s="5">
        <v>0.0</v>
      </c>
      <c r="O1718" s="5">
        <v>0.07238464</v>
      </c>
      <c r="P1718" s="5">
        <v>0.0</v>
      </c>
      <c r="Q1718" s="5">
        <v>0.0</v>
      </c>
    </row>
    <row r="1719" outlineLevel="1">
      <c r="B1719" s="0" t="inlineStr">
        <is>
          <t xml:space="preserve">NTS TECHNICAL SYSTEMS, LLC</t>
        </is>
      </c>
      <c r="C1719" s="0" t="inlineStr">
        <is>
          <t xml:space="preserve">F7AQMN9MMQZ4</t>
        </is>
      </c>
      <c r="D1719" s="0" t="inlineStr">
        <is>
          <t xml:space="preserve">-</t>
        </is>
      </c>
      <c r="E1719" s="0" t="inlineStr">
        <is>
          <t xml:space="preserve">-</t>
        </is>
      </c>
      <c r="F1719" s="0" t="inlineStr">
        <is>
          <t xml:space="preserve">-</t>
        </is>
      </c>
      <c r="G1719" s="5">
        <v>0.07238</v>
      </c>
      <c r="H1719" s="0" t="inlineStr">
        <is>
          <t xml:space="preserve">supplier</t>
        </is>
      </c>
      <c r="I1719" s="0" t="inlineStr">
        <is>
          <t xml:space="preserve">unbucketed</t>
        </is>
      </c>
      <c r="J1719" s="0" t="inlineStr">
        <is>
          <t xml:space="preserve">residual</t>
        </is>
      </c>
      <c r="K1719" s="5">
        <v>0</v>
      </c>
      <c r="L1719" s="5">
        <v>0</v>
      </c>
      <c r="M1719" s="5">
        <v>0.0</v>
      </c>
      <c r="N1719" s="5">
        <v>0.0</v>
      </c>
      <c r="O1719" s="5">
        <v>0.0</v>
      </c>
      <c r="P1719" s="5">
        <v>0.0</v>
      </c>
      <c r="Q1719" s="5">
        <v>0.0</v>
      </c>
    </row>
    <row r="1720" outlineLevel="1">
      <c r="B1720" s="0" t="inlineStr">
        <is>
          <t xml:space="preserve">INTERNATIONAL COMPUTER APPLIANCES CORPORATION</t>
        </is>
      </c>
      <c r="C1720" s="0" t="inlineStr">
        <is>
          <t xml:space="preserve">UYBGQS9939M9</t>
        </is>
      </c>
      <c r="D1720" s="0" t="inlineStr">
        <is>
          <t xml:space="preserve">-</t>
        </is>
      </c>
      <c r="E1720" s="0" t="inlineStr">
        <is>
          <t xml:space="preserve">-</t>
        </is>
      </c>
      <c r="F1720" s="0" t="inlineStr">
        <is>
          <t xml:space="preserve">-</t>
        </is>
      </c>
      <c r="G1720" s="5">
        <v>0.07231988</v>
      </c>
      <c r="H1720" s="0" t="inlineStr">
        <is>
          <t xml:space="preserve">supplier</t>
        </is>
      </c>
      <c r="I1720" s="0" t="inlineStr">
        <is>
          <t xml:space="preserve">unbucketed</t>
        </is>
      </c>
      <c r="J1720" s="0" t="inlineStr">
        <is>
          <t xml:space="preserve">residual</t>
        </is>
      </c>
      <c r="K1720" s="5">
        <v>0</v>
      </c>
      <c r="L1720" s="5">
        <v>0</v>
      </c>
      <c r="M1720" s="5">
        <v>0.0</v>
      </c>
      <c r="N1720" s="5">
        <v>0.0</v>
      </c>
      <c r="O1720" s="5">
        <v>0.0</v>
      </c>
      <c r="P1720" s="5">
        <v>0.0</v>
      </c>
      <c r="Q1720" s="5">
        <v>0.0</v>
      </c>
    </row>
    <row r="1721" outlineLevel="1">
      <c r="B1721" s="0" t="inlineStr">
        <is>
          <t xml:space="preserve">EPOS USA INC</t>
        </is>
      </c>
      <c r="C1721" s="0" t="inlineStr">
        <is>
          <t xml:space="preserve">MZLDUN9QFJ28</t>
        </is>
      </c>
      <c r="D1721" s="0" t="inlineStr">
        <is>
          <t xml:space="preserve">-</t>
        </is>
      </c>
      <c r="E1721" s="0" t="inlineStr">
        <is>
          <t xml:space="preserve">-</t>
        </is>
      </c>
      <c r="F1721" s="0" t="inlineStr">
        <is>
          <t xml:space="preserve">-</t>
        </is>
      </c>
      <c r="G1721" s="5">
        <v>0.07183</v>
      </c>
      <c r="H1721" s="0" t="inlineStr">
        <is>
          <t xml:space="preserve">supplier</t>
        </is>
      </c>
      <c r="I1721" s="0" t="inlineStr">
        <is>
          <t xml:space="preserve">unbucketed</t>
        </is>
      </c>
      <c r="J1721" s="0" t="inlineStr">
        <is>
          <t xml:space="preserve">residual</t>
        </is>
      </c>
      <c r="K1721" s="5">
        <v>0</v>
      </c>
      <c r="L1721" s="5">
        <v>0</v>
      </c>
      <c r="M1721" s="5">
        <v>0.0</v>
      </c>
      <c r="N1721" s="5">
        <v>0.0</v>
      </c>
      <c r="O1721" s="5">
        <v>0.0</v>
      </c>
      <c r="P1721" s="5">
        <v>0.0</v>
      </c>
      <c r="Q1721" s="5">
        <v>0.0</v>
      </c>
    </row>
    <row r="1722" outlineLevel="1">
      <c r="B1722" s="0" t="inlineStr">
        <is>
          <t xml:space="preserve">TEAM HOUSING SOLUTIONS, INC.</t>
        </is>
      </c>
      <c r="C1722" s="0" t="inlineStr">
        <is>
          <t xml:space="preserve">GDK9ANY21DY6</t>
        </is>
      </c>
      <c r="D1722" s="0" t="inlineStr">
        <is>
          <t xml:space="preserve">-</t>
        </is>
      </c>
      <c r="E1722" s="0" t="inlineStr">
        <is>
          <t xml:space="preserve">-</t>
        </is>
      </c>
      <c r="F1722" s="0" t="inlineStr">
        <is>
          <t xml:space="preserve">-</t>
        </is>
      </c>
      <c r="G1722" s="5">
        <v>0.07182</v>
      </c>
      <c r="H1722" s="0" t="inlineStr">
        <is>
          <t xml:space="preserve">supplier</t>
        </is>
      </c>
      <c r="I1722" s="0" t="inlineStr">
        <is>
          <t xml:space="preserve">unbucketed</t>
        </is>
      </c>
      <c r="J1722" s="0" t="inlineStr">
        <is>
          <t xml:space="preserve">residual</t>
        </is>
      </c>
      <c r="K1722" s="5">
        <v>0</v>
      </c>
      <c r="L1722" s="5">
        <v>0</v>
      </c>
      <c r="M1722" s="5">
        <v>0.07182</v>
      </c>
      <c r="N1722" s="5">
        <v>0.0</v>
      </c>
      <c r="O1722" s="5">
        <v>0.07182</v>
      </c>
      <c r="P1722" s="5">
        <v>0.0</v>
      </c>
      <c r="Q1722" s="5">
        <v>0.0</v>
      </c>
    </row>
    <row r="1723" outlineLevel="1">
      <c r="B1723" s="0" t="inlineStr">
        <is>
          <t xml:space="preserve">B &amp; G MANUFACTURING CO., INC.</t>
        </is>
      </c>
      <c r="C1723" s="0" t="inlineStr">
        <is>
          <t xml:space="preserve">MXDKLLXB3EK7</t>
        </is>
      </c>
      <c r="D1723" s="0" t="inlineStr">
        <is>
          <t xml:space="preserve">-</t>
        </is>
      </c>
      <c r="E1723" s="0" t="inlineStr">
        <is>
          <t xml:space="preserve">-</t>
        </is>
      </c>
      <c r="F1723" s="0" t="inlineStr">
        <is>
          <t xml:space="preserve">-</t>
        </is>
      </c>
      <c r="G1723" s="5">
        <v>0.07128</v>
      </c>
      <c r="H1723" s="0" t="inlineStr">
        <is>
          <t xml:space="preserve">supplier</t>
        </is>
      </c>
      <c r="I1723" s="0" t="inlineStr">
        <is>
          <t xml:space="preserve">unbucketed</t>
        </is>
      </c>
      <c r="J1723" s="0" t="inlineStr">
        <is>
          <t xml:space="preserve">residual</t>
        </is>
      </c>
      <c r="K1723" s="5">
        <v>0</v>
      </c>
      <c r="L1723" s="5">
        <v>0</v>
      </c>
      <c r="M1723" s="5">
        <v>0.0</v>
      </c>
      <c r="N1723" s="5">
        <v>0.0</v>
      </c>
      <c r="O1723" s="5">
        <v>0.0</v>
      </c>
      <c r="P1723" s="5">
        <v>0.0</v>
      </c>
      <c r="Q1723" s="5">
        <v>0.0</v>
      </c>
    </row>
    <row r="1724" outlineLevel="1">
      <c r="B1724" s="0" t="inlineStr">
        <is>
          <t xml:space="preserve">EPOCH CONCEPTS LLC</t>
        </is>
      </c>
      <c r="C1724" s="0" t="inlineStr">
        <is>
          <t xml:space="preserve">LQ48B9A9QJC8</t>
        </is>
      </c>
      <c r="D1724" s="0" t="inlineStr">
        <is>
          <t xml:space="preserve">-</t>
        </is>
      </c>
      <c r="E1724" s="0" t="inlineStr">
        <is>
          <t xml:space="preserve">-</t>
        </is>
      </c>
      <c r="F1724" s="0" t="inlineStr">
        <is>
          <t xml:space="preserve">-</t>
        </is>
      </c>
      <c r="G1724" s="5">
        <v>0.07115060000000001</v>
      </c>
      <c r="H1724" s="0" t="inlineStr">
        <is>
          <t xml:space="preserve">supplier</t>
        </is>
      </c>
      <c r="I1724" s="0" t="inlineStr">
        <is>
          <t xml:space="preserve">unbucketed</t>
        </is>
      </c>
      <c r="J1724" s="0" t="inlineStr">
        <is>
          <t xml:space="preserve">residual</t>
        </is>
      </c>
      <c r="K1724" s="5">
        <v>0</v>
      </c>
      <c r="L1724" s="5">
        <v>0</v>
      </c>
      <c r="M1724" s="5">
        <v>0.0</v>
      </c>
      <c r="N1724" s="5">
        <v>0.0</v>
      </c>
      <c r="O1724" s="5">
        <v>0.0</v>
      </c>
      <c r="P1724" s="5">
        <v>0.0</v>
      </c>
      <c r="Q1724" s="5">
        <v>0.0</v>
      </c>
    </row>
    <row r="1725" outlineLevel="1">
      <c r="B1725" s="0" t="inlineStr">
        <is>
          <t xml:space="preserve">HEGEDUS ALUMINUM INDUSTRIES, INC.</t>
        </is>
      </c>
      <c r="C1725" s="0" t="inlineStr">
        <is>
          <t xml:space="preserve">DLRDDPVKLLA1</t>
        </is>
      </c>
      <c r="D1725" s="0" t="inlineStr">
        <is>
          <t xml:space="preserve">-</t>
        </is>
      </c>
      <c r="E1725" s="0" t="inlineStr">
        <is>
          <t xml:space="preserve">-</t>
        </is>
      </c>
      <c r="F1725" s="0" t="inlineStr">
        <is>
          <t xml:space="preserve">-</t>
        </is>
      </c>
      <c r="G1725" s="5">
        <v>0.07110459999999999</v>
      </c>
      <c r="H1725" s="0" t="inlineStr">
        <is>
          <t xml:space="preserve">supplier</t>
        </is>
      </c>
      <c r="I1725" s="0" t="inlineStr">
        <is>
          <t xml:space="preserve">unbucketed</t>
        </is>
      </c>
      <c r="J1725" s="0" t="inlineStr">
        <is>
          <t xml:space="preserve">residual</t>
        </is>
      </c>
      <c r="K1725" s="5">
        <v>0</v>
      </c>
      <c r="L1725" s="5">
        <v>0</v>
      </c>
      <c r="M1725" s="5">
        <v>0.07110459999999999</v>
      </c>
      <c r="N1725" s="5">
        <v>0.0331492</v>
      </c>
      <c r="O1725" s="5">
        <v>0.0379554</v>
      </c>
      <c r="P1725" s="5">
        <v>0.0</v>
      </c>
      <c r="Q1725" s="5">
        <v>0.0</v>
      </c>
    </row>
    <row r="1726" outlineLevel="1">
      <c r="B1726" s="0" t="inlineStr">
        <is>
          <t xml:space="preserve">AIRCRAFT PRECISION PRODUCTS INC</t>
        </is>
      </c>
      <c r="C1726" s="0" t="inlineStr">
        <is>
          <t xml:space="preserve">JCN9B9UKBF63</t>
        </is>
      </c>
      <c r="D1726" s="0" t="inlineStr">
        <is>
          <t xml:space="preserve">-</t>
        </is>
      </c>
      <c r="E1726" s="0" t="inlineStr">
        <is>
          <t xml:space="preserve">-</t>
        </is>
      </c>
      <c r="F1726" s="0" t="inlineStr">
        <is>
          <t xml:space="preserve">-</t>
        </is>
      </c>
      <c r="G1726" s="5">
        <v>0.070854</v>
      </c>
      <c r="H1726" s="0" t="inlineStr">
        <is>
          <t xml:space="preserve">supplier</t>
        </is>
      </c>
      <c r="I1726" s="0" t="inlineStr">
        <is>
          <t xml:space="preserve">unbucketed</t>
        </is>
      </c>
      <c r="J1726" s="0" t="inlineStr">
        <is>
          <t xml:space="preserve">residual</t>
        </is>
      </c>
      <c r="K1726" s="5">
        <v>0</v>
      </c>
      <c r="L1726" s="5">
        <v>0</v>
      </c>
      <c r="M1726" s="5">
        <v>0.0</v>
      </c>
      <c r="N1726" s="5">
        <v>0.0</v>
      </c>
      <c r="O1726" s="5">
        <v>0.0</v>
      </c>
      <c r="P1726" s="5">
        <v>0.0</v>
      </c>
      <c r="Q1726" s="5">
        <v>0.0</v>
      </c>
    </row>
    <row r="1727" outlineLevel="1">
      <c r="B1727" s="0" t="inlineStr">
        <is>
          <t xml:space="preserve">CDW CORPORATION</t>
        </is>
      </c>
      <c r="C1727" s="0" t="inlineStr">
        <is>
          <t xml:space="preserve">MFGMH9R7GMG3</t>
        </is>
      </c>
      <c r="D1727" s="0" t="inlineStr">
        <is>
          <t xml:space="preserve">-</t>
        </is>
      </c>
      <c r="E1727" s="0" t="inlineStr">
        <is>
          <t xml:space="preserve">-</t>
        </is>
      </c>
      <c r="F1727" s="0" t="inlineStr">
        <is>
          <t xml:space="preserve">-</t>
        </is>
      </c>
      <c r="G1727" s="5">
        <v>0.07068796000000001</v>
      </c>
      <c r="H1727" s="0" t="inlineStr">
        <is>
          <t xml:space="preserve">supplier</t>
        </is>
      </c>
      <c r="I1727" s="0" t="inlineStr">
        <is>
          <t xml:space="preserve">unbucketed</t>
        </is>
      </c>
      <c r="J1727" s="0" t="inlineStr">
        <is>
          <t xml:space="preserve">residual</t>
        </is>
      </c>
      <c r="K1727" s="5">
        <v>0</v>
      </c>
      <c r="L1727" s="5">
        <v>0</v>
      </c>
      <c r="M1727" s="5">
        <v>0.0</v>
      </c>
      <c r="N1727" s="5">
        <v>0.0</v>
      </c>
      <c r="O1727" s="5">
        <v>0.0</v>
      </c>
      <c r="P1727" s="5">
        <v>0.0</v>
      </c>
      <c r="Q1727" s="5">
        <v>0.0</v>
      </c>
    </row>
    <row r="1728" outlineLevel="1">
      <c r="B1728" s="0" t="inlineStr">
        <is>
          <t xml:space="preserve">ENERGY FOCUS, INC.</t>
        </is>
      </c>
      <c r="C1728" s="0" t="inlineStr">
        <is>
          <t xml:space="preserve">E6ACL8BWKN47</t>
        </is>
      </c>
      <c r="D1728" s="0" t="inlineStr">
        <is>
          <t xml:space="preserve">-</t>
        </is>
      </c>
      <c r="E1728" s="0" t="inlineStr">
        <is>
          <t xml:space="preserve">-</t>
        </is>
      </c>
      <c r="F1728" s="0" t="inlineStr">
        <is>
          <t xml:space="preserve">-</t>
        </is>
      </c>
      <c r="G1728" s="5">
        <v>0.0705</v>
      </c>
      <c r="H1728" s="0" t="inlineStr">
        <is>
          <t xml:space="preserve">supplier</t>
        </is>
      </c>
      <c r="I1728" s="0" t="inlineStr">
        <is>
          <t xml:space="preserve">unbucketed</t>
        </is>
      </c>
      <c r="J1728" s="0" t="inlineStr">
        <is>
          <t xml:space="preserve">residual</t>
        </is>
      </c>
      <c r="K1728" s="5">
        <v>0</v>
      </c>
      <c r="L1728" s="5">
        <v>0</v>
      </c>
      <c r="M1728" s="5">
        <v>0.0705</v>
      </c>
      <c r="N1728" s="5">
        <v>0.0</v>
      </c>
      <c r="O1728" s="5">
        <v>0.0705</v>
      </c>
      <c r="P1728" s="5">
        <v>0.0</v>
      </c>
      <c r="Q1728" s="5">
        <v>0.0</v>
      </c>
    </row>
    <row r="1729" outlineLevel="1">
      <c r="B1729" s="0" t="inlineStr">
        <is>
          <t xml:space="preserve">DEGREE CONTROLS INC.</t>
        </is>
      </c>
      <c r="C1729" s="0" t="inlineStr">
        <is>
          <t xml:space="preserve">JBW7MMLVKDX7</t>
        </is>
      </c>
      <c r="D1729" s="0" t="inlineStr">
        <is>
          <t xml:space="preserve">-</t>
        </is>
      </c>
      <c r="E1729" s="0" t="inlineStr">
        <is>
          <t xml:space="preserve">-</t>
        </is>
      </c>
      <c r="F1729" s="0" t="inlineStr">
        <is>
          <t xml:space="preserve">-</t>
        </is>
      </c>
      <c r="G1729" s="5">
        <v>0.0702</v>
      </c>
      <c r="H1729" s="0" t="inlineStr">
        <is>
          <t xml:space="preserve">supplier</t>
        </is>
      </c>
      <c r="I1729" s="0" t="inlineStr">
        <is>
          <t xml:space="preserve">unbucketed</t>
        </is>
      </c>
      <c r="J1729" s="0" t="inlineStr">
        <is>
          <t xml:space="preserve">residual</t>
        </is>
      </c>
      <c r="K1729" s="5">
        <v>0</v>
      </c>
      <c r="L1729" s="5">
        <v>0</v>
      </c>
      <c r="M1729" s="5">
        <v>0.0</v>
      </c>
      <c r="N1729" s="5">
        <v>0.0</v>
      </c>
      <c r="O1729" s="5">
        <v>0.0</v>
      </c>
      <c r="P1729" s="5">
        <v>0.0</v>
      </c>
      <c r="Q1729" s="5">
        <v>0.0</v>
      </c>
    </row>
    <row r="1730" outlineLevel="1">
      <c r="B1730" s="0" t="inlineStr">
        <is>
          <t xml:space="preserve">PACKAGE DESIGN &amp; SUPPLY CO., INC.</t>
        </is>
      </c>
      <c r="C1730" s="0" t="inlineStr">
        <is>
          <t xml:space="preserve">V31HLGR2A9C4</t>
        </is>
      </c>
      <c r="D1730" s="0" t="inlineStr">
        <is>
          <t xml:space="preserve">-</t>
        </is>
      </c>
      <c r="E1730" s="0" t="inlineStr">
        <is>
          <t xml:space="preserve">-</t>
        </is>
      </c>
      <c r="F1730" s="0" t="inlineStr">
        <is>
          <t xml:space="preserve">-</t>
        </is>
      </c>
      <c r="G1730" s="5">
        <v>0.0700682</v>
      </c>
      <c r="H1730" s="0" t="inlineStr">
        <is>
          <t xml:space="preserve">supplier</t>
        </is>
      </c>
      <c r="I1730" s="0" t="inlineStr">
        <is>
          <t xml:space="preserve">unbucketed</t>
        </is>
      </c>
      <c r="J1730" s="0" t="inlineStr">
        <is>
          <t xml:space="preserve">residual</t>
        </is>
      </c>
      <c r="K1730" s="5">
        <v>0</v>
      </c>
      <c r="L1730" s="5">
        <v>0</v>
      </c>
      <c r="M1730" s="5">
        <v>0.0</v>
      </c>
      <c r="N1730" s="5">
        <v>0.0</v>
      </c>
      <c r="O1730" s="5">
        <v>0.0</v>
      </c>
      <c r="P1730" s="5">
        <v>0.0</v>
      </c>
      <c r="Q1730" s="5">
        <v>0.0</v>
      </c>
    </row>
    <row r="1731" outlineLevel="1">
      <c r="B1731" s="0" t="inlineStr">
        <is>
          <t xml:space="preserve">STERLING COMPUTERS CORP</t>
        </is>
      </c>
      <c r="C1731" s="0" t="inlineStr">
        <is>
          <t xml:space="preserve">YZTLALWM4UC7</t>
        </is>
      </c>
      <c r="D1731" s="0" t="inlineStr">
        <is>
          <t xml:space="preserve">-</t>
        </is>
      </c>
      <c r="E1731" s="0" t="inlineStr">
        <is>
          <t xml:space="preserve">-</t>
        </is>
      </c>
      <c r="F1731" s="0" t="inlineStr">
        <is>
          <t xml:space="preserve">-</t>
        </is>
      </c>
      <c r="G1731" s="5">
        <v>0.06972583</v>
      </c>
      <c r="H1731" s="0" t="inlineStr">
        <is>
          <t xml:space="preserve">supplier</t>
        </is>
      </c>
      <c r="I1731" s="0" t="inlineStr">
        <is>
          <t xml:space="preserve">unbucketed</t>
        </is>
      </c>
      <c r="J1731" s="0" t="inlineStr">
        <is>
          <t xml:space="preserve">residual</t>
        </is>
      </c>
      <c r="K1731" s="5">
        <v>0</v>
      </c>
      <c r="L1731" s="5">
        <v>0</v>
      </c>
      <c r="M1731" s="5">
        <v>0.0</v>
      </c>
      <c r="N1731" s="5">
        <v>0.0</v>
      </c>
      <c r="O1731" s="5">
        <v>0.0</v>
      </c>
      <c r="P1731" s="5">
        <v>0.0</v>
      </c>
      <c r="Q1731" s="5">
        <v>0.0</v>
      </c>
    </row>
    <row r="1732" outlineLevel="1">
      <c r="B1732" s="0" t="inlineStr">
        <is>
          <t xml:space="preserve">REPUBBLICA ITALIANA</t>
        </is>
      </c>
      <c r="C1732" s="0" t="inlineStr">
        <is>
          <t xml:space="preserve">U3MMZ4SBMJJ3</t>
        </is>
      </c>
      <c r="D1732" s="0" t="inlineStr">
        <is>
          <t xml:space="preserve">-</t>
        </is>
      </c>
      <c r="E1732" s="0" t="inlineStr">
        <is>
          <t xml:space="preserve">-</t>
        </is>
      </c>
      <c r="F1732" s="0" t="inlineStr">
        <is>
          <t xml:space="preserve">-</t>
        </is>
      </c>
      <c r="G1732" s="5">
        <v>0.06958492</v>
      </c>
      <c r="H1732" s="0" t="inlineStr">
        <is>
          <t xml:space="preserve">supplier</t>
        </is>
      </c>
      <c r="I1732" s="0" t="inlineStr">
        <is>
          <t xml:space="preserve">unbucketed</t>
        </is>
      </c>
      <c r="J1732" s="0" t="inlineStr">
        <is>
          <t xml:space="preserve">residual</t>
        </is>
      </c>
      <c r="K1732" s="5">
        <v>0</v>
      </c>
      <c r="L1732" s="5">
        <v>0</v>
      </c>
      <c r="M1732" s="5">
        <v>0.06958492</v>
      </c>
      <c r="N1732" s="5">
        <v>0.0</v>
      </c>
      <c r="O1732" s="5">
        <v>0.0</v>
      </c>
      <c r="P1732" s="5">
        <v>0.0</v>
      </c>
      <c r="Q1732" s="5">
        <v>0.0</v>
      </c>
    </row>
    <row r="1733" outlineLevel="1">
      <c r="B1733" s="0" t="inlineStr">
        <is>
          <t xml:space="preserve">BOEING COMPANY, THE</t>
        </is>
      </c>
      <c r="C1733" s="0" t="inlineStr">
        <is>
          <t xml:space="preserve">FBRTAX7SGND3</t>
        </is>
      </c>
      <c r="D1733" s="0" t="inlineStr">
        <is>
          <t xml:space="preserve">-</t>
        </is>
      </c>
      <c r="E1733" s="0" t="inlineStr">
        <is>
          <t xml:space="preserve">-</t>
        </is>
      </c>
      <c r="F1733" s="0" t="inlineStr">
        <is>
          <t xml:space="preserve">-</t>
        </is>
      </c>
      <c r="G1733" s="5">
        <v>0.0695</v>
      </c>
      <c r="H1733" s="0" t="inlineStr">
        <is>
          <t xml:space="preserve">supplier</t>
        </is>
      </c>
      <c r="I1733" s="0" t="inlineStr">
        <is>
          <t xml:space="preserve">unbucketed</t>
        </is>
      </c>
      <c r="J1733" s="0" t="inlineStr">
        <is>
          <t xml:space="preserve">residual</t>
        </is>
      </c>
      <c r="K1733" s="5">
        <v>0</v>
      </c>
      <c r="L1733" s="5">
        <v>0</v>
      </c>
      <c r="M1733" s="5">
        <v>0.0</v>
      </c>
      <c r="N1733" s="5">
        <v>0.0</v>
      </c>
      <c r="O1733" s="5">
        <v>0.0</v>
      </c>
      <c r="P1733" s="5">
        <v>0.0</v>
      </c>
      <c r="Q1733" s="5">
        <v>0.0</v>
      </c>
    </row>
    <row r="1734" outlineLevel="1">
      <c r="B1734" s="0" t="inlineStr">
        <is>
          <t xml:space="preserve">GENERAL DYNAMICS CORP</t>
        </is>
      </c>
      <c r="C1734" s="0" t="inlineStr">
        <is>
          <t xml:space="preserve">FREEMCLKFXE3</t>
        </is>
      </c>
      <c r="D1734" s="0" t="inlineStr">
        <is>
          <t xml:space="preserve">-</t>
        </is>
      </c>
      <c r="E1734" s="0" t="inlineStr">
        <is>
          <t xml:space="preserve">-</t>
        </is>
      </c>
      <c r="F1734" s="0" t="inlineStr">
        <is>
          <t xml:space="preserve">-</t>
        </is>
      </c>
      <c r="G1734" s="5">
        <v>0.06946522000000001</v>
      </c>
      <c r="H1734" s="0" t="inlineStr">
        <is>
          <t xml:space="preserve">prime</t>
        </is>
      </c>
      <c r="I1734" s="0" t="inlineStr">
        <is>
          <t xml:space="preserve">-</t>
        </is>
      </c>
      <c r="J1734" s="0" t="inlineStr">
        <is>
          <t xml:space="preserve">prime/co-prime name</t>
        </is>
      </c>
      <c r="K1734" s="5">
        <v>0</v>
      </c>
      <c r="L1734" s="5">
        <v>0</v>
      </c>
      <c r="M1734" s="5">
        <v>0.0</v>
      </c>
      <c r="N1734" s="5">
        <v>0.0</v>
      </c>
      <c r="O1734" s="5">
        <v>0.0</v>
      </c>
      <c r="P1734" s="5">
        <v>0.0</v>
      </c>
      <c r="Q1734" s="5">
        <v>0.0</v>
      </c>
    </row>
    <row r="1735" outlineLevel="1">
      <c r="B1735" s="0" t="inlineStr">
        <is>
          <t xml:space="preserve">SIRIUS FEDERAL LLC</t>
        </is>
      </c>
      <c r="C1735" s="0" t="inlineStr">
        <is>
          <t xml:space="preserve">MFGMH9R7GMG3</t>
        </is>
      </c>
      <c r="D1735" s="0" t="inlineStr">
        <is>
          <t xml:space="preserve">-</t>
        </is>
      </c>
      <c r="E1735" s="0" t="inlineStr">
        <is>
          <t xml:space="preserve">-</t>
        </is>
      </c>
      <c r="F1735" s="0" t="inlineStr">
        <is>
          <t xml:space="preserve">-</t>
        </is>
      </c>
      <c r="G1735" s="5">
        <v>0.069179</v>
      </c>
      <c r="H1735" s="0" t="inlineStr">
        <is>
          <t xml:space="preserve">supplier</t>
        </is>
      </c>
      <c r="I1735" s="0" t="inlineStr">
        <is>
          <t xml:space="preserve">unbucketed</t>
        </is>
      </c>
      <c r="J1735" s="0" t="inlineStr">
        <is>
          <t xml:space="preserve">residual</t>
        </is>
      </c>
      <c r="K1735" s="5">
        <v>0</v>
      </c>
      <c r="L1735" s="5">
        <v>0</v>
      </c>
      <c r="M1735" s="5">
        <v>0.0</v>
      </c>
      <c r="N1735" s="5">
        <v>0.0</v>
      </c>
      <c r="O1735" s="5">
        <v>0.0</v>
      </c>
      <c r="P1735" s="5">
        <v>0.0</v>
      </c>
      <c r="Q1735" s="5">
        <v>0.0</v>
      </c>
    </row>
    <row r="1736" outlineLevel="1">
      <c r="B1736" s="0" t="inlineStr">
        <is>
          <t xml:space="preserve">LOC PERFORMANCE PRODUCTS LLC</t>
        </is>
      </c>
      <c r="C1736" s="0" t="inlineStr">
        <is>
          <t xml:space="preserve">LTAKXND321V8</t>
        </is>
      </c>
      <c r="D1736" s="0" t="inlineStr">
        <is>
          <t xml:space="preserve">-</t>
        </is>
      </c>
      <c r="E1736" s="0" t="inlineStr">
        <is>
          <t xml:space="preserve">-</t>
        </is>
      </c>
      <c r="F1736" s="0" t="inlineStr">
        <is>
          <t xml:space="preserve">-</t>
        </is>
      </c>
      <c r="G1736" s="5">
        <v>0.0689385</v>
      </c>
      <c r="H1736" s="0" t="inlineStr">
        <is>
          <t xml:space="preserve">supplier</t>
        </is>
      </c>
      <c r="I1736" s="0" t="inlineStr">
        <is>
          <t xml:space="preserve">unbucketed</t>
        </is>
      </c>
      <c r="J1736" s="0" t="inlineStr">
        <is>
          <t xml:space="preserve">residual</t>
        </is>
      </c>
      <c r="K1736" s="5">
        <v>0</v>
      </c>
      <c r="L1736" s="5">
        <v>0</v>
      </c>
      <c r="M1736" s="5">
        <v>0.0</v>
      </c>
      <c r="N1736" s="5">
        <v>0.0</v>
      </c>
      <c r="O1736" s="5">
        <v>0.0</v>
      </c>
      <c r="P1736" s="5">
        <v>0.0</v>
      </c>
      <c r="Q1736" s="5">
        <v>0.0</v>
      </c>
    </row>
    <row r="1737" outlineLevel="1">
      <c r="B1737" s="0" t="inlineStr">
        <is>
          <t xml:space="preserve">WOODWARD GOVERNOR COMPANY</t>
        </is>
      </c>
      <c r="C1737" s="0" t="inlineStr">
        <is>
          <t xml:space="preserve">L4UCL5K5H5J9</t>
        </is>
      </c>
      <c r="D1737" s="0" t="inlineStr">
        <is>
          <t xml:space="preserve">USA</t>
        </is>
      </c>
      <c r="E1737" s="0" t="inlineStr">
        <is>
          <t xml:space="preserve">3364</t>
        </is>
      </c>
      <c r="F1737" s="0" t="inlineStr">
        <is>
          <t xml:space="preserve">Aircraft Engine and Engine Parts Manufacturing</t>
        </is>
      </c>
      <c r="G1737" s="5">
        <v>0.068781</v>
      </c>
      <c r="H1737" s="0" t="inlineStr">
        <is>
          <t xml:space="preserve">supplier</t>
        </is>
      </c>
      <c r="I1737" s="0" t="inlineStr">
        <is>
          <t xml:space="preserve">machining</t>
        </is>
      </c>
      <c r="J1737" s="0" t="inlineStr">
        <is>
          <t xml:space="preserve">registry</t>
        </is>
      </c>
      <c r="K1737" s="5">
        <v>0</v>
      </c>
      <c r="L1737" s="5">
        <v>0</v>
      </c>
      <c r="M1737" s="5">
        <v>0.0</v>
      </c>
      <c r="N1737" s="5">
        <v>0.0</v>
      </c>
      <c r="O1737" s="5">
        <v>0.0</v>
      </c>
      <c r="P1737" s="5">
        <v>0.0</v>
      </c>
      <c r="Q1737" s="5">
        <v>0.0</v>
      </c>
    </row>
    <row r="1738" outlineLevel="1">
      <c r="B1738" s="0" t="inlineStr">
        <is>
          <t xml:space="preserve">ONE WORLD TOUCH, LLC</t>
        </is>
      </c>
      <c r="C1738" s="0" t="inlineStr">
        <is>
          <t xml:space="preserve">WNN1YXZE5NX3</t>
        </is>
      </c>
      <c r="D1738" s="0" t="inlineStr">
        <is>
          <t xml:space="preserve">-</t>
        </is>
      </c>
      <c r="E1738" s="0" t="inlineStr">
        <is>
          <t xml:space="preserve">-</t>
        </is>
      </c>
      <c r="F1738" s="0" t="inlineStr">
        <is>
          <t xml:space="preserve">-</t>
        </is>
      </c>
      <c r="G1738" s="5">
        <v>0.06876</v>
      </c>
      <c r="H1738" s="0" t="inlineStr">
        <is>
          <t xml:space="preserve">supplier</t>
        </is>
      </c>
      <c r="I1738" s="0" t="inlineStr">
        <is>
          <t xml:space="preserve">unbucketed</t>
        </is>
      </c>
      <c r="J1738" s="0" t="inlineStr">
        <is>
          <t xml:space="preserve">residual</t>
        </is>
      </c>
      <c r="K1738" s="5">
        <v>0</v>
      </c>
      <c r="L1738" s="5">
        <v>0</v>
      </c>
      <c r="M1738" s="5">
        <v>0.0</v>
      </c>
      <c r="N1738" s="5">
        <v>0.0</v>
      </c>
      <c r="O1738" s="5">
        <v>0.0</v>
      </c>
      <c r="P1738" s="5">
        <v>0.0</v>
      </c>
      <c r="Q1738" s="5">
        <v>0.0</v>
      </c>
    </row>
    <row r="1739" outlineLevel="1">
      <c r="B1739" s="0" t="inlineStr">
        <is>
          <t xml:space="preserve">STANDARD CALIBRATIONS, INC.</t>
        </is>
      </c>
      <c r="C1739" s="0" t="inlineStr">
        <is>
          <t xml:space="preserve">J2DMF1YRKD96</t>
        </is>
      </c>
      <c r="D1739" s="0" t="inlineStr">
        <is>
          <t xml:space="preserve">-</t>
        </is>
      </c>
      <c r="E1739" s="0" t="inlineStr">
        <is>
          <t xml:space="preserve">-</t>
        </is>
      </c>
      <c r="F1739" s="0" t="inlineStr">
        <is>
          <t xml:space="preserve">-</t>
        </is>
      </c>
      <c r="G1739" s="5">
        <v>0.068302</v>
      </c>
      <c r="H1739" s="0" t="inlineStr">
        <is>
          <t xml:space="preserve">supplier</t>
        </is>
      </c>
      <c r="I1739" s="0" t="inlineStr">
        <is>
          <t xml:space="preserve">unbucketed</t>
        </is>
      </c>
      <c r="J1739" s="0" t="inlineStr">
        <is>
          <t xml:space="preserve">residual</t>
        </is>
      </c>
      <c r="K1739" s="5">
        <v>0</v>
      </c>
      <c r="L1739" s="5">
        <v>0</v>
      </c>
      <c r="M1739" s="5">
        <v>0.0</v>
      </c>
      <c r="N1739" s="5">
        <v>0.0</v>
      </c>
      <c r="O1739" s="5">
        <v>0.0</v>
      </c>
      <c r="P1739" s="5">
        <v>0.0</v>
      </c>
      <c r="Q1739" s="5">
        <v>0.0</v>
      </c>
    </row>
    <row r="1740" outlineLevel="1">
      <c r="B1740" s="0" t="inlineStr">
        <is>
          <t xml:space="preserve">KSARIA SERVICE CORPORATION</t>
        </is>
      </c>
      <c r="C1740" s="0" t="inlineStr">
        <is>
          <t xml:space="preserve">DY2JXQ22MA14</t>
        </is>
      </c>
      <c r="D1740" s="0" t="inlineStr">
        <is>
          <t xml:space="preserve">-</t>
        </is>
      </c>
      <c r="E1740" s="0" t="inlineStr">
        <is>
          <t xml:space="preserve">-</t>
        </is>
      </c>
      <c r="F1740" s="0" t="inlineStr">
        <is>
          <t xml:space="preserve">-</t>
        </is>
      </c>
      <c r="G1740" s="5">
        <v>0.0682817</v>
      </c>
      <c r="H1740" s="0" t="inlineStr">
        <is>
          <t xml:space="preserve">supplier</t>
        </is>
      </c>
      <c r="I1740" s="0" t="inlineStr">
        <is>
          <t xml:space="preserve">electrical</t>
        </is>
      </c>
      <c r="J1740" s="0" t="inlineStr">
        <is>
          <t xml:space="preserve">registry</t>
        </is>
      </c>
      <c r="K1740" s="5">
        <v>0</v>
      </c>
      <c r="L1740" s="5">
        <v>0</v>
      </c>
      <c r="M1740" s="5">
        <v>0.0682817</v>
      </c>
      <c r="N1740" s="5">
        <v>0.0</v>
      </c>
      <c r="O1740" s="5">
        <v>0.0</v>
      </c>
      <c r="P1740" s="5">
        <v>0.0682817</v>
      </c>
      <c r="Q1740" s="5">
        <v>0.0</v>
      </c>
    </row>
    <row r="1741" outlineLevel="1">
      <c r="B1741" s="0" t="inlineStr">
        <is>
          <t xml:space="preserve">HANNA ACQUISITION CORPORATION</t>
        </is>
      </c>
      <c r="C1741" s="0" t="inlineStr">
        <is>
          <t xml:space="preserve">F36XJTSHKRT4</t>
        </is>
      </c>
      <c r="D1741" s="0" t="inlineStr">
        <is>
          <t xml:space="preserve">-</t>
        </is>
      </c>
      <c r="E1741" s="0" t="inlineStr">
        <is>
          <t xml:space="preserve">-</t>
        </is>
      </c>
      <c r="F1741" s="0" t="inlineStr">
        <is>
          <t xml:space="preserve">-</t>
        </is>
      </c>
      <c r="G1741" s="5">
        <v>0.06818872</v>
      </c>
      <c r="H1741" s="0" t="inlineStr">
        <is>
          <t xml:space="preserve">supplier</t>
        </is>
      </c>
      <c r="I1741" s="0" t="inlineStr">
        <is>
          <t xml:space="preserve">unbucketed</t>
        </is>
      </c>
      <c r="J1741" s="0" t="inlineStr">
        <is>
          <t xml:space="preserve">residual</t>
        </is>
      </c>
      <c r="K1741" s="5">
        <v>0</v>
      </c>
      <c r="L1741" s="5">
        <v>0</v>
      </c>
      <c r="M1741" s="5">
        <v>0.0</v>
      </c>
      <c r="N1741" s="5">
        <v>0.0</v>
      </c>
      <c r="O1741" s="5">
        <v>0.0</v>
      </c>
      <c r="P1741" s="5">
        <v>0.0</v>
      </c>
      <c r="Q1741" s="5">
        <v>0.0</v>
      </c>
    </row>
    <row r="1742" outlineLevel="1">
      <c r="B1742" s="0" t="inlineStr">
        <is>
          <t xml:space="preserve">HARY MANUFACTURING INC</t>
        </is>
      </c>
      <c r="C1742" s="0" t="inlineStr">
        <is>
          <t xml:space="preserve">HB98NVXSQ5J9</t>
        </is>
      </c>
      <c r="D1742" s="0" t="inlineStr">
        <is>
          <t xml:space="preserve">-</t>
        </is>
      </c>
      <c r="E1742" s="0" t="inlineStr">
        <is>
          <t xml:space="preserve">-</t>
        </is>
      </c>
      <c r="F1742" s="0" t="inlineStr">
        <is>
          <t xml:space="preserve">-</t>
        </is>
      </c>
      <c r="G1742" s="5">
        <v>0.068087</v>
      </c>
      <c r="H1742" s="0" t="inlineStr">
        <is>
          <t xml:space="preserve">supplier</t>
        </is>
      </c>
      <c r="I1742" s="0" t="inlineStr">
        <is>
          <t xml:space="preserve">unbucketed</t>
        </is>
      </c>
      <c r="J1742" s="0" t="inlineStr">
        <is>
          <t xml:space="preserve">residual</t>
        </is>
      </c>
      <c r="K1742" s="5">
        <v>0</v>
      </c>
      <c r="L1742" s="5">
        <v>0</v>
      </c>
      <c r="M1742" s="5">
        <v>0.0</v>
      </c>
      <c r="N1742" s="5">
        <v>0.0</v>
      </c>
      <c r="O1742" s="5">
        <v>0.0</v>
      </c>
      <c r="P1742" s="5">
        <v>0.0</v>
      </c>
      <c r="Q1742" s="5">
        <v>0.0</v>
      </c>
    </row>
    <row r="1743" outlineLevel="1">
      <c r="B1743" s="0" t="inlineStr">
        <is>
          <t xml:space="preserve">WINCHESTER INTERCONNECT MICRO LLC</t>
        </is>
      </c>
      <c r="C1743" s="0" t="inlineStr">
        <is>
          <t xml:space="preserve">G5GTNMLCCBB3</t>
        </is>
      </c>
      <c r="D1743" s="0" t="inlineStr">
        <is>
          <t xml:space="preserve">-</t>
        </is>
      </c>
      <c r="E1743" s="0" t="inlineStr">
        <is>
          <t xml:space="preserve">-</t>
        </is>
      </c>
      <c r="F1743" s="0" t="inlineStr">
        <is>
          <t xml:space="preserve">-</t>
        </is>
      </c>
      <c r="G1743" s="5">
        <v>0.067987</v>
      </c>
      <c r="H1743" s="0" t="inlineStr">
        <is>
          <t xml:space="preserve">supplier</t>
        </is>
      </c>
      <c r="I1743" s="0" t="inlineStr">
        <is>
          <t xml:space="preserve">unbucketed</t>
        </is>
      </c>
      <c r="J1743" s="0" t="inlineStr">
        <is>
          <t xml:space="preserve">residual</t>
        </is>
      </c>
      <c r="K1743" s="5">
        <v>0</v>
      </c>
      <c r="L1743" s="5">
        <v>0</v>
      </c>
      <c r="M1743" s="5">
        <v>0.0</v>
      </c>
      <c r="N1743" s="5">
        <v>0.0</v>
      </c>
      <c r="O1743" s="5">
        <v>0.0</v>
      </c>
      <c r="P1743" s="5">
        <v>0.0</v>
      </c>
      <c r="Q1743" s="5">
        <v>0.0</v>
      </c>
    </row>
    <row r="1744" outlineLevel="1">
      <c r="B1744" s="0" t="inlineStr">
        <is>
          <t xml:space="preserve">GRACO SUPPLY COMPANY</t>
        </is>
      </c>
      <c r="C1744" s="0" t="inlineStr">
        <is>
          <t xml:space="preserve">RH2YGUKRHD49</t>
        </is>
      </c>
      <c r="D1744" s="0" t="inlineStr">
        <is>
          <t xml:space="preserve">-</t>
        </is>
      </c>
      <c r="E1744" s="0" t="inlineStr">
        <is>
          <t xml:space="preserve">-</t>
        </is>
      </c>
      <c r="F1744" s="0" t="inlineStr">
        <is>
          <t xml:space="preserve">-</t>
        </is>
      </c>
      <c r="G1744" s="5">
        <v>0.067944</v>
      </c>
      <c r="H1744" s="0" t="inlineStr">
        <is>
          <t xml:space="preserve">supplier</t>
        </is>
      </c>
      <c r="I1744" s="0" t="inlineStr">
        <is>
          <t xml:space="preserve">unbucketed</t>
        </is>
      </c>
      <c r="J1744" s="0" t="inlineStr">
        <is>
          <t xml:space="preserve">residual</t>
        </is>
      </c>
      <c r="K1744" s="5">
        <v>0</v>
      </c>
      <c r="L1744" s="5">
        <v>0</v>
      </c>
      <c r="M1744" s="5">
        <v>0.0</v>
      </c>
      <c r="N1744" s="5">
        <v>0.0</v>
      </c>
      <c r="O1744" s="5">
        <v>0.0</v>
      </c>
      <c r="P1744" s="5">
        <v>0.0</v>
      </c>
      <c r="Q1744" s="5">
        <v>0.0</v>
      </c>
    </row>
    <row r="1745" outlineLevel="1">
      <c r="B1745" s="0" t="inlineStr">
        <is>
          <t xml:space="preserve">HUNTER DEFENSE TECHNOLOGIES, INC.</t>
        </is>
      </c>
      <c r="C1745" s="0" t="inlineStr">
        <is>
          <t xml:space="preserve">MNS7TJ9KVTJ1</t>
        </is>
      </c>
      <c r="D1745" s="0" t="inlineStr">
        <is>
          <t xml:space="preserve">-</t>
        </is>
      </c>
      <c r="E1745" s="0" t="inlineStr">
        <is>
          <t xml:space="preserve">-</t>
        </is>
      </c>
      <c r="F1745" s="0" t="inlineStr">
        <is>
          <t xml:space="preserve">-</t>
        </is>
      </c>
      <c r="G1745" s="5">
        <v>0.067797</v>
      </c>
      <c r="H1745" s="0" t="inlineStr">
        <is>
          <t xml:space="preserve">supplier</t>
        </is>
      </c>
      <c r="I1745" s="0" t="inlineStr">
        <is>
          <t xml:space="preserve">unbucketed</t>
        </is>
      </c>
      <c r="J1745" s="0" t="inlineStr">
        <is>
          <t xml:space="preserve">residual</t>
        </is>
      </c>
      <c r="K1745" s="5">
        <v>0</v>
      </c>
      <c r="L1745" s="5">
        <v>0</v>
      </c>
      <c r="M1745" s="5">
        <v>0.067797</v>
      </c>
      <c r="N1745" s="5">
        <v>0.0</v>
      </c>
      <c r="O1745" s="5">
        <v>0.067797</v>
      </c>
      <c r="P1745" s="5">
        <v>0.0</v>
      </c>
      <c r="Q1745" s="5">
        <v>0.0</v>
      </c>
    </row>
    <row r="1746" outlineLevel="1">
      <c r="B1746" s="0" t="inlineStr">
        <is>
          <t xml:space="preserve">SDM AND ASSOCIATES, INC.</t>
        </is>
      </c>
      <c r="C1746" s="0" t="inlineStr">
        <is>
          <t xml:space="preserve">KBE7KDEZNML9</t>
        </is>
      </c>
      <c r="D1746" s="0" t="inlineStr">
        <is>
          <t xml:space="preserve">-</t>
        </is>
      </c>
      <c r="E1746" s="0" t="inlineStr">
        <is>
          <t xml:space="preserve">-</t>
        </is>
      </c>
      <c r="F1746" s="0" t="inlineStr">
        <is>
          <t xml:space="preserve">-</t>
        </is>
      </c>
      <c r="G1746" s="5">
        <v>0.06778100000000001</v>
      </c>
      <c r="H1746" s="0" t="inlineStr">
        <is>
          <t xml:space="preserve">supplier</t>
        </is>
      </c>
      <c r="I1746" s="0" t="inlineStr">
        <is>
          <t xml:space="preserve">unbucketed</t>
        </is>
      </c>
      <c r="J1746" s="0" t="inlineStr">
        <is>
          <t xml:space="preserve">residual</t>
        </is>
      </c>
      <c r="K1746" s="5">
        <v>0</v>
      </c>
      <c r="L1746" s="5">
        <v>0</v>
      </c>
      <c r="M1746" s="5">
        <v>0.0</v>
      </c>
      <c r="N1746" s="5">
        <v>0.0</v>
      </c>
      <c r="O1746" s="5">
        <v>0.0</v>
      </c>
      <c r="P1746" s="5">
        <v>0.0</v>
      </c>
      <c r="Q1746" s="5">
        <v>0.0</v>
      </c>
    </row>
    <row r="1747" outlineLevel="1">
      <c r="B1747" s="0" t="inlineStr">
        <is>
          <t xml:space="preserve">CRITICAL IO, LLC</t>
        </is>
      </c>
      <c r="C1747" s="0" t="inlineStr">
        <is>
          <t xml:space="preserve">KK62PWHW5ZR8</t>
        </is>
      </c>
      <c r="D1747" s="0" t="inlineStr">
        <is>
          <t xml:space="preserve">-</t>
        </is>
      </c>
      <c r="E1747" s="0" t="inlineStr">
        <is>
          <t xml:space="preserve">-</t>
        </is>
      </c>
      <c r="F1747" s="0" t="inlineStr">
        <is>
          <t xml:space="preserve">-</t>
        </is>
      </c>
      <c r="G1747" s="5">
        <v>0.06759</v>
      </c>
      <c r="H1747" s="0" t="inlineStr">
        <is>
          <t xml:space="preserve">supplier</t>
        </is>
      </c>
      <c r="I1747" s="0" t="inlineStr">
        <is>
          <t xml:space="preserve">unbucketed</t>
        </is>
      </c>
      <c r="J1747" s="0" t="inlineStr">
        <is>
          <t xml:space="preserve">residual</t>
        </is>
      </c>
      <c r="K1747" s="5">
        <v>0</v>
      </c>
      <c r="L1747" s="5">
        <v>0</v>
      </c>
      <c r="M1747" s="5">
        <v>0.0</v>
      </c>
      <c r="N1747" s="5">
        <v>0.0</v>
      </c>
      <c r="O1747" s="5">
        <v>0.0</v>
      </c>
      <c r="P1747" s="5">
        <v>0.0</v>
      </c>
      <c r="Q1747" s="5">
        <v>0.0</v>
      </c>
    </row>
    <row r="1748" outlineLevel="1">
      <c r="B1748" s="0" t="inlineStr">
        <is>
          <t xml:space="preserve">JOHNSON CONTROLS INTERNATIONAL PUBLIC LIMITED COMPANY</t>
        </is>
      </c>
      <c r="C1748" s="0" t="inlineStr">
        <is>
          <t xml:space="preserve">G15SWMLGAX81</t>
        </is>
      </c>
      <c r="D1748" s="0" t="inlineStr">
        <is>
          <t xml:space="preserve">-</t>
        </is>
      </c>
      <c r="E1748" s="0" t="inlineStr">
        <is>
          <t xml:space="preserve">-</t>
        </is>
      </c>
      <c r="F1748" s="0" t="inlineStr">
        <is>
          <t xml:space="preserve">-</t>
        </is>
      </c>
      <c r="G1748" s="5">
        <v>0.06753</v>
      </c>
      <c r="H1748" s="0" t="inlineStr">
        <is>
          <t xml:space="preserve">supplier</t>
        </is>
      </c>
      <c r="I1748" s="0" t="inlineStr">
        <is>
          <t xml:space="preserve">unbucketed</t>
        </is>
      </c>
      <c r="J1748" s="0" t="inlineStr">
        <is>
          <t xml:space="preserve">residual</t>
        </is>
      </c>
      <c r="K1748" s="5">
        <v>0</v>
      </c>
      <c r="L1748" s="5">
        <v>0</v>
      </c>
      <c r="M1748" s="5">
        <v>0.0</v>
      </c>
      <c r="N1748" s="5">
        <v>0.0</v>
      </c>
      <c r="O1748" s="5">
        <v>0.0</v>
      </c>
      <c r="P1748" s="5">
        <v>0.0</v>
      </c>
      <c r="Q1748" s="5">
        <v>0.0</v>
      </c>
    </row>
    <row r="1749" outlineLevel="1">
      <c r="B1749" s="0" t="inlineStr">
        <is>
          <t xml:space="preserve">PUROLATOR FACET, INC.</t>
        </is>
      </c>
      <c r="C1749" s="0" t="inlineStr">
        <is>
          <t xml:space="preserve">QF82VVEDYFC3</t>
        </is>
      </c>
      <c r="D1749" s="0" t="inlineStr">
        <is>
          <t xml:space="preserve">-</t>
        </is>
      </c>
      <c r="E1749" s="0" t="inlineStr">
        <is>
          <t xml:space="preserve">-</t>
        </is>
      </c>
      <c r="F1749" s="0" t="inlineStr">
        <is>
          <t xml:space="preserve">-</t>
        </is>
      </c>
      <c r="G1749" s="5">
        <v>0.06723583999999999</v>
      </c>
      <c r="H1749" s="0" t="inlineStr">
        <is>
          <t xml:space="preserve">supplier</t>
        </is>
      </c>
      <c r="I1749" s="0" t="inlineStr">
        <is>
          <t xml:space="preserve">unbucketed</t>
        </is>
      </c>
      <c r="J1749" s="0" t="inlineStr">
        <is>
          <t xml:space="preserve">residual</t>
        </is>
      </c>
      <c r="K1749" s="5">
        <v>0</v>
      </c>
      <c r="L1749" s="5">
        <v>0</v>
      </c>
      <c r="M1749" s="5">
        <v>0.0</v>
      </c>
      <c r="N1749" s="5">
        <v>0.0</v>
      </c>
      <c r="O1749" s="5">
        <v>0.0</v>
      </c>
      <c r="P1749" s="5">
        <v>0.0</v>
      </c>
      <c r="Q1749" s="5">
        <v>0.0</v>
      </c>
    </row>
    <row r="1750" outlineLevel="1">
      <c r="B1750" s="0" t="inlineStr">
        <is>
          <t xml:space="preserve">FORENTA LP</t>
        </is>
      </c>
      <c r="C1750" s="0" t="inlineStr">
        <is>
          <t xml:space="preserve">GU9WXNREUPZ1</t>
        </is>
      </c>
      <c r="D1750" s="0" t="inlineStr">
        <is>
          <t xml:space="preserve">-</t>
        </is>
      </c>
      <c r="E1750" s="0" t="inlineStr">
        <is>
          <t xml:space="preserve">-</t>
        </is>
      </c>
      <c r="F1750" s="0" t="inlineStr">
        <is>
          <t xml:space="preserve">-</t>
        </is>
      </c>
      <c r="G1750" s="5">
        <v>0.06718</v>
      </c>
      <c r="H1750" s="0" t="inlineStr">
        <is>
          <t xml:space="preserve">supplier</t>
        </is>
      </c>
      <c r="I1750" s="0" t="inlineStr">
        <is>
          <t xml:space="preserve">unbucketed</t>
        </is>
      </c>
      <c r="J1750" s="0" t="inlineStr">
        <is>
          <t xml:space="preserve">residual</t>
        </is>
      </c>
      <c r="K1750" s="5">
        <v>0</v>
      </c>
      <c r="L1750" s="5">
        <v>0</v>
      </c>
      <c r="M1750" s="5">
        <v>0.06718</v>
      </c>
      <c r="N1750" s="5">
        <v>0.0</v>
      </c>
      <c r="O1750" s="5">
        <v>0.03359</v>
      </c>
      <c r="P1750" s="5">
        <v>0.03359</v>
      </c>
      <c r="Q1750" s="5">
        <v>0.0</v>
      </c>
    </row>
    <row r="1751" outlineLevel="1">
      <c r="B1751" s="0" t="inlineStr">
        <is>
          <t xml:space="preserve">VELAN INC</t>
        </is>
      </c>
      <c r="C1751" s="0" t="inlineStr">
        <is>
          <t xml:space="preserve">FYS6F3284LN3</t>
        </is>
      </c>
      <c r="D1751" s="0" t="inlineStr">
        <is>
          <t xml:space="preserve">-</t>
        </is>
      </c>
      <c r="E1751" s="0" t="inlineStr">
        <is>
          <t xml:space="preserve">-</t>
        </is>
      </c>
      <c r="F1751" s="0" t="inlineStr">
        <is>
          <t xml:space="preserve">-</t>
        </is>
      </c>
      <c r="G1751" s="5">
        <v>0.067</v>
      </c>
      <c r="H1751" s="0" t="inlineStr">
        <is>
          <t xml:space="preserve">supplier</t>
        </is>
      </c>
      <c r="I1751" s="0" t="inlineStr">
        <is>
          <t xml:space="preserve">unbucketed</t>
        </is>
      </c>
      <c r="J1751" s="0" t="inlineStr">
        <is>
          <t xml:space="preserve">residual</t>
        </is>
      </c>
      <c r="K1751" s="5">
        <v>0</v>
      </c>
      <c r="L1751" s="5">
        <v>0</v>
      </c>
      <c r="M1751" s="5">
        <v>0.067</v>
      </c>
      <c r="N1751" s="5">
        <v>0.0</v>
      </c>
      <c r="O1751" s="5">
        <v>0.0</v>
      </c>
      <c r="P1751" s="5">
        <v>0.0</v>
      </c>
      <c r="Q1751" s="5">
        <v>0.0</v>
      </c>
    </row>
    <row r="1752" outlineLevel="1">
      <c r="B1752" s="0" t="inlineStr">
        <is>
          <t xml:space="preserve">C &amp; D ELECTRONICS, INC.</t>
        </is>
      </c>
      <c r="C1752" s="0" t="inlineStr">
        <is>
          <t xml:space="preserve">Z59EYJJGPW94</t>
        </is>
      </c>
      <c r="D1752" s="0" t="inlineStr">
        <is>
          <t xml:space="preserve">-</t>
        </is>
      </c>
      <c r="E1752" s="0" t="inlineStr">
        <is>
          <t xml:space="preserve">-</t>
        </is>
      </c>
      <c r="F1752" s="0" t="inlineStr">
        <is>
          <t xml:space="preserve">-</t>
        </is>
      </c>
      <c r="G1752" s="5">
        <v>0.066994</v>
      </c>
      <c r="H1752" s="0" t="inlineStr">
        <is>
          <t xml:space="preserve">supplier</t>
        </is>
      </c>
      <c r="I1752" s="0" t="inlineStr">
        <is>
          <t xml:space="preserve">unbucketed</t>
        </is>
      </c>
      <c r="J1752" s="0" t="inlineStr">
        <is>
          <t xml:space="preserve">residual</t>
        </is>
      </c>
      <c r="K1752" s="5">
        <v>0</v>
      </c>
      <c r="L1752" s="5">
        <v>0</v>
      </c>
      <c r="M1752" s="5">
        <v>0.0</v>
      </c>
      <c r="N1752" s="5">
        <v>0.0</v>
      </c>
      <c r="O1752" s="5">
        <v>0.0</v>
      </c>
      <c r="P1752" s="5">
        <v>0.0</v>
      </c>
      <c r="Q1752" s="5">
        <v>0.0</v>
      </c>
    </row>
    <row r="1753" outlineLevel="1">
      <c r="B1753" s="0" t="inlineStr">
        <is>
          <t xml:space="preserve">NTS TECHNICAL SYSTEMS, LLC.</t>
        </is>
      </c>
      <c r="C1753" s="0" t="inlineStr">
        <is>
          <t xml:space="preserve">VBFXNRMUYSK6</t>
        </is>
      </c>
      <c r="D1753" s="0" t="inlineStr">
        <is>
          <t xml:space="preserve">-</t>
        </is>
      </c>
      <c r="E1753" s="0" t="inlineStr">
        <is>
          <t xml:space="preserve">-</t>
        </is>
      </c>
      <c r="F1753" s="0" t="inlineStr">
        <is>
          <t xml:space="preserve">-</t>
        </is>
      </c>
      <c r="G1753" s="5">
        <v>0.0669</v>
      </c>
      <c r="H1753" s="0" t="inlineStr">
        <is>
          <t xml:space="preserve">supplier</t>
        </is>
      </c>
      <c r="I1753" s="0" t="inlineStr">
        <is>
          <t xml:space="preserve">unbucketed</t>
        </is>
      </c>
      <c r="J1753" s="0" t="inlineStr">
        <is>
          <t xml:space="preserve">residual</t>
        </is>
      </c>
      <c r="K1753" s="5">
        <v>0</v>
      </c>
      <c r="L1753" s="5">
        <v>0</v>
      </c>
      <c r="M1753" s="5">
        <v>0.0</v>
      </c>
      <c r="N1753" s="5">
        <v>0.0</v>
      </c>
      <c r="O1753" s="5">
        <v>0.0</v>
      </c>
      <c r="P1753" s="5">
        <v>0.0</v>
      </c>
      <c r="Q1753" s="5">
        <v>0.0</v>
      </c>
    </row>
    <row r="1754" outlineLevel="1">
      <c r="B1754" s="0" t="inlineStr">
        <is>
          <t xml:space="preserve">MARINE OIL SERVICE, INC.</t>
        </is>
      </c>
      <c r="C1754" s="0" t="inlineStr">
        <is>
          <t xml:space="preserve">LMF4ZD993JU5</t>
        </is>
      </c>
      <c r="D1754" s="0" t="inlineStr">
        <is>
          <t xml:space="preserve">-</t>
        </is>
      </c>
      <c r="E1754" s="0" t="inlineStr">
        <is>
          <t xml:space="preserve">-</t>
        </is>
      </c>
      <c r="F1754" s="0" t="inlineStr">
        <is>
          <t xml:space="preserve">-</t>
        </is>
      </c>
      <c r="G1754" s="5">
        <v>0.066885</v>
      </c>
      <c r="H1754" s="0" t="inlineStr">
        <is>
          <t xml:space="preserve">supplier</t>
        </is>
      </c>
      <c r="I1754" s="0" t="inlineStr">
        <is>
          <t xml:space="preserve">unbucketed</t>
        </is>
      </c>
      <c r="J1754" s="0" t="inlineStr">
        <is>
          <t xml:space="preserve">residual</t>
        </is>
      </c>
      <c r="K1754" s="5">
        <v>0</v>
      </c>
      <c r="L1754" s="5">
        <v>0</v>
      </c>
      <c r="M1754" s="5">
        <v>0.0</v>
      </c>
      <c r="N1754" s="5">
        <v>0.0</v>
      </c>
      <c r="O1754" s="5">
        <v>0.0</v>
      </c>
      <c r="P1754" s="5">
        <v>0.0</v>
      </c>
      <c r="Q1754" s="5">
        <v>0.0</v>
      </c>
    </row>
    <row r="1755" outlineLevel="1">
      <c r="B1755" s="0" t="inlineStr">
        <is>
          <t xml:space="preserve">GULF SALES AND SUPPLY, INCORPORATED</t>
        </is>
      </c>
      <c r="C1755" s="0" t="inlineStr">
        <is>
          <t xml:space="preserve">K7L6DELLDU47</t>
        </is>
      </c>
      <c r="D1755" s="0" t="inlineStr">
        <is>
          <t xml:space="preserve">-</t>
        </is>
      </c>
      <c r="E1755" s="0" t="inlineStr">
        <is>
          <t xml:space="preserve">-</t>
        </is>
      </c>
      <c r="F1755" s="0" t="inlineStr">
        <is>
          <t xml:space="preserve">-</t>
        </is>
      </c>
      <c r="G1755" s="5">
        <v>0.066845</v>
      </c>
      <c r="H1755" s="0" t="inlineStr">
        <is>
          <t xml:space="preserve">supplier</t>
        </is>
      </c>
      <c r="I1755" s="0" t="inlineStr">
        <is>
          <t xml:space="preserve">unbucketed</t>
        </is>
      </c>
      <c r="J1755" s="0" t="inlineStr">
        <is>
          <t xml:space="preserve">residual</t>
        </is>
      </c>
      <c r="K1755" s="5">
        <v>0</v>
      </c>
      <c r="L1755" s="5">
        <v>0</v>
      </c>
      <c r="M1755" s="5">
        <v>0.066845</v>
      </c>
      <c r="N1755" s="5">
        <v>0.0</v>
      </c>
      <c r="O1755" s="5">
        <v>0.0</v>
      </c>
      <c r="P1755" s="5">
        <v>0.0</v>
      </c>
      <c r="Q1755" s="5">
        <v>0.0</v>
      </c>
    </row>
    <row r="1756" outlineLevel="1">
      <c r="B1756" s="0" t="inlineStr">
        <is>
          <t xml:space="preserve">GREMADA INDUSTRIES, INC.</t>
        </is>
      </c>
      <c r="C1756" s="0" t="inlineStr">
        <is>
          <t xml:space="preserve">N74HK2DV6LN5</t>
        </is>
      </c>
      <c r="D1756" s="0" t="inlineStr">
        <is>
          <t xml:space="preserve">USA</t>
        </is>
      </c>
      <c r="E1756" s="0" t="inlineStr">
        <is>
          <t xml:space="preserve">5511</t>
        </is>
      </c>
      <c r="F1756" s="0" t="inlineStr">
        <is>
          <t xml:space="preserve">Corporate, Subsidiary, and Regional Managing Offices</t>
        </is>
      </c>
      <c r="G1756" s="5">
        <v>0.066584</v>
      </c>
      <c r="H1756" s="0" t="inlineStr">
        <is>
          <t xml:space="preserve">holding</t>
        </is>
      </c>
      <c r="I1756" s="0" t="inlineStr">
        <is>
          <t xml:space="preserve">-</t>
        </is>
      </c>
      <c r="J1756" s="0" t="inlineStr">
        <is>
          <t xml:space="preserve">holding-co (5511)</t>
        </is>
      </c>
      <c r="K1756" s="5">
        <v>0</v>
      </c>
      <c r="L1756" s="5">
        <v>0</v>
      </c>
      <c r="M1756" s="5">
        <v>0.0</v>
      </c>
      <c r="N1756" s="5">
        <v>0.0</v>
      </c>
      <c r="O1756" s="5">
        <v>0.0</v>
      </c>
      <c r="P1756" s="5">
        <v>0.0</v>
      </c>
      <c r="Q1756" s="5">
        <v>0.0</v>
      </c>
    </row>
    <row r="1757" outlineLevel="1">
      <c r="B1757" s="0" t="inlineStr">
        <is>
          <t xml:space="preserve">AKZO NOBEL N.V.</t>
        </is>
      </c>
      <c r="C1757" s="0" t="inlineStr">
        <is>
          <t xml:space="preserve">VS7NBJG314R6</t>
        </is>
      </c>
      <c r="D1757" s="0" t="inlineStr">
        <is>
          <t xml:space="preserve">-</t>
        </is>
      </c>
      <c r="E1757" s="0" t="inlineStr">
        <is>
          <t xml:space="preserve">-</t>
        </is>
      </c>
      <c r="F1757" s="0" t="inlineStr">
        <is>
          <t xml:space="preserve">-</t>
        </is>
      </c>
      <c r="G1757" s="5">
        <v>0.066545</v>
      </c>
      <c r="H1757" s="0" t="inlineStr">
        <is>
          <t xml:space="preserve">supplier</t>
        </is>
      </c>
      <c r="I1757" s="0" t="inlineStr">
        <is>
          <t xml:space="preserve">unbucketed</t>
        </is>
      </c>
      <c r="J1757" s="0" t="inlineStr">
        <is>
          <t xml:space="preserve">residual</t>
        </is>
      </c>
      <c r="K1757" s="5">
        <v>0</v>
      </c>
      <c r="L1757" s="5">
        <v>0</v>
      </c>
      <c r="M1757" s="5">
        <v>0.0</v>
      </c>
      <c r="N1757" s="5">
        <v>0.0</v>
      </c>
      <c r="O1757" s="5">
        <v>0.0</v>
      </c>
      <c r="P1757" s="5">
        <v>0.0</v>
      </c>
      <c r="Q1757" s="5">
        <v>0.0</v>
      </c>
    </row>
    <row r="1758" outlineLevel="1">
      <c r="B1758" s="0" t="inlineStr">
        <is>
          <t xml:space="preserve">JUDGE TECHNICAL SERVICES INC</t>
        </is>
      </c>
      <c r="C1758" s="0" t="inlineStr">
        <is>
          <t xml:space="preserve">ZTFGC4Q5RFB5</t>
        </is>
      </c>
      <c r="D1758" s="0" t="inlineStr">
        <is>
          <t xml:space="preserve">-</t>
        </is>
      </c>
      <c r="E1758" s="0" t="inlineStr">
        <is>
          <t xml:space="preserve">-</t>
        </is>
      </c>
      <c r="F1758" s="0" t="inlineStr">
        <is>
          <t xml:space="preserve">-</t>
        </is>
      </c>
      <c r="G1758" s="5">
        <v>0.066219</v>
      </c>
      <c r="H1758" s="0" t="inlineStr">
        <is>
          <t xml:space="preserve">supplier</t>
        </is>
      </c>
      <c r="I1758" s="0" t="inlineStr">
        <is>
          <t xml:space="preserve">unbucketed</t>
        </is>
      </c>
      <c r="J1758" s="0" t="inlineStr">
        <is>
          <t xml:space="preserve">residual</t>
        </is>
      </c>
      <c r="K1758" s="5">
        <v>0</v>
      </c>
      <c r="L1758" s="5">
        <v>0</v>
      </c>
      <c r="M1758" s="5">
        <v>0.0</v>
      </c>
      <c r="N1758" s="5">
        <v>0.0</v>
      </c>
      <c r="O1758" s="5">
        <v>0.0</v>
      </c>
      <c r="P1758" s="5">
        <v>0.0</v>
      </c>
      <c r="Q1758" s="5">
        <v>0.0</v>
      </c>
    </row>
    <row r="1759" outlineLevel="1">
      <c r="B1759" s="0" t="inlineStr">
        <is>
          <t xml:space="preserve">WILLSCOT MOBILE MINI HOLDINGS CORP.</t>
        </is>
      </c>
      <c r="C1759" s="0" t="inlineStr">
        <is>
          <t xml:space="preserve">URUVKGK3FTV1</t>
        </is>
      </c>
      <c r="D1759" s="0" t="inlineStr">
        <is>
          <t xml:space="preserve">-</t>
        </is>
      </c>
      <c r="E1759" s="0" t="inlineStr">
        <is>
          <t xml:space="preserve">-</t>
        </is>
      </c>
      <c r="F1759" s="0" t="inlineStr">
        <is>
          <t xml:space="preserve">-</t>
        </is>
      </c>
      <c r="G1759" s="5">
        <v>0.066151</v>
      </c>
      <c r="H1759" s="0" t="inlineStr">
        <is>
          <t xml:space="preserve">supplier</t>
        </is>
      </c>
      <c r="I1759" s="0" t="inlineStr">
        <is>
          <t xml:space="preserve">unbucketed</t>
        </is>
      </c>
      <c r="J1759" s="0" t="inlineStr">
        <is>
          <t xml:space="preserve">residual</t>
        </is>
      </c>
      <c r="K1759" s="5">
        <v>0</v>
      </c>
      <c r="L1759" s="5">
        <v>0</v>
      </c>
      <c r="M1759" s="5">
        <v>0.0</v>
      </c>
      <c r="N1759" s="5">
        <v>0.0</v>
      </c>
      <c r="O1759" s="5">
        <v>0.0</v>
      </c>
      <c r="P1759" s="5">
        <v>0.0</v>
      </c>
      <c r="Q1759" s="5">
        <v>0.0</v>
      </c>
    </row>
    <row r="1760" outlineLevel="1">
      <c r="B1760" s="0" t="inlineStr">
        <is>
          <t xml:space="preserve">XYLEM INC</t>
        </is>
      </c>
      <c r="C1760" s="0" t="inlineStr">
        <is>
          <t xml:space="preserve">XJWLF38U74P3</t>
        </is>
      </c>
      <c r="D1760" s="0" t="inlineStr">
        <is>
          <t xml:space="preserve">-</t>
        </is>
      </c>
      <c r="E1760" s="0" t="inlineStr">
        <is>
          <t xml:space="preserve">-</t>
        </is>
      </c>
      <c r="F1760" s="0" t="inlineStr">
        <is>
          <t xml:space="preserve">-</t>
        </is>
      </c>
      <c r="G1760" s="5">
        <v>0.06607</v>
      </c>
      <c r="H1760" s="0" t="inlineStr">
        <is>
          <t xml:space="preserve">supplier</t>
        </is>
      </c>
      <c r="I1760" s="0" t="inlineStr">
        <is>
          <t xml:space="preserve">unbucketed</t>
        </is>
      </c>
      <c r="J1760" s="0" t="inlineStr">
        <is>
          <t xml:space="preserve">residual</t>
        </is>
      </c>
      <c r="K1760" s="5">
        <v>0</v>
      </c>
      <c r="L1760" s="5">
        <v>0</v>
      </c>
      <c r="M1760" s="5">
        <v>0.0</v>
      </c>
      <c r="N1760" s="5">
        <v>0.0</v>
      </c>
      <c r="O1760" s="5">
        <v>0.0</v>
      </c>
      <c r="P1760" s="5">
        <v>0.0</v>
      </c>
      <c r="Q1760" s="5">
        <v>0.0</v>
      </c>
    </row>
    <row r="1761" outlineLevel="1">
      <c r="B1761" s="0" t="inlineStr">
        <is>
          <t xml:space="preserve">RAKON LIMITED</t>
        </is>
      </c>
      <c r="C1761" s="0" t="inlineStr">
        <is>
          <t xml:space="preserve">KGB1YRCN7EJ5</t>
        </is>
      </c>
      <c r="D1761" s="0" t="inlineStr">
        <is>
          <t xml:space="preserve">Foreign</t>
        </is>
      </c>
      <c r="E1761" s="0" t="inlineStr">
        <is>
          <t xml:space="preserve">-</t>
        </is>
      </c>
      <c r="F1761" s="0" t="inlineStr">
        <is>
          <t xml:space="preserve">-</t>
        </is>
      </c>
      <c r="G1761" s="5">
        <v>0.065585</v>
      </c>
      <c r="H1761" s="0" t="inlineStr">
        <is>
          <t xml:space="preserve">foreign_fms</t>
        </is>
      </c>
      <c r="I1761" s="0" t="inlineStr">
        <is>
          <t xml:space="preserve">-</t>
        </is>
      </c>
      <c r="J1761" s="0" t="inlineStr">
        <is>
          <t xml:space="preserve">foreign flag</t>
        </is>
      </c>
      <c r="K1761" s="5">
        <v>0</v>
      </c>
      <c r="L1761" s="5">
        <v>0</v>
      </c>
      <c r="M1761" s="5">
        <v>0.0</v>
      </c>
      <c r="N1761" s="5">
        <v>0.0</v>
      </c>
      <c r="O1761" s="5">
        <v>0.0</v>
      </c>
      <c r="P1761" s="5">
        <v>0.0</v>
      </c>
      <c r="Q1761" s="5">
        <v>0.0</v>
      </c>
    </row>
    <row r="1762" outlineLevel="1">
      <c r="B1762" s="0" t="inlineStr">
        <is>
          <t xml:space="preserve">ACTALENT SERVICES, LLC</t>
        </is>
      </c>
      <c r="C1762" s="0" t="inlineStr">
        <is>
          <t xml:space="preserve">QN9KJUNEHU44</t>
        </is>
      </c>
      <c r="D1762" s="0" t="inlineStr">
        <is>
          <t xml:space="preserve">-</t>
        </is>
      </c>
      <c r="E1762" s="0" t="inlineStr">
        <is>
          <t xml:space="preserve">-</t>
        </is>
      </c>
      <c r="F1762" s="0" t="inlineStr">
        <is>
          <t xml:space="preserve">-</t>
        </is>
      </c>
      <c r="G1762" s="5">
        <v>0.0654925</v>
      </c>
      <c r="H1762" s="0" t="inlineStr">
        <is>
          <t xml:space="preserve">supplier</t>
        </is>
      </c>
      <c r="I1762" s="0" t="inlineStr">
        <is>
          <t xml:space="preserve">unbucketed</t>
        </is>
      </c>
      <c r="J1762" s="0" t="inlineStr">
        <is>
          <t xml:space="preserve">residual</t>
        </is>
      </c>
      <c r="K1762" s="5">
        <v>0</v>
      </c>
      <c r="L1762" s="5">
        <v>0</v>
      </c>
      <c r="M1762" s="5">
        <v>0.0</v>
      </c>
      <c r="N1762" s="5">
        <v>0.0</v>
      </c>
      <c r="O1762" s="5">
        <v>0.0</v>
      </c>
      <c r="P1762" s="5">
        <v>0.0</v>
      </c>
      <c r="Q1762" s="5">
        <v>0.0</v>
      </c>
    </row>
    <row r="1763" outlineLevel="1">
      <c r="B1763" s="0" t="inlineStr">
        <is>
          <t xml:space="preserve">DRY ICE BLASTING OF WESTCHESTER LLC</t>
        </is>
      </c>
      <c r="C1763" s="0" t="inlineStr">
        <is>
          <t xml:space="preserve">V98MJA1ETKV1</t>
        </is>
      </c>
      <c r="D1763" s="0" t="inlineStr">
        <is>
          <t xml:space="preserve">-</t>
        </is>
      </c>
      <c r="E1763" s="0" t="inlineStr">
        <is>
          <t xml:space="preserve">-</t>
        </is>
      </c>
      <c r="F1763" s="0" t="inlineStr">
        <is>
          <t xml:space="preserve">-</t>
        </is>
      </c>
      <c r="G1763" s="5">
        <v>0.0652</v>
      </c>
      <c r="H1763" s="0" t="inlineStr">
        <is>
          <t xml:space="preserve">supplier</t>
        </is>
      </c>
      <c r="I1763" s="0" t="inlineStr">
        <is>
          <t xml:space="preserve">unbucketed</t>
        </is>
      </c>
      <c r="J1763" s="0" t="inlineStr">
        <is>
          <t xml:space="preserve">residual</t>
        </is>
      </c>
      <c r="K1763" s="5">
        <v>0</v>
      </c>
      <c r="L1763" s="5">
        <v>0</v>
      </c>
      <c r="M1763" s="5">
        <v>0.0</v>
      </c>
      <c r="N1763" s="5">
        <v>0.0</v>
      </c>
      <c r="O1763" s="5">
        <v>0.0</v>
      </c>
      <c r="P1763" s="5">
        <v>0.0</v>
      </c>
      <c r="Q1763" s="5">
        <v>0.0</v>
      </c>
    </row>
    <row r="1764" outlineLevel="1">
      <c r="B1764" s="0" t="inlineStr">
        <is>
          <t xml:space="preserve">ES BETA INC</t>
        </is>
      </c>
      <c r="C1764" s="0" t="inlineStr">
        <is>
          <t xml:space="preserve">QHM2PDDGFVN5</t>
        </is>
      </c>
      <c r="D1764" s="0" t="inlineStr">
        <is>
          <t xml:space="preserve">-</t>
        </is>
      </c>
      <c r="E1764" s="0" t="inlineStr">
        <is>
          <t xml:space="preserve">-</t>
        </is>
      </c>
      <c r="F1764" s="0" t="inlineStr">
        <is>
          <t xml:space="preserve">-</t>
        </is>
      </c>
      <c r="G1764" s="5">
        <v>0.0648</v>
      </c>
      <c r="H1764" s="0" t="inlineStr">
        <is>
          <t xml:space="preserve">supplier</t>
        </is>
      </c>
      <c r="I1764" s="0" t="inlineStr">
        <is>
          <t xml:space="preserve">unbucketed</t>
        </is>
      </c>
      <c r="J1764" s="0" t="inlineStr">
        <is>
          <t xml:space="preserve">residual</t>
        </is>
      </c>
      <c r="K1764" s="5">
        <v>0</v>
      </c>
      <c r="L1764" s="5">
        <v>0</v>
      </c>
      <c r="M1764" s="5">
        <v>0.0</v>
      </c>
      <c r="N1764" s="5">
        <v>0.0</v>
      </c>
      <c r="O1764" s="5">
        <v>0.0</v>
      </c>
      <c r="P1764" s="5">
        <v>0.0</v>
      </c>
      <c r="Q1764" s="5">
        <v>0.0</v>
      </c>
    </row>
    <row r="1765" outlineLevel="1">
      <c r="B1765" s="0" t="inlineStr">
        <is>
          <t xml:space="preserve">CRESTWOOD TECHNOLOGY GROUP CORP.</t>
        </is>
      </c>
      <c r="C1765" s="0" t="inlineStr">
        <is>
          <t xml:space="preserve">XMLNYKT139G8</t>
        </is>
      </c>
      <c r="D1765" s="0" t="inlineStr">
        <is>
          <t xml:space="preserve">-</t>
        </is>
      </c>
      <c r="E1765" s="0" t="inlineStr">
        <is>
          <t xml:space="preserve">-</t>
        </is>
      </c>
      <c r="F1765" s="0" t="inlineStr">
        <is>
          <t xml:space="preserve">-</t>
        </is>
      </c>
      <c r="G1765" s="5">
        <v>0.0647895</v>
      </c>
      <c r="H1765" s="0" t="inlineStr">
        <is>
          <t xml:space="preserve">supplier</t>
        </is>
      </c>
      <c r="I1765" s="0" t="inlineStr">
        <is>
          <t xml:space="preserve">unbucketed</t>
        </is>
      </c>
      <c r="J1765" s="0" t="inlineStr">
        <is>
          <t xml:space="preserve">residual</t>
        </is>
      </c>
      <c r="K1765" s="5">
        <v>0</v>
      </c>
      <c r="L1765" s="5">
        <v>0</v>
      </c>
      <c r="M1765" s="5">
        <v>0.0647895</v>
      </c>
      <c r="N1765" s="5">
        <v>0.0</v>
      </c>
      <c r="O1765" s="5">
        <v>0.0</v>
      </c>
      <c r="P1765" s="5">
        <v>0.0</v>
      </c>
      <c r="Q1765" s="5">
        <v>0.0</v>
      </c>
    </row>
    <row r="1766" outlineLevel="1">
      <c r="B1766" s="0" t="inlineStr">
        <is>
          <t xml:space="preserve">PRESIDENZA DEL CONSIGLIO DEI MINISTRI</t>
        </is>
      </c>
      <c r="C1766" s="0" t="inlineStr">
        <is>
          <t xml:space="preserve">U3MMZ4SBMJJ3</t>
        </is>
      </c>
      <c r="D1766" s="0" t="inlineStr">
        <is>
          <t xml:space="preserve">-</t>
        </is>
      </c>
      <c r="E1766" s="0" t="inlineStr">
        <is>
          <t xml:space="preserve">-</t>
        </is>
      </c>
      <c r="F1766" s="0" t="inlineStr">
        <is>
          <t xml:space="preserve">-</t>
        </is>
      </c>
      <c r="G1766" s="5">
        <v>0.064752</v>
      </c>
      <c r="H1766" s="0" t="inlineStr">
        <is>
          <t xml:space="preserve">supplier</t>
        </is>
      </c>
      <c r="I1766" s="0" t="inlineStr">
        <is>
          <t xml:space="preserve">unbucketed</t>
        </is>
      </c>
      <c r="J1766" s="0" t="inlineStr">
        <is>
          <t xml:space="preserve">residual</t>
        </is>
      </c>
      <c r="K1766" s="5">
        <v>0</v>
      </c>
      <c r="L1766" s="5">
        <v>0</v>
      </c>
      <c r="M1766" s="5">
        <v>0.064752</v>
      </c>
      <c r="N1766" s="5">
        <v>0.0</v>
      </c>
      <c r="O1766" s="5">
        <v>0.0</v>
      </c>
      <c r="P1766" s="5">
        <v>0.0</v>
      </c>
      <c r="Q1766" s="5">
        <v>0.0</v>
      </c>
    </row>
    <row r="1767" outlineLevel="1">
      <c r="B1767" s="0" t="inlineStr">
        <is>
          <t xml:space="preserve">RADITEK INC.</t>
        </is>
      </c>
      <c r="C1767" s="0" t="inlineStr">
        <is>
          <t xml:space="preserve">ZMKRN8E743G3</t>
        </is>
      </c>
      <c r="D1767" s="0" t="inlineStr">
        <is>
          <t xml:space="preserve">-</t>
        </is>
      </c>
      <c r="E1767" s="0" t="inlineStr">
        <is>
          <t xml:space="preserve">-</t>
        </is>
      </c>
      <c r="F1767" s="0" t="inlineStr">
        <is>
          <t xml:space="preserve">-</t>
        </is>
      </c>
      <c r="G1767" s="5">
        <v>0.06467999999999999</v>
      </c>
      <c r="H1767" s="0" t="inlineStr">
        <is>
          <t xml:space="preserve">supplier</t>
        </is>
      </c>
      <c r="I1767" s="0" t="inlineStr">
        <is>
          <t xml:space="preserve">unbucketed</t>
        </is>
      </c>
      <c r="J1767" s="0" t="inlineStr">
        <is>
          <t xml:space="preserve">residual</t>
        </is>
      </c>
      <c r="K1767" s="5">
        <v>0</v>
      </c>
      <c r="L1767" s="5">
        <v>0</v>
      </c>
      <c r="M1767" s="5">
        <v>0.0</v>
      </c>
      <c r="N1767" s="5">
        <v>0.0</v>
      </c>
      <c r="O1767" s="5">
        <v>0.0</v>
      </c>
      <c r="P1767" s="5">
        <v>0.0</v>
      </c>
      <c r="Q1767" s="5">
        <v>0.0</v>
      </c>
    </row>
    <row r="1768" outlineLevel="1">
      <c r="B1768" s="0" t="inlineStr">
        <is>
          <t xml:space="preserve">AMPHENOL CORP</t>
        </is>
      </c>
      <c r="C1768" s="0" t="inlineStr">
        <is>
          <t xml:space="preserve">KLTLVDT8DM96</t>
        </is>
      </c>
      <c r="D1768" s="0" t="inlineStr">
        <is>
          <t xml:space="preserve">-</t>
        </is>
      </c>
      <c r="E1768" s="0" t="inlineStr">
        <is>
          <t xml:space="preserve">-</t>
        </is>
      </c>
      <c r="F1768" s="0" t="inlineStr">
        <is>
          <t xml:space="preserve">-</t>
        </is>
      </c>
      <c r="G1768" s="5">
        <v>0.06467118</v>
      </c>
      <c r="H1768" s="0" t="inlineStr">
        <is>
          <t xml:space="preserve">supplier</t>
        </is>
      </c>
      <c r="I1768" s="0" t="inlineStr">
        <is>
          <t xml:space="preserve">unbucketed</t>
        </is>
      </c>
      <c r="J1768" s="0" t="inlineStr">
        <is>
          <t xml:space="preserve">residual</t>
        </is>
      </c>
      <c r="K1768" s="5">
        <v>0</v>
      </c>
      <c r="L1768" s="5">
        <v>0</v>
      </c>
      <c r="M1768" s="5">
        <v>0.0</v>
      </c>
      <c r="N1768" s="5">
        <v>0.0</v>
      </c>
      <c r="O1768" s="5">
        <v>0.0</v>
      </c>
      <c r="P1768" s="5">
        <v>0.0</v>
      </c>
      <c r="Q1768" s="5">
        <v>0.0</v>
      </c>
    </row>
    <row r="1769" outlineLevel="1">
      <c r="B1769" s="0" t="inlineStr">
        <is>
          <t xml:space="preserve">HYSPAN PRECISION PRODUCTS INC</t>
        </is>
      </c>
      <c r="C1769" s="0" t="inlineStr">
        <is>
          <t xml:space="preserve">GKN9NW23L2L9</t>
        </is>
      </c>
      <c r="D1769" s="0" t="inlineStr">
        <is>
          <t xml:space="preserve">-</t>
        </is>
      </c>
      <c r="E1769" s="0" t="inlineStr">
        <is>
          <t xml:space="preserve">-</t>
        </is>
      </c>
      <c r="F1769" s="0" t="inlineStr">
        <is>
          <t xml:space="preserve">-</t>
        </is>
      </c>
      <c r="G1769" s="5">
        <v>0.064449</v>
      </c>
      <c r="H1769" s="0" t="inlineStr">
        <is>
          <t xml:space="preserve">supplier</t>
        </is>
      </c>
      <c r="I1769" s="0" t="inlineStr">
        <is>
          <t xml:space="preserve">unbucketed</t>
        </is>
      </c>
      <c r="J1769" s="0" t="inlineStr">
        <is>
          <t xml:space="preserve">residual</t>
        </is>
      </c>
      <c r="K1769" s="5">
        <v>0</v>
      </c>
      <c r="L1769" s="5">
        <v>0</v>
      </c>
      <c r="M1769" s="5">
        <v>0.064449</v>
      </c>
      <c r="N1769" s="5">
        <v>0.0</v>
      </c>
      <c r="O1769" s="5">
        <v>0.064449</v>
      </c>
      <c r="P1769" s="5">
        <v>0.0</v>
      </c>
      <c r="Q1769" s="5">
        <v>0.0</v>
      </c>
    </row>
    <row r="1770" outlineLevel="1">
      <c r="B1770" s="0" t="inlineStr">
        <is>
          <t xml:space="preserve">AB SKF</t>
        </is>
      </c>
      <c r="C1770" s="0" t="inlineStr">
        <is>
          <t xml:space="preserve">JQ7RBWR3CMQ7</t>
        </is>
      </c>
      <c r="D1770" s="0" t="inlineStr">
        <is>
          <t xml:space="preserve">-</t>
        </is>
      </c>
      <c r="E1770" s="0" t="inlineStr">
        <is>
          <t xml:space="preserve">-</t>
        </is>
      </c>
      <c r="F1770" s="0" t="inlineStr">
        <is>
          <t xml:space="preserve">-</t>
        </is>
      </c>
      <c r="G1770" s="5">
        <v>0.064151</v>
      </c>
      <c r="H1770" s="0" t="inlineStr">
        <is>
          <t xml:space="preserve">supplier</t>
        </is>
      </c>
      <c r="I1770" s="0" t="inlineStr">
        <is>
          <t xml:space="preserve">unbucketed</t>
        </is>
      </c>
      <c r="J1770" s="0" t="inlineStr">
        <is>
          <t xml:space="preserve">residual</t>
        </is>
      </c>
      <c r="K1770" s="5">
        <v>0</v>
      </c>
      <c r="L1770" s="5">
        <v>0</v>
      </c>
      <c r="M1770" s="5">
        <v>0.0</v>
      </c>
      <c r="N1770" s="5">
        <v>0.0</v>
      </c>
      <c r="O1770" s="5">
        <v>0.0</v>
      </c>
      <c r="P1770" s="5">
        <v>0.0</v>
      </c>
      <c r="Q1770" s="5">
        <v>0.0</v>
      </c>
    </row>
    <row r="1771" outlineLevel="1">
      <c r="B1771" s="0" t="inlineStr">
        <is>
          <t xml:space="preserve">WIREMASTERS, INC.</t>
        </is>
      </c>
      <c r="C1771" s="0" t="inlineStr">
        <is>
          <t xml:space="preserve">GW7AKRL56QX7</t>
        </is>
      </c>
      <c r="D1771" s="0" t="inlineStr">
        <is>
          <t xml:space="preserve">-</t>
        </is>
      </c>
      <c r="E1771" s="0" t="inlineStr">
        <is>
          <t xml:space="preserve">-</t>
        </is>
      </c>
      <c r="F1771" s="0" t="inlineStr">
        <is>
          <t xml:space="preserve">-</t>
        </is>
      </c>
      <c r="G1771" s="5">
        <v>0.06396712</v>
      </c>
      <c r="H1771" s="0" t="inlineStr">
        <is>
          <t xml:space="preserve">supplier</t>
        </is>
      </c>
      <c r="I1771" s="0" t="inlineStr">
        <is>
          <t xml:space="preserve">unbucketed</t>
        </is>
      </c>
      <c r="J1771" s="0" t="inlineStr">
        <is>
          <t xml:space="preserve">residual</t>
        </is>
      </c>
      <c r="K1771" s="5">
        <v>0</v>
      </c>
      <c r="L1771" s="5">
        <v>0</v>
      </c>
      <c r="M1771" s="5">
        <v>0.0</v>
      </c>
      <c r="N1771" s="5">
        <v>0.0</v>
      </c>
      <c r="O1771" s="5">
        <v>0.0</v>
      </c>
      <c r="P1771" s="5">
        <v>0.0</v>
      </c>
      <c r="Q1771" s="5">
        <v>0.0</v>
      </c>
    </row>
    <row r="1772" outlineLevel="1">
      <c r="B1772" s="0" t="inlineStr">
        <is>
          <t xml:space="preserve">FLOWORKS INTERNATIONAL LLC</t>
        </is>
      </c>
      <c r="C1772" s="0" t="inlineStr">
        <is>
          <t xml:space="preserve">X4YDGJ1UE973</t>
        </is>
      </c>
      <c r="D1772" s="0" t="inlineStr">
        <is>
          <t xml:space="preserve">-</t>
        </is>
      </c>
      <c r="E1772" s="0" t="inlineStr">
        <is>
          <t xml:space="preserve">-</t>
        </is>
      </c>
      <c r="F1772" s="0" t="inlineStr">
        <is>
          <t xml:space="preserve">-</t>
        </is>
      </c>
      <c r="G1772" s="5">
        <v>0.063748</v>
      </c>
      <c r="H1772" s="0" t="inlineStr">
        <is>
          <t xml:space="preserve">supplier</t>
        </is>
      </c>
      <c r="I1772" s="0" t="inlineStr">
        <is>
          <t xml:space="preserve">unbucketed</t>
        </is>
      </c>
      <c r="J1772" s="0" t="inlineStr">
        <is>
          <t xml:space="preserve">residual</t>
        </is>
      </c>
      <c r="K1772" s="5">
        <v>0</v>
      </c>
      <c r="L1772" s="5">
        <v>0</v>
      </c>
      <c r="M1772" s="5">
        <v>0.063748</v>
      </c>
      <c r="N1772" s="5">
        <v>0.0</v>
      </c>
      <c r="O1772" s="5">
        <v>0.0</v>
      </c>
      <c r="P1772" s="5">
        <v>0.0</v>
      </c>
      <c r="Q1772" s="5">
        <v>0.0</v>
      </c>
    </row>
    <row r="1773" outlineLevel="1">
      <c r="B1773" s="0" t="inlineStr">
        <is>
          <t xml:space="preserve">SECHAN ELECTRONICS INC</t>
        </is>
      </c>
      <c r="C1773" s="0" t="inlineStr">
        <is>
          <t xml:space="preserve">NUMJXMNFTW19</t>
        </is>
      </c>
      <c r="D1773" s="0" t="inlineStr">
        <is>
          <t xml:space="preserve">-</t>
        </is>
      </c>
      <c r="E1773" s="0" t="inlineStr">
        <is>
          <t xml:space="preserve">-</t>
        </is>
      </c>
      <c r="F1773" s="0" t="inlineStr">
        <is>
          <t xml:space="preserve">-</t>
        </is>
      </c>
      <c r="G1773" s="5">
        <v>0.063541</v>
      </c>
      <c r="H1773" s="0" t="inlineStr">
        <is>
          <t xml:space="preserve">supplier</t>
        </is>
      </c>
      <c r="I1773" s="0" t="inlineStr">
        <is>
          <t xml:space="preserve">unbucketed</t>
        </is>
      </c>
      <c r="J1773" s="0" t="inlineStr">
        <is>
          <t xml:space="preserve">residual</t>
        </is>
      </c>
      <c r="K1773" s="5">
        <v>0</v>
      </c>
      <c r="L1773" s="5">
        <v>0</v>
      </c>
      <c r="M1773" s="5">
        <v>0.063541</v>
      </c>
      <c r="N1773" s="5">
        <v>0.0</v>
      </c>
      <c r="O1773" s="5">
        <v>0.0</v>
      </c>
      <c r="P1773" s="5">
        <v>0.0</v>
      </c>
      <c r="Q1773" s="5">
        <v>0.0</v>
      </c>
    </row>
    <row r="1774" outlineLevel="1">
      <c r="B1774" s="0" t="inlineStr">
        <is>
          <t xml:space="preserve">SCIENTIFIC COMPONENTS CORP</t>
        </is>
      </c>
      <c r="C1774" s="0" t="inlineStr">
        <is>
          <t xml:space="preserve">PT2JJ2ENT5A7</t>
        </is>
      </c>
      <c r="D1774" s="0" t="inlineStr">
        <is>
          <t xml:space="preserve">-</t>
        </is>
      </c>
      <c r="E1774" s="0" t="inlineStr">
        <is>
          <t xml:space="preserve">-</t>
        </is>
      </c>
      <c r="F1774" s="0" t="inlineStr">
        <is>
          <t xml:space="preserve">-</t>
        </is>
      </c>
      <c r="G1774" s="5">
        <v>0.063499</v>
      </c>
      <c r="H1774" s="0" t="inlineStr">
        <is>
          <t xml:space="preserve">supplier</t>
        </is>
      </c>
      <c r="I1774" s="0" t="inlineStr">
        <is>
          <t xml:space="preserve">unbucketed</t>
        </is>
      </c>
      <c r="J1774" s="0" t="inlineStr">
        <is>
          <t xml:space="preserve">residual</t>
        </is>
      </c>
      <c r="K1774" s="5">
        <v>0</v>
      </c>
      <c r="L1774" s="5">
        <v>0</v>
      </c>
      <c r="M1774" s="5">
        <v>0.0</v>
      </c>
      <c r="N1774" s="5">
        <v>0.0</v>
      </c>
      <c r="O1774" s="5">
        <v>0.0</v>
      </c>
      <c r="P1774" s="5">
        <v>0.0</v>
      </c>
      <c r="Q1774" s="5">
        <v>0.0</v>
      </c>
    </row>
    <row r="1775" outlineLevel="1">
      <c r="B1775" s="0" t="inlineStr">
        <is>
          <t xml:space="preserve">TECHNICAL RESEARCH AND MANUFACTURING, INC.</t>
        </is>
      </c>
      <c r="C1775" s="0" t="inlineStr">
        <is>
          <t xml:space="preserve">FJ3CJ5QSECH6</t>
        </is>
      </c>
      <c r="D1775" s="0" t="inlineStr">
        <is>
          <t xml:space="preserve">-</t>
        </is>
      </c>
      <c r="E1775" s="0" t="inlineStr">
        <is>
          <t xml:space="preserve">-</t>
        </is>
      </c>
      <c r="F1775" s="0" t="inlineStr">
        <is>
          <t xml:space="preserve">-</t>
        </is>
      </c>
      <c r="G1775" s="5">
        <v>0.06327193</v>
      </c>
      <c r="H1775" s="0" t="inlineStr">
        <is>
          <t xml:space="preserve">supplier</t>
        </is>
      </c>
      <c r="I1775" s="0" t="inlineStr">
        <is>
          <t xml:space="preserve">unbucketed</t>
        </is>
      </c>
      <c r="J1775" s="0" t="inlineStr">
        <is>
          <t xml:space="preserve">residual</t>
        </is>
      </c>
      <c r="K1775" s="5">
        <v>0</v>
      </c>
      <c r="L1775" s="5">
        <v>0</v>
      </c>
      <c r="M1775" s="5">
        <v>0.0</v>
      </c>
      <c r="N1775" s="5">
        <v>0.0</v>
      </c>
      <c r="O1775" s="5">
        <v>0.0</v>
      </c>
      <c r="P1775" s="5">
        <v>0.0</v>
      </c>
      <c r="Q1775" s="5">
        <v>0.0</v>
      </c>
    </row>
    <row r="1776" outlineLevel="1">
      <c r="B1776" s="0" t="inlineStr">
        <is>
          <t xml:space="preserve">MICROFLEX, INC.</t>
        </is>
      </c>
      <c r="C1776" s="0" t="inlineStr">
        <is>
          <t xml:space="preserve">GMVJD1H9JQX8</t>
        </is>
      </c>
      <c r="D1776" s="0" t="inlineStr">
        <is>
          <t xml:space="preserve">-</t>
        </is>
      </c>
      <c r="E1776" s="0" t="inlineStr">
        <is>
          <t xml:space="preserve">-</t>
        </is>
      </c>
      <c r="F1776" s="0" t="inlineStr">
        <is>
          <t xml:space="preserve">-</t>
        </is>
      </c>
      <c r="G1776" s="5">
        <v>0.063</v>
      </c>
      <c r="H1776" s="0" t="inlineStr">
        <is>
          <t xml:space="preserve">supplier</t>
        </is>
      </c>
      <c r="I1776" s="0" t="inlineStr">
        <is>
          <t xml:space="preserve">unbucketed</t>
        </is>
      </c>
      <c r="J1776" s="0" t="inlineStr">
        <is>
          <t xml:space="preserve">residual</t>
        </is>
      </c>
      <c r="K1776" s="5">
        <v>0</v>
      </c>
      <c r="L1776" s="5">
        <v>0</v>
      </c>
      <c r="M1776" s="5">
        <v>0.063</v>
      </c>
      <c r="N1776" s="5">
        <v>0.0</v>
      </c>
      <c r="O1776" s="5">
        <v>0.0</v>
      </c>
      <c r="P1776" s="5">
        <v>0.0</v>
      </c>
      <c r="Q1776" s="5">
        <v>0.063</v>
      </c>
    </row>
    <row r="1777" outlineLevel="1">
      <c r="B1777" s="0" t="inlineStr">
        <is>
          <t xml:space="preserve">AIRBORN INC</t>
        </is>
      </c>
      <c r="C1777" s="0" t="inlineStr">
        <is>
          <t xml:space="preserve">RJ7HLTKXCX58</t>
        </is>
      </c>
      <c r="D1777" s="0" t="inlineStr">
        <is>
          <t xml:space="preserve">-</t>
        </is>
      </c>
      <c r="E1777" s="0" t="inlineStr">
        <is>
          <t xml:space="preserve">-</t>
        </is>
      </c>
      <c r="F1777" s="0" t="inlineStr">
        <is>
          <t xml:space="preserve">-</t>
        </is>
      </c>
      <c r="G1777" s="5">
        <v>0.062623</v>
      </c>
      <c r="H1777" s="0" t="inlineStr">
        <is>
          <t xml:space="preserve">supplier</t>
        </is>
      </c>
      <c r="I1777" s="0" t="inlineStr">
        <is>
          <t xml:space="preserve">unbucketed</t>
        </is>
      </c>
      <c r="J1777" s="0" t="inlineStr">
        <is>
          <t xml:space="preserve">residual</t>
        </is>
      </c>
      <c r="K1777" s="5">
        <v>0</v>
      </c>
      <c r="L1777" s="5">
        <v>0</v>
      </c>
      <c r="M1777" s="5">
        <v>0.0</v>
      </c>
      <c r="N1777" s="5">
        <v>0.0</v>
      </c>
      <c r="O1777" s="5">
        <v>0.0</v>
      </c>
      <c r="P1777" s="5">
        <v>0.0</v>
      </c>
      <c r="Q1777" s="5">
        <v>0.0</v>
      </c>
    </row>
    <row r="1778" outlineLevel="1">
      <c r="B1778" s="0" t="inlineStr">
        <is>
          <t xml:space="preserve">REGIN TOOL AND MACHINE LLC</t>
        </is>
      </c>
      <c r="C1778" s="0" t="inlineStr">
        <is>
          <t xml:space="preserve">SECQTG6D4N28</t>
        </is>
      </c>
      <c r="D1778" s="0" t="inlineStr">
        <is>
          <t xml:space="preserve">-</t>
        </is>
      </c>
      <c r="E1778" s="0" t="inlineStr">
        <is>
          <t xml:space="preserve">-</t>
        </is>
      </c>
      <c r="F1778" s="0" t="inlineStr">
        <is>
          <t xml:space="preserve">-</t>
        </is>
      </c>
      <c r="G1778" s="5">
        <v>0.06256</v>
      </c>
      <c r="H1778" s="0" t="inlineStr">
        <is>
          <t xml:space="preserve">supplier</t>
        </is>
      </c>
      <c r="I1778" s="0" t="inlineStr">
        <is>
          <t xml:space="preserve">unbucketed</t>
        </is>
      </c>
      <c r="J1778" s="0" t="inlineStr">
        <is>
          <t xml:space="preserve">residual</t>
        </is>
      </c>
      <c r="K1778" s="5">
        <v>0</v>
      </c>
      <c r="L1778" s="5">
        <v>0</v>
      </c>
      <c r="M1778" s="5">
        <v>0.0</v>
      </c>
      <c r="N1778" s="5">
        <v>0.0</v>
      </c>
      <c r="O1778" s="5">
        <v>0.0</v>
      </c>
      <c r="P1778" s="5">
        <v>0.0</v>
      </c>
      <c r="Q1778" s="5">
        <v>0.0</v>
      </c>
    </row>
    <row r="1779" outlineLevel="1">
      <c r="B1779" s="0" t="inlineStr">
        <is>
          <t xml:space="preserve">JLL PARTNERS, LLC</t>
        </is>
      </c>
      <c r="C1779" s="0" t="inlineStr">
        <is>
          <t xml:space="preserve">K5WVCD4GUK41</t>
        </is>
      </c>
      <c r="D1779" s="0" t="inlineStr">
        <is>
          <t xml:space="preserve">-</t>
        </is>
      </c>
      <c r="E1779" s="0" t="inlineStr">
        <is>
          <t xml:space="preserve">-</t>
        </is>
      </c>
      <c r="F1779" s="0" t="inlineStr">
        <is>
          <t xml:space="preserve">-</t>
        </is>
      </c>
      <c r="G1779" s="5">
        <v>0.0624792</v>
      </c>
      <c r="H1779" s="0" t="inlineStr">
        <is>
          <t xml:space="preserve">supplier</t>
        </is>
      </c>
      <c r="I1779" s="0" t="inlineStr">
        <is>
          <t xml:space="preserve">unbucketed</t>
        </is>
      </c>
      <c r="J1779" s="0" t="inlineStr">
        <is>
          <t xml:space="preserve">residual</t>
        </is>
      </c>
      <c r="K1779" s="5">
        <v>0</v>
      </c>
      <c r="L1779" s="5">
        <v>0</v>
      </c>
      <c r="M1779" s="5">
        <v>0.0</v>
      </c>
      <c r="N1779" s="5">
        <v>0.0</v>
      </c>
      <c r="O1779" s="5">
        <v>0.0</v>
      </c>
      <c r="P1779" s="5">
        <v>0.0</v>
      </c>
      <c r="Q1779" s="5">
        <v>0.0</v>
      </c>
    </row>
    <row r="1780" outlineLevel="1">
      <c r="B1780" s="0" t="inlineStr">
        <is>
          <t xml:space="preserve">HEXAGON AB</t>
        </is>
      </c>
      <c r="C1780" s="0" t="inlineStr">
        <is>
          <t xml:space="preserve">QAX4PS4VTD61</t>
        </is>
      </c>
      <c r="D1780" s="0" t="inlineStr">
        <is>
          <t xml:space="preserve">-</t>
        </is>
      </c>
      <c r="E1780" s="0" t="inlineStr">
        <is>
          <t xml:space="preserve">-</t>
        </is>
      </c>
      <c r="F1780" s="0" t="inlineStr">
        <is>
          <t xml:space="preserve">-</t>
        </is>
      </c>
      <c r="G1780" s="5">
        <v>0.06230288</v>
      </c>
      <c r="H1780" s="0" t="inlineStr">
        <is>
          <t xml:space="preserve">supplier</t>
        </is>
      </c>
      <c r="I1780" s="0" t="inlineStr">
        <is>
          <t xml:space="preserve">unbucketed</t>
        </is>
      </c>
      <c r="J1780" s="0" t="inlineStr">
        <is>
          <t xml:space="preserve">residual</t>
        </is>
      </c>
      <c r="K1780" s="5">
        <v>0</v>
      </c>
      <c r="L1780" s="5">
        <v>0</v>
      </c>
      <c r="M1780" s="5">
        <v>0.0</v>
      </c>
      <c r="N1780" s="5">
        <v>0.0</v>
      </c>
      <c r="O1780" s="5">
        <v>0.0</v>
      </c>
      <c r="P1780" s="5">
        <v>0.0</v>
      </c>
      <c r="Q1780" s="5">
        <v>0.0</v>
      </c>
    </row>
    <row r="1781" outlineLevel="1">
      <c r="B1781" s="0" t="inlineStr">
        <is>
          <t xml:space="preserve">TTI</t>
        </is>
      </c>
      <c r="C1781" s="0" t="inlineStr">
        <is>
          <t xml:space="preserve">W3PRV24LGEA1</t>
        </is>
      </c>
      <c r="D1781" s="0" t="inlineStr">
        <is>
          <t xml:space="preserve">-</t>
        </is>
      </c>
      <c r="E1781" s="0" t="inlineStr">
        <is>
          <t xml:space="preserve">-</t>
        </is>
      </c>
      <c r="F1781" s="0" t="inlineStr">
        <is>
          <t xml:space="preserve">-</t>
        </is>
      </c>
      <c r="G1781" s="5">
        <v>0.0622375</v>
      </c>
      <c r="H1781" s="0" t="inlineStr">
        <is>
          <t xml:space="preserve">supplier</t>
        </is>
      </c>
      <c r="I1781" s="0" t="inlineStr">
        <is>
          <t xml:space="preserve">unbucketed</t>
        </is>
      </c>
      <c r="J1781" s="0" t="inlineStr">
        <is>
          <t xml:space="preserve">residual</t>
        </is>
      </c>
      <c r="K1781" s="5">
        <v>0</v>
      </c>
      <c r="L1781" s="5">
        <v>0</v>
      </c>
      <c r="M1781" s="5">
        <v>0.0</v>
      </c>
      <c r="N1781" s="5">
        <v>0.0</v>
      </c>
      <c r="O1781" s="5">
        <v>0.0</v>
      </c>
      <c r="P1781" s="5">
        <v>0.0</v>
      </c>
      <c r="Q1781" s="5">
        <v>0.0</v>
      </c>
    </row>
    <row r="1782" outlineLevel="1">
      <c r="B1782" s="0" t="inlineStr">
        <is>
          <t xml:space="preserve">WING INFLATABLES, INC.</t>
        </is>
      </c>
      <c r="C1782" s="0" t="inlineStr">
        <is>
          <t xml:space="preserve">K8T6RF8WAKC3</t>
        </is>
      </c>
      <c r="D1782" s="0" t="inlineStr">
        <is>
          <t xml:space="preserve">-</t>
        </is>
      </c>
      <c r="E1782" s="0" t="inlineStr">
        <is>
          <t xml:space="preserve">-</t>
        </is>
      </c>
      <c r="F1782" s="0" t="inlineStr">
        <is>
          <t xml:space="preserve">-</t>
        </is>
      </c>
      <c r="G1782" s="5">
        <v>0.06214</v>
      </c>
      <c r="H1782" s="0" t="inlineStr">
        <is>
          <t xml:space="preserve">supplier</t>
        </is>
      </c>
      <c r="I1782" s="0" t="inlineStr">
        <is>
          <t xml:space="preserve">unbucketed</t>
        </is>
      </c>
      <c r="J1782" s="0" t="inlineStr">
        <is>
          <t xml:space="preserve">residual</t>
        </is>
      </c>
      <c r="K1782" s="5">
        <v>0</v>
      </c>
      <c r="L1782" s="5">
        <v>0</v>
      </c>
      <c r="M1782" s="5">
        <v>0.06214</v>
      </c>
      <c r="N1782" s="5">
        <v>0.06214</v>
      </c>
      <c r="O1782" s="5">
        <v>0.0</v>
      </c>
      <c r="P1782" s="5">
        <v>0.0</v>
      </c>
      <c r="Q1782" s="5">
        <v>0.0</v>
      </c>
    </row>
    <row r="1783" outlineLevel="1">
      <c r="B1783" s="0" t="inlineStr">
        <is>
          <t xml:space="preserve">INSINGER MACHINE CO</t>
        </is>
      </c>
      <c r="C1783" s="0" t="inlineStr">
        <is>
          <t xml:space="preserve">G9XVDY2MZMX5</t>
        </is>
      </c>
      <c r="D1783" s="0" t="inlineStr">
        <is>
          <t xml:space="preserve">-</t>
        </is>
      </c>
      <c r="E1783" s="0" t="inlineStr">
        <is>
          <t xml:space="preserve">-</t>
        </is>
      </c>
      <c r="F1783" s="0" t="inlineStr">
        <is>
          <t xml:space="preserve">-</t>
        </is>
      </c>
      <c r="G1783" s="5">
        <v>0.062116559999999994</v>
      </c>
      <c r="H1783" s="0" t="inlineStr">
        <is>
          <t xml:space="preserve">supplier</t>
        </is>
      </c>
      <c r="I1783" s="0" t="inlineStr">
        <is>
          <t xml:space="preserve">unbucketed</t>
        </is>
      </c>
      <c r="J1783" s="0" t="inlineStr">
        <is>
          <t xml:space="preserve">residual</t>
        </is>
      </c>
      <c r="K1783" s="5">
        <v>0</v>
      </c>
      <c r="L1783" s="5">
        <v>0</v>
      </c>
      <c r="M1783" s="5">
        <v>0.062116559999999994</v>
      </c>
      <c r="N1783" s="5">
        <v>0.0</v>
      </c>
      <c r="O1783" s="5">
        <v>0.062116559999999994</v>
      </c>
      <c r="P1783" s="5">
        <v>0.0</v>
      </c>
      <c r="Q1783" s="5">
        <v>0.0</v>
      </c>
    </row>
    <row r="1784" outlineLevel="1">
      <c r="B1784" s="0" t="inlineStr">
        <is>
          <t xml:space="preserve">LM PRODUCTS, INC.</t>
        </is>
      </c>
      <c r="C1784" s="0" t="inlineStr">
        <is>
          <t xml:space="preserve">S38HJVG8LL41</t>
        </is>
      </c>
      <c r="D1784" s="0" t="inlineStr">
        <is>
          <t xml:space="preserve">-</t>
        </is>
      </c>
      <c r="E1784" s="0" t="inlineStr">
        <is>
          <t xml:space="preserve">-</t>
        </is>
      </c>
      <c r="F1784" s="0" t="inlineStr">
        <is>
          <t xml:space="preserve">-</t>
        </is>
      </c>
      <c r="G1784" s="5">
        <v>0.06199486</v>
      </c>
      <c r="H1784" s="0" t="inlineStr">
        <is>
          <t xml:space="preserve">supplier</t>
        </is>
      </c>
      <c r="I1784" s="0" t="inlineStr">
        <is>
          <t xml:space="preserve">unbucketed</t>
        </is>
      </c>
      <c r="J1784" s="0" t="inlineStr">
        <is>
          <t xml:space="preserve">residual</t>
        </is>
      </c>
      <c r="K1784" s="5">
        <v>0</v>
      </c>
      <c r="L1784" s="5">
        <v>0</v>
      </c>
      <c r="M1784" s="5">
        <v>0.0</v>
      </c>
      <c r="N1784" s="5">
        <v>0.0</v>
      </c>
      <c r="O1784" s="5">
        <v>0.0</v>
      </c>
      <c r="P1784" s="5">
        <v>0.0</v>
      </c>
      <c r="Q1784" s="5">
        <v>0.0</v>
      </c>
    </row>
    <row r="1785" outlineLevel="1">
      <c r="B1785" s="0" t="inlineStr">
        <is>
          <t xml:space="preserve">MOBRO MARINE, INC.</t>
        </is>
      </c>
      <c r="C1785" s="0" t="inlineStr">
        <is>
          <t xml:space="preserve">NSD2F5HGDPY5</t>
        </is>
      </c>
      <c r="D1785" s="0" t="inlineStr">
        <is>
          <t xml:space="preserve">-</t>
        </is>
      </c>
      <c r="E1785" s="0" t="inlineStr">
        <is>
          <t xml:space="preserve">-</t>
        </is>
      </c>
      <c r="F1785" s="0" t="inlineStr">
        <is>
          <t xml:space="preserve">-</t>
        </is>
      </c>
      <c r="G1785" s="5">
        <v>0.06180000000000001</v>
      </c>
      <c r="H1785" s="0" t="inlineStr">
        <is>
          <t xml:space="preserve">supplier</t>
        </is>
      </c>
      <c r="I1785" s="0" t="inlineStr">
        <is>
          <t xml:space="preserve">unbucketed</t>
        </is>
      </c>
      <c r="J1785" s="0" t="inlineStr">
        <is>
          <t xml:space="preserve">residual</t>
        </is>
      </c>
      <c r="K1785" s="5">
        <v>0</v>
      </c>
      <c r="L1785" s="5">
        <v>0</v>
      </c>
      <c r="M1785" s="5">
        <v>0.0</v>
      </c>
      <c r="N1785" s="5">
        <v>0.0</v>
      </c>
      <c r="O1785" s="5">
        <v>0.0</v>
      </c>
      <c r="P1785" s="5">
        <v>0.0</v>
      </c>
      <c r="Q1785" s="5">
        <v>0.0</v>
      </c>
    </row>
    <row r="1786" outlineLevel="1">
      <c r="B1786" s="0" t="inlineStr">
        <is>
          <t xml:space="preserve">ACE AND COMPANY, INC</t>
        </is>
      </c>
      <c r="C1786" s="0" t="inlineStr">
        <is>
          <t xml:space="preserve">UEKBTGBTHRN1</t>
        </is>
      </c>
      <c r="D1786" s="0" t="inlineStr">
        <is>
          <t xml:space="preserve">-</t>
        </is>
      </c>
      <c r="E1786" s="0" t="inlineStr">
        <is>
          <t xml:space="preserve">-</t>
        </is>
      </c>
      <c r="F1786" s="0" t="inlineStr">
        <is>
          <t xml:space="preserve">-</t>
        </is>
      </c>
      <c r="G1786" s="5">
        <v>0.061588</v>
      </c>
      <c r="H1786" s="0" t="inlineStr">
        <is>
          <t xml:space="preserve">supplier</t>
        </is>
      </c>
      <c r="I1786" s="0" t="inlineStr">
        <is>
          <t xml:space="preserve">unbucketed</t>
        </is>
      </c>
      <c r="J1786" s="0" t="inlineStr">
        <is>
          <t xml:space="preserve">residual</t>
        </is>
      </c>
      <c r="K1786" s="5">
        <v>0</v>
      </c>
      <c r="L1786" s="5">
        <v>0</v>
      </c>
      <c r="M1786" s="5">
        <v>0.0</v>
      </c>
      <c r="N1786" s="5">
        <v>0.0</v>
      </c>
      <c r="O1786" s="5">
        <v>0.0</v>
      </c>
      <c r="P1786" s="5">
        <v>0.0</v>
      </c>
      <c r="Q1786" s="5">
        <v>0.0</v>
      </c>
    </row>
    <row r="1787" outlineLevel="1">
      <c r="B1787" s="0" t="inlineStr">
        <is>
          <t xml:space="preserve">VICOR CORPORATION</t>
        </is>
      </c>
      <c r="C1787" s="0" t="inlineStr">
        <is>
          <t xml:space="preserve">C8VYJLZJK9G7</t>
        </is>
      </c>
      <c r="D1787" s="0" t="inlineStr">
        <is>
          <t xml:space="preserve">-</t>
        </is>
      </c>
      <c r="E1787" s="0" t="inlineStr">
        <is>
          <t xml:space="preserve">-</t>
        </is>
      </c>
      <c r="F1787" s="0" t="inlineStr">
        <is>
          <t xml:space="preserve">-</t>
        </is>
      </c>
      <c r="G1787" s="5">
        <v>0.06149</v>
      </c>
      <c r="H1787" s="0" t="inlineStr">
        <is>
          <t xml:space="preserve">supplier</t>
        </is>
      </c>
      <c r="I1787" s="0" t="inlineStr">
        <is>
          <t xml:space="preserve">unbucketed</t>
        </is>
      </c>
      <c r="J1787" s="0" t="inlineStr">
        <is>
          <t xml:space="preserve">residual</t>
        </is>
      </c>
      <c r="K1787" s="5">
        <v>0</v>
      </c>
      <c r="L1787" s="5">
        <v>0</v>
      </c>
      <c r="M1787" s="5">
        <v>0.0</v>
      </c>
      <c r="N1787" s="5">
        <v>0.0</v>
      </c>
      <c r="O1787" s="5">
        <v>0.0</v>
      </c>
      <c r="P1787" s="5">
        <v>0.0</v>
      </c>
      <c r="Q1787" s="5">
        <v>0.0</v>
      </c>
    </row>
    <row r="1788" outlineLevel="1">
      <c r="B1788" s="0" t="inlineStr">
        <is>
          <t xml:space="preserve">PRECISION RINGS INCORPORATED</t>
        </is>
      </c>
      <c r="C1788" s="0" t="inlineStr">
        <is>
          <t xml:space="preserve">JRDKPJ562MV2</t>
        </is>
      </c>
      <c r="D1788" s="0" t="inlineStr">
        <is>
          <t xml:space="preserve">-</t>
        </is>
      </c>
      <c r="E1788" s="0" t="inlineStr">
        <is>
          <t xml:space="preserve">-</t>
        </is>
      </c>
      <c r="F1788" s="0" t="inlineStr">
        <is>
          <t xml:space="preserve">-</t>
        </is>
      </c>
      <c r="G1788" s="5">
        <v>0.06146</v>
      </c>
      <c r="H1788" s="0" t="inlineStr">
        <is>
          <t xml:space="preserve">supplier</t>
        </is>
      </c>
      <c r="I1788" s="0" t="inlineStr">
        <is>
          <t xml:space="preserve">unbucketed</t>
        </is>
      </c>
      <c r="J1788" s="0" t="inlineStr">
        <is>
          <t xml:space="preserve">residual</t>
        </is>
      </c>
      <c r="K1788" s="5">
        <v>0</v>
      </c>
      <c r="L1788" s="5">
        <v>0</v>
      </c>
      <c r="M1788" s="5">
        <v>0.0</v>
      </c>
      <c r="N1788" s="5">
        <v>0.0</v>
      </c>
      <c r="O1788" s="5">
        <v>0.0</v>
      </c>
      <c r="P1788" s="5">
        <v>0.0</v>
      </c>
      <c r="Q1788" s="5">
        <v>0.0</v>
      </c>
    </row>
    <row r="1789" outlineLevel="1">
      <c r="B1789" s="0" t="inlineStr">
        <is>
          <t xml:space="preserve">HITACHI, LTD.</t>
        </is>
      </c>
      <c r="C1789" s="0" t="inlineStr">
        <is>
          <t xml:space="preserve">VXJMLWN9XU18</t>
        </is>
      </c>
      <c r="D1789" s="0" t="inlineStr">
        <is>
          <t xml:space="preserve">-</t>
        </is>
      </c>
      <c r="E1789" s="0" t="inlineStr">
        <is>
          <t xml:space="preserve">-</t>
        </is>
      </c>
      <c r="F1789" s="0" t="inlineStr">
        <is>
          <t xml:space="preserve">-</t>
        </is>
      </c>
      <c r="G1789" s="5">
        <v>0.061411</v>
      </c>
      <c r="H1789" s="0" t="inlineStr">
        <is>
          <t xml:space="preserve">supplier</t>
        </is>
      </c>
      <c r="I1789" s="0" t="inlineStr">
        <is>
          <t xml:space="preserve">unbucketed</t>
        </is>
      </c>
      <c r="J1789" s="0" t="inlineStr">
        <is>
          <t xml:space="preserve">residual</t>
        </is>
      </c>
      <c r="K1789" s="5">
        <v>0</v>
      </c>
      <c r="L1789" s="5">
        <v>0</v>
      </c>
      <c r="M1789" s="5">
        <v>0.061411</v>
      </c>
      <c r="N1789" s="5">
        <v>0.0</v>
      </c>
      <c r="O1789" s="5">
        <v>0.0</v>
      </c>
      <c r="P1789" s="5">
        <v>0.0</v>
      </c>
      <c r="Q1789" s="5">
        <v>0.0</v>
      </c>
    </row>
    <row r="1790" outlineLevel="1">
      <c r="B1790" s="0" t="inlineStr">
        <is>
          <t xml:space="preserve">FLOW CONTROLS, INC.</t>
        </is>
      </c>
      <c r="C1790" s="0" t="inlineStr">
        <is>
          <t xml:space="preserve">ZQ9YPL8K2EB8</t>
        </is>
      </c>
      <c r="D1790" s="0" t="inlineStr">
        <is>
          <t xml:space="preserve">-</t>
        </is>
      </c>
      <c r="E1790" s="0" t="inlineStr">
        <is>
          <t xml:space="preserve">-</t>
        </is>
      </c>
      <c r="F1790" s="0" t="inlineStr">
        <is>
          <t xml:space="preserve">-</t>
        </is>
      </c>
      <c r="G1790" s="5">
        <v>0.061398</v>
      </c>
      <c r="H1790" s="0" t="inlineStr">
        <is>
          <t xml:space="preserve">supplier</t>
        </is>
      </c>
      <c r="I1790" s="0" t="inlineStr">
        <is>
          <t xml:space="preserve">unbucketed</t>
        </is>
      </c>
      <c r="J1790" s="0" t="inlineStr">
        <is>
          <t xml:space="preserve">residual</t>
        </is>
      </c>
      <c r="K1790" s="5">
        <v>0</v>
      </c>
      <c r="L1790" s="5">
        <v>0</v>
      </c>
      <c r="M1790" s="5">
        <v>0.0</v>
      </c>
      <c r="N1790" s="5">
        <v>0.0</v>
      </c>
      <c r="O1790" s="5">
        <v>0.0</v>
      </c>
      <c r="P1790" s="5">
        <v>0.0</v>
      </c>
      <c r="Q1790" s="5">
        <v>0.0</v>
      </c>
    </row>
    <row r="1791" outlineLevel="1">
      <c r="B1791" s="0" t="inlineStr">
        <is>
          <t xml:space="preserve">PICKERING INTERFACES, INC.</t>
        </is>
      </c>
      <c r="C1791" s="0" t="inlineStr">
        <is>
          <t xml:space="preserve">ECVNHKM2CLS9</t>
        </is>
      </c>
      <c r="D1791" s="0" t="inlineStr">
        <is>
          <t xml:space="preserve">-</t>
        </is>
      </c>
      <c r="E1791" s="0" t="inlineStr">
        <is>
          <t xml:space="preserve">-</t>
        </is>
      </c>
      <c r="F1791" s="0" t="inlineStr">
        <is>
          <t xml:space="preserve">-</t>
        </is>
      </c>
      <c r="G1791" s="5">
        <v>0.06088</v>
      </c>
      <c r="H1791" s="0" t="inlineStr">
        <is>
          <t xml:space="preserve">supplier</t>
        </is>
      </c>
      <c r="I1791" s="0" t="inlineStr">
        <is>
          <t xml:space="preserve">unbucketed</t>
        </is>
      </c>
      <c r="J1791" s="0" t="inlineStr">
        <is>
          <t xml:space="preserve">residual</t>
        </is>
      </c>
      <c r="K1791" s="5">
        <v>0</v>
      </c>
      <c r="L1791" s="5">
        <v>0</v>
      </c>
      <c r="M1791" s="5">
        <v>0.0</v>
      </c>
      <c r="N1791" s="5">
        <v>0.0</v>
      </c>
      <c r="O1791" s="5">
        <v>0.0</v>
      </c>
      <c r="P1791" s="5">
        <v>0.0</v>
      </c>
      <c r="Q1791" s="5">
        <v>0.0</v>
      </c>
    </row>
    <row r="1792" outlineLevel="1">
      <c r="B1792" s="0" t="inlineStr">
        <is>
          <t xml:space="preserve">TRIDENT MARITIME SYSTEMS, INC.</t>
        </is>
      </c>
      <c r="C1792" s="0" t="inlineStr">
        <is>
          <t xml:space="preserve">MP5UJHMEHFV1</t>
        </is>
      </c>
      <c r="D1792" s="0" t="inlineStr">
        <is>
          <t xml:space="preserve">-</t>
        </is>
      </c>
      <c r="E1792" s="0" t="inlineStr">
        <is>
          <t xml:space="preserve">-</t>
        </is>
      </c>
      <c r="F1792" s="0" t="inlineStr">
        <is>
          <t xml:space="preserve">-</t>
        </is>
      </c>
      <c r="G1792" s="5">
        <v>0.0608</v>
      </c>
      <c r="H1792" s="0" t="inlineStr">
        <is>
          <t xml:space="preserve">supplier</t>
        </is>
      </c>
      <c r="I1792" s="0" t="inlineStr">
        <is>
          <t xml:space="preserve">unbucketed</t>
        </is>
      </c>
      <c r="J1792" s="0" t="inlineStr">
        <is>
          <t xml:space="preserve">residual</t>
        </is>
      </c>
      <c r="K1792" s="5">
        <v>0</v>
      </c>
      <c r="L1792" s="5">
        <v>0</v>
      </c>
      <c r="M1792" s="5">
        <v>0.0608</v>
      </c>
      <c r="N1792" s="5">
        <v>0.0608</v>
      </c>
      <c r="O1792" s="5">
        <v>0.0</v>
      </c>
      <c r="P1792" s="5">
        <v>0.0</v>
      </c>
      <c r="Q1792" s="5">
        <v>0.0</v>
      </c>
    </row>
    <row r="1793" outlineLevel="1">
      <c r="B1793" s="0" t="inlineStr">
        <is>
          <t xml:space="preserve">ARLINGTON INTERNATIONAL AVIATION PRODUCTS, LLC</t>
        </is>
      </c>
      <c r="C1793" s="0" t="inlineStr">
        <is>
          <t xml:space="preserve">TD18GL931EE7</t>
        </is>
      </c>
      <c r="D1793" s="0" t="inlineStr">
        <is>
          <t xml:space="preserve">-</t>
        </is>
      </c>
      <c r="E1793" s="0" t="inlineStr">
        <is>
          <t xml:space="preserve">-</t>
        </is>
      </c>
      <c r="F1793" s="0" t="inlineStr">
        <is>
          <t xml:space="preserve">-</t>
        </is>
      </c>
      <c r="G1793" s="5">
        <v>0.06069375</v>
      </c>
      <c r="H1793" s="0" t="inlineStr">
        <is>
          <t xml:space="preserve">supplier</t>
        </is>
      </c>
      <c r="I1793" s="0" t="inlineStr">
        <is>
          <t xml:space="preserve">unbucketed</t>
        </is>
      </c>
      <c r="J1793" s="0" t="inlineStr">
        <is>
          <t xml:space="preserve">residual</t>
        </is>
      </c>
      <c r="K1793" s="5">
        <v>0</v>
      </c>
      <c r="L1793" s="5">
        <v>0</v>
      </c>
      <c r="M1793" s="5">
        <v>0.0</v>
      </c>
      <c r="N1793" s="5">
        <v>0.0</v>
      </c>
      <c r="O1793" s="5">
        <v>0.0</v>
      </c>
      <c r="P1793" s="5">
        <v>0.0</v>
      </c>
      <c r="Q1793" s="5">
        <v>0.0</v>
      </c>
    </row>
    <row r="1794" outlineLevel="1">
      <c r="B1794" s="0" t="inlineStr">
        <is>
          <t xml:space="preserve">ACRO-FAB LTD</t>
        </is>
      </c>
      <c r="C1794" s="0" t="inlineStr">
        <is>
          <t xml:space="preserve">M34WLGRECSG3</t>
        </is>
      </c>
      <c r="D1794" s="0" t="inlineStr">
        <is>
          <t xml:space="preserve">-</t>
        </is>
      </c>
      <c r="E1794" s="0" t="inlineStr">
        <is>
          <t xml:space="preserve">-</t>
        </is>
      </c>
      <c r="F1794" s="0" t="inlineStr">
        <is>
          <t xml:space="preserve">-</t>
        </is>
      </c>
      <c r="G1794" s="5">
        <v>0.06027964</v>
      </c>
      <c r="H1794" s="0" t="inlineStr">
        <is>
          <t xml:space="preserve">supplier</t>
        </is>
      </c>
      <c r="I1794" s="0" t="inlineStr">
        <is>
          <t xml:space="preserve">unbucketed</t>
        </is>
      </c>
      <c r="J1794" s="0" t="inlineStr">
        <is>
          <t xml:space="preserve">residual</t>
        </is>
      </c>
      <c r="K1794" s="5">
        <v>0</v>
      </c>
      <c r="L1794" s="5">
        <v>0</v>
      </c>
      <c r="M1794" s="5">
        <v>0.0</v>
      </c>
      <c r="N1794" s="5">
        <v>0.0</v>
      </c>
      <c r="O1794" s="5">
        <v>0.0</v>
      </c>
      <c r="P1794" s="5">
        <v>0.0</v>
      </c>
      <c r="Q1794" s="5">
        <v>0.0</v>
      </c>
    </row>
    <row r="1795" outlineLevel="1">
      <c r="B1795" s="0" t="inlineStr">
        <is>
          <t xml:space="preserve">TRIUMPH GROUP, INC.</t>
        </is>
      </c>
      <c r="C1795" s="0" t="inlineStr">
        <is>
          <t xml:space="preserve">FPUND7E6VZF3</t>
        </is>
      </c>
      <c r="D1795" s="0" t="inlineStr">
        <is>
          <t xml:space="preserve">-</t>
        </is>
      </c>
      <c r="E1795" s="0" t="inlineStr">
        <is>
          <t xml:space="preserve">-</t>
        </is>
      </c>
      <c r="F1795" s="0" t="inlineStr">
        <is>
          <t xml:space="preserve">-</t>
        </is>
      </c>
      <c r="G1795" s="5">
        <v>0.06026786</v>
      </c>
      <c r="H1795" s="0" t="inlineStr">
        <is>
          <t xml:space="preserve">supplier</t>
        </is>
      </c>
      <c r="I1795" s="0" t="inlineStr">
        <is>
          <t xml:space="preserve">unbucketed</t>
        </is>
      </c>
      <c r="J1795" s="0" t="inlineStr">
        <is>
          <t xml:space="preserve">residual</t>
        </is>
      </c>
      <c r="K1795" s="5">
        <v>0</v>
      </c>
      <c r="L1795" s="5">
        <v>0</v>
      </c>
      <c r="M1795" s="5">
        <v>0.0</v>
      </c>
      <c r="N1795" s="5">
        <v>0.0</v>
      </c>
      <c r="O1795" s="5">
        <v>0.0</v>
      </c>
      <c r="P1795" s="5">
        <v>0.0</v>
      </c>
      <c r="Q1795" s="5">
        <v>0.0</v>
      </c>
    </row>
    <row r="1796" outlineLevel="1">
      <c r="B1796" s="0" t="inlineStr">
        <is>
          <t xml:space="preserve">HEVIQUIP LLC</t>
        </is>
      </c>
      <c r="C1796" s="0" t="inlineStr">
        <is>
          <t xml:space="preserve">DLX7BSSCCPA7</t>
        </is>
      </c>
      <c r="D1796" s="0" t="inlineStr">
        <is>
          <t xml:space="preserve">-</t>
        </is>
      </c>
      <c r="E1796" s="0" t="inlineStr">
        <is>
          <t xml:space="preserve">-</t>
        </is>
      </c>
      <c r="F1796" s="0" t="inlineStr">
        <is>
          <t xml:space="preserve">-</t>
        </is>
      </c>
      <c r="G1796" s="5">
        <v>0.060266</v>
      </c>
      <c r="H1796" s="0" t="inlineStr">
        <is>
          <t xml:space="preserve">supplier</t>
        </is>
      </c>
      <c r="I1796" s="0" t="inlineStr">
        <is>
          <t xml:space="preserve">unbucketed</t>
        </is>
      </c>
      <c r="J1796" s="0" t="inlineStr">
        <is>
          <t xml:space="preserve">residual</t>
        </is>
      </c>
      <c r="K1796" s="5">
        <v>0</v>
      </c>
      <c r="L1796" s="5">
        <v>0</v>
      </c>
      <c r="M1796" s="5">
        <v>0.0</v>
      </c>
      <c r="N1796" s="5">
        <v>0.0</v>
      </c>
      <c r="O1796" s="5">
        <v>0.0</v>
      </c>
      <c r="P1796" s="5">
        <v>0.0</v>
      </c>
      <c r="Q1796" s="5">
        <v>0.0</v>
      </c>
    </row>
    <row r="1797" outlineLevel="1">
      <c r="B1797" s="0" t="inlineStr">
        <is>
          <t xml:space="preserve">ESSAR GLOBAL LIMITED</t>
        </is>
      </c>
      <c r="C1797" s="0" t="inlineStr">
        <is>
          <t xml:space="preserve">TFBXC11G77F3</t>
        </is>
      </c>
      <c r="D1797" s="0" t="inlineStr">
        <is>
          <t xml:space="preserve">-</t>
        </is>
      </c>
      <c r="E1797" s="0" t="inlineStr">
        <is>
          <t xml:space="preserve">-</t>
        </is>
      </c>
      <c r="F1797" s="0" t="inlineStr">
        <is>
          <t xml:space="preserve">-</t>
        </is>
      </c>
      <c r="G1797" s="5">
        <v>0.06015232</v>
      </c>
      <c r="H1797" s="0" t="inlineStr">
        <is>
          <t xml:space="preserve">supplier</t>
        </is>
      </c>
      <c r="I1797" s="0" t="inlineStr">
        <is>
          <t xml:space="preserve">unbucketed</t>
        </is>
      </c>
      <c r="J1797" s="0" t="inlineStr">
        <is>
          <t xml:space="preserve">residual</t>
        </is>
      </c>
      <c r="K1797" s="5">
        <v>0</v>
      </c>
      <c r="L1797" s="5">
        <v>0</v>
      </c>
      <c r="M1797" s="5">
        <v>0.0</v>
      </c>
      <c r="N1797" s="5">
        <v>0.0</v>
      </c>
      <c r="O1797" s="5">
        <v>0.0</v>
      </c>
      <c r="P1797" s="5">
        <v>0.0</v>
      </c>
      <c r="Q1797" s="5">
        <v>0.0</v>
      </c>
    </row>
    <row r="1798" outlineLevel="1">
      <c r="B1798" s="0" t="inlineStr">
        <is>
          <t xml:space="preserve">LEIDOS HOLDINGS, INC.</t>
        </is>
      </c>
      <c r="C1798" s="0" t="inlineStr">
        <is>
          <t xml:space="preserve">UNMLSUMQD9U4</t>
        </is>
      </c>
      <c r="D1798" s="0" t="inlineStr">
        <is>
          <t xml:space="preserve">-</t>
        </is>
      </c>
      <c r="E1798" s="0" t="inlineStr">
        <is>
          <t xml:space="preserve">-</t>
        </is>
      </c>
      <c r="F1798" s="0" t="inlineStr">
        <is>
          <t xml:space="preserve">-</t>
        </is>
      </c>
      <c r="G1798" s="5">
        <v>0.06</v>
      </c>
      <c r="H1798" s="0" t="inlineStr">
        <is>
          <t xml:space="preserve">supplier</t>
        </is>
      </c>
      <c r="I1798" s="0" t="inlineStr">
        <is>
          <t xml:space="preserve">unbucketed</t>
        </is>
      </c>
      <c r="J1798" s="0" t="inlineStr">
        <is>
          <t xml:space="preserve">residual</t>
        </is>
      </c>
      <c r="K1798" s="5">
        <v>0</v>
      </c>
      <c r="L1798" s="5">
        <v>0</v>
      </c>
      <c r="M1798" s="5">
        <v>0.0</v>
      </c>
      <c r="N1798" s="5">
        <v>0.0</v>
      </c>
      <c r="O1798" s="5">
        <v>0.0</v>
      </c>
      <c r="P1798" s="5">
        <v>0.0</v>
      </c>
      <c r="Q1798" s="5">
        <v>0.0</v>
      </c>
    </row>
    <row r="1799" outlineLevel="1">
      <c r="B1799" s="0" t="inlineStr">
        <is>
          <t xml:space="preserve">NTS TECHNICAL SYSTEMS, LLC</t>
        </is>
      </c>
      <c r="C1799" s="0" t="inlineStr">
        <is>
          <t xml:space="preserve">GAGNAGWFNY83</t>
        </is>
      </c>
      <c r="D1799" s="0" t="inlineStr">
        <is>
          <t xml:space="preserve">-</t>
        </is>
      </c>
      <c r="E1799" s="0" t="inlineStr">
        <is>
          <t xml:space="preserve">-</t>
        </is>
      </c>
      <c r="F1799" s="0" t="inlineStr">
        <is>
          <t xml:space="preserve">-</t>
        </is>
      </c>
      <c r="G1799" s="5">
        <v>0.0597</v>
      </c>
      <c r="H1799" s="0" t="inlineStr">
        <is>
          <t xml:space="preserve">supplier</t>
        </is>
      </c>
      <c r="I1799" s="0" t="inlineStr">
        <is>
          <t xml:space="preserve">unbucketed</t>
        </is>
      </c>
      <c r="J1799" s="0" t="inlineStr">
        <is>
          <t xml:space="preserve">residual</t>
        </is>
      </c>
      <c r="K1799" s="5">
        <v>0</v>
      </c>
      <c r="L1799" s="5">
        <v>0</v>
      </c>
      <c r="M1799" s="5">
        <v>0.0</v>
      </c>
      <c r="N1799" s="5">
        <v>0.0</v>
      </c>
      <c r="O1799" s="5">
        <v>0.0</v>
      </c>
      <c r="P1799" s="5">
        <v>0.0</v>
      </c>
      <c r="Q1799" s="5">
        <v>0.0</v>
      </c>
    </row>
    <row r="1800" outlineLevel="1">
      <c r="B1800" s="0" t="inlineStr">
        <is>
          <t xml:space="preserve">COOPER INDUSTRIES</t>
        </is>
      </c>
      <c r="C1800" s="0" t="inlineStr">
        <is>
          <t xml:space="preserve">TXM4HHZKGKC7</t>
        </is>
      </c>
      <c r="D1800" s="0" t="inlineStr">
        <is>
          <t xml:space="preserve">-</t>
        </is>
      </c>
      <c r="E1800" s="0" t="inlineStr">
        <is>
          <t xml:space="preserve">-</t>
        </is>
      </c>
      <c r="F1800" s="0" t="inlineStr">
        <is>
          <t xml:space="preserve">-</t>
        </is>
      </c>
      <c r="G1800" s="5">
        <v>0.05944736</v>
      </c>
      <c r="H1800" s="0" t="inlineStr">
        <is>
          <t xml:space="preserve">supplier</t>
        </is>
      </c>
      <c r="I1800" s="0" t="inlineStr">
        <is>
          <t xml:space="preserve">unbucketed</t>
        </is>
      </c>
      <c r="J1800" s="0" t="inlineStr">
        <is>
          <t xml:space="preserve">residual</t>
        </is>
      </c>
      <c r="K1800" s="5">
        <v>0</v>
      </c>
      <c r="L1800" s="5">
        <v>0</v>
      </c>
      <c r="M1800" s="5">
        <v>0.0</v>
      </c>
      <c r="N1800" s="5">
        <v>0.0</v>
      </c>
      <c r="O1800" s="5">
        <v>0.0</v>
      </c>
      <c r="P1800" s="5">
        <v>0.0</v>
      </c>
      <c r="Q1800" s="5">
        <v>0.0</v>
      </c>
    </row>
    <row r="1801" outlineLevel="1">
      <c r="B1801" s="0" t="inlineStr">
        <is>
          <t xml:space="preserve">FLETCHER CONSTRUCTION COMPANY, INC.</t>
        </is>
      </c>
      <c r="C1801" s="0" t="inlineStr">
        <is>
          <t xml:space="preserve">JJRDPJY9GQA8</t>
        </is>
      </c>
      <c r="D1801" s="0" t="inlineStr">
        <is>
          <t xml:space="preserve">-</t>
        </is>
      </c>
      <c r="E1801" s="0" t="inlineStr">
        <is>
          <t xml:space="preserve">-</t>
        </is>
      </c>
      <c r="F1801" s="0" t="inlineStr">
        <is>
          <t xml:space="preserve">-</t>
        </is>
      </c>
      <c r="G1801" s="5">
        <v>0.05931342</v>
      </c>
      <c r="H1801" s="0" t="inlineStr">
        <is>
          <t xml:space="preserve">supplier</t>
        </is>
      </c>
      <c r="I1801" s="0" t="inlineStr">
        <is>
          <t xml:space="preserve">unbucketed</t>
        </is>
      </c>
      <c r="J1801" s="0" t="inlineStr">
        <is>
          <t xml:space="preserve">residual</t>
        </is>
      </c>
      <c r="K1801" s="5">
        <v>0</v>
      </c>
      <c r="L1801" s="5">
        <v>0</v>
      </c>
      <c r="M1801" s="5">
        <v>0.05931342</v>
      </c>
      <c r="N1801" s="5">
        <v>0.0</v>
      </c>
      <c r="O1801" s="5">
        <v>0.0</v>
      </c>
      <c r="P1801" s="5">
        <v>0.0</v>
      </c>
      <c r="Q1801" s="5">
        <v>0.0</v>
      </c>
    </row>
    <row r="1802" outlineLevel="1">
      <c r="B1802" s="0" t="inlineStr">
        <is>
          <t xml:space="preserve">VANTAGE AEROSPACE, INC.</t>
        </is>
      </c>
      <c r="C1802" s="0" t="inlineStr">
        <is>
          <t xml:space="preserve">ET4NW7BJ5VW1</t>
        </is>
      </c>
      <c r="D1802" s="0" t="inlineStr">
        <is>
          <t xml:space="preserve">-</t>
        </is>
      </c>
      <c r="E1802" s="0" t="inlineStr">
        <is>
          <t xml:space="preserve">-</t>
        </is>
      </c>
      <c r="F1802" s="0" t="inlineStr">
        <is>
          <t xml:space="preserve">-</t>
        </is>
      </c>
      <c r="G1802" s="5">
        <v>0.05925</v>
      </c>
      <c r="H1802" s="0" t="inlineStr">
        <is>
          <t xml:space="preserve">supplier</t>
        </is>
      </c>
      <c r="I1802" s="0" t="inlineStr">
        <is>
          <t xml:space="preserve">unbucketed</t>
        </is>
      </c>
      <c r="J1802" s="0" t="inlineStr">
        <is>
          <t xml:space="preserve">residual</t>
        </is>
      </c>
      <c r="K1802" s="5">
        <v>0</v>
      </c>
      <c r="L1802" s="5">
        <v>0</v>
      </c>
      <c r="M1802" s="5">
        <v>0.0</v>
      </c>
      <c r="N1802" s="5">
        <v>0.0</v>
      </c>
      <c r="O1802" s="5">
        <v>0.0</v>
      </c>
      <c r="P1802" s="5">
        <v>0.0</v>
      </c>
      <c r="Q1802" s="5">
        <v>0.0</v>
      </c>
    </row>
    <row r="1803" outlineLevel="1">
      <c r="B1803" s="0" t="inlineStr">
        <is>
          <t xml:space="preserve">MID-CONTINENT ENGINEERING, LLC</t>
        </is>
      </c>
      <c r="C1803" s="0" t="inlineStr">
        <is>
          <t xml:space="preserve">UTLBMJZK7M61</t>
        </is>
      </c>
      <c r="D1803" s="0" t="inlineStr">
        <is>
          <t xml:space="preserve">-</t>
        </is>
      </c>
      <c r="E1803" s="0" t="inlineStr">
        <is>
          <t xml:space="preserve">-</t>
        </is>
      </c>
      <c r="F1803" s="0" t="inlineStr">
        <is>
          <t xml:space="preserve">-</t>
        </is>
      </c>
      <c r="G1803" s="5">
        <v>0.059248</v>
      </c>
      <c r="H1803" s="0" t="inlineStr">
        <is>
          <t xml:space="preserve">supplier</t>
        </is>
      </c>
      <c r="I1803" s="0" t="inlineStr">
        <is>
          <t xml:space="preserve">unbucketed</t>
        </is>
      </c>
      <c r="J1803" s="0" t="inlineStr">
        <is>
          <t xml:space="preserve">residual</t>
        </is>
      </c>
      <c r="K1803" s="5">
        <v>0</v>
      </c>
      <c r="L1803" s="5">
        <v>0</v>
      </c>
      <c r="M1803" s="5">
        <v>0.0</v>
      </c>
      <c r="N1803" s="5">
        <v>0.0</v>
      </c>
      <c r="O1803" s="5">
        <v>0.0</v>
      </c>
      <c r="P1803" s="5">
        <v>0.0</v>
      </c>
      <c r="Q1803" s="5">
        <v>0.0</v>
      </c>
    </row>
    <row r="1804" outlineLevel="1">
      <c r="B1804" s="0" t="inlineStr">
        <is>
          <t xml:space="preserve">MIL-SPEC WIRE &amp; CABLE CO</t>
        </is>
      </c>
      <c r="C1804" s="0" t="inlineStr">
        <is>
          <t xml:space="preserve">S6F5JLBSADM7</t>
        </is>
      </c>
      <c r="D1804" s="0" t="inlineStr">
        <is>
          <t xml:space="preserve">-</t>
        </is>
      </c>
      <c r="E1804" s="0" t="inlineStr">
        <is>
          <t xml:space="preserve">-</t>
        </is>
      </c>
      <c r="F1804" s="0" t="inlineStr">
        <is>
          <t xml:space="preserve">-</t>
        </is>
      </c>
      <c r="G1804" s="5">
        <v>0.05913</v>
      </c>
      <c r="H1804" s="0" t="inlineStr">
        <is>
          <t xml:space="preserve">supplier</t>
        </is>
      </c>
      <c r="I1804" s="0" t="inlineStr">
        <is>
          <t xml:space="preserve">unbucketed</t>
        </is>
      </c>
      <c r="J1804" s="0" t="inlineStr">
        <is>
          <t xml:space="preserve">residual</t>
        </is>
      </c>
      <c r="K1804" s="5">
        <v>0</v>
      </c>
      <c r="L1804" s="5">
        <v>0</v>
      </c>
      <c r="M1804" s="5">
        <v>0.05913</v>
      </c>
      <c r="N1804" s="5">
        <v>0.0</v>
      </c>
      <c r="O1804" s="5">
        <v>0.05913</v>
      </c>
      <c r="P1804" s="5">
        <v>0.0</v>
      </c>
      <c r="Q1804" s="5">
        <v>0.0</v>
      </c>
    </row>
    <row r="1805" outlineLevel="1">
      <c r="B1805" s="0" t="inlineStr">
        <is>
          <t xml:space="preserve">LABARGE ACQUISITION COMPANY, INC.</t>
        </is>
      </c>
      <c r="C1805" s="0" t="inlineStr">
        <is>
          <t xml:space="preserve">YLJCHWJP8GU4</t>
        </is>
      </c>
      <c r="D1805" s="0" t="inlineStr">
        <is>
          <t xml:space="preserve">-</t>
        </is>
      </c>
      <c r="E1805" s="0" t="inlineStr">
        <is>
          <t xml:space="preserve">-</t>
        </is>
      </c>
      <c r="F1805" s="0" t="inlineStr">
        <is>
          <t xml:space="preserve">-</t>
        </is>
      </c>
      <c r="G1805" s="5">
        <v>0.059053379999999996</v>
      </c>
      <c r="H1805" s="0" t="inlineStr">
        <is>
          <t xml:space="preserve">supplier</t>
        </is>
      </c>
      <c r="I1805" s="0" t="inlineStr">
        <is>
          <t xml:space="preserve">unbucketed</t>
        </is>
      </c>
      <c r="J1805" s="0" t="inlineStr">
        <is>
          <t xml:space="preserve">residual</t>
        </is>
      </c>
      <c r="K1805" s="5">
        <v>0</v>
      </c>
      <c r="L1805" s="5">
        <v>0</v>
      </c>
      <c r="M1805" s="5">
        <v>0.0</v>
      </c>
      <c r="N1805" s="5">
        <v>0.0</v>
      </c>
      <c r="O1805" s="5">
        <v>0.0</v>
      </c>
      <c r="P1805" s="5">
        <v>0.0</v>
      </c>
      <c r="Q1805" s="5">
        <v>0.0</v>
      </c>
    </row>
    <row r="1806" outlineLevel="1">
      <c r="B1806" s="0" t="inlineStr">
        <is>
          <t xml:space="preserve">NEFF EXPANSION PA, LLC</t>
        </is>
      </c>
      <c r="C1806" s="0" t="inlineStr">
        <is>
          <t xml:space="preserve">VE2PJNN8QNM9</t>
        </is>
      </c>
      <c r="D1806" s="0" t="inlineStr">
        <is>
          <t xml:space="preserve">-</t>
        </is>
      </c>
      <c r="E1806" s="0" t="inlineStr">
        <is>
          <t xml:space="preserve">-</t>
        </is>
      </c>
      <c r="F1806" s="0" t="inlineStr">
        <is>
          <t xml:space="preserve">-</t>
        </is>
      </c>
      <c r="G1806" s="5">
        <v>0.05887708999999999</v>
      </c>
      <c r="H1806" s="0" t="inlineStr">
        <is>
          <t xml:space="preserve">supplier</t>
        </is>
      </c>
      <c r="I1806" s="0" t="inlineStr">
        <is>
          <t xml:space="preserve">unbucketed</t>
        </is>
      </c>
      <c r="J1806" s="0" t="inlineStr">
        <is>
          <t xml:space="preserve">residual</t>
        </is>
      </c>
      <c r="K1806" s="5">
        <v>0</v>
      </c>
      <c r="L1806" s="5">
        <v>0</v>
      </c>
      <c r="M1806" s="5">
        <v>0.0</v>
      </c>
      <c r="N1806" s="5">
        <v>0.0</v>
      </c>
      <c r="O1806" s="5">
        <v>0.0</v>
      </c>
      <c r="P1806" s="5">
        <v>0.0</v>
      </c>
      <c r="Q1806" s="5">
        <v>0.0</v>
      </c>
    </row>
    <row r="1807" outlineLevel="1">
      <c r="B1807" s="0" t="inlineStr">
        <is>
          <t xml:space="preserve">HARDWARE SPECIALTY CO INC</t>
        </is>
      </c>
      <c r="C1807" s="0" t="inlineStr">
        <is>
          <t xml:space="preserve">LH2MK7PTDY65</t>
        </is>
      </c>
      <c r="D1807" s="0" t="inlineStr">
        <is>
          <t xml:space="preserve">-</t>
        </is>
      </c>
      <c r="E1807" s="0" t="inlineStr">
        <is>
          <t xml:space="preserve">-</t>
        </is>
      </c>
      <c r="F1807" s="0" t="inlineStr">
        <is>
          <t xml:space="preserve">-</t>
        </is>
      </c>
      <c r="G1807" s="5">
        <v>0.0588684</v>
      </c>
      <c r="H1807" s="0" t="inlineStr">
        <is>
          <t xml:space="preserve">supplier</t>
        </is>
      </c>
      <c r="I1807" s="0" t="inlineStr">
        <is>
          <t xml:space="preserve">unbucketed</t>
        </is>
      </c>
      <c r="J1807" s="0" t="inlineStr">
        <is>
          <t xml:space="preserve">residual</t>
        </is>
      </c>
      <c r="K1807" s="5">
        <v>0</v>
      </c>
      <c r="L1807" s="5">
        <v>0</v>
      </c>
      <c r="M1807" s="5">
        <v>0.0</v>
      </c>
      <c r="N1807" s="5">
        <v>0.0</v>
      </c>
      <c r="O1807" s="5">
        <v>0.0</v>
      </c>
      <c r="P1807" s="5">
        <v>0.0</v>
      </c>
      <c r="Q1807" s="5">
        <v>0.0</v>
      </c>
    </row>
    <row r="1808" outlineLevel="1">
      <c r="B1808" s="0" t="inlineStr">
        <is>
          <t xml:space="preserve">MILDEF, INC.</t>
        </is>
      </c>
      <c r="C1808" s="0" t="inlineStr">
        <is>
          <t xml:space="preserve">S2QBMQHDD299</t>
        </is>
      </c>
      <c r="D1808" s="0" t="inlineStr">
        <is>
          <t xml:space="preserve">-</t>
        </is>
      </c>
      <c r="E1808" s="0" t="inlineStr">
        <is>
          <t xml:space="preserve">-</t>
        </is>
      </c>
      <c r="F1808" s="0" t="inlineStr">
        <is>
          <t xml:space="preserve">-</t>
        </is>
      </c>
      <c r="G1808" s="5">
        <v>0.058736</v>
      </c>
      <c r="H1808" s="0" t="inlineStr">
        <is>
          <t xml:space="preserve">supplier</t>
        </is>
      </c>
      <c r="I1808" s="0" t="inlineStr">
        <is>
          <t xml:space="preserve">unbucketed</t>
        </is>
      </c>
      <c r="J1808" s="0" t="inlineStr">
        <is>
          <t xml:space="preserve">residual</t>
        </is>
      </c>
      <c r="K1808" s="5">
        <v>0</v>
      </c>
      <c r="L1808" s="5">
        <v>0</v>
      </c>
      <c r="M1808" s="5">
        <v>0.0</v>
      </c>
      <c r="N1808" s="5">
        <v>0.0</v>
      </c>
      <c r="O1808" s="5">
        <v>0.0</v>
      </c>
      <c r="P1808" s="5">
        <v>0.0</v>
      </c>
      <c r="Q1808" s="5">
        <v>0.0</v>
      </c>
    </row>
    <row r="1809" outlineLevel="1">
      <c r="B1809" s="0" t="inlineStr">
        <is>
          <t xml:space="preserve">CTI ELECTRONICS CORPORATION</t>
        </is>
      </c>
      <c r="C1809" s="0" t="inlineStr">
        <is>
          <t xml:space="preserve">TM6SS5G67XB4</t>
        </is>
      </c>
      <c r="D1809" s="0" t="inlineStr">
        <is>
          <t xml:space="preserve">-</t>
        </is>
      </c>
      <c r="E1809" s="0" t="inlineStr">
        <is>
          <t xml:space="preserve">-</t>
        </is>
      </c>
      <c r="F1809" s="0" t="inlineStr">
        <is>
          <t xml:space="preserve">-</t>
        </is>
      </c>
      <c r="G1809" s="5">
        <v>0.05841</v>
      </c>
      <c r="H1809" s="0" t="inlineStr">
        <is>
          <t xml:space="preserve">supplier</t>
        </is>
      </c>
      <c r="I1809" s="0" t="inlineStr">
        <is>
          <t xml:space="preserve">unbucketed</t>
        </is>
      </c>
      <c r="J1809" s="0" t="inlineStr">
        <is>
          <t xml:space="preserve">residual</t>
        </is>
      </c>
      <c r="K1809" s="5">
        <v>0</v>
      </c>
      <c r="L1809" s="5">
        <v>0</v>
      </c>
      <c r="M1809" s="5">
        <v>0.0</v>
      </c>
      <c r="N1809" s="5">
        <v>0.0</v>
      </c>
      <c r="O1809" s="5">
        <v>0.0</v>
      </c>
      <c r="P1809" s="5">
        <v>0.0</v>
      </c>
      <c r="Q1809" s="5">
        <v>0.0</v>
      </c>
    </row>
    <row r="1810" outlineLevel="1">
      <c r="B1810" s="0" t="inlineStr">
        <is>
          <t xml:space="preserve">BORING MACHINE CORPORATION</t>
        </is>
      </c>
      <c r="C1810" s="0" t="inlineStr">
        <is>
          <t xml:space="preserve">LLK2PL5TT2C3</t>
        </is>
      </c>
      <c r="D1810" s="0" t="inlineStr">
        <is>
          <t xml:space="preserve">-</t>
        </is>
      </c>
      <c r="E1810" s="0" t="inlineStr">
        <is>
          <t xml:space="preserve">-</t>
        </is>
      </c>
      <c r="F1810" s="0" t="inlineStr">
        <is>
          <t xml:space="preserve">-</t>
        </is>
      </c>
      <c r="G1810" s="5">
        <v>0.058199299999999995</v>
      </c>
      <c r="H1810" s="0" t="inlineStr">
        <is>
          <t xml:space="preserve">supplier</t>
        </is>
      </c>
      <c r="I1810" s="0" t="inlineStr">
        <is>
          <t xml:space="preserve">unbucketed</t>
        </is>
      </c>
      <c r="J1810" s="0" t="inlineStr">
        <is>
          <t xml:space="preserve">residual</t>
        </is>
      </c>
      <c r="K1810" s="5">
        <v>0</v>
      </c>
      <c r="L1810" s="5">
        <v>0</v>
      </c>
      <c r="M1810" s="5">
        <v>0.0</v>
      </c>
      <c r="N1810" s="5">
        <v>0.0</v>
      </c>
      <c r="O1810" s="5">
        <v>0.0</v>
      </c>
      <c r="P1810" s="5">
        <v>0.0</v>
      </c>
      <c r="Q1810" s="5">
        <v>0.0</v>
      </c>
    </row>
    <row r="1811" outlineLevel="1">
      <c r="B1811" s="0" t="inlineStr">
        <is>
          <t xml:space="preserve">COMPONENTS DISTRIBUTORS, INC.</t>
        </is>
      </c>
      <c r="C1811" s="0" t="inlineStr">
        <is>
          <t xml:space="preserve">YEARMS9NL8Q8</t>
        </is>
      </c>
      <c r="D1811" s="0" t="inlineStr">
        <is>
          <t xml:space="preserve">-</t>
        </is>
      </c>
      <c r="E1811" s="0" t="inlineStr">
        <is>
          <t xml:space="preserve">-</t>
        </is>
      </c>
      <c r="F1811" s="0" t="inlineStr">
        <is>
          <t xml:space="preserve">-</t>
        </is>
      </c>
      <c r="G1811" s="5">
        <v>0.058176</v>
      </c>
      <c r="H1811" s="0" t="inlineStr">
        <is>
          <t xml:space="preserve">supplier</t>
        </is>
      </c>
      <c r="I1811" s="0" t="inlineStr">
        <is>
          <t xml:space="preserve">unbucketed</t>
        </is>
      </c>
      <c r="J1811" s="0" t="inlineStr">
        <is>
          <t xml:space="preserve">residual</t>
        </is>
      </c>
      <c r="K1811" s="5">
        <v>0</v>
      </c>
      <c r="L1811" s="5">
        <v>0</v>
      </c>
      <c r="M1811" s="5">
        <v>0.0</v>
      </c>
      <c r="N1811" s="5">
        <v>0.0</v>
      </c>
      <c r="O1811" s="5">
        <v>0.0</v>
      </c>
      <c r="P1811" s="5">
        <v>0.0</v>
      </c>
      <c r="Q1811" s="5">
        <v>0.0</v>
      </c>
    </row>
    <row r="1812" outlineLevel="1">
      <c r="B1812" s="0" t="inlineStr">
        <is>
          <t xml:space="preserve">R.H. LABORATORIES, INC.</t>
        </is>
      </c>
      <c r="C1812" s="0" t="inlineStr">
        <is>
          <t xml:space="preserve">CYJTQSJ2N1L9</t>
        </is>
      </c>
      <c r="D1812" s="0" t="inlineStr">
        <is>
          <t xml:space="preserve">-</t>
        </is>
      </c>
      <c r="E1812" s="0" t="inlineStr">
        <is>
          <t xml:space="preserve">-</t>
        </is>
      </c>
      <c r="F1812" s="0" t="inlineStr">
        <is>
          <t xml:space="preserve">-</t>
        </is>
      </c>
      <c r="G1812" s="5">
        <v>0.05815</v>
      </c>
      <c r="H1812" s="0" t="inlineStr">
        <is>
          <t xml:space="preserve">supplier</t>
        </is>
      </c>
      <c r="I1812" s="0" t="inlineStr">
        <is>
          <t xml:space="preserve">unbucketed</t>
        </is>
      </c>
      <c r="J1812" s="0" t="inlineStr">
        <is>
          <t xml:space="preserve">residual</t>
        </is>
      </c>
      <c r="K1812" s="5">
        <v>0</v>
      </c>
      <c r="L1812" s="5">
        <v>0</v>
      </c>
      <c r="M1812" s="5">
        <v>0.0</v>
      </c>
      <c r="N1812" s="5">
        <v>0.0</v>
      </c>
      <c r="O1812" s="5">
        <v>0.0</v>
      </c>
      <c r="P1812" s="5">
        <v>0.0</v>
      </c>
      <c r="Q1812" s="5">
        <v>0.0</v>
      </c>
    </row>
    <row r="1813" outlineLevel="1">
      <c r="B1813" s="0" t="inlineStr">
        <is>
          <t xml:space="preserve">GENSTAR CAPITAL LLC</t>
        </is>
      </c>
      <c r="C1813" s="0" t="inlineStr">
        <is>
          <t xml:space="preserve">NYEMFJ7MMJB5</t>
        </is>
      </c>
      <c r="D1813" s="0" t="inlineStr">
        <is>
          <t xml:space="preserve">-</t>
        </is>
      </c>
      <c r="E1813" s="0" t="inlineStr">
        <is>
          <t xml:space="preserve">-</t>
        </is>
      </c>
      <c r="F1813" s="0" t="inlineStr">
        <is>
          <t xml:space="preserve">-</t>
        </is>
      </c>
      <c r="G1813" s="5">
        <v>0.057833260000000004</v>
      </c>
      <c r="H1813" s="0" t="inlineStr">
        <is>
          <t xml:space="preserve">supplier</t>
        </is>
      </c>
      <c r="I1813" s="0" t="inlineStr">
        <is>
          <t xml:space="preserve">unbucketed</t>
        </is>
      </c>
      <c r="J1813" s="0" t="inlineStr">
        <is>
          <t xml:space="preserve">residual</t>
        </is>
      </c>
      <c r="K1813" s="5">
        <v>0</v>
      </c>
      <c r="L1813" s="5">
        <v>0</v>
      </c>
      <c r="M1813" s="5">
        <v>0.0</v>
      </c>
      <c r="N1813" s="5">
        <v>0.0</v>
      </c>
      <c r="O1813" s="5">
        <v>0.0</v>
      </c>
      <c r="P1813" s="5">
        <v>0.0</v>
      </c>
      <c r="Q1813" s="5">
        <v>0.0</v>
      </c>
    </row>
    <row r="1814" outlineLevel="1">
      <c r="B1814" s="0" t="inlineStr">
        <is>
          <t xml:space="preserve">DVIGEAR, INC</t>
        </is>
      </c>
      <c r="C1814" s="0" t="inlineStr">
        <is>
          <t xml:space="preserve">LJYEYPK55JX7</t>
        </is>
      </c>
      <c r="D1814" s="0" t="inlineStr">
        <is>
          <t xml:space="preserve">-</t>
        </is>
      </c>
      <c r="E1814" s="0" t="inlineStr">
        <is>
          <t xml:space="preserve">-</t>
        </is>
      </c>
      <c r="F1814" s="0" t="inlineStr">
        <is>
          <t xml:space="preserve">-</t>
        </is>
      </c>
      <c r="G1814" s="5">
        <v>0.057456</v>
      </c>
      <c r="H1814" s="0" t="inlineStr">
        <is>
          <t xml:space="preserve">supplier</t>
        </is>
      </c>
      <c r="I1814" s="0" t="inlineStr">
        <is>
          <t xml:space="preserve">unbucketed</t>
        </is>
      </c>
      <c r="J1814" s="0" t="inlineStr">
        <is>
          <t xml:space="preserve">residual</t>
        </is>
      </c>
      <c r="K1814" s="5">
        <v>0</v>
      </c>
      <c r="L1814" s="5">
        <v>0</v>
      </c>
      <c r="M1814" s="5">
        <v>0.0</v>
      </c>
      <c r="N1814" s="5">
        <v>0.0</v>
      </c>
      <c r="O1814" s="5">
        <v>0.0</v>
      </c>
      <c r="P1814" s="5">
        <v>0.0</v>
      </c>
      <c r="Q1814" s="5">
        <v>0.0</v>
      </c>
    </row>
    <row r="1815" outlineLevel="1">
      <c r="B1815" s="0" t="inlineStr">
        <is>
          <t xml:space="preserve">SALIGA MACHINE CO., INC.</t>
        </is>
      </c>
      <c r="C1815" s="0" t="inlineStr">
        <is>
          <t xml:space="preserve">CUCLG1P4MCK3</t>
        </is>
      </c>
      <c r="D1815" s="0" t="inlineStr">
        <is>
          <t xml:space="preserve">-</t>
        </is>
      </c>
      <c r="E1815" s="0" t="inlineStr">
        <is>
          <t xml:space="preserve">-</t>
        </is>
      </c>
      <c r="F1815" s="0" t="inlineStr">
        <is>
          <t xml:space="preserve">-</t>
        </is>
      </c>
      <c r="G1815" s="5">
        <v>0.057375</v>
      </c>
      <c r="H1815" s="0" t="inlineStr">
        <is>
          <t xml:space="preserve">supplier</t>
        </is>
      </c>
      <c r="I1815" s="0" t="inlineStr">
        <is>
          <t xml:space="preserve">unbucketed</t>
        </is>
      </c>
      <c r="J1815" s="0" t="inlineStr">
        <is>
          <t xml:space="preserve">residual</t>
        </is>
      </c>
      <c r="K1815" s="5">
        <v>0</v>
      </c>
      <c r="L1815" s="5">
        <v>0</v>
      </c>
      <c r="M1815" s="5">
        <v>0.0</v>
      </c>
      <c r="N1815" s="5">
        <v>0.0</v>
      </c>
      <c r="O1815" s="5">
        <v>0.0</v>
      </c>
      <c r="P1815" s="5">
        <v>0.0</v>
      </c>
      <c r="Q1815" s="5">
        <v>0.0</v>
      </c>
    </row>
    <row r="1816" outlineLevel="1">
      <c r="B1816" s="0" t="inlineStr">
        <is>
          <t xml:space="preserve">S &amp; S TOOL AND MACHINE CO.</t>
        </is>
      </c>
      <c r="C1816" s="0" t="inlineStr">
        <is>
          <t xml:space="preserve">Q3MHK5TKXN59</t>
        </is>
      </c>
      <c r="D1816" s="0" t="inlineStr">
        <is>
          <t xml:space="preserve">-</t>
        </is>
      </c>
      <c r="E1816" s="0" t="inlineStr">
        <is>
          <t xml:space="preserve">-</t>
        </is>
      </c>
      <c r="F1816" s="0" t="inlineStr">
        <is>
          <t xml:space="preserve">-</t>
        </is>
      </c>
      <c r="G1816" s="5">
        <v>0.05724</v>
      </c>
      <c r="H1816" s="0" t="inlineStr">
        <is>
          <t xml:space="preserve">supplier</t>
        </is>
      </c>
      <c r="I1816" s="0" t="inlineStr">
        <is>
          <t xml:space="preserve">unbucketed</t>
        </is>
      </c>
      <c r="J1816" s="0" t="inlineStr">
        <is>
          <t xml:space="preserve">residual</t>
        </is>
      </c>
      <c r="K1816" s="5">
        <v>0</v>
      </c>
      <c r="L1816" s="5">
        <v>0</v>
      </c>
      <c r="M1816" s="5">
        <v>0.0</v>
      </c>
      <c r="N1816" s="5">
        <v>0.0</v>
      </c>
      <c r="O1816" s="5">
        <v>0.0</v>
      </c>
      <c r="P1816" s="5">
        <v>0.0</v>
      </c>
      <c r="Q1816" s="5">
        <v>0.0</v>
      </c>
    </row>
    <row r="1817" outlineLevel="1">
      <c r="B1817" s="0" t="inlineStr">
        <is>
          <t xml:space="preserve">INTERWORLD HIGHWAY, LLC</t>
        </is>
      </c>
      <c r="C1817" s="0" t="inlineStr">
        <is>
          <t xml:space="preserve">HB1JG442A567</t>
        </is>
      </c>
      <c r="D1817" s="0" t="inlineStr">
        <is>
          <t xml:space="preserve">-</t>
        </is>
      </c>
      <c r="E1817" s="0" t="inlineStr">
        <is>
          <t xml:space="preserve">-</t>
        </is>
      </c>
      <c r="F1817" s="0" t="inlineStr">
        <is>
          <t xml:space="preserve">-</t>
        </is>
      </c>
      <c r="G1817" s="5">
        <v>0.05717343</v>
      </c>
      <c r="H1817" s="0" t="inlineStr">
        <is>
          <t xml:space="preserve">supplier</t>
        </is>
      </c>
      <c r="I1817" s="0" t="inlineStr">
        <is>
          <t xml:space="preserve">unbucketed</t>
        </is>
      </c>
      <c r="J1817" s="0" t="inlineStr">
        <is>
          <t xml:space="preserve">residual</t>
        </is>
      </c>
      <c r="K1817" s="5">
        <v>0</v>
      </c>
      <c r="L1817" s="5">
        <v>0</v>
      </c>
      <c r="M1817" s="5">
        <v>0.0</v>
      </c>
      <c r="N1817" s="5">
        <v>0.0</v>
      </c>
      <c r="O1817" s="5">
        <v>0.0</v>
      </c>
      <c r="P1817" s="5">
        <v>0.0</v>
      </c>
      <c r="Q1817" s="5">
        <v>0.0</v>
      </c>
    </row>
    <row r="1818" outlineLevel="1">
      <c r="B1818" s="0" t="inlineStr">
        <is>
          <t xml:space="preserve">KEPCO, INC.</t>
        </is>
      </c>
      <c r="C1818" s="0" t="inlineStr">
        <is>
          <t xml:space="preserve">UMMJGGDGGPM9</t>
        </is>
      </c>
      <c r="D1818" s="0" t="inlineStr">
        <is>
          <t xml:space="preserve">-</t>
        </is>
      </c>
      <c r="E1818" s="0" t="inlineStr">
        <is>
          <t xml:space="preserve">-</t>
        </is>
      </c>
      <c r="F1818" s="0" t="inlineStr">
        <is>
          <t xml:space="preserve">-</t>
        </is>
      </c>
      <c r="G1818" s="5">
        <v>0.0569412</v>
      </c>
      <c r="H1818" s="0" t="inlineStr">
        <is>
          <t xml:space="preserve">supplier</t>
        </is>
      </c>
      <c r="I1818" s="0" t="inlineStr">
        <is>
          <t xml:space="preserve">unbucketed</t>
        </is>
      </c>
      <c r="J1818" s="0" t="inlineStr">
        <is>
          <t xml:space="preserve">residual</t>
        </is>
      </c>
      <c r="K1818" s="5">
        <v>0</v>
      </c>
      <c r="L1818" s="5">
        <v>0</v>
      </c>
      <c r="M1818" s="5">
        <v>0.0</v>
      </c>
      <c r="N1818" s="5">
        <v>0.0</v>
      </c>
      <c r="O1818" s="5">
        <v>0.0</v>
      </c>
      <c r="P1818" s="5">
        <v>0.0</v>
      </c>
      <c r="Q1818" s="5">
        <v>0.0</v>
      </c>
    </row>
    <row r="1819" outlineLevel="1">
      <c r="B1819" s="0" t="inlineStr">
        <is>
          <t xml:space="preserve">INDAL TECHNOLOGIES INC.</t>
        </is>
      </c>
      <c r="C1819" s="0" t="inlineStr">
        <is>
          <t xml:space="preserve">HLW2GH7TF2M4</t>
        </is>
      </c>
      <c r="D1819" s="0" t="inlineStr">
        <is>
          <t xml:space="preserve">Foreign</t>
        </is>
      </c>
      <c r="E1819" s="0" t="inlineStr">
        <is>
          <t xml:space="preserve">-</t>
        </is>
      </c>
      <c r="F1819" s="0" t="inlineStr">
        <is>
          <t xml:space="preserve">-</t>
        </is>
      </c>
      <c r="G1819" s="5">
        <v>0.05669121</v>
      </c>
      <c r="H1819" s="0" t="inlineStr">
        <is>
          <t xml:space="preserve">foreign_fms</t>
        </is>
      </c>
      <c r="I1819" s="0" t="inlineStr">
        <is>
          <t xml:space="preserve">-</t>
        </is>
      </c>
      <c r="J1819" s="0" t="inlineStr">
        <is>
          <t xml:space="preserve">foreign flag</t>
        </is>
      </c>
      <c r="K1819" s="5">
        <v>0</v>
      </c>
      <c r="L1819" s="5">
        <v>0</v>
      </c>
      <c r="M1819" s="5">
        <v>0.05669121</v>
      </c>
      <c r="N1819" s="5">
        <v>0.0</v>
      </c>
      <c r="O1819" s="5">
        <v>0.0</v>
      </c>
      <c r="P1819" s="5">
        <v>0.0</v>
      </c>
      <c r="Q1819" s="5">
        <v>0.05669121</v>
      </c>
    </row>
    <row r="1820" outlineLevel="1">
      <c r="B1820" s="0" t="inlineStr">
        <is>
          <t xml:space="preserve">GDCA, INC.</t>
        </is>
      </c>
      <c r="C1820" s="0" t="inlineStr">
        <is>
          <t xml:space="preserve">J319DALQR234</t>
        </is>
      </c>
      <c r="D1820" s="0" t="inlineStr">
        <is>
          <t xml:space="preserve">-</t>
        </is>
      </c>
      <c r="E1820" s="0" t="inlineStr">
        <is>
          <t xml:space="preserve">-</t>
        </is>
      </c>
      <c r="F1820" s="0" t="inlineStr">
        <is>
          <t xml:space="preserve">-</t>
        </is>
      </c>
      <c r="G1820" s="5">
        <v>0.05666</v>
      </c>
      <c r="H1820" s="0" t="inlineStr">
        <is>
          <t xml:space="preserve">supplier</t>
        </is>
      </c>
      <c r="I1820" s="0" t="inlineStr">
        <is>
          <t xml:space="preserve">unbucketed</t>
        </is>
      </c>
      <c r="J1820" s="0" t="inlineStr">
        <is>
          <t xml:space="preserve">residual</t>
        </is>
      </c>
      <c r="K1820" s="5">
        <v>0</v>
      </c>
      <c r="L1820" s="5">
        <v>0</v>
      </c>
      <c r="M1820" s="5">
        <v>0.0</v>
      </c>
      <c r="N1820" s="5">
        <v>0.0</v>
      </c>
      <c r="O1820" s="5">
        <v>0.0</v>
      </c>
      <c r="P1820" s="5">
        <v>0.0</v>
      </c>
      <c r="Q1820" s="5">
        <v>0.0</v>
      </c>
    </row>
    <row r="1821" outlineLevel="1">
      <c r="B1821" s="0" t="inlineStr">
        <is>
          <t xml:space="preserve">SCIENCE APPLICATIONS INTERNATIONAL CORP</t>
        </is>
      </c>
      <c r="C1821" s="0" t="inlineStr">
        <is>
          <t xml:space="preserve">MMLKPW9JLX64</t>
        </is>
      </c>
      <c r="D1821" s="0" t="inlineStr">
        <is>
          <t xml:space="preserve">-</t>
        </is>
      </c>
      <c r="E1821" s="0" t="inlineStr">
        <is>
          <t xml:space="preserve">-</t>
        </is>
      </c>
      <c r="F1821" s="0" t="inlineStr">
        <is>
          <t xml:space="preserve">-</t>
        </is>
      </c>
      <c r="G1821" s="5">
        <v>0.05652471</v>
      </c>
      <c r="H1821" s="0" t="inlineStr">
        <is>
          <t xml:space="preserve">supplier</t>
        </is>
      </c>
      <c r="I1821" s="0" t="inlineStr">
        <is>
          <t xml:space="preserve">unbucketed</t>
        </is>
      </c>
      <c r="J1821" s="0" t="inlineStr">
        <is>
          <t xml:space="preserve">residual</t>
        </is>
      </c>
      <c r="K1821" s="5">
        <v>0</v>
      </c>
      <c r="L1821" s="5">
        <v>0</v>
      </c>
      <c r="M1821" s="5">
        <v>0.0</v>
      </c>
      <c r="N1821" s="5">
        <v>0.0</v>
      </c>
      <c r="O1821" s="5">
        <v>0.0</v>
      </c>
      <c r="P1821" s="5">
        <v>0.0</v>
      </c>
      <c r="Q1821" s="5">
        <v>0.0</v>
      </c>
    </row>
    <row r="1822" outlineLevel="1">
      <c r="B1822" s="0" t="inlineStr">
        <is>
          <t xml:space="preserve">TOTALENERGIES SE</t>
        </is>
      </c>
      <c r="C1822" s="0" t="inlineStr">
        <is>
          <t xml:space="preserve">F4GNMTCCXGM8</t>
        </is>
      </c>
      <c r="D1822" s="0" t="inlineStr">
        <is>
          <t xml:space="preserve">-</t>
        </is>
      </c>
      <c r="E1822" s="0" t="inlineStr">
        <is>
          <t xml:space="preserve">-</t>
        </is>
      </c>
      <c r="F1822" s="0" t="inlineStr">
        <is>
          <t xml:space="preserve">-</t>
        </is>
      </c>
      <c r="G1822" s="5">
        <v>0.056518</v>
      </c>
      <c r="H1822" s="0" t="inlineStr">
        <is>
          <t xml:space="preserve">supplier</t>
        </is>
      </c>
      <c r="I1822" s="0" t="inlineStr">
        <is>
          <t xml:space="preserve">unbucketed</t>
        </is>
      </c>
      <c r="J1822" s="0" t="inlineStr">
        <is>
          <t xml:space="preserve">residual</t>
        </is>
      </c>
      <c r="K1822" s="5">
        <v>0</v>
      </c>
      <c r="L1822" s="5">
        <v>0</v>
      </c>
      <c r="M1822" s="5">
        <v>0.056518</v>
      </c>
      <c r="N1822" s="5">
        <v>0.0</v>
      </c>
      <c r="O1822" s="5">
        <v>0.0</v>
      </c>
      <c r="P1822" s="5">
        <v>0.0</v>
      </c>
      <c r="Q1822" s="5">
        <v>0.0</v>
      </c>
    </row>
    <row r="1823" outlineLevel="1">
      <c r="B1823" s="0" t="inlineStr">
        <is>
          <t xml:space="preserve">ASTRODYNE CORPORATION</t>
        </is>
      </c>
      <c r="C1823" s="0" t="inlineStr">
        <is>
          <t xml:space="preserve">DR23N7NPU5S3</t>
        </is>
      </c>
      <c r="D1823" s="0" t="inlineStr">
        <is>
          <t xml:space="preserve">-</t>
        </is>
      </c>
      <c r="E1823" s="0" t="inlineStr">
        <is>
          <t xml:space="preserve">-</t>
        </is>
      </c>
      <c r="F1823" s="0" t="inlineStr">
        <is>
          <t xml:space="preserve">-</t>
        </is>
      </c>
      <c r="G1823" s="5">
        <v>0.05651673</v>
      </c>
      <c r="H1823" s="0" t="inlineStr">
        <is>
          <t xml:space="preserve">supplier</t>
        </is>
      </c>
      <c r="I1823" s="0" t="inlineStr">
        <is>
          <t xml:space="preserve">unbucketed</t>
        </is>
      </c>
      <c r="J1823" s="0" t="inlineStr">
        <is>
          <t xml:space="preserve">residual</t>
        </is>
      </c>
      <c r="K1823" s="5">
        <v>0</v>
      </c>
      <c r="L1823" s="5">
        <v>0</v>
      </c>
      <c r="M1823" s="5">
        <v>0.0</v>
      </c>
      <c r="N1823" s="5">
        <v>0.0</v>
      </c>
      <c r="O1823" s="5">
        <v>0.0</v>
      </c>
      <c r="P1823" s="5">
        <v>0.0</v>
      </c>
      <c r="Q1823" s="5">
        <v>0.0</v>
      </c>
    </row>
    <row r="1824" outlineLevel="1">
      <c r="B1824" s="0" t="inlineStr">
        <is>
          <t xml:space="preserve">WYMAN-GORDON COMPANY</t>
        </is>
      </c>
      <c r="C1824" s="0" t="inlineStr">
        <is>
          <t xml:space="preserve">XD7QHEVE3NL6</t>
        </is>
      </c>
      <c r="D1824" s="0" t="inlineStr">
        <is>
          <t xml:space="preserve">-</t>
        </is>
      </c>
      <c r="E1824" s="0" t="inlineStr">
        <is>
          <t xml:space="preserve">-</t>
        </is>
      </c>
      <c r="F1824" s="0" t="inlineStr">
        <is>
          <t xml:space="preserve">-</t>
        </is>
      </c>
      <c r="G1824" s="5">
        <v>0.05628</v>
      </c>
      <c r="H1824" s="0" t="inlineStr">
        <is>
          <t xml:space="preserve">supplier</t>
        </is>
      </c>
      <c r="I1824" s="0" t="inlineStr">
        <is>
          <t xml:space="preserve">unbucketed</t>
        </is>
      </c>
      <c r="J1824" s="0" t="inlineStr">
        <is>
          <t xml:space="preserve">residual</t>
        </is>
      </c>
      <c r="K1824" s="5">
        <v>0</v>
      </c>
      <c r="L1824" s="5">
        <v>0</v>
      </c>
      <c r="M1824" s="5">
        <v>0.0</v>
      </c>
      <c r="N1824" s="5">
        <v>0.0</v>
      </c>
      <c r="O1824" s="5">
        <v>0.0</v>
      </c>
      <c r="P1824" s="5">
        <v>0.0</v>
      </c>
      <c r="Q1824" s="5">
        <v>0.0</v>
      </c>
    </row>
    <row r="1825" outlineLevel="1">
      <c r="B1825" s="0" t="inlineStr">
        <is>
          <t xml:space="preserve">COLOSSAL CONTRACTING LLC</t>
        </is>
      </c>
      <c r="C1825" s="0" t="inlineStr">
        <is>
          <t xml:space="preserve">F4M9NB1HD785</t>
        </is>
      </c>
      <c r="D1825" s="0" t="inlineStr">
        <is>
          <t xml:space="preserve">-</t>
        </is>
      </c>
      <c r="E1825" s="0" t="inlineStr">
        <is>
          <t xml:space="preserve">-</t>
        </is>
      </c>
      <c r="F1825" s="0" t="inlineStr">
        <is>
          <t xml:space="preserve">-</t>
        </is>
      </c>
      <c r="G1825" s="5">
        <v>0.056193230000000004</v>
      </c>
      <c r="H1825" s="0" t="inlineStr">
        <is>
          <t xml:space="preserve">supplier</t>
        </is>
      </c>
      <c r="I1825" s="0" t="inlineStr">
        <is>
          <t xml:space="preserve">unbucketed</t>
        </is>
      </c>
      <c r="J1825" s="0" t="inlineStr">
        <is>
          <t xml:space="preserve">residual</t>
        </is>
      </c>
      <c r="K1825" s="5">
        <v>0</v>
      </c>
      <c r="L1825" s="5">
        <v>0</v>
      </c>
      <c r="M1825" s="5">
        <v>0.0</v>
      </c>
      <c r="N1825" s="5">
        <v>0.0</v>
      </c>
      <c r="O1825" s="5">
        <v>0.0</v>
      </c>
      <c r="P1825" s="5">
        <v>0.0</v>
      </c>
      <c r="Q1825" s="5">
        <v>0.0</v>
      </c>
    </row>
    <row r="1826" outlineLevel="1">
      <c r="B1826" s="0" t="inlineStr">
        <is>
          <t xml:space="preserve">PARKER HANNIFIN CORP</t>
        </is>
      </c>
      <c r="C1826" s="0" t="inlineStr">
        <is>
          <t xml:space="preserve">E8YHQMBM7K77</t>
        </is>
      </c>
      <c r="D1826" s="0" t="inlineStr">
        <is>
          <t xml:space="preserve">-</t>
        </is>
      </c>
      <c r="E1826" s="0" t="inlineStr">
        <is>
          <t xml:space="preserve">-</t>
        </is>
      </c>
      <c r="F1826" s="0" t="inlineStr">
        <is>
          <t xml:space="preserve">-</t>
        </is>
      </c>
      <c r="G1826" s="5">
        <v>0.0559325</v>
      </c>
      <c r="H1826" s="0" t="inlineStr">
        <is>
          <t xml:space="preserve">supplier</t>
        </is>
      </c>
      <c r="I1826" s="0" t="inlineStr">
        <is>
          <t xml:space="preserve">unbucketed</t>
        </is>
      </c>
      <c r="J1826" s="0" t="inlineStr">
        <is>
          <t xml:space="preserve">residual</t>
        </is>
      </c>
      <c r="K1826" s="5">
        <v>0</v>
      </c>
      <c r="L1826" s="5">
        <v>0</v>
      </c>
      <c r="M1826" s="5">
        <v>0.0</v>
      </c>
      <c r="N1826" s="5">
        <v>0.0</v>
      </c>
      <c r="O1826" s="5">
        <v>0.0</v>
      </c>
      <c r="P1826" s="5">
        <v>0.0</v>
      </c>
      <c r="Q1826" s="5">
        <v>0.0</v>
      </c>
    </row>
    <row r="1827" outlineLevel="1">
      <c r="B1827" s="0" t="inlineStr">
        <is>
          <t xml:space="preserve">STAVER HYDRAULICS CO INC</t>
        </is>
      </c>
      <c r="C1827" s="0" t="inlineStr">
        <is>
          <t xml:space="preserve">SEMJALE4HBN7</t>
        </is>
      </c>
      <c r="D1827" s="0" t="inlineStr">
        <is>
          <t xml:space="preserve">-</t>
        </is>
      </c>
      <c r="E1827" s="0" t="inlineStr">
        <is>
          <t xml:space="preserve">-</t>
        </is>
      </c>
      <c r="F1827" s="0" t="inlineStr">
        <is>
          <t xml:space="preserve">-</t>
        </is>
      </c>
      <c r="G1827" s="5">
        <v>0.05577375</v>
      </c>
      <c r="H1827" s="0" t="inlineStr">
        <is>
          <t xml:space="preserve">supplier</t>
        </is>
      </c>
      <c r="I1827" s="0" t="inlineStr">
        <is>
          <t xml:space="preserve">unbucketed</t>
        </is>
      </c>
      <c r="J1827" s="0" t="inlineStr">
        <is>
          <t xml:space="preserve">residual</t>
        </is>
      </c>
      <c r="K1827" s="5">
        <v>0</v>
      </c>
      <c r="L1827" s="5">
        <v>0</v>
      </c>
      <c r="M1827" s="5">
        <v>0.0</v>
      </c>
      <c r="N1827" s="5">
        <v>0.0</v>
      </c>
      <c r="O1827" s="5">
        <v>0.0</v>
      </c>
      <c r="P1827" s="5">
        <v>0.0</v>
      </c>
      <c r="Q1827" s="5">
        <v>0.0</v>
      </c>
    </row>
    <row r="1828" outlineLevel="1">
      <c r="B1828" s="0" t="inlineStr">
        <is>
          <t xml:space="preserve">QUALITY THERMISTOR, INC.</t>
        </is>
      </c>
      <c r="C1828" s="0" t="inlineStr">
        <is>
          <t xml:space="preserve">L5MZV21K5DR2</t>
        </is>
      </c>
      <c r="D1828" s="0" t="inlineStr">
        <is>
          <t xml:space="preserve">-</t>
        </is>
      </c>
      <c r="E1828" s="0" t="inlineStr">
        <is>
          <t xml:space="preserve">-</t>
        </is>
      </c>
      <c r="F1828" s="0" t="inlineStr">
        <is>
          <t xml:space="preserve">-</t>
        </is>
      </c>
      <c r="G1828" s="5">
        <v>0.05562</v>
      </c>
      <c r="H1828" s="0" t="inlineStr">
        <is>
          <t xml:space="preserve">supplier</t>
        </is>
      </c>
      <c r="I1828" s="0" t="inlineStr">
        <is>
          <t xml:space="preserve">unbucketed</t>
        </is>
      </c>
      <c r="J1828" s="0" t="inlineStr">
        <is>
          <t xml:space="preserve">residual</t>
        </is>
      </c>
      <c r="K1828" s="5">
        <v>0</v>
      </c>
      <c r="L1828" s="5">
        <v>0</v>
      </c>
      <c r="M1828" s="5">
        <v>0.0</v>
      </c>
      <c r="N1828" s="5">
        <v>0.0</v>
      </c>
      <c r="O1828" s="5">
        <v>0.0</v>
      </c>
      <c r="P1828" s="5">
        <v>0.0</v>
      </c>
      <c r="Q1828" s="5">
        <v>0.0</v>
      </c>
    </row>
    <row r="1829" outlineLevel="1">
      <c r="B1829" s="0" t="inlineStr">
        <is>
          <t xml:space="preserve">STAR CASES LLC</t>
        </is>
      </c>
      <c r="C1829" s="0" t="inlineStr">
        <is>
          <t xml:space="preserve">VMEGZKRSD687</t>
        </is>
      </c>
      <c r="D1829" s="0" t="inlineStr">
        <is>
          <t xml:space="preserve">-</t>
        </is>
      </c>
      <c r="E1829" s="0" t="inlineStr">
        <is>
          <t xml:space="preserve">-</t>
        </is>
      </c>
      <c r="F1829" s="0" t="inlineStr">
        <is>
          <t xml:space="preserve">-</t>
        </is>
      </c>
      <c r="G1829" s="5">
        <v>0.055616769999999996</v>
      </c>
      <c r="H1829" s="0" t="inlineStr">
        <is>
          <t xml:space="preserve">supplier</t>
        </is>
      </c>
      <c r="I1829" s="0" t="inlineStr">
        <is>
          <t xml:space="preserve">unbucketed</t>
        </is>
      </c>
      <c r="J1829" s="0" t="inlineStr">
        <is>
          <t xml:space="preserve">residual</t>
        </is>
      </c>
      <c r="K1829" s="5">
        <v>0</v>
      </c>
      <c r="L1829" s="5">
        <v>0</v>
      </c>
      <c r="M1829" s="5">
        <v>0.0</v>
      </c>
      <c r="N1829" s="5">
        <v>0.0</v>
      </c>
      <c r="O1829" s="5">
        <v>0.0</v>
      </c>
      <c r="P1829" s="5">
        <v>0.0</v>
      </c>
      <c r="Q1829" s="5">
        <v>0.0</v>
      </c>
    </row>
    <row r="1830" outlineLevel="1">
      <c r="B1830" s="0" t="inlineStr">
        <is>
          <t xml:space="preserve">PRECISION GRINDING AND MANUFACTURING CORPORATION</t>
        </is>
      </c>
      <c r="C1830" s="0" t="inlineStr">
        <is>
          <t xml:space="preserve">QEB1F43QCFD7</t>
        </is>
      </c>
      <c r="D1830" s="0" t="inlineStr">
        <is>
          <t xml:space="preserve">-</t>
        </is>
      </c>
      <c r="E1830" s="0" t="inlineStr">
        <is>
          <t xml:space="preserve">-</t>
        </is>
      </c>
      <c r="F1830" s="0" t="inlineStr">
        <is>
          <t xml:space="preserve">-</t>
        </is>
      </c>
      <c r="G1830" s="5">
        <v>0.0554405</v>
      </c>
      <c r="H1830" s="0" t="inlineStr">
        <is>
          <t xml:space="preserve">supplier</t>
        </is>
      </c>
      <c r="I1830" s="0" t="inlineStr">
        <is>
          <t xml:space="preserve">unbucketed</t>
        </is>
      </c>
      <c r="J1830" s="0" t="inlineStr">
        <is>
          <t xml:space="preserve">residual</t>
        </is>
      </c>
      <c r="K1830" s="5">
        <v>0</v>
      </c>
      <c r="L1830" s="5">
        <v>0</v>
      </c>
      <c r="M1830" s="5">
        <v>0.0</v>
      </c>
      <c r="N1830" s="5">
        <v>0.0</v>
      </c>
      <c r="O1830" s="5">
        <v>0.0</v>
      </c>
      <c r="P1830" s="5">
        <v>0.0</v>
      </c>
      <c r="Q1830" s="5">
        <v>0.0</v>
      </c>
    </row>
    <row r="1831" outlineLevel="1">
      <c r="B1831" s="0" t="inlineStr">
        <is>
          <t xml:space="preserve">COTA AVIATION LTD</t>
        </is>
      </c>
      <c r="C1831" s="0" t="inlineStr">
        <is>
          <t xml:space="preserve">UHRMZ7CSN7S6</t>
        </is>
      </c>
      <c r="D1831" s="0" t="inlineStr">
        <is>
          <t xml:space="preserve">Foreign</t>
        </is>
      </c>
      <c r="E1831" s="0" t="inlineStr">
        <is>
          <t xml:space="preserve">-</t>
        </is>
      </c>
      <c r="F1831" s="0" t="inlineStr">
        <is>
          <t xml:space="preserve">-</t>
        </is>
      </c>
      <c r="G1831" s="5">
        <v>0.05536262</v>
      </c>
      <c r="H1831" s="0" t="inlineStr">
        <is>
          <t xml:space="preserve">foreign_fms</t>
        </is>
      </c>
      <c r="I1831" s="0" t="inlineStr">
        <is>
          <t xml:space="preserve">-</t>
        </is>
      </c>
      <c r="J1831" s="0" t="inlineStr">
        <is>
          <t xml:space="preserve">foreign flag</t>
        </is>
      </c>
      <c r="K1831" s="5">
        <v>0</v>
      </c>
      <c r="L1831" s="5">
        <v>0</v>
      </c>
      <c r="M1831" s="5">
        <v>0.0</v>
      </c>
      <c r="N1831" s="5">
        <v>0.0</v>
      </c>
      <c r="O1831" s="5">
        <v>0.0</v>
      </c>
      <c r="P1831" s="5">
        <v>0.0</v>
      </c>
      <c r="Q1831" s="5">
        <v>0.0</v>
      </c>
    </row>
    <row r="1832" outlineLevel="1">
      <c r="B1832" s="0" t="inlineStr">
        <is>
          <t xml:space="preserve">APPLIED INDUSTRIAL TECHNOLOGIES, INC.</t>
        </is>
      </c>
      <c r="C1832" s="0" t="inlineStr">
        <is>
          <t xml:space="preserve">LS77JJSDUXH9</t>
        </is>
      </c>
      <c r="D1832" s="0" t="inlineStr">
        <is>
          <t xml:space="preserve">-</t>
        </is>
      </c>
      <c r="E1832" s="0" t="inlineStr">
        <is>
          <t xml:space="preserve">-</t>
        </is>
      </c>
      <c r="F1832" s="0" t="inlineStr">
        <is>
          <t xml:space="preserve">-</t>
        </is>
      </c>
      <c r="G1832" s="5">
        <v>0.055084</v>
      </c>
      <c r="H1832" s="0" t="inlineStr">
        <is>
          <t xml:space="preserve">supplier</t>
        </is>
      </c>
      <c r="I1832" s="0" t="inlineStr">
        <is>
          <t xml:space="preserve">unbucketed</t>
        </is>
      </c>
      <c r="J1832" s="0" t="inlineStr">
        <is>
          <t xml:space="preserve">residual</t>
        </is>
      </c>
      <c r="K1832" s="5">
        <v>0</v>
      </c>
      <c r="L1832" s="5">
        <v>0</v>
      </c>
      <c r="M1832" s="5">
        <v>0.055084</v>
      </c>
      <c r="N1832" s="5">
        <v>0.0</v>
      </c>
      <c r="O1832" s="5">
        <v>0.0</v>
      </c>
      <c r="P1832" s="5">
        <v>0.0</v>
      </c>
      <c r="Q1832" s="5">
        <v>0.0</v>
      </c>
    </row>
    <row r="1833" outlineLevel="1">
      <c r="B1833" s="0" t="inlineStr">
        <is>
          <t xml:space="preserve">SHIELD TECHNOLOGIES CORPORATION</t>
        </is>
      </c>
      <c r="C1833" s="0" t="inlineStr">
        <is>
          <t xml:space="preserve">GJEXETZX4N96</t>
        </is>
      </c>
      <c r="D1833" s="0" t="inlineStr">
        <is>
          <t xml:space="preserve">-</t>
        </is>
      </c>
      <c r="E1833" s="0" t="inlineStr">
        <is>
          <t xml:space="preserve">-</t>
        </is>
      </c>
      <c r="F1833" s="0" t="inlineStr">
        <is>
          <t xml:space="preserve">-</t>
        </is>
      </c>
      <c r="G1833" s="5">
        <v>0.0550736</v>
      </c>
      <c r="H1833" s="0" t="inlineStr">
        <is>
          <t xml:space="preserve">supplier</t>
        </is>
      </c>
      <c r="I1833" s="0" t="inlineStr">
        <is>
          <t xml:space="preserve">unbucketed</t>
        </is>
      </c>
      <c r="J1833" s="0" t="inlineStr">
        <is>
          <t xml:space="preserve">residual</t>
        </is>
      </c>
      <c r="K1833" s="5">
        <v>0</v>
      </c>
      <c r="L1833" s="5">
        <v>0</v>
      </c>
      <c r="M1833" s="5">
        <v>0.0550736</v>
      </c>
      <c r="N1833" s="5">
        <v>0.0</v>
      </c>
      <c r="O1833" s="5">
        <v>0.0</v>
      </c>
      <c r="P1833" s="5">
        <v>0.0</v>
      </c>
      <c r="Q1833" s="5">
        <v>0.0</v>
      </c>
    </row>
    <row r="1834" outlineLevel="1">
      <c r="B1834" s="0" t="inlineStr">
        <is>
          <t xml:space="preserve">BLAIR SALES INC.</t>
        </is>
      </c>
      <c r="C1834" s="0" t="inlineStr">
        <is>
          <t xml:space="preserve">QGCSLD1BM2M3</t>
        </is>
      </c>
      <c r="D1834" s="0" t="inlineStr">
        <is>
          <t xml:space="preserve">-</t>
        </is>
      </c>
      <c r="E1834" s="0" t="inlineStr">
        <is>
          <t xml:space="preserve">-</t>
        </is>
      </c>
      <c r="F1834" s="0" t="inlineStr">
        <is>
          <t xml:space="preserve">-</t>
        </is>
      </c>
      <c r="G1834" s="5">
        <v>0.055029510000000004</v>
      </c>
      <c r="H1834" s="0" t="inlineStr">
        <is>
          <t xml:space="preserve">supplier</t>
        </is>
      </c>
      <c r="I1834" s="0" t="inlineStr">
        <is>
          <t xml:space="preserve">unbucketed</t>
        </is>
      </c>
      <c r="J1834" s="0" t="inlineStr">
        <is>
          <t xml:space="preserve">residual</t>
        </is>
      </c>
      <c r="K1834" s="5">
        <v>0</v>
      </c>
      <c r="L1834" s="5">
        <v>0</v>
      </c>
      <c r="M1834" s="5">
        <v>0.0</v>
      </c>
      <c r="N1834" s="5">
        <v>0.0</v>
      </c>
      <c r="O1834" s="5">
        <v>0.0</v>
      </c>
      <c r="P1834" s="5">
        <v>0.0</v>
      </c>
      <c r="Q1834" s="5">
        <v>0.0</v>
      </c>
    </row>
    <row r="1835" outlineLevel="1">
      <c r="B1835" s="0" t="inlineStr">
        <is>
          <t xml:space="preserve">GENUINE PARTS COMPANY</t>
        </is>
      </c>
      <c r="C1835" s="0" t="inlineStr">
        <is>
          <t xml:space="preserve">NQTEDLBZJAZ7</t>
        </is>
      </c>
      <c r="D1835" s="0" t="inlineStr">
        <is>
          <t xml:space="preserve">-</t>
        </is>
      </c>
      <c r="E1835" s="0" t="inlineStr">
        <is>
          <t xml:space="preserve">-</t>
        </is>
      </c>
      <c r="F1835" s="0" t="inlineStr">
        <is>
          <t xml:space="preserve">-</t>
        </is>
      </c>
      <c r="G1835" s="5">
        <v>0.05498844</v>
      </c>
      <c r="H1835" s="0" t="inlineStr">
        <is>
          <t xml:space="preserve">supplier</t>
        </is>
      </c>
      <c r="I1835" s="0" t="inlineStr">
        <is>
          <t xml:space="preserve">unbucketed</t>
        </is>
      </c>
      <c r="J1835" s="0" t="inlineStr">
        <is>
          <t xml:space="preserve">residual</t>
        </is>
      </c>
      <c r="K1835" s="5">
        <v>0</v>
      </c>
      <c r="L1835" s="5">
        <v>0</v>
      </c>
      <c r="M1835" s="5">
        <v>0.0</v>
      </c>
      <c r="N1835" s="5">
        <v>0.0</v>
      </c>
      <c r="O1835" s="5">
        <v>0.0</v>
      </c>
      <c r="P1835" s="5">
        <v>0.0</v>
      </c>
      <c r="Q1835" s="5">
        <v>0.0</v>
      </c>
    </row>
    <row r="1836" outlineLevel="1">
      <c r="B1836" s="0" t="inlineStr">
        <is>
          <t xml:space="preserve">ROTARY SYSTEMS, INC.</t>
        </is>
      </c>
      <c r="C1836" s="0" t="inlineStr">
        <is>
          <t xml:space="preserve">WPWATHQ6VMW3</t>
        </is>
      </c>
      <c r="D1836" s="0" t="inlineStr">
        <is>
          <t xml:space="preserve">-</t>
        </is>
      </c>
      <c r="E1836" s="0" t="inlineStr">
        <is>
          <t xml:space="preserve">-</t>
        </is>
      </c>
      <c r="F1836" s="0" t="inlineStr">
        <is>
          <t xml:space="preserve">-</t>
        </is>
      </c>
      <c r="G1836" s="5">
        <v>0.054946</v>
      </c>
      <c r="H1836" s="0" t="inlineStr">
        <is>
          <t xml:space="preserve">supplier</t>
        </is>
      </c>
      <c r="I1836" s="0" t="inlineStr">
        <is>
          <t xml:space="preserve">unbucketed</t>
        </is>
      </c>
      <c r="J1836" s="0" t="inlineStr">
        <is>
          <t xml:space="preserve">residual</t>
        </is>
      </c>
      <c r="K1836" s="5">
        <v>0</v>
      </c>
      <c r="L1836" s="5">
        <v>0</v>
      </c>
      <c r="M1836" s="5">
        <v>0.0</v>
      </c>
      <c r="N1836" s="5">
        <v>0.0</v>
      </c>
      <c r="O1836" s="5">
        <v>0.0</v>
      </c>
      <c r="P1836" s="5">
        <v>0.0</v>
      </c>
      <c r="Q1836" s="5">
        <v>0.0</v>
      </c>
    </row>
    <row r="1837" outlineLevel="1">
      <c r="B1837" s="0" t="inlineStr">
        <is>
          <t xml:space="preserve">HUTCHINSON INDUSTRIES, INC</t>
        </is>
      </c>
      <c r="C1837" s="0" t="inlineStr">
        <is>
          <t xml:space="preserve">F4GNMTCCXGM8</t>
        </is>
      </c>
      <c r="D1837" s="0" t="inlineStr">
        <is>
          <t xml:space="preserve">-</t>
        </is>
      </c>
      <c r="E1837" s="0" t="inlineStr">
        <is>
          <t xml:space="preserve">-</t>
        </is>
      </c>
      <c r="F1837" s="0" t="inlineStr">
        <is>
          <t xml:space="preserve">-</t>
        </is>
      </c>
      <c r="G1837" s="5">
        <v>0.054536919999999996</v>
      </c>
      <c r="H1837" s="0" t="inlineStr">
        <is>
          <t xml:space="preserve">supplier</t>
        </is>
      </c>
      <c r="I1837" s="0" t="inlineStr">
        <is>
          <t xml:space="preserve">unbucketed</t>
        </is>
      </c>
      <c r="J1837" s="0" t="inlineStr">
        <is>
          <t xml:space="preserve">residual</t>
        </is>
      </c>
      <c r="K1837" s="5">
        <v>0</v>
      </c>
      <c r="L1837" s="5">
        <v>0</v>
      </c>
      <c r="M1837" s="5">
        <v>0.054536919999999996</v>
      </c>
      <c r="N1837" s="5">
        <v>0.0</v>
      </c>
      <c r="O1837" s="5">
        <v>0.0</v>
      </c>
      <c r="P1837" s="5">
        <v>0.054536919999999996</v>
      </c>
      <c r="Q1837" s="5">
        <v>0.0</v>
      </c>
    </row>
    <row r="1838" outlineLevel="1">
      <c r="B1838" s="0" t="inlineStr">
        <is>
          <t xml:space="preserve">HILL &amp; SMITH HOLDINGS PLC</t>
        </is>
      </c>
      <c r="C1838" s="0" t="inlineStr">
        <is>
          <t xml:space="preserve">H3R3VV5YN8G4</t>
        </is>
      </c>
      <c r="D1838" s="0" t="inlineStr">
        <is>
          <t xml:space="preserve">-</t>
        </is>
      </c>
      <c r="E1838" s="0" t="inlineStr">
        <is>
          <t xml:space="preserve">-</t>
        </is>
      </c>
      <c r="F1838" s="0" t="inlineStr">
        <is>
          <t xml:space="preserve">-</t>
        </is>
      </c>
      <c r="G1838" s="5">
        <v>0.054331</v>
      </c>
      <c r="H1838" s="0" t="inlineStr">
        <is>
          <t xml:space="preserve">supplier</t>
        </is>
      </c>
      <c r="I1838" s="0" t="inlineStr">
        <is>
          <t xml:space="preserve">unbucketed</t>
        </is>
      </c>
      <c r="J1838" s="0" t="inlineStr">
        <is>
          <t xml:space="preserve">residual</t>
        </is>
      </c>
      <c r="K1838" s="5">
        <v>0</v>
      </c>
      <c r="L1838" s="5">
        <v>0</v>
      </c>
      <c r="M1838" s="5">
        <v>0.054331</v>
      </c>
      <c r="N1838" s="5">
        <v>0.0</v>
      </c>
      <c r="O1838" s="5">
        <v>0.0</v>
      </c>
      <c r="P1838" s="5">
        <v>0.0</v>
      </c>
      <c r="Q1838" s="5">
        <v>0.0</v>
      </c>
    </row>
    <row r="1839" outlineLevel="1">
      <c r="B1839" s="0" t="inlineStr">
        <is>
          <t xml:space="preserve">THOMPSON SUPPLY CO INC</t>
        </is>
      </c>
      <c r="C1839" s="0" t="inlineStr">
        <is>
          <t xml:space="preserve">JUN5EFMB2NZ7</t>
        </is>
      </c>
      <c r="D1839" s="0" t="inlineStr">
        <is>
          <t xml:space="preserve">-</t>
        </is>
      </c>
      <c r="E1839" s="0" t="inlineStr">
        <is>
          <t xml:space="preserve">-</t>
        </is>
      </c>
      <c r="F1839" s="0" t="inlineStr">
        <is>
          <t xml:space="preserve">-</t>
        </is>
      </c>
      <c r="G1839" s="5">
        <v>0.05420844</v>
      </c>
      <c r="H1839" s="0" t="inlineStr">
        <is>
          <t xml:space="preserve">supplier</t>
        </is>
      </c>
      <c r="I1839" s="0" t="inlineStr">
        <is>
          <t xml:space="preserve">unbucketed</t>
        </is>
      </c>
      <c r="J1839" s="0" t="inlineStr">
        <is>
          <t xml:space="preserve">residual</t>
        </is>
      </c>
      <c r="K1839" s="5">
        <v>0</v>
      </c>
      <c r="L1839" s="5">
        <v>0</v>
      </c>
      <c r="M1839" s="5">
        <v>0.05420844</v>
      </c>
      <c r="N1839" s="5">
        <v>0.0</v>
      </c>
      <c r="O1839" s="5">
        <v>0.05420844</v>
      </c>
      <c r="P1839" s="5">
        <v>0.0</v>
      </c>
      <c r="Q1839" s="5">
        <v>0.0</v>
      </c>
    </row>
    <row r="1840" outlineLevel="1">
      <c r="B1840" s="0" t="inlineStr">
        <is>
          <t xml:space="preserve">HIGH AVAILABILITY SOLUTIONS LLC</t>
        </is>
      </c>
      <c r="C1840" s="0" t="inlineStr">
        <is>
          <t xml:space="preserve">KMEEBKSC8Z83</t>
        </is>
      </c>
      <c r="D1840" s="0" t="inlineStr">
        <is>
          <t xml:space="preserve">-</t>
        </is>
      </c>
      <c r="E1840" s="0" t="inlineStr">
        <is>
          <t xml:space="preserve">-</t>
        </is>
      </c>
      <c r="F1840" s="0" t="inlineStr">
        <is>
          <t xml:space="preserve">-</t>
        </is>
      </c>
      <c r="G1840" s="5">
        <v>0.054000000000000006</v>
      </c>
      <c r="H1840" s="0" t="inlineStr">
        <is>
          <t xml:space="preserve">supplier</t>
        </is>
      </c>
      <c r="I1840" s="0" t="inlineStr">
        <is>
          <t xml:space="preserve">unbucketed</t>
        </is>
      </c>
      <c r="J1840" s="0" t="inlineStr">
        <is>
          <t xml:space="preserve">residual</t>
        </is>
      </c>
      <c r="K1840" s="5">
        <v>0</v>
      </c>
      <c r="L1840" s="5">
        <v>0</v>
      </c>
      <c r="M1840" s="5">
        <v>0.0</v>
      </c>
      <c r="N1840" s="5">
        <v>0.0</v>
      </c>
      <c r="O1840" s="5">
        <v>0.0</v>
      </c>
      <c r="P1840" s="5">
        <v>0.0</v>
      </c>
      <c r="Q1840" s="5">
        <v>0.0</v>
      </c>
    </row>
    <row r="1841" outlineLevel="1">
      <c r="B1841" s="0" t="inlineStr">
        <is>
          <t xml:space="preserve">CITRIX SYSTEMS, INC.</t>
        </is>
      </c>
      <c r="C1841" s="0" t="inlineStr">
        <is>
          <t xml:space="preserve">ND4YRE2B35N5</t>
        </is>
      </c>
      <c r="D1841" s="0" t="inlineStr">
        <is>
          <t xml:space="preserve">-</t>
        </is>
      </c>
      <c r="E1841" s="0" t="inlineStr">
        <is>
          <t xml:space="preserve">-</t>
        </is>
      </c>
      <c r="F1841" s="0" t="inlineStr">
        <is>
          <t xml:space="preserve">-</t>
        </is>
      </c>
      <c r="G1841" s="5">
        <v>0.054</v>
      </c>
      <c r="H1841" s="0" t="inlineStr">
        <is>
          <t xml:space="preserve">supplier</t>
        </is>
      </c>
      <c r="I1841" s="0" t="inlineStr">
        <is>
          <t xml:space="preserve">unbucketed</t>
        </is>
      </c>
      <c r="J1841" s="0" t="inlineStr">
        <is>
          <t xml:space="preserve">residual</t>
        </is>
      </c>
      <c r="K1841" s="5">
        <v>0</v>
      </c>
      <c r="L1841" s="5">
        <v>0</v>
      </c>
      <c r="M1841" s="5">
        <v>0.0</v>
      </c>
      <c r="N1841" s="5">
        <v>0.0</v>
      </c>
      <c r="O1841" s="5">
        <v>0.0</v>
      </c>
      <c r="P1841" s="5">
        <v>0.0</v>
      </c>
      <c r="Q1841" s="5">
        <v>0.0</v>
      </c>
    </row>
    <row r="1842" outlineLevel="1">
      <c r="B1842" s="0" t="inlineStr">
        <is>
          <t xml:space="preserve">SIOUX MANUFACTURING CORP</t>
        </is>
      </c>
      <c r="C1842" s="0" t="inlineStr">
        <is>
          <t xml:space="preserve">GV6WMAJUK1R9</t>
        </is>
      </c>
      <c r="D1842" s="0" t="inlineStr">
        <is>
          <t xml:space="preserve">USA</t>
        </is>
      </c>
      <c r="E1842" s="0" t="inlineStr">
        <is>
          <t xml:space="preserve">3369</t>
        </is>
      </c>
      <c r="F1842" s="0" t="inlineStr">
        <is>
          <t xml:space="preserve">Military Armored Vehicle, Tank, and Tank Component Manufacturing</t>
        </is>
      </c>
      <c r="G1842" s="5">
        <v>0.053992</v>
      </c>
      <c r="H1842" s="0" t="inlineStr">
        <is>
          <t xml:space="preserve">supplier</t>
        </is>
      </c>
      <c r="I1842" s="0" t="inlineStr">
        <is>
          <t xml:space="preserve">structural</t>
        </is>
      </c>
      <c r="J1842" s="0" t="inlineStr">
        <is>
          <t xml:space="preserve">registry</t>
        </is>
      </c>
      <c r="K1842" s="5">
        <v>0</v>
      </c>
      <c r="L1842" s="5">
        <v>0</v>
      </c>
      <c r="M1842" s="5">
        <v>0.0</v>
      </c>
      <c r="N1842" s="5">
        <v>0.0</v>
      </c>
      <c r="O1842" s="5">
        <v>0.0</v>
      </c>
      <c r="P1842" s="5">
        <v>0.0</v>
      </c>
      <c r="Q1842" s="5">
        <v>0.0</v>
      </c>
    </row>
    <row r="1843" outlineLevel="1">
      <c r="B1843" s="0" t="inlineStr">
        <is>
          <t xml:space="preserve">JACKSON PLATING CO</t>
        </is>
      </c>
      <c r="C1843" s="0" t="inlineStr">
        <is>
          <t xml:space="preserve">JL4THZCMNKR7</t>
        </is>
      </c>
      <c r="D1843" s="0" t="inlineStr">
        <is>
          <t xml:space="preserve">-</t>
        </is>
      </c>
      <c r="E1843" s="0" t="inlineStr">
        <is>
          <t xml:space="preserve">-</t>
        </is>
      </c>
      <c r="F1843" s="0" t="inlineStr">
        <is>
          <t xml:space="preserve">-</t>
        </is>
      </c>
      <c r="G1843" s="5">
        <v>0.05374776</v>
      </c>
      <c r="H1843" s="0" t="inlineStr">
        <is>
          <t xml:space="preserve">supplier</t>
        </is>
      </c>
      <c r="I1843" s="0" t="inlineStr">
        <is>
          <t xml:space="preserve">unbucketed</t>
        </is>
      </c>
      <c r="J1843" s="0" t="inlineStr">
        <is>
          <t xml:space="preserve">residual</t>
        </is>
      </c>
      <c r="K1843" s="5">
        <v>0</v>
      </c>
      <c r="L1843" s="5">
        <v>0</v>
      </c>
      <c r="M1843" s="5">
        <v>0.05374776</v>
      </c>
      <c r="N1843" s="5">
        <v>0.0</v>
      </c>
      <c r="O1843" s="5">
        <v>0.0</v>
      </c>
      <c r="P1843" s="5">
        <v>0.0</v>
      </c>
      <c r="Q1843" s="5">
        <v>0.05374776</v>
      </c>
    </row>
    <row r="1844" outlineLevel="1">
      <c r="B1844" s="0" t="inlineStr">
        <is>
          <t xml:space="preserve">FLIP ELECTRONICS LLC</t>
        </is>
      </c>
      <c r="C1844" s="0" t="inlineStr">
        <is>
          <t xml:space="preserve">RWTDJN9DJ243</t>
        </is>
      </c>
      <c r="D1844" s="0" t="inlineStr">
        <is>
          <t xml:space="preserve">-</t>
        </is>
      </c>
      <c r="E1844" s="0" t="inlineStr">
        <is>
          <t xml:space="preserve">-</t>
        </is>
      </c>
      <c r="F1844" s="0" t="inlineStr">
        <is>
          <t xml:space="preserve">-</t>
        </is>
      </c>
      <c r="G1844" s="5">
        <v>0.053544</v>
      </c>
      <c r="H1844" s="0" t="inlineStr">
        <is>
          <t xml:space="preserve">supplier</t>
        </is>
      </c>
      <c r="I1844" s="0" t="inlineStr">
        <is>
          <t xml:space="preserve">unbucketed</t>
        </is>
      </c>
      <c r="J1844" s="0" t="inlineStr">
        <is>
          <t xml:space="preserve">residual</t>
        </is>
      </c>
      <c r="K1844" s="5">
        <v>0</v>
      </c>
      <c r="L1844" s="5">
        <v>0</v>
      </c>
      <c r="M1844" s="5">
        <v>0.0</v>
      </c>
      <c r="N1844" s="5">
        <v>0.0</v>
      </c>
      <c r="O1844" s="5">
        <v>0.0</v>
      </c>
      <c r="P1844" s="5">
        <v>0.0</v>
      </c>
      <c r="Q1844" s="5">
        <v>0.0</v>
      </c>
    </row>
    <row r="1845" outlineLevel="1">
      <c r="B1845" s="0" t="inlineStr">
        <is>
          <t xml:space="preserve">IDEAL SUPPLY, INC.</t>
        </is>
      </c>
      <c r="C1845" s="0" t="inlineStr">
        <is>
          <t xml:space="preserve">GC3AEESM5MT3</t>
        </is>
      </c>
      <c r="D1845" s="0" t="inlineStr">
        <is>
          <t xml:space="preserve">-</t>
        </is>
      </c>
      <c r="E1845" s="0" t="inlineStr">
        <is>
          <t xml:space="preserve">-</t>
        </is>
      </c>
      <c r="F1845" s="0" t="inlineStr">
        <is>
          <t xml:space="preserve">-</t>
        </is>
      </c>
      <c r="G1845" s="5">
        <v>0.05351665</v>
      </c>
      <c r="H1845" s="0" t="inlineStr">
        <is>
          <t xml:space="preserve">supplier</t>
        </is>
      </c>
      <c r="I1845" s="0" t="inlineStr">
        <is>
          <t xml:space="preserve">unbucketed</t>
        </is>
      </c>
      <c r="J1845" s="0" t="inlineStr">
        <is>
          <t xml:space="preserve">residual</t>
        </is>
      </c>
      <c r="K1845" s="5">
        <v>0</v>
      </c>
      <c r="L1845" s="5">
        <v>0</v>
      </c>
      <c r="M1845" s="5">
        <v>0.05351665</v>
      </c>
      <c r="N1845" s="5">
        <v>0.0</v>
      </c>
      <c r="O1845" s="5">
        <v>0.05351665</v>
      </c>
      <c r="P1845" s="5">
        <v>0.0</v>
      </c>
      <c r="Q1845" s="5">
        <v>0.0</v>
      </c>
    </row>
    <row r="1846" outlineLevel="1">
      <c r="B1846" s="0" t="inlineStr">
        <is>
          <t xml:space="preserve">TELEDYNE INSTRUMENTS INC</t>
        </is>
      </c>
      <c r="C1846" s="0" t="inlineStr">
        <is>
          <t xml:space="preserve">PAH8M4BJACA5</t>
        </is>
      </c>
      <c r="D1846" s="0" t="inlineStr">
        <is>
          <t xml:space="preserve">-</t>
        </is>
      </c>
      <c r="E1846" s="0" t="inlineStr">
        <is>
          <t xml:space="preserve">-</t>
        </is>
      </c>
      <c r="F1846" s="0" t="inlineStr">
        <is>
          <t xml:space="preserve">-</t>
        </is>
      </c>
      <c r="G1846" s="5">
        <v>0.053207</v>
      </c>
      <c r="H1846" s="0" t="inlineStr">
        <is>
          <t xml:space="preserve">mission_systems</t>
        </is>
      </c>
      <c r="I1846" s="0" t="inlineStr">
        <is>
          <t xml:space="preserve">-</t>
        </is>
      </c>
      <c r="J1846" s="0" t="inlineStr">
        <is>
          <t xml:space="preserve">registry</t>
        </is>
      </c>
      <c r="K1846" s="5">
        <v>0</v>
      </c>
      <c r="L1846" s="5">
        <v>0</v>
      </c>
      <c r="M1846" s="5">
        <v>0.053207</v>
      </c>
      <c r="N1846" s="5">
        <v>0.0</v>
      </c>
      <c r="O1846" s="5">
        <v>0.053207</v>
      </c>
      <c r="P1846" s="5">
        <v>0.0</v>
      </c>
      <c r="Q1846" s="5">
        <v>0.0</v>
      </c>
    </row>
    <row r="1847" outlineLevel="1">
      <c r="B1847" s="0" t="inlineStr">
        <is>
          <t xml:space="preserve">BOYD CORPORATION (WOBURN), INC.</t>
        </is>
      </c>
      <c r="C1847" s="0" t="inlineStr">
        <is>
          <t xml:space="preserve">FJ8NY24LFMM8</t>
        </is>
      </c>
      <c r="D1847" s="0" t="inlineStr">
        <is>
          <t xml:space="preserve">-</t>
        </is>
      </c>
      <c r="E1847" s="0" t="inlineStr">
        <is>
          <t xml:space="preserve">-</t>
        </is>
      </c>
      <c r="F1847" s="0" t="inlineStr">
        <is>
          <t xml:space="preserve">-</t>
        </is>
      </c>
      <c r="G1847" s="5">
        <v>0.052767</v>
      </c>
      <c r="H1847" s="0" t="inlineStr">
        <is>
          <t xml:space="preserve">supplier</t>
        </is>
      </c>
      <c r="I1847" s="0" t="inlineStr">
        <is>
          <t xml:space="preserve">unbucketed</t>
        </is>
      </c>
      <c r="J1847" s="0" t="inlineStr">
        <is>
          <t xml:space="preserve">residual</t>
        </is>
      </c>
      <c r="K1847" s="5">
        <v>0</v>
      </c>
      <c r="L1847" s="5">
        <v>0</v>
      </c>
      <c r="M1847" s="5">
        <v>0.0</v>
      </c>
      <c r="N1847" s="5">
        <v>0.0</v>
      </c>
      <c r="O1847" s="5">
        <v>0.0</v>
      </c>
      <c r="P1847" s="5">
        <v>0.0</v>
      </c>
      <c r="Q1847" s="5">
        <v>0.0</v>
      </c>
    </row>
    <row r="1848" outlineLevel="1">
      <c r="B1848" s="0" t="inlineStr">
        <is>
          <t xml:space="preserve">CABLE ASSOCIATES, INC.</t>
        </is>
      </c>
      <c r="C1848" s="0" t="inlineStr">
        <is>
          <t xml:space="preserve">C5DYFZEMMLE5</t>
        </is>
      </c>
      <c r="D1848" s="0" t="inlineStr">
        <is>
          <t xml:space="preserve">-</t>
        </is>
      </c>
      <c r="E1848" s="0" t="inlineStr">
        <is>
          <t xml:space="preserve">-</t>
        </is>
      </c>
      <c r="F1848" s="0" t="inlineStr">
        <is>
          <t xml:space="preserve">-</t>
        </is>
      </c>
      <c r="G1848" s="5">
        <v>0.052670669999999996</v>
      </c>
      <c r="H1848" s="0" t="inlineStr">
        <is>
          <t xml:space="preserve">supplier</t>
        </is>
      </c>
      <c r="I1848" s="0" t="inlineStr">
        <is>
          <t xml:space="preserve">unbucketed</t>
        </is>
      </c>
      <c r="J1848" s="0" t="inlineStr">
        <is>
          <t xml:space="preserve">residual</t>
        </is>
      </c>
      <c r="K1848" s="5">
        <v>0</v>
      </c>
      <c r="L1848" s="5">
        <v>0</v>
      </c>
      <c r="M1848" s="5">
        <v>0.0</v>
      </c>
      <c r="N1848" s="5">
        <v>0.0</v>
      </c>
      <c r="O1848" s="5">
        <v>0.0</v>
      </c>
      <c r="P1848" s="5">
        <v>0.0</v>
      </c>
      <c r="Q1848" s="5">
        <v>0.0</v>
      </c>
    </row>
    <row r="1849" outlineLevel="1">
      <c r="B1849" s="0" t="inlineStr">
        <is>
          <t xml:space="preserve">IMPRES TECHNOLOGY SOLUTIONS, INC.</t>
        </is>
      </c>
      <c r="C1849" s="0" t="inlineStr">
        <is>
          <t xml:space="preserve">MSSQQ551LG41</t>
        </is>
      </c>
      <c r="D1849" s="0" t="inlineStr">
        <is>
          <t xml:space="preserve">-</t>
        </is>
      </c>
      <c r="E1849" s="0" t="inlineStr">
        <is>
          <t xml:space="preserve">-</t>
        </is>
      </c>
      <c r="F1849" s="0" t="inlineStr">
        <is>
          <t xml:space="preserve">-</t>
        </is>
      </c>
      <c r="G1849" s="5">
        <v>0.052636199999999994</v>
      </c>
      <c r="H1849" s="0" t="inlineStr">
        <is>
          <t xml:space="preserve">supplier</t>
        </is>
      </c>
      <c r="I1849" s="0" t="inlineStr">
        <is>
          <t xml:space="preserve">unbucketed</t>
        </is>
      </c>
      <c r="J1849" s="0" t="inlineStr">
        <is>
          <t xml:space="preserve">residual</t>
        </is>
      </c>
      <c r="K1849" s="5">
        <v>0</v>
      </c>
      <c r="L1849" s="5">
        <v>0</v>
      </c>
      <c r="M1849" s="5">
        <v>0.052636199999999994</v>
      </c>
      <c r="N1849" s="5">
        <v>0.0</v>
      </c>
      <c r="O1849" s="5">
        <v>0.0</v>
      </c>
      <c r="P1849" s="5">
        <v>0.0</v>
      </c>
      <c r="Q1849" s="5">
        <v>0.0</v>
      </c>
    </row>
    <row r="1850" outlineLevel="1">
      <c r="B1850" s="0" t="inlineStr">
        <is>
          <t xml:space="preserve">EMC TECHNOLOGIES, INC.</t>
        </is>
      </c>
      <c r="C1850" s="0" t="inlineStr">
        <is>
          <t xml:space="preserve">Q815GFUE6VD9</t>
        </is>
      </c>
      <c r="D1850" s="0" t="inlineStr">
        <is>
          <t xml:space="preserve">-</t>
        </is>
      </c>
      <c r="E1850" s="0" t="inlineStr">
        <is>
          <t xml:space="preserve">-</t>
        </is>
      </c>
      <c r="F1850" s="0" t="inlineStr">
        <is>
          <t xml:space="preserve">-</t>
        </is>
      </c>
      <c r="G1850" s="5">
        <v>0.052558</v>
      </c>
      <c r="H1850" s="0" t="inlineStr">
        <is>
          <t xml:space="preserve">supplier</t>
        </is>
      </c>
      <c r="I1850" s="0" t="inlineStr">
        <is>
          <t xml:space="preserve">unbucketed</t>
        </is>
      </c>
      <c r="J1850" s="0" t="inlineStr">
        <is>
          <t xml:space="preserve">residual</t>
        </is>
      </c>
      <c r="K1850" s="5">
        <v>0</v>
      </c>
      <c r="L1850" s="5">
        <v>0</v>
      </c>
      <c r="M1850" s="5">
        <v>0.0</v>
      </c>
      <c r="N1850" s="5">
        <v>0.0</v>
      </c>
      <c r="O1850" s="5">
        <v>0.0</v>
      </c>
      <c r="P1850" s="5">
        <v>0.0</v>
      </c>
      <c r="Q1850" s="5">
        <v>0.0</v>
      </c>
    </row>
    <row r="1851" outlineLevel="1">
      <c r="B1851" s="0" t="inlineStr">
        <is>
          <t xml:space="preserve">CHANNEL COMP, LLC</t>
        </is>
      </c>
      <c r="C1851" s="0" t="inlineStr">
        <is>
          <t xml:space="preserve">H5CHKV1UHTP3</t>
        </is>
      </c>
      <c r="D1851" s="0" t="inlineStr">
        <is>
          <t xml:space="preserve">-</t>
        </is>
      </c>
      <c r="E1851" s="0" t="inlineStr">
        <is>
          <t xml:space="preserve">-</t>
        </is>
      </c>
      <c r="F1851" s="0" t="inlineStr">
        <is>
          <t xml:space="preserve">-</t>
        </is>
      </c>
      <c r="G1851" s="5">
        <v>0.05238814</v>
      </c>
      <c r="H1851" s="0" t="inlineStr">
        <is>
          <t xml:space="preserve">supplier</t>
        </is>
      </c>
      <c r="I1851" s="0" t="inlineStr">
        <is>
          <t xml:space="preserve">unbucketed</t>
        </is>
      </c>
      <c r="J1851" s="0" t="inlineStr">
        <is>
          <t xml:space="preserve">residual</t>
        </is>
      </c>
      <c r="K1851" s="5">
        <v>0</v>
      </c>
      <c r="L1851" s="5">
        <v>0</v>
      </c>
      <c r="M1851" s="5">
        <v>0.0</v>
      </c>
      <c r="N1851" s="5">
        <v>0.0</v>
      </c>
      <c r="O1851" s="5">
        <v>0.0</v>
      </c>
      <c r="P1851" s="5">
        <v>0.0</v>
      </c>
      <c r="Q1851" s="5">
        <v>0.0</v>
      </c>
    </row>
    <row r="1852" outlineLevel="1">
      <c r="B1852" s="0" t="inlineStr">
        <is>
          <t xml:space="preserve">GOODRICH CORPORATION</t>
        </is>
      </c>
      <c r="C1852" s="0" t="inlineStr">
        <is>
          <t xml:space="preserve">E6UBH1UE4UJ5</t>
        </is>
      </c>
      <c r="D1852" s="0" t="inlineStr">
        <is>
          <t xml:space="preserve">-</t>
        </is>
      </c>
      <c r="E1852" s="0" t="inlineStr">
        <is>
          <t xml:space="preserve">-</t>
        </is>
      </c>
      <c r="F1852" s="0" t="inlineStr">
        <is>
          <t xml:space="preserve">-</t>
        </is>
      </c>
      <c r="G1852" s="5">
        <v>0.052294</v>
      </c>
      <c r="H1852" s="0" t="inlineStr">
        <is>
          <t xml:space="preserve">supplier</t>
        </is>
      </c>
      <c r="I1852" s="0" t="inlineStr">
        <is>
          <t xml:space="preserve">unbucketed</t>
        </is>
      </c>
      <c r="J1852" s="0" t="inlineStr">
        <is>
          <t xml:space="preserve">residual</t>
        </is>
      </c>
      <c r="K1852" s="5">
        <v>0</v>
      </c>
      <c r="L1852" s="5">
        <v>0</v>
      </c>
      <c r="M1852" s="5">
        <v>0.0</v>
      </c>
      <c r="N1852" s="5">
        <v>0.0</v>
      </c>
      <c r="O1852" s="5">
        <v>0.0</v>
      </c>
      <c r="P1852" s="5">
        <v>0.0</v>
      </c>
      <c r="Q1852" s="5">
        <v>0.0</v>
      </c>
    </row>
    <row r="1853" outlineLevel="1">
      <c r="B1853" s="0" t="inlineStr">
        <is>
          <t xml:space="preserve">PARKER HANNIFIN CORPORATION</t>
        </is>
      </c>
      <c r="C1853" s="0" t="inlineStr">
        <is>
          <t xml:space="preserve">N5KMLMXEPFM5</t>
        </is>
      </c>
      <c r="D1853" s="0" t="inlineStr">
        <is>
          <t xml:space="preserve">-</t>
        </is>
      </c>
      <c r="E1853" s="0" t="inlineStr">
        <is>
          <t xml:space="preserve">-</t>
        </is>
      </c>
      <c r="F1853" s="0" t="inlineStr">
        <is>
          <t xml:space="preserve">-</t>
        </is>
      </c>
      <c r="G1853" s="5">
        <v>0.051912</v>
      </c>
      <c r="H1853" s="0" t="inlineStr">
        <is>
          <t xml:space="preserve">supplier</t>
        </is>
      </c>
      <c r="I1853" s="0" t="inlineStr">
        <is>
          <t xml:space="preserve">piping</t>
        </is>
      </c>
      <c r="J1853" s="0" t="inlineStr">
        <is>
          <t xml:space="preserve">registry</t>
        </is>
      </c>
      <c r="K1853" s="5">
        <v>0</v>
      </c>
      <c r="L1853" s="5">
        <v>0</v>
      </c>
      <c r="M1853" s="5">
        <v>0.051912</v>
      </c>
      <c r="N1853" s="5">
        <v>0.0</v>
      </c>
      <c r="O1853" s="5">
        <v>0.0</v>
      </c>
      <c r="P1853" s="5">
        <v>0.0</v>
      </c>
      <c r="Q1853" s="5">
        <v>0.0</v>
      </c>
    </row>
    <row r="1854" outlineLevel="1">
      <c r="B1854" s="0" t="inlineStr">
        <is>
          <t xml:space="preserve">PARKER-HANNIFIN CORPORATION</t>
        </is>
      </c>
      <c r="C1854" s="0" t="inlineStr">
        <is>
          <t xml:space="preserve">GATMHEB7K6N3</t>
        </is>
      </c>
      <c r="D1854" s="0" t="inlineStr">
        <is>
          <t xml:space="preserve">USA</t>
        </is>
      </c>
      <c r="E1854" s="0" t="inlineStr">
        <is>
          <t xml:space="preserve">5511</t>
        </is>
      </c>
      <c r="F1854" s="0" t="inlineStr">
        <is>
          <t xml:space="preserve">Corporate, Subsidiary, and Regional Managing Offices</t>
        </is>
      </c>
      <c r="G1854" s="5">
        <v>0.051839199999999995</v>
      </c>
      <c r="H1854" s="0" t="inlineStr">
        <is>
          <t xml:space="preserve">holding</t>
        </is>
      </c>
      <c r="I1854" s="0" t="inlineStr">
        <is>
          <t xml:space="preserve">-</t>
        </is>
      </c>
      <c r="J1854" s="0" t="inlineStr">
        <is>
          <t xml:space="preserve">holding-co (5511)</t>
        </is>
      </c>
      <c r="K1854" s="5">
        <v>0</v>
      </c>
      <c r="L1854" s="5">
        <v>0</v>
      </c>
      <c r="M1854" s="5">
        <v>0.0</v>
      </c>
      <c r="N1854" s="5">
        <v>0.0</v>
      </c>
      <c r="O1854" s="5">
        <v>0.0</v>
      </c>
      <c r="P1854" s="5">
        <v>0.0</v>
      </c>
      <c r="Q1854" s="5">
        <v>0.0</v>
      </c>
    </row>
    <row r="1855" outlineLevel="1">
      <c r="B1855" s="0" t="inlineStr">
        <is>
          <t xml:space="preserve">MILLER ELECTRIC COMPANY</t>
        </is>
      </c>
      <c r="C1855" s="0" t="inlineStr">
        <is>
          <t xml:space="preserve">FQDYM8GWH4K5</t>
        </is>
      </c>
      <c r="D1855" s="0" t="inlineStr">
        <is>
          <t xml:space="preserve">-</t>
        </is>
      </c>
      <c r="E1855" s="0" t="inlineStr">
        <is>
          <t xml:space="preserve">-</t>
        </is>
      </c>
      <c r="F1855" s="0" t="inlineStr">
        <is>
          <t xml:space="preserve">-</t>
        </is>
      </c>
      <c r="G1855" s="5">
        <v>0.051631</v>
      </c>
      <c r="H1855" s="0" t="inlineStr">
        <is>
          <t xml:space="preserve">supplier</t>
        </is>
      </c>
      <c r="I1855" s="0" t="inlineStr">
        <is>
          <t xml:space="preserve">unbucketed</t>
        </is>
      </c>
      <c r="J1855" s="0" t="inlineStr">
        <is>
          <t xml:space="preserve">residual</t>
        </is>
      </c>
      <c r="K1855" s="5">
        <v>0</v>
      </c>
      <c r="L1855" s="5">
        <v>0</v>
      </c>
      <c r="M1855" s="5">
        <v>0.0</v>
      </c>
      <c r="N1855" s="5">
        <v>0.0</v>
      </c>
      <c r="O1855" s="5">
        <v>0.0</v>
      </c>
      <c r="P1855" s="5">
        <v>0.0</v>
      </c>
      <c r="Q1855" s="5">
        <v>0.0</v>
      </c>
    </row>
    <row r="1856" outlineLevel="1">
      <c r="B1856" s="0" t="inlineStr">
        <is>
          <t xml:space="preserve">HARDWARE SPECIALTY CO</t>
        </is>
      </c>
      <c r="C1856" s="0" t="inlineStr">
        <is>
          <t xml:space="preserve">DMZLNDQW1RD6</t>
        </is>
      </c>
      <c r="D1856" s="0" t="inlineStr">
        <is>
          <t xml:space="preserve">-</t>
        </is>
      </c>
      <c r="E1856" s="0" t="inlineStr">
        <is>
          <t xml:space="preserve">-</t>
        </is>
      </c>
      <c r="F1856" s="0" t="inlineStr">
        <is>
          <t xml:space="preserve">-</t>
        </is>
      </c>
      <c r="G1856" s="5">
        <v>0.0516</v>
      </c>
      <c r="H1856" s="0" t="inlineStr">
        <is>
          <t xml:space="preserve">supplier</t>
        </is>
      </c>
      <c r="I1856" s="0" t="inlineStr">
        <is>
          <t xml:space="preserve">unbucketed</t>
        </is>
      </c>
      <c r="J1856" s="0" t="inlineStr">
        <is>
          <t xml:space="preserve">residual</t>
        </is>
      </c>
      <c r="K1856" s="5">
        <v>0</v>
      </c>
      <c r="L1856" s="5">
        <v>0</v>
      </c>
      <c r="M1856" s="5">
        <v>0.0516</v>
      </c>
      <c r="N1856" s="5">
        <v>0.0</v>
      </c>
      <c r="O1856" s="5">
        <v>0.0516</v>
      </c>
      <c r="P1856" s="5">
        <v>0.0</v>
      </c>
      <c r="Q1856" s="5">
        <v>0.0</v>
      </c>
    </row>
    <row r="1857" outlineLevel="1">
      <c r="B1857" s="0" t="inlineStr">
        <is>
          <t xml:space="preserve">ACCURATE PRESCISION FASTENER CORP.</t>
        </is>
      </c>
      <c r="C1857" s="0" t="inlineStr">
        <is>
          <t xml:space="preserve">PQMMUN86GNM5</t>
        </is>
      </c>
      <c r="D1857" s="0" t="inlineStr">
        <is>
          <t xml:space="preserve">-</t>
        </is>
      </c>
      <c r="E1857" s="0" t="inlineStr">
        <is>
          <t xml:space="preserve">-</t>
        </is>
      </c>
      <c r="F1857" s="0" t="inlineStr">
        <is>
          <t xml:space="preserve">-</t>
        </is>
      </c>
      <c r="G1857" s="5">
        <v>0.051038400000000005</v>
      </c>
      <c r="H1857" s="0" t="inlineStr">
        <is>
          <t xml:space="preserve">supplier</t>
        </is>
      </c>
      <c r="I1857" s="0" t="inlineStr">
        <is>
          <t xml:space="preserve">unbucketed</t>
        </is>
      </c>
      <c r="J1857" s="0" t="inlineStr">
        <is>
          <t xml:space="preserve">residual</t>
        </is>
      </c>
      <c r="K1857" s="5">
        <v>0</v>
      </c>
      <c r="L1857" s="5">
        <v>0</v>
      </c>
      <c r="M1857" s="5">
        <v>0.0</v>
      </c>
      <c r="N1857" s="5">
        <v>0.0</v>
      </c>
      <c r="O1857" s="5">
        <v>0.0</v>
      </c>
      <c r="P1857" s="5">
        <v>0.0</v>
      </c>
      <c r="Q1857" s="5">
        <v>0.0</v>
      </c>
    </row>
    <row r="1858" outlineLevel="1">
      <c r="B1858" s="0" t="inlineStr">
        <is>
          <t xml:space="preserve">MAZZELLA HOLDING COMPANY, INC.</t>
        </is>
      </c>
      <c r="C1858" s="0" t="inlineStr">
        <is>
          <t xml:space="preserve">S8N6NHVDNNB5</t>
        </is>
      </c>
      <c r="D1858" s="0" t="inlineStr">
        <is>
          <t xml:space="preserve">-</t>
        </is>
      </c>
      <c r="E1858" s="0" t="inlineStr">
        <is>
          <t xml:space="preserve">-</t>
        </is>
      </c>
      <c r="F1858" s="0" t="inlineStr">
        <is>
          <t xml:space="preserve">-</t>
        </is>
      </c>
      <c r="G1858" s="5">
        <v>0.05095</v>
      </c>
      <c r="H1858" s="0" t="inlineStr">
        <is>
          <t xml:space="preserve">supplier</t>
        </is>
      </c>
      <c r="I1858" s="0" t="inlineStr">
        <is>
          <t xml:space="preserve">unbucketed</t>
        </is>
      </c>
      <c r="J1858" s="0" t="inlineStr">
        <is>
          <t xml:space="preserve">residual</t>
        </is>
      </c>
      <c r="K1858" s="5">
        <v>0</v>
      </c>
      <c r="L1858" s="5">
        <v>0</v>
      </c>
      <c r="M1858" s="5">
        <v>0.0</v>
      </c>
      <c r="N1858" s="5">
        <v>0.0</v>
      </c>
      <c r="O1858" s="5">
        <v>0.0</v>
      </c>
      <c r="P1858" s="5">
        <v>0.0</v>
      </c>
      <c r="Q1858" s="5">
        <v>0.0</v>
      </c>
    </row>
    <row r="1859" outlineLevel="1">
      <c r="B1859" s="0" t="inlineStr">
        <is>
          <t xml:space="preserve">DEBAN ENTERPRISES, INC.</t>
        </is>
      </c>
      <c r="C1859" s="0" t="inlineStr">
        <is>
          <t xml:space="preserve">LSGYNGHKB863</t>
        </is>
      </c>
      <c r="D1859" s="0" t="inlineStr">
        <is>
          <t xml:space="preserve">-</t>
        </is>
      </c>
      <c r="E1859" s="0" t="inlineStr">
        <is>
          <t xml:space="preserve">-</t>
        </is>
      </c>
      <c r="F1859" s="0" t="inlineStr">
        <is>
          <t xml:space="preserve">-</t>
        </is>
      </c>
      <c r="G1859" s="5">
        <v>0.050868</v>
      </c>
      <c r="H1859" s="0" t="inlineStr">
        <is>
          <t xml:space="preserve">supplier</t>
        </is>
      </c>
      <c r="I1859" s="0" t="inlineStr">
        <is>
          <t xml:space="preserve">unbucketed</t>
        </is>
      </c>
      <c r="J1859" s="0" t="inlineStr">
        <is>
          <t xml:space="preserve">residual</t>
        </is>
      </c>
      <c r="K1859" s="5">
        <v>0</v>
      </c>
      <c r="L1859" s="5">
        <v>0</v>
      </c>
      <c r="M1859" s="5">
        <v>0.050868</v>
      </c>
      <c r="N1859" s="5">
        <v>0.0</v>
      </c>
      <c r="O1859" s="5">
        <v>0.0</v>
      </c>
      <c r="P1859" s="5">
        <v>0.050868</v>
      </c>
      <c r="Q1859" s="5">
        <v>0.0</v>
      </c>
    </row>
    <row r="1860" outlineLevel="1">
      <c r="B1860" s="0" t="inlineStr">
        <is>
          <t xml:space="preserve">MONITEQ, INC.</t>
        </is>
      </c>
      <c r="C1860" s="0" t="inlineStr">
        <is>
          <t xml:space="preserve">XECCFU26TTP9</t>
        </is>
      </c>
      <c r="D1860" s="0" t="inlineStr">
        <is>
          <t xml:space="preserve">-</t>
        </is>
      </c>
      <c r="E1860" s="0" t="inlineStr">
        <is>
          <t xml:space="preserve">-</t>
        </is>
      </c>
      <c r="F1860" s="0" t="inlineStr">
        <is>
          <t xml:space="preserve">-</t>
        </is>
      </c>
      <c r="G1860" s="5">
        <v>0.05068</v>
      </c>
      <c r="H1860" s="0" t="inlineStr">
        <is>
          <t xml:space="preserve">supplier</t>
        </is>
      </c>
      <c r="I1860" s="0" t="inlineStr">
        <is>
          <t xml:space="preserve">unbucketed</t>
        </is>
      </c>
      <c r="J1860" s="0" t="inlineStr">
        <is>
          <t xml:space="preserve">residual</t>
        </is>
      </c>
      <c r="K1860" s="5">
        <v>0</v>
      </c>
      <c r="L1860" s="5">
        <v>0</v>
      </c>
      <c r="M1860" s="5">
        <v>0.05068</v>
      </c>
      <c r="N1860" s="5">
        <v>0.0</v>
      </c>
      <c r="O1860" s="5">
        <v>0.0</v>
      </c>
      <c r="P1860" s="5">
        <v>0.0</v>
      </c>
      <c r="Q1860" s="5">
        <v>0.0</v>
      </c>
    </row>
    <row r="1861" outlineLevel="1">
      <c r="B1861" s="0" t="inlineStr">
        <is>
          <t xml:space="preserve">CAPTAIN FREDS SEA TRIAL SUPPORT LLC</t>
        </is>
      </c>
      <c r="C1861" s="0" t="inlineStr">
        <is>
          <t xml:space="preserve">DA2CMNNJWSZ4</t>
        </is>
      </c>
      <c r="D1861" s="0" t="inlineStr">
        <is>
          <t xml:space="preserve">-</t>
        </is>
      </c>
      <c r="E1861" s="0" t="inlineStr">
        <is>
          <t xml:space="preserve">-</t>
        </is>
      </c>
      <c r="F1861" s="0" t="inlineStr">
        <is>
          <t xml:space="preserve">-</t>
        </is>
      </c>
      <c r="G1861" s="5">
        <v>0.0505782</v>
      </c>
      <c r="H1861" s="0" t="inlineStr">
        <is>
          <t xml:space="preserve">supplier</t>
        </is>
      </c>
      <c r="I1861" s="0" t="inlineStr">
        <is>
          <t xml:space="preserve">unbucketed</t>
        </is>
      </c>
      <c r="J1861" s="0" t="inlineStr">
        <is>
          <t xml:space="preserve">residual</t>
        </is>
      </c>
      <c r="K1861" s="5">
        <v>0</v>
      </c>
      <c r="L1861" s="5">
        <v>0</v>
      </c>
      <c r="M1861" s="5">
        <v>0.0505782</v>
      </c>
      <c r="N1861" s="5">
        <v>0.0</v>
      </c>
      <c r="O1861" s="5">
        <v>0.0</v>
      </c>
      <c r="P1861" s="5">
        <v>0.0</v>
      </c>
      <c r="Q1861" s="5">
        <v>0.0505782</v>
      </c>
    </row>
    <row r="1862" outlineLevel="1">
      <c r="B1862" s="0" t="inlineStr">
        <is>
          <t xml:space="preserve">ITT CORPORATION</t>
        </is>
      </c>
      <c r="C1862" s="0" t="inlineStr">
        <is>
          <t xml:space="preserve">JGLLLKELFB57</t>
        </is>
      </c>
      <c r="D1862" s="0" t="inlineStr">
        <is>
          <t xml:space="preserve">-</t>
        </is>
      </c>
      <c r="E1862" s="0" t="inlineStr">
        <is>
          <t xml:space="preserve">-</t>
        </is>
      </c>
      <c r="F1862" s="0" t="inlineStr">
        <is>
          <t xml:space="preserve">-</t>
        </is>
      </c>
      <c r="G1862" s="5">
        <v>0.05035</v>
      </c>
      <c r="H1862" s="0" t="inlineStr">
        <is>
          <t xml:space="preserve">supplier</t>
        </is>
      </c>
      <c r="I1862" s="0" t="inlineStr">
        <is>
          <t xml:space="preserve">unbucketed</t>
        </is>
      </c>
      <c r="J1862" s="0" t="inlineStr">
        <is>
          <t xml:space="preserve">residual</t>
        </is>
      </c>
      <c r="K1862" s="5">
        <v>0</v>
      </c>
      <c r="L1862" s="5">
        <v>0</v>
      </c>
      <c r="M1862" s="5">
        <v>0.05035</v>
      </c>
      <c r="N1862" s="5">
        <v>0.0</v>
      </c>
      <c r="O1862" s="5">
        <v>0.0</v>
      </c>
      <c r="P1862" s="5">
        <v>0.0</v>
      </c>
      <c r="Q1862" s="5">
        <v>0.0</v>
      </c>
    </row>
    <row r="1863" outlineLevel="1">
      <c r="B1863" s="0" t="inlineStr">
        <is>
          <t xml:space="preserve">GANAHL LUMBER COMPANY</t>
        </is>
      </c>
      <c r="C1863" s="0" t="inlineStr">
        <is>
          <t xml:space="preserve">Q3ANNJUPM776</t>
        </is>
      </c>
      <c r="D1863" s="0" t="inlineStr">
        <is>
          <t xml:space="preserve">-</t>
        </is>
      </c>
      <c r="E1863" s="0" t="inlineStr">
        <is>
          <t xml:space="preserve">-</t>
        </is>
      </c>
      <c r="F1863" s="0" t="inlineStr">
        <is>
          <t xml:space="preserve">-</t>
        </is>
      </c>
      <c r="G1863" s="5">
        <v>0.050165</v>
      </c>
      <c r="H1863" s="0" t="inlineStr">
        <is>
          <t xml:space="preserve">supplier</t>
        </is>
      </c>
      <c r="I1863" s="0" t="inlineStr">
        <is>
          <t xml:space="preserve">unbucketed</t>
        </is>
      </c>
      <c r="J1863" s="0" t="inlineStr">
        <is>
          <t xml:space="preserve">residual</t>
        </is>
      </c>
      <c r="K1863" s="5">
        <v>0</v>
      </c>
      <c r="L1863" s="5">
        <v>0</v>
      </c>
      <c r="M1863" s="5">
        <v>0.0</v>
      </c>
      <c r="N1863" s="5">
        <v>0.0</v>
      </c>
      <c r="O1863" s="5">
        <v>0.0</v>
      </c>
      <c r="P1863" s="5">
        <v>0.0</v>
      </c>
      <c r="Q1863" s="5">
        <v>0.0</v>
      </c>
    </row>
    <row r="1864" outlineLevel="1">
      <c r="B1864" s="0" t="inlineStr">
        <is>
          <t xml:space="preserve">CORE POWER, INC.</t>
        </is>
      </c>
      <c r="C1864" s="0" t="inlineStr">
        <is>
          <t xml:space="preserve">XP2SK8VR5H53</t>
        </is>
      </c>
      <c r="D1864" s="0" t="inlineStr">
        <is>
          <t xml:space="preserve">-</t>
        </is>
      </c>
      <c r="E1864" s="0" t="inlineStr">
        <is>
          <t xml:space="preserve">-</t>
        </is>
      </c>
      <c r="F1864" s="0" t="inlineStr">
        <is>
          <t xml:space="preserve">-</t>
        </is>
      </c>
      <c r="G1864" s="5">
        <v>0.050025</v>
      </c>
      <c r="H1864" s="0" t="inlineStr">
        <is>
          <t xml:space="preserve">supplier</t>
        </is>
      </c>
      <c r="I1864" s="0" t="inlineStr">
        <is>
          <t xml:space="preserve">unbucketed</t>
        </is>
      </c>
      <c r="J1864" s="0" t="inlineStr">
        <is>
          <t xml:space="preserve">residual</t>
        </is>
      </c>
      <c r="K1864" s="5">
        <v>0</v>
      </c>
      <c r="L1864" s="5">
        <v>0</v>
      </c>
      <c r="M1864" s="5">
        <v>0.0</v>
      </c>
      <c r="N1864" s="5">
        <v>0.0</v>
      </c>
      <c r="O1864" s="5">
        <v>0.0</v>
      </c>
      <c r="P1864" s="5">
        <v>0.0</v>
      </c>
      <c r="Q1864" s="5">
        <v>0.0</v>
      </c>
    </row>
    <row r="1865" outlineLevel="1">
      <c r="B1865" s="0" t="inlineStr">
        <is>
          <t xml:space="preserve">CHICAGO PRECISION INC</t>
        </is>
      </c>
      <c r="C1865" s="0" t="inlineStr">
        <is>
          <t xml:space="preserve">MWDKPMHDB4U3</t>
        </is>
      </c>
      <c r="D1865" s="0" t="inlineStr">
        <is>
          <t xml:space="preserve">-</t>
        </is>
      </c>
      <c r="E1865" s="0" t="inlineStr">
        <is>
          <t xml:space="preserve">-</t>
        </is>
      </c>
      <c r="F1865" s="0" t="inlineStr">
        <is>
          <t xml:space="preserve">-</t>
        </is>
      </c>
      <c r="G1865" s="5">
        <v>0.049981</v>
      </c>
      <c r="H1865" s="0" t="inlineStr">
        <is>
          <t xml:space="preserve">supplier</t>
        </is>
      </c>
      <c r="I1865" s="0" t="inlineStr">
        <is>
          <t xml:space="preserve">unbucketed</t>
        </is>
      </c>
      <c r="J1865" s="0" t="inlineStr">
        <is>
          <t xml:space="preserve">residual</t>
        </is>
      </c>
      <c r="K1865" s="5">
        <v>0</v>
      </c>
      <c r="L1865" s="5">
        <v>0</v>
      </c>
      <c r="M1865" s="5">
        <v>0.0</v>
      </c>
      <c r="N1865" s="5">
        <v>0.0</v>
      </c>
      <c r="O1865" s="5">
        <v>0.0</v>
      </c>
      <c r="P1865" s="5">
        <v>0.0</v>
      </c>
      <c r="Q1865" s="5">
        <v>0.0</v>
      </c>
    </row>
    <row r="1866" outlineLevel="1">
      <c r="B1866" s="0" t="inlineStr">
        <is>
          <t xml:space="preserve">ASAP SEMICONDUCTOR, LLC</t>
        </is>
      </c>
      <c r="C1866" s="0" t="inlineStr">
        <is>
          <t xml:space="preserve">NLF6QY4T5N44</t>
        </is>
      </c>
      <c r="D1866" s="0" t="inlineStr">
        <is>
          <t xml:space="preserve">-</t>
        </is>
      </c>
      <c r="E1866" s="0" t="inlineStr">
        <is>
          <t xml:space="preserve">-</t>
        </is>
      </c>
      <c r="F1866" s="0" t="inlineStr">
        <is>
          <t xml:space="preserve">-</t>
        </is>
      </c>
      <c r="G1866" s="5">
        <v>0.049875</v>
      </c>
      <c r="H1866" s="0" t="inlineStr">
        <is>
          <t xml:space="preserve">supplier</t>
        </is>
      </c>
      <c r="I1866" s="0" t="inlineStr">
        <is>
          <t xml:space="preserve">unbucketed</t>
        </is>
      </c>
      <c r="J1866" s="0" t="inlineStr">
        <is>
          <t xml:space="preserve">residual</t>
        </is>
      </c>
      <c r="K1866" s="5">
        <v>0</v>
      </c>
      <c r="L1866" s="5">
        <v>0</v>
      </c>
      <c r="M1866" s="5">
        <v>0.0</v>
      </c>
      <c r="N1866" s="5">
        <v>0.0</v>
      </c>
      <c r="O1866" s="5">
        <v>0.0</v>
      </c>
      <c r="P1866" s="5">
        <v>0.0</v>
      </c>
      <c r="Q1866" s="5">
        <v>0.0</v>
      </c>
    </row>
    <row r="1867" outlineLevel="1">
      <c r="B1867" s="0" t="inlineStr">
        <is>
          <t xml:space="preserve">KING TECHNOLOGIES, INC.</t>
        </is>
      </c>
      <c r="C1867" s="0" t="inlineStr">
        <is>
          <t xml:space="preserve">D18QDN8CMMR5</t>
        </is>
      </c>
      <c r="D1867" s="0" t="inlineStr">
        <is>
          <t xml:space="preserve">-</t>
        </is>
      </c>
      <c r="E1867" s="0" t="inlineStr">
        <is>
          <t xml:space="preserve">-</t>
        </is>
      </c>
      <c r="F1867" s="0" t="inlineStr">
        <is>
          <t xml:space="preserve">-</t>
        </is>
      </c>
      <c r="G1867" s="5">
        <v>0.049748</v>
      </c>
      <c r="H1867" s="0" t="inlineStr">
        <is>
          <t xml:space="preserve">supplier</t>
        </is>
      </c>
      <c r="I1867" s="0" t="inlineStr">
        <is>
          <t xml:space="preserve">unbucketed</t>
        </is>
      </c>
      <c r="J1867" s="0" t="inlineStr">
        <is>
          <t xml:space="preserve">residual</t>
        </is>
      </c>
      <c r="K1867" s="5">
        <v>0</v>
      </c>
      <c r="L1867" s="5">
        <v>0</v>
      </c>
      <c r="M1867" s="5">
        <v>0.0</v>
      </c>
      <c r="N1867" s="5">
        <v>0.0</v>
      </c>
      <c r="O1867" s="5">
        <v>0.0</v>
      </c>
      <c r="P1867" s="5">
        <v>0.0</v>
      </c>
      <c r="Q1867" s="5">
        <v>0.0</v>
      </c>
    </row>
    <row r="1868" outlineLevel="1">
      <c r="B1868" s="0" t="inlineStr">
        <is>
          <t xml:space="preserve">TIM BRIERE</t>
        </is>
      </c>
      <c r="C1868" s="0" t="inlineStr">
        <is>
          <t xml:space="preserve">QB7EKDNK2E83</t>
        </is>
      </c>
      <c r="D1868" s="0" t="inlineStr">
        <is>
          <t xml:space="preserve">-</t>
        </is>
      </c>
      <c r="E1868" s="0" t="inlineStr">
        <is>
          <t xml:space="preserve">-</t>
        </is>
      </c>
      <c r="F1868" s="0" t="inlineStr">
        <is>
          <t xml:space="preserve">-</t>
        </is>
      </c>
      <c r="G1868" s="5">
        <v>0.049668</v>
      </c>
      <c r="H1868" s="0" t="inlineStr">
        <is>
          <t xml:space="preserve">supplier</t>
        </is>
      </c>
      <c r="I1868" s="0" t="inlineStr">
        <is>
          <t xml:space="preserve">unbucketed</t>
        </is>
      </c>
      <c r="J1868" s="0" t="inlineStr">
        <is>
          <t xml:space="preserve">residual</t>
        </is>
      </c>
      <c r="K1868" s="5">
        <v>0</v>
      </c>
      <c r="L1868" s="5">
        <v>0</v>
      </c>
      <c r="M1868" s="5">
        <v>0.049668</v>
      </c>
      <c r="N1868" s="5">
        <v>0.049668</v>
      </c>
      <c r="O1868" s="5">
        <v>0.0</v>
      </c>
      <c r="P1868" s="5">
        <v>0.0</v>
      </c>
      <c r="Q1868" s="5">
        <v>0.0</v>
      </c>
    </row>
    <row r="1869" outlineLevel="1">
      <c r="B1869" s="0" t="inlineStr">
        <is>
          <t xml:space="preserve">BRADLEY-SCIOCCHETTI, INC</t>
        </is>
      </c>
      <c r="C1869" s="0" t="inlineStr">
        <is>
          <t xml:space="preserve">HNCSH9NF4DR1</t>
        </is>
      </c>
      <c r="D1869" s="0" t="inlineStr">
        <is>
          <t xml:space="preserve">-</t>
        </is>
      </c>
      <c r="E1869" s="0" t="inlineStr">
        <is>
          <t xml:space="preserve">-</t>
        </is>
      </c>
      <c r="F1869" s="0" t="inlineStr">
        <is>
          <t xml:space="preserve">-</t>
        </is>
      </c>
      <c r="G1869" s="5">
        <v>0.04963</v>
      </c>
      <c r="H1869" s="0" t="inlineStr">
        <is>
          <t xml:space="preserve">supplier</t>
        </is>
      </c>
      <c r="I1869" s="0" t="inlineStr">
        <is>
          <t xml:space="preserve">unbucketed</t>
        </is>
      </c>
      <c r="J1869" s="0" t="inlineStr">
        <is>
          <t xml:space="preserve">residual</t>
        </is>
      </c>
      <c r="K1869" s="5">
        <v>0</v>
      </c>
      <c r="L1869" s="5">
        <v>0</v>
      </c>
      <c r="M1869" s="5">
        <v>0.0</v>
      </c>
      <c r="N1869" s="5">
        <v>0.0</v>
      </c>
      <c r="O1869" s="5">
        <v>0.0</v>
      </c>
      <c r="P1869" s="5">
        <v>0.0</v>
      </c>
      <c r="Q1869" s="5">
        <v>0.0</v>
      </c>
    </row>
    <row r="1870" outlineLevel="1">
      <c r="B1870" s="0" t="inlineStr">
        <is>
          <t xml:space="preserve">ONTIC ENGINEERING AND MANUFACTURING, INC.</t>
        </is>
      </c>
      <c r="C1870" s="0" t="inlineStr">
        <is>
          <t xml:space="preserve">GMLHMNMB79G9</t>
        </is>
      </c>
      <c r="D1870" s="0" t="inlineStr">
        <is>
          <t xml:space="preserve">-</t>
        </is>
      </c>
      <c r="E1870" s="0" t="inlineStr">
        <is>
          <t xml:space="preserve">-</t>
        </is>
      </c>
      <c r="F1870" s="0" t="inlineStr">
        <is>
          <t xml:space="preserve">-</t>
        </is>
      </c>
      <c r="G1870" s="5">
        <v>0.0495</v>
      </c>
      <c r="H1870" s="0" t="inlineStr">
        <is>
          <t xml:space="preserve">supplier</t>
        </is>
      </c>
      <c r="I1870" s="0" t="inlineStr">
        <is>
          <t xml:space="preserve">unbucketed</t>
        </is>
      </c>
      <c r="J1870" s="0" t="inlineStr">
        <is>
          <t xml:space="preserve">residual</t>
        </is>
      </c>
      <c r="K1870" s="5">
        <v>0</v>
      </c>
      <c r="L1870" s="5">
        <v>0</v>
      </c>
      <c r="M1870" s="5">
        <v>0.0</v>
      </c>
      <c r="N1870" s="5">
        <v>0.0</v>
      </c>
      <c r="O1870" s="5">
        <v>0.0</v>
      </c>
      <c r="P1870" s="5">
        <v>0.0</v>
      </c>
      <c r="Q1870" s="5">
        <v>0.0</v>
      </c>
    </row>
    <row r="1871" outlineLevel="1">
      <c r="B1871" s="0" t="inlineStr">
        <is>
          <t xml:space="preserve">PROCESS ENGINEERING COMPANY, INC.</t>
        </is>
      </c>
      <c r="C1871" s="0" t="inlineStr">
        <is>
          <t xml:space="preserve">NE3DARLAMEN6</t>
        </is>
      </c>
      <c r="D1871" s="0" t="inlineStr">
        <is>
          <t xml:space="preserve">-</t>
        </is>
      </c>
      <c r="E1871" s="0" t="inlineStr">
        <is>
          <t xml:space="preserve">-</t>
        </is>
      </c>
      <c r="F1871" s="0" t="inlineStr">
        <is>
          <t xml:space="preserve">-</t>
        </is>
      </c>
      <c r="G1871" s="5">
        <v>0.04942</v>
      </c>
      <c r="H1871" s="0" t="inlineStr">
        <is>
          <t xml:space="preserve">supplier</t>
        </is>
      </c>
      <c r="I1871" s="0" t="inlineStr">
        <is>
          <t xml:space="preserve">unbucketed</t>
        </is>
      </c>
      <c r="J1871" s="0" t="inlineStr">
        <is>
          <t xml:space="preserve">residual</t>
        </is>
      </c>
      <c r="K1871" s="5">
        <v>0</v>
      </c>
      <c r="L1871" s="5">
        <v>0</v>
      </c>
      <c r="M1871" s="5">
        <v>0.04942</v>
      </c>
      <c r="N1871" s="5">
        <v>0.0</v>
      </c>
      <c r="O1871" s="5">
        <v>0.0</v>
      </c>
      <c r="P1871" s="5">
        <v>0.0</v>
      </c>
      <c r="Q1871" s="5">
        <v>0.0</v>
      </c>
    </row>
    <row r="1872" outlineLevel="1">
      <c r="B1872" s="0" t="inlineStr">
        <is>
          <t xml:space="preserve">ENJET AERO BLOOMFIELD, LLC</t>
        </is>
      </c>
      <c r="C1872" s="0" t="inlineStr">
        <is>
          <t xml:space="preserve">HU83NUKPJ1G4</t>
        </is>
      </c>
      <c r="D1872" s="0" t="inlineStr">
        <is>
          <t xml:space="preserve">-</t>
        </is>
      </c>
      <c r="E1872" s="0" t="inlineStr">
        <is>
          <t xml:space="preserve">-</t>
        </is>
      </c>
      <c r="F1872" s="0" t="inlineStr">
        <is>
          <t xml:space="preserve">-</t>
        </is>
      </c>
      <c r="G1872" s="5">
        <v>0.04932</v>
      </c>
      <c r="H1872" s="0" t="inlineStr">
        <is>
          <t xml:space="preserve">supplier</t>
        </is>
      </c>
      <c r="I1872" s="0" t="inlineStr">
        <is>
          <t xml:space="preserve">unbucketed</t>
        </is>
      </c>
      <c r="J1872" s="0" t="inlineStr">
        <is>
          <t xml:space="preserve">residual</t>
        </is>
      </c>
      <c r="K1872" s="5">
        <v>0</v>
      </c>
      <c r="L1872" s="5">
        <v>0</v>
      </c>
      <c r="M1872" s="5">
        <v>0.0</v>
      </c>
      <c r="N1872" s="5">
        <v>0.0</v>
      </c>
      <c r="O1872" s="5">
        <v>0.0</v>
      </c>
      <c r="P1872" s="5">
        <v>0.0</v>
      </c>
      <c r="Q1872" s="5">
        <v>0.0</v>
      </c>
    </row>
    <row r="1873" outlineLevel="1">
      <c r="B1873" s="0" t="inlineStr">
        <is>
          <t xml:space="preserve">110 METALWORKS, INC.</t>
        </is>
      </c>
      <c r="C1873" s="0" t="inlineStr">
        <is>
          <t xml:space="preserve">E9JAJHW6ZNB3</t>
        </is>
      </c>
      <c r="D1873" s="0" t="inlineStr">
        <is>
          <t xml:space="preserve">-</t>
        </is>
      </c>
      <c r="E1873" s="0" t="inlineStr">
        <is>
          <t xml:space="preserve">-</t>
        </is>
      </c>
      <c r="F1873" s="0" t="inlineStr">
        <is>
          <t xml:space="preserve">-</t>
        </is>
      </c>
      <c r="G1873" s="5">
        <v>0.04929203</v>
      </c>
      <c r="H1873" s="0" t="inlineStr">
        <is>
          <t xml:space="preserve">supplier</t>
        </is>
      </c>
      <c r="I1873" s="0" t="inlineStr">
        <is>
          <t xml:space="preserve">unbucketed</t>
        </is>
      </c>
      <c r="J1873" s="0" t="inlineStr">
        <is>
          <t xml:space="preserve">residual</t>
        </is>
      </c>
      <c r="K1873" s="5">
        <v>0</v>
      </c>
      <c r="L1873" s="5">
        <v>0</v>
      </c>
      <c r="M1873" s="5">
        <v>0.0</v>
      </c>
      <c r="N1873" s="5">
        <v>0.0</v>
      </c>
      <c r="O1873" s="5">
        <v>0.0</v>
      </c>
      <c r="P1873" s="5">
        <v>0.0</v>
      </c>
      <c r="Q1873" s="5">
        <v>0.0</v>
      </c>
    </row>
    <row r="1874" outlineLevel="1">
      <c r="B1874" s="0" t="inlineStr">
        <is>
          <t xml:space="preserve">CHAND, L.L.C.</t>
        </is>
      </c>
      <c r="C1874" s="0" t="inlineStr">
        <is>
          <t xml:space="preserve">J8ATNVMEGLK1</t>
        </is>
      </c>
      <c r="D1874" s="0" t="inlineStr">
        <is>
          <t xml:space="preserve">-</t>
        </is>
      </c>
      <c r="E1874" s="0" t="inlineStr">
        <is>
          <t xml:space="preserve">-</t>
        </is>
      </c>
      <c r="F1874" s="0" t="inlineStr">
        <is>
          <t xml:space="preserve">-</t>
        </is>
      </c>
      <c r="G1874" s="5">
        <v>0.048907</v>
      </c>
      <c r="H1874" s="0" t="inlineStr">
        <is>
          <t xml:space="preserve">supplier</t>
        </is>
      </c>
      <c r="I1874" s="0" t="inlineStr">
        <is>
          <t xml:space="preserve">unbucketed</t>
        </is>
      </c>
      <c r="J1874" s="0" t="inlineStr">
        <is>
          <t xml:space="preserve">residual</t>
        </is>
      </c>
      <c r="K1874" s="5">
        <v>0</v>
      </c>
      <c r="L1874" s="5">
        <v>0</v>
      </c>
      <c r="M1874" s="5">
        <v>0.048907</v>
      </c>
      <c r="N1874" s="5">
        <v>0.0</v>
      </c>
      <c r="O1874" s="5">
        <v>0.0</v>
      </c>
      <c r="P1874" s="5">
        <v>0.0</v>
      </c>
      <c r="Q1874" s="5">
        <v>0.048907</v>
      </c>
    </row>
    <row r="1875" outlineLevel="1">
      <c r="B1875" s="0" t="inlineStr">
        <is>
          <t xml:space="preserve">MASTER INTERNATIONAL CORPORATION</t>
        </is>
      </c>
      <c r="C1875" s="0" t="inlineStr">
        <is>
          <t xml:space="preserve">CASZKA1CMGH3</t>
        </is>
      </c>
      <c r="D1875" s="0" t="inlineStr">
        <is>
          <t xml:space="preserve">-</t>
        </is>
      </c>
      <c r="E1875" s="0" t="inlineStr">
        <is>
          <t xml:space="preserve">-</t>
        </is>
      </c>
      <c r="F1875" s="0" t="inlineStr">
        <is>
          <t xml:space="preserve">-</t>
        </is>
      </c>
      <c r="G1875" s="5">
        <v>0.04881975</v>
      </c>
      <c r="H1875" s="0" t="inlineStr">
        <is>
          <t xml:space="preserve">supplier</t>
        </is>
      </c>
      <c r="I1875" s="0" t="inlineStr">
        <is>
          <t xml:space="preserve">unbucketed</t>
        </is>
      </c>
      <c r="J1875" s="0" t="inlineStr">
        <is>
          <t xml:space="preserve">residual</t>
        </is>
      </c>
      <c r="K1875" s="5">
        <v>0</v>
      </c>
      <c r="L1875" s="5">
        <v>0</v>
      </c>
      <c r="M1875" s="5">
        <v>0.0</v>
      </c>
      <c r="N1875" s="5">
        <v>0.0</v>
      </c>
      <c r="O1875" s="5">
        <v>0.0</v>
      </c>
      <c r="P1875" s="5">
        <v>0.0</v>
      </c>
      <c r="Q1875" s="5">
        <v>0.0</v>
      </c>
    </row>
    <row r="1876" outlineLevel="1">
      <c r="B1876" s="0" t="inlineStr">
        <is>
          <t xml:space="preserve">AGC NETWORKS LIMITED</t>
        </is>
      </c>
      <c r="C1876" s="0" t="inlineStr">
        <is>
          <t xml:space="preserve">TFBXC11G77F3</t>
        </is>
      </c>
      <c r="D1876" s="0" t="inlineStr">
        <is>
          <t xml:space="preserve">-</t>
        </is>
      </c>
      <c r="E1876" s="0" t="inlineStr">
        <is>
          <t xml:space="preserve">-</t>
        </is>
      </c>
      <c r="F1876" s="0" t="inlineStr">
        <is>
          <t xml:space="preserve">-</t>
        </is>
      </c>
      <c r="G1876" s="5">
        <v>0.04864</v>
      </c>
      <c r="H1876" s="0" t="inlineStr">
        <is>
          <t xml:space="preserve">supplier</t>
        </is>
      </c>
      <c r="I1876" s="0" t="inlineStr">
        <is>
          <t xml:space="preserve">unbucketed</t>
        </is>
      </c>
      <c r="J1876" s="0" t="inlineStr">
        <is>
          <t xml:space="preserve">residual</t>
        </is>
      </c>
      <c r="K1876" s="5">
        <v>0</v>
      </c>
      <c r="L1876" s="5">
        <v>0</v>
      </c>
      <c r="M1876" s="5">
        <v>0.0</v>
      </c>
      <c r="N1876" s="5">
        <v>0.0</v>
      </c>
      <c r="O1876" s="5">
        <v>0.0</v>
      </c>
      <c r="P1876" s="5">
        <v>0.0</v>
      </c>
      <c r="Q1876" s="5">
        <v>0.0</v>
      </c>
    </row>
    <row r="1877" outlineLevel="1">
      <c r="B1877" s="0" t="inlineStr">
        <is>
          <t xml:space="preserve">PACE MACHINE &amp; TOOL INC</t>
        </is>
      </c>
      <c r="C1877" s="0" t="inlineStr">
        <is>
          <t xml:space="preserve">S7Y5HNJJ1RL7</t>
        </is>
      </c>
      <c r="D1877" s="0" t="inlineStr">
        <is>
          <t xml:space="preserve">-</t>
        </is>
      </c>
      <c r="E1877" s="0" t="inlineStr">
        <is>
          <t xml:space="preserve">-</t>
        </is>
      </c>
      <c r="F1877" s="0" t="inlineStr">
        <is>
          <t xml:space="preserve">-</t>
        </is>
      </c>
      <c r="G1877" s="5">
        <v>0.0485726</v>
      </c>
      <c r="H1877" s="0" t="inlineStr">
        <is>
          <t xml:space="preserve">supplier</t>
        </is>
      </c>
      <c r="I1877" s="0" t="inlineStr">
        <is>
          <t xml:space="preserve">unbucketed</t>
        </is>
      </c>
      <c r="J1877" s="0" t="inlineStr">
        <is>
          <t xml:space="preserve">residual</t>
        </is>
      </c>
      <c r="K1877" s="5">
        <v>0</v>
      </c>
      <c r="L1877" s="5">
        <v>0</v>
      </c>
      <c r="M1877" s="5">
        <v>0.0</v>
      </c>
      <c r="N1877" s="5">
        <v>0.0</v>
      </c>
      <c r="O1877" s="5">
        <v>0.0</v>
      </c>
      <c r="P1877" s="5">
        <v>0.0</v>
      </c>
      <c r="Q1877" s="5">
        <v>0.0</v>
      </c>
    </row>
    <row r="1878" outlineLevel="1">
      <c r="B1878" s="0" t="inlineStr">
        <is>
          <t xml:space="preserve">FIVE OCEANS FLORIDA, INC.</t>
        </is>
      </c>
      <c r="C1878" s="0" t="inlineStr">
        <is>
          <t xml:space="preserve">N28CANF7FTV1</t>
        </is>
      </c>
      <c r="D1878" s="0" t="inlineStr">
        <is>
          <t xml:space="preserve">-</t>
        </is>
      </c>
      <c r="E1878" s="0" t="inlineStr">
        <is>
          <t xml:space="preserve">-</t>
        </is>
      </c>
      <c r="F1878" s="0" t="inlineStr">
        <is>
          <t xml:space="preserve">-</t>
        </is>
      </c>
      <c r="G1878" s="5">
        <v>0.048487</v>
      </c>
      <c r="H1878" s="0" t="inlineStr">
        <is>
          <t xml:space="preserve">supplier</t>
        </is>
      </c>
      <c r="I1878" s="0" t="inlineStr">
        <is>
          <t xml:space="preserve">unbucketed</t>
        </is>
      </c>
      <c r="J1878" s="0" t="inlineStr">
        <is>
          <t xml:space="preserve">residual</t>
        </is>
      </c>
      <c r="K1878" s="5">
        <v>0</v>
      </c>
      <c r="L1878" s="5">
        <v>0</v>
      </c>
      <c r="M1878" s="5">
        <v>0.0</v>
      </c>
      <c r="N1878" s="5">
        <v>0.0</v>
      </c>
      <c r="O1878" s="5">
        <v>0.0</v>
      </c>
      <c r="P1878" s="5">
        <v>0.0</v>
      </c>
      <c r="Q1878" s="5">
        <v>0.0</v>
      </c>
    </row>
    <row r="1879" outlineLevel="1">
      <c r="B1879" s="0" t="inlineStr">
        <is>
          <t xml:space="preserve">ASKEW INDUSTRIAL CORPORATION</t>
        </is>
      </c>
      <c r="C1879" s="0" t="inlineStr">
        <is>
          <t xml:space="preserve">KATZHMD3P8B1</t>
        </is>
      </c>
      <c r="D1879" s="0" t="inlineStr">
        <is>
          <t xml:space="preserve">-</t>
        </is>
      </c>
      <c r="E1879" s="0" t="inlineStr">
        <is>
          <t xml:space="preserve">-</t>
        </is>
      </c>
      <c r="F1879" s="0" t="inlineStr">
        <is>
          <t xml:space="preserve">-</t>
        </is>
      </c>
      <c r="G1879" s="5">
        <v>0.04821</v>
      </c>
      <c r="H1879" s="0" t="inlineStr">
        <is>
          <t xml:space="preserve">supplier</t>
        </is>
      </c>
      <c r="I1879" s="0" t="inlineStr">
        <is>
          <t xml:space="preserve">unbucketed</t>
        </is>
      </c>
      <c r="J1879" s="0" t="inlineStr">
        <is>
          <t xml:space="preserve">residual</t>
        </is>
      </c>
      <c r="K1879" s="5">
        <v>0</v>
      </c>
      <c r="L1879" s="5">
        <v>0</v>
      </c>
      <c r="M1879" s="5">
        <v>0.0</v>
      </c>
      <c r="N1879" s="5">
        <v>0.0</v>
      </c>
      <c r="O1879" s="5">
        <v>0.0</v>
      </c>
      <c r="P1879" s="5">
        <v>0.0</v>
      </c>
      <c r="Q1879" s="5">
        <v>0.0</v>
      </c>
    </row>
    <row r="1880" outlineLevel="1">
      <c r="B1880" s="0" t="inlineStr">
        <is>
          <t xml:space="preserve">J.G.B. ENTERPRISES, INC.</t>
        </is>
      </c>
      <c r="C1880" s="0" t="inlineStr">
        <is>
          <t xml:space="preserve">QF3MD1MU1651</t>
        </is>
      </c>
      <c r="D1880" s="0" t="inlineStr">
        <is>
          <t xml:space="preserve">-</t>
        </is>
      </c>
      <c r="E1880" s="0" t="inlineStr">
        <is>
          <t xml:space="preserve">-</t>
        </is>
      </c>
      <c r="F1880" s="0" t="inlineStr">
        <is>
          <t xml:space="preserve">-</t>
        </is>
      </c>
      <c r="G1880" s="5">
        <v>0.04806725</v>
      </c>
      <c r="H1880" s="0" t="inlineStr">
        <is>
          <t xml:space="preserve">supplier</t>
        </is>
      </c>
      <c r="I1880" s="0" t="inlineStr">
        <is>
          <t xml:space="preserve">unbucketed</t>
        </is>
      </c>
      <c r="J1880" s="0" t="inlineStr">
        <is>
          <t xml:space="preserve">residual</t>
        </is>
      </c>
      <c r="K1880" s="5">
        <v>0</v>
      </c>
      <c r="L1880" s="5">
        <v>0</v>
      </c>
      <c r="M1880" s="5">
        <v>0.04806725</v>
      </c>
      <c r="N1880" s="5">
        <v>0.0</v>
      </c>
      <c r="O1880" s="5">
        <v>0.0</v>
      </c>
      <c r="P1880" s="5">
        <v>0.0</v>
      </c>
      <c r="Q1880" s="5">
        <v>0.0</v>
      </c>
    </row>
    <row r="1881" outlineLevel="1">
      <c r="B1881" s="0" t="inlineStr">
        <is>
          <t xml:space="preserve">CENTRAL PRECISION INC</t>
        </is>
      </c>
      <c r="C1881" s="0" t="inlineStr">
        <is>
          <t xml:space="preserve">SR3LHBBRZ6Q1</t>
        </is>
      </c>
      <c r="D1881" s="0" t="inlineStr">
        <is>
          <t xml:space="preserve">-</t>
        </is>
      </c>
      <c r="E1881" s="0" t="inlineStr">
        <is>
          <t xml:space="preserve">-</t>
        </is>
      </c>
      <c r="F1881" s="0" t="inlineStr">
        <is>
          <t xml:space="preserve">-</t>
        </is>
      </c>
      <c r="G1881" s="5">
        <v>0.047968</v>
      </c>
      <c r="H1881" s="0" t="inlineStr">
        <is>
          <t xml:space="preserve">supplier</t>
        </is>
      </c>
      <c r="I1881" s="0" t="inlineStr">
        <is>
          <t xml:space="preserve">unbucketed</t>
        </is>
      </c>
      <c r="J1881" s="0" t="inlineStr">
        <is>
          <t xml:space="preserve">residual</t>
        </is>
      </c>
      <c r="K1881" s="5">
        <v>0</v>
      </c>
      <c r="L1881" s="5">
        <v>0</v>
      </c>
      <c r="M1881" s="5">
        <v>0.0</v>
      </c>
      <c r="N1881" s="5">
        <v>0.0</v>
      </c>
      <c r="O1881" s="5">
        <v>0.0</v>
      </c>
      <c r="P1881" s="5">
        <v>0.0</v>
      </c>
      <c r="Q1881" s="5">
        <v>0.0</v>
      </c>
    </row>
    <row r="1882" outlineLevel="1">
      <c r="B1882" s="0" t="inlineStr">
        <is>
          <t xml:space="preserve">ACCUTECH PACKAGING, INC.</t>
        </is>
      </c>
      <c r="C1882" s="0" t="inlineStr">
        <is>
          <t xml:space="preserve">HGV6K3W41RX3</t>
        </is>
      </c>
      <c r="D1882" s="0" t="inlineStr">
        <is>
          <t xml:space="preserve">-</t>
        </is>
      </c>
      <c r="E1882" s="0" t="inlineStr">
        <is>
          <t xml:space="preserve">-</t>
        </is>
      </c>
      <c r="F1882" s="0" t="inlineStr">
        <is>
          <t xml:space="preserve">-</t>
        </is>
      </c>
      <c r="G1882" s="5">
        <v>0.04795</v>
      </c>
      <c r="H1882" s="0" t="inlineStr">
        <is>
          <t xml:space="preserve">supplier</t>
        </is>
      </c>
      <c r="I1882" s="0" t="inlineStr">
        <is>
          <t xml:space="preserve">unbucketed</t>
        </is>
      </c>
      <c r="J1882" s="0" t="inlineStr">
        <is>
          <t xml:space="preserve">residual</t>
        </is>
      </c>
      <c r="K1882" s="5">
        <v>0</v>
      </c>
      <c r="L1882" s="5">
        <v>0</v>
      </c>
      <c r="M1882" s="5">
        <v>0.0</v>
      </c>
      <c r="N1882" s="5">
        <v>0.0</v>
      </c>
      <c r="O1882" s="5">
        <v>0.0</v>
      </c>
      <c r="P1882" s="5">
        <v>0.0</v>
      </c>
      <c r="Q1882" s="5">
        <v>0.0</v>
      </c>
    </row>
    <row r="1883" outlineLevel="1">
      <c r="B1883" s="0" t="inlineStr">
        <is>
          <t xml:space="preserve">ACCUTECH PACKAGING INC</t>
        </is>
      </c>
      <c r="C1883" s="0" t="inlineStr">
        <is>
          <t xml:space="preserve">HGV6K3W41RX3</t>
        </is>
      </c>
      <c r="D1883" s="0" t="inlineStr">
        <is>
          <t xml:space="preserve">-</t>
        </is>
      </c>
      <c r="E1883" s="0" t="inlineStr">
        <is>
          <t xml:space="preserve">-</t>
        </is>
      </c>
      <c r="F1883" s="0" t="inlineStr">
        <is>
          <t xml:space="preserve">-</t>
        </is>
      </c>
      <c r="G1883" s="5">
        <v>0.04795</v>
      </c>
      <c r="H1883" s="0" t="inlineStr">
        <is>
          <t xml:space="preserve">supplier</t>
        </is>
      </c>
      <c r="I1883" s="0" t="inlineStr">
        <is>
          <t xml:space="preserve">unbucketed</t>
        </is>
      </c>
      <c r="J1883" s="0" t="inlineStr">
        <is>
          <t xml:space="preserve">residual</t>
        </is>
      </c>
      <c r="K1883" s="5">
        <v>0</v>
      </c>
      <c r="L1883" s="5">
        <v>0</v>
      </c>
      <c r="M1883" s="5">
        <v>0.0</v>
      </c>
      <c r="N1883" s="5">
        <v>0.0</v>
      </c>
      <c r="O1883" s="5">
        <v>0.0</v>
      </c>
      <c r="P1883" s="5">
        <v>0.0</v>
      </c>
      <c r="Q1883" s="5">
        <v>0.0</v>
      </c>
    </row>
    <row r="1884" outlineLevel="1">
      <c r="B1884" s="0" t="inlineStr">
        <is>
          <t xml:space="preserve">AUDIOSCIENCE INC</t>
        </is>
      </c>
      <c r="C1884" s="0" t="inlineStr">
        <is>
          <t xml:space="preserve">Z7D5BQGNHC99</t>
        </is>
      </c>
      <c r="D1884" s="0" t="inlineStr">
        <is>
          <t xml:space="preserve">-</t>
        </is>
      </c>
      <c r="E1884" s="0" t="inlineStr">
        <is>
          <t xml:space="preserve">-</t>
        </is>
      </c>
      <c r="F1884" s="0" t="inlineStr">
        <is>
          <t xml:space="preserve">-</t>
        </is>
      </c>
      <c r="G1884" s="5">
        <v>0.04768</v>
      </c>
      <c r="H1884" s="0" t="inlineStr">
        <is>
          <t xml:space="preserve">supplier</t>
        </is>
      </c>
      <c r="I1884" s="0" t="inlineStr">
        <is>
          <t xml:space="preserve">unbucketed</t>
        </is>
      </c>
      <c r="J1884" s="0" t="inlineStr">
        <is>
          <t xml:space="preserve">residual</t>
        </is>
      </c>
      <c r="K1884" s="5">
        <v>0</v>
      </c>
      <c r="L1884" s="5">
        <v>0</v>
      </c>
      <c r="M1884" s="5">
        <v>0.0</v>
      </c>
      <c r="N1884" s="5">
        <v>0.0</v>
      </c>
      <c r="O1884" s="5">
        <v>0.0</v>
      </c>
      <c r="P1884" s="5">
        <v>0.0</v>
      </c>
      <c r="Q1884" s="5">
        <v>0.0</v>
      </c>
    </row>
    <row r="1885" outlineLevel="1">
      <c r="B1885" s="0" t="inlineStr">
        <is>
          <t xml:space="preserve">R L M INDUSTRIES, INC.</t>
        </is>
      </c>
      <c r="C1885" s="0" t="inlineStr">
        <is>
          <t xml:space="preserve">ZEX6PFGB67N8</t>
        </is>
      </c>
      <c r="D1885" s="0" t="inlineStr">
        <is>
          <t xml:space="preserve">-</t>
        </is>
      </c>
      <c r="E1885" s="0" t="inlineStr">
        <is>
          <t xml:space="preserve">-</t>
        </is>
      </c>
      <c r="F1885" s="0" t="inlineStr">
        <is>
          <t xml:space="preserve">-</t>
        </is>
      </c>
      <c r="G1885" s="5">
        <v>0.047612</v>
      </c>
      <c r="H1885" s="0" t="inlineStr">
        <is>
          <t xml:space="preserve">supplier</t>
        </is>
      </c>
      <c r="I1885" s="0" t="inlineStr">
        <is>
          <t xml:space="preserve">unbucketed</t>
        </is>
      </c>
      <c r="J1885" s="0" t="inlineStr">
        <is>
          <t xml:space="preserve">residual</t>
        </is>
      </c>
      <c r="K1885" s="5">
        <v>0</v>
      </c>
      <c r="L1885" s="5">
        <v>0</v>
      </c>
      <c r="M1885" s="5">
        <v>0.0</v>
      </c>
      <c r="N1885" s="5">
        <v>0.0</v>
      </c>
      <c r="O1885" s="5">
        <v>0.0</v>
      </c>
      <c r="P1885" s="5">
        <v>0.0</v>
      </c>
      <c r="Q1885" s="5">
        <v>0.0</v>
      </c>
    </row>
    <row r="1886" outlineLevel="1">
      <c r="B1886" s="0" t="inlineStr">
        <is>
          <t xml:space="preserve">COSPOLICH INC.</t>
        </is>
      </c>
      <c r="C1886" s="0" t="inlineStr">
        <is>
          <t xml:space="preserve">FNQARYRJJEL5</t>
        </is>
      </c>
      <c r="D1886" s="0" t="inlineStr">
        <is>
          <t xml:space="preserve">-</t>
        </is>
      </c>
      <c r="E1886" s="0" t="inlineStr">
        <is>
          <t xml:space="preserve">-</t>
        </is>
      </c>
      <c r="F1886" s="0" t="inlineStr">
        <is>
          <t xml:space="preserve">-</t>
        </is>
      </c>
      <c r="G1886" s="5">
        <v>0.0474858</v>
      </c>
      <c r="H1886" s="0" t="inlineStr">
        <is>
          <t xml:space="preserve">supplier</t>
        </is>
      </c>
      <c r="I1886" s="0" t="inlineStr">
        <is>
          <t xml:space="preserve">unbucketed</t>
        </is>
      </c>
      <c r="J1886" s="0" t="inlineStr">
        <is>
          <t xml:space="preserve">residual</t>
        </is>
      </c>
      <c r="K1886" s="5">
        <v>0</v>
      </c>
      <c r="L1886" s="5">
        <v>0</v>
      </c>
      <c r="M1886" s="5">
        <v>0.0474858</v>
      </c>
      <c r="N1886" s="5">
        <v>0.0</v>
      </c>
      <c r="O1886" s="5">
        <v>0.0474858</v>
      </c>
      <c r="P1886" s="5">
        <v>0.0</v>
      </c>
      <c r="Q1886" s="5">
        <v>0.0</v>
      </c>
    </row>
    <row r="1887" outlineLevel="1">
      <c r="B1887" s="0" t="inlineStr">
        <is>
          <t xml:space="preserve">SPECTRUM SEI MICROWAVE, INC.</t>
        </is>
      </c>
      <c r="C1887" s="0" t="inlineStr">
        <is>
          <t xml:space="preserve">LB6KV53CNB83</t>
        </is>
      </c>
      <c r="D1887" s="0" t="inlineStr">
        <is>
          <t xml:space="preserve">-</t>
        </is>
      </c>
      <c r="E1887" s="0" t="inlineStr">
        <is>
          <t xml:space="preserve">-</t>
        </is>
      </c>
      <c r="F1887" s="0" t="inlineStr">
        <is>
          <t xml:space="preserve">-</t>
        </is>
      </c>
      <c r="G1887" s="5">
        <v>0.0474</v>
      </c>
      <c r="H1887" s="0" t="inlineStr">
        <is>
          <t xml:space="preserve">supplier</t>
        </is>
      </c>
      <c r="I1887" s="0" t="inlineStr">
        <is>
          <t xml:space="preserve">unbucketed</t>
        </is>
      </c>
      <c r="J1887" s="0" t="inlineStr">
        <is>
          <t xml:space="preserve">residual</t>
        </is>
      </c>
      <c r="K1887" s="5">
        <v>0</v>
      </c>
      <c r="L1887" s="5">
        <v>0</v>
      </c>
      <c r="M1887" s="5">
        <v>0.0</v>
      </c>
      <c r="N1887" s="5">
        <v>0.0</v>
      </c>
      <c r="O1887" s="5">
        <v>0.0</v>
      </c>
      <c r="P1887" s="5">
        <v>0.0</v>
      </c>
      <c r="Q1887" s="5">
        <v>0.0</v>
      </c>
    </row>
    <row r="1888" outlineLevel="1">
      <c r="B1888" s="0" t="inlineStr">
        <is>
          <t xml:space="preserve">HYBRID SOURCES, INC.</t>
        </is>
      </c>
      <c r="C1888" s="0" t="inlineStr">
        <is>
          <t xml:space="preserve">CMGLLVFSFYL3</t>
        </is>
      </c>
      <c r="D1888" s="0" t="inlineStr">
        <is>
          <t xml:space="preserve">-</t>
        </is>
      </c>
      <c r="E1888" s="0" t="inlineStr">
        <is>
          <t xml:space="preserve">-</t>
        </is>
      </c>
      <c r="F1888" s="0" t="inlineStr">
        <is>
          <t xml:space="preserve">-</t>
        </is>
      </c>
      <c r="G1888" s="5">
        <v>0.04739046</v>
      </c>
      <c r="H1888" s="0" t="inlineStr">
        <is>
          <t xml:space="preserve">supplier</t>
        </is>
      </c>
      <c r="I1888" s="0" t="inlineStr">
        <is>
          <t xml:space="preserve">unbucketed</t>
        </is>
      </c>
      <c r="J1888" s="0" t="inlineStr">
        <is>
          <t xml:space="preserve">residual</t>
        </is>
      </c>
      <c r="K1888" s="5">
        <v>0</v>
      </c>
      <c r="L1888" s="5">
        <v>0</v>
      </c>
      <c r="M1888" s="5">
        <v>0.0</v>
      </c>
      <c r="N1888" s="5">
        <v>0.0</v>
      </c>
      <c r="O1888" s="5">
        <v>0.0</v>
      </c>
      <c r="P1888" s="5">
        <v>0.0</v>
      </c>
      <c r="Q1888" s="5">
        <v>0.0</v>
      </c>
    </row>
    <row r="1889" outlineLevel="1">
      <c r="B1889" s="0" t="inlineStr">
        <is>
          <t xml:space="preserve">LEVRON ENGINEERING SERVICES LLC</t>
        </is>
      </c>
      <c r="C1889" s="0" t="inlineStr">
        <is>
          <t xml:space="preserve">DAVWMR1M4VP1</t>
        </is>
      </c>
      <c r="D1889" s="0" t="inlineStr">
        <is>
          <t xml:space="preserve">-</t>
        </is>
      </c>
      <c r="E1889" s="0" t="inlineStr">
        <is>
          <t xml:space="preserve">-</t>
        </is>
      </c>
      <c r="F1889" s="0" t="inlineStr">
        <is>
          <t xml:space="preserve">-</t>
        </is>
      </c>
      <c r="G1889" s="5">
        <v>0.047355</v>
      </c>
      <c r="H1889" s="0" t="inlineStr">
        <is>
          <t xml:space="preserve">supplier</t>
        </is>
      </c>
      <c r="I1889" s="0" t="inlineStr">
        <is>
          <t xml:space="preserve">unbucketed</t>
        </is>
      </c>
      <c r="J1889" s="0" t="inlineStr">
        <is>
          <t xml:space="preserve">residual</t>
        </is>
      </c>
      <c r="K1889" s="5">
        <v>0</v>
      </c>
      <c r="L1889" s="5">
        <v>0</v>
      </c>
      <c r="M1889" s="5">
        <v>0.0</v>
      </c>
      <c r="N1889" s="5">
        <v>0.0</v>
      </c>
      <c r="O1889" s="5">
        <v>0.0</v>
      </c>
      <c r="P1889" s="5">
        <v>0.0</v>
      </c>
      <c r="Q1889" s="5">
        <v>0.0</v>
      </c>
    </row>
    <row r="1890" outlineLevel="1">
      <c r="B1890" s="0" t="inlineStr">
        <is>
          <t xml:space="preserve">SUMATECH, INC.</t>
        </is>
      </c>
      <c r="C1890" s="0" t="inlineStr">
        <is>
          <t xml:space="preserve">X2B9AJRG3SA7</t>
        </is>
      </c>
      <c r="D1890" s="0" t="inlineStr">
        <is>
          <t xml:space="preserve">-</t>
        </is>
      </c>
      <c r="E1890" s="0" t="inlineStr">
        <is>
          <t xml:space="preserve">-</t>
        </is>
      </c>
      <c r="F1890" s="0" t="inlineStr">
        <is>
          <t xml:space="preserve">-</t>
        </is>
      </c>
      <c r="G1890" s="5">
        <v>0.047324</v>
      </c>
      <c r="H1890" s="0" t="inlineStr">
        <is>
          <t xml:space="preserve">supplier</t>
        </is>
      </c>
      <c r="I1890" s="0" t="inlineStr">
        <is>
          <t xml:space="preserve">unbucketed</t>
        </is>
      </c>
      <c r="J1890" s="0" t="inlineStr">
        <is>
          <t xml:space="preserve">residual</t>
        </is>
      </c>
      <c r="K1890" s="5">
        <v>0</v>
      </c>
      <c r="L1890" s="5">
        <v>0</v>
      </c>
      <c r="M1890" s="5">
        <v>0.0</v>
      </c>
      <c r="N1890" s="5">
        <v>0.0</v>
      </c>
      <c r="O1890" s="5">
        <v>0.0</v>
      </c>
      <c r="P1890" s="5">
        <v>0.0</v>
      </c>
      <c r="Q1890" s="5">
        <v>0.0</v>
      </c>
    </row>
    <row r="1891" outlineLevel="1">
      <c r="B1891" s="0" t="inlineStr">
        <is>
          <t xml:space="preserve">WATTS WATER TECHNOLOGIES, INC</t>
        </is>
      </c>
      <c r="C1891" s="0" t="inlineStr">
        <is>
          <t xml:space="preserve">EJ1DW3A8BFM8</t>
        </is>
      </c>
      <c r="D1891" s="0" t="inlineStr">
        <is>
          <t xml:space="preserve">-</t>
        </is>
      </c>
      <c r="E1891" s="0" t="inlineStr">
        <is>
          <t xml:space="preserve">-</t>
        </is>
      </c>
      <c r="F1891" s="0" t="inlineStr">
        <is>
          <t xml:space="preserve">-</t>
        </is>
      </c>
      <c r="G1891" s="5">
        <v>0.0473</v>
      </c>
      <c r="H1891" s="0" t="inlineStr">
        <is>
          <t xml:space="preserve">supplier</t>
        </is>
      </c>
      <c r="I1891" s="0" t="inlineStr">
        <is>
          <t xml:space="preserve">unbucketed</t>
        </is>
      </c>
      <c r="J1891" s="0" t="inlineStr">
        <is>
          <t xml:space="preserve">residual</t>
        </is>
      </c>
      <c r="K1891" s="5">
        <v>0</v>
      </c>
      <c r="L1891" s="5">
        <v>0</v>
      </c>
      <c r="M1891" s="5">
        <v>0.0473</v>
      </c>
      <c r="N1891" s="5">
        <v>0.0</v>
      </c>
      <c r="O1891" s="5">
        <v>0.0</v>
      </c>
      <c r="P1891" s="5">
        <v>0.0</v>
      </c>
      <c r="Q1891" s="5">
        <v>0.0</v>
      </c>
    </row>
    <row r="1892" outlineLevel="1">
      <c r="B1892" s="0" t="inlineStr">
        <is>
          <t xml:space="preserve">A. J. R. INDUSTRIES, INC.</t>
        </is>
      </c>
      <c r="C1892" s="0" t="inlineStr">
        <is>
          <t xml:space="preserve">WZZJX9Y378B7</t>
        </is>
      </c>
      <c r="D1892" s="0" t="inlineStr">
        <is>
          <t xml:space="preserve">-</t>
        </is>
      </c>
      <c r="E1892" s="0" t="inlineStr">
        <is>
          <t xml:space="preserve">-</t>
        </is>
      </c>
      <c r="F1892" s="0" t="inlineStr">
        <is>
          <t xml:space="preserve">-</t>
        </is>
      </c>
      <c r="G1892" s="5">
        <v>0.047298</v>
      </c>
      <c r="H1892" s="0" t="inlineStr">
        <is>
          <t xml:space="preserve">supplier</t>
        </is>
      </c>
      <c r="I1892" s="0" t="inlineStr">
        <is>
          <t xml:space="preserve">unbucketed</t>
        </is>
      </c>
      <c r="J1892" s="0" t="inlineStr">
        <is>
          <t xml:space="preserve">residual</t>
        </is>
      </c>
      <c r="K1892" s="5">
        <v>0</v>
      </c>
      <c r="L1892" s="5">
        <v>0</v>
      </c>
      <c r="M1892" s="5">
        <v>0.0</v>
      </c>
      <c r="N1892" s="5">
        <v>0.0</v>
      </c>
      <c r="O1892" s="5">
        <v>0.0</v>
      </c>
      <c r="P1892" s="5">
        <v>0.0</v>
      </c>
      <c r="Q1892" s="5">
        <v>0.0</v>
      </c>
    </row>
    <row r="1893" outlineLevel="1">
      <c r="B1893" s="0" t="inlineStr">
        <is>
          <t xml:space="preserve">ROLLED ALLOYS, INC.</t>
        </is>
      </c>
      <c r="C1893" s="0" t="inlineStr">
        <is>
          <t xml:space="preserve">GD3ZJ14RSKH9</t>
        </is>
      </c>
      <c r="D1893" s="0" t="inlineStr">
        <is>
          <t xml:space="preserve">-</t>
        </is>
      </c>
      <c r="E1893" s="0" t="inlineStr">
        <is>
          <t xml:space="preserve">-</t>
        </is>
      </c>
      <c r="F1893" s="0" t="inlineStr">
        <is>
          <t xml:space="preserve">-</t>
        </is>
      </c>
      <c r="G1893" s="5">
        <v>0.047</v>
      </c>
      <c r="H1893" s="0" t="inlineStr">
        <is>
          <t xml:space="preserve">supplier</t>
        </is>
      </c>
      <c r="I1893" s="0" t="inlineStr">
        <is>
          <t xml:space="preserve">unbucketed</t>
        </is>
      </c>
      <c r="J1893" s="0" t="inlineStr">
        <is>
          <t xml:space="preserve">residual</t>
        </is>
      </c>
      <c r="K1893" s="5">
        <v>0</v>
      </c>
      <c r="L1893" s="5">
        <v>0</v>
      </c>
      <c r="M1893" s="5">
        <v>0.0</v>
      </c>
      <c r="N1893" s="5">
        <v>0.0</v>
      </c>
      <c r="O1893" s="5">
        <v>0.0</v>
      </c>
      <c r="P1893" s="5">
        <v>0.0</v>
      </c>
      <c r="Q1893" s="5">
        <v>0.0</v>
      </c>
    </row>
    <row r="1894" outlineLevel="1">
      <c r="B1894" s="0" t="inlineStr">
        <is>
          <t xml:space="preserve">GENUINE PARTS COMPANY</t>
        </is>
      </c>
      <c r="C1894" s="0" t="inlineStr">
        <is>
          <t xml:space="preserve">MMTME6UEFEC5</t>
        </is>
      </c>
      <c r="D1894" s="0" t="inlineStr">
        <is>
          <t xml:space="preserve">-</t>
        </is>
      </c>
      <c r="E1894" s="0" t="inlineStr">
        <is>
          <t xml:space="preserve">-</t>
        </is>
      </c>
      <c r="F1894" s="0" t="inlineStr">
        <is>
          <t xml:space="preserve">-</t>
        </is>
      </c>
      <c r="G1894" s="5">
        <v>0.04692</v>
      </c>
      <c r="H1894" s="0" t="inlineStr">
        <is>
          <t xml:space="preserve">supplier</t>
        </is>
      </c>
      <c r="I1894" s="0" t="inlineStr">
        <is>
          <t xml:space="preserve">unbucketed</t>
        </is>
      </c>
      <c r="J1894" s="0" t="inlineStr">
        <is>
          <t xml:space="preserve">residual</t>
        </is>
      </c>
      <c r="K1894" s="5">
        <v>0</v>
      </c>
      <c r="L1894" s="5">
        <v>0</v>
      </c>
      <c r="M1894" s="5">
        <v>0.04692</v>
      </c>
      <c r="N1894" s="5">
        <v>0.0</v>
      </c>
      <c r="O1894" s="5">
        <v>0.0</v>
      </c>
      <c r="P1894" s="5">
        <v>0.0</v>
      </c>
      <c r="Q1894" s="5">
        <v>0.0</v>
      </c>
    </row>
    <row r="1895" outlineLevel="1">
      <c r="B1895" s="0" t="inlineStr">
        <is>
          <t xml:space="preserve">HERBER AIRCRAFT SERVICE, INC.</t>
        </is>
      </c>
      <c r="C1895" s="0" t="inlineStr">
        <is>
          <t xml:space="preserve">YKTGMLK2CGK3</t>
        </is>
      </c>
      <c r="D1895" s="0" t="inlineStr">
        <is>
          <t xml:space="preserve">-</t>
        </is>
      </c>
      <c r="E1895" s="0" t="inlineStr">
        <is>
          <t xml:space="preserve">-</t>
        </is>
      </c>
      <c r="F1895" s="0" t="inlineStr">
        <is>
          <t xml:space="preserve">-</t>
        </is>
      </c>
      <c r="G1895" s="5">
        <v>0.04682708</v>
      </c>
      <c r="H1895" s="0" t="inlineStr">
        <is>
          <t xml:space="preserve">supplier</t>
        </is>
      </c>
      <c r="I1895" s="0" t="inlineStr">
        <is>
          <t xml:space="preserve">unbucketed</t>
        </is>
      </c>
      <c r="J1895" s="0" t="inlineStr">
        <is>
          <t xml:space="preserve">residual</t>
        </is>
      </c>
      <c r="K1895" s="5">
        <v>0</v>
      </c>
      <c r="L1895" s="5">
        <v>0</v>
      </c>
      <c r="M1895" s="5">
        <v>0.0</v>
      </c>
      <c r="N1895" s="5">
        <v>0.0</v>
      </c>
      <c r="O1895" s="5">
        <v>0.0</v>
      </c>
      <c r="P1895" s="5">
        <v>0.0</v>
      </c>
      <c r="Q1895" s="5">
        <v>0.0</v>
      </c>
    </row>
    <row r="1896" outlineLevel="1">
      <c r="B1896" s="0" t="inlineStr">
        <is>
          <t xml:space="preserve">COASTAL MARINE EQUIPMENT, INC.</t>
        </is>
      </c>
      <c r="C1896" s="0" t="inlineStr">
        <is>
          <t xml:space="preserve">NFTFCKNL7Z57</t>
        </is>
      </c>
      <c r="D1896" s="0" t="inlineStr">
        <is>
          <t xml:space="preserve">-</t>
        </is>
      </c>
      <c r="E1896" s="0" t="inlineStr">
        <is>
          <t xml:space="preserve">-</t>
        </is>
      </c>
      <c r="F1896" s="0" t="inlineStr">
        <is>
          <t xml:space="preserve">-</t>
        </is>
      </c>
      <c r="G1896" s="5">
        <v>0.04665</v>
      </c>
      <c r="H1896" s="0" t="inlineStr">
        <is>
          <t xml:space="preserve">supplier</t>
        </is>
      </c>
      <c r="I1896" s="0" t="inlineStr">
        <is>
          <t xml:space="preserve">unbucketed</t>
        </is>
      </c>
      <c r="J1896" s="0" t="inlineStr">
        <is>
          <t xml:space="preserve">residual</t>
        </is>
      </c>
      <c r="K1896" s="5">
        <v>0</v>
      </c>
      <c r="L1896" s="5">
        <v>0</v>
      </c>
      <c r="M1896" s="5">
        <v>0.04665</v>
      </c>
      <c r="N1896" s="5">
        <v>0.0</v>
      </c>
      <c r="O1896" s="5">
        <v>0.0</v>
      </c>
      <c r="P1896" s="5">
        <v>0.0</v>
      </c>
      <c r="Q1896" s="5">
        <v>0.0</v>
      </c>
    </row>
    <row r="1897" outlineLevel="1">
      <c r="B1897" s="0" t="inlineStr">
        <is>
          <t xml:space="preserve">QT GROUP OYJ</t>
        </is>
      </c>
      <c r="C1897" s="0" t="inlineStr">
        <is>
          <t xml:space="preserve">H97AQFBN1TB1</t>
        </is>
      </c>
      <c r="D1897" s="0" t="inlineStr">
        <is>
          <t xml:space="preserve">-</t>
        </is>
      </c>
      <c r="E1897" s="0" t="inlineStr">
        <is>
          <t xml:space="preserve">-</t>
        </is>
      </c>
      <c r="F1897" s="0" t="inlineStr">
        <is>
          <t xml:space="preserve">-</t>
        </is>
      </c>
      <c r="G1897" s="5">
        <v>0.04665</v>
      </c>
      <c r="H1897" s="0" t="inlineStr">
        <is>
          <t xml:space="preserve">supplier</t>
        </is>
      </c>
      <c r="I1897" s="0" t="inlineStr">
        <is>
          <t xml:space="preserve">unbucketed</t>
        </is>
      </c>
      <c r="J1897" s="0" t="inlineStr">
        <is>
          <t xml:space="preserve">residual</t>
        </is>
      </c>
      <c r="K1897" s="5">
        <v>0</v>
      </c>
      <c r="L1897" s="5">
        <v>0</v>
      </c>
      <c r="M1897" s="5">
        <v>0.0</v>
      </c>
      <c r="N1897" s="5">
        <v>0.0</v>
      </c>
      <c r="O1897" s="5">
        <v>0.0</v>
      </c>
      <c r="P1897" s="5">
        <v>0.0</v>
      </c>
      <c r="Q1897" s="5">
        <v>0.0</v>
      </c>
    </row>
    <row r="1898" outlineLevel="1">
      <c r="B1898" s="0" t="inlineStr">
        <is>
          <t xml:space="preserve">A&amp;B FOUNDRY &amp; MACHINING LLC</t>
        </is>
      </c>
      <c r="C1898" s="0" t="inlineStr">
        <is>
          <t xml:space="preserve">Q2FBEBVSAUW3</t>
        </is>
      </c>
      <c r="D1898" s="0" t="inlineStr">
        <is>
          <t xml:space="preserve">-</t>
        </is>
      </c>
      <c r="E1898" s="0" t="inlineStr">
        <is>
          <t xml:space="preserve">-</t>
        </is>
      </c>
      <c r="F1898" s="0" t="inlineStr">
        <is>
          <t xml:space="preserve">-</t>
        </is>
      </c>
      <c r="G1898" s="5">
        <v>0.046625</v>
      </c>
      <c r="H1898" s="0" t="inlineStr">
        <is>
          <t xml:space="preserve">supplier</t>
        </is>
      </c>
      <c r="I1898" s="0" t="inlineStr">
        <is>
          <t xml:space="preserve">unbucketed</t>
        </is>
      </c>
      <c r="J1898" s="0" t="inlineStr">
        <is>
          <t xml:space="preserve">residual</t>
        </is>
      </c>
      <c r="K1898" s="5">
        <v>0</v>
      </c>
      <c r="L1898" s="5">
        <v>0</v>
      </c>
      <c r="M1898" s="5">
        <v>0.0</v>
      </c>
      <c r="N1898" s="5">
        <v>0.0</v>
      </c>
      <c r="O1898" s="5">
        <v>0.0</v>
      </c>
      <c r="P1898" s="5">
        <v>0.0</v>
      </c>
      <c r="Q1898" s="5">
        <v>0.0</v>
      </c>
    </row>
    <row r="1899" outlineLevel="1">
      <c r="B1899" s="0" t="inlineStr">
        <is>
          <t xml:space="preserve">GE ENERGY POWER CONVERSION USA INC.</t>
        </is>
      </c>
      <c r="C1899" s="0" t="inlineStr">
        <is>
          <t xml:space="preserve">U864F3HRME53</t>
        </is>
      </c>
      <c r="D1899" s="0" t="inlineStr">
        <is>
          <t xml:space="preserve">-</t>
        </is>
      </c>
      <c r="E1899" s="0" t="inlineStr">
        <is>
          <t xml:space="preserve">-</t>
        </is>
      </c>
      <c r="F1899" s="0" t="inlineStr">
        <is>
          <t xml:space="preserve">-</t>
        </is>
      </c>
      <c r="G1899" s="5">
        <v>0.04660932</v>
      </c>
      <c r="H1899" s="0" t="inlineStr">
        <is>
          <t xml:space="preserve">supplier</t>
        </is>
      </c>
      <c r="I1899" s="0" t="inlineStr">
        <is>
          <t xml:space="preserve">unbucketed</t>
        </is>
      </c>
      <c r="J1899" s="0" t="inlineStr">
        <is>
          <t xml:space="preserve">residual</t>
        </is>
      </c>
      <c r="K1899" s="5">
        <v>0</v>
      </c>
      <c r="L1899" s="5">
        <v>0</v>
      </c>
      <c r="M1899" s="5">
        <v>0.04660932</v>
      </c>
      <c r="N1899" s="5">
        <v>0.0</v>
      </c>
      <c r="O1899" s="5">
        <v>0.0</v>
      </c>
      <c r="P1899" s="5">
        <v>0.04660932</v>
      </c>
      <c r="Q1899" s="5">
        <v>0.0</v>
      </c>
    </row>
    <row r="1900" outlineLevel="1">
      <c r="B1900" s="0" t="inlineStr">
        <is>
          <t xml:space="preserve">HOUDSTERMAATSCHAPPIJ WILG B.V.</t>
        </is>
      </c>
      <c r="C1900" s="0" t="inlineStr">
        <is>
          <t xml:space="preserve">FAZDDLR8M1V1</t>
        </is>
      </c>
      <c r="D1900" s="0" t="inlineStr">
        <is>
          <t xml:space="preserve">-</t>
        </is>
      </c>
      <c r="E1900" s="0" t="inlineStr">
        <is>
          <t xml:space="preserve">-</t>
        </is>
      </c>
      <c r="F1900" s="0" t="inlineStr">
        <is>
          <t xml:space="preserve">-</t>
        </is>
      </c>
      <c r="G1900" s="5">
        <v>0.046444</v>
      </c>
      <c r="H1900" s="0" t="inlineStr">
        <is>
          <t xml:space="preserve">supplier</t>
        </is>
      </c>
      <c r="I1900" s="0" t="inlineStr">
        <is>
          <t xml:space="preserve">unbucketed</t>
        </is>
      </c>
      <c r="J1900" s="0" t="inlineStr">
        <is>
          <t xml:space="preserve">residual</t>
        </is>
      </c>
      <c r="K1900" s="5">
        <v>0</v>
      </c>
      <c r="L1900" s="5">
        <v>0</v>
      </c>
      <c r="M1900" s="5">
        <v>0.0</v>
      </c>
      <c r="N1900" s="5">
        <v>0.0</v>
      </c>
      <c r="O1900" s="5">
        <v>0.0</v>
      </c>
      <c r="P1900" s="5">
        <v>0.0</v>
      </c>
      <c r="Q1900" s="5">
        <v>0.0</v>
      </c>
    </row>
    <row r="1901" outlineLevel="1">
      <c r="B1901" s="0" t="inlineStr">
        <is>
          <t xml:space="preserve">EACO CORPORATION</t>
        </is>
      </c>
      <c r="C1901" s="0" t="inlineStr">
        <is>
          <t xml:space="preserve">JH17V9A3NFE6</t>
        </is>
      </c>
      <c r="D1901" s="0" t="inlineStr">
        <is>
          <t xml:space="preserve">-</t>
        </is>
      </c>
      <c r="E1901" s="0" t="inlineStr">
        <is>
          <t xml:space="preserve">-</t>
        </is>
      </c>
      <c r="F1901" s="0" t="inlineStr">
        <is>
          <t xml:space="preserve">-</t>
        </is>
      </c>
      <c r="G1901" s="5">
        <v>0.046354</v>
      </c>
      <c r="H1901" s="0" t="inlineStr">
        <is>
          <t xml:space="preserve">supplier</t>
        </is>
      </c>
      <c r="I1901" s="0" t="inlineStr">
        <is>
          <t xml:space="preserve">unbucketed</t>
        </is>
      </c>
      <c r="J1901" s="0" t="inlineStr">
        <is>
          <t xml:space="preserve">residual</t>
        </is>
      </c>
      <c r="K1901" s="5">
        <v>0</v>
      </c>
      <c r="L1901" s="5">
        <v>0</v>
      </c>
      <c r="M1901" s="5">
        <v>0.0</v>
      </c>
      <c r="N1901" s="5">
        <v>0.0</v>
      </c>
      <c r="O1901" s="5">
        <v>0.0</v>
      </c>
      <c r="P1901" s="5">
        <v>0.0</v>
      </c>
      <c r="Q1901" s="5">
        <v>0.0</v>
      </c>
    </row>
    <row r="1902" outlineLevel="1">
      <c r="B1902" s="0" t="inlineStr">
        <is>
          <t xml:space="preserve">CECO ENVIRONMENTAL CORP</t>
        </is>
      </c>
      <c r="C1902" s="0" t="inlineStr">
        <is>
          <t xml:space="preserve">V8HGGNTGDH59</t>
        </is>
      </c>
      <c r="D1902" s="0" t="inlineStr">
        <is>
          <t xml:space="preserve">-</t>
        </is>
      </c>
      <c r="E1902" s="0" t="inlineStr">
        <is>
          <t xml:space="preserve">-</t>
        </is>
      </c>
      <c r="F1902" s="0" t="inlineStr">
        <is>
          <t xml:space="preserve">-</t>
        </is>
      </c>
      <c r="G1902" s="5">
        <v>0.04632</v>
      </c>
      <c r="H1902" s="0" t="inlineStr">
        <is>
          <t xml:space="preserve">supplier</t>
        </is>
      </c>
      <c r="I1902" s="0" t="inlineStr">
        <is>
          <t xml:space="preserve">unbucketed</t>
        </is>
      </c>
      <c r="J1902" s="0" t="inlineStr">
        <is>
          <t xml:space="preserve">residual</t>
        </is>
      </c>
      <c r="K1902" s="5">
        <v>0</v>
      </c>
      <c r="L1902" s="5">
        <v>0</v>
      </c>
      <c r="M1902" s="5">
        <v>0.04632</v>
      </c>
      <c r="N1902" s="5">
        <v>0.0</v>
      </c>
      <c r="O1902" s="5">
        <v>0.0</v>
      </c>
      <c r="P1902" s="5">
        <v>0.0</v>
      </c>
      <c r="Q1902" s="5">
        <v>0.04632</v>
      </c>
    </row>
    <row r="1903" outlineLevel="1">
      <c r="B1903" s="0" t="inlineStr">
        <is>
          <t xml:space="preserve">NORTHROP GRUMMAN SYSTEMS CORP</t>
        </is>
      </c>
      <c r="C1903" s="0" t="inlineStr">
        <is>
          <t xml:space="preserve">YGFEZY19YQR9</t>
        </is>
      </c>
      <c r="D1903" s="0" t="inlineStr">
        <is>
          <t xml:space="preserve">-</t>
        </is>
      </c>
      <c r="E1903" s="0" t="inlineStr">
        <is>
          <t xml:space="preserve">-</t>
        </is>
      </c>
      <c r="F1903" s="0" t="inlineStr">
        <is>
          <t xml:space="preserve">-</t>
        </is>
      </c>
      <c r="G1903" s="5">
        <v>0.04625</v>
      </c>
      <c r="H1903" s="0" t="inlineStr">
        <is>
          <t xml:space="preserve">gfe_mib</t>
        </is>
      </c>
      <c r="I1903" s="0" t="inlineStr">
        <is>
          <t xml:space="preserve">-</t>
        </is>
      </c>
      <c r="J1903" s="0" t="inlineStr">
        <is>
          <t xml:space="preserve">GFE/MIB name</t>
        </is>
      </c>
      <c r="K1903" s="5">
        <v>0</v>
      </c>
      <c r="L1903" s="5">
        <v>0</v>
      </c>
      <c r="M1903" s="5">
        <v>0.04625</v>
      </c>
      <c r="N1903" s="5">
        <v>0.04625</v>
      </c>
      <c r="O1903" s="5">
        <v>0.0</v>
      </c>
      <c r="P1903" s="5">
        <v>0.0</v>
      </c>
      <c r="Q1903" s="5">
        <v>0.0</v>
      </c>
    </row>
    <row r="1904" outlineLevel="1">
      <c r="B1904" s="0" t="inlineStr">
        <is>
          <t xml:space="preserve">TUBE PROCESSING CORP</t>
        </is>
      </c>
      <c r="C1904" s="0" t="inlineStr">
        <is>
          <t xml:space="preserve">WYLEKJNDSLK6</t>
        </is>
      </c>
      <c r="D1904" s="0" t="inlineStr">
        <is>
          <t xml:space="preserve">-</t>
        </is>
      </c>
      <c r="E1904" s="0" t="inlineStr">
        <is>
          <t xml:space="preserve">-</t>
        </is>
      </c>
      <c r="F1904" s="0" t="inlineStr">
        <is>
          <t xml:space="preserve">-</t>
        </is>
      </c>
      <c r="G1904" s="5">
        <v>0.04615</v>
      </c>
      <c r="H1904" s="0" t="inlineStr">
        <is>
          <t xml:space="preserve">supplier</t>
        </is>
      </c>
      <c r="I1904" s="0" t="inlineStr">
        <is>
          <t xml:space="preserve">unbucketed</t>
        </is>
      </c>
      <c r="J1904" s="0" t="inlineStr">
        <is>
          <t xml:space="preserve">residual</t>
        </is>
      </c>
      <c r="K1904" s="5">
        <v>0</v>
      </c>
      <c r="L1904" s="5">
        <v>0</v>
      </c>
      <c r="M1904" s="5">
        <v>0.0</v>
      </c>
      <c r="N1904" s="5">
        <v>0.0</v>
      </c>
      <c r="O1904" s="5">
        <v>0.0</v>
      </c>
      <c r="P1904" s="5">
        <v>0.0</v>
      </c>
      <c r="Q1904" s="5">
        <v>0.0</v>
      </c>
    </row>
    <row r="1905" outlineLevel="1">
      <c r="B1905" s="0" t="inlineStr">
        <is>
          <t xml:space="preserve">THE COATING HOUSE, INC.</t>
        </is>
      </c>
      <c r="C1905" s="0" t="inlineStr">
        <is>
          <t xml:space="preserve">CYW5LK18T4D1</t>
        </is>
      </c>
      <c r="D1905" s="0" t="inlineStr">
        <is>
          <t xml:space="preserve">-</t>
        </is>
      </c>
      <c r="E1905" s="0" t="inlineStr">
        <is>
          <t xml:space="preserve">-</t>
        </is>
      </c>
      <c r="F1905" s="0" t="inlineStr">
        <is>
          <t xml:space="preserve">-</t>
        </is>
      </c>
      <c r="G1905" s="5">
        <v>0.046136</v>
      </c>
      <c r="H1905" s="0" t="inlineStr">
        <is>
          <t xml:space="preserve">supplier</t>
        </is>
      </c>
      <c r="I1905" s="0" t="inlineStr">
        <is>
          <t xml:space="preserve">unbucketed</t>
        </is>
      </c>
      <c r="J1905" s="0" t="inlineStr">
        <is>
          <t xml:space="preserve">residual</t>
        </is>
      </c>
      <c r="K1905" s="5">
        <v>0</v>
      </c>
      <c r="L1905" s="5">
        <v>0</v>
      </c>
      <c r="M1905" s="5">
        <v>0.0</v>
      </c>
      <c r="N1905" s="5">
        <v>0.0</v>
      </c>
      <c r="O1905" s="5">
        <v>0.0</v>
      </c>
      <c r="P1905" s="5">
        <v>0.0</v>
      </c>
      <c r="Q1905" s="5">
        <v>0.0</v>
      </c>
    </row>
    <row r="1906" outlineLevel="1">
      <c r="B1906" s="0" t="inlineStr">
        <is>
          <t xml:space="preserve">TRI-V TOOL &amp; MFG. CO.</t>
        </is>
      </c>
      <c r="C1906" s="0" t="inlineStr">
        <is>
          <t xml:space="preserve">S65WDKZ3FKY4</t>
        </is>
      </c>
      <c r="D1906" s="0" t="inlineStr">
        <is>
          <t xml:space="preserve">-</t>
        </is>
      </c>
      <c r="E1906" s="0" t="inlineStr">
        <is>
          <t xml:space="preserve">-</t>
        </is>
      </c>
      <c r="F1906" s="0" t="inlineStr">
        <is>
          <t xml:space="preserve">-</t>
        </is>
      </c>
      <c r="G1906" s="5">
        <v>0.0461</v>
      </c>
      <c r="H1906" s="0" t="inlineStr">
        <is>
          <t xml:space="preserve">supplier</t>
        </is>
      </c>
      <c r="I1906" s="0" t="inlineStr">
        <is>
          <t xml:space="preserve">unbucketed</t>
        </is>
      </c>
      <c r="J1906" s="0" t="inlineStr">
        <is>
          <t xml:space="preserve">residual</t>
        </is>
      </c>
      <c r="K1906" s="5">
        <v>0</v>
      </c>
      <c r="L1906" s="5">
        <v>0</v>
      </c>
      <c r="M1906" s="5">
        <v>0.0</v>
      </c>
      <c r="N1906" s="5">
        <v>0.0</v>
      </c>
      <c r="O1906" s="5">
        <v>0.0</v>
      </c>
      <c r="P1906" s="5">
        <v>0.0</v>
      </c>
      <c r="Q1906" s="5">
        <v>0.0</v>
      </c>
    </row>
    <row r="1907" outlineLevel="1">
      <c r="B1907" s="0" t="inlineStr">
        <is>
          <t xml:space="preserve">LOCKHEED MARTIN CORP</t>
        </is>
      </c>
      <c r="C1907" s="0" t="inlineStr">
        <is>
          <t xml:space="preserve">CWM4UN76ZQW8</t>
        </is>
      </c>
      <c r="D1907" s="0" t="inlineStr">
        <is>
          <t xml:space="preserve">-</t>
        </is>
      </c>
      <c r="E1907" s="0" t="inlineStr">
        <is>
          <t xml:space="preserve">-</t>
        </is>
      </c>
      <c r="F1907" s="0" t="inlineStr">
        <is>
          <t xml:space="preserve">-</t>
        </is>
      </c>
      <c r="G1907" s="5">
        <v>0.046094</v>
      </c>
      <c r="H1907" s="0" t="inlineStr">
        <is>
          <t xml:space="preserve">gfe_mib</t>
        </is>
      </c>
      <c r="I1907" s="0" t="inlineStr">
        <is>
          <t xml:space="preserve">-</t>
        </is>
      </c>
      <c r="J1907" s="0" t="inlineStr">
        <is>
          <t xml:space="preserve">GFE/MIB name</t>
        </is>
      </c>
      <c r="K1907" s="5">
        <v>0</v>
      </c>
      <c r="L1907" s="5">
        <v>0</v>
      </c>
      <c r="M1907" s="5">
        <v>0.046094</v>
      </c>
      <c r="N1907" s="5">
        <v>0.0</v>
      </c>
      <c r="O1907" s="5">
        <v>0.0</v>
      </c>
      <c r="P1907" s="5">
        <v>0.046094</v>
      </c>
      <c r="Q1907" s="5">
        <v>0.0</v>
      </c>
    </row>
    <row r="1908" outlineLevel="1">
      <c r="B1908" s="0" t="inlineStr">
        <is>
          <t xml:space="preserve">TORK SYSTEMS, INC.</t>
        </is>
      </c>
      <c r="C1908" s="0" t="inlineStr">
        <is>
          <t xml:space="preserve">QMXJLLJZ5QY4</t>
        </is>
      </c>
      <c r="D1908" s="0" t="inlineStr">
        <is>
          <t xml:space="preserve">-</t>
        </is>
      </c>
      <c r="E1908" s="0" t="inlineStr">
        <is>
          <t xml:space="preserve">-</t>
        </is>
      </c>
      <c r="F1908" s="0" t="inlineStr">
        <is>
          <t xml:space="preserve">-</t>
        </is>
      </c>
      <c r="G1908" s="5">
        <v>0.046086</v>
      </c>
      <c r="H1908" s="0" t="inlineStr">
        <is>
          <t xml:space="preserve">supplier</t>
        </is>
      </c>
      <c r="I1908" s="0" t="inlineStr">
        <is>
          <t xml:space="preserve">unbucketed</t>
        </is>
      </c>
      <c r="J1908" s="0" t="inlineStr">
        <is>
          <t xml:space="preserve">residual</t>
        </is>
      </c>
      <c r="K1908" s="5">
        <v>0</v>
      </c>
      <c r="L1908" s="5">
        <v>0</v>
      </c>
      <c r="M1908" s="5">
        <v>0.0</v>
      </c>
      <c r="N1908" s="5">
        <v>0.0</v>
      </c>
      <c r="O1908" s="5">
        <v>0.0</v>
      </c>
      <c r="P1908" s="5">
        <v>0.0</v>
      </c>
      <c r="Q1908" s="5">
        <v>0.0</v>
      </c>
    </row>
    <row r="1909" outlineLevel="1">
      <c r="B1909" s="0" t="inlineStr">
        <is>
          <t xml:space="preserve">JOHNSON CONTROLS FIRE PROTECTION LP</t>
        </is>
      </c>
      <c r="C1909" s="0" t="inlineStr">
        <is>
          <t xml:space="preserve">V7WNH9YFK956</t>
        </is>
      </c>
      <c r="D1909" s="0" t="inlineStr">
        <is>
          <t xml:space="preserve">-</t>
        </is>
      </c>
      <c r="E1909" s="0" t="inlineStr">
        <is>
          <t xml:space="preserve">-</t>
        </is>
      </c>
      <c r="F1909" s="0" t="inlineStr">
        <is>
          <t xml:space="preserve">-</t>
        </is>
      </c>
      <c r="G1909" s="5">
        <v>0.046086</v>
      </c>
      <c r="H1909" s="0" t="inlineStr">
        <is>
          <t xml:space="preserve">supplier</t>
        </is>
      </c>
      <c r="I1909" s="0" t="inlineStr">
        <is>
          <t xml:space="preserve">unbucketed</t>
        </is>
      </c>
      <c r="J1909" s="0" t="inlineStr">
        <is>
          <t xml:space="preserve">residual</t>
        </is>
      </c>
      <c r="K1909" s="5">
        <v>0</v>
      </c>
      <c r="L1909" s="5">
        <v>0</v>
      </c>
      <c r="M1909" s="5">
        <v>0.0</v>
      </c>
      <c r="N1909" s="5">
        <v>0.0</v>
      </c>
      <c r="O1909" s="5">
        <v>0.0</v>
      </c>
      <c r="P1909" s="5">
        <v>0.0</v>
      </c>
      <c r="Q1909" s="5">
        <v>0.0</v>
      </c>
    </row>
    <row r="1910" outlineLevel="1">
      <c r="B1910" s="0" t="inlineStr">
        <is>
          <t xml:space="preserve">GEOMETRIC MARINE SERVICES, INC.</t>
        </is>
      </c>
      <c r="C1910" s="0" t="inlineStr">
        <is>
          <t xml:space="preserve">S53PAL2HBPR3</t>
        </is>
      </c>
      <c r="D1910" s="0" t="inlineStr">
        <is>
          <t xml:space="preserve">-</t>
        </is>
      </c>
      <c r="E1910" s="0" t="inlineStr">
        <is>
          <t xml:space="preserve">-</t>
        </is>
      </c>
      <c r="F1910" s="0" t="inlineStr">
        <is>
          <t xml:space="preserve">-</t>
        </is>
      </c>
      <c r="G1910" s="5">
        <v>0.045997</v>
      </c>
      <c r="H1910" s="0" t="inlineStr">
        <is>
          <t xml:space="preserve">supplier</t>
        </is>
      </c>
      <c r="I1910" s="0" t="inlineStr">
        <is>
          <t xml:space="preserve">unbucketed</t>
        </is>
      </c>
      <c r="J1910" s="0" t="inlineStr">
        <is>
          <t xml:space="preserve">residual</t>
        </is>
      </c>
      <c r="K1910" s="5">
        <v>0</v>
      </c>
      <c r="L1910" s="5">
        <v>0</v>
      </c>
      <c r="M1910" s="5">
        <v>0.0</v>
      </c>
      <c r="N1910" s="5">
        <v>0.0</v>
      </c>
      <c r="O1910" s="5">
        <v>0.0</v>
      </c>
      <c r="P1910" s="5">
        <v>0.0</v>
      </c>
      <c r="Q1910" s="5">
        <v>0.0</v>
      </c>
    </row>
    <row r="1911" outlineLevel="1">
      <c r="B1911" s="0" t="inlineStr">
        <is>
          <t xml:space="preserve">MC KEOWN, ROBERT CO INC</t>
        </is>
      </c>
      <c r="C1911" s="0" t="inlineStr">
        <is>
          <t xml:space="preserve">K4GKNFJVSB15</t>
        </is>
      </c>
      <c r="D1911" s="0" t="inlineStr">
        <is>
          <t xml:space="preserve">-</t>
        </is>
      </c>
      <c r="E1911" s="0" t="inlineStr">
        <is>
          <t xml:space="preserve">-</t>
        </is>
      </c>
      <c r="F1911" s="0" t="inlineStr">
        <is>
          <t xml:space="preserve">-</t>
        </is>
      </c>
      <c r="G1911" s="5">
        <v>0.04561199</v>
      </c>
      <c r="H1911" s="0" t="inlineStr">
        <is>
          <t xml:space="preserve">supplier</t>
        </is>
      </c>
      <c r="I1911" s="0" t="inlineStr">
        <is>
          <t xml:space="preserve">unbucketed</t>
        </is>
      </c>
      <c r="J1911" s="0" t="inlineStr">
        <is>
          <t xml:space="preserve">residual</t>
        </is>
      </c>
      <c r="K1911" s="5">
        <v>0</v>
      </c>
      <c r="L1911" s="5">
        <v>0</v>
      </c>
      <c r="M1911" s="5">
        <v>0.0</v>
      </c>
      <c r="N1911" s="5">
        <v>0.0</v>
      </c>
      <c r="O1911" s="5">
        <v>0.0</v>
      </c>
      <c r="P1911" s="5">
        <v>0.0</v>
      </c>
      <c r="Q1911" s="5">
        <v>0.0</v>
      </c>
    </row>
    <row r="1912" outlineLevel="1">
      <c r="B1912" s="0" t="inlineStr">
        <is>
          <t xml:space="preserve">ADVANTEDGE TECHNOLOGY, INC.</t>
        </is>
      </c>
      <c r="C1912" s="0" t="inlineStr">
        <is>
          <t xml:space="preserve">CBMNSH941E15</t>
        </is>
      </c>
      <c r="D1912" s="0" t="inlineStr">
        <is>
          <t xml:space="preserve">-</t>
        </is>
      </c>
      <c r="E1912" s="0" t="inlineStr">
        <is>
          <t xml:space="preserve">-</t>
        </is>
      </c>
      <c r="F1912" s="0" t="inlineStr">
        <is>
          <t xml:space="preserve">-</t>
        </is>
      </c>
      <c r="G1912" s="5">
        <v>0.045452620000000006</v>
      </c>
      <c r="H1912" s="0" t="inlineStr">
        <is>
          <t xml:space="preserve">supplier</t>
        </is>
      </c>
      <c r="I1912" s="0" t="inlineStr">
        <is>
          <t xml:space="preserve">unbucketed</t>
        </is>
      </c>
      <c r="J1912" s="0" t="inlineStr">
        <is>
          <t xml:space="preserve">residual</t>
        </is>
      </c>
      <c r="K1912" s="5">
        <v>0</v>
      </c>
      <c r="L1912" s="5">
        <v>0</v>
      </c>
      <c r="M1912" s="5">
        <v>0.0</v>
      </c>
      <c r="N1912" s="5">
        <v>0.0</v>
      </c>
      <c r="O1912" s="5">
        <v>0.0</v>
      </c>
      <c r="P1912" s="5">
        <v>0.0</v>
      </c>
      <c r="Q1912" s="5">
        <v>0.0</v>
      </c>
    </row>
    <row r="1913" outlineLevel="1">
      <c r="B1913" s="0" t="inlineStr">
        <is>
          <t xml:space="preserve">IVES EQUIPMENT CORPORATION</t>
        </is>
      </c>
      <c r="C1913" s="0" t="inlineStr">
        <is>
          <t xml:space="preserve">TMDVSPNEFR69</t>
        </is>
      </c>
      <c r="D1913" s="0" t="inlineStr">
        <is>
          <t xml:space="preserve">-</t>
        </is>
      </c>
      <c r="E1913" s="0" t="inlineStr">
        <is>
          <t xml:space="preserve">-</t>
        </is>
      </c>
      <c r="F1913" s="0" t="inlineStr">
        <is>
          <t xml:space="preserve">-</t>
        </is>
      </c>
      <c r="G1913" s="5">
        <v>0.045412</v>
      </c>
      <c r="H1913" s="0" t="inlineStr">
        <is>
          <t xml:space="preserve">supplier</t>
        </is>
      </c>
      <c r="I1913" s="0" t="inlineStr">
        <is>
          <t xml:space="preserve">unbucketed</t>
        </is>
      </c>
      <c r="J1913" s="0" t="inlineStr">
        <is>
          <t xml:space="preserve">residual</t>
        </is>
      </c>
      <c r="K1913" s="5">
        <v>0</v>
      </c>
      <c r="L1913" s="5">
        <v>0</v>
      </c>
      <c r="M1913" s="5">
        <v>0.045412</v>
      </c>
      <c r="N1913" s="5">
        <v>0.0</v>
      </c>
      <c r="O1913" s="5">
        <v>0.0</v>
      </c>
      <c r="P1913" s="5">
        <v>0.0</v>
      </c>
      <c r="Q1913" s="5">
        <v>0.045412</v>
      </c>
    </row>
    <row r="1914" outlineLevel="1">
      <c r="B1914" s="0" t="inlineStr">
        <is>
          <t xml:space="preserve">EPSILON TECHNOLOGIES INTERNATIONAL, LLC</t>
        </is>
      </c>
      <c r="C1914" s="0" t="inlineStr">
        <is>
          <t xml:space="preserve">HK8XKB7L7MF6</t>
        </is>
      </c>
      <c r="D1914" s="0" t="inlineStr">
        <is>
          <t xml:space="preserve">-</t>
        </is>
      </c>
      <c r="E1914" s="0" t="inlineStr">
        <is>
          <t xml:space="preserve">-</t>
        </is>
      </c>
      <c r="F1914" s="0" t="inlineStr">
        <is>
          <t xml:space="preserve">-</t>
        </is>
      </c>
      <c r="G1914" s="5">
        <v>0.0452175</v>
      </c>
      <c r="H1914" s="0" t="inlineStr">
        <is>
          <t xml:space="preserve">supplier</t>
        </is>
      </c>
      <c r="I1914" s="0" t="inlineStr">
        <is>
          <t xml:space="preserve">unbucketed</t>
        </is>
      </c>
      <c r="J1914" s="0" t="inlineStr">
        <is>
          <t xml:space="preserve">residual</t>
        </is>
      </c>
      <c r="K1914" s="5">
        <v>0</v>
      </c>
      <c r="L1914" s="5">
        <v>0</v>
      </c>
      <c r="M1914" s="5">
        <v>0.0</v>
      </c>
      <c r="N1914" s="5">
        <v>0.0</v>
      </c>
      <c r="O1914" s="5">
        <v>0.0</v>
      </c>
      <c r="P1914" s="5">
        <v>0.0</v>
      </c>
      <c r="Q1914" s="5">
        <v>0.0</v>
      </c>
    </row>
    <row r="1915" outlineLevel="1">
      <c r="B1915" s="0" t="inlineStr">
        <is>
          <t xml:space="preserve">METREX VALVE CORP.</t>
        </is>
      </c>
      <c r="C1915" s="0" t="inlineStr">
        <is>
          <t xml:space="preserve">QRS8UUK41BA4</t>
        </is>
      </c>
      <c r="D1915" s="0" t="inlineStr">
        <is>
          <t xml:space="preserve">-</t>
        </is>
      </c>
      <c r="E1915" s="0" t="inlineStr">
        <is>
          <t xml:space="preserve">-</t>
        </is>
      </c>
      <c r="F1915" s="0" t="inlineStr">
        <is>
          <t xml:space="preserve">-</t>
        </is>
      </c>
      <c r="G1915" s="5">
        <v>0.045082</v>
      </c>
      <c r="H1915" s="0" t="inlineStr">
        <is>
          <t xml:space="preserve">supplier</t>
        </is>
      </c>
      <c r="I1915" s="0" t="inlineStr">
        <is>
          <t xml:space="preserve">unbucketed</t>
        </is>
      </c>
      <c r="J1915" s="0" t="inlineStr">
        <is>
          <t xml:space="preserve">residual</t>
        </is>
      </c>
      <c r="K1915" s="5">
        <v>0</v>
      </c>
      <c r="L1915" s="5">
        <v>0</v>
      </c>
      <c r="M1915" s="5">
        <v>0.0</v>
      </c>
      <c r="N1915" s="5">
        <v>0.0</v>
      </c>
      <c r="O1915" s="5">
        <v>0.0</v>
      </c>
      <c r="P1915" s="5">
        <v>0.0</v>
      </c>
      <c r="Q1915" s="5">
        <v>0.0</v>
      </c>
    </row>
    <row r="1916" outlineLevel="1">
      <c r="B1916" s="0" t="inlineStr">
        <is>
          <t xml:space="preserve">COBHAM LIMITED</t>
        </is>
      </c>
      <c r="C1916" s="0" t="inlineStr">
        <is>
          <t xml:space="preserve">Q9HFNQQM2AD9</t>
        </is>
      </c>
      <c r="D1916" s="0" t="inlineStr">
        <is>
          <t xml:space="preserve">-</t>
        </is>
      </c>
      <c r="E1916" s="0" t="inlineStr">
        <is>
          <t xml:space="preserve">-</t>
        </is>
      </c>
      <c r="F1916" s="0" t="inlineStr">
        <is>
          <t xml:space="preserve">-</t>
        </is>
      </c>
      <c r="G1916" s="5">
        <v>0.045004</v>
      </c>
      <c r="H1916" s="0" t="inlineStr">
        <is>
          <t xml:space="preserve">supplier</t>
        </is>
      </c>
      <c r="I1916" s="0" t="inlineStr">
        <is>
          <t xml:space="preserve">unbucketed</t>
        </is>
      </c>
      <c r="J1916" s="0" t="inlineStr">
        <is>
          <t xml:space="preserve">residual</t>
        </is>
      </c>
      <c r="K1916" s="5">
        <v>0</v>
      </c>
      <c r="L1916" s="5">
        <v>0</v>
      </c>
      <c r="M1916" s="5">
        <v>0.0</v>
      </c>
      <c r="N1916" s="5">
        <v>0.0</v>
      </c>
      <c r="O1916" s="5">
        <v>0.0</v>
      </c>
      <c r="P1916" s="5">
        <v>0.0</v>
      </c>
      <c r="Q1916" s="5">
        <v>0.0</v>
      </c>
    </row>
    <row r="1917" outlineLevel="1">
      <c r="B1917" s="0" t="inlineStr">
        <is>
          <t xml:space="preserve">CONFEDERATED SALISH AND KOOTENAI TRIBES</t>
        </is>
      </c>
      <c r="C1917" s="0" t="inlineStr">
        <is>
          <t xml:space="preserve">DUAYW5R6MXY5</t>
        </is>
      </c>
      <c r="D1917" s="0" t="inlineStr">
        <is>
          <t xml:space="preserve">-</t>
        </is>
      </c>
      <c r="E1917" s="0" t="inlineStr">
        <is>
          <t xml:space="preserve">-</t>
        </is>
      </c>
      <c r="F1917" s="0" t="inlineStr">
        <is>
          <t xml:space="preserve">-</t>
        </is>
      </c>
      <c r="G1917" s="5">
        <v>0.045</v>
      </c>
      <c r="H1917" s="0" t="inlineStr">
        <is>
          <t xml:space="preserve">supplier</t>
        </is>
      </c>
      <c r="I1917" s="0" t="inlineStr">
        <is>
          <t xml:space="preserve">unbucketed</t>
        </is>
      </c>
      <c r="J1917" s="0" t="inlineStr">
        <is>
          <t xml:space="preserve">residual</t>
        </is>
      </c>
      <c r="K1917" s="5">
        <v>0</v>
      </c>
      <c r="L1917" s="5">
        <v>0</v>
      </c>
      <c r="M1917" s="5">
        <v>0.0</v>
      </c>
      <c r="N1917" s="5">
        <v>0.0</v>
      </c>
      <c r="O1917" s="5">
        <v>0.0</v>
      </c>
      <c r="P1917" s="5">
        <v>0.0</v>
      </c>
      <c r="Q1917" s="5">
        <v>0.0</v>
      </c>
    </row>
    <row r="1918" outlineLevel="1">
      <c r="B1918" s="0" t="inlineStr">
        <is>
          <t xml:space="preserve">INTEGRATED IT SOLUTIONS, INC.</t>
        </is>
      </c>
      <c r="C1918" s="0" t="inlineStr">
        <is>
          <t xml:space="preserve">UPJYZJLCZ7W7</t>
        </is>
      </c>
      <c r="D1918" s="0" t="inlineStr">
        <is>
          <t xml:space="preserve">-</t>
        </is>
      </c>
      <c r="E1918" s="0" t="inlineStr">
        <is>
          <t xml:space="preserve">-</t>
        </is>
      </c>
      <c r="F1918" s="0" t="inlineStr">
        <is>
          <t xml:space="preserve">-</t>
        </is>
      </c>
      <c r="G1918" s="5">
        <v>0.044988</v>
      </c>
      <c r="H1918" s="0" t="inlineStr">
        <is>
          <t xml:space="preserve">supplier</t>
        </is>
      </c>
      <c r="I1918" s="0" t="inlineStr">
        <is>
          <t xml:space="preserve">unbucketed</t>
        </is>
      </c>
      <c r="J1918" s="0" t="inlineStr">
        <is>
          <t xml:space="preserve">residual</t>
        </is>
      </c>
      <c r="K1918" s="5">
        <v>0</v>
      </c>
      <c r="L1918" s="5">
        <v>0</v>
      </c>
      <c r="M1918" s="5">
        <v>0.0</v>
      </c>
      <c r="N1918" s="5">
        <v>0.0</v>
      </c>
      <c r="O1918" s="5">
        <v>0.0</v>
      </c>
      <c r="P1918" s="5">
        <v>0.0</v>
      </c>
      <c r="Q1918" s="5">
        <v>0.0</v>
      </c>
    </row>
    <row r="1919" outlineLevel="1">
      <c r="B1919" s="0" t="inlineStr">
        <is>
          <t xml:space="preserve">ERIE FORGE AND STEEL, INC.</t>
        </is>
      </c>
      <c r="C1919" s="0" t="inlineStr">
        <is>
          <t xml:space="preserve">WUDSRNBSYC17</t>
        </is>
      </c>
      <c r="D1919" s="0" t="inlineStr">
        <is>
          <t xml:space="preserve">-</t>
        </is>
      </c>
      <c r="E1919" s="0" t="inlineStr">
        <is>
          <t xml:space="preserve">-</t>
        </is>
      </c>
      <c r="F1919" s="0" t="inlineStr">
        <is>
          <t xml:space="preserve">-</t>
        </is>
      </c>
      <c r="G1919" s="5">
        <v>0.044968</v>
      </c>
      <c r="H1919" s="0" t="inlineStr">
        <is>
          <t xml:space="preserve">supplier</t>
        </is>
      </c>
      <c r="I1919" s="0" t="inlineStr">
        <is>
          <t xml:space="preserve">unbucketed</t>
        </is>
      </c>
      <c r="J1919" s="0" t="inlineStr">
        <is>
          <t xml:space="preserve">residual</t>
        </is>
      </c>
      <c r="K1919" s="5">
        <v>0</v>
      </c>
      <c r="L1919" s="5">
        <v>0</v>
      </c>
      <c r="M1919" s="5">
        <v>0.044968</v>
      </c>
      <c r="N1919" s="5">
        <v>0.0</v>
      </c>
      <c r="O1919" s="5">
        <v>0.0</v>
      </c>
      <c r="P1919" s="5">
        <v>0.0</v>
      </c>
      <c r="Q1919" s="5">
        <v>0.0</v>
      </c>
    </row>
    <row r="1920" outlineLevel="1">
      <c r="B1920" s="0" t="inlineStr">
        <is>
          <t xml:space="preserve">CENTURY FASTENERS CORP.</t>
        </is>
      </c>
      <c r="C1920" s="0" t="inlineStr">
        <is>
          <t xml:space="preserve">SAA4LFA95JN8</t>
        </is>
      </c>
      <c r="D1920" s="0" t="inlineStr">
        <is>
          <t xml:space="preserve">-</t>
        </is>
      </c>
      <c r="E1920" s="0" t="inlineStr">
        <is>
          <t xml:space="preserve">-</t>
        </is>
      </c>
      <c r="F1920" s="0" t="inlineStr">
        <is>
          <t xml:space="preserve">-</t>
        </is>
      </c>
      <c r="G1920" s="5">
        <v>0.0448902</v>
      </c>
      <c r="H1920" s="0" t="inlineStr">
        <is>
          <t xml:space="preserve">supplier</t>
        </is>
      </c>
      <c r="I1920" s="0" t="inlineStr">
        <is>
          <t xml:space="preserve">unbucketed</t>
        </is>
      </c>
      <c r="J1920" s="0" t="inlineStr">
        <is>
          <t xml:space="preserve">residual</t>
        </is>
      </c>
      <c r="K1920" s="5">
        <v>0</v>
      </c>
      <c r="L1920" s="5">
        <v>0</v>
      </c>
      <c r="M1920" s="5">
        <v>0.0</v>
      </c>
      <c r="N1920" s="5">
        <v>0.0</v>
      </c>
      <c r="O1920" s="5">
        <v>0.0</v>
      </c>
      <c r="P1920" s="5">
        <v>0.0</v>
      </c>
      <c r="Q1920" s="5">
        <v>0.0</v>
      </c>
    </row>
    <row r="1921" outlineLevel="1">
      <c r="B1921" s="0" t="inlineStr">
        <is>
          <t xml:space="preserve">XYLEM INC.</t>
        </is>
      </c>
      <c r="C1921" s="0" t="inlineStr">
        <is>
          <t xml:space="preserve">VXDXUAYKE1E5</t>
        </is>
      </c>
      <c r="D1921" s="0" t="inlineStr">
        <is>
          <t xml:space="preserve">-</t>
        </is>
      </c>
      <c r="E1921" s="0" t="inlineStr">
        <is>
          <t xml:space="preserve">-</t>
        </is>
      </c>
      <c r="F1921" s="0" t="inlineStr">
        <is>
          <t xml:space="preserve">-</t>
        </is>
      </c>
      <c r="G1921" s="5">
        <v>0.044794</v>
      </c>
      <c r="H1921" s="0" t="inlineStr">
        <is>
          <t xml:space="preserve">supplier</t>
        </is>
      </c>
      <c r="I1921" s="0" t="inlineStr">
        <is>
          <t xml:space="preserve">unbucketed</t>
        </is>
      </c>
      <c r="J1921" s="0" t="inlineStr">
        <is>
          <t xml:space="preserve">residual</t>
        </is>
      </c>
      <c r="K1921" s="5">
        <v>0</v>
      </c>
      <c r="L1921" s="5">
        <v>0</v>
      </c>
      <c r="M1921" s="5">
        <v>0.0</v>
      </c>
      <c r="N1921" s="5">
        <v>0.0</v>
      </c>
      <c r="O1921" s="5">
        <v>0.0</v>
      </c>
      <c r="P1921" s="5">
        <v>0.0</v>
      </c>
      <c r="Q1921" s="5">
        <v>0.0</v>
      </c>
    </row>
    <row r="1922" outlineLevel="1">
      <c r="B1922" s="0" t="inlineStr">
        <is>
          <t xml:space="preserve">PHOENIX INTERNATIONAL HOLDINGS, INC.</t>
        </is>
      </c>
      <c r="C1922" s="0" t="inlineStr">
        <is>
          <t xml:space="preserve">NCLZQVJ8YAK3</t>
        </is>
      </c>
      <c r="D1922" s="0" t="inlineStr">
        <is>
          <t xml:space="preserve">-</t>
        </is>
      </c>
      <c r="E1922" s="0" t="inlineStr">
        <is>
          <t xml:space="preserve">-</t>
        </is>
      </c>
      <c r="F1922" s="0" t="inlineStr">
        <is>
          <t xml:space="preserve">-</t>
        </is>
      </c>
      <c r="G1922" s="5">
        <v>0.044578</v>
      </c>
      <c r="H1922" s="0" t="inlineStr">
        <is>
          <t xml:space="preserve">supplier</t>
        </is>
      </c>
      <c r="I1922" s="0" t="inlineStr">
        <is>
          <t xml:space="preserve">unbucketed</t>
        </is>
      </c>
      <c r="J1922" s="0" t="inlineStr">
        <is>
          <t xml:space="preserve">residual</t>
        </is>
      </c>
      <c r="K1922" s="5">
        <v>0</v>
      </c>
      <c r="L1922" s="5">
        <v>0</v>
      </c>
      <c r="M1922" s="5">
        <v>0.0</v>
      </c>
      <c r="N1922" s="5">
        <v>0.0</v>
      </c>
      <c r="O1922" s="5">
        <v>0.0</v>
      </c>
      <c r="P1922" s="5">
        <v>0.0</v>
      </c>
      <c r="Q1922" s="5">
        <v>0.0</v>
      </c>
    </row>
    <row r="1923" outlineLevel="1">
      <c r="B1923" s="0" t="inlineStr">
        <is>
          <t xml:space="preserve">PSSC HOLDING CO.</t>
        </is>
      </c>
      <c r="C1923" s="0" t="inlineStr">
        <is>
          <t xml:space="preserve">GM4FL5Q7KSK5</t>
        </is>
      </c>
      <c r="D1923" s="0" t="inlineStr">
        <is>
          <t xml:space="preserve">-</t>
        </is>
      </c>
      <c r="E1923" s="0" t="inlineStr">
        <is>
          <t xml:space="preserve">-</t>
        </is>
      </c>
      <c r="F1923" s="0" t="inlineStr">
        <is>
          <t xml:space="preserve">-</t>
        </is>
      </c>
      <c r="G1923" s="5">
        <v>0.044576</v>
      </c>
      <c r="H1923" s="0" t="inlineStr">
        <is>
          <t xml:space="preserve">supplier</t>
        </is>
      </c>
      <c r="I1923" s="0" t="inlineStr">
        <is>
          <t xml:space="preserve">unbucketed</t>
        </is>
      </c>
      <c r="J1923" s="0" t="inlineStr">
        <is>
          <t xml:space="preserve">residual</t>
        </is>
      </c>
      <c r="K1923" s="5">
        <v>0</v>
      </c>
      <c r="L1923" s="5">
        <v>0</v>
      </c>
      <c r="M1923" s="5">
        <v>0.0</v>
      </c>
      <c r="N1923" s="5">
        <v>0.0</v>
      </c>
      <c r="O1923" s="5">
        <v>0.0</v>
      </c>
      <c r="P1923" s="5">
        <v>0.0</v>
      </c>
      <c r="Q1923" s="5">
        <v>0.0</v>
      </c>
    </row>
    <row r="1924" outlineLevel="1">
      <c r="B1924" s="0" t="inlineStr">
        <is>
          <t xml:space="preserve">ALFA LAVAL INC</t>
        </is>
      </c>
      <c r="C1924" s="0" t="inlineStr">
        <is>
          <t xml:space="preserve">GMK1MSRKPVA9</t>
        </is>
      </c>
      <c r="D1924" s="0" t="inlineStr">
        <is>
          <t xml:space="preserve">-</t>
        </is>
      </c>
      <c r="E1924" s="0" t="inlineStr">
        <is>
          <t xml:space="preserve">-</t>
        </is>
      </c>
      <c r="F1924" s="0" t="inlineStr">
        <is>
          <t xml:space="preserve">-</t>
        </is>
      </c>
      <c r="G1924" s="5">
        <v>0.044453389999999995</v>
      </c>
      <c r="H1924" s="0" t="inlineStr">
        <is>
          <t xml:space="preserve">supplier</t>
        </is>
      </c>
      <c r="I1924" s="0" t="inlineStr">
        <is>
          <t xml:space="preserve">unbucketed</t>
        </is>
      </c>
      <c r="J1924" s="0" t="inlineStr">
        <is>
          <t xml:space="preserve">residual</t>
        </is>
      </c>
      <c r="K1924" s="5">
        <v>0</v>
      </c>
      <c r="L1924" s="5">
        <v>0</v>
      </c>
      <c r="M1924" s="5">
        <v>0.0</v>
      </c>
      <c r="N1924" s="5">
        <v>0.0</v>
      </c>
      <c r="O1924" s="5">
        <v>0.0</v>
      </c>
      <c r="P1924" s="5">
        <v>0.0</v>
      </c>
      <c r="Q1924" s="5">
        <v>0.0</v>
      </c>
    </row>
    <row r="1925" outlineLevel="1">
      <c r="B1925" s="0" t="inlineStr">
        <is>
          <t xml:space="preserve">H &amp; C TOOL SUPPLY CORP.</t>
        </is>
      </c>
      <c r="C1925" s="0" t="inlineStr">
        <is>
          <t xml:space="preserve">FVC6G8L6UZ95</t>
        </is>
      </c>
      <c r="D1925" s="0" t="inlineStr">
        <is>
          <t xml:space="preserve">-</t>
        </is>
      </c>
      <c r="E1925" s="0" t="inlineStr">
        <is>
          <t xml:space="preserve">-</t>
        </is>
      </c>
      <c r="F1925" s="0" t="inlineStr">
        <is>
          <t xml:space="preserve">-</t>
        </is>
      </c>
      <c r="G1925" s="5">
        <v>0.044425</v>
      </c>
      <c r="H1925" s="0" t="inlineStr">
        <is>
          <t xml:space="preserve">supplier</t>
        </is>
      </c>
      <c r="I1925" s="0" t="inlineStr">
        <is>
          <t xml:space="preserve">unbucketed</t>
        </is>
      </c>
      <c r="J1925" s="0" t="inlineStr">
        <is>
          <t xml:space="preserve">residual</t>
        </is>
      </c>
      <c r="K1925" s="5">
        <v>0</v>
      </c>
      <c r="L1925" s="5">
        <v>0</v>
      </c>
      <c r="M1925" s="5">
        <v>0.044425</v>
      </c>
      <c r="N1925" s="5">
        <v>0.044425</v>
      </c>
      <c r="O1925" s="5">
        <v>0.0</v>
      </c>
      <c r="P1925" s="5">
        <v>0.0</v>
      </c>
      <c r="Q1925" s="5">
        <v>0.0</v>
      </c>
    </row>
    <row r="1926" outlineLevel="1">
      <c r="B1926" s="0" t="inlineStr">
        <is>
          <t xml:space="preserve">CREATION TECHNOLOGIES INC</t>
        </is>
      </c>
      <c r="C1926" s="0" t="inlineStr">
        <is>
          <t xml:space="preserve">EHYSH7TAMJL3</t>
        </is>
      </c>
      <c r="D1926" s="0" t="inlineStr">
        <is>
          <t xml:space="preserve">-</t>
        </is>
      </c>
      <c r="E1926" s="0" t="inlineStr">
        <is>
          <t xml:space="preserve">-</t>
        </is>
      </c>
      <c r="F1926" s="0" t="inlineStr">
        <is>
          <t xml:space="preserve">-</t>
        </is>
      </c>
      <c r="G1926" s="5">
        <v>0.044378</v>
      </c>
      <c r="H1926" s="0" t="inlineStr">
        <is>
          <t xml:space="preserve">supplier</t>
        </is>
      </c>
      <c r="I1926" s="0" t="inlineStr">
        <is>
          <t xml:space="preserve">unbucketed</t>
        </is>
      </c>
      <c r="J1926" s="0" t="inlineStr">
        <is>
          <t xml:space="preserve">residual</t>
        </is>
      </c>
      <c r="K1926" s="5">
        <v>0</v>
      </c>
      <c r="L1926" s="5">
        <v>0</v>
      </c>
      <c r="M1926" s="5">
        <v>0.0</v>
      </c>
      <c r="N1926" s="5">
        <v>0.0</v>
      </c>
      <c r="O1926" s="5">
        <v>0.0</v>
      </c>
      <c r="P1926" s="5">
        <v>0.0</v>
      </c>
      <c r="Q1926" s="5">
        <v>0.0</v>
      </c>
    </row>
    <row r="1927" outlineLevel="1">
      <c r="B1927" s="0" t="inlineStr">
        <is>
          <t xml:space="preserve">REXEL</t>
        </is>
      </c>
      <c r="C1927" s="0" t="inlineStr">
        <is>
          <t xml:space="preserve">FDEBHRY3KWF3</t>
        </is>
      </c>
      <c r="D1927" s="0" t="inlineStr">
        <is>
          <t xml:space="preserve">-</t>
        </is>
      </c>
      <c r="E1927" s="0" t="inlineStr">
        <is>
          <t xml:space="preserve">-</t>
        </is>
      </c>
      <c r="F1927" s="0" t="inlineStr">
        <is>
          <t xml:space="preserve">-</t>
        </is>
      </c>
      <c r="G1927" s="5">
        <v>0.044143800000000004</v>
      </c>
      <c r="H1927" s="0" t="inlineStr">
        <is>
          <t xml:space="preserve">supplier</t>
        </is>
      </c>
      <c r="I1927" s="0" t="inlineStr">
        <is>
          <t xml:space="preserve">unbucketed</t>
        </is>
      </c>
      <c r="J1927" s="0" t="inlineStr">
        <is>
          <t xml:space="preserve">residual</t>
        </is>
      </c>
      <c r="K1927" s="5">
        <v>0</v>
      </c>
      <c r="L1927" s="5">
        <v>0</v>
      </c>
      <c r="M1927" s="5">
        <v>0.0</v>
      </c>
      <c r="N1927" s="5">
        <v>0.0</v>
      </c>
      <c r="O1927" s="5">
        <v>0.0</v>
      </c>
      <c r="P1927" s="5">
        <v>0.0</v>
      </c>
      <c r="Q1927" s="5">
        <v>0.0</v>
      </c>
    </row>
    <row r="1928" outlineLevel="1">
      <c r="B1928" s="0" t="inlineStr">
        <is>
          <t xml:space="preserve">STRATOS AEROSPACE, INC.</t>
        </is>
      </c>
      <c r="C1928" s="0" t="inlineStr">
        <is>
          <t xml:space="preserve">MX4JXKMAQ4J8</t>
        </is>
      </c>
      <c r="D1928" s="0" t="inlineStr">
        <is>
          <t xml:space="preserve">-</t>
        </is>
      </c>
      <c r="E1928" s="0" t="inlineStr">
        <is>
          <t xml:space="preserve">-</t>
        </is>
      </c>
      <c r="F1928" s="0" t="inlineStr">
        <is>
          <t xml:space="preserve">-</t>
        </is>
      </c>
      <c r="G1928" s="5">
        <v>0.0436575</v>
      </c>
      <c r="H1928" s="0" t="inlineStr">
        <is>
          <t xml:space="preserve">supplier</t>
        </is>
      </c>
      <c r="I1928" s="0" t="inlineStr">
        <is>
          <t xml:space="preserve">unbucketed</t>
        </is>
      </c>
      <c r="J1928" s="0" t="inlineStr">
        <is>
          <t xml:space="preserve">residual</t>
        </is>
      </c>
      <c r="K1928" s="5">
        <v>0</v>
      </c>
      <c r="L1928" s="5">
        <v>0</v>
      </c>
      <c r="M1928" s="5">
        <v>0.0</v>
      </c>
      <c r="N1928" s="5">
        <v>0.0</v>
      </c>
      <c r="O1928" s="5">
        <v>0.0</v>
      </c>
      <c r="P1928" s="5">
        <v>0.0</v>
      </c>
      <c r="Q1928" s="5">
        <v>0.0</v>
      </c>
    </row>
    <row r="1929" outlineLevel="1">
      <c r="B1929" s="0" t="inlineStr">
        <is>
          <t xml:space="preserve">RAKON FRANCE SAS</t>
        </is>
      </c>
      <c r="C1929" s="0" t="inlineStr">
        <is>
          <t xml:space="preserve">K5HLAYNX45A3</t>
        </is>
      </c>
      <c r="D1929" s="0" t="inlineStr">
        <is>
          <t xml:space="preserve">Foreign</t>
        </is>
      </c>
      <c r="E1929" s="0" t="inlineStr">
        <is>
          <t xml:space="preserve">-</t>
        </is>
      </c>
      <c r="F1929" s="0" t="inlineStr">
        <is>
          <t xml:space="preserve">-</t>
        </is>
      </c>
      <c r="G1929" s="5">
        <v>0.0436</v>
      </c>
      <c r="H1929" s="0" t="inlineStr">
        <is>
          <t xml:space="preserve">foreign_fms</t>
        </is>
      </c>
      <c r="I1929" s="0" t="inlineStr">
        <is>
          <t xml:space="preserve">-</t>
        </is>
      </c>
      <c r="J1929" s="0" t="inlineStr">
        <is>
          <t xml:space="preserve">foreign flag</t>
        </is>
      </c>
      <c r="K1929" s="5">
        <v>0</v>
      </c>
      <c r="L1929" s="5">
        <v>0</v>
      </c>
      <c r="M1929" s="5">
        <v>0.0</v>
      </c>
      <c r="N1929" s="5">
        <v>0.0</v>
      </c>
      <c r="O1929" s="5">
        <v>0.0</v>
      </c>
      <c r="P1929" s="5">
        <v>0.0</v>
      </c>
      <c r="Q1929" s="5">
        <v>0.0</v>
      </c>
    </row>
    <row r="1930" outlineLevel="1">
      <c r="B1930" s="0" t="inlineStr">
        <is>
          <t xml:space="preserve">DEWEY ELECTRONICS CORPORATION, THE</t>
        </is>
      </c>
      <c r="C1930" s="0" t="inlineStr">
        <is>
          <t xml:space="preserve">CQQUMMDARBG3</t>
        </is>
      </c>
      <c r="D1930" s="0" t="inlineStr">
        <is>
          <t xml:space="preserve">-</t>
        </is>
      </c>
      <c r="E1930" s="0" t="inlineStr">
        <is>
          <t xml:space="preserve">-</t>
        </is>
      </c>
      <c r="F1930" s="0" t="inlineStr">
        <is>
          <t xml:space="preserve">-</t>
        </is>
      </c>
      <c r="G1930" s="5">
        <v>0.04351442</v>
      </c>
      <c r="H1930" s="0" t="inlineStr">
        <is>
          <t xml:space="preserve">supplier</t>
        </is>
      </c>
      <c r="I1930" s="0" t="inlineStr">
        <is>
          <t xml:space="preserve">unbucketed</t>
        </is>
      </c>
      <c r="J1930" s="0" t="inlineStr">
        <is>
          <t xml:space="preserve">residual</t>
        </is>
      </c>
      <c r="K1930" s="5">
        <v>0</v>
      </c>
      <c r="L1930" s="5">
        <v>0</v>
      </c>
      <c r="M1930" s="5">
        <v>0.04351442</v>
      </c>
      <c r="N1930" s="5">
        <v>0.04351442</v>
      </c>
      <c r="O1930" s="5">
        <v>0.0</v>
      </c>
      <c r="P1930" s="5">
        <v>0.0</v>
      </c>
      <c r="Q1930" s="5">
        <v>0.0</v>
      </c>
    </row>
    <row r="1931" outlineLevel="1">
      <c r="B1931" s="0" t="inlineStr">
        <is>
          <t xml:space="preserve">CURTISS-WRIGHT CORPORATION</t>
        </is>
      </c>
      <c r="C1931" s="0" t="inlineStr">
        <is>
          <t xml:space="preserve">L2R3JUN9CL49</t>
        </is>
      </c>
      <c r="D1931" s="0" t="inlineStr">
        <is>
          <t xml:space="preserve">USA</t>
        </is>
      </c>
      <c r="E1931" s="0" t="inlineStr">
        <is>
          <t xml:space="preserve">3329</t>
        </is>
      </c>
      <c r="F1931" s="0" t="inlineStr">
        <is>
          <t xml:space="preserve">Industrial Valve Manufacturing</t>
        </is>
      </c>
      <c r="G1931" s="5">
        <v>0.043512</v>
      </c>
      <c r="H1931" s="0" t="inlineStr">
        <is>
          <t xml:space="preserve">supplier</t>
        </is>
      </c>
      <c r="I1931" s="0" t="inlineStr">
        <is>
          <t xml:space="preserve">piping</t>
        </is>
      </c>
      <c r="J1931" s="0" t="inlineStr">
        <is>
          <t xml:space="preserve">vendor-override</t>
        </is>
      </c>
      <c r="K1931" s="5">
        <v>0</v>
      </c>
      <c r="L1931" s="5">
        <v>0</v>
      </c>
      <c r="M1931" s="5">
        <v>0.043512</v>
      </c>
      <c r="N1931" s="5">
        <v>0.0</v>
      </c>
      <c r="O1931" s="5">
        <v>0.0</v>
      </c>
      <c r="P1931" s="5">
        <v>0.0</v>
      </c>
      <c r="Q1931" s="5">
        <v>0.0</v>
      </c>
    </row>
    <row r="1932" outlineLevel="1">
      <c r="B1932" s="0" t="inlineStr">
        <is>
          <t xml:space="preserve">FUSION FABRICATING AND MANUFACTURING LLC</t>
        </is>
      </c>
      <c r="C1932" s="0" t="inlineStr">
        <is>
          <t xml:space="preserve">KATEB8XNR5P7</t>
        </is>
      </c>
      <c r="D1932" s="0" t="inlineStr">
        <is>
          <t xml:space="preserve">-</t>
        </is>
      </c>
      <c r="E1932" s="0" t="inlineStr">
        <is>
          <t xml:space="preserve">-</t>
        </is>
      </c>
      <c r="F1932" s="0" t="inlineStr">
        <is>
          <t xml:space="preserve">-</t>
        </is>
      </c>
      <c r="G1932" s="5">
        <v>0.0434</v>
      </c>
      <c r="H1932" s="0" t="inlineStr">
        <is>
          <t xml:space="preserve">supplier</t>
        </is>
      </c>
      <c r="I1932" s="0" t="inlineStr">
        <is>
          <t xml:space="preserve">unbucketed</t>
        </is>
      </c>
      <c r="J1932" s="0" t="inlineStr">
        <is>
          <t xml:space="preserve">residual</t>
        </is>
      </c>
      <c r="K1932" s="5">
        <v>0</v>
      </c>
      <c r="L1932" s="5">
        <v>0</v>
      </c>
      <c r="M1932" s="5">
        <v>0.0</v>
      </c>
      <c r="N1932" s="5">
        <v>0.0</v>
      </c>
      <c r="O1932" s="5">
        <v>0.0</v>
      </c>
      <c r="P1932" s="5">
        <v>0.0</v>
      </c>
      <c r="Q1932" s="5">
        <v>0.0</v>
      </c>
    </row>
    <row r="1933" outlineLevel="1">
      <c r="B1933" s="0" t="inlineStr">
        <is>
          <t xml:space="preserve">TAMPA BAY MACHINING, INC.</t>
        </is>
      </c>
      <c r="C1933" s="0" t="inlineStr">
        <is>
          <t xml:space="preserve">CUJ1W7C1DTJ7</t>
        </is>
      </c>
      <c r="D1933" s="0" t="inlineStr">
        <is>
          <t xml:space="preserve">-</t>
        </is>
      </c>
      <c r="E1933" s="0" t="inlineStr">
        <is>
          <t xml:space="preserve">-</t>
        </is>
      </c>
      <c r="F1933" s="0" t="inlineStr">
        <is>
          <t xml:space="preserve">-</t>
        </is>
      </c>
      <c r="G1933" s="5">
        <v>0.043039</v>
      </c>
      <c r="H1933" s="0" t="inlineStr">
        <is>
          <t xml:space="preserve">supplier</t>
        </is>
      </c>
      <c r="I1933" s="0" t="inlineStr">
        <is>
          <t xml:space="preserve">unbucketed</t>
        </is>
      </c>
      <c r="J1933" s="0" t="inlineStr">
        <is>
          <t xml:space="preserve">residual</t>
        </is>
      </c>
      <c r="K1933" s="5">
        <v>0</v>
      </c>
      <c r="L1933" s="5">
        <v>0</v>
      </c>
      <c r="M1933" s="5">
        <v>0.0</v>
      </c>
      <c r="N1933" s="5">
        <v>0.0</v>
      </c>
      <c r="O1933" s="5">
        <v>0.0</v>
      </c>
      <c r="P1933" s="5">
        <v>0.0</v>
      </c>
      <c r="Q1933" s="5">
        <v>0.0</v>
      </c>
    </row>
    <row r="1934" outlineLevel="1">
      <c r="B1934" s="0" t="inlineStr">
        <is>
          <t xml:space="preserve">THE CARLYLE GROUP INC</t>
        </is>
      </c>
      <c r="C1934" s="0" t="inlineStr">
        <is>
          <t xml:space="preserve">N6P1AGPMV456</t>
        </is>
      </c>
      <c r="D1934" s="0" t="inlineStr">
        <is>
          <t xml:space="preserve">-</t>
        </is>
      </c>
      <c r="E1934" s="0" t="inlineStr">
        <is>
          <t xml:space="preserve">-</t>
        </is>
      </c>
      <c r="F1934" s="0" t="inlineStr">
        <is>
          <t xml:space="preserve">-</t>
        </is>
      </c>
      <c r="G1934" s="5">
        <v>0.042777</v>
      </c>
      <c r="H1934" s="0" t="inlineStr">
        <is>
          <t xml:space="preserve">supplier</t>
        </is>
      </c>
      <c r="I1934" s="0" t="inlineStr">
        <is>
          <t xml:space="preserve">piping</t>
        </is>
      </c>
      <c r="J1934" s="0" t="inlineStr">
        <is>
          <t xml:space="preserve">registry</t>
        </is>
      </c>
      <c r="K1934" s="5">
        <v>0</v>
      </c>
      <c r="L1934" s="5">
        <v>0</v>
      </c>
      <c r="M1934" s="5">
        <v>0.0</v>
      </c>
      <c r="N1934" s="5">
        <v>0.0</v>
      </c>
      <c r="O1934" s="5">
        <v>0.0</v>
      </c>
      <c r="P1934" s="5">
        <v>0.0</v>
      </c>
      <c r="Q1934" s="5">
        <v>0.0</v>
      </c>
    </row>
    <row r="1935" outlineLevel="1">
      <c r="B1935" s="0" t="inlineStr">
        <is>
          <t xml:space="preserve">PH TOOL, LLC</t>
        </is>
      </c>
      <c r="C1935" s="0" t="inlineStr">
        <is>
          <t xml:space="preserve">K9VMHL2MG5X7</t>
        </is>
      </c>
      <c r="D1935" s="0" t="inlineStr">
        <is>
          <t xml:space="preserve">-</t>
        </is>
      </c>
      <c r="E1935" s="0" t="inlineStr">
        <is>
          <t xml:space="preserve">-</t>
        </is>
      </c>
      <c r="F1935" s="0" t="inlineStr">
        <is>
          <t xml:space="preserve">-</t>
        </is>
      </c>
      <c r="G1935" s="5">
        <v>0.042767</v>
      </c>
      <c r="H1935" s="0" t="inlineStr">
        <is>
          <t xml:space="preserve">supplier</t>
        </is>
      </c>
      <c r="I1935" s="0" t="inlineStr">
        <is>
          <t xml:space="preserve">unbucketed</t>
        </is>
      </c>
      <c r="J1935" s="0" t="inlineStr">
        <is>
          <t xml:space="preserve">residual</t>
        </is>
      </c>
      <c r="K1935" s="5">
        <v>0</v>
      </c>
      <c r="L1935" s="5">
        <v>0</v>
      </c>
      <c r="M1935" s="5">
        <v>0.0</v>
      </c>
      <c r="N1935" s="5">
        <v>0.0</v>
      </c>
      <c r="O1935" s="5">
        <v>0.0</v>
      </c>
      <c r="P1935" s="5">
        <v>0.0</v>
      </c>
      <c r="Q1935" s="5">
        <v>0.0</v>
      </c>
    </row>
    <row r="1936" outlineLevel="1">
      <c r="B1936" s="0" t="inlineStr">
        <is>
          <t xml:space="preserve">RUBBERCRAFT CORPORATION OF CALIFORNIA, LTD.</t>
        </is>
      </c>
      <c r="C1936" s="0" t="inlineStr">
        <is>
          <t xml:space="preserve">MZFHJKDZWSJ8</t>
        </is>
      </c>
      <c r="D1936" s="0" t="inlineStr">
        <is>
          <t xml:space="preserve">-</t>
        </is>
      </c>
      <c r="E1936" s="0" t="inlineStr">
        <is>
          <t xml:space="preserve">-</t>
        </is>
      </c>
      <c r="F1936" s="0" t="inlineStr">
        <is>
          <t xml:space="preserve">-</t>
        </is>
      </c>
      <c r="G1936" s="5">
        <v>0.042735</v>
      </c>
      <c r="H1936" s="0" t="inlineStr">
        <is>
          <t xml:space="preserve">supplier</t>
        </is>
      </c>
      <c r="I1936" s="0" t="inlineStr">
        <is>
          <t xml:space="preserve">unbucketed</t>
        </is>
      </c>
      <c r="J1936" s="0" t="inlineStr">
        <is>
          <t xml:space="preserve">residual</t>
        </is>
      </c>
      <c r="K1936" s="5">
        <v>0</v>
      </c>
      <c r="L1936" s="5">
        <v>0</v>
      </c>
      <c r="M1936" s="5">
        <v>0.0</v>
      </c>
      <c r="N1936" s="5">
        <v>0.0</v>
      </c>
      <c r="O1936" s="5">
        <v>0.0</v>
      </c>
      <c r="P1936" s="5">
        <v>0.0</v>
      </c>
      <c r="Q1936" s="5">
        <v>0.0</v>
      </c>
    </row>
    <row r="1937" outlineLevel="1">
      <c r="B1937" s="0" t="inlineStr">
        <is>
          <t xml:space="preserve">SPI LLC</t>
        </is>
      </c>
      <c r="C1937" s="0" t="inlineStr">
        <is>
          <t xml:space="preserve">PK5TL6ZMSAQ9</t>
        </is>
      </c>
      <c r="D1937" s="0" t="inlineStr">
        <is>
          <t xml:space="preserve">-</t>
        </is>
      </c>
      <c r="E1937" s="0" t="inlineStr">
        <is>
          <t xml:space="preserve">-</t>
        </is>
      </c>
      <c r="F1937" s="0" t="inlineStr">
        <is>
          <t xml:space="preserve">-</t>
        </is>
      </c>
      <c r="G1937" s="5">
        <v>0.042711</v>
      </c>
      <c r="H1937" s="0" t="inlineStr">
        <is>
          <t xml:space="preserve">supplier</t>
        </is>
      </c>
      <c r="I1937" s="0" t="inlineStr">
        <is>
          <t xml:space="preserve">unbucketed</t>
        </is>
      </c>
      <c r="J1937" s="0" t="inlineStr">
        <is>
          <t xml:space="preserve">residual</t>
        </is>
      </c>
      <c r="K1937" s="5">
        <v>0</v>
      </c>
      <c r="L1937" s="5">
        <v>0</v>
      </c>
      <c r="M1937" s="5">
        <v>0.0</v>
      </c>
      <c r="N1937" s="5">
        <v>0.0</v>
      </c>
      <c r="O1937" s="5">
        <v>0.0</v>
      </c>
      <c r="P1937" s="5">
        <v>0.0</v>
      </c>
      <c r="Q1937" s="5">
        <v>0.0</v>
      </c>
    </row>
    <row r="1938" outlineLevel="1">
      <c r="B1938" s="0" t="inlineStr">
        <is>
          <t xml:space="preserve">STROHWIG INDUSTRIES, INC.</t>
        </is>
      </c>
      <c r="C1938" s="0" t="inlineStr">
        <is>
          <t xml:space="preserve">YFKZLTRQ4MT8</t>
        </is>
      </c>
      <c r="D1938" s="0" t="inlineStr">
        <is>
          <t xml:space="preserve">-</t>
        </is>
      </c>
      <c r="E1938" s="0" t="inlineStr">
        <is>
          <t xml:space="preserve">-</t>
        </is>
      </c>
      <c r="F1938" s="0" t="inlineStr">
        <is>
          <t xml:space="preserve">-</t>
        </is>
      </c>
      <c r="G1938" s="5">
        <v>0.04267</v>
      </c>
      <c r="H1938" s="0" t="inlineStr">
        <is>
          <t xml:space="preserve">supplier</t>
        </is>
      </c>
      <c r="I1938" s="0" t="inlineStr">
        <is>
          <t xml:space="preserve">unbucketed</t>
        </is>
      </c>
      <c r="J1938" s="0" t="inlineStr">
        <is>
          <t xml:space="preserve">residual</t>
        </is>
      </c>
      <c r="K1938" s="5">
        <v>0</v>
      </c>
      <c r="L1938" s="5">
        <v>0</v>
      </c>
      <c r="M1938" s="5">
        <v>0.0</v>
      </c>
      <c r="N1938" s="5">
        <v>0.0</v>
      </c>
      <c r="O1938" s="5">
        <v>0.0</v>
      </c>
      <c r="P1938" s="5">
        <v>0.0</v>
      </c>
      <c r="Q1938" s="5">
        <v>0.0</v>
      </c>
    </row>
    <row r="1939" outlineLevel="1">
      <c r="B1939" s="0" t="inlineStr">
        <is>
          <t xml:space="preserve">SIFCO APPLIED SURFACE CONCEPTS, LLC</t>
        </is>
      </c>
      <c r="C1939" s="0" t="inlineStr">
        <is>
          <t xml:space="preserve">P6PCQLBY8JF3</t>
        </is>
      </c>
      <c r="D1939" s="0" t="inlineStr">
        <is>
          <t xml:space="preserve">-</t>
        </is>
      </c>
      <c r="E1939" s="0" t="inlineStr">
        <is>
          <t xml:space="preserve">-</t>
        </is>
      </c>
      <c r="F1939" s="0" t="inlineStr">
        <is>
          <t xml:space="preserve">-</t>
        </is>
      </c>
      <c r="G1939" s="5">
        <v>0.0426</v>
      </c>
      <c r="H1939" s="0" t="inlineStr">
        <is>
          <t xml:space="preserve">supplier</t>
        </is>
      </c>
      <c r="I1939" s="0" t="inlineStr">
        <is>
          <t xml:space="preserve">unbucketed</t>
        </is>
      </c>
      <c r="J1939" s="0" t="inlineStr">
        <is>
          <t xml:space="preserve">residual</t>
        </is>
      </c>
      <c r="K1939" s="5">
        <v>0</v>
      </c>
      <c r="L1939" s="5">
        <v>0</v>
      </c>
      <c r="M1939" s="5">
        <v>0.0</v>
      </c>
      <c r="N1939" s="5">
        <v>0.0</v>
      </c>
      <c r="O1939" s="5">
        <v>0.0</v>
      </c>
      <c r="P1939" s="5">
        <v>0.0</v>
      </c>
      <c r="Q1939" s="5">
        <v>0.0</v>
      </c>
    </row>
    <row r="1940" outlineLevel="1">
      <c r="B1940" s="0" t="inlineStr">
        <is>
          <t xml:space="preserve">TDK CORPORATION</t>
        </is>
      </c>
      <c r="C1940" s="0" t="inlineStr">
        <is>
          <t xml:space="preserve">YKHLWN7HSZ53</t>
        </is>
      </c>
      <c r="D1940" s="0" t="inlineStr">
        <is>
          <t xml:space="preserve">-</t>
        </is>
      </c>
      <c r="E1940" s="0" t="inlineStr">
        <is>
          <t xml:space="preserve">-</t>
        </is>
      </c>
      <c r="F1940" s="0" t="inlineStr">
        <is>
          <t xml:space="preserve">-</t>
        </is>
      </c>
      <c r="G1940" s="5">
        <v>0.042588</v>
      </c>
      <c r="H1940" s="0" t="inlineStr">
        <is>
          <t xml:space="preserve">supplier</t>
        </is>
      </c>
      <c r="I1940" s="0" t="inlineStr">
        <is>
          <t xml:space="preserve">unbucketed</t>
        </is>
      </c>
      <c r="J1940" s="0" t="inlineStr">
        <is>
          <t xml:space="preserve">residual</t>
        </is>
      </c>
      <c r="K1940" s="5">
        <v>0</v>
      </c>
      <c r="L1940" s="5">
        <v>0</v>
      </c>
      <c r="M1940" s="5">
        <v>0.0</v>
      </c>
      <c r="N1940" s="5">
        <v>0.0</v>
      </c>
      <c r="O1940" s="5">
        <v>0.0</v>
      </c>
      <c r="P1940" s="5">
        <v>0.0</v>
      </c>
      <c r="Q1940" s="5">
        <v>0.0</v>
      </c>
    </row>
    <row r="1941" outlineLevel="1">
      <c r="B1941" s="0" t="inlineStr">
        <is>
          <t xml:space="preserve">NEVRON PLASTICS, INC.</t>
        </is>
      </c>
      <c r="C1941" s="0" t="inlineStr">
        <is>
          <t xml:space="preserve">FKN9XBKZSKY3</t>
        </is>
      </c>
      <c r="D1941" s="0" t="inlineStr">
        <is>
          <t xml:space="preserve">-</t>
        </is>
      </c>
      <c r="E1941" s="0" t="inlineStr">
        <is>
          <t xml:space="preserve">-</t>
        </is>
      </c>
      <c r="F1941" s="0" t="inlineStr">
        <is>
          <t xml:space="preserve">-</t>
        </is>
      </c>
      <c r="G1941" s="5">
        <v>0.042545</v>
      </c>
      <c r="H1941" s="0" t="inlineStr">
        <is>
          <t xml:space="preserve">supplier</t>
        </is>
      </c>
      <c r="I1941" s="0" t="inlineStr">
        <is>
          <t xml:space="preserve">unbucketed</t>
        </is>
      </c>
      <c r="J1941" s="0" t="inlineStr">
        <is>
          <t xml:space="preserve">residual</t>
        </is>
      </c>
      <c r="K1941" s="5">
        <v>0</v>
      </c>
      <c r="L1941" s="5">
        <v>0</v>
      </c>
      <c r="M1941" s="5">
        <v>0.0</v>
      </c>
      <c r="N1941" s="5">
        <v>0.0</v>
      </c>
      <c r="O1941" s="5">
        <v>0.0</v>
      </c>
      <c r="P1941" s="5">
        <v>0.0</v>
      </c>
      <c r="Q1941" s="5">
        <v>0.0</v>
      </c>
    </row>
    <row r="1942" outlineLevel="1">
      <c r="B1942" s="0" t="inlineStr">
        <is>
          <t xml:space="preserve">ELMO MOTION CONTROL, INC.</t>
        </is>
      </c>
      <c r="C1942" s="0" t="inlineStr">
        <is>
          <t xml:space="preserve">G9L3E5CJSKS7</t>
        </is>
      </c>
      <c r="D1942" s="0" t="inlineStr">
        <is>
          <t xml:space="preserve">-</t>
        </is>
      </c>
      <c r="E1942" s="0" t="inlineStr">
        <is>
          <t xml:space="preserve">-</t>
        </is>
      </c>
      <c r="F1942" s="0" t="inlineStr">
        <is>
          <t xml:space="preserve">-</t>
        </is>
      </c>
      <c r="G1942" s="5">
        <v>0.042132</v>
      </c>
      <c r="H1942" s="0" t="inlineStr">
        <is>
          <t xml:space="preserve">supplier</t>
        </is>
      </c>
      <c r="I1942" s="0" t="inlineStr">
        <is>
          <t xml:space="preserve">unbucketed</t>
        </is>
      </c>
      <c r="J1942" s="0" t="inlineStr">
        <is>
          <t xml:space="preserve">residual</t>
        </is>
      </c>
      <c r="K1942" s="5">
        <v>0</v>
      </c>
      <c r="L1942" s="5">
        <v>0</v>
      </c>
      <c r="M1942" s="5">
        <v>0.0</v>
      </c>
      <c r="N1942" s="5">
        <v>0.0</v>
      </c>
      <c r="O1942" s="5">
        <v>0.0</v>
      </c>
      <c r="P1942" s="5">
        <v>0.0</v>
      </c>
      <c r="Q1942" s="5">
        <v>0.0</v>
      </c>
    </row>
    <row r="1943" outlineLevel="1">
      <c r="B1943" s="0" t="inlineStr">
        <is>
          <t xml:space="preserve">ALTRA INDUSTRIAL MOTION CORP.</t>
        </is>
      </c>
      <c r="C1943" s="0" t="inlineStr">
        <is>
          <t xml:space="preserve">SW3JDK33JDK8</t>
        </is>
      </c>
      <c r="D1943" s="0" t="inlineStr">
        <is>
          <t xml:space="preserve">USA</t>
        </is>
      </c>
      <c r="E1943" s="0" t="inlineStr">
        <is>
          <t xml:space="preserve">5511</t>
        </is>
      </c>
      <c r="F1943" s="0" t="inlineStr">
        <is>
          <t xml:space="preserve">Corporate, Subsidiary, and Regional Managing Offices</t>
        </is>
      </c>
      <c r="G1943" s="5">
        <v>0.041895</v>
      </c>
      <c r="H1943" s="0" t="inlineStr">
        <is>
          <t xml:space="preserve">holding</t>
        </is>
      </c>
      <c r="I1943" s="0" t="inlineStr">
        <is>
          <t xml:space="preserve">-</t>
        </is>
      </c>
      <c r="J1943" s="0" t="inlineStr">
        <is>
          <t xml:space="preserve">holding-co (5511)</t>
        </is>
      </c>
      <c r="K1943" s="5">
        <v>0</v>
      </c>
      <c r="L1943" s="5">
        <v>0</v>
      </c>
      <c r="M1943" s="5">
        <v>0.0</v>
      </c>
      <c r="N1943" s="5">
        <v>0.0</v>
      </c>
      <c r="O1943" s="5">
        <v>0.0</v>
      </c>
      <c r="P1943" s="5">
        <v>0.0</v>
      </c>
      <c r="Q1943" s="5">
        <v>0.0</v>
      </c>
    </row>
    <row r="1944" outlineLevel="1">
      <c r="B1944" s="0" t="inlineStr">
        <is>
          <t xml:space="preserve">EAST COAST SHIELDING LLC</t>
        </is>
      </c>
      <c r="C1944" s="0" t="inlineStr">
        <is>
          <t xml:space="preserve">MCKMKTL1YV56</t>
        </is>
      </c>
      <c r="D1944" s="0" t="inlineStr">
        <is>
          <t xml:space="preserve">-</t>
        </is>
      </c>
      <c r="E1944" s="0" t="inlineStr">
        <is>
          <t xml:space="preserve">-</t>
        </is>
      </c>
      <c r="F1944" s="0" t="inlineStr">
        <is>
          <t xml:space="preserve">-</t>
        </is>
      </c>
      <c r="G1944" s="5">
        <v>0.041864</v>
      </c>
      <c r="H1944" s="0" t="inlineStr">
        <is>
          <t xml:space="preserve">supplier</t>
        </is>
      </c>
      <c r="I1944" s="0" t="inlineStr">
        <is>
          <t xml:space="preserve">unbucketed</t>
        </is>
      </c>
      <c r="J1944" s="0" t="inlineStr">
        <is>
          <t xml:space="preserve">residual</t>
        </is>
      </c>
      <c r="K1944" s="5">
        <v>0</v>
      </c>
      <c r="L1944" s="5">
        <v>0</v>
      </c>
      <c r="M1944" s="5">
        <v>0.0</v>
      </c>
      <c r="N1944" s="5">
        <v>0.0</v>
      </c>
      <c r="O1944" s="5">
        <v>0.0</v>
      </c>
      <c r="P1944" s="5">
        <v>0.0</v>
      </c>
      <c r="Q1944" s="5">
        <v>0.0</v>
      </c>
    </row>
    <row r="1945" outlineLevel="1">
      <c r="B1945" s="0" t="inlineStr">
        <is>
          <t xml:space="preserve">SUPER RADIATOR COILS LP</t>
        </is>
      </c>
      <c r="C1945" s="0" t="inlineStr">
        <is>
          <t xml:space="preserve">J9XEK2AAZMW3</t>
        </is>
      </c>
      <c r="D1945" s="0" t="inlineStr">
        <is>
          <t xml:space="preserve">-</t>
        </is>
      </c>
      <c r="E1945" s="0" t="inlineStr">
        <is>
          <t xml:space="preserve">-</t>
        </is>
      </c>
      <c r="F1945" s="0" t="inlineStr">
        <is>
          <t xml:space="preserve">-</t>
        </is>
      </c>
      <c r="G1945" s="5">
        <v>0.041792</v>
      </c>
      <c r="H1945" s="0" t="inlineStr">
        <is>
          <t xml:space="preserve">supplier</t>
        </is>
      </c>
      <c r="I1945" s="0" t="inlineStr">
        <is>
          <t xml:space="preserve">unbucketed</t>
        </is>
      </c>
      <c r="J1945" s="0" t="inlineStr">
        <is>
          <t xml:space="preserve">residual</t>
        </is>
      </c>
      <c r="K1945" s="5">
        <v>0</v>
      </c>
      <c r="L1945" s="5">
        <v>0</v>
      </c>
      <c r="M1945" s="5">
        <v>0.0</v>
      </c>
      <c r="N1945" s="5">
        <v>0.0</v>
      </c>
      <c r="O1945" s="5">
        <v>0.0</v>
      </c>
      <c r="P1945" s="5">
        <v>0.0</v>
      </c>
      <c r="Q1945" s="5">
        <v>0.0</v>
      </c>
    </row>
    <row r="1946" outlineLevel="1">
      <c r="B1946" s="0" t="inlineStr">
        <is>
          <t xml:space="preserve">POLYGON US CORPORATION</t>
        </is>
      </c>
      <c r="C1946" s="0" t="inlineStr">
        <is>
          <t xml:space="preserve">N5QHL2GLHJ35</t>
        </is>
      </c>
      <c r="D1946" s="0" t="inlineStr">
        <is>
          <t xml:space="preserve">-</t>
        </is>
      </c>
      <c r="E1946" s="0" t="inlineStr">
        <is>
          <t xml:space="preserve">-</t>
        </is>
      </c>
      <c r="F1946" s="0" t="inlineStr">
        <is>
          <t xml:space="preserve">-</t>
        </is>
      </c>
      <c r="G1946" s="5">
        <v>0.041783</v>
      </c>
      <c r="H1946" s="0" t="inlineStr">
        <is>
          <t xml:space="preserve">supplier</t>
        </is>
      </c>
      <c r="I1946" s="0" t="inlineStr">
        <is>
          <t xml:space="preserve">unbucketed</t>
        </is>
      </c>
      <c r="J1946" s="0" t="inlineStr">
        <is>
          <t xml:space="preserve">residual</t>
        </is>
      </c>
      <c r="K1946" s="5">
        <v>0</v>
      </c>
      <c r="L1946" s="5">
        <v>0</v>
      </c>
      <c r="M1946" s="5">
        <v>0.0</v>
      </c>
      <c r="N1946" s="5">
        <v>0.0</v>
      </c>
      <c r="O1946" s="5">
        <v>0.0</v>
      </c>
      <c r="P1946" s="5">
        <v>0.0</v>
      </c>
      <c r="Q1946" s="5">
        <v>0.0</v>
      </c>
    </row>
    <row r="1947" outlineLevel="1">
      <c r="B1947" s="0" t="inlineStr">
        <is>
          <t xml:space="preserve">JOHNSON CONTROLS INTERNATIONAL PUBLIC LIMITED COMPANY</t>
        </is>
      </c>
      <c r="C1947" s="0" t="inlineStr">
        <is>
          <t xml:space="preserve">MD21J51WM123</t>
        </is>
      </c>
      <c r="D1947" s="0" t="inlineStr">
        <is>
          <t xml:space="preserve">-</t>
        </is>
      </c>
      <c r="E1947" s="0" t="inlineStr">
        <is>
          <t xml:space="preserve">-</t>
        </is>
      </c>
      <c r="F1947" s="0" t="inlineStr">
        <is>
          <t xml:space="preserve">-</t>
        </is>
      </c>
      <c r="G1947" s="5">
        <v>0.0416415</v>
      </c>
      <c r="H1947" s="0" t="inlineStr">
        <is>
          <t xml:space="preserve">supplier</t>
        </is>
      </c>
      <c r="I1947" s="0" t="inlineStr">
        <is>
          <t xml:space="preserve">unbucketed</t>
        </is>
      </c>
      <c r="J1947" s="0" t="inlineStr">
        <is>
          <t xml:space="preserve">residual</t>
        </is>
      </c>
      <c r="K1947" s="5">
        <v>0</v>
      </c>
      <c r="L1947" s="5">
        <v>0</v>
      </c>
      <c r="M1947" s="5">
        <v>0.0416415</v>
      </c>
      <c r="N1947" s="5">
        <v>0.0</v>
      </c>
      <c r="O1947" s="5">
        <v>0.0</v>
      </c>
      <c r="P1947" s="5">
        <v>0.0</v>
      </c>
      <c r="Q1947" s="5">
        <v>0.0</v>
      </c>
    </row>
    <row r="1948" outlineLevel="1">
      <c r="B1948" s="0" t="inlineStr">
        <is>
          <t xml:space="preserve">SYNNEX CORPORATION</t>
        </is>
      </c>
      <c r="C1948" s="0" t="inlineStr">
        <is>
          <t xml:space="preserve">LYXBWDHL4VR9</t>
        </is>
      </c>
      <c r="D1948" s="0" t="inlineStr">
        <is>
          <t xml:space="preserve">-</t>
        </is>
      </c>
      <c r="E1948" s="0" t="inlineStr">
        <is>
          <t xml:space="preserve">-</t>
        </is>
      </c>
      <c r="F1948" s="0" t="inlineStr">
        <is>
          <t xml:space="preserve">-</t>
        </is>
      </c>
      <c r="G1948" s="5">
        <v>0.041495199999999996</v>
      </c>
      <c r="H1948" s="0" t="inlineStr">
        <is>
          <t xml:space="preserve">supplier</t>
        </is>
      </c>
      <c r="I1948" s="0" t="inlineStr">
        <is>
          <t xml:space="preserve">unbucketed</t>
        </is>
      </c>
      <c r="J1948" s="0" t="inlineStr">
        <is>
          <t xml:space="preserve">residual</t>
        </is>
      </c>
      <c r="K1948" s="5">
        <v>0</v>
      </c>
      <c r="L1948" s="5">
        <v>0</v>
      </c>
      <c r="M1948" s="5">
        <v>0.0</v>
      </c>
      <c r="N1948" s="5">
        <v>0.0</v>
      </c>
      <c r="O1948" s="5">
        <v>0.0</v>
      </c>
      <c r="P1948" s="5">
        <v>0.0</v>
      </c>
      <c r="Q1948" s="5">
        <v>0.0</v>
      </c>
    </row>
    <row r="1949" outlineLevel="1">
      <c r="B1949" s="0" t="inlineStr">
        <is>
          <t xml:space="preserve">C &amp; I TECHNOLOGIES INC</t>
        </is>
      </c>
      <c r="C1949" s="0" t="inlineStr">
        <is>
          <t xml:space="preserve">SDJRDNFQMUV5</t>
        </is>
      </c>
      <c r="D1949" s="0" t="inlineStr">
        <is>
          <t xml:space="preserve">-</t>
        </is>
      </c>
      <c r="E1949" s="0" t="inlineStr">
        <is>
          <t xml:space="preserve">-</t>
        </is>
      </c>
      <c r="F1949" s="0" t="inlineStr">
        <is>
          <t xml:space="preserve">-</t>
        </is>
      </c>
      <c r="G1949" s="5">
        <v>0.040987</v>
      </c>
      <c r="H1949" s="0" t="inlineStr">
        <is>
          <t xml:space="preserve">supplier</t>
        </is>
      </c>
      <c r="I1949" s="0" t="inlineStr">
        <is>
          <t xml:space="preserve">unbucketed</t>
        </is>
      </c>
      <c r="J1949" s="0" t="inlineStr">
        <is>
          <t xml:space="preserve">residual</t>
        </is>
      </c>
      <c r="K1949" s="5">
        <v>0</v>
      </c>
      <c r="L1949" s="5">
        <v>0</v>
      </c>
      <c r="M1949" s="5">
        <v>0.0</v>
      </c>
      <c r="N1949" s="5">
        <v>0.0</v>
      </c>
      <c r="O1949" s="5">
        <v>0.0</v>
      </c>
      <c r="P1949" s="5">
        <v>0.0</v>
      </c>
      <c r="Q1949" s="5">
        <v>0.0</v>
      </c>
    </row>
    <row r="1950" outlineLevel="1">
      <c r="B1950" s="0" t="inlineStr">
        <is>
          <t xml:space="preserve">ATLAS MACHINE AND SUPPLY, INC.</t>
        </is>
      </c>
      <c r="C1950" s="0" t="inlineStr">
        <is>
          <t xml:space="preserve">NM7MH5AKVNK8</t>
        </is>
      </c>
      <c r="D1950" s="0" t="inlineStr">
        <is>
          <t xml:space="preserve">-</t>
        </is>
      </c>
      <c r="E1950" s="0" t="inlineStr">
        <is>
          <t xml:space="preserve">-</t>
        </is>
      </c>
      <c r="F1950" s="0" t="inlineStr">
        <is>
          <t xml:space="preserve">-</t>
        </is>
      </c>
      <c r="G1950" s="5">
        <v>0.040951</v>
      </c>
      <c r="H1950" s="0" t="inlineStr">
        <is>
          <t xml:space="preserve">supplier</t>
        </is>
      </c>
      <c r="I1950" s="0" t="inlineStr">
        <is>
          <t xml:space="preserve">unbucketed</t>
        </is>
      </c>
      <c r="J1950" s="0" t="inlineStr">
        <is>
          <t xml:space="preserve">residual</t>
        </is>
      </c>
      <c r="K1950" s="5">
        <v>0</v>
      </c>
      <c r="L1950" s="5">
        <v>0</v>
      </c>
      <c r="M1950" s="5">
        <v>0.0</v>
      </c>
      <c r="N1950" s="5">
        <v>0.0</v>
      </c>
      <c r="O1950" s="5">
        <v>0.0</v>
      </c>
      <c r="P1950" s="5">
        <v>0.0</v>
      </c>
      <c r="Q1950" s="5">
        <v>0.0</v>
      </c>
    </row>
    <row r="1951" outlineLevel="1">
      <c r="B1951" s="0" t="inlineStr">
        <is>
          <t xml:space="preserve">BERKSHIRE HATHAWAY INC.</t>
        </is>
      </c>
      <c r="C1951" s="0" t="inlineStr">
        <is>
          <t xml:space="preserve">MKJ7GNEUFKN9</t>
        </is>
      </c>
      <c r="D1951" s="0" t="inlineStr">
        <is>
          <t xml:space="preserve">USA</t>
        </is>
      </c>
      <c r="E1951" s="0" t="inlineStr">
        <is>
          <t xml:space="preserve">5511</t>
        </is>
      </c>
      <c r="F1951" s="0" t="inlineStr">
        <is>
          <t xml:space="preserve">Offices of Other Holding Companies</t>
        </is>
      </c>
      <c r="G1951" s="5">
        <v>0.04095</v>
      </c>
      <c r="H1951" s="0" t="inlineStr">
        <is>
          <t xml:space="preserve">holding</t>
        </is>
      </c>
      <c r="I1951" s="0" t="inlineStr">
        <is>
          <t xml:space="preserve">-</t>
        </is>
      </c>
      <c r="J1951" s="0" t="inlineStr">
        <is>
          <t xml:space="preserve">holding-co (5511)</t>
        </is>
      </c>
      <c r="K1951" s="5">
        <v>0</v>
      </c>
      <c r="L1951" s="5">
        <v>0</v>
      </c>
      <c r="M1951" s="5">
        <v>0.0</v>
      </c>
      <c r="N1951" s="5">
        <v>0.0</v>
      </c>
      <c r="O1951" s="5">
        <v>0.0</v>
      </c>
      <c r="P1951" s="5">
        <v>0.0</v>
      </c>
      <c r="Q1951" s="5">
        <v>0.0</v>
      </c>
    </row>
    <row r="1952" outlineLevel="1">
      <c r="B1952" s="0" t="inlineStr">
        <is>
          <t xml:space="preserve">SAN DIEGO BAY PILOTS ASSOCIATION</t>
        </is>
      </c>
      <c r="C1952" s="0" t="inlineStr">
        <is>
          <t xml:space="preserve">JAQAFSELV935</t>
        </is>
      </c>
      <c r="D1952" s="0" t="inlineStr">
        <is>
          <t xml:space="preserve">-</t>
        </is>
      </c>
      <c r="E1952" s="0" t="inlineStr">
        <is>
          <t xml:space="preserve">-</t>
        </is>
      </c>
      <c r="F1952" s="0" t="inlineStr">
        <is>
          <t xml:space="preserve">-</t>
        </is>
      </c>
      <c r="G1952" s="5">
        <v>0.040824</v>
      </c>
      <c r="H1952" s="0" t="inlineStr">
        <is>
          <t xml:space="preserve">supplier</t>
        </is>
      </c>
      <c r="I1952" s="0" t="inlineStr">
        <is>
          <t xml:space="preserve">unbucketed</t>
        </is>
      </c>
      <c r="J1952" s="0" t="inlineStr">
        <is>
          <t xml:space="preserve">residual</t>
        </is>
      </c>
      <c r="K1952" s="5">
        <v>0</v>
      </c>
      <c r="L1952" s="5">
        <v>0</v>
      </c>
      <c r="M1952" s="5">
        <v>0.0</v>
      </c>
      <c r="N1952" s="5">
        <v>0.0</v>
      </c>
      <c r="O1952" s="5">
        <v>0.0</v>
      </c>
      <c r="P1952" s="5">
        <v>0.0</v>
      </c>
      <c r="Q1952" s="5">
        <v>0.0</v>
      </c>
    </row>
    <row r="1953" outlineLevel="1">
      <c r="B1953" s="0" t="inlineStr">
        <is>
          <t xml:space="preserve">THE FIRST ELECTRONICS CORPORATION</t>
        </is>
      </c>
      <c r="C1953" s="0" t="inlineStr">
        <is>
          <t xml:space="preserve">C6XTUACKQJJ9</t>
        </is>
      </c>
      <c r="D1953" s="0" t="inlineStr">
        <is>
          <t xml:space="preserve">-</t>
        </is>
      </c>
      <c r="E1953" s="0" t="inlineStr">
        <is>
          <t xml:space="preserve">-</t>
        </is>
      </c>
      <c r="F1953" s="0" t="inlineStr">
        <is>
          <t xml:space="preserve">-</t>
        </is>
      </c>
      <c r="G1953" s="5">
        <v>0.040714</v>
      </c>
      <c r="H1953" s="0" t="inlineStr">
        <is>
          <t xml:space="preserve">supplier</t>
        </is>
      </c>
      <c r="I1953" s="0" t="inlineStr">
        <is>
          <t xml:space="preserve">unbucketed</t>
        </is>
      </c>
      <c r="J1953" s="0" t="inlineStr">
        <is>
          <t xml:space="preserve">residual</t>
        </is>
      </c>
      <c r="K1953" s="5">
        <v>0</v>
      </c>
      <c r="L1953" s="5">
        <v>0</v>
      </c>
      <c r="M1953" s="5">
        <v>0.0</v>
      </c>
      <c r="N1953" s="5">
        <v>0.0</v>
      </c>
      <c r="O1953" s="5">
        <v>0.0</v>
      </c>
      <c r="P1953" s="5">
        <v>0.0</v>
      </c>
      <c r="Q1953" s="5">
        <v>0.0</v>
      </c>
    </row>
    <row r="1954" outlineLevel="1">
      <c r="B1954" s="0" t="inlineStr">
        <is>
          <t xml:space="preserve">UNITED TECHNOLOGIES CORPORATION</t>
        </is>
      </c>
      <c r="C1954" s="0" t="inlineStr">
        <is>
          <t xml:space="preserve">FC2CNDSY8CL9</t>
        </is>
      </c>
      <c r="D1954" s="0" t="inlineStr">
        <is>
          <t xml:space="preserve">-</t>
        </is>
      </c>
      <c r="E1954" s="0" t="inlineStr">
        <is>
          <t xml:space="preserve">-</t>
        </is>
      </c>
      <c r="F1954" s="0" t="inlineStr">
        <is>
          <t xml:space="preserve">-</t>
        </is>
      </c>
      <c r="G1954" s="5">
        <v>0.04062464</v>
      </c>
      <c r="H1954" s="0" t="inlineStr">
        <is>
          <t xml:space="preserve">supplier</t>
        </is>
      </c>
      <c r="I1954" s="0" t="inlineStr">
        <is>
          <t xml:space="preserve">unbucketed</t>
        </is>
      </c>
      <c r="J1954" s="0" t="inlineStr">
        <is>
          <t xml:space="preserve">residual</t>
        </is>
      </c>
      <c r="K1954" s="5">
        <v>0</v>
      </c>
      <c r="L1954" s="5">
        <v>0</v>
      </c>
      <c r="M1954" s="5">
        <v>0.0</v>
      </c>
      <c r="N1954" s="5">
        <v>0.0</v>
      </c>
      <c r="O1954" s="5">
        <v>0.0</v>
      </c>
      <c r="P1954" s="5">
        <v>0.0</v>
      </c>
      <c r="Q1954" s="5">
        <v>0.0</v>
      </c>
    </row>
    <row r="1955" outlineLevel="1">
      <c r="B1955" s="0" t="inlineStr">
        <is>
          <t xml:space="preserve">MONTEREY ELECTRONICS, INC</t>
        </is>
      </c>
      <c r="C1955" s="0" t="inlineStr">
        <is>
          <t xml:space="preserve">XSSLK3EJNY51</t>
        </is>
      </c>
      <c r="D1955" s="0" t="inlineStr">
        <is>
          <t xml:space="preserve">-</t>
        </is>
      </c>
      <c r="E1955" s="0" t="inlineStr">
        <is>
          <t xml:space="preserve">-</t>
        </is>
      </c>
      <c r="F1955" s="0" t="inlineStr">
        <is>
          <t xml:space="preserve">-</t>
        </is>
      </c>
      <c r="G1955" s="5">
        <v>0.04062</v>
      </c>
      <c r="H1955" s="0" t="inlineStr">
        <is>
          <t xml:space="preserve">supplier</t>
        </is>
      </c>
      <c r="I1955" s="0" t="inlineStr">
        <is>
          <t xml:space="preserve">unbucketed</t>
        </is>
      </c>
      <c r="J1955" s="0" t="inlineStr">
        <is>
          <t xml:space="preserve">residual</t>
        </is>
      </c>
      <c r="K1955" s="5">
        <v>0</v>
      </c>
      <c r="L1955" s="5">
        <v>0</v>
      </c>
      <c r="M1955" s="5">
        <v>0.0</v>
      </c>
      <c r="N1955" s="5">
        <v>0.0</v>
      </c>
      <c r="O1955" s="5">
        <v>0.0</v>
      </c>
      <c r="P1955" s="5">
        <v>0.0</v>
      </c>
      <c r="Q1955" s="5">
        <v>0.0</v>
      </c>
    </row>
    <row r="1956" outlineLevel="1">
      <c r="B1956" s="0" t="inlineStr">
        <is>
          <t xml:space="preserve">WENZEL ASSOCIATES INC</t>
        </is>
      </c>
      <c r="C1956" s="0" t="inlineStr">
        <is>
          <t xml:space="preserve">GM4FL5Q7KSK5</t>
        </is>
      </c>
      <c r="D1956" s="0" t="inlineStr">
        <is>
          <t xml:space="preserve">-</t>
        </is>
      </c>
      <c r="E1956" s="0" t="inlineStr">
        <is>
          <t xml:space="preserve">-</t>
        </is>
      </c>
      <c r="F1956" s="0" t="inlineStr">
        <is>
          <t xml:space="preserve">-</t>
        </is>
      </c>
      <c r="G1956" s="5">
        <v>0.04044</v>
      </c>
      <c r="H1956" s="0" t="inlineStr">
        <is>
          <t xml:space="preserve">supplier</t>
        </is>
      </c>
      <c r="I1956" s="0" t="inlineStr">
        <is>
          <t xml:space="preserve">unbucketed</t>
        </is>
      </c>
      <c r="J1956" s="0" t="inlineStr">
        <is>
          <t xml:space="preserve">residual</t>
        </is>
      </c>
      <c r="K1956" s="5">
        <v>0</v>
      </c>
      <c r="L1956" s="5">
        <v>0</v>
      </c>
      <c r="M1956" s="5">
        <v>0.0</v>
      </c>
      <c r="N1956" s="5">
        <v>0.0</v>
      </c>
      <c r="O1956" s="5">
        <v>0.0</v>
      </c>
      <c r="P1956" s="5">
        <v>0.0</v>
      </c>
      <c r="Q1956" s="5">
        <v>0.0</v>
      </c>
    </row>
    <row r="1957" outlineLevel="1">
      <c r="B1957" s="0" t="inlineStr">
        <is>
          <t xml:space="preserve">MODERN MANUFACTURING &amp; ENGINEERING, INC</t>
        </is>
      </c>
      <c r="C1957" s="0" t="inlineStr">
        <is>
          <t xml:space="preserve">WG9ALCK48K77</t>
        </is>
      </c>
      <c r="D1957" s="0" t="inlineStr">
        <is>
          <t xml:space="preserve">-</t>
        </is>
      </c>
      <c r="E1957" s="0" t="inlineStr">
        <is>
          <t xml:space="preserve">-</t>
        </is>
      </c>
      <c r="F1957" s="0" t="inlineStr">
        <is>
          <t xml:space="preserve">-</t>
        </is>
      </c>
      <c r="G1957" s="5">
        <v>0.04038108</v>
      </c>
      <c r="H1957" s="0" t="inlineStr">
        <is>
          <t xml:space="preserve">supplier</t>
        </is>
      </c>
      <c r="I1957" s="0" t="inlineStr">
        <is>
          <t xml:space="preserve">unbucketed</t>
        </is>
      </c>
      <c r="J1957" s="0" t="inlineStr">
        <is>
          <t xml:space="preserve">residual</t>
        </is>
      </c>
      <c r="K1957" s="5">
        <v>0</v>
      </c>
      <c r="L1957" s="5">
        <v>0</v>
      </c>
      <c r="M1957" s="5">
        <v>0.0</v>
      </c>
      <c r="N1957" s="5">
        <v>0.0</v>
      </c>
      <c r="O1957" s="5">
        <v>0.0</v>
      </c>
      <c r="P1957" s="5">
        <v>0.0</v>
      </c>
      <c r="Q1957" s="5">
        <v>0.0</v>
      </c>
    </row>
    <row r="1958" outlineLevel="1">
      <c r="B1958" s="0" t="inlineStr">
        <is>
          <t xml:space="preserve">MIDCON CABLES CO., INC.</t>
        </is>
      </c>
      <c r="C1958" s="0" t="inlineStr">
        <is>
          <t xml:space="preserve">S6KEGRLJSRZ4</t>
        </is>
      </c>
      <c r="D1958" s="0" t="inlineStr">
        <is>
          <t xml:space="preserve">-</t>
        </is>
      </c>
      <c r="E1958" s="0" t="inlineStr">
        <is>
          <t xml:space="preserve">-</t>
        </is>
      </c>
      <c r="F1958" s="0" t="inlineStr">
        <is>
          <t xml:space="preserve">-</t>
        </is>
      </c>
      <c r="G1958" s="5">
        <v>0.040312</v>
      </c>
      <c r="H1958" s="0" t="inlineStr">
        <is>
          <t xml:space="preserve">supplier</t>
        </is>
      </c>
      <c r="I1958" s="0" t="inlineStr">
        <is>
          <t xml:space="preserve">unbucketed</t>
        </is>
      </c>
      <c r="J1958" s="0" t="inlineStr">
        <is>
          <t xml:space="preserve">residual</t>
        </is>
      </c>
      <c r="K1958" s="5">
        <v>0</v>
      </c>
      <c r="L1958" s="5">
        <v>0</v>
      </c>
      <c r="M1958" s="5">
        <v>0.0</v>
      </c>
      <c r="N1958" s="5">
        <v>0.0</v>
      </c>
      <c r="O1958" s="5">
        <v>0.0</v>
      </c>
      <c r="P1958" s="5">
        <v>0.0</v>
      </c>
      <c r="Q1958" s="5">
        <v>0.0</v>
      </c>
    </row>
    <row r="1959" outlineLevel="1">
      <c r="B1959" s="0" t="inlineStr">
        <is>
          <t xml:space="preserve">WARBURG PINCUS LLC</t>
        </is>
      </c>
      <c r="C1959" s="0" t="inlineStr">
        <is>
          <t xml:space="preserve">NYEMFJ7MMJB5</t>
        </is>
      </c>
      <c r="D1959" s="0" t="inlineStr">
        <is>
          <t xml:space="preserve">-</t>
        </is>
      </c>
      <c r="E1959" s="0" t="inlineStr">
        <is>
          <t xml:space="preserve">-</t>
        </is>
      </c>
      <c r="F1959" s="0" t="inlineStr">
        <is>
          <t xml:space="preserve">-</t>
        </is>
      </c>
      <c r="G1959" s="5">
        <v>0.04</v>
      </c>
      <c r="H1959" s="0" t="inlineStr">
        <is>
          <t xml:space="preserve">supplier</t>
        </is>
      </c>
      <c r="I1959" s="0" t="inlineStr">
        <is>
          <t xml:space="preserve">unbucketed</t>
        </is>
      </c>
      <c r="J1959" s="0" t="inlineStr">
        <is>
          <t xml:space="preserve">residual</t>
        </is>
      </c>
      <c r="K1959" s="5">
        <v>0</v>
      </c>
      <c r="L1959" s="5">
        <v>0</v>
      </c>
      <c r="M1959" s="5">
        <v>0.0</v>
      </c>
      <c r="N1959" s="5">
        <v>0.0</v>
      </c>
      <c r="O1959" s="5">
        <v>0.0</v>
      </c>
      <c r="P1959" s="5">
        <v>0.0</v>
      </c>
      <c r="Q1959" s="5">
        <v>0.0</v>
      </c>
    </row>
    <row r="1960" outlineLevel="1">
      <c r="B1960" s="0" t="inlineStr">
        <is>
          <t xml:space="preserve">RAY INVESTMENT SARL</t>
        </is>
      </c>
      <c r="C1960" s="0" t="inlineStr">
        <is>
          <t xml:space="preserve">FDEBHRY3KWF3</t>
        </is>
      </c>
      <c r="D1960" s="0" t="inlineStr">
        <is>
          <t xml:space="preserve">-</t>
        </is>
      </c>
      <c r="E1960" s="0" t="inlineStr">
        <is>
          <t xml:space="preserve">-</t>
        </is>
      </c>
      <c r="F1960" s="0" t="inlineStr">
        <is>
          <t xml:space="preserve">-</t>
        </is>
      </c>
      <c r="G1960" s="5">
        <v>0.039948</v>
      </c>
      <c r="H1960" s="0" t="inlineStr">
        <is>
          <t xml:space="preserve">supplier</t>
        </is>
      </c>
      <c r="I1960" s="0" t="inlineStr">
        <is>
          <t xml:space="preserve">unbucketed</t>
        </is>
      </c>
      <c r="J1960" s="0" t="inlineStr">
        <is>
          <t xml:space="preserve">residual</t>
        </is>
      </c>
      <c r="K1960" s="5">
        <v>0</v>
      </c>
      <c r="L1960" s="5">
        <v>0</v>
      </c>
      <c r="M1960" s="5">
        <v>0.0</v>
      </c>
      <c r="N1960" s="5">
        <v>0.0</v>
      </c>
      <c r="O1960" s="5">
        <v>0.0</v>
      </c>
      <c r="P1960" s="5">
        <v>0.0</v>
      </c>
      <c r="Q1960" s="5">
        <v>0.0</v>
      </c>
    </row>
    <row r="1961" outlineLevel="1">
      <c r="B1961" s="0" t="inlineStr">
        <is>
          <t xml:space="preserve">MITSUBISHI CHEMICAL HOLDINGS CORPORATION</t>
        </is>
      </c>
      <c r="C1961" s="0" t="inlineStr">
        <is>
          <t xml:space="preserve">ZN4UA9JFYVB3</t>
        </is>
      </c>
      <c r="D1961" s="0" t="inlineStr">
        <is>
          <t xml:space="preserve">-</t>
        </is>
      </c>
      <c r="E1961" s="0" t="inlineStr">
        <is>
          <t xml:space="preserve">-</t>
        </is>
      </c>
      <c r="F1961" s="0" t="inlineStr">
        <is>
          <t xml:space="preserve">-</t>
        </is>
      </c>
      <c r="G1961" s="5">
        <v>0.039858199999999996</v>
      </c>
      <c r="H1961" s="0" t="inlineStr">
        <is>
          <t xml:space="preserve">supplier</t>
        </is>
      </c>
      <c r="I1961" s="0" t="inlineStr">
        <is>
          <t xml:space="preserve">unbucketed</t>
        </is>
      </c>
      <c r="J1961" s="0" t="inlineStr">
        <is>
          <t xml:space="preserve">residual</t>
        </is>
      </c>
      <c r="K1961" s="5">
        <v>0</v>
      </c>
      <c r="L1961" s="5">
        <v>0</v>
      </c>
      <c r="M1961" s="5">
        <v>0.0</v>
      </c>
      <c r="N1961" s="5">
        <v>0.0</v>
      </c>
      <c r="O1961" s="5">
        <v>0.0</v>
      </c>
      <c r="P1961" s="5">
        <v>0.0</v>
      </c>
      <c r="Q1961" s="5">
        <v>0.0</v>
      </c>
    </row>
    <row r="1962" outlineLevel="1">
      <c r="B1962" s="0" t="inlineStr">
        <is>
          <t xml:space="preserve">GULF COAST MARINE SUPPLY COMPANY</t>
        </is>
      </c>
      <c r="C1962" s="0" t="inlineStr">
        <is>
          <t xml:space="preserve">HYN4GBTR6TF3</t>
        </is>
      </c>
      <c r="D1962" s="0" t="inlineStr">
        <is>
          <t xml:space="preserve">-</t>
        </is>
      </c>
      <c r="E1962" s="0" t="inlineStr">
        <is>
          <t xml:space="preserve">-</t>
        </is>
      </c>
      <c r="F1962" s="0" t="inlineStr">
        <is>
          <t xml:space="preserve">-</t>
        </is>
      </c>
      <c r="G1962" s="5">
        <v>0.03982284</v>
      </c>
      <c r="H1962" s="0" t="inlineStr">
        <is>
          <t xml:space="preserve">supplier</t>
        </is>
      </c>
      <c r="I1962" s="0" t="inlineStr">
        <is>
          <t xml:space="preserve">unbucketed</t>
        </is>
      </c>
      <c r="J1962" s="0" t="inlineStr">
        <is>
          <t xml:space="preserve">residual</t>
        </is>
      </c>
      <c r="K1962" s="5">
        <v>0</v>
      </c>
      <c r="L1962" s="5">
        <v>0</v>
      </c>
      <c r="M1962" s="5">
        <v>0.03982284</v>
      </c>
      <c r="N1962" s="5">
        <v>0.0</v>
      </c>
      <c r="O1962" s="5">
        <v>0.0</v>
      </c>
      <c r="P1962" s="5">
        <v>0.0</v>
      </c>
      <c r="Q1962" s="5">
        <v>0.0</v>
      </c>
    </row>
    <row r="1963" outlineLevel="1">
      <c r="B1963" s="0" t="inlineStr">
        <is>
          <t xml:space="preserve">AUTOMATED PRECISION INC.</t>
        </is>
      </c>
      <c r="C1963" s="0" t="inlineStr">
        <is>
          <t xml:space="preserve">YET2PMM1L7J4</t>
        </is>
      </c>
      <c r="D1963" s="0" t="inlineStr">
        <is>
          <t xml:space="preserve">-</t>
        </is>
      </c>
      <c r="E1963" s="0" t="inlineStr">
        <is>
          <t xml:space="preserve">-</t>
        </is>
      </c>
      <c r="F1963" s="0" t="inlineStr">
        <is>
          <t xml:space="preserve">-</t>
        </is>
      </c>
      <c r="G1963" s="5">
        <v>0.039753</v>
      </c>
      <c r="H1963" s="0" t="inlineStr">
        <is>
          <t xml:space="preserve">supplier</t>
        </is>
      </c>
      <c r="I1963" s="0" t="inlineStr">
        <is>
          <t xml:space="preserve">unbucketed</t>
        </is>
      </c>
      <c r="J1963" s="0" t="inlineStr">
        <is>
          <t xml:space="preserve">residual</t>
        </is>
      </c>
      <c r="K1963" s="5">
        <v>0</v>
      </c>
      <c r="L1963" s="5">
        <v>0</v>
      </c>
      <c r="M1963" s="5">
        <v>0.039753</v>
      </c>
      <c r="N1963" s="5">
        <v>0.039753</v>
      </c>
      <c r="O1963" s="5">
        <v>0.0</v>
      </c>
      <c r="P1963" s="5">
        <v>0.0</v>
      </c>
      <c r="Q1963" s="5">
        <v>0.0</v>
      </c>
    </row>
    <row r="1964" outlineLevel="1">
      <c r="B1964" s="0" t="inlineStr">
        <is>
          <t xml:space="preserve">NOISEWAVE CORP</t>
        </is>
      </c>
      <c r="C1964" s="0" t="inlineStr">
        <is>
          <t xml:space="preserve">V5LASN1TFDA1</t>
        </is>
      </c>
      <c r="D1964" s="0" t="inlineStr">
        <is>
          <t xml:space="preserve">-</t>
        </is>
      </c>
      <c r="E1964" s="0" t="inlineStr">
        <is>
          <t xml:space="preserve">-</t>
        </is>
      </c>
      <c r="F1964" s="0" t="inlineStr">
        <is>
          <t xml:space="preserve">-</t>
        </is>
      </c>
      <c r="G1964" s="5">
        <v>0.03971111</v>
      </c>
      <c r="H1964" s="0" t="inlineStr">
        <is>
          <t xml:space="preserve">supplier</t>
        </is>
      </c>
      <c r="I1964" s="0" t="inlineStr">
        <is>
          <t xml:space="preserve">unbucketed</t>
        </is>
      </c>
      <c r="J1964" s="0" t="inlineStr">
        <is>
          <t xml:space="preserve">residual</t>
        </is>
      </c>
      <c r="K1964" s="5">
        <v>0</v>
      </c>
      <c r="L1964" s="5">
        <v>0</v>
      </c>
      <c r="M1964" s="5">
        <v>0.0</v>
      </c>
      <c r="N1964" s="5">
        <v>0.0</v>
      </c>
      <c r="O1964" s="5">
        <v>0.0</v>
      </c>
      <c r="P1964" s="5">
        <v>0.0</v>
      </c>
      <c r="Q1964" s="5">
        <v>0.0</v>
      </c>
    </row>
    <row r="1965" outlineLevel="1">
      <c r="B1965" s="0" t="inlineStr">
        <is>
          <t xml:space="preserve">WACO PRODUCTS INC</t>
        </is>
      </c>
      <c r="C1965" s="0" t="inlineStr">
        <is>
          <t xml:space="preserve">VP7EM3WJPGF3</t>
        </is>
      </c>
      <c r="D1965" s="0" t="inlineStr">
        <is>
          <t xml:space="preserve">-</t>
        </is>
      </c>
      <c r="E1965" s="0" t="inlineStr">
        <is>
          <t xml:space="preserve">-</t>
        </is>
      </c>
      <c r="F1965" s="0" t="inlineStr">
        <is>
          <t xml:space="preserve">-</t>
        </is>
      </c>
      <c r="G1965" s="5">
        <v>0.03965866</v>
      </c>
      <c r="H1965" s="0" t="inlineStr">
        <is>
          <t xml:space="preserve">supplier</t>
        </is>
      </c>
      <c r="I1965" s="0" t="inlineStr">
        <is>
          <t xml:space="preserve">unbucketed</t>
        </is>
      </c>
      <c r="J1965" s="0" t="inlineStr">
        <is>
          <t xml:space="preserve">residual</t>
        </is>
      </c>
      <c r="K1965" s="5">
        <v>0</v>
      </c>
      <c r="L1965" s="5">
        <v>0</v>
      </c>
      <c r="M1965" s="5">
        <v>0.0</v>
      </c>
      <c r="N1965" s="5">
        <v>0.0</v>
      </c>
      <c r="O1965" s="5">
        <v>0.0</v>
      </c>
      <c r="P1965" s="5">
        <v>0.0</v>
      </c>
      <c r="Q1965" s="5">
        <v>0.0</v>
      </c>
    </row>
    <row r="1966" outlineLevel="1">
      <c r="B1966" s="0" t="inlineStr">
        <is>
          <t xml:space="preserve">W.W. GRAINGER, INC.</t>
        </is>
      </c>
      <c r="C1966" s="0" t="inlineStr">
        <is>
          <t xml:space="preserve">DBQGN324ULK3</t>
        </is>
      </c>
      <c r="D1966" s="0" t="inlineStr">
        <is>
          <t xml:space="preserve">-</t>
        </is>
      </c>
      <c r="E1966" s="0" t="inlineStr">
        <is>
          <t xml:space="preserve">-</t>
        </is>
      </c>
      <c r="F1966" s="0" t="inlineStr">
        <is>
          <t xml:space="preserve">-</t>
        </is>
      </c>
      <c r="G1966" s="5">
        <v>0.039595</v>
      </c>
      <c r="H1966" s="0" t="inlineStr">
        <is>
          <t xml:space="preserve">supplier</t>
        </is>
      </c>
      <c r="I1966" s="0" t="inlineStr">
        <is>
          <t xml:space="preserve">unbucketed</t>
        </is>
      </c>
      <c r="J1966" s="0" t="inlineStr">
        <is>
          <t xml:space="preserve">residual</t>
        </is>
      </c>
      <c r="K1966" s="5">
        <v>0</v>
      </c>
      <c r="L1966" s="5">
        <v>0</v>
      </c>
      <c r="M1966" s="5">
        <v>0.039595</v>
      </c>
      <c r="N1966" s="5">
        <v>0.0</v>
      </c>
      <c r="O1966" s="5">
        <v>0.0</v>
      </c>
      <c r="P1966" s="5">
        <v>0.0</v>
      </c>
      <c r="Q1966" s="5">
        <v>0.039595</v>
      </c>
    </row>
    <row r="1967" outlineLevel="1">
      <c r="B1967" s="0" t="inlineStr">
        <is>
          <t xml:space="preserve">AGGREKO PLC</t>
        </is>
      </c>
      <c r="C1967" s="0" t="inlineStr">
        <is>
          <t xml:space="preserve">MC9KZKMUD8F8</t>
        </is>
      </c>
      <c r="D1967" s="0" t="inlineStr">
        <is>
          <t xml:space="preserve">-</t>
        </is>
      </c>
      <c r="E1967" s="0" t="inlineStr">
        <is>
          <t xml:space="preserve">-</t>
        </is>
      </c>
      <c r="F1967" s="0" t="inlineStr">
        <is>
          <t xml:space="preserve">-</t>
        </is>
      </c>
      <c r="G1967" s="5">
        <v>0.039548</v>
      </c>
      <c r="H1967" s="0" t="inlineStr">
        <is>
          <t xml:space="preserve">supplier</t>
        </is>
      </c>
      <c r="I1967" s="0" t="inlineStr">
        <is>
          <t xml:space="preserve">unbucketed</t>
        </is>
      </c>
      <c r="J1967" s="0" t="inlineStr">
        <is>
          <t xml:space="preserve">residual</t>
        </is>
      </c>
      <c r="K1967" s="5">
        <v>0</v>
      </c>
      <c r="L1967" s="5">
        <v>0</v>
      </c>
      <c r="M1967" s="5">
        <v>0.0</v>
      </c>
      <c r="N1967" s="5">
        <v>0.0</v>
      </c>
      <c r="O1967" s="5">
        <v>0.0</v>
      </c>
      <c r="P1967" s="5">
        <v>0.0</v>
      </c>
      <c r="Q1967" s="5">
        <v>0.0</v>
      </c>
    </row>
    <row r="1968" outlineLevel="1">
      <c r="B1968" s="0" t="inlineStr">
        <is>
          <t xml:space="preserve">GENERAL ELECTRIC COMPANY</t>
        </is>
      </c>
      <c r="C1968" s="0" t="inlineStr">
        <is>
          <t xml:space="preserve">C12YPM9YKQA5</t>
        </is>
      </c>
      <c r="D1968" s="0" t="inlineStr">
        <is>
          <t xml:space="preserve">USA</t>
        </is>
      </c>
      <c r="E1968" s="0" t="inlineStr">
        <is>
          <t xml:space="preserve">3364</t>
        </is>
      </c>
      <c r="F1968" s="0" t="inlineStr">
        <is>
          <t xml:space="preserve">Aircraft Engine and Engine Parts Manufacturing</t>
        </is>
      </c>
      <c r="G1968" s="5">
        <v>0.039303</v>
      </c>
      <c r="H1968" s="0" t="inlineStr">
        <is>
          <t xml:space="preserve">supplier</t>
        </is>
      </c>
      <c r="I1968" s="0" t="inlineStr">
        <is>
          <t xml:space="preserve">unbucketed</t>
        </is>
      </c>
      <c r="J1968" s="0" t="inlineStr">
        <is>
          <t xml:space="preserve">residual</t>
        </is>
      </c>
      <c r="K1968" s="5">
        <v>0</v>
      </c>
      <c r="L1968" s="5">
        <v>0</v>
      </c>
      <c r="M1968" s="5">
        <v>0.039303</v>
      </c>
      <c r="N1968" s="5">
        <v>0.039303</v>
      </c>
      <c r="O1968" s="5">
        <v>0.0</v>
      </c>
      <c r="P1968" s="5">
        <v>0.0</v>
      </c>
      <c r="Q1968" s="5">
        <v>0.0</v>
      </c>
    </row>
    <row r="1969" outlineLevel="1">
      <c r="B1969" s="0" t="inlineStr">
        <is>
          <t xml:space="preserve">IMS ENGINEERED PRODUCTS LLC</t>
        </is>
      </c>
      <c r="C1969" s="0" t="inlineStr">
        <is>
          <t xml:space="preserve">G78AAHETQMT3</t>
        </is>
      </c>
      <c r="D1969" s="0" t="inlineStr">
        <is>
          <t xml:space="preserve">-</t>
        </is>
      </c>
      <c r="E1969" s="0" t="inlineStr">
        <is>
          <t xml:space="preserve">-</t>
        </is>
      </c>
      <c r="F1969" s="0" t="inlineStr">
        <is>
          <t xml:space="preserve">-</t>
        </is>
      </c>
      <c r="G1969" s="5">
        <v>0.03927435</v>
      </c>
      <c r="H1969" s="0" t="inlineStr">
        <is>
          <t xml:space="preserve">supplier</t>
        </is>
      </c>
      <c r="I1969" s="0" t="inlineStr">
        <is>
          <t xml:space="preserve">unbucketed</t>
        </is>
      </c>
      <c r="J1969" s="0" t="inlineStr">
        <is>
          <t xml:space="preserve">residual</t>
        </is>
      </c>
      <c r="K1969" s="5">
        <v>0</v>
      </c>
      <c r="L1969" s="5">
        <v>0</v>
      </c>
      <c r="M1969" s="5">
        <v>0.0</v>
      </c>
      <c r="N1969" s="5">
        <v>0.0</v>
      </c>
      <c r="O1969" s="5">
        <v>0.0</v>
      </c>
      <c r="P1969" s="5">
        <v>0.0</v>
      </c>
      <c r="Q1969" s="5">
        <v>0.0</v>
      </c>
    </row>
    <row r="1970" outlineLevel="1">
      <c r="B1970" s="0" t="inlineStr">
        <is>
          <t xml:space="preserve">NOBLE SUPPLY &amp; LOGISTICS, LLC</t>
        </is>
      </c>
      <c r="C1970" s="0" t="inlineStr">
        <is>
          <t xml:space="preserve">YLE5AAYNVPK6</t>
        </is>
      </c>
      <c r="D1970" s="0" t="inlineStr">
        <is>
          <t xml:space="preserve">-</t>
        </is>
      </c>
      <c r="E1970" s="0" t="inlineStr">
        <is>
          <t xml:space="preserve">-</t>
        </is>
      </c>
      <c r="F1970" s="0" t="inlineStr">
        <is>
          <t xml:space="preserve">-</t>
        </is>
      </c>
      <c r="G1970" s="5">
        <v>0.0392288</v>
      </c>
      <c r="H1970" s="0" t="inlineStr">
        <is>
          <t xml:space="preserve">supplier</t>
        </is>
      </c>
      <c r="I1970" s="0" t="inlineStr">
        <is>
          <t xml:space="preserve">unbucketed</t>
        </is>
      </c>
      <c r="J1970" s="0" t="inlineStr">
        <is>
          <t xml:space="preserve">residual</t>
        </is>
      </c>
      <c r="K1970" s="5">
        <v>0</v>
      </c>
      <c r="L1970" s="5">
        <v>0</v>
      </c>
      <c r="M1970" s="5">
        <v>0.0392288</v>
      </c>
      <c r="N1970" s="5">
        <v>0.0</v>
      </c>
      <c r="O1970" s="5">
        <v>0.0</v>
      </c>
      <c r="P1970" s="5">
        <v>0.0</v>
      </c>
      <c r="Q1970" s="5">
        <v>0.0392288</v>
      </c>
    </row>
    <row r="1971" outlineLevel="1">
      <c r="B1971" s="0" t="inlineStr">
        <is>
          <t xml:space="preserve">FC INDUSTRIES, INC.</t>
        </is>
      </c>
      <c r="C1971" s="0" t="inlineStr">
        <is>
          <t xml:space="preserve">QQ9XUTM4RHC4</t>
        </is>
      </c>
      <c r="D1971" s="0" t="inlineStr">
        <is>
          <t xml:space="preserve">-</t>
        </is>
      </c>
      <c r="E1971" s="0" t="inlineStr">
        <is>
          <t xml:space="preserve">-</t>
        </is>
      </c>
      <c r="F1971" s="0" t="inlineStr">
        <is>
          <t xml:space="preserve">-</t>
        </is>
      </c>
      <c r="G1971" s="5">
        <v>0.038989</v>
      </c>
      <c r="H1971" s="0" t="inlineStr">
        <is>
          <t xml:space="preserve">supplier</t>
        </is>
      </c>
      <c r="I1971" s="0" t="inlineStr">
        <is>
          <t xml:space="preserve">unbucketed</t>
        </is>
      </c>
      <c r="J1971" s="0" t="inlineStr">
        <is>
          <t xml:space="preserve">residual</t>
        </is>
      </c>
      <c r="K1971" s="5">
        <v>0</v>
      </c>
      <c r="L1971" s="5">
        <v>0</v>
      </c>
      <c r="M1971" s="5">
        <v>0.0</v>
      </c>
      <c r="N1971" s="5">
        <v>0.0</v>
      </c>
      <c r="O1971" s="5">
        <v>0.0</v>
      </c>
      <c r="P1971" s="5">
        <v>0.0</v>
      </c>
      <c r="Q1971" s="5">
        <v>0.0</v>
      </c>
    </row>
    <row r="1972" outlineLevel="1">
      <c r="B1972" s="0" t="inlineStr">
        <is>
          <t xml:space="preserve">SOUTHERN GEAR &amp; MACHINE INC</t>
        </is>
      </c>
      <c r="C1972" s="0" t="inlineStr">
        <is>
          <t xml:space="preserve">V7GQF5M7C667</t>
        </is>
      </c>
      <c r="D1972" s="0" t="inlineStr">
        <is>
          <t xml:space="preserve">USA</t>
        </is>
      </c>
      <c r="E1972" s="0" t="inlineStr">
        <is>
          <t xml:space="preserve">3336</t>
        </is>
      </c>
      <c r="F1972" s="0" t="inlineStr">
        <is>
          <t xml:space="preserve">Speed Changer, Industrial High-Speed Drive, and Gear Manufacturing</t>
        </is>
      </c>
      <c r="G1972" s="5">
        <v>0.03896037</v>
      </c>
      <c r="H1972" s="0" t="inlineStr">
        <is>
          <t xml:space="preserve">supplier</t>
        </is>
      </c>
      <c r="I1972" s="0" t="inlineStr">
        <is>
          <t xml:space="preserve">machining</t>
        </is>
      </c>
      <c r="J1972" s="0" t="inlineStr">
        <is>
          <t xml:space="preserve">naics4</t>
        </is>
      </c>
      <c r="K1972" s="5">
        <v>0</v>
      </c>
      <c r="L1972" s="5">
        <v>0</v>
      </c>
      <c r="M1972" s="5">
        <v>0.0</v>
      </c>
      <c r="N1972" s="5">
        <v>0.0</v>
      </c>
      <c r="O1972" s="5">
        <v>0.0</v>
      </c>
      <c r="P1972" s="5">
        <v>0.0</v>
      </c>
      <c r="Q1972" s="5">
        <v>0.0</v>
      </c>
    </row>
    <row r="1973" outlineLevel="1">
      <c r="B1973" s="0" t="inlineStr">
        <is>
          <t xml:space="preserve">HEXAGON METROLOGY, INC.</t>
        </is>
      </c>
      <c r="C1973" s="0" t="inlineStr">
        <is>
          <t xml:space="preserve">L9MHFGVW6SN8</t>
        </is>
      </c>
      <c r="D1973" s="0" t="inlineStr">
        <is>
          <t xml:space="preserve">-</t>
        </is>
      </c>
      <c r="E1973" s="0" t="inlineStr">
        <is>
          <t xml:space="preserve">-</t>
        </is>
      </c>
      <c r="F1973" s="0" t="inlineStr">
        <is>
          <t xml:space="preserve">-</t>
        </is>
      </c>
      <c r="G1973" s="5">
        <v>0.03895</v>
      </c>
      <c r="H1973" s="0" t="inlineStr">
        <is>
          <t xml:space="preserve">supplier</t>
        </is>
      </c>
      <c r="I1973" s="0" t="inlineStr">
        <is>
          <t xml:space="preserve">unbucketed</t>
        </is>
      </c>
      <c r="J1973" s="0" t="inlineStr">
        <is>
          <t xml:space="preserve">residual</t>
        </is>
      </c>
      <c r="K1973" s="5">
        <v>0</v>
      </c>
      <c r="L1973" s="5">
        <v>0</v>
      </c>
      <c r="M1973" s="5">
        <v>0.0</v>
      </c>
      <c r="N1973" s="5">
        <v>0.0</v>
      </c>
      <c r="O1973" s="5">
        <v>0.0</v>
      </c>
      <c r="P1973" s="5">
        <v>0.0</v>
      </c>
      <c r="Q1973" s="5">
        <v>0.0</v>
      </c>
    </row>
    <row r="1974" outlineLevel="1">
      <c r="B1974" s="0" t="inlineStr">
        <is>
          <t xml:space="preserve">DATACON INC</t>
        </is>
      </c>
      <c r="C1974" s="0" t="inlineStr">
        <is>
          <t xml:space="preserve">NXGLEN3CK1N6</t>
        </is>
      </c>
      <c r="D1974" s="0" t="inlineStr">
        <is>
          <t xml:space="preserve">USA</t>
        </is>
      </c>
      <c r="E1974" s="0" t="inlineStr">
        <is>
          <t xml:space="preserve">3344</t>
        </is>
      </c>
      <c r="F1974" s="0" t="inlineStr">
        <is>
          <t xml:space="preserve">Printed Circuit Assembly (Electronic Assembly) Manufacturing</t>
        </is>
      </c>
      <c r="G1974" s="5">
        <v>0.03889658</v>
      </c>
      <c r="H1974" s="0" t="inlineStr">
        <is>
          <t xml:space="preserve">mission_systems</t>
        </is>
      </c>
      <c r="I1974" s="0" t="inlineStr">
        <is>
          <t xml:space="preserve">-</t>
        </is>
      </c>
      <c r="J1974" s="0" t="inlineStr">
        <is>
          <t xml:space="preserve">registry</t>
        </is>
      </c>
      <c r="K1974" s="5">
        <v>0</v>
      </c>
      <c r="L1974" s="5">
        <v>0</v>
      </c>
      <c r="M1974" s="5">
        <v>0.0</v>
      </c>
      <c r="N1974" s="5">
        <v>0.0</v>
      </c>
      <c r="O1974" s="5">
        <v>0.0</v>
      </c>
      <c r="P1974" s="5">
        <v>0.0</v>
      </c>
      <c r="Q1974" s="5">
        <v>0.0</v>
      </c>
    </row>
    <row r="1975" outlineLevel="1">
      <c r="B1975" s="0" t="inlineStr">
        <is>
          <t xml:space="preserve">CTEK TOOL &amp; MACHINE CO INC</t>
        </is>
      </c>
      <c r="C1975" s="0" t="inlineStr">
        <is>
          <t xml:space="preserve">F42AM8CJ9J57</t>
        </is>
      </c>
      <c r="D1975" s="0" t="inlineStr">
        <is>
          <t xml:space="preserve">-</t>
        </is>
      </c>
      <c r="E1975" s="0" t="inlineStr">
        <is>
          <t xml:space="preserve">-</t>
        </is>
      </c>
      <c r="F1975" s="0" t="inlineStr">
        <is>
          <t xml:space="preserve">-</t>
        </is>
      </c>
      <c r="G1975" s="5">
        <v>0.038842</v>
      </c>
      <c r="H1975" s="0" t="inlineStr">
        <is>
          <t xml:space="preserve">supplier</t>
        </is>
      </c>
      <c r="I1975" s="0" t="inlineStr">
        <is>
          <t xml:space="preserve">unbucketed</t>
        </is>
      </c>
      <c r="J1975" s="0" t="inlineStr">
        <is>
          <t xml:space="preserve">residual</t>
        </is>
      </c>
      <c r="K1975" s="5">
        <v>0</v>
      </c>
      <c r="L1975" s="5">
        <v>0</v>
      </c>
      <c r="M1975" s="5">
        <v>0.0</v>
      </c>
      <c r="N1975" s="5">
        <v>0.0</v>
      </c>
      <c r="O1975" s="5">
        <v>0.0</v>
      </c>
      <c r="P1975" s="5">
        <v>0.0</v>
      </c>
      <c r="Q1975" s="5">
        <v>0.0</v>
      </c>
    </row>
    <row r="1976" outlineLevel="1">
      <c r="B1976" s="0" t="inlineStr">
        <is>
          <t xml:space="preserve">TTM TECHNOLOGIES, INC.</t>
        </is>
      </c>
      <c r="C1976" s="0" t="inlineStr">
        <is>
          <t xml:space="preserve">C6JLNHMRYZ84</t>
        </is>
      </c>
      <c r="D1976" s="0" t="inlineStr">
        <is>
          <t xml:space="preserve">-</t>
        </is>
      </c>
      <c r="E1976" s="0" t="inlineStr">
        <is>
          <t xml:space="preserve">-</t>
        </is>
      </c>
      <c r="F1976" s="0" t="inlineStr">
        <is>
          <t xml:space="preserve">-</t>
        </is>
      </c>
      <c r="G1976" s="5">
        <v>0.03876</v>
      </c>
      <c r="H1976" s="0" t="inlineStr">
        <is>
          <t xml:space="preserve">supplier</t>
        </is>
      </c>
      <c r="I1976" s="0" t="inlineStr">
        <is>
          <t xml:space="preserve">unbucketed</t>
        </is>
      </c>
      <c r="J1976" s="0" t="inlineStr">
        <is>
          <t xml:space="preserve">residual</t>
        </is>
      </c>
      <c r="K1976" s="5">
        <v>0</v>
      </c>
      <c r="L1976" s="5">
        <v>0</v>
      </c>
      <c r="M1976" s="5">
        <v>0.0</v>
      </c>
      <c r="N1976" s="5">
        <v>0.0</v>
      </c>
      <c r="O1976" s="5">
        <v>0.0</v>
      </c>
      <c r="P1976" s="5">
        <v>0.0</v>
      </c>
      <c r="Q1976" s="5">
        <v>0.0</v>
      </c>
    </row>
    <row r="1977" outlineLevel="1">
      <c r="B1977" s="0" t="inlineStr">
        <is>
          <t xml:space="preserve">CORNET TECHNOLOGY, INC.</t>
        </is>
      </c>
      <c r="C1977" s="0" t="inlineStr">
        <is>
          <t xml:space="preserve">P4NMA2SHLR53</t>
        </is>
      </c>
      <c r="D1977" s="0" t="inlineStr">
        <is>
          <t xml:space="preserve">-</t>
        </is>
      </c>
      <c r="E1977" s="0" t="inlineStr">
        <is>
          <t xml:space="preserve">-</t>
        </is>
      </c>
      <c r="F1977" s="0" t="inlineStr">
        <is>
          <t xml:space="preserve">-</t>
        </is>
      </c>
      <c r="G1977" s="5">
        <v>0.0387</v>
      </c>
      <c r="H1977" s="0" t="inlineStr">
        <is>
          <t xml:space="preserve">supplier</t>
        </is>
      </c>
      <c r="I1977" s="0" t="inlineStr">
        <is>
          <t xml:space="preserve">unbucketed</t>
        </is>
      </c>
      <c r="J1977" s="0" t="inlineStr">
        <is>
          <t xml:space="preserve">residual</t>
        </is>
      </c>
      <c r="K1977" s="5">
        <v>0</v>
      </c>
      <c r="L1977" s="5">
        <v>0</v>
      </c>
      <c r="M1977" s="5">
        <v>0.0387</v>
      </c>
      <c r="N1977" s="5">
        <v>0.0</v>
      </c>
      <c r="O1977" s="5">
        <v>0.0</v>
      </c>
      <c r="P1977" s="5">
        <v>0.0</v>
      </c>
      <c r="Q1977" s="5">
        <v>0.0</v>
      </c>
    </row>
    <row r="1978" outlineLevel="1">
      <c r="B1978" s="0" t="inlineStr">
        <is>
          <t xml:space="preserve">SERCO INC.</t>
        </is>
      </c>
      <c r="C1978" s="0" t="inlineStr">
        <is>
          <t xml:space="preserve">DKJ1R5ABCN48</t>
        </is>
      </c>
      <c r="D1978" s="0" t="inlineStr">
        <is>
          <t xml:space="preserve">-</t>
        </is>
      </c>
      <c r="E1978" s="0" t="inlineStr">
        <is>
          <t xml:space="preserve">-</t>
        </is>
      </c>
      <c r="F1978" s="0" t="inlineStr">
        <is>
          <t xml:space="preserve">-</t>
        </is>
      </c>
      <c r="G1978" s="5">
        <v>0.0386</v>
      </c>
      <c r="H1978" s="0" t="inlineStr">
        <is>
          <t xml:space="preserve">supplier</t>
        </is>
      </c>
      <c r="I1978" s="0" t="inlineStr">
        <is>
          <t xml:space="preserve">unbucketed</t>
        </is>
      </c>
      <c r="J1978" s="0" t="inlineStr">
        <is>
          <t xml:space="preserve">residual</t>
        </is>
      </c>
      <c r="K1978" s="5">
        <v>0</v>
      </c>
      <c r="L1978" s="5">
        <v>0</v>
      </c>
      <c r="M1978" s="5">
        <v>0.0386</v>
      </c>
      <c r="N1978" s="5">
        <v>0.0386</v>
      </c>
      <c r="O1978" s="5">
        <v>0.0</v>
      </c>
      <c r="P1978" s="5">
        <v>0.0</v>
      </c>
      <c r="Q1978" s="5">
        <v>0.0</v>
      </c>
    </row>
    <row r="1979" outlineLevel="1">
      <c r="B1979" s="0" t="inlineStr">
        <is>
          <t xml:space="preserve">OCEANETICS, INC</t>
        </is>
      </c>
      <c r="C1979" s="0" t="inlineStr">
        <is>
          <t xml:space="preserve">HH9BC5LMUQ27</t>
        </is>
      </c>
      <c r="D1979" s="0" t="inlineStr">
        <is>
          <t xml:space="preserve">-</t>
        </is>
      </c>
      <c r="E1979" s="0" t="inlineStr">
        <is>
          <t xml:space="preserve">-</t>
        </is>
      </c>
      <c r="F1979" s="0" t="inlineStr">
        <is>
          <t xml:space="preserve">-</t>
        </is>
      </c>
      <c r="G1979" s="5">
        <v>0.038584</v>
      </c>
      <c r="H1979" s="0" t="inlineStr">
        <is>
          <t xml:space="preserve">supplier</t>
        </is>
      </c>
      <c r="I1979" s="0" t="inlineStr">
        <is>
          <t xml:space="preserve">unbucketed</t>
        </is>
      </c>
      <c r="J1979" s="0" t="inlineStr">
        <is>
          <t xml:space="preserve">residual</t>
        </is>
      </c>
      <c r="K1979" s="5">
        <v>0</v>
      </c>
      <c r="L1979" s="5">
        <v>0</v>
      </c>
      <c r="M1979" s="5">
        <v>0.0</v>
      </c>
      <c r="N1979" s="5">
        <v>0.0</v>
      </c>
      <c r="O1979" s="5">
        <v>0.0</v>
      </c>
      <c r="P1979" s="5">
        <v>0.0</v>
      </c>
      <c r="Q1979" s="5">
        <v>0.0</v>
      </c>
    </row>
    <row r="1980" outlineLevel="1">
      <c r="B1980" s="0" t="inlineStr">
        <is>
          <t xml:space="preserve">EVOQUA WATER TECHNOLOGIES, LLC</t>
        </is>
      </c>
      <c r="C1980" s="0" t="inlineStr">
        <is>
          <t xml:space="preserve">C4JPCM9T9X69</t>
        </is>
      </c>
      <c r="D1980" s="0" t="inlineStr">
        <is>
          <t xml:space="preserve">-</t>
        </is>
      </c>
      <c r="E1980" s="0" t="inlineStr">
        <is>
          <t xml:space="preserve">-</t>
        </is>
      </c>
      <c r="F1980" s="0" t="inlineStr">
        <is>
          <t xml:space="preserve">-</t>
        </is>
      </c>
      <c r="G1980" s="5">
        <v>0.03844</v>
      </c>
      <c r="H1980" s="0" t="inlineStr">
        <is>
          <t xml:space="preserve">supplier</t>
        </is>
      </c>
      <c r="I1980" s="0" t="inlineStr">
        <is>
          <t xml:space="preserve">unbucketed</t>
        </is>
      </c>
      <c r="J1980" s="0" t="inlineStr">
        <is>
          <t xml:space="preserve">residual</t>
        </is>
      </c>
      <c r="K1980" s="5">
        <v>0</v>
      </c>
      <c r="L1980" s="5">
        <v>0</v>
      </c>
      <c r="M1980" s="5">
        <v>0.0</v>
      </c>
      <c r="N1980" s="5">
        <v>0.0</v>
      </c>
      <c r="O1980" s="5">
        <v>0.0</v>
      </c>
      <c r="P1980" s="5">
        <v>0.0</v>
      </c>
      <c r="Q1980" s="5">
        <v>0.0</v>
      </c>
    </row>
    <row r="1981" outlineLevel="1">
      <c r="B1981" s="0" t="inlineStr">
        <is>
          <t xml:space="preserve">ALCOA EXTRUSIONS, INC.</t>
        </is>
      </c>
      <c r="C1981" s="0" t="inlineStr">
        <is>
          <t xml:space="preserve">DA74WSPTMEM6</t>
        </is>
      </c>
      <c r="D1981" s="0" t="inlineStr">
        <is>
          <t xml:space="preserve">-</t>
        </is>
      </c>
      <c r="E1981" s="0" t="inlineStr">
        <is>
          <t xml:space="preserve">-</t>
        </is>
      </c>
      <c r="F1981" s="0" t="inlineStr">
        <is>
          <t xml:space="preserve">-</t>
        </is>
      </c>
      <c r="G1981" s="5">
        <v>0.03833214</v>
      </c>
      <c r="H1981" s="0" t="inlineStr">
        <is>
          <t xml:space="preserve">supplier</t>
        </is>
      </c>
      <c r="I1981" s="0" t="inlineStr">
        <is>
          <t xml:space="preserve">unbucketed</t>
        </is>
      </c>
      <c r="J1981" s="0" t="inlineStr">
        <is>
          <t xml:space="preserve">residual</t>
        </is>
      </c>
      <c r="K1981" s="5">
        <v>0</v>
      </c>
      <c r="L1981" s="5">
        <v>0</v>
      </c>
      <c r="M1981" s="5">
        <v>0.0</v>
      </c>
      <c r="N1981" s="5">
        <v>0.0</v>
      </c>
      <c r="O1981" s="5">
        <v>0.0</v>
      </c>
      <c r="P1981" s="5">
        <v>0.0</v>
      </c>
      <c r="Q1981" s="5">
        <v>0.0</v>
      </c>
    </row>
    <row r="1982" outlineLevel="1">
      <c r="B1982" s="0" t="inlineStr">
        <is>
          <t xml:space="preserve">WESCO INTERNATIONAL, INC.</t>
        </is>
      </c>
      <c r="C1982" s="0" t="inlineStr">
        <is>
          <t xml:space="preserve">TYQ7WJJPGH91</t>
        </is>
      </c>
      <c r="D1982" s="0" t="inlineStr">
        <is>
          <t xml:space="preserve">-</t>
        </is>
      </c>
      <c r="E1982" s="0" t="inlineStr">
        <is>
          <t xml:space="preserve">-</t>
        </is>
      </c>
      <c r="F1982" s="0" t="inlineStr">
        <is>
          <t xml:space="preserve">-</t>
        </is>
      </c>
      <c r="G1982" s="5">
        <v>0.03825</v>
      </c>
      <c r="H1982" s="0" t="inlineStr">
        <is>
          <t xml:space="preserve">supplier</t>
        </is>
      </c>
      <c r="I1982" s="0" t="inlineStr">
        <is>
          <t xml:space="preserve">unbucketed</t>
        </is>
      </c>
      <c r="J1982" s="0" t="inlineStr">
        <is>
          <t xml:space="preserve">residual</t>
        </is>
      </c>
      <c r="K1982" s="5">
        <v>0</v>
      </c>
      <c r="L1982" s="5">
        <v>0</v>
      </c>
      <c r="M1982" s="5">
        <v>0.0</v>
      </c>
      <c r="N1982" s="5">
        <v>0.0</v>
      </c>
      <c r="O1982" s="5">
        <v>0.0</v>
      </c>
      <c r="P1982" s="5">
        <v>0.0</v>
      </c>
      <c r="Q1982" s="5">
        <v>0.0</v>
      </c>
    </row>
    <row r="1983" outlineLevel="1">
      <c r="B1983" s="0" t="inlineStr">
        <is>
          <t xml:space="preserve">FIBER INSTRUMENT SALES, INC.</t>
        </is>
      </c>
      <c r="C1983" s="0" t="inlineStr">
        <is>
          <t xml:space="preserve">H7LXDNB9UAY8</t>
        </is>
      </c>
      <c r="D1983" s="0" t="inlineStr">
        <is>
          <t xml:space="preserve">-</t>
        </is>
      </c>
      <c r="E1983" s="0" t="inlineStr">
        <is>
          <t xml:space="preserve">-</t>
        </is>
      </c>
      <c r="F1983" s="0" t="inlineStr">
        <is>
          <t xml:space="preserve">-</t>
        </is>
      </c>
      <c r="G1983" s="5">
        <v>0.038244</v>
      </c>
      <c r="H1983" s="0" t="inlineStr">
        <is>
          <t xml:space="preserve">supplier</t>
        </is>
      </c>
      <c r="I1983" s="0" t="inlineStr">
        <is>
          <t xml:space="preserve">unbucketed</t>
        </is>
      </c>
      <c r="J1983" s="0" t="inlineStr">
        <is>
          <t xml:space="preserve">residual</t>
        </is>
      </c>
      <c r="K1983" s="5">
        <v>0</v>
      </c>
      <c r="L1983" s="5">
        <v>0</v>
      </c>
      <c r="M1983" s="5">
        <v>0.0</v>
      </c>
      <c r="N1983" s="5">
        <v>0.0</v>
      </c>
      <c r="O1983" s="5">
        <v>0.0</v>
      </c>
      <c r="P1983" s="5">
        <v>0.0</v>
      </c>
      <c r="Q1983" s="5">
        <v>0.0</v>
      </c>
    </row>
    <row r="1984" outlineLevel="1">
      <c r="B1984" s="0" t="inlineStr">
        <is>
          <t xml:space="preserve">TEKGARD, INC</t>
        </is>
      </c>
      <c r="C1984" s="0" t="inlineStr">
        <is>
          <t xml:space="preserve">U1ZVZF7CR3J4</t>
        </is>
      </c>
      <c r="D1984" s="0" t="inlineStr">
        <is>
          <t xml:space="preserve">-</t>
        </is>
      </c>
      <c r="E1984" s="0" t="inlineStr">
        <is>
          <t xml:space="preserve">-</t>
        </is>
      </c>
      <c r="F1984" s="0" t="inlineStr">
        <is>
          <t xml:space="preserve">-</t>
        </is>
      </c>
      <c r="G1984" s="5">
        <v>0.0382</v>
      </c>
      <c r="H1984" s="0" t="inlineStr">
        <is>
          <t xml:space="preserve">supplier</t>
        </is>
      </c>
      <c r="I1984" s="0" t="inlineStr">
        <is>
          <t xml:space="preserve">unbucketed</t>
        </is>
      </c>
      <c r="J1984" s="0" t="inlineStr">
        <is>
          <t xml:space="preserve">residual</t>
        </is>
      </c>
      <c r="K1984" s="5">
        <v>0</v>
      </c>
      <c r="L1984" s="5">
        <v>0</v>
      </c>
      <c r="M1984" s="5">
        <v>0.0</v>
      </c>
      <c r="N1984" s="5">
        <v>0.0</v>
      </c>
      <c r="O1984" s="5">
        <v>0.0</v>
      </c>
      <c r="P1984" s="5">
        <v>0.0</v>
      </c>
      <c r="Q1984" s="5">
        <v>0.0</v>
      </c>
    </row>
    <row r="1985" outlineLevel="1">
      <c r="B1985" s="0" t="inlineStr">
        <is>
          <t xml:space="preserve">LEIDOS HOLDINGS, INC.</t>
        </is>
      </c>
      <c r="C1985" s="0" t="inlineStr">
        <is>
          <t xml:space="preserve">MDSWM6MB1BH7</t>
        </is>
      </c>
      <c r="D1985" s="0" t="inlineStr">
        <is>
          <t xml:space="preserve">-</t>
        </is>
      </c>
      <c r="E1985" s="0" t="inlineStr">
        <is>
          <t xml:space="preserve">-</t>
        </is>
      </c>
      <c r="F1985" s="0" t="inlineStr">
        <is>
          <t xml:space="preserve">-</t>
        </is>
      </c>
      <c r="G1985" s="5">
        <v>0.038168</v>
      </c>
      <c r="H1985" s="0" t="inlineStr">
        <is>
          <t xml:space="preserve">supplier</t>
        </is>
      </c>
      <c r="I1985" s="0" t="inlineStr">
        <is>
          <t xml:space="preserve">unbucketed</t>
        </is>
      </c>
      <c r="J1985" s="0" t="inlineStr">
        <is>
          <t xml:space="preserve">residual</t>
        </is>
      </c>
      <c r="K1985" s="5">
        <v>0</v>
      </c>
      <c r="L1985" s="5">
        <v>0</v>
      </c>
      <c r="M1985" s="5">
        <v>0.0</v>
      </c>
      <c r="N1985" s="5">
        <v>0.0</v>
      </c>
      <c r="O1985" s="5">
        <v>0.0</v>
      </c>
      <c r="P1985" s="5">
        <v>0.0</v>
      </c>
      <c r="Q1985" s="5">
        <v>0.0</v>
      </c>
    </row>
    <row r="1986" outlineLevel="1">
      <c r="B1986" s="0" t="inlineStr">
        <is>
          <t xml:space="preserve">C &amp; D ELECTRONICS INC</t>
        </is>
      </c>
      <c r="C1986" s="0" t="inlineStr">
        <is>
          <t xml:space="preserve">Z59EYJJGPW94</t>
        </is>
      </c>
      <c r="D1986" s="0" t="inlineStr">
        <is>
          <t xml:space="preserve">-</t>
        </is>
      </c>
      <c r="E1986" s="0" t="inlineStr">
        <is>
          <t xml:space="preserve">-</t>
        </is>
      </c>
      <c r="F1986" s="0" t="inlineStr">
        <is>
          <t xml:space="preserve">-</t>
        </is>
      </c>
      <c r="G1986" s="5">
        <v>0.03815</v>
      </c>
      <c r="H1986" s="0" t="inlineStr">
        <is>
          <t xml:space="preserve">supplier</t>
        </is>
      </c>
      <c r="I1986" s="0" t="inlineStr">
        <is>
          <t xml:space="preserve">unbucketed</t>
        </is>
      </c>
      <c r="J1986" s="0" t="inlineStr">
        <is>
          <t xml:space="preserve">residual</t>
        </is>
      </c>
      <c r="K1986" s="5">
        <v>0</v>
      </c>
      <c r="L1986" s="5">
        <v>0</v>
      </c>
      <c r="M1986" s="5">
        <v>0.0</v>
      </c>
      <c r="N1986" s="5">
        <v>0.0</v>
      </c>
      <c r="O1986" s="5">
        <v>0.0</v>
      </c>
      <c r="P1986" s="5">
        <v>0.0</v>
      </c>
      <c r="Q1986" s="5">
        <v>0.0</v>
      </c>
    </row>
    <row r="1987" outlineLevel="1">
      <c r="B1987" s="0" t="inlineStr">
        <is>
          <t xml:space="preserve">INSPEC TESTING, INC.</t>
        </is>
      </c>
      <c r="C1987" s="0" t="inlineStr">
        <is>
          <t xml:space="preserve">KHDJN8SXW3T7</t>
        </is>
      </c>
      <c r="D1987" s="0" t="inlineStr">
        <is>
          <t xml:space="preserve">-</t>
        </is>
      </c>
      <c r="E1987" s="0" t="inlineStr">
        <is>
          <t xml:space="preserve">-</t>
        </is>
      </c>
      <c r="F1987" s="0" t="inlineStr">
        <is>
          <t xml:space="preserve">-</t>
        </is>
      </c>
      <c r="G1987" s="5">
        <v>0.037804000000000004</v>
      </c>
      <c r="H1987" s="0" t="inlineStr">
        <is>
          <t xml:space="preserve">supplier</t>
        </is>
      </c>
      <c r="I1987" s="0" t="inlineStr">
        <is>
          <t xml:space="preserve">unbucketed</t>
        </is>
      </c>
      <c r="J1987" s="0" t="inlineStr">
        <is>
          <t xml:space="preserve">residual</t>
        </is>
      </c>
      <c r="K1987" s="5">
        <v>0</v>
      </c>
      <c r="L1987" s="5">
        <v>0</v>
      </c>
      <c r="M1987" s="5">
        <v>0.0</v>
      </c>
      <c r="N1987" s="5">
        <v>0.0</v>
      </c>
      <c r="O1987" s="5">
        <v>0.0</v>
      </c>
      <c r="P1987" s="5">
        <v>0.0</v>
      </c>
      <c r="Q1987" s="5">
        <v>0.0</v>
      </c>
    </row>
    <row r="1988" outlineLevel="1">
      <c r="B1988" s="0" t="inlineStr">
        <is>
          <t xml:space="preserve">INFINITE ELECTRONICS, INC.</t>
        </is>
      </c>
      <c r="C1988" s="0" t="inlineStr">
        <is>
          <t xml:space="preserve">NYEMFJ7MMJB5</t>
        </is>
      </c>
      <c r="D1988" s="0" t="inlineStr">
        <is>
          <t xml:space="preserve">-</t>
        </is>
      </c>
      <c r="E1988" s="0" t="inlineStr">
        <is>
          <t xml:space="preserve">-</t>
        </is>
      </c>
      <c r="F1988" s="0" t="inlineStr">
        <is>
          <t xml:space="preserve">-</t>
        </is>
      </c>
      <c r="G1988" s="5">
        <v>0.03778908</v>
      </c>
      <c r="H1988" s="0" t="inlineStr">
        <is>
          <t xml:space="preserve">supplier</t>
        </is>
      </c>
      <c r="I1988" s="0" t="inlineStr">
        <is>
          <t xml:space="preserve">unbucketed</t>
        </is>
      </c>
      <c r="J1988" s="0" t="inlineStr">
        <is>
          <t xml:space="preserve">residual</t>
        </is>
      </c>
      <c r="K1988" s="5">
        <v>0</v>
      </c>
      <c r="L1988" s="5">
        <v>0</v>
      </c>
      <c r="M1988" s="5">
        <v>0.03778908</v>
      </c>
      <c r="N1988" s="5">
        <v>0.0</v>
      </c>
      <c r="O1988" s="5">
        <v>0.0</v>
      </c>
      <c r="P1988" s="5">
        <v>0.0</v>
      </c>
      <c r="Q1988" s="5">
        <v>0.0</v>
      </c>
    </row>
    <row r="1989" outlineLevel="1">
      <c r="B1989" s="0" t="inlineStr">
        <is>
          <t xml:space="preserve">ARGO TURBOSERVE CORPORATION</t>
        </is>
      </c>
      <c r="C1989" s="0" t="inlineStr">
        <is>
          <t xml:space="preserve">ZT2XY79QF4M3</t>
        </is>
      </c>
      <c r="D1989" s="0" t="inlineStr">
        <is>
          <t xml:space="preserve">-</t>
        </is>
      </c>
      <c r="E1989" s="0" t="inlineStr">
        <is>
          <t xml:space="preserve">-</t>
        </is>
      </c>
      <c r="F1989" s="0" t="inlineStr">
        <is>
          <t xml:space="preserve">-</t>
        </is>
      </c>
      <c r="G1989" s="5">
        <v>0.037602</v>
      </c>
      <c r="H1989" s="0" t="inlineStr">
        <is>
          <t xml:space="preserve">supplier</t>
        </is>
      </c>
      <c r="I1989" s="0" t="inlineStr">
        <is>
          <t xml:space="preserve">unbucketed</t>
        </is>
      </c>
      <c r="J1989" s="0" t="inlineStr">
        <is>
          <t xml:space="preserve">residual</t>
        </is>
      </c>
      <c r="K1989" s="5">
        <v>0</v>
      </c>
      <c r="L1989" s="5">
        <v>0</v>
      </c>
      <c r="M1989" s="5">
        <v>0.0</v>
      </c>
      <c r="N1989" s="5">
        <v>0.0</v>
      </c>
      <c r="O1989" s="5">
        <v>0.0</v>
      </c>
      <c r="P1989" s="5">
        <v>0.0</v>
      </c>
      <c r="Q1989" s="5">
        <v>0.0</v>
      </c>
    </row>
    <row r="1990" outlineLevel="1">
      <c r="B1990" s="0" t="inlineStr">
        <is>
          <t xml:space="preserve">TEAM, INC.</t>
        </is>
      </c>
      <c r="C1990" s="0" t="inlineStr">
        <is>
          <t xml:space="preserve">LXUMZZ3LETN5</t>
        </is>
      </c>
      <c r="D1990" s="0" t="inlineStr">
        <is>
          <t xml:space="preserve">-</t>
        </is>
      </c>
      <c r="E1990" s="0" t="inlineStr">
        <is>
          <t xml:space="preserve">-</t>
        </is>
      </c>
      <c r="F1990" s="0" t="inlineStr">
        <is>
          <t xml:space="preserve">-</t>
        </is>
      </c>
      <c r="G1990" s="5">
        <v>0.037564940000000005</v>
      </c>
      <c r="H1990" s="0" t="inlineStr">
        <is>
          <t xml:space="preserve">supplier</t>
        </is>
      </c>
      <c r="I1990" s="0" t="inlineStr">
        <is>
          <t xml:space="preserve">unbucketed</t>
        </is>
      </c>
      <c r="J1990" s="0" t="inlineStr">
        <is>
          <t xml:space="preserve">residual</t>
        </is>
      </c>
      <c r="K1990" s="5">
        <v>0</v>
      </c>
      <c r="L1990" s="5">
        <v>0</v>
      </c>
      <c r="M1990" s="5">
        <v>0.037564940000000005</v>
      </c>
      <c r="N1990" s="5">
        <v>0.0</v>
      </c>
      <c r="O1990" s="5">
        <v>0.0</v>
      </c>
      <c r="P1990" s="5">
        <v>0.0</v>
      </c>
      <c r="Q1990" s="5">
        <v>0.0</v>
      </c>
    </row>
    <row r="1991" outlineLevel="1">
      <c r="B1991" s="0" t="inlineStr">
        <is>
          <t xml:space="preserve">TWILIGHT TECHNOLOGY, INC.</t>
        </is>
      </c>
      <c r="C1991" s="0" t="inlineStr">
        <is>
          <t xml:space="preserve">KCRSDR33JCD1</t>
        </is>
      </c>
      <c r="D1991" s="0" t="inlineStr">
        <is>
          <t xml:space="preserve">-</t>
        </is>
      </c>
      <c r="E1991" s="0" t="inlineStr">
        <is>
          <t xml:space="preserve">-</t>
        </is>
      </c>
      <c r="F1991" s="0" t="inlineStr">
        <is>
          <t xml:space="preserve">-</t>
        </is>
      </c>
      <c r="G1991" s="5">
        <v>0.0374543</v>
      </c>
      <c r="H1991" s="0" t="inlineStr">
        <is>
          <t xml:space="preserve">supplier</t>
        </is>
      </c>
      <c r="I1991" s="0" t="inlineStr">
        <is>
          <t xml:space="preserve">unbucketed</t>
        </is>
      </c>
      <c r="J1991" s="0" t="inlineStr">
        <is>
          <t xml:space="preserve">residual</t>
        </is>
      </c>
      <c r="K1991" s="5">
        <v>0</v>
      </c>
      <c r="L1991" s="5">
        <v>0</v>
      </c>
      <c r="M1991" s="5">
        <v>0.0</v>
      </c>
      <c r="N1991" s="5">
        <v>0.0</v>
      </c>
      <c r="O1991" s="5">
        <v>0.0</v>
      </c>
      <c r="P1991" s="5">
        <v>0.0</v>
      </c>
      <c r="Q1991" s="5">
        <v>0.0</v>
      </c>
    </row>
    <row r="1992" outlineLevel="1">
      <c r="B1992" s="0" t="inlineStr">
        <is>
          <t xml:space="preserve">GILBERT MECHANICAL CONTRACTORS, LLC</t>
        </is>
      </c>
      <c r="C1992" s="0" t="inlineStr">
        <is>
          <t xml:space="preserve">D7GHHEGVNK24</t>
        </is>
      </c>
      <c r="D1992" s="0" t="inlineStr">
        <is>
          <t xml:space="preserve">-</t>
        </is>
      </c>
      <c r="E1992" s="0" t="inlineStr">
        <is>
          <t xml:space="preserve">-</t>
        </is>
      </c>
      <c r="F1992" s="0" t="inlineStr">
        <is>
          <t xml:space="preserve">-</t>
        </is>
      </c>
      <c r="G1992" s="5">
        <v>0.037408</v>
      </c>
      <c r="H1992" s="0" t="inlineStr">
        <is>
          <t xml:space="preserve">supplier</t>
        </is>
      </c>
      <c r="I1992" s="0" t="inlineStr">
        <is>
          <t xml:space="preserve">unbucketed</t>
        </is>
      </c>
      <c r="J1992" s="0" t="inlineStr">
        <is>
          <t xml:space="preserve">residual</t>
        </is>
      </c>
      <c r="K1992" s="5">
        <v>0</v>
      </c>
      <c r="L1992" s="5">
        <v>0</v>
      </c>
      <c r="M1992" s="5">
        <v>0.0</v>
      </c>
      <c r="N1992" s="5">
        <v>0.0</v>
      </c>
      <c r="O1992" s="5">
        <v>0.0</v>
      </c>
      <c r="P1992" s="5">
        <v>0.0</v>
      </c>
      <c r="Q1992" s="5">
        <v>0.0</v>
      </c>
    </row>
    <row r="1993" outlineLevel="1">
      <c r="B1993" s="0" t="inlineStr">
        <is>
          <t xml:space="preserve">SYNERGIS TECHNOLOGIES, LLC</t>
        </is>
      </c>
      <c r="C1993" s="0" t="inlineStr">
        <is>
          <t xml:space="preserve">E89QVPKN2XH6</t>
        </is>
      </c>
      <c r="D1993" s="0" t="inlineStr">
        <is>
          <t xml:space="preserve">-</t>
        </is>
      </c>
      <c r="E1993" s="0" t="inlineStr">
        <is>
          <t xml:space="preserve">-</t>
        </is>
      </c>
      <c r="F1993" s="0" t="inlineStr">
        <is>
          <t xml:space="preserve">-</t>
        </is>
      </c>
      <c r="G1993" s="5">
        <v>0.037232720000000004</v>
      </c>
      <c r="H1993" s="0" t="inlineStr">
        <is>
          <t xml:space="preserve">supplier</t>
        </is>
      </c>
      <c r="I1993" s="0" t="inlineStr">
        <is>
          <t xml:space="preserve">unbucketed</t>
        </is>
      </c>
      <c r="J1993" s="0" t="inlineStr">
        <is>
          <t xml:space="preserve">residual</t>
        </is>
      </c>
      <c r="K1993" s="5">
        <v>0</v>
      </c>
      <c r="L1993" s="5">
        <v>0</v>
      </c>
      <c r="M1993" s="5">
        <v>0.0</v>
      </c>
      <c r="N1993" s="5">
        <v>0.0</v>
      </c>
      <c r="O1993" s="5">
        <v>0.0</v>
      </c>
      <c r="P1993" s="5">
        <v>0.0</v>
      </c>
      <c r="Q1993" s="5">
        <v>0.0</v>
      </c>
    </row>
    <row r="1994" outlineLevel="1">
      <c r="B1994" s="0" t="inlineStr">
        <is>
          <t xml:space="preserve">FRONTGRADE TECHNOLOGIES INC.</t>
        </is>
      </c>
      <c r="C1994" s="0" t="inlineStr">
        <is>
          <t xml:space="preserve">VNP2L293JWL6</t>
        </is>
      </c>
      <c r="D1994" s="0" t="inlineStr">
        <is>
          <t xml:space="preserve">-</t>
        </is>
      </c>
      <c r="E1994" s="0" t="inlineStr">
        <is>
          <t xml:space="preserve">-</t>
        </is>
      </c>
      <c r="F1994" s="0" t="inlineStr">
        <is>
          <t xml:space="preserve">-</t>
        </is>
      </c>
      <c r="G1994" s="5">
        <v>0.037196</v>
      </c>
      <c r="H1994" s="0" t="inlineStr">
        <is>
          <t xml:space="preserve">mission_systems</t>
        </is>
      </c>
      <c r="I1994" s="0" t="inlineStr">
        <is>
          <t xml:space="preserve">-</t>
        </is>
      </c>
      <c r="J1994" s="0" t="inlineStr">
        <is>
          <t xml:space="preserve">registry</t>
        </is>
      </c>
      <c r="K1994" s="5">
        <v>0</v>
      </c>
      <c r="L1994" s="5">
        <v>0</v>
      </c>
      <c r="M1994" s="5">
        <v>0.0</v>
      </c>
      <c r="N1994" s="5">
        <v>0.0</v>
      </c>
      <c r="O1994" s="5">
        <v>0.0</v>
      </c>
      <c r="P1994" s="5">
        <v>0.0</v>
      </c>
      <c r="Q1994" s="5">
        <v>0.0</v>
      </c>
    </row>
    <row r="1995" outlineLevel="1">
      <c r="B1995" s="0" t="inlineStr">
        <is>
          <t xml:space="preserve">INTEL CORPORATION</t>
        </is>
      </c>
      <c r="C1995" s="0" t="inlineStr">
        <is>
          <t xml:space="preserve">FMNVM66XGFY7</t>
        </is>
      </c>
      <c r="D1995" s="0" t="inlineStr">
        <is>
          <t xml:space="preserve">-</t>
        </is>
      </c>
      <c r="E1995" s="0" t="inlineStr">
        <is>
          <t xml:space="preserve">-</t>
        </is>
      </c>
      <c r="F1995" s="0" t="inlineStr">
        <is>
          <t xml:space="preserve">-</t>
        </is>
      </c>
      <c r="G1995" s="5">
        <v>0.037085099999999996</v>
      </c>
      <c r="H1995" s="0" t="inlineStr">
        <is>
          <t xml:space="preserve">supplier</t>
        </is>
      </c>
      <c r="I1995" s="0" t="inlineStr">
        <is>
          <t xml:space="preserve">unbucketed</t>
        </is>
      </c>
      <c r="J1995" s="0" t="inlineStr">
        <is>
          <t xml:space="preserve">residual</t>
        </is>
      </c>
      <c r="K1995" s="5">
        <v>0</v>
      </c>
      <c r="L1995" s="5">
        <v>0</v>
      </c>
      <c r="M1995" s="5">
        <v>0.0</v>
      </c>
      <c r="N1995" s="5">
        <v>0.0</v>
      </c>
      <c r="O1995" s="5">
        <v>0.0</v>
      </c>
      <c r="P1995" s="5">
        <v>0.0</v>
      </c>
      <c r="Q1995" s="5">
        <v>0.0</v>
      </c>
    </row>
    <row r="1996" outlineLevel="1">
      <c r="B1996" s="0" t="inlineStr">
        <is>
          <t xml:space="preserve">SHI INTERNATIONAL CORP.</t>
        </is>
      </c>
      <c r="C1996" s="0" t="inlineStr">
        <is>
          <t xml:space="preserve">KC4LHC8YERA5</t>
        </is>
      </c>
      <c r="D1996" s="0" t="inlineStr">
        <is>
          <t xml:space="preserve">-</t>
        </is>
      </c>
      <c r="E1996" s="0" t="inlineStr">
        <is>
          <t xml:space="preserve">-</t>
        </is>
      </c>
      <c r="F1996" s="0" t="inlineStr">
        <is>
          <t xml:space="preserve">-</t>
        </is>
      </c>
      <c r="G1996" s="5">
        <v>0.03672</v>
      </c>
      <c r="H1996" s="0" t="inlineStr">
        <is>
          <t xml:space="preserve">supplier</t>
        </is>
      </c>
      <c r="I1996" s="0" t="inlineStr">
        <is>
          <t xml:space="preserve">unbucketed</t>
        </is>
      </c>
      <c r="J1996" s="0" t="inlineStr">
        <is>
          <t xml:space="preserve">residual</t>
        </is>
      </c>
      <c r="K1996" s="5">
        <v>0</v>
      </c>
      <c r="L1996" s="5">
        <v>0</v>
      </c>
      <c r="M1996" s="5">
        <v>0.0</v>
      </c>
      <c r="N1996" s="5">
        <v>0.0</v>
      </c>
      <c r="O1996" s="5">
        <v>0.0</v>
      </c>
      <c r="P1996" s="5">
        <v>0.0</v>
      </c>
      <c r="Q1996" s="5">
        <v>0.0</v>
      </c>
    </row>
    <row r="1997" outlineLevel="1">
      <c r="B1997" s="0" t="inlineStr">
        <is>
          <t xml:space="preserve">JOHNSON CONTROLS INTERNATIONAL PUBLIC LIMITED COMPANY</t>
        </is>
      </c>
      <c r="C1997" s="0" t="inlineStr">
        <is>
          <t xml:space="preserve">WBBMZEJ41EZ5</t>
        </is>
      </c>
      <c r="D1997" s="0" t="inlineStr">
        <is>
          <t xml:space="preserve">-</t>
        </is>
      </c>
      <c r="E1997" s="0" t="inlineStr">
        <is>
          <t xml:space="preserve">-</t>
        </is>
      </c>
      <c r="F1997" s="0" t="inlineStr">
        <is>
          <t xml:space="preserve">-</t>
        </is>
      </c>
      <c r="G1997" s="5">
        <v>0.0365995</v>
      </c>
      <c r="H1997" s="0" t="inlineStr">
        <is>
          <t xml:space="preserve">supplier</t>
        </is>
      </c>
      <c r="I1997" s="0" t="inlineStr">
        <is>
          <t xml:space="preserve">unbucketed</t>
        </is>
      </c>
      <c r="J1997" s="0" t="inlineStr">
        <is>
          <t xml:space="preserve">residual</t>
        </is>
      </c>
      <c r="K1997" s="5">
        <v>0</v>
      </c>
      <c r="L1997" s="5">
        <v>0</v>
      </c>
      <c r="M1997" s="5">
        <v>0.0</v>
      </c>
      <c r="N1997" s="5">
        <v>0.0</v>
      </c>
      <c r="O1997" s="5">
        <v>0.0</v>
      </c>
      <c r="P1997" s="5">
        <v>0.0</v>
      </c>
      <c r="Q1997" s="5">
        <v>0.0</v>
      </c>
    </row>
    <row r="1998" outlineLevel="1">
      <c r="B1998" s="0" t="inlineStr">
        <is>
          <t xml:space="preserve">KRAUTH ELECTRIC CO</t>
        </is>
      </c>
      <c r="C1998" s="0" t="inlineStr">
        <is>
          <t xml:space="preserve">YJNDGPUPBJH3</t>
        </is>
      </c>
      <c r="D1998" s="0" t="inlineStr">
        <is>
          <t xml:space="preserve">-</t>
        </is>
      </c>
      <c r="E1998" s="0" t="inlineStr">
        <is>
          <t xml:space="preserve">-</t>
        </is>
      </c>
      <c r="F1998" s="0" t="inlineStr">
        <is>
          <t xml:space="preserve">-</t>
        </is>
      </c>
      <c r="G1998" s="5">
        <v>0.03653</v>
      </c>
      <c r="H1998" s="0" t="inlineStr">
        <is>
          <t xml:space="preserve">supplier</t>
        </is>
      </c>
      <c r="I1998" s="0" t="inlineStr">
        <is>
          <t xml:space="preserve">unbucketed</t>
        </is>
      </c>
      <c r="J1998" s="0" t="inlineStr">
        <is>
          <t xml:space="preserve">residual</t>
        </is>
      </c>
      <c r="K1998" s="5">
        <v>0</v>
      </c>
      <c r="L1998" s="5">
        <v>0</v>
      </c>
      <c r="M1998" s="5">
        <v>0.0</v>
      </c>
      <c r="N1998" s="5">
        <v>0.0</v>
      </c>
      <c r="O1998" s="5">
        <v>0.0</v>
      </c>
      <c r="P1998" s="5">
        <v>0.0</v>
      </c>
      <c r="Q1998" s="5">
        <v>0.0</v>
      </c>
    </row>
    <row r="1999" outlineLevel="1">
      <c r="B1999" s="0" t="inlineStr">
        <is>
          <t xml:space="preserve">NORTHEASTERN PRECISION PRODUCTS CORPORATION</t>
        </is>
      </c>
      <c r="C1999" s="0" t="inlineStr">
        <is>
          <t xml:space="preserve">QMMDLDN2D9A1</t>
        </is>
      </c>
      <c r="D1999" s="0" t="inlineStr">
        <is>
          <t xml:space="preserve">-</t>
        </is>
      </c>
      <c r="E1999" s="0" t="inlineStr">
        <is>
          <t xml:space="preserve">-</t>
        </is>
      </c>
      <c r="F1999" s="0" t="inlineStr">
        <is>
          <t xml:space="preserve">-</t>
        </is>
      </c>
      <c r="G1999" s="5">
        <v>0.036519</v>
      </c>
      <c r="H1999" s="0" t="inlineStr">
        <is>
          <t xml:space="preserve">supplier</t>
        </is>
      </c>
      <c r="I1999" s="0" t="inlineStr">
        <is>
          <t xml:space="preserve">unbucketed</t>
        </is>
      </c>
      <c r="J1999" s="0" t="inlineStr">
        <is>
          <t xml:space="preserve">residual</t>
        </is>
      </c>
      <c r="K1999" s="5">
        <v>0</v>
      </c>
      <c r="L1999" s="5">
        <v>0</v>
      </c>
      <c r="M1999" s="5">
        <v>0.0</v>
      </c>
      <c r="N1999" s="5">
        <v>0.0</v>
      </c>
      <c r="O1999" s="5">
        <v>0.0</v>
      </c>
      <c r="P1999" s="5">
        <v>0.0</v>
      </c>
      <c r="Q1999" s="5">
        <v>0.0</v>
      </c>
    </row>
    <row r="2000" outlineLevel="1">
      <c r="B2000" s="0" t="inlineStr">
        <is>
          <t xml:space="preserve">PNC INC.</t>
        </is>
      </c>
      <c r="C2000" s="0" t="inlineStr">
        <is>
          <t xml:space="preserve">DE9JM6NXYJG5</t>
        </is>
      </c>
      <c r="D2000" s="0" t="inlineStr">
        <is>
          <t xml:space="preserve">-</t>
        </is>
      </c>
      <c r="E2000" s="0" t="inlineStr">
        <is>
          <t xml:space="preserve">-</t>
        </is>
      </c>
      <c r="F2000" s="0" t="inlineStr">
        <is>
          <t xml:space="preserve">-</t>
        </is>
      </c>
      <c r="G2000" s="5">
        <v>0.036412</v>
      </c>
      <c r="H2000" s="0" t="inlineStr">
        <is>
          <t xml:space="preserve">supplier</t>
        </is>
      </c>
      <c r="I2000" s="0" t="inlineStr">
        <is>
          <t xml:space="preserve">unbucketed</t>
        </is>
      </c>
      <c r="J2000" s="0" t="inlineStr">
        <is>
          <t xml:space="preserve">residual</t>
        </is>
      </c>
      <c r="K2000" s="5">
        <v>0</v>
      </c>
      <c r="L2000" s="5">
        <v>0</v>
      </c>
      <c r="M2000" s="5">
        <v>0.0</v>
      </c>
      <c r="N2000" s="5">
        <v>0.0</v>
      </c>
      <c r="O2000" s="5">
        <v>0.0</v>
      </c>
      <c r="P2000" s="5">
        <v>0.0</v>
      </c>
      <c r="Q2000" s="5">
        <v>0.0</v>
      </c>
    </row>
    <row r="2001" outlineLevel="1">
      <c r="B2001" s="0" t="inlineStr">
        <is>
          <t xml:space="preserve">AMETEK INC</t>
        </is>
      </c>
      <c r="C2001" s="0" t="inlineStr">
        <is>
          <t xml:space="preserve">NJ2XXKQ6M8K3</t>
        </is>
      </c>
      <c r="D2001" s="0" t="inlineStr">
        <is>
          <t xml:space="preserve">-</t>
        </is>
      </c>
      <c r="E2001" s="0" t="inlineStr">
        <is>
          <t xml:space="preserve">-</t>
        </is>
      </c>
      <c r="F2001" s="0" t="inlineStr">
        <is>
          <t xml:space="preserve">-</t>
        </is>
      </c>
      <c r="G2001" s="5">
        <v>0.036388800000000006</v>
      </c>
      <c r="H2001" s="0" t="inlineStr">
        <is>
          <t xml:space="preserve">supplier</t>
        </is>
      </c>
      <c r="I2001" s="0" t="inlineStr">
        <is>
          <t xml:space="preserve">unbucketed</t>
        </is>
      </c>
      <c r="J2001" s="0" t="inlineStr">
        <is>
          <t xml:space="preserve">residual</t>
        </is>
      </c>
      <c r="K2001" s="5">
        <v>0</v>
      </c>
      <c r="L2001" s="5">
        <v>0</v>
      </c>
      <c r="M2001" s="5">
        <v>0.0</v>
      </c>
      <c r="N2001" s="5">
        <v>0.0</v>
      </c>
      <c r="O2001" s="5">
        <v>0.0</v>
      </c>
      <c r="P2001" s="5">
        <v>0.0</v>
      </c>
      <c r="Q2001" s="5">
        <v>0.0</v>
      </c>
    </row>
    <row r="2002" outlineLevel="1">
      <c r="B2002" s="0" t="inlineStr">
        <is>
          <t xml:space="preserve">CALEDONIA PIPEWORK LLC</t>
        </is>
      </c>
      <c r="C2002" s="0" t="inlineStr">
        <is>
          <t xml:space="preserve">Q4UCFRMEJER3</t>
        </is>
      </c>
      <c r="D2002" s="0" t="inlineStr">
        <is>
          <t xml:space="preserve">-</t>
        </is>
      </c>
      <c r="E2002" s="0" t="inlineStr">
        <is>
          <t xml:space="preserve">-</t>
        </is>
      </c>
      <c r="F2002" s="0" t="inlineStr">
        <is>
          <t xml:space="preserve">-</t>
        </is>
      </c>
      <c r="G2002" s="5">
        <v>0.036257</v>
      </c>
      <c r="H2002" s="0" t="inlineStr">
        <is>
          <t xml:space="preserve">supplier</t>
        </is>
      </c>
      <c r="I2002" s="0" t="inlineStr">
        <is>
          <t xml:space="preserve">unbucketed</t>
        </is>
      </c>
      <c r="J2002" s="0" t="inlineStr">
        <is>
          <t xml:space="preserve">residual</t>
        </is>
      </c>
      <c r="K2002" s="5">
        <v>0</v>
      </c>
      <c r="L2002" s="5">
        <v>0</v>
      </c>
      <c r="M2002" s="5">
        <v>0.0</v>
      </c>
      <c r="N2002" s="5">
        <v>0.0</v>
      </c>
      <c r="O2002" s="5">
        <v>0.0</v>
      </c>
      <c r="P2002" s="5">
        <v>0.0</v>
      </c>
      <c r="Q2002" s="5">
        <v>0.0</v>
      </c>
    </row>
    <row r="2003" outlineLevel="1">
      <c r="B2003" s="0" t="inlineStr">
        <is>
          <t xml:space="preserve">TECH DATA CORPORATION</t>
        </is>
      </c>
      <c r="C2003" s="0" t="inlineStr">
        <is>
          <t xml:space="preserve">J8WCYWJQKJE9</t>
        </is>
      </c>
      <c r="D2003" s="0" t="inlineStr">
        <is>
          <t xml:space="preserve">-</t>
        </is>
      </c>
      <c r="E2003" s="0" t="inlineStr">
        <is>
          <t xml:space="preserve">-</t>
        </is>
      </c>
      <c r="F2003" s="0" t="inlineStr">
        <is>
          <t xml:space="preserve">-</t>
        </is>
      </c>
      <c r="G2003" s="5">
        <v>0.03610086</v>
      </c>
      <c r="H2003" s="0" t="inlineStr">
        <is>
          <t xml:space="preserve">supplier</t>
        </is>
      </c>
      <c r="I2003" s="0" t="inlineStr">
        <is>
          <t xml:space="preserve">unbucketed</t>
        </is>
      </c>
      <c r="J2003" s="0" t="inlineStr">
        <is>
          <t xml:space="preserve">residual</t>
        </is>
      </c>
      <c r="K2003" s="5">
        <v>0</v>
      </c>
      <c r="L2003" s="5">
        <v>0</v>
      </c>
      <c r="M2003" s="5">
        <v>0.0</v>
      </c>
      <c r="N2003" s="5">
        <v>0.0</v>
      </c>
      <c r="O2003" s="5">
        <v>0.0</v>
      </c>
      <c r="P2003" s="5">
        <v>0.0</v>
      </c>
      <c r="Q2003" s="5">
        <v>0.0</v>
      </c>
    </row>
    <row r="2004" outlineLevel="1">
      <c r="B2004" s="0" t="inlineStr">
        <is>
          <t xml:space="preserve">STERN INDUSTRIES INCORPORATED</t>
        </is>
      </c>
      <c r="C2004" s="0" t="inlineStr">
        <is>
          <t xml:space="preserve">SRGEL58BQMS6</t>
        </is>
      </c>
      <c r="D2004" s="0" t="inlineStr">
        <is>
          <t xml:space="preserve">-</t>
        </is>
      </c>
      <c r="E2004" s="0" t="inlineStr">
        <is>
          <t xml:space="preserve">-</t>
        </is>
      </c>
      <c r="F2004" s="0" t="inlineStr">
        <is>
          <t xml:space="preserve">-</t>
        </is>
      </c>
      <c r="G2004" s="5">
        <v>0.036044</v>
      </c>
      <c r="H2004" s="0" t="inlineStr">
        <is>
          <t xml:space="preserve">supplier</t>
        </is>
      </c>
      <c r="I2004" s="0" t="inlineStr">
        <is>
          <t xml:space="preserve">unbucketed</t>
        </is>
      </c>
      <c r="J2004" s="0" t="inlineStr">
        <is>
          <t xml:space="preserve">residual</t>
        </is>
      </c>
      <c r="K2004" s="5">
        <v>0</v>
      </c>
      <c r="L2004" s="5">
        <v>0</v>
      </c>
      <c r="M2004" s="5">
        <v>0.0</v>
      </c>
      <c r="N2004" s="5">
        <v>0.0</v>
      </c>
      <c r="O2004" s="5">
        <v>0.0</v>
      </c>
      <c r="P2004" s="5">
        <v>0.0</v>
      </c>
      <c r="Q2004" s="5">
        <v>0.0</v>
      </c>
    </row>
    <row r="2005" outlineLevel="1">
      <c r="B2005" s="0" t="inlineStr">
        <is>
          <t xml:space="preserve">W. &amp; O. SUPPLY, INC.</t>
        </is>
      </c>
      <c r="C2005" s="0" t="inlineStr">
        <is>
          <t xml:space="preserve">LFVJABJDQVZ9</t>
        </is>
      </c>
      <c r="D2005" s="0" t="inlineStr">
        <is>
          <t xml:space="preserve">-</t>
        </is>
      </c>
      <c r="E2005" s="0" t="inlineStr">
        <is>
          <t xml:space="preserve">-</t>
        </is>
      </c>
      <c r="F2005" s="0" t="inlineStr">
        <is>
          <t xml:space="preserve">-</t>
        </is>
      </c>
      <c r="G2005" s="5">
        <v>0.035985</v>
      </c>
      <c r="H2005" s="0" t="inlineStr">
        <is>
          <t xml:space="preserve">supplier</t>
        </is>
      </c>
      <c r="I2005" s="0" t="inlineStr">
        <is>
          <t xml:space="preserve">piping</t>
        </is>
      </c>
      <c r="J2005" s="0" t="inlineStr">
        <is>
          <t xml:space="preserve">registry</t>
        </is>
      </c>
      <c r="K2005" s="5">
        <v>0</v>
      </c>
      <c r="L2005" s="5">
        <v>0</v>
      </c>
      <c r="M2005" s="5">
        <v>0.035985</v>
      </c>
      <c r="N2005" s="5">
        <v>0.0</v>
      </c>
      <c r="O2005" s="5">
        <v>0.0</v>
      </c>
      <c r="P2005" s="5">
        <v>0.0</v>
      </c>
      <c r="Q2005" s="5">
        <v>0.0</v>
      </c>
    </row>
    <row r="2006" outlineLevel="1">
      <c r="B2006" s="0" t="inlineStr">
        <is>
          <t xml:space="preserve">KADANT INC.</t>
        </is>
      </c>
      <c r="C2006" s="0" t="inlineStr">
        <is>
          <t xml:space="preserve">L6EMG925NF78</t>
        </is>
      </c>
      <c r="D2006" s="0" t="inlineStr">
        <is>
          <t xml:space="preserve">-</t>
        </is>
      </c>
      <c r="E2006" s="0" t="inlineStr">
        <is>
          <t xml:space="preserve">-</t>
        </is>
      </c>
      <c r="F2006" s="0" t="inlineStr">
        <is>
          <t xml:space="preserve">-</t>
        </is>
      </c>
      <c r="G2006" s="5">
        <v>0.035957</v>
      </c>
      <c r="H2006" s="0" t="inlineStr">
        <is>
          <t xml:space="preserve">supplier</t>
        </is>
      </c>
      <c r="I2006" s="0" t="inlineStr">
        <is>
          <t xml:space="preserve">unbucketed</t>
        </is>
      </c>
      <c r="J2006" s="0" t="inlineStr">
        <is>
          <t xml:space="preserve">residual</t>
        </is>
      </c>
      <c r="K2006" s="5">
        <v>0</v>
      </c>
      <c r="L2006" s="5">
        <v>0</v>
      </c>
      <c r="M2006" s="5">
        <v>0.035957</v>
      </c>
      <c r="N2006" s="5">
        <v>0.0</v>
      </c>
      <c r="O2006" s="5">
        <v>0.035957</v>
      </c>
      <c r="P2006" s="5">
        <v>0.0</v>
      </c>
      <c r="Q2006" s="5">
        <v>0.0</v>
      </c>
    </row>
    <row r="2007" outlineLevel="1">
      <c r="B2007" s="0" t="inlineStr">
        <is>
          <t xml:space="preserve">BENCHMARK CONNECTOR CORPORATION</t>
        </is>
      </c>
      <c r="C2007" s="0" t="inlineStr">
        <is>
          <t xml:space="preserve">KLEVDDYAD2W9</t>
        </is>
      </c>
      <c r="D2007" s="0" t="inlineStr">
        <is>
          <t xml:space="preserve">-</t>
        </is>
      </c>
      <c r="E2007" s="0" t="inlineStr">
        <is>
          <t xml:space="preserve">-</t>
        </is>
      </c>
      <c r="F2007" s="0" t="inlineStr">
        <is>
          <t xml:space="preserve">-</t>
        </is>
      </c>
      <c r="G2007" s="5">
        <v>0.035829900000000005</v>
      </c>
      <c r="H2007" s="0" t="inlineStr">
        <is>
          <t xml:space="preserve">supplier</t>
        </is>
      </c>
      <c r="I2007" s="0" t="inlineStr">
        <is>
          <t xml:space="preserve">unbucketed</t>
        </is>
      </c>
      <c r="J2007" s="0" t="inlineStr">
        <is>
          <t xml:space="preserve">residual</t>
        </is>
      </c>
      <c r="K2007" s="5">
        <v>0</v>
      </c>
      <c r="L2007" s="5">
        <v>0</v>
      </c>
      <c r="M2007" s="5">
        <v>0.0</v>
      </c>
      <c r="N2007" s="5">
        <v>0.0</v>
      </c>
      <c r="O2007" s="5">
        <v>0.0</v>
      </c>
      <c r="P2007" s="5">
        <v>0.0</v>
      </c>
      <c r="Q2007" s="5">
        <v>0.0</v>
      </c>
    </row>
    <row r="2008" outlineLevel="1">
      <c r="B2008" s="0" t="inlineStr">
        <is>
          <t xml:space="preserve">JMC CAPITAL PARTNERS LLC</t>
        </is>
      </c>
      <c r="C2008" s="0" t="inlineStr">
        <is>
          <t xml:space="preserve">C61PPJW2U1G6</t>
        </is>
      </c>
      <c r="D2008" s="0" t="inlineStr">
        <is>
          <t xml:space="preserve">-</t>
        </is>
      </c>
      <c r="E2008" s="0" t="inlineStr">
        <is>
          <t xml:space="preserve">-</t>
        </is>
      </c>
      <c r="F2008" s="0" t="inlineStr">
        <is>
          <t xml:space="preserve">-</t>
        </is>
      </c>
      <c r="G2008" s="5">
        <v>0.03564</v>
      </c>
      <c r="H2008" s="0" t="inlineStr">
        <is>
          <t xml:space="preserve">supplier</t>
        </is>
      </c>
      <c r="I2008" s="0" t="inlineStr">
        <is>
          <t xml:space="preserve">unbucketed</t>
        </is>
      </c>
      <c r="J2008" s="0" t="inlineStr">
        <is>
          <t xml:space="preserve">residual</t>
        </is>
      </c>
      <c r="K2008" s="5">
        <v>0</v>
      </c>
      <c r="L2008" s="5">
        <v>0</v>
      </c>
      <c r="M2008" s="5">
        <v>0.0</v>
      </c>
      <c r="N2008" s="5">
        <v>0.0</v>
      </c>
      <c r="O2008" s="5">
        <v>0.0</v>
      </c>
      <c r="P2008" s="5">
        <v>0.0</v>
      </c>
      <c r="Q2008" s="5">
        <v>0.0</v>
      </c>
    </row>
    <row r="2009" outlineLevel="1">
      <c r="B2009" s="0" t="inlineStr">
        <is>
          <t xml:space="preserve">WARTSILA DEFENSE, INC.</t>
        </is>
      </c>
      <c r="C2009" s="0" t="inlineStr">
        <is>
          <t xml:space="preserve">TPN7LAC6HGW3</t>
        </is>
      </c>
      <c r="D2009" s="0" t="inlineStr">
        <is>
          <t xml:space="preserve">-</t>
        </is>
      </c>
      <c r="E2009" s="0" t="inlineStr">
        <is>
          <t xml:space="preserve">-</t>
        </is>
      </c>
      <c r="F2009" s="0" t="inlineStr">
        <is>
          <t xml:space="preserve">-</t>
        </is>
      </c>
      <c r="G2009" s="5">
        <v>0.035621</v>
      </c>
      <c r="H2009" s="0" t="inlineStr">
        <is>
          <t xml:space="preserve">supplier</t>
        </is>
      </c>
      <c r="I2009" s="0" t="inlineStr">
        <is>
          <t xml:space="preserve">unbucketed</t>
        </is>
      </c>
      <c r="J2009" s="0" t="inlineStr">
        <is>
          <t xml:space="preserve">residual</t>
        </is>
      </c>
      <c r="K2009" s="5">
        <v>0</v>
      </c>
      <c r="L2009" s="5">
        <v>0</v>
      </c>
      <c r="M2009" s="5">
        <v>0.035621</v>
      </c>
      <c r="N2009" s="5">
        <v>0.035621</v>
      </c>
      <c r="O2009" s="5">
        <v>0.0</v>
      </c>
      <c r="P2009" s="5">
        <v>0.0</v>
      </c>
      <c r="Q2009" s="5">
        <v>0.0</v>
      </c>
    </row>
    <row r="2010" outlineLevel="1">
      <c r="B2010" s="0" t="inlineStr">
        <is>
          <t xml:space="preserve">POHLAD COMPANIES, LLC</t>
        </is>
      </c>
      <c r="C2010" s="0" t="inlineStr">
        <is>
          <t xml:space="preserve">MEMSWT1LFU18</t>
        </is>
      </c>
      <c r="D2010" s="0" t="inlineStr">
        <is>
          <t xml:space="preserve">-</t>
        </is>
      </c>
      <c r="E2010" s="0" t="inlineStr">
        <is>
          <t xml:space="preserve">-</t>
        </is>
      </c>
      <c r="F2010" s="0" t="inlineStr">
        <is>
          <t xml:space="preserve">-</t>
        </is>
      </c>
      <c r="G2010" s="5">
        <v>0.035544</v>
      </c>
      <c r="H2010" s="0" t="inlineStr">
        <is>
          <t xml:space="preserve">supplier</t>
        </is>
      </c>
      <c r="I2010" s="0" t="inlineStr">
        <is>
          <t xml:space="preserve">unbucketed</t>
        </is>
      </c>
      <c r="J2010" s="0" t="inlineStr">
        <is>
          <t xml:space="preserve">residual</t>
        </is>
      </c>
      <c r="K2010" s="5">
        <v>0</v>
      </c>
      <c r="L2010" s="5">
        <v>0</v>
      </c>
      <c r="M2010" s="5">
        <v>0.035544</v>
      </c>
      <c r="N2010" s="5">
        <v>0.035544</v>
      </c>
      <c r="O2010" s="5">
        <v>0.0</v>
      </c>
      <c r="P2010" s="5">
        <v>0.0</v>
      </c>
      <c r="Q2010" s="5">
        <v>0.0</v>
      </c>
    </row>
    <row r="2011" outlineLevel="1">
      <c r="B2011" s="0" t="inlineStr">
        <is>
          <t xml:space="preserve">IN-PHASE TECHNOLOGIES INCORPORATED</t>
        </is>
      </c>
      <c r="C2011" s="0" t="inlineStr">
        <is>
          <t xml:space="preserve">MJVSGVHNDYF6</t>
        </is>
      </c>
      <c r="D2011" s="0" t="inlineStr">
        <is>
          <t xml:space="preserve">-</t>
        </is>
      </c>
      <c r="E2011" s="0" t="inlineStr">
        <is>
          <t xml:space="preserve">-</t>
        </is>
      </c>
      <c r="F2011" s="0" t="inlineStr">
        <is>
          <t xml:space="preserve">-</t>
        </is>
      </c>
      <c r="G2011" s="5">
        <v>0.03540582</v>
      </c>
      <c r="H2011" s="0" t="inlineStr">
        <is>
          <t xml:space="preserve">supplier</t>
        </is>
      </c>
      <c r="I2011" s="0" t="inlineStr">
        <is>
          <t xml:space="preserve">unbucketed</t>
        </is>
      </c>
      <c r="J2011" s="0" t="inlineStr">
        <is>
          <t xml:space="preserve">residual</t>
        </is>
      </c>
      <c r="K2011" s="5">
        <v>0</v>
      </c>
      <c r="L2011" s="5">
        <v>0</v>
      </c>
      <c r="M2011" s="5">
        <v>0.0</v>
      </c>
      <c r="N2011" s="5">
        <v>0.0</v>
      </c>
      <c r="O2011" s="5">
        <v>0.0</v>
      </c>
      <c r="P2011" s="5">
        <v>0.0</v>
      </c>
      <c r="Q2011" s="5">
        <v>0.0</v>
      </c>
    </row>
    <row r="2012" outlineLevel="1">
      <c r="B2012" s="0" t="inlineStr">
        <is>
          <t xml:space="preserve">UNITED TECHNOLOGIES CORPORATION</t>
        </is>
      </c>
      <c r="C2012" s="0" t="inlineStr">
        <is>
          <t xml:space="preserve">HNM5FLCRBZL8</t>
        </is>
      </c>
      <c r="D2012" s="0" t="inlineStr">
        <is>
          <t xml:space="preserve">-</t>
        </is>
      </c>
      <c r="E2012" s="0" t="inlineStr">
        <is>
          <t xml:space="preserve">-</t>
        </is>
      </c>
      <c r="F2012" s="0" t="inlineStr">
        <is>
          <t xml:space="preserve">-</t>
        </is>
      </c>
      <c r="G2012" s="5">
        <v>0.03532</v>
      </c>
      <c r="H2012" s="0" t="inlineStr">
        <is>
          <t xml:space="preserve">supplier</t>
        </is>
      </c>
      <c r="I2012" s="0" t="inlineStr">
        <is>
          <t xml:space="preserve">unbucketed</t>
        </is>
      </c>
      <c r="J2012" s="0" t="inlineStr">
        <is>
          <t xml:space="preserve">residual</t>
        </is>
      </c>
      <c r="K2012" s="5">
        <v>0</v>
      </c>
      <c r="L2012" s="5">
        <v>0</v>
      </c>
      <c r="M2012" s="5">
        <v>0.0</v>
      </c>
      <c r="N2012" s="5">
        <v>0.0</v>
      </c>
      <c r="O2012" s="5">
        <v>0.0</v>
      </c>
      <c r="P2012" s="5">
        <v>0.0</v>
      </c>
      <c r="Q2012" s="5">
        <v>0.0</v>
      </c>
    </row>
    <row r="2013" outlineLevel="1">
      <c r="B2013" s="0" t="inlineStr">
        <is>
          <t xml:space="preserve">ARROW ELECTRONICS INC</t>
        </is>
      </c>
      <c r="C2013" s="0" t="inlineStr">
        <is>
          <t xml:space="preserve">YA36Z8R2H4T4</t>
        </is>
      </c>
      <c r="D2013" s="0" t="inlineStr">
        <is>
          <t xml:space="preserve">USA</t>
        </is>
      </c>
      <c r="E2013" s="0" t="inlineStr">
        <is>
          <t xml:space="preserve">4236</t>
        </is>
      </c>
      <c r="F2013" s="0" t="inlineStr">
        <is>
          <t xml:space="preserve">Other Electronic Parts and Equipment Merchant Wholesalers</t>
        </is>
      </c>
      <c r="G2013" s="5">
        <v>0.0352673</v>
      </c>
      <c r="H2013" s="0" t="inlineStr">
        <is>
          <t xml:space="preserve">service</t>
        </is>
      </c>
      <c r="I2013" s="0" t="inlineStr">
        <is>
          <t xml:space="preserve">-</t>
        </is>
      </c>
      <c r="J2013" s="0" t="inlineStr">
        <is>
          <t xml:space="preserve">service NAICS</t>
        </is>
      </c>
      <c r="K2013" s="5">
        <v>0</v>
      </c>
      <c r="L2013" s="5">
        <v>0</v>
      </c>
      <c r="M2013" s="5">
        <v>0.0</v>
      </c>
      <c r="N2013" s="5">
        <v>0.0</v>
      </c>
      <c r="O2013" s="5">
        <v>0.0</v>
      </c>
      <c r="P2013" s="5">
        <v>0.0</v>
      </c>
      <c r="Q2013" s="5">
        <v>0.0</v>
      </c>
    </row>
    <row r="2014" outlineLevel="1">
      <c r="B2014" s="0" t="inlineStr">
        <is>
          <t xml:space="preserve">JERRY ROBERTS MACHINE</t>
        </is>
      </c>
      <c r="C2014" s="0" t="inlineStr">
        <is>
          <t xml:space="preserve">Z62MMKJ6PLN3</t>
        </is>
      </c>
      <c r="D2014" s="0" t="inlineStr">
        <is>
          <t xml:space="preserve">-</t>
        </is>
      </c>
      <c r="E2014" s="0" t="inlineStr">
        <is>
          <t xml:space="preserve">-</t>
        </is>
      </c>
      <c r="F2014" s="0" t="inlineStr">
        <is>
          <t xml:space="preserve">-</t>
        </is>
      </c>
      <c r="G2014" s="5">
        <v>0.03506258</v>
      </c>
      <c r="H2014" s="0" t="inlineStr">
        <is>
          <t xml:space="preserve">supplier</t>
        </is>
      </c>
      <c r="I2014" s="0" t="inlineStr">
        <is>
          <t xml:space="preserve">unbucketed</t>
        </is>
      </c>
      <c r="J2014" s="0" t="inlineStr">
        <is>
          <t xml:space="preserve">residual</t>
        </is>
      </c>
      <c r="K2014" s="5">
        <v>0</v>
      </c>
      <c r="L2014" s="5">
        <v>0</v>
      </c>
      <c r="M2014" s="5">
        <v>0.0</v>
      </c>
      <c r="N2014" s="5">
        <v>0.0</v>
      </c>
      <c r="O2014" s="5">
        <v>0.0</v>
      </c>
      <c r="P2014" s="5">
        <v>0.0</v>
      </c>
      <c r="Q2014" s="5">
        <v>0.0</v>
      </c>
    </row>
    <row r="2015" outlineLevel="1">
      <c r="B2015" s="0" t="inlineStr">
        <is>
          <t xml:space="preserve">STAMLER MACHINE CO. INC.</t>
        </is>
      </c>
      <c r="C2015" s="0" t="inlineStr">
        <is>
          <t xml:space="preserve">HQYRGF5TLDF5</t>
        </is>
      </c>
      <c r="D2015" s="0" t="inlineStr">
        <is>
          <t xml:space="preserve">-</t>
        </is>
      </c>
      <c r="E2015" s="0" t="inlineStr">
        <is>
          <t xml:space="preserve">-</t>
        </is>
      </c>
      <c r="F2015" s="0" t="inlineStr">
        <is>
          <t xml:space="preserve">-</t>
        </is>
      </c>
      <c r="G2015" s="5">
        <v>0.035</v>
      </c>
      <c r="H2015" s="0" t="inlineStr">
        <is>
          <t xml:space="preserve">supplier</t>
        </is>
      </c>
      <c r="I2015" s="0" t="inlineStr">
        <is>
          <t xml:space="preserve">unbucketed</t>
        </is>
      </c>
      <c r="J2015" s="0" t="inlineStr">
        <is>
          <t xml:space="preserve">residual</t>
        </is>
      </c>
      <c r="K2015" s="5">
        <v>0</v>
      </c>
      <c r="L2015" s="5">
        <v>0</v>
      </c>
      <c r="M2015" s="5">
        <v>0.0</v>
      </c>
      <c r="N2015" s="5">
        <v>0.0</v>
      </c>
      <c r="O2015" s="5">
        <v>0.0</v>
      </c>
      <c r="P2015" s="5">
        <v>0.0</v>
      </c>
      <c r="Q2015" s="5">
        <v>0.0</v>
      </c>
    </row>
    <row r="2016" outlineLevel="1">
      <c r="B2016" s="0" t="inlineStr">
        <is>
          <t xml:space="preserve">WESCO DISTRIBUTION, INC.</t>
        </is>
      </c>
      <c r="C2016" s="0" t="inlineStr">
        <is>
          <t xml:space="preserve">F99CKJDLYZR3</t>
        </is>
      </c>
      <c r="D2016" s="0" t="inlineStr">
        <is>
          <t xml:space="preserve">-</t>
        </is>
      </c>
      <c r="E2016" s="0" t="inlineStr">
        <is>
          <t xml:space="preserve">-</t>
        </is>
      </c>
      <c r="F2016" s="0" t="inlineStr">
        <is>
          <t xml:space="preserve">-</t>
        </is>
      </c>
      <c r="G2016" s="5">
        <v>0.03495</v>
      </c>
      <c r="H2016" s="0" t="inlineStr">
        <is>
          <t xml:space="preserve">supplier</t>
        </is>
      </c>
      <c r="I2016" s="0" t="inlineStr">
        <is>
          <t xml:space="preserve">unbucketed</t>
        </is>
      </c>
      <c r="J2016" s="0" t="inlineStr">
        <is>
          <t xml:space="preserve">residual</t>
        </is>
      </c>
      <c r="K2016" s="5">
        <v>0</v>
      </c>
      <c r="L2016" s="5">
        <v>0</v>
      </c>
      <c r="M2016" s="5">
        <v>0.03495</v>
      </c>
      <c r="N2016" s="5">
        <v>0.0</v>
      </c>
      <c r="O2016" s="5">
        <v>0.0</v>
      </c>
      <c r="P2016" s="5">
        <v>0.03495</v>
      </c>
      <c r="Q2016" s="5">
        <v>0.0</v>
      </c>
    </row>
    <row r="2017" outlineLevel="1">
      <c r="B2017" s="0" t="inlineStr">
        <is>
          <t xml:space="preserve">MILDEF, INC.</t>
        </is>
      </c>
      <c r="C2017" s="0" t="inlineStr">
        <is>
          <t xml:space="preserve">LYKSDHA54JA4</t>
        </is>
      </c>
      <c r="D2017" s="0" t="inlineStr">
        <is>
          <t xml:space="preserve">-</t>
        </is>
      </c>
      <c r="E2017" s="0" t="inlineStr">
        <is>
          <t xml:space="preserve">-</t>
        </is>
      </c>
      <c r="F2017" s="0" t="inlineStr">
        <is>
          <t xml:space="preserve">-</t>
        </is>
      </c>
      <c r="G2017" s="5">
        <v>0.034825</v>
      </c>
      <c r="H2017" s="0" t="inlineStr">
        <is>
          <t xml:space="preserve">supplier</t>
        </is>
      </c>
      <c r="I2017" s="0" t="inlineStr">
        <is>
          <t xml:space="preserve">unbucketed</t>
        </is>
      </c>
      <c r="J2017" s="0" t="inlineStr">
        <is>
          <t xml:space="preserve">residual</t>
        </is>
      </c>
      <c r="K2017" s="5">
        <v>0</v>
      </c>
      <c r="L2017" s="5">
        <v>0</v>
      </c>
      <c r="M2017" s="5">
        <v>0.0</v>
      </c>
      <c r="N2017" s="5">
        <v>0.0</v>
      </c>
      <c r="O2017" s="5">
        <v>0.0</v>
      </c>
      <c r="P2017" s="5">
        <v>0.0</v>
      </c>
      <c r="Q2017" s="5">
        <v>0.0</v>
      </c>
    </row>
    <row r="2018" outlineLevel="1">
      <c r="B2018" s="0" t="inlineStr">
        <is>
          <t xml:space="preserve">LINTECH COMPONENTS CO. INC.</t>
        </is>
      </c>
      <c r="C2018" s="0" t="inlineStr">
        <is>
          <t xml:space="preserve">JE8QAT3GGJN6</t>
        </is>
      </c>
      <c r="D2018" s="0" t="inlineStr">
        <is>
          <t xml:space="preserve">-</t>
        </is>
      </c>
      <c r="E2018" s="0" t="inlineStr">
        <is>
          <t xml:space="preserve">-</t>
        </is>
      </c>
      <c r="F2018" s="0" t="inlineStr">
        <is>
          <t xml:space="preserve">-</t>
        </is>
      </c>
      <c r="G2018" s="5">
        <v>0.03478</v>
      </c>
      <c r="H2018" s="0" t="inlineStr">
        <is>
          <t xml:space="preserve">supplier</t>
        </is>
      </c>
      <c r="I2018" s="0" t="inlineStr">
        <is>
          <t xml:space="preserve">unbucketed</t>
        </is>
      </c>
      <c r="J2018" s="0" t="inlineStr">
        <is>
          <t xml:space="preserve">residual</t>
        </is>
      </c>
      <c r="K2018" s="5">
        <v>0</v>
      </c>
      <c r="L2018" s="5">
        <v>0</v>
      </c>
      <c r="M2018" s="5">
        <v>0.0</v>
      </c>
      <c r="N2018" s="5">
        <v>0.0</v>
      </c>
      <c r="O2018" s="5">
        <v>0.0</v>
      </c>
      <c r="P2018" s="5">
        <v>0.0</v>
      </c>
      <c r="Q2018" s="5">
        <v>0.0</v>
      </c>
    </row>
    <row r="2019" outlineLevel="1">
      <c r="B2019" s="0" t="inlineStr">
        <is>
          <t xml:space="preserve">CIRCOR INTERNATIONAL, INC.</t>
        </is>
      </c>
      <c r="C2019" s="0" t="inlineStr">
        <is>
          <t xml:space="preserve">Q6K1QXN3LU65</t>
        </is>
      </c>
      <c r="D2019" s="0" t="inlineStr">
        <is>
          <t xml:space="preserve">-</t>
        </is>
      </c>
      <c r="E2019" s="0" t="inlineStr">
        <is>
          <t xml:space="preserve">-</t>
        </is>
      </c>
      <c r="F2019" s="0" t="inlineStr">
        <is>
          <t xml:space="preserve">-</t>
        </is>
      </c>
      <c r="G2019" s="5">
        <v>0.034776</v>
      </c>
      <c r="H2019" s="0" t="inlineStr">
        <is>
          <t xml:space="preserve">supplier</t>
        </is>
      </c>
      <c r="I2019" s="0" t="inlineStr">
        <is>
          <t xml:space="preserve">piping</t>
        </is>
      </c>
      <c r="J2019" s="0" t="inlineStr">
        <is>
          <t xml:space="preserve">vendor-override</t>
        </is>
      </c>
      <c r="K2019" s="5">
        <v>0</v>
      </c>
      <c r="L2019" s="5">
        <v>0</v>
      </c>
      <c r="M2019" s="5">
        <v>0.0</v>
      </c>
      <c r="N2019" s="5">
        <v>0.0</v>
      </c>
      <c r="O2019" s="5">
        <v>0.0</v>
      </c>
      <c r="P2019" s="5">
        <v>0.0</v>
      </c>
      <c r="Q2019" s="5">
        <v>0.0</v>
      </c>
    </row>
    <row r="2020" outlineLevel="1">
      <c r="B2020" s="0" t="inlineStr">
        <is>
          <t xml:space="preserve">PLATINUM EQUITY, LLC</t>
        </is>
      </c>
      <c r="C2020" s="0" t="inlineStr">
        <is>
          <t xml:space="preserve">VW13WNJVYQG9</t>
        </is>
      </c>
      <c r="D2020" s="0" t="inlineStr">
        <is>
          <t xml:space="preserve">-</t>
        </is>
      </c>
      <c r="E2020" s="0" t="inlineStr">
        <is>
          <t xml:space="preserve">-</t>
        </is>
      </c>
      <c r="F2020" s="0" t="inlineStr">
        <is>
          <t xml:space="preserve">-</t>
        </is>
      </c>
      <c r="G2020" s="5">
        <v>0.03472</v>
      </c>
      <c r="H2020" s="0" t="inlineStr">
        <is>
          <t xml:space="preserve">supplier</t>
        </is>
      </c>
      <c r="I2020" s="0" t="inlineStr">
        <is>
          <t xml:space="preserve">unbucketed</t>
        </is>
      </c>
      <c r="J2020" s="0" t="inlineStr">
        <is>
          <t xml:space="preserve">residual</t>
        </is>
      </c>
      <c r="K2020" s="5">
        <v>0</v>
      </c>
      <c r="L2020" s="5">
        <v>0</v>
      </c>
      <c r="M2020" s="5">
        <v>0.0</v>
      </c>
      <c r="N2020" s="5">
        <v>0.0</v>
      </c>
      <c r="O2020" s="5">
        <v>0.0</v>
      </c>
      <c r="P2020" s="5">
        <v>0.0</v>
      </c>
      <c r="Q2020" s="5">
        <v>0.0</v>
      </c>
    </row>
    <row r="2021" outlineLevel="1">
      <c r="B2021" s="0" t="inlineStr">
        <is>
          <t xml:space="preserve">DELAIRE U.S.A. INC.</t>
        </is>
      </c>
      <c r="C2021" s="0" t="inlineStr">
        <is>
          <t xml:space="preserve">G11WN3JARNJ5</t>
        </is>
      </c>
      <c r="D2021" s="0" t="inlineStr">
        <is>
          <t xml:space="preserve">-</t>
        </is>
      </c>
      <c r="E2021" s="0" t="inlineStr">
        <is>
          <t xml:space="preserve">-</t>
        </is>
      </c>
      <c r="F2021" s="0" t="inlineStr">
        <is>
          <t xml:space="preserve">-</t>
        </is>
      </c>
      <c r="G2021" s="5">
        <v>0.03470522</v>
      </c>
      <c r="H2021" s="0" t="inlineStr">
        <is>
          <t xml:space="preserve">supplier</t>
        </is>
      </c>
      <c r="I2021" s="0" t="inlineStr">
        <is>
          <t xml:space="preserve">unbucketed</t>
        </is>
      </c>
      <c r="J2021" s="0" t="inlineStr">
        <is>
          <t xml:space="preserve">residual</t>
        </is>
      </c>
      <c r="K2021" s="5">
        <v>0</v>
      </c>
      <c r="L2021" s="5">
        <v>0</v>
      </c>
      <c r="M2021" s="5">
        <v>0.0</v>
      </c>
      <c r="N2021" s="5">
        <v>0.0</v>
      </c>
      <c r="O2021" s="5">
        <v>0.0</v>
      </c>
      <c r="P2021" s="5">
        <v>0.0</v>
      </c>
      <c r="Q2021" s="5">
        <v>0.0</v>
      </c>
    </row>
    <row r="2022" outlineLevel="1">
      <c r="B2022" s="0" t="inlineStr">
        <is>
          <t xml:space="preserve">ADVANCED STRUCTURES CORPORATION</t>
        </is>
      </c>
      <c r="C2022" s="0" t="inlineStr">
        <is>
          <t xml:space="preserve">K8E4CQYCRJ25</t>
        </is>
      </c>
      <c r="D2022" s="0" t="inlineStr">
        <is>
          <t xml:space="preserve">-</t>
        </is>
      </c>
      <c r="E2022" s="0" t="inlineStr">
        <is>
          <t xml:space="preserve">-</t>
        </is>
      </c>
      <c r="F2022" s="0" t="inlineStr">
        <is>
          <t xml:space="preserve">-</t>
        </is>
      </c>
      <c r="G2022" s="5">
        <v>0.034616</v>
      </c>
      <c r="H2022" s="0" t="inlineStr">
        <is>
          <t xml:space="preserve">supplier</t>
        </is>
      </c>
      <c r="I2022" s="0" t="inlineStr">
        <is>
          <t xml:space="preserve">unbucketed</t>
        </is>
      </c>
      <c r="J2022" s="0" t="inlineStr">
        <is>
          <t xml:space="preserve">residual</t>
        </is>
      </c>
      <c r="K2022" s="5">
        <v>0</v>
      </c>
      <c r="L2022" s="5">
        <v>0</v>
      </c>
      <c r="M2022" s="5">
        <v>0.0</v>
      </c>
      <c r="N2022" s="5">
        <v>0.0</v>
      </c>
      <c r="O2022" s="5">
        <v>0.0</v>
      </c>
      <c r="P2022" s="5">
        <v>0.0</v>
      </c>
      <c r="Q2022" s="5">
        <v>0.0</v>
      </c>
    </row>
    <row r="2023" outlineLevel="1">
      <c r="B2023" s="0" t="inlineStr">
        <is>
          <t xml:space="preserve">FEDERAL BRONZE CASTING INDS</t>
        </is>
      </c>
      <c r="C2023" s="0" t="inlineStr">
        <is>
          <t xml:space="preserve">HTR5K76FMH84</t>
        </is>
      </c>
      <c r="D2023" s="0" t="inlineStr">
        <is>
          <t xml:space="preserve">-</t>
        </is>
      </c>
      <c r="E2023" s="0" t="inlineStr">
        <is>
          <t xml:space="preserve">-</t>
        </is>
      </c>
      <c r="F2023" s="0" t="inlineStr">
        <is>
          <t xml:space="preserve">-</t>
        </is>
      </c>
      <c r="G2023" s="5">
        <v>0.03438</v>
      </c>
      <c r="H2023" s="0" t="inlineStr">
        <is>
          <t xml:space="preserve">supplier</t>
        </is>
      </c>
      <c r="I2023" s="0" t="inlineStr">
        <is>
          <t xml:space="preserve">unbucketed</t>
        </is>
      </c>
      <c r="J2023" s="0" t="inlineStr">
        <is>
          <t xml:space="preserve">residual</t>
        </is>
      </c>
      <c r="K2023" s="5">
        <v>0</v>
      </c>
      <c r="L2023" s="5">
        <v>0</v>
      </c>
      <c r="M2023" s="5">
        <v>0.0</v>
      </c>
      <c r="N2023" s="5">
        <v>0.0</v>
      </c>
      <c r="O2023" s="5">
        <v>0.0</v>
      </c>
      <c r="P2023" s="5">
        <v>0.0</v>
      </c>
      <c r="Q2023" s="5">
        <v>0.0</v>
      </c>
    </row>
    <row r="2024" outlineLevel="1">
      <c r="B2024" s="0" t="inlineStr">
        <is>
          <t xml:space="preserve">HELICORP LLC.</t>
        </is>
      </c>
      <c r="C2024" s="0" t="inlineStr">
        <is>
          <t xml:space="preserve">FDJTF3YNXNP1</t>
        </is>
      </c>
      <c r="D2024" s="0" t="inlineStr">
        <is>
          <t xml:space="preserve">-</t>
        </is>
      </c>
      <c r="E2024" s="0" t="inlineStr">
        <is>
          <t xml:space="preserve">-</t>
        </is>
      </c>
      <c r="F2024" s="0" t="inlineStr">
        <is>
          <t xml:space="preserve">-</t>
        </is>
      </c>
      <c r="G2024" s="5">
        <v>0.034358879999999994</v>
      </c>
      <c r="H2024" s="0" t="inlineStr">
        <is>
          <t xml:space="preserve">supplier</t>
        </is>
      </c>
      <c r="I2024" s="0" t="inlineStr">
        <is>
          <t xml:space="preserve">unbucketed</t>
        </is>
      </c>
      <c r="J2024" s="0" t="inlineStr">
        <is>
          <t xml:space="preserve">residual</t>
        </is>
      </c>
      <c r="K2024" s="5">
        <v>0</v>
      </c>
      <c r="L2024" s="5">
        <v>0</v>
      </c>
      <c r="M2024" s="5">
        <v>0.0</v>
      </c>
      <c r="N2024" s="5">
        <v>0.0</v>
      </c>
      <c r="O2024" s="5">
        <v>0.0</v>
      </c>
      <c r="P2024" s="5">
        <v>0.0</v>
      </c>
      <c r="Q2024" s="5">
        <v>0.0</v>
      </c>
    </row>
    <row r="2025" outlineLevel="1">
      <c r="B2025" s="0" t="inlineStr">
        <is>
          <t xml:space="preserve">PARKER-HANNIFIN CORPORATION</t>
        </is>
      </c>
      <c r="C2025" s="0" t="inlineStr">
        <is>
          <t xml:space="preserve">E8YHQMBM7K77</t>
        </is>
      </c>
      <c r="D2025" s="0" t="inlineStr">
        <is>
          <t xml:space="preserve">USA</t>
        </is>
      </c>
      <c r="E2025" s="0" t="inlineStr">
        <is>
          <t xml:space="preserve">5511</t>
        </is>
      </c>
      <c r="F2025" s="0" t="inlineStr">
        <is>
          <t xml:space="preserve">Corporate, Subsidiary, and Regional Managing Offices</t>
        </is>
      </c>
      <c r="G2025" s="5">
        <v>0.034330019999999996</v>
      </c>
      <c r="H2025" s="0" t="inlineStr">
        <is>
          <t xml:space="preserve">holding</t>
        </is>
      </c>
      <c r="I2025" s="0" t="inlineStr">
        <is>
          <t xml:space="preserve">-</t>
        </is>
      </c>
      <c r="J2025" s="0" t="inlineStr">
        <is>
          <t xml:space="preserve">holding-co (5511)</t>
        </is>
      </c>
      <c r="K2025" s="5">
        <v>0</v>
      </c>
      <c r="L2025" s="5">
        <v>0</v>
      </c>
      <c r="M2025" s="5">
        <v>0.0</v>
      </c>
      <c r="N2025" s="5">
        <v>0.0</v>
      </c>
      <c r="O2025" s="5">
        <v>0.0</v>
      </c>
      <c r="P2025" s="5">
        <v>0.0</v>
      </c>
      <c r="Q2025" s="5">
        <v>0.0</v>
      </c>
    </row>
    <row r="2026" outlineLevel="1">
      <c r="B2026" s="0" t="inlineStr">
        <is>
          <t xml:space="preserve">SUPERIOR TOOL &amp; MACHINING COMPANY</t>
        </is>
      </c>
      <c r="C2026" s="0" t="inlineStr">
        <is>
          <t xml:space="preserve">CENMMCX1LSJ5</t>
        </is>
      </c>
      <c r="D2026" s="0" t="inlineStr">
        <is>
          <t xml:space="preserve">-</t>
        </is>
      </c>
      <c r="E2026" s="0" t="inlineStr">
        <is>
          <t xml:space="preserve">-</t>
        </is>
      </c>
      <c r="F2026" s="0" t="inlineStr">
        <is>
          <t xml:space="preserve">-</t>
        </is>
      </c>
      <c r="G2026" s="5">
        <v>0.033784</v>
      </c>
      <c r="H2026" s="0" t="inlineStr">
        <is>
          <t xml:space="preserve">supplier</t>
        </is>
      </c>
      <c r="I2026" s="0" t="inlineStr">
        <is>
          <t xml:space="preserve">unbucketed</t>
        </is>
      </c>
      <c r="J2026" s="0" t="inlineStr">
        <is>
          <t xml:space="preserve">residual</t>
        </is>
      </c>
      <c r="K2026" s="5">
        <v>0</v>
      </c>
      <c r="L2026" s="5">
        <v>0</v>
      </c>
      <c r="M2026" s="5">
        <v>0.0</v>
      </c>
      <c r="N2026" s="5">
        <v>0.0</v>
      </c>
      <c r="O2026" s="5">
        <v>0.0</v>
      </c>
      <c r="P2026" s="5">
        <v>0.0</v>
      </c>
      <c r="Q2026" s="5">
        <v>0.0</v>
      </c>
    </row>
    <row r="2027" outlineLevel="1">
      <c r="B2027" s="0" t="inlineStr">
        <is>
          <t xml:space="preserve">ELECTROCOMPONENTS PUBLIC LIMITED COMPANY</t>
        </is>
      </c>
      <c r="C2027" s="0" t="inlineStr">
        <is>
          <t xml:space="preserve">H46AXTX9X648</t>
        </is>
      </c>
      <c r="D2027" s="0" t="inlineStr">
        <is>
          <t xml:space="preserve">-</t>
        </is>
      </c>
      <c r="E2027" s="0" t="inlineStr">
        <is>
          <t xml:space="preserve">-</t>
        </is>
      </c>
      <c r="F2027" s="0" t="inlineStr">
        <is>
          <t xml:space="preserve">-</t>
        </is>
      </c>
      <c r="G2027" s="5">
        <v>0.033728</v>
      </c>
      <c r="H2027" s="0" t="inlineStr">
        <is>
          <t xml:space="preserve">supplier</t>
        </is>
      </c>
      <c r="I2027" s="0" t="inlineStr">
        <is>
          <t xml:space="preserve">unbucketed</t>
        </is>
      </c>
      <c r="J2027" s="0" t="inlineStr">
        <is>
          <t xml:space="preserve">residual</t>
        </is>
      </c>
      <c r="K2027" s="5">
        <v>0</v>
      </c>
      <c r="L2027" s="5">
        <v>0</v>
      </c>
      <c r="M2027" s="5">
        <v>0.033728</v>
      </c>
      <c r="N2027" s="5">
        <v>0.0</v>
      </c>
      <c r="O2027" s="5">
        <v>0.0</v>
      </c>
      <c r="P2027" s="5">
        <v>0.0</v>
      </c>
      <c r="Q2027" s="5">
        <v>0.0</v>
      </c>
    </row>
    <row r="2028" outlineLevel="1">
      <c r="B2028" s="0" t="inlineStr">
        <is>
          <t xml:space="preserve">PPG INDUSTRIES, INC.</t>
        </is>
      </c>
      <c r="C2028" s="0" t="inlineStr">
        <is>
          <t xml:space="preserve">RCCWP36NHMA6</t>
        </is>
      </c>
      <c r="D2028" s="0" t="inlineStr">
        <is>
          <t xml:space="preserve">-</t>
        </is>
      </c>
      <c r="E2028" s="0" t="inlineStr">
        <is>
          <t xml:space="preserve">-</t>
        </is>
      </c>
      <c r="F2028" s="0" t="inlineStr">
        <is>
          <t xml:space="preserve">-</t>
        </is>
      </c>
      <c r="G2028" s="5">
        <v>0.033671</v>
      </c>
      <c r="H2028" s="0" t="inlineStr">
        <is>
          <t xml:space="preserve">supplier</t>
        </is>
      </c>
      <c r="I2028" s="0" t="inlineStr">
        <is>
          <t xml:space="preserve">unbucketed</t>
        </is>
      </c>
      <c r="J2028" s="0" t="inlineStr">
        <is>
          <t xml:space="preserve">residual</t>
        </is>
      </c>
      <c r="K2028" s="5">
        <v>0</v>
      </c>
      <c r="L2028" s="5">
        <v>0</v>
      </c>
      <c r="M2028" s="5">
        <v>0.0</v>
      </c>
      <c r="N2028" s="5">
        <v>0.0</v>
      </c>
      <c r="O2028" s="5">
        <v>0.0</v>
      </c>
      <c r="P2028" s="5">
        <v>0.0</v>
      </c>
      <c r="Q2028" s="5">
        <v>0.0</v>
      </c>
    </row>
    <row r="2029" outlineLevel="1">
      <c r="B2029" s="0" t="inlineStr">
        <is>
          <t xml:space="preserve">PON HOLDINGS B.V.</t>
        </is>
      </c>
      <c r="C2029" s="0" t="inlineStr">
        <is>
          <t xml:space="preserve">LGVPVLMRHH51</t>
        </is>
      </c>
      <c r="D2029" s="0" t="inlineStr">
        <is>
          <t xml:space="preserve">-</t>
        </is>
      </c>
      <c r="E2029" s="0" t="inlineStr">
        <is>
          <t xml:space="preserve">-</t>
        </is>
      </c>
      <c r="F2029" s="0" t="inlineStr">
        <is>
          <t xml:space="preserve">-</t>
        </is>
      </c>
      <c r="G2029" s="5">
        <v>0.0336</v>
      </c>
      <c r="H2029" s="0" t="inlineStr">
        <is>
          <t xml:space="preserve">supplier</t>
        </is>
      </c>
      <c r="I2029" s="0" t="inlineStr">
        <is>
          <t xml:space="preserve">piping</t>
        </is>
      </c>
      <c r="J2029" s="0" t="inlineStr">
        <is>
          <t xml:space="preserve">registry</t>
        </is>
      </c>
      <c r="K2029" s="5">
        <v>0</v>
      </c>
      <c r="L2029" s="5">
        <v>0</v>
      </c>
      <c r="M2029" s="5">
        <v>0.0336</v>
      </c>
      <c r="N2029" s="5">
        <v>0.0</v>
      </c>
      <c r="O2029" s="5">
        <v>0.0</v>
      </c>
      <c r="P2029" s="5">
        <v>0.0</v>
      </c>
      <c r="Q2029" s="5">
        <v>0.0</v>
      </c>
    </row>
    <row r="2030" outlineLevel="1">
      <c r="B2030" s="0" t="inlineStr">
        <is>
          <t xml:space="preserve">DLT SOLUTIONS, LLC</t>
        </is>
      </c>
      <c r="C2030" s="0" t="inlineStr">
        <is>
          <t xml:space="preserve">F1N2KDGBDTU8</t>
        </is>
      </c>
      <c r="D2030" s="0" t="inlineStr">
        <is>
          <t xml:space="preserve">-</t>
        </is>
      </c>
      <c r="E2030" s="0" t="inlineStr">
        <is>
          <t xml:space="preserve">-</t>
        </is>
      </c>
      <c r="F2030" s="0" t="inlineStr">
        <is>
          <t xml:space="preserve">-</t>
        </is>
      </c>
      <c r="G2030" s="5">
        <v>0.033598800000000005</v>
      </c>
      <c r="H2030" s="0" t="inlineStr">
        <is>
          <t xml:space="preserve">supplier</t>
        </is>
      </c>
      <c r="I2030" s="0" t="inlineStr">
        <is>
          <t xml:space="preserve">unbucketed</t>
        </is>
      </c>
      <c r="J2030" s="0" t="inlineStr">
        <is>
          <t xml:space="preserve">residual</t>
        </is>
      </c>
      <c r="K2030" s="5">
        <v>0</v>
      </c>
      <c r="L2030" s="5">
        <v>0</v>
      </c>
      <c r="M2030" s="5">
        <v>0.0</v>
      </c>
      <c r="N2030" s="5">
        <v>0.0</v>
      </c>
      <c r="O2030" s="5">
        <v>0.0</v>
      </c>
      <c r="P2030" s="5">
        <v>0.0</v>
      </c>
      <c r="Q2030" s="5">
        <v>0.0</v>
      </c>
    </row>
    <row r="2031" outlineLevel="1">
      <c r="B2031" s="0" t="inlineStr">
        <is>
          <t xml:space="preserve">SYNNEX CORPORATION</t>
        </is>
      </c>
      <c r="C2031" s="0" t="inlineStr">
        <is>
          <t xml:space="preserve">F1N2KDGBDTU8</t>
        </is>
      </c>
      <c r="D2031" s="0" t="inlineStr">
        <is>
          <t xml:space="preserve">-</t>
        </is>
      </c>
      <c r="E2031" s="0" t="inlineStr">
        <is>
          <t xml:space="preserve">-</t>
        </is>
      </c>
      <c r="F2031" s="0" t="inlineStr">
        <is>
          <t xml:space="preserve">-</t>
        </is>
      </c>
      <c r="G2031" s="5">
        <v>0.033598800000000005</v>
      </c>
      <c r="H2031" s="0" t="inlineStr">
        <is>
          <t xml:space="preserve">supplier</t>
        </is>
      </c>
      <c r="I2031" s="0" t="inlineStr">
        <is>
          <t xml:space="preserve">unbucketed</t>
        </is>
      </c>
      <c r="J2031" s="0" t="inlineStr">
        <is>
          <t xml:space="preserve">residual</t>
        </is>
      </c>
      <c r="K2031" s="5">
        <v>0</v>
      </c>
      <c r="L2031" s="5">
        <v>0</v>
      </c>
      <c r="M2031" s="5">
        <v>0.0</v>
      </c>
      <c r="N2031" s="5">
        <v>0.0</v>
      </c>
      <c r="O2031" s="5">
        <v>0.0</v>
      </c>
      <c r="P2031" s="5">
        <v>0.0</v>
      </c>
      <c r="Q2031" s="5">
        <v>0.0</v>
      </c>
    </row>
    <row r="2032" outlineLevel="1">
      <c r="B2032" s="0" t="inlineStr">
        <is>
          <t xml:space="preserve">ATSCOTT MFG, INC.</t>
        </is>
      </c>
      <c r="C2032" s="0" t="inlineStr">
        <is>
          <t xml:space="preserve">WHLMMHXB9C65</t>
        </is>
      </c>
      <c r="D2032" s="0" t="inlineStr">
        <is>
          <t xml:space="preserve">-</t>
        </is>
      </c>
      <c r="E2032" s="0" t="inlineStr">
        <is>
          <t xml:space="preserve">-</t>
        </is>
      </c>
      <c r="F2032" s="0" t="inlineStr">
        <is>
          <t xml:space="preserve">-</t>
        </is>
      </c>
      <c r="G2032" s="5">
        <v>0.033592199999999996</v>
      </c>
      <c r="H2032" s="0" t="inlineStr">
        <is>
          <t xml:space="preserve">supplier</t>
        </is>
      </c>
      <c r="I2032" s="0" t="inlineStr">
        <is>
          <t xml:space="preserve">unbucketed</t>
        </is>
      </c>
      <c r="J2032" s="0" t="inlineStr">
        <is>
          <t xml:space="preserve">residual</t>
        </is>
      </c>
      <c r="K2032" s="5">
        <v>0</v>
      </c>
      <c r="L2032" s="5">
        <v>0</v>
      </c>
      <c r="M2032" s="5">
        <v>0.0</v>
      </c>
      <c r="N2032" s="5">
        <v>0.0</v>
      </c>
      <c r="O2032" s="5">
        <v>0.0</v>
      </c>
      <c r="P2032" s="5">
        <v>0.0</v>
      </c>
      <c r="Q2032" s="5">
        <v>0.0</v>
      </c>
    </row>
    <row r="2033" outlineLevel="1">
      <c r="B2033" s="0" t="inlineStr">
        <is>
          <t xml:space="preserve">ELECTRONIC COMPONENTS INC.</t>
        </is>
      </c>
      <c r="C2033" s="0" t="inlineStr">
        <is>
          <t xml:space="preserve">JFSETNYJ81Y4</t>
        </is>
      </c>
      <c r="D2033" s="0" t="inlineStr">
        <is>
          <t xml:space="preserve">-</t>
        </is>
      </c>
      <c r="E2033" s="0" t="inlineStr">
        <is>
          <t xml:space="preserve">-</t>
        </is>
      </c>
      <c r="F2033" s="0" t="inlineStr">
        <is>
          <t xml:space="preserve">-</t>
        </is>
      </c>
      <c r="G2033" s="5">
        <v>0.033585</v>
      </c>
      <c r="H2033" s="0" t="inlineStr">
        <is>
          <t xml:space="preserve">supplier</t>
        </is>
      </c>
      <c r="I2033" s="0" t="inlineStr">
        <is>
          <t xml:space="preserve">unbucketed</t>
        </is>
      </c>
      <c r="J2033" s="0" t="inlineStr">
        <is>
          <t xml:space="preserve">residual</t>
        </is>
      </c>
      <c r="K2033" s="5">
        <v>0</v>
      </c>
      <c r="L2033" s="5">
        <v>0</v>
      </c>
      <c r="M2033" s="5">
        <v>0.0</v>
      </c>
      <c r="N2033" s="5">
        <v>0.0</v>
      </c>
      <c r="O2033" s="5">
        <v>0.0</v>
      </c>
      <c r="P2033" s="5">
        <v>0.0</v>
      </c>
      <c r="Q2033" s="5">
        <v>0.0</v>
      </c>
    </row>
    <row r="2034" outlineLevel="1">
      <c r="B2034" s="0" t="inlineStr">
        <is>
          <t xml:space="preserve">ASI SERVICES, INC.</t>
        </is>
      </c>
      <c r="C2034" s="0" t="inlineStr">
        <is>
          <t xml:space="preserve">Y2GKF345JAV9</t>
        </is>
      </c>
      <c r="D2034" s="0" t="inlineStr">
        <is>
          <t xml:space="preserve">-</t>
        </is>
      </c>
      <c r="E2034" s="0" t="inlineStr">
        <is>
          <t xml:space="preserve">-</t>
        </is>
      </c>
      <c r="F2034" s="0" t="inlineStr">
        <is>
          <t xml:space="preserve">-</t>
        </is>
      </c>
      <c r="G2034" s="5">
        <v>0.03342</v>
      </c>
      <c r="H2034" s="0" t="inlineStr">
        <is>
          <t xml:space="preserve">supplier</t>
        </is>
      </c>
      <c r="I2034" s="0" t="inlineStr">
        <is>
          <t xml:space="preserve">unbucketed</t>
        </is>
      </c>
      <c r="J2034" s="0" t="inlineStr">
        <is>
          <t xml:space="preserve">residual</t>
        </is>
      </c>
      <c r="K2034" s="5">
        <v>0</v>
      </c>
      <c r="L2034" s="5">
        <v>0</v>
      </c>
      <c r="M2034" s="5">
        <v>0.0</v>
      </c>
      <c r="N2034" s="5">
        <v>0.0</v>
      </c>
      <c r="O2034" s="5">
        <v>0.0</v>
      </c>
      <c r="P2034" s="5">
        <v>0.0</v>
      </c>
      <c r="Q2034" s="5">
        <v>0.0</v>
      </c>
    </row>
    <row r="2035" outlineLevel="1">
      <c r="B2035" s="0" t="inlineStr">
        <is>
          <t xml:space="preserve">DIXIE TOWING, LLC</t>
        </is>
      </c>
      <c r="C2035" s="0" t="inlineStr">
        <is>
          <t xml:space="preserve">WTQWMENK2LP6</t>
        </is>
      </c>
      <c r="D2035" s="0" t="inlineStr">
        <is>
          <t xml:space="preserve">-</t>
        </is>
      </c>
      <c r="E2035" s="0" t="inlineStr">
        <is>
          <t xml:space="preserve">-</t>
        </is>
      </c>
      <c r="F2035" s="0" t="inlineStr">
        <is>
          <t xml:space="preserve">-</t>
        </is>
      </c>
      <c r="G2035" s="5">
        <v>0.033337</v>
      </c>
      <c r="H2035" s="0" t="inlineStr">
        <is>
          <t xml:space="preserve">supplier</t>
        </is>
      </c>
      <c r="I2035" s="0" t="inlineStr">
        <is>
          <t xml:space="preserve">unbucketed</t>
        </is>
      </c>
      <c r="J2035" s="0" t="inlineStr">
        <is>
          <t xml:space="preserve">residual</t>
        </is>
      </c>
      <c r="K2035" s="5">
        <v>0</v>
      </c>
      <c r="L2035" s="5">
        <v>0</v>
      </c>
      <c r="M2035" s="5">
        <v>0.0</v>
      </c>
      <c r="N2035" s="5">
        <v>0.0</v>
      </c>
      <c r="O2035" s="5">
        <v>0.0</v>
      </c>
      <c r="P2035" s="5">
        <v>0.0</v>
      </c>
      <c r="Q2035" s="5">
        <v>0.0</v>
      </c>
    </row>
    <row r="2036" outlineLevel="1">
      <c r="B2036" s="0" t="inlineStr">
        <is>
          <t xml:space="preserve">MEGGITT (ORANGE COUNTY), INC.</t>
        </is>
      </c>
      <c r="C2036" s="0" t="inlineStr">
        <is>
          <t xml:space="preserve">HZ9KWM9PKZB3</t>
        </is>
      </c>
      <c r="D2036" s="0" t="inlineStr">
        <is>
          <t xml:space="preserve">-</t>
        </is>
      </c>
      <c r="E2036" s="0" t="inlineStr">
        <is>
          <t xml:space="preserve">-</t>
        </is>
      </c>
      <c r="F2036" s="0" t="inlineStr">
        <is>
          <t xml:space="preserve">-</t>
        </is>
      </c>
      <c r="G2036" s="5">
        <v>0.033162</v>
      </c>
      <c r="H2036" s="0" t="inlineStr">
        <is>
          <t xml:space="preserve">supplier</t>
        </is>
      </c>
      <c r="I2036" s="0" t="inlineStr">
        <is>
          <t xml:space="preserve">unbucketed</t>
        </is>
      </c>
      <c r="J2036" s="0" t="inlineStr">
        <is>
          <t xml:space="preserve">residual</t>
        </is>
      </c>
      <c r="K2036" s="5">
        <v>0</v>
      </c>
      <c r="L2036" s="5">
        <v>0</v>
      </c>
      <c r="M2036" s="5">
        <v>0.0</v>
      </c>
      <c r="N2036" s="5">
        <v>0.0</v>
      </c>
      <c r="O2036" s="5">
        <v>0.0</v>
      </c>
      <c r="P2036" s="5">
        <v>0.0</v>
      </c>
      <c r="Q2036" s="5">
        <v>0.0</v>
      </c>
    </row>
    <row r="2037" outlineLevel="1">
      <c r="B2037" s="0" t="inlineStr">
        <is>
          <t xml:space="preserve">KOCH INDUSTRIES, INC.</t>
        </is>
      </c>
      <c r="C2037" s="0" t="inlineStr">
        <is>
          <t xml:space="preserve">HNYSKKHTVRN4</t>
        </is>
      </c>
      <c r="D2037" s="0" t="inlineStr">
        <is>
          <t xml:space="preserve">-</t>
        </is>
      </c>
      <c r="E2037" s="0" t="inlineStr">
        <is>
          <t xml:space="preserve">-</t>
        </is>
      </c>
      <c r="F2037" s="0" t="inlineStr">
        <is>
          <t xml:space="preserve">-</t>
        </is>
      </c>
      <c r="G2037" s="5">
        <v>0.033</v>
      </c>
      <c r="H2037" s="0" t="inlineStr">
        <is>
          <t xml:space="preserve">supplier</t>
        </is>
      </c>
      <c r="I2037" s="0" t="inlineStr">
        <is>
          <t xml:space="preserve">unbucketed</t>
        </is>
      </c>
      <c r="J2037" s="0" t="inlineStr">
        <is>
          <t xml:space="preserve">residual</t>
        </is>
      </c>
      <c r="K2037" s="5">
        <v>0</v>
      </c>
      <c r="L2037" s="5">
        <v>0</v>
      </c>
      <c r="M2037" s="5">
        <v>0.0</v>
      </c>
      <c r="N2037" s="5">
        <v>0.0</v>
      </c>
      <c r="O2037" s="5">
        <v>0.0</v>
      </c>
      <c r="P2037" s="5">
        <v>0.0</v>
      </c>
      <c r="Q2037" s="5">
        <v>0.0</v>
      </c>
    </row>
    <row r="2038" outlineLevel="1">
      <c r="B2038" s="0" t="inlineStr">
        <is>
          <t xml:space="preserve">HUNTINGTON INGALLS INDUSTRIES, INC.</t>
        </is>
      </c>
      <c r="C2038" s="0" t="inlineStr">
        <is>
          <t xml:space="preserve">W482TC15KEN6</t>
        </is>
      </c>
      <c r="D2038" s="0" t="inlineStr">
        <is>
          <t xml:space="preserve">-</t>
        </is>
      </c>
      <c r="E2038" s="0" t="inlineStr">
        <is>
          <t xml:space="preserve">-</t>
        </is>
      </c>
      <c r="F2038" s="0" t="inlineStr">
        <is>
          <t xml:space="preserve">-</t>
        </is>
      </c>
      <c r="G2038" s="5">
        <v>0.032899</v>
      </c>
      <c r="H2038" s="0" t="inlineStr">
        <is>
          <t xml:space="preserve">co_prime</t>
        </is>
      </c>
      <c r="I2038" s="0" t="inlineStr">
        <is>
          <t xml:space="preserve">-</t>
        </is>
      </c>
      <c r="J2038" s="0" t="inlineStr">
        <is>
          <t xml:space="preserve">prime/co-prime name</t>
        </is>
      </c>
      <c r="K2038" s="5">
        <v>0</v>
      </c>
      <c r="L2038" s="5">
        <v>0</v>
      </c>
      <c r="M2038" s="5">
        <v>0.0</v>
      </c>
      <c r="N2038" s="5">
        <v>0.0</v>
      </c>
      <c r="O2038" s="5">
        <v>0.0</v>
      </c>
      <c r="P2038" s="5">
        <v>0.0</v>
      </c>
      <c r="Q2038" s="5">
        <v>0.0</v>
      </c>
    </row>
    <row r="2039" outlineLevel="1">
      <c r="B2039" s="0" t="inlineStr">
        <is>
          <t xml:space="preserve">WESCO INTERNATIONAL, INC</t>
        </is>
      </c>
      <c r="C2039" s="0" t="inlineStr">
        <is>
          <t xml:space="preserve">LJXMD6WRZJA5</t>
        </is>
      </c>
      <c r="D2039" s="0" t="inlineStr">
        <is>
          <t xml:space="preserve">-</t>
        </is>
      </c>
      <c r="E2039" s="0" t="inlineStr">
        <is>
          <t xml:space="preserve">-</t>
        </is>
      </c>
      <c r="F2039" s="0" t="inlineStr">
        <is>
          <t xml:space="preserve">-</t>
        </is>
      </c>
      <c r="G2039" s="5">
        <v>0.03289304</v>
      </c>
      <c r="H2039" s="0" t="inlineStr">
        <is>
          <t xml:space="preserve">supplier</t>
        </is>
      </c>
      <c r="I2039" s="0" t="inlineStr">
        <is>
          <t xml:space="preserve">unbucketed</t>
        </is>
      </c>
      <c r="J2039" s="0" t="inlineStr">
        <is>
          <t xml:space="preserve">residual</t>
        </is>
      </c>
      <c r="K2039" s="5">
        <v>0</v>
      </c>
      <c r="L2039" s="5">
        <v>0</v>
      </c>
      <c r="M2039" s="5">
        <v>0.0</v>
      </c>
      <c r="N2039" s="5">
        <v>0.0</v>
      </c>
      <c r="O2039" s="5">
        <v>0.0</v>
      </c>
      <c r="P2039" s="5">
        <v>0.0</v>
      </c>
      <c r="Q2039" s="5">
        <v>0.0</v>
      </c>
    </row>
    <row r="2040" outlineLevel="1">
      <c r="B2040" s="0" t="inlineStr">
        <is>
          <t xml:space="preserve">SMITH BROTHERS TOOL CO</t>
        </is>
      </c>
      <c r="C2040" s="0" t="inlineStr">
        <is>
          <t xml:space="preserve">LP45MHNTVWP9</t>
        </is>
      </c>
      <c r="D2040" s="0" t="inlineStr">
        <is>
          <t xml:space="preserve">-</t>
        </is>
      </c>
      <c r="E2040" s="0" t="inlineStr">
        <is>
          <t xml:space="preserve">-</t>
        </is>
      </c>
      <c r="F2040" s="0" t="inlineStr">
        <is>
          <t xml:space="preserve">-</t>
        </is>
      </c>
      <c r="G2040" s="5">
        <v>0.032886</v>
      </c>
      <c r="H2040" s="0" t="inlineStr">
        <is>
          <t xml:space="preserve">supplier</t>
        </is>
      </c>
      <c r="I2040" s="0" t="inlineStr">
        <is>
          <t xml:space="preserve">unbucketed</t>
        </is>
      </c>
      <c r="J2040" s="0" t="inlineStr">
        <is>
          <t xml:space="preserve">residual</t>
        </is>
      </c>
      <c r="K2040" s="5">
        <v>0</v>
      </c>
      <c r="L2040" s="5">
        <v>0</v>
      </c>
      <c r="M2040" s="5">
        <v>0.0</v>
      </c>
      <c r="N2040" s="5">
        <v>0.0</v>
      </c>
      <c r="O2040" s="5">
        <v>0.0</v>
      </c>
      <c r="P2040" s="5">
        <v>0.0</v>
      </c>
      <c r="Q2040" s="5">
        <v>0.0</v>
      </c>
    </row>
    <row r="2041" outlineLevel="1">
      <c r="B2041" s="0" t="inlineStr">
        <is>
          <t xml:space="preserve">ARROW ELECTRONICS, INC.</t>
        </is>
      </c>
      <c r="C2041" s="0" t="inlineStr">
        <is>
          <t xml:space="preserve">T76AY6VHNFK3</t>
        </is>
      </c>
      <c r="D2041" s="0" t="inlineStr">
        <is>
          <t xml:space="preserve">USA</t>
        </is>
      </c>
      <c r="E2041" s="0" t="inlineStr">
        <is>
          <t xml:space="preserve">4236</t>
        </is>
      </c>
      <c r="F2041" s="0" t="inlineStr">
        <is>
          <t xml:space="preserve">Other Electronic Parts and Equipment Merchant Wholesalers</t>
        </is>
      </c>
      <c r="G2041" s="5">
        <v>0.03288338</v>
      </c>
      <c r="H2041" s="0" t="inlineStr">
        <is>
          <t xml:space="preserve">service</t>
        </is>
      </c>
      <c r="I2041" s="0" t="inlineStr">
        <is>
          <t xml:space="preserve">-</t>
        </is>
      </c>
      <c r="J2041" s="0" t="inlineStr">
        <is>
          <t xml:space="preserve">service NAICS</t>
        </is>
      </c>
      <c r="K2041" s="5">
        <v>0</v>
      </c>
      <c r="L2041" s="5">
        <v>0</v>
      </c>
      <c r="M2041" s="5">
        <v>0.0</v>
      </c>
      <c r="N2041" s="5">
        <v>0.0</v>
      </c>
      <c r="O2041" s="5">
        <v>0.0</v>
      </c>
      <c r="P2041" s="5">
        <v>0.0</v>
      </c>
      <c r="Q2041" s="5">
        <v>0.0</v>
      </c>
    </row>
    <row r="2042" outlineLevel="1">
      <c r="B2042" s="0" t="inlineStr">
        <is>
          <t xml:space="preserve">BERKSHIRE HATHAWAY INC.</t>
        </is>
      </c>
      <c r="C2042" s="0" t="inlineStr">
        <is>
          <t xml:space="preserve">C18KXNHETC95</t>
        </is>
      </c>
      <c r="D2042" s="0" t="inlineStr">
        <is>
          <t xml:space="preserve">USA</t>
        </is>
      </c>
      <c r="E2042" s="0" t="inlineStr">
        <is>
          <t xml:space="preserve">5511</t>
        </is>
      </c>
      <c r="F2042" s="0" t="inlineStr">
        <is>
          <t xml:space="preserve">Offices of Other Holding Companies</t>
        </is>
      </c>
      <c r="G2042" s="5">
        <v>0.032822800000000006</v>
      </c>
      <c r="H2042" s="0" t="inlineStr">
        <is>
          <t xml:space="preserve">holding</t>
        </is>
      </c>
      <c r="I2042" s="0" t="inlineStr">
        <is>
          <t xml:space="preserve">-</t>
        </is>
      </c>
      <c r="J2042" s="0" t="inlineStr">
        <is>
          <t xml:space="preserve">holding-co (5511)</t>
        </is>
      </c>
      <c r="K2042" s="5">
        <v>0</v>
      </c>
      <c r="L2042" s="5">
        <v>0</v>
      </c>
      <c r="M2042" s="5">
        <v>0.032822800000000006</v>
      </c>
      <c r="N2042" s="5">
        <v>0.0</v>
      </c>
      <c r="O2042" s="5">
        <v>0.0</v>
      </c>
      <c r="P2042" s="5">
        <v>0.032822800000000006</v>
      </c>
      <c r="Q2042" s="5">
        <v>0.0</v>
      </c>
    </row>
    <row r="2043" outlineLevel="1">
      <c r="B2043" s="0" t="inlineStr">
        <is>
          <t xml:space="preserve">HONEYWELL INTERNATIONAL INC</t>
        </is>
      </c>
      <c r="C2043" s="0" t="inlineStr">
        <is>
          <t xml:space="preserve">TKE2CB4A5YW4</t>
        </is>
      </c>
      <c r="D2043" s="0" t="inlineStr">
        <is>
          <t xml:space="preserve">-</t>
        </is>
      </c>
      <c r="E2043" s="0" t="inlineStr">
        <is>
          <t xml:space="preserve">-</t>
        </is>
      </c>
      <c r="F2043" s="0" t="inlineStr">
        <is>
          <t xml:space="preserve">-</t>
        </is>
      </c>
      <c r="G2043" s="5">
        <v>0.03251736</v>
      </c>
      <c r="H2043" s="0" t="inlineStr">
        <is>
          <t xml:space="preserve">supplier</t>
        </is>
      </c>
      <c r="I2043" s="0" t="inlineStr">
        <is>
          <t xml:space="preserve">unbucketed</t>
        </is>
      </c>
      <c r="J2043" s="0" t="inlineStr">
        <is>
          <t xml:space="preserve">residual</t>
        </is>
      </c>
      <c r="K2043" s="5">
        <v>0</v>
      </c>
      <c r="L2043" s="5">
        <v>0</v>
      </c>
      <c r="M2043" s="5">
        <v>0.0</v>
      </c>
      <c r="N2043" s="5">
        <v>0.0</v>
      </c>
      <c r="O2043" s="5">
        <v>0.0</v>
      </c>
      <c r="P2043" s="5">
        <v>0.0</v>
      </c>
      <c r="Q2043" s="5">
        <v>0.0</v>
      </c>
    </row>
    <row r="2044" outlineLevel="1">
      <c r="B2044" s="0" t="inlineStr">
        <is>
          <t xml:space="preserve">ECHELON SUPPLY AND SERVICE, INC.</t>
        </is>
      </c>
      <c r="C2044" s="0" t="inlineStr">
        <is>
          <t xml:space="preserve">QF3MD1MU1651</t>
        </is>
      </c>
      <c r="D2044" s="0" t="inlineStr">
        <is>
          <t xml:space="preserve">-</t>
        </is>
      </c>
      <c r="E2044" s="0" t="inlineStr">
        <is>
          <t xml:space="preserve">-</t>
        </is>
      </c>
      <c r="F2044" s="0" t="inlineStr">
        <is>
          <t xml:space="preserve">-</t>
        </is>
      </c>
      <c r="G2044" s="5">
        <v>0.032512</v>
      </c>
      <c r="H2044" s="0" t="inlineStr">
        <is>
          <t xml:space="preserve">supplier</t>
        </is>
      </c>
      <c r="I2044" s="0" t="inlineStr">
        <is>
          <t xml:space="preserve">unbucketed</t>
        </is>
      </c>
      <c r="J2044" s="0" t="inlineStr">
        <is>
          <t xml:space="preserve">residual</t>
        </is>
      </c>
      <c r="K2044" s="5">
        <v>0</v>
      </c>
      <c r="L2044" s="5">
        <v>0</v>
      </c>
      <c r="M2044" s="5">
        <v>0.032512</v>
      </c>
      <c r="N2044" s="5">
        <v>0.0</v>
      </c>
      <c r="O2044" s="5">
        <v>0.032512</v>
      </c>
      <c r="P2044" s="5">
        <v>0.0</v>
      </c>
      <c r="Q2044" s="5">
        <v>0.0</v>
      </c>
    </row>
    <row r="2045" outlineLevel="1">
      <c r="B2045" s="0" t="inlineStr">
        <is>
          <t xml:space="preserve">A-1 ALLOYS, INC.</t>
        </is>
      </c>
      <c r="C2045" s="0" t="inlineStr">
        <is>
          <t xml:space="preserve">FQQNJ4L8W7T4</t>
        </is>
      </c>
      <c r="D2045" s="0" t="inlineStr">
        <is>
          <t xml:space="preserve">-</t>
        </is>
      </c>
      <c r="E2045" s="0" t="inlineStr">
        <is>
          <t xml:space="preserve">-</t>
        </is>
      </c>
      <c r="F2045" s="0" t="inlineStr">
        <is>
          <t xml:space="preserve">-</t>
        </is>
      </c>
      <c r="G2045" s="5">
        <v>0.032505</v>
      </c>
      <c r="H2045" s="0" t="inlineStr">
        <is>
          <t xml:space="preserve">supplier</t>
        </is>
      </c>
      <c r="I2045" s="0" t="inlineStr">
        <is>
          <t xml:space="preserve">unbucketed</t>
        </is>
      </c>
      <c r="J2045" s="0" t="inlineStr">
        <is>
          <t xml:space="preserve">residual</t>
        </is>
      </c>
      <c r="K2045" s="5">
        <v>0</v>
      </c>
      <c r="L2045" s="5">
        <v>0</v>
      </c>
      <c r="M2045" s="5">
        <v>0.0</v>
      </c>
      <c r="N2045" s="5">
        <v>0.0</v>
      </c>
      <c r="O2045" s="5">
        <v>0.0</v>
      </c>
      <c r="P2045" s="5">
        <v>0.0</v>
      </c>
      <c r="Q2045" s="5">
        <v>0.0</v>
      </c>
    </row>
    <row r="2046" outlineLevel="1">
      <c r="B2046" s="0" t="inlineStr">
        <is>
          <t xml:space="preserve">ACTIAN CORPORATION</t>
        </is>
      </c>
      <c r="C2046" s="0" t="inlineStr">
        <is>
          <t xml:space="preserve">MH4BJN91NNS4</t>
        </is>
      </c>
      <c r="D2046" s="0" t="inlineStr">
        <is>
          <t xml:space="preserve">-</t>
        </is>
      </c>
      <c r="E2046" s="0" t="inlineStr">
        <is>
          <t xml:space="preserve">-</t>
        </is>
      </c>
      <c r="F2046" s="0" t="inlineStr">
        <is>
          <t xml:space="preserve">-</t>
        </is>
      </c>
      <c r="G2046" s="5">
        <v>0.0325</v>
      </c>
      <c r="H2046" s="0" t="inlineStr">
        <is>
          <t xml:space="preserve">supplier</t>
        </is>
      </c>
      <c r="I2046" s="0" t="inlineStr">
        <is>
          <t xml:space="preserve">unbucketed</t>
        </is>
      </c>
      <c r="J2046" s="0" t="inlineStr">
        <is>
          <t xml:space="preserve">residual</t>
        </is>
      </c>
      <c r="K2046" s="5">
        <v>0</v>
      </c>
      <c r="L2046" s="5">
        <v>0</v>
      </c>
      <c r="M2046" s="5">
        <v>0.0</v>
      </c>
      <c r="N2046" s="5">
        <v>0.0</v>
      </c>
      <c r="O2046" s="5">
        <v>0.0</v>
      </c>
      <c r="P2046" s="5">
        <v>0.0</v>
      </c>
      <c r="Q2046" s="5">
        <v>0.0</v>
      </c>
    </row>
    <row r="2047" outlineLevel="1">
      <c r="B2047" s="0" t="inlineStr">
        <is>
          <t xml:space="preserve">AEA INVESTORS LP</t>
        </is>
      </c>
      <c r="C2047" s="0" t="inlineStr">
        <is>
          <t xml:space="preserve">F36XJTSHKRT4</t>
        </is>
      </c>
      <c r="D2047" s="0" t="inlineStr">
        <is>
          <t xml:space="preserve">-</t>
        </is>
      </c>
      <c r="E2047" s="0" t="inlineStr">
        <is>
          <t xml:space="preserve">-</t>
        </is>
      </c>
      <c r="F2047" s="0" t="inlineStr">
        <is>
          <t xml:space="preserve">-</t>
        </is>
      </c>
      <c r="G2047" s="5">
        <v>0.032415</v>
      </c>
      <c r="H2047" s="0" t="inlineStr">
        <is>
          <t xml:space="preserve">supplier</t>
        </is>
      </c>
      <c r="I2047" s="0" t="inlineStr">
        <is>
          <t xml:space="preserve">unbucketed</t>
        </is>
      </c>
      <c r="J2047" s="0" t="inlineStr">
        <is>
          <t xml:space="preserve">residual</t>
        </is>
      </c>
      <c r="K2047" s="5">
        <v>0</v>
      </c>
      <c r="L2047" s="5">
        <v>0</v>
      </c>
      <c r="M2047" s="5">
        <v>0.0</v>
      </c>
      <c r="N2047" s="5">
        <v>0.0</v>
      </c>
      <c r="O2047" s="5">
        <v>0.0</v>
      </c>
      <c r="P2047" s="5">
        <v>0.0</v>
      </c>
      <c r="Q2047" s="5">
        <v>0.0</v>
      </c>
    </row>
    <row r="2048" outlineLevel="1">
      <c r="B2048" s="0" t="inlineStr">
        <is>
          <t xml:space="preserve">SIEMENS AKTIENGESELLSCHAFT</t>
        </is>
      </c>
      <c r="C2048" s="0" t="inlineStr">
        <is>
          <t xml:space="preserve">GAVWQ1VEDC53</t>
        </is>
      </c>
      <c r="D2048" s="0" t="inlineStr">
        <is>
          <t xml:space="preserve">-</t>
        </is>
      </c>
      <c r="E2048" s="0" t="inlineStr">
        <is>
          <t xml:space="preserve">-</t>
        </is>
      </c>
      <c r="F2048" s="0" t="inlineStr">
        <is>
          <t xml:space="preserve">-</t>
        </is>
      </c>
      <c r="G2048" s="5">
        <v>0.032407</v>
      </c>
      <c r="H2048" s="0" t="inlineStr">
        <is>
          <t xml:space="preserve">supplier</t>
        </is>
      </c>
      <c r="I2048" s="0" t="inlineStr">
        <is>
          <t xml:space="preserve">unbucketed</t>
        </is>
      </c>
      <c r="J2048" s="0" t="inlineStr">
        <is>
          <t xml:space="preserve">residual</t>
        </is>
      </c>
      <c r="K2048" s="5">
        <v>0</v>
      </c>
      <c r="L2048" s="5">
        <v>0</v>
      </c>
      <c r="M2048" s="5">
        <v>0.0</v>
      </c>
      <c r="N2048" s="5">
        <v>0.0</v>
      </c>
      <c r="O2048" s="5">
        <v>0.0</v>
      </c>
      <c r="P2048" s="5">
        <v>0.0</v>
      </c>
      <c r="Q2048" s="5">
        <v>0.0</v>
      </c>
    </row>
    <row r="2049" outlineLevel="1">
      <c r="B2049" s="0" t="inlineStr">
        <is>
          <t xml:space="preserve">ASTRONAUTICS CORPORATION OF AMERICA</t>
        </is>
      </c>
      <c r="C2049" s="0" t="inlineStr">
        <is>
          <t xml:space="preserve">JJJPRCSJ9RK6</t>
        </is>
      </c>
      <c r="D2049" s="0" t="inlineStr">
        <is>
          <t xml:space="preserve">-</t>
        </is>
      </c>
      <c r="E2049" s="0" t="inlineStr">
        <is>
          <t xml:space="preserve">-</t>
        </is>
      </c>
      <c r="F2049" s="0" t="inlineStr">
        <is>
          <t xml:space="preserve">-</t>
        </is>
      </c>
      <c r="G2049" s="5">
        <v>0.032391</v>
      </c>
      <c r="H2049" s="0" t="inlineStr">
        <is>
          <t xml:space="preserve">supplier</t>
        </is>
      </c>
      <c r="I2049" s="0" t="inlineStr">
        <is>
          <t xml:space="preserve">unbucketed</t>
        </is>
      </c>
      <c r="J2049" s="0" t="inlineStr">
        <is>
          <t xml:space="preserve">residual</t>
        </is>
      </c>
      <c r="K2049" s="5">
        <v>0</v>
      </c>
      <c r="L2049" s="5">
        <v>0</v>
      </c>
      <c r="M2049" s="5">
        <v>0.0</v>
      </c>
      <c r="N2049" s="5">
        <v>0.0</v>
      </c>
      <c r="O2049" s="5">
        <v>0.0</v>
      </c>
      <c r="P2049" s="5">
        <v>0.0</v>
      </c>
      <c r="Q2049" s="5">
        <v>0.0</v>
      </c>
    </row>
    <row r="2050" outlineLevel="1">
      <c r="B2050" s="0" t="inlineStr">
        <is>
          <t xml:space="preserve">VISHAY INTERTECHNOLOGY, INC.</t>
        </is>
      </c>
      <c r="C2050" s="0" t="inlineStr">
        <is>
          <t xml:space="preserve">J6ESLEW6KXS5</t>
        </is>
      </c>
      <c r="D2050" s="0" t="inlineStr">
        <is>
          <t xml:space="preserve">-</t>
        </is>
      </c>
      <c r="E2050" s="0" t="inlineStr">
        <is>
          <t xml:space="preserve">-</t>
        </is>
      </c>
      <c r="F2050" s="0" t="inlineStr">
        <is>
          <t xml:space="preserve">-</t>
        </is>
      </c>
      <c r="G2050" s="5">
        <v>0.032387400000000004</v>
      </c>
      <c r="H2050" s="0" t="inlineStr">
        <is>
          <t xml:space="preserve">supplier</t>
        </is>
      </c>
      <c r="I2050" s="0" t="inlineStr">
        <is>
          <t xml:space="preserve">unbucketed</t>
        </is>
      </c>
      <c r="J2050" s="0" t="inlineStr">
        <is>
          <t xml:space="preserve">residual</t>
        </is>
      </c>
      <c r="K2050" s="5">
        <v>0</v>
      </c>
      <c r="L2050" s="5">
        <v>0</v>
      </c>
      <c r="M2050" s="5">
        <v>0.0</v>
      </c>
      <c r="N2050" s="5">
        <v>0.0</v>
      </c>
      <c r="O2050" s="5">
        <v>0.0</v>
      </c>
      <c r="P2050" s="5">
        <v>0.0</v>
      </c>
      <c r="Q2050" s="5">
        <v>0.0</v>
      </c>
    </row>
    <row r="2051" outlineLevel="1">
      <c r="B2051" s="0" t="inlineStr">
        <is>
          <t xml:space="preserve">P4 MANUFACTURING</t>
        </is>
      </c>
      <c r="C2051" s="0" t="inlineStr">
        <is>
          <t xml:space="preserve">J5RDY6NHTGP4</t>
        </is>
      </c>
      <c r="D2051" s="0" t="inlineStr">
        <is>
          <t xml:space="preserve">-</t>
        </is>
      </c>
      <c r="E2051" s="0" t="inlineStr">
        <is>
          <t xml:space="preserve">-</t>
        </is>
      </c>
      <c r="F2051" s="0" t="inlineStr">
        <is>
          <t xml:space="preserve">-</t>
        </is>
      </c>
      <c r="G2051" s="5">
        <v>0.032316</v>
      </c>
      <c r="H2051" s="0" t="inlineStr">
        <is>
          <t xml:space="preserve">supplier</t>
        </is>
      </c>
      <c r="I2051" s="0" t="inlineStr">
        <is>
          <t xml:space="preserve">unbucketed</t>
        </is>
      </c>
      <c r="J2051" s="0" t="inlineStr">
        <is>
          <t xml:space="preserve">residual</t>
        </is>
      </c>
      <c r="K2051" s="5">
        <v>0</v>
      </c>
      <c r="L2051" s="5">
        <v>0</v>
      </c>
      <c r="M2051" s="5">
        <v>0.0</v>
      </c>
      <c r="N2051" s="5">
        <v>0.0</v>
      </c>
      <c r="O2051" s="5">
        <v>0.0</v>
      </c>
      <c r="P2051" s="5">
        <v>0.0</v>
      </c>
      <c r="Q2051" s="5">
        <v>0.0</v>
      </c>
    </row>
    <row r="2052" outlineLevel="1">
      <c r="B2052" s="0" t="inlineStr">
        <is>
          <t xml:space="preserve">RBC BEARINGS INCORPORATED</t>
        </is>
      </c>
      <c r="C2052" s="0" t="inlineStr">
        <is>
          <t xml:space="preserve">GER7W2TJWKL3</t>
        </is>
      </c>
      <c r="D2052" s="0" t="inlineStr">
        <is>
          <t xml:space="preserve">-</t>
        </is>
      </c>
      <c r="E2052" s="0" t="inlineStr">
        <is>
          <t xml:space="preserve">-</t>
        </is>
      </c>
      <c r="F2052" s="0" t="inlineStr">
        <is>
          <t xml:space="preserve">-</t>
        </is>
      </c>
      <c r="G2052" s="5">
        <v>0.0323122</v>
      </c>
      <c r="H2052" s="0" t="inlineStr">
        <is>
          <t xml:space="preserve">supplier</t>
        </is>
      </c>
      <c r="I2052" s="0" t="inlineStr">
        <is>
          <t xml:space="preserve">unbucketed</t>
        </is>
      </c>
      <c r="J2052" s="0" t="inlineStr">
        <is>
          <t xml:space="preserve">residual</t>
        </is>
      </c>
      <c r="K2052" s="5">
        <v>0</v>
      </c>
      <c r="L2052" s="5">
        <v>0</v>
      </c>
      <c r="M2052" s="5">
        <v>0.0</v>
      </c>
      <c r="N2052" s="5">
        <v>0.0</v>
      </c>
      <c r="O2052" s="5">
        <v>0.0</v>
      </c>
      <c r="P2052" s="5">
        <v>0.0</v>
      </c>
      <c r="Q2052" s="5">
        <v>0.0</v>
      </c>
    </row>
    <row r="2053" outlineLevel="1">
      <c r="B2053" s="0" t="inlineStr">
        <is>
          <t xml:space="preserve">MEGGITT SAFETY SYSTEMS, INC.</t>
        </is>
      </c>
      <c r="C2053" s="0" t="inlineStr">
        <is>
          <t xml:space="preserve">QYKAR7MJJXL7</t>
        </is>
      </c>
      <c r="D2053" s="0" t="inlineStr">
        <is>
          <t xml:space="preserve">-</t>
        </is>
      </c>
      <c r="E2053" s="0" t="inlineStr">
        <is>
          <t xml:space="preserve">-</t>
        </is>
      </c>
      <c r="F2053" s="0" t="inlineStr">
        <is>
          <t xml:space="preserve">-</t>
        </is>
      </c>
      <c r="G2053" s="5">
        <v>0.0322642</v>
      </c>
      <c r="H2053" s="0" t="inlineStr">
        <is>
          <t xml:space="preserve">supplier</t>
        </is>
      </c>
      <c r="I2053" s="0" t="inlineStr">
        <is>
          <t xml:space="preserve">unbucketed</t>
        </is>
      </c>
      <c r="J2053" s="0" t="inlineStr">
        <is>
          <t xml:space="preserve">residual</t>
        </is>
      </c>
      <c r="K2053" s="5">
        <v>0</v>
      </c>
      <c r="L2053" s="5">
        <v>0</v>
      </c>
      <c r="M2053" s="5">
        <v>0.0322642</v>
      </c>
      <c r="N2053" s="5">
        <v>0.0322642</v>
      </c>
      <c r="O2053" s="5">
        <v>0.0</v>
      </c>
      <c r="P2053" s="5">
        <v>0.0</v>
      </c>
      <c r="Q2053" s="5">
        <v>0.0</v>
      </c>
    </row>
    <row r="2054" outlineLevel="1">
      <c r="B2054" s="0" t="inlineStr">
        <is>
          <t xml:space="preserve">GAGING.COM, LLC</t>
        </is>
      </c>
      <c r="C2054" s="0" t="inlineStr">
        <is>
          <t xml:space="preserve">SM6HAZVELE13</t>
        </is>
      </c>
      <c r="D2054" s="0" t="inlineStr">
        <is>
          <t xml:space="preserve">-</t>
        </is>
      </c>
      <c r="E2054" s="0" t="inlineStr">
        <is>
          <t xml:space="preserve">-</t>
        </is>
      </c>
      <c r="F2054" s="0" t="inlineStr">
        <is>
          <t xml:space="preserve">-</t>
        </is>
      </c>
      <c r="G2054" s="5">
        <v>0.032236</v>
      </c>
      <c r="H2054" s="0" t="inlineStr">
        <is>
          <t xml:space="preserve">supplier</t>
        </is>
      </c>
      <c r="I2054" s="0" t="inlineStr">
        <is>
          <t xml:space="preserve">unbucketed</t>
        </is>
      </c>
      <c r="J2054" s="0" t="inlineStr">
        <is>
          <t xml:space="preserve">residual</t>
        </is>
      </c>
      <c r="K2054" s="5">
        <v>0</v>
      </c>
      <c r="L2054" s="5">
        <v>0</v>
      </c>
      <c r="M2054" s="5">
        <v>0.0</v>
      </c>
      <c r="N2054" s="5">
        <v>0.0</v>
      </c>
      <c r="O2054" s="5">
        <v>0.0</v>
      </c>
      <c r="P2054" s="5">
        <v>0.0</v>
      </c>
      <c r="Q2054" s="5">
        <v>0.0</v>
      </c>
    </row>
    <row r="2055" outlineLevel="1">
      <c r="B2055" s="0" t="inlineStr">
        <is>
          <t xml:space="preserve">CELLTRON, INC.</t>
        </is>
      </c>
      <c r="C2055" s="0" t="inlineStr">
        <is>
          <t xml:space="preserve">G8LMKLVVNSS4</t>
        </is>
      </c>
      <c r="D2055" s="0" t="inlineStr">
        <is>
          <t xml:space="preserve">-</t>
        </is>
      </c>
      <c r="E2055" s="0" t="inlineStr">
        <is>
          <t xml:space="preserve">-</t>
        </is>
      </c>
      <c r="F2055" s="0" t="inlineStr">
        <is>
          <t xml:space="preserve">-</t>
        </is>
      </c>
      <c r="G2055" s="5">
        <v>0.032225</v>
      </c>
      <c r="H2055" s="0" t="inlineStr">
        <is>
          <t xml:space="preserve">supplier</t>
        </is>
      </c>
      <c r="I2055" s="0" t="inlineStr">
        <is>
          <t xml:space="preserve">unbucketed</t>
        </is>
      </c>
      <c r="J2055" s="0" t="inlineStr">
        <is>
          <t xml:space="preserve">residual</t>
        </is>
      </c>
      <c r="K2055" s="5">
        <v>0</v>
      </c>
      <c r="L2055" s="5">
        <v>0</v>
      </c>
      <c r="M2055" s="5">
        <v>0.0</v>
      </c>
      <c r="N2055" s="5">
        <v>0.0</v>
      </c>
      <c r="O2055" s="5">
        <v>0.0</v>
      </c>
      <c r="P2055" s="5">
        <v>0.0</v>
      </c>
      <c r="Q2055" s="5">
        <v>0.0</v>
      </c>
    </row>
    <row r="2056" outlineLevel="1">
      <c r="B2056" s="0" t="inlineStr">
        <is>
          <t xml:space="preserve">CLEAN TOP CO., LTD.</t>
        </is>
      </c>
      <c r="C2056" s="0" t="inlineStr">
        <is>
          <t xml:space="preserve">XKM7WDHK1DA7</t>
        </is>
      </c>
      <c r="D2056" s="0" t="inlineStr">
        <is>
          <t xml:space="preserve">-</t>
        </is>
      </c>
      <c r="E2056" s="0" t="inlineStr">
        <is>
          <t xml:space="preserve">-</t>
        </is>
      </c>
      <c r="F2056" s="0" t="inlineStr">
        <is>
          <t xml:space="preserve">-</t>
        </is>
      </c>
      <c r="G2056" s="5">
        <v>0.0322051</v>
      </c>
      <c r="H2056" s="0" t="inlineStr">
        <is>
          <t xml:space="preserve">supplier</t>
        </is>
      </c>
      <c r="I2056" s="0" t="inlineStr">
        <is>
          <t xml:space="preserve">unbucketed</t>
        </is>
      </c>
      <c r="J2056" s="0" t="inlineStr">
        <is>
          <t xml:space="preserve">residual</t>
        </is>
      </c>
      <c r="K2056" s="5">
        <v>0</v>
      </c>
      <c r="L2056" s="5">
        <v>0</v>
      </c>
      <c r="M2056" s="5">
        <v>0.0322051</v>
      </c>
      <c r="N2056" s="5">
        <v>0.0</v>
      </c>
      <c r="O2056" s="5">
        <v>0.0</v>
      </c>
      <c r="P2056" s="5">
        <v>0.0</v>
      </c>
      <c r="Q2056" s="5">
        <v>0.0</v>
      </c>
    </row>
    <row r="2057" outlineLevel="1">
      <c r="B2057" s="0" t="inlineStr">
        <is>
          <t xml:space="preserve">L3HARRIS MARITIME SERVICES INC</t>
        </is>
      </c>
      <c r="C2057" s="0" t="inlineStr">
        <is>
          <t xml:space="preserve">QV38GMJUBJQ3</t>
        </is>
      </c>
      <c r="D2057" s="0" t="inlineStr">
        <is>
          <t xml:space="preserve">-</t>
        </is>
      </c>
      <c r="E2057" s="0" t="inlineStr">
        <is>
          <t xml:space="preserve">-</t>
        </is>
      </c>
      <c r="F2057" s="0" t="inlineStr">
        <is>
          <t xml:space="preserve">-</t>
        </is>
      </c>
      <c r="G2057" s="5">
        <v>0.03216064</v>
      </c>
      <c r="H2057" s="0" t="inlineStr">
        <is>
          <t xml:space="preserve">supplier</t>
        </is>
      </c>
      <c r="I2057" s="0" t="inlineStr">
        <is>
          <t xml:space="preserve">unbucketed</t>
        </is>
      </c>
      <c r="J2057" s="0" t="inlineStr">
        <is>
          <t xml:space="preserve">residual</t>
        </is>
      </c>
      <c r="K2057" s="5">
        <v>0</v>
      </c>
      <c r="L2057" s="5">
        <v>0</v>
      </c>
      <c r="M2057" s="5">
        <v>0.0</v>
      </c>
      <c r="N2057" s="5">
        <v>0.0</v>
      </c>
      <c r="O2057" s="5">
        <v>0.0</v>
      </c>
      <c r="P2057" s="5">
        <v>0.0</v>
      </c>
      <c r="Q2057" s="5">
        <v>0.0</v>
      </c>
    </row>
    <row r="2058" outlineLevel="1">
      <c r="B2058" s="0" t="inlineStr">
        <is>
          <t xml:space="preserve">C.P.I. INTERNATIONAL, INC.</t>
        </is>
      </c>
      <c r="C2058" s="0" t="inlineStr">
        <is>
          <t xml:space="preserve">QQ7DAUGJ6MC7</t>
        </is>
      </c>
      <c r="D2058" s="0" t="inlineStr">
        <is>
          <t xml:space="preserve">-</t>
        </is>
      </c>
      <c r="E2058" s="0" t="inlineStr">
        <is>
          <t xml:space="preserve">-</t>
        </is>
      </c>
      <c r="F2058" s="0" t="inlineStr">
        <is>
          <t xml:space="preserve">-</t>
        </is>
      </c>
      <c r="G2058" s="5">
        <v>0.032143</v>
      </c>
      <c r="H2058" s="0" t="inlineStr">
        <is>
          <t xml:space="preserve">supplier</t>
        </is>
      </c>
      <c r="I2058" s="0" t="inlineStr">
        <is>
          <t xml:space="preserve">unbucketed</t>
        </is>
      </c>
      <c r="J2058" s="0" t="inlineStr">
        <is>
          <t xml:space="preserve">residual</t>
        </is>
      </c>
      <c r="K2058" s="5">
        <v>0</v>
      </c>
      <c r="L2058" s="5">
        <v>0</v>
      </c>
      <c r="M2058" s="5">
        <v>0.032143</v>
      </c>
      <c r="N2058" s="5">
        <v>0.032143</v>
      </c>
      <c r="O2058" s="5">
        <v>0.0</v>
      </c>
      <c r="P2058" s="5">
        <v>0.0</v>
      </c>
      <c r="Q2058" s="5">
        <v>0.0</v>
      </c>
    </row>
    <row r="2059" outlineLevel="1">
      <c r="B2059" s="0" t="inlineStr">
        <is>
          <t xml:space="preserve">CONTROL CABLE, INC.</t>
        </is>
      </c>
      <c r="C2059" s="0" t="inlineStr">
        <is>
          <t xml:space="preserve">JDUYBLVZL8Q3</t>
        </is>
      </c>
      <c r="D2059" s="0" t="inlineStr">
        <is>
          <t xml:space="preserve">-</t>
        </is>
      </c>
      <c r="E2059" s="0" t="inlineStr">
        <is>
          <t xml:space="preserve">-</t>
        </is>
      </c>
      <c r="F2059" s="0" t="inlineStr">
        <is>
          <t xml:space="preserve">-</t>
        </is>
      </c>
      <c r="G2059" s="5">
        <v>0.0320592</v>
      </c>
      <c r="H2059" s="0" t="inlineStr">
        <is>
          <t xml:space="preserve">supplier</t>
        </is>
      </c>
      <c r="I2059" s="0" t="inlineStr">
        <is>
          <t xml:space="preserve">unbucketed</t>
        </is>
      </c>
      <c r="J2059" s="0" t="inlineStr">
        <is>
          <t xml:space="preserve">residual</t>
        </is>
      </c>
      <c r="K2059" s="5">
        <v>0</v>
      </c>
      <c r="L2059" s="5">
        <v>0</v>
      </c>
      <c r="M2059" s="5">
        <v>0.0</v>
      </c>
      <c r="N2059" s="5">
        <v>0.0</v>
      </c>
      <c r="O2059" s="5">
        <v>0.0</v>
      </c>
      <c r="P2059" s="5">
        <v>0.0</v>
      </c>
      <c r="Q2059" s="5">
        <v>0.0</v>
      </c>
    </row>
    <row r="2060" outlineLevel="1">
      <c r="B2060" s="0" t="inlineStr">
        <is>
          <t xml:space="preserve">LABORDE PRODUCTS, INC.</t>
        </is>
      </c>
      <c r="C2060" s="0" t="inlineStr">
        <is>
          <t xml:space="preserve">DZTKCR7BXVJ5</t>
        </is>
      </c>
      <c r="D2060" s="0" t="inlineStr">
        <is>
          <t xml:space="preserve">-</t>
        </is>
      </c>
      <c r="E2060" s="0" t="inlineStr">
        <is>
          <t xml:space="preserve">-</t>
        </is>
      </c>
      <c r="F2060" s="0" t="inlineStr">
        <is>
          <t xml:space="preserve">-</t>
        </is>
      </c>
      <c r="G2060" s="5">
        <v>0.03194594</v>
      </c>
      <c r="H2060" s="0" t="inlineStr">
        <is>
          <t xml:space="preserve">supplier</t>
        </is>
      </c>
      <c r="I2060" s="0" t="inlineStr">
        <is>
          <t xml:space="preserve">unbucketed</t>
        </is>
      </c>
      <c r="J2060" s="0" t="inlineStr">
        <is>
          <t xml:space="preserve">residual</t>
        </is>
      </c>
      <c r="K2060" s="5">
        <v>0</v>
      </c>
      <c r="L2060" s="5">
        <v>0</v>
      </c>
      <c r="M2060" s="5">
        <v>0.03194594</v>
      </c>
      <c r="N2060" s="5">
        <v>0.03194594</v>
      </c>
      <c r="O2060" s="5">
        <v>0.0</v>
      </c>
      <c r="P2060" s="5">
        <v>0.0</v>
      </c>
      <c r="Q2060" s="5">
        <v>0.0</v>
      </c>
    </row>
    <row r="2061" outlineLevel="1">
      <c r="B2061" s="0" t="inlineStr">
        <is>
          <t xml:space="preserve">ENDICOTT PRECISION INC</t>
        </is>
      </c>
      <c r="C2061" s="0" t="inlineStr">
        <is>
          <t xml:space="preserve">KAZ4JKA23UT5</t>
        </is>
      </c>
      <c r="D2061" s="0" t="inlineStr">
        <is>
          <t xml:space="preserve">-</t>
        </is>
      </c>
      <c r="E2061" s="0" t="inlineStr">
        <is>
          <t xml:space="preserve">-</t>
        </is>
      </c>
      <c r="F2061" s="0" t="inlineStr">
        <is>
          <t xml:space="preserve">-</t>
        </is>
      </c>
      <c r="G2061" s="5">
        <v>0.031768</v>
      </c>
      <c r="H2061" s="0" t="inlineStr">
        <is>
          <t xml:space="preserve">supplier</t>
        </is>
      </c>
      <c r="I2061" s="0" t="inlineStr">
        <is>
          <t xml:space="preserve">unbucketed</t>
        </is>
      </c>
      <c r="J2061" s="0" t="inlineStr">
        <is>
          <t xml:space="preserve">residual</t>
        </is>
      </c>
      <c r="K2061" s="5">
        <v>0</v>
      </c>
      <c r="L2061" s="5">
        <v>0</v>
      </c>
      <c r="M2061" s="5">
        <v>0.0</v>
      </c>
      <c r="N2061" s="5">
        <v>0.0</v>
      </c>
      <c r="O2061" s="5">
        <v>0.0</v>
      </c>
      <c r="P2061" s="5">
        <v>0.0</v>
      </c>
      <c r="Q2061" s="5">
        <v>0.0</v>
      </c>
    </row>
    <row r="2062" outlineLevel="1">
      <c r="B2062" s="0" t="inlineStr">
        <is>
          <t xml:space="preserve">BRIARTEK, INC.</t>
        </is>
      </c>
      <c r="C2062" s="0" t="inlineStr">
        <is>
          <t xml:space="preserve">EKBRGQ6L48L8</t>
        </is>
      </c>
      <c r="D2062" s="0" t="inlineStr">
        <is>
          <t xml:space="preserve">-</t>
        </is>
      </c>
      <c r="E2062" s="0" t="inlineStr">
        <is>
          <t xml:space="preserve">-</t>
        </is>
      </c>
      <c r="F2062" s="0" t="inlineStr">
        <is>
          <t xml:space="preserve">-</t>
        </is>
      </c>
      <c r="G2062" s="5">
        <v>0.031681</v>
      </c>
      <c r="H2062" s="0" t="inlineStr">
        <is>
          <t xml:space="preserve">supplier</t>
        </is>
      </c>
      <c r="I2062" s="0" t="inlineStr">
        <is>
          <t xml:space="preserve">unbucketed</t>
        </is>
      </c>
      <c r="J2062" s="0" t="inlineStr">
        <is>
          <t xml:space="preserve">residual</t>
        </is>
      </c>
      <c r="K2062" s="5">
        <v>0</v>
      </c>
      <c r="L2062" s="5">
        <v>0</v>
      </c>
      <c r="M2062" s="5">
        <v>0.031681</v>
      </c>
      <c r="N2062" s="5">
        <v>0.0</v>
      </c>
      <c r="O2062" s="5">
        <v>0.0</v>
      </c>
      <c r="P2062" s="5">
        <v>0.0</v>
      </c>
      <c r="Q2062" s="5">
        <v>0.0</v>
      </c>
    </row>
    <row r="2063" outlineLevel="1">
      <c r="B2063" s="0" t="inlineStr">
        <is>
          <t xml:space="preserve">PROGRESSIVE FASTENING INC</t>
        </is>
      </c>
      <c r="C2063" s="0" t="inlineStr">
        <is>
          <t xml:space="preserve">CX9YVQN926V5</t>
        </is>
      </c>
      <c r="D2063" s="0" t="inlineStr">
        <is>
          <t xml:space="preserve">-</t>
        </is>
      </c>
      <c r="E2063" s="0" t="inlineStr">
        <is>
          <t xml:space="preserve">-</t>
        </is>
      </c>
      <c r="F2063" s="0" t="inlineStr">
        <is>
          <t xml:space="preserve">-</t>
        </is>
      </c>
      <c r="G2063" s="5">
        <v>0.031564</v>
      </c>
      <c r="H2063" s="0" t="inlineStr">
        <is>
          <t xml:space="preserve">supplier</t>
        </is>
      </c>
      <c r="I2063" s="0" t="inlineStr">
        <is>
          <t xml:space="preserve">unbucketed</t>
        </is>
      </c>
      <c r="J2063" s="0" t="inlineStr">
        <is>
          <t xml:space="preserve">residual</t>
        </is>
      </c>
      <c r="K2063" s="5">
        <v>0</v>
      </c>
      <c r="L2063" s="5">
        <v>0</v>
      </c>
      <c r="M2063" s="5">
        <v>0.0</v>
      </c>
      <c r="N2063" s="5">
        <v>0.0</v>
      </c>
      <c r="O2063" s="5">
        <v>0.0</v>
      </c>
      <c r="P2063" s="5">
        <v>0.0</v>
      </c>
      <c r="Q2063" s="5">
        <v>0.0</v>
      </c>
    </row>
    <row r="2064" outlineLevel="1">
      <c r="B2064" s="0" t="inlineStr">
        <is>
          <t xml:space="preserve">BUNN INDUSTRIES INC</t>
        </is>
      </c>
      <c r="C2064" s="0" t="inlineStr">
        <is>
          <t xml:space="preserve">FKLTNTDC8NH5</t>
        </is>
      </c>
      <c r="D2064" s="0" t="inlineStr">
        <is>
          <t xml:space="preserve">-</t>
        </is>
      </c>
      <c r="E2064" s="0" t="inlineStr">
        <is>
          <t xml:space="preserve">-</t>
        </is>
      </c>
      <c r="F2064" s="0" t="inlineStr">
        <is>
          <t xml:space="preserve">-</t>
        </is>
      </c>
      <c r="G2064" s="5">
        <v>0.03135</v>
      </c>
      <c r="H2064" s="0" t="inlineStr">
        <is>
          <t xml:space="preserve">supplier</t>
        </is>
      </c>
      <c r="I2064" s="0" t="inlineStr">
        <is>
          <t xml:space="preserve">unbucketed</t>
        </is>
      </c>
      <c r="J2064" s="0" t="inlineStr">
        <is>
          <t xml:space="preserve">residual</t>
        </is>
      </c>
      <c r="K2064" s="5">
        <v>0</v>
      </c>
      <c r="L2064" s="5">
        <v>0</v>
      </c>
      <c r="M2064" s="5">
        <v>0.0</v>
      </c>
      <c r="N2064" s="5">
        <v>0.0</v>
      </c>
      <c r="O2064" s="5">
        <v>0.0</v>
      </c>
      <c r="P2064" s="5">
        <v>0.0</v>
      </c>
      <c r="Q2064" s="5">
        <v>0.0</v>
      </c>
    </row>
    <row r="2065" outlineLevel="1">
      <c r="B2065" s="0" t="inlineStr">
        <is>
          <t xml:space="preserve">AVNET, INC.</t>
        </is>
      </c>
      <c r="C2065" s="0" t="inlineStr">
        <is>
          <t xml:space="preserve">LHZRME5MGXR4</t>
        </is>
      </c>
      <c r="D2065" s="0" t="inlineStr">
        <is>
          <t xml:space="preserve">-</t>
        </is>
      </c>
      <c r="E2065" s="0" t="inlineStr">
        <is>
          <t xml:space="preserve">-</t>
        </is>
      </c>
      <c r="F2065" s="0" t="inlineStr">
        <is>
          <t xml:space="preserve">-</t>
        </is>
      </c>
      <c r="G2065" s="5">
        <v>0.03132467</v>
      </c>
      <c r="H2065" s="0" t="inlineStr">
        <is>
          <t xml:space="preserve">supplier</t>
        </is>
      </c>
      <c r="I2065" s="0" t="inlineStr">
        <is>
          <t xml:space="preserve">unbucketed</t>
        </is>
      </c>
      <c r="J2065" s="0" t="inlineStr">
        <is>
          <t xml:space="preserve">residual</t>
        </is>
      </c>
      <c r="K2065" s="5">
        <v>0</v>
      </c>
      <c r="L2065" s="5">
        <v>0</v>
      </c>
      <c r="M2065" s="5">
        <v>0.0</v>
      </c>
      <c r="N2065" s="5">
        <v>0.0</v>
      </c>
      <c r="O2065" s="5">
        <v>0.0</v>
      </c>
      <c r="P2065" s="5">
        <v>0.0</v>
      </c>
      <c r="Q2065" s="5">
        <v>0.0</v>
      </c>
    </row>
    <row r="2066" outlineLevel="1">
      <c r="B2066" s="0" t="inlineStr">
        <is>
          <t xml:space="preserve">BOEING DISTRIBUTION SERVICES X, INC.</t>
        </is>
      </c>
      <c r="C2066" s="0" t="inlineStr">
        <is>
          <t xml:space="preserve">X3K6MA9ZLTW6</t>
        </is>
      </c>
      <c r="D2066" s="0" t="inlineStr">
        <is>
          <t xml:space="preserve">-</t>
        </is>
      </c>
      <c r="E2066" s="0" t="inlineStr">
        <is>
          <t xml:space="preserve">-</t>
        </is>
      </c>
      <c r="F2066" s="0" t="inlineStr">
        <is>
          <t xml:space="preserve">-</t>
        </is>
      </c>
      <c r="G2066" s="5">
        <v>0.03128478</v>
      </c>
      <c r="H2066" s="0" t="inlineStr">
        <is>
          <t xml:space="preserve">supplier</t>
        </is>
      </c>
      <c r="I2066" s="0" t="inlineStr">
        <is>
          <t xml:space="preserve">unbucketed</t>
        </is>
      </c>
      <c r="J2066" s="0" t="inlineStr">
        <is>
          <t xml:space="preserve">residual</t>
        </is>
      </c>
      <c r="K2066" s="5">
        <v>0</v>
      </c>
      <c r="L2066" s="5">
        <v>0</v>
      </c>
      <c r="M2066" s="5">
        <v>0.0</v>
      </c>
      <c r="N2066" s="5">
        <v>0.0</v>
      </c>
      <c r="O2066" s="5">
        <v>0.0</v>
      </c>
      <c r="P2066" s="5">
        <v>0.0</v>
      </c>
      <c r="Q2066" s="5">
        <v>0.0</v>
      </c>
    </row>
    <row r="2067" outlineLevel="1">
      <c r="B2067" s="0" t="inlineStr">
        <is>
          <t xml:space="preserve">CURTISS-WRIGHT FLOW CONTROL SERVICE, LLC</t>
        </is>
      </c>
      <c r="C2067" s="0" t="inlineStr">
        <is>
          <t xml:space="preserve">N6U1EU32U9J1</t>
        </is>
      </c>
      <c r="D2067" s="0" t="inlineStr">
        <is>
          <t xml:space="preserve">-</t>
        </is>
      </c>
      <c r="E2067" s="0" t="inlineStr">
        <is>
          <t xml:space="preserve">-</t>
        </is>
      </c>
      <c r="F2067" s="0" t="inlineStr">
        <is>
          <t xml:space="preserve">-</t>
        </is>
      </c>
      <c r="G2067" s="5">
        <v>0.031243</v>
      </c>
      <c r="H2067" s="0" t="inlineStr">
        <is>
          <t xml:space="preserve">supplier</t>
        </is>
      </c>
      <c r="I2067" s="0" t="inlineStr">
        <is>
          <t xml:space="preserve">piping</t>
        </is>
      </c>
      <c r="J2067" s="0" t="inlineStr">
        <is>
          <t xml:space="preserve">vendor-override</t>
        </is>
      </c>
      <c r="K2067" s="5">
        <v>0</v>
      </c>
      <c r="L2067" s="5">
        <v>0</v>
      </c>
      <c r="M2067" s="5">
        <v>0.031243</v>
      </c>
      <c r="N2067" s="5">
        <v>0.0</v>
      </c>
      <c r="O2067" s="5">
        <v>0.0</v>
      </c>
      <c r="P2067" s="5">
        <v>0.0</v>
      </c>
      <c r="Q2067" s="5">
        <v>0.031243</v>
      </c>
    </row>
    <row r="2068" outlineLevel="1">
      <c r="B2068" s="0" t="inlineStr">
        <is>
          <t xml:space="preserve">INDUSTRIAL GROUP HOLDINGS, LLC</t>
        </is>
      </c>
      <c r="C2068" s="0" t="inlineStr">
        <is>
          <t xml:space="preserve">QNV1MYJFLAG1</t>
        </is>
      </c>
      <c r="D2068" s="0" t="inlineStr">
        <is>
          <t xml:space="preserve">-</t>
        </is>
      </c>
      <c r="E2068" s="0" t="inlineStr">
        <is>
          <t xml:space="preserve">-</t>
        </is>
      </c>
      <c r="F2068" s="0" t="inlineStr">
        <is>
          <t xml:space="preserve">-</t>
        </is>
      </c>
      <c r="G2068" s="5">
        <v>0.0312288</v>
      </c>
      <c r="H2068" s="0" t="inlineStr">
        <is>
          <t xml:space="preserve">supplier</t>
        </is>
      </c>
      <c r="I2068" s="0" t="inlineStr">
        <is>
          <t xml:space="preserve">unbucketed</t>
        </is>
      </c>
      <c r="J2068" s="0" t="inlineStr">
        <is>
          <t xml:space="preserve">residual</t>
        </is>
      </c>
      <c r="K2068" s="5">
        <v>0</v>
      </c>
      <c r="L2068" s="5">
        <v>0</v>
      </c>
      <c r="M2068" s="5">
        <v>0.0</v>
      </c>
      <c r="N2068" s="5">
        <v>0.0</v>
      </c>
      <c r="O2068" s="5">
        <v>0.0</v>
      </c>
      <c r="P2068" s="5">
        <v>0.0</v>
      </c>
      <c r="Q2068" s="5">
        <v>0.0</v>
      </c>
    </row>
    <row r="2069" outlineLevel="1">
      <c r="B2069" s="0" t="inlineStr">
        <is>
          <t xml:space="preserve">BLILEY TECHNOLOGIES INCORPORATED</t>
        </is>
      </c>
      <c r="C2069" s="0" t="inlineStr">
        <is>
          <t xml:space="preserve">ZGN6ADMRSXN5</t>
        </is>
      </c>
      <c r="D2069" s="0" t="inlineStr">
        <is>
          <t xml:space="preserve">-</t>
        </is>
      </c>
      <c r="E2069" s="0" t="inlineStr">
        <is>
          <t xml:space="preserve">-</t>
        </is>
      </c>
      <c r="F2069" s="0" t="inlineStr">
        <is>
          <t xml:space="preserve">-</t>
        </is>
      </c>
      <c r="G2069" s="5">
        <v>0.0312264</v>
      </c>
      <c r="H2069" s="0" t="inlineStr">
        <is>
          <t xml:space="preserve">supplier</t>
        </is>
      </c>
      <c r="I2069" s="0" t="inlineStr">
        <is>
          <t xml:space="preserve">unbucketed</t>
        </is>
      </c>
      <c r="J2069" s="0" t="inlineStr">
        <is>
          <t xml:space="preserve">residual</t>
        </is>
      </c>
      <c r="K2069" s="5">
        <v>0</v>
      </c>
      <c r="L2069" s="5">
        <v>0</v>
      </c>
      <c r="M2069" s="5">
        <v>0.0</v>
      </c>
      <c r="N2069" s="5">
        <v>0.0</v>
      </c>
      <c r="O2069" s="5">
        <v>0.0</v>
      </c>
      <c r="P2069" s="5">
        <v>0.0</v>
      </c>
      <c r="Q2069" s="5">
        <v>0.0</v>
      </c>
    </row>
    <row r="2070" outlineLevel="1">
      <c r="B2070" s="0" t="inlineStr">
        <is>
          <t xml:space="preserve">BAT CONSERVATION AND MANAGEMENT, INC.</t>
        </is>
      </c>
      <c r="C2070" s="0" t="inlineStr">
        <is>
          <t xml:space="preserve">K8KAE356N7N5</t>
        </is>
      </c>
      <c r="D2070" s="0" t="inlineStr">
        <is>
          <t xml:space="preserve">-</t>
        </is>
      </c>
      <c r="E2070" s="0" t="inlineStr">
        <is>
          <t xml:space="preserve">-</t>
        </is>
      </c>
      <c r="F2070" s="0" t="inlineStr">
        <is>
          <t xml:space="preserve">-</t>
        </is>
      </c>
      <c r="G2070" s="5">
        <v>0.031213</v>
      </c>
      <c r="H2070" s="0" t="inlineStr">
        <is>
          <t xml:space="preserve">supplier</t>
        </is>
      </c>
      <c r="I2070" s="0" t="inlineStr">
        <is>
          <t xml:space="preserve">unbucketed</t>
        </is>
      </c>
      <c r="J2070" s="0" t="inlineStr">
        <is>
          <t xml:space="preserve">residual</t>
        </is>
      </c>
      <c r="K2070" s="5">
        <v>0</v>
      </c>
      <c r="L2070" s="5">
        <v>0</v>
      </c>
      <c r="M2070" s="5">
        <v>0.031213</v>
      </c>
      <c r="N2070" s="5">
        <v>0.031213</v>
      </c>
      <c r="O2070" s="5">
        <v>0.0</v>
      </c>
      <c r="P2070" s="5">
        <v>0.0</v>
      </c>
      <c r="Q2070" s="5">
        <v>0.0</v>
      </c>
    </row>
    <row r="2071" outlineLevel="1">
      <c r="B2071" s="0" t="inlineStr">
        <is>
          <t xml:space="preserve">LANDSCAPE MANAGEMENT CONSULTANTS</t>
        </is>
      </c>
      <c r="C2071" s="0" t="inlineStr">
        <is>
          <t xml:space="preserve">N1SELKJY2JK6</t>
        </is>
      </c>
      <c r="D2071" s="0" t="inlineStr">
        <is>
          <t xml:space="preserve">-</t>
        </is>
      </c>
      <c r="E2071" s="0" t="inlineStr">
        <is>
          <t xml:space="preserve">-</t>
        </is>
      </c>
      <c r="F2071" s="0" t="inlineStr">
        <is>
          <t xml:space="preserve">-</t>
        </is>
      </c>
      <c r="G2071" s="5">
        <v>0.0312</v>
      </c>
      <c r="H2071" s="0" t="inlineStr">
        <is>
          <t xml:space="preserve">supplier</t>
        </is>
      </c>
      <c r="I2071" s="0" t="inlineStr">
        <is>
          <t xml:space="preserve">unbucketed</t>
        </is>
      </c>
      <c r="J2071" s="0" t="inlineStr">
        <is>
          <t xml:space="preserve">residual</t>
        </is>
      </c>
      <c r="K2071" s="5">
        <v>0</v>
      </c>
      <c r="L2071" s="5">
        <v>0</v>
      </c>
      <c r="M2071" s="5">
        <v>0.0</v>
      </c>
      <c r="N2071" s="5">
        <v>0.0</v>
      </c>
      <c r="O2071" s="5">
        <v>0.0</v>
      </c>
      <c r="P2071" s="5">
        <v>0.0</v>
      </c>
      <c r="Q2071" s="5">
        <v>0.0</v>
      </c>
    </row>
    <row r="2072" outlineLevel="1">
      <c r="B2072" s="0" t="inlineStr">
        <is>
          <t xml:space="preserve">BE AEROSPACE, INC.</t>
        </is>
      </c>
      <c r="C2072" s="0" t="inlineStr">
        <is>
          <t xml:space="preserve">X3K6MA9ZLTW6</t>
        </is>
      </c>
      <c r="D2072" s="0" t="inlineStr">
        <is>
          <t xml:space="preserve">-</t>
        </is>
      </c>
      <c r="E2072" s="0" t="inlineStr">
        <is>
          <t xml:space="preserve">-</t>
        </is>
      </c>
      <c r="F2072" s="0" t="inlineStr">
        <is>
          <t xml:space="preserve">-</t>
        </is>
      </c>
      <c r="G2072" s="5">
        <v>0.031182</v>
      </c>
      <c r="H2072" s="0" t="inlineStr">
        <is>
          <t xml:space="preserve">supplier</t>
        </is>
      </c>
      <c r="I2072" s="0" t="inlineStr">
        <is>
          <t xml:space="preserve">unbucketed</t>
        </is>
      </c>
      <c r="J2072" s="0" t="inlineStr">
        <is>
          <t xml:space="preserve">residual</t>
        </is>
      </c>
      <c r="K2072" s="5">
        <v>0</v>
      </c>
      <c r="L2072" s="5">
        <v>0</v>
      </c>
      <c r="M2072" s="5">
        <v>0.0</v>
      </c>
      <c r="N2072" s="5">
        <v>0.0</v>
      </c>
      <c r="O2072" s="5">
        <v>0.0</v>
      </c>
      <c r="P2072" s="5">
        <v>0.0</v>
      </c>
      <c r="Q2072" s="5">
        <v>0.0</v>
      </c>
    </row>
    <row r="2073" outlineLevel="1">
      <c r="B2073" s="0" t="inlineStr">
        <is>
          <t xml:space="preserve">W. &amp; O. SUPPLY, INC.</t>
        </is>
      </c>
      <c r="C2073" s="0" t="inlineStr">
        <is>
          <t xml:space="preserve">HUYTR5ZGSSN6</t>
        </is>
      </c>
      <c r="D2073" s="0" t="inlineStr">
        <is>
          <t xml:space="preserve">-</t>
        </is>
      </c>
      <c r="E2073" s="0" t="inlineStr">
        <is>
          <t xml:space="preserve">-</t>
        </is>
      </c>
      <c r="F2073" s="0" t="inlineStr">
        <is>
          <t xml:space="preserve">-</t>
        </is>
      </c>
      <c r="G2073" s="5">
        <v>0.030964</v>
      </c>
      <c r="H2073" s="0" t="inlineStr">
        <is>
          <t xml:space="preserve">supplier</t>
        </is>
      </c>
      <c r="I2073" s="0" t="inlineStr">
        <is>
          <t xml:space="preserve">piping</t>
        </is>
      </c>
      <c r="J2073" s="0" t="inlineStr">
        <is>
          <t xml:space="preserve">registry</t>
        </is>
      </c>
      <c r="K2073" s="5">
        <v>0</v>
      </c>
      <c r="L2073" s="5">
        <v>0</v>
      </c>
      <c r="M2073" s="5">
        <v>0.0</v>
      </c>
      <c r="N2073" s="5">
        <v>0.0</v>
      </c>
      <c r="O2073" s="5">
        <v>0.0</v>
      </c>
      <c r="P2073" s="5">
        <v>0.0</v>
      </c>
      <c r="Q2073" s="5">
        <v>0.0</v>
      </c>
    </row>
    <row r="2074" outlineLevel="1">
      <c r="B2074" s="0" t="inlineStr">
        <is>
          <t xml:space="preserve">LIBERTY ELECTRONICS, INC.</t>
        </is>
      </c>
      <c r="C2074" s="0" t="inlineStr">
        <is>
          <t xml:space="preserve">L9MNHKGJ3KL7</t>
        </is>
      </c>
      <c r="D2074" s="0" t="inlineStr">
        <is>
          <t xml:space="preserve">-</t>
        </is>
      </c>
      <c r="E2074" s="0" t="inlineStr">
        <is>
          <t xml:space="preserve">-</t>
        </is>
      </c>
      <c r="F2074" s="0" t="inlineStr">
        <is>
          <t xml:space="preserve">-</t>
        </is>
      </c>
      <c r="G2074" s="5">
        <v>0.030947</v>
      </c>
      <c r="H2074" s="0" t="inlineStr">
        <is>
          <t xml:space="preserve">supplier</t>
        </is>
      </c>
      <c r="I2074" s="0" t="inlineStr">
        <is>
          <t xml:space="preserve">unbucketed</t>
        </is>
      </c>
      <c r="J2074" s="0" t="inlineStr">
        <is>
          <t xml:space="preserve">residual</t>
        </is>
      </c>
      <c r="K2074" s="5">
        <v>0</v>
      </c>
      <c r="L2074" s="5">
        <v>0</v>
      </c>
      <c r="M2074" s="5">
        <v>0.0</v>
      </c>
      <c r="N2074" s="5">
        <v>0.0</v>
      </c>
      <c r="O2074" s="5">
        <v>0.0</v>
      </c>
      <c r="P2074" s="5">
        <v>0.0</v>
      </c>
      <c r="Q2074" s="5">
        <v>0.0</v>
      </c>
    </row>
    <row r="2075" outlineLevel="1">
      <c r="B2075" s="0" t="inlineStr">
        <is>
          <t xml:space="preserve">CURTISS-WRIGHT FLOW CONTROL SERVICE, LLC</t>
        </is>
      </c>
      <c r="C2075" s="0" t="inlineStr">
        <is>
          <t xml:space="preserve">NYGUEDY27AM8</t>
        </is>
      </c>
      <c r="D2075" s="0" t="inlineStr">
        <is>
          <t xml:space="preserve">-</t>
        </is>
      </c>
      <c r="E2075" s="0" t="inlineStr">
        <is>
          <t xml:space="preserve">-</t>
        </is>
      </c>
      <c r="F2075" s="0" t="inlineStr">
        <is>
          <t xml:space="preserve">-</t>
        </is>
      </c>
      <c r="G2075" s="5">
        <v>0.030947</v>
      </c>
      <c r="H2075" s="0" t="inlineStr">
        <is>
          <t xml:space="preserve">supplier</t>
        </is>
      </c>
      <c r="I2075" s="0" t="inlineStr">
        <is>
          <t xml:space="preserve">piping</t>
        </is>
      </c>
      <c r="J2075" s="0" t="inlineStr">
        <is>
          <t xml:space="preserve">registry</t>
        </is>
      </c>
      <c r="K2075" s="5">
        <v>0</v>
      </c>
      <c r="L2075" s="5">
        <v>0</v>
      </c>
      <c r="M2075" s="5">
        <v>0.030947</v>
      </c>
      <c r="N2075" s="5">
        <v>0.0</v>
      </c>
      <c r="O2075" s="5">
        <v>0.0</v>
      </c>
      <c r="P2075" s="5">
        <v>0.0</v>
      </c>
      <c r="Q2075" s="5">
        <v>0.030947</v>
      </c>
    </row>
    <row r="2076" outlineLevel="1">
      <c r="B2076" s="0" t="inlineStr">
        <is>
          <t xml:space="preserve">B. G. PECK COMPANY, INC.</t>
        </is>
      </c>
      <c r="C2076" s="0" t="inlineStr">
        <is>
          <t xml:space="preserve">ZZTZBGTMGLG7</t>
        </is>
      </c>
      <c r="D2076" s="0" t="inlineStr">
        <is>
          <t xml:space="preserve">-</t>
        </is>
      </c>
      <c r="E2076" s="0" t="inlineStr">
        <is>
          <t xml:space="preserve">-</t>
        </is>
      </c>
      <c r="F2076" s="0" t="inlineStr">
        <is>
          <t xml:space="preserve">-</t>
        </is>
      </c>
      <c r="G2076" s="5">
        <v>0.030946</v>
      </c>
      <c r="H2076" s="0" t="inlineStr">
        <is>
          <t xml:space="preserve">supplier</t>
        </is>
      </c>
      <c r="I2076" s="0" t="inlineStr">
        <is>
          <t xml:space="preserve">unbucketed</t>
        </is>
      </c>
      <c r="J2076" s="0" t="inlineStr">
        <is>
          <t xml:space="preserve">residual</t>
        </is>
      </c>
      <c r="K2076" s="5">
        <v>0</v>
      </c>
      <c r="L2076" s="5">
        <v>0</v>
      </c>
      <c r="M2076" s="5">
        <v>0.0</v>
      </c>
      <c r="N2076" s="5">
        <v>0.0</v>
      </c>
      <c r="O2076" s="5">
        <v>0.0</v>
      </c>
      <c r="P2076" s="5">
        <v>0.0</v>
      </c>
      <c r="Q2076" s="5">
        <v>0.0</v>
      </c>
    </row>
    <row r="2077" outlineLevel="1">
      <c r="B2077" s="0" t="inlineStr">
        <is>
          <t xml:space="preserve">TSI PLASTICS, INC.</t>
        </is>
      </c>
      <c r="C2077" s="0" t="inlineStr">
        <is>
          <t xml:space="preserve">PSB4M2BMMBK1</t>
        </is>
      </c>
      <c r="D2077" s="0" t="inlineStr">
        <is>
          <t xml:space="preserve">-</t>
        </is>
      </c>
      <c r="E2077" s="0" t="inlineStr">
        <is>
          <t xml:space="preserve">-</t>
        </is>
      </c>
      <c r="F2077" s="0" t="inlineStr">
        <is>
          <t xml:space="preserve">-</t>
        </is>
      </c>
      <c r="G2077" s="5">
        <v>0.03086208</v>
      </c>
      <c r="H2077" s="0" t="inlineStr">
        <is>
          <t xml:space="preserve">supplier</t>
        </is>
      </c>
      <c r="I2077" s="0" t="inlineStr">
        <is>
          <t xml:space="preserve">unbucketed</t>
        </is>
      </c>
      <c r="J2077" s="0" t="inlineStr">
        <is>
          <t xml:space="preserve">residual</t>
        </is>
      </c>
      <c r="K2077" s="5">
        <v>0</v>
      </c>
      <c r="L2077" s="5">
        <v>0</v>
      </c>
      <c r="M2077" s="5">
        <v>0.0</v>
      </c>
      <c r="N2077" s="5">
        <v>0.0</v>
      </c>
      <c r="O2077" s="5">
        <v>0.0</v>
      </c>
      <c r="P2077" s="5">
        <v>0.0</v>
      </c>
      <c r="Q2077" s="5">
        <v>0.0</v>
      </c>
    </row>
    <row r="2078" outlineLevel="1">
      <c r="B2078" s="0" t="inlineStr">
        <is>
          <t xml:space="preserve">WESCO INTERNATIONAL, INC.</t>
        </is>
      </c>
      <c r="C2078" s="0" t="inlineStr">
        <is>
          <t xml:space="preserve">LGEFMM39NGN4</t>
        </is>
      </c>
      <c r="D2078" s="0" t="inlineStr">
        <is>
          <t xml:space="preserve">-</t>
        </is>
      </c>
      <c r="E2078" s="0" t="inlineStr">
        <is>
          <t xml:space="preserve">-</t>
        </is>
      </c>
      <c r="F2078" s="0" t="inlineStr">
        <is>
          <t xml:space="preserve">-</t>
        </is>
      </c>
      <c r="G2078" s="5">
        <v>0.030789169999999998</v>
      </c>
      <c r="H2078" s="0" t="inlineStr">
        <is>
          <t xml:space="preserve">supplier</t>
        </is>
      </c>
      <c r="I2078" s="0" t="inlineStr">
        <is>
          <t xml:space="preserve">unbucketed</t>
        </is>
      </c>
      <c r="J2078" s="0" t="inlineStr">
        <is>
          <t xml:space="preserve">residual</t>
        </is>
      </c>
      <c r="K2078" s="5">
        <v>0</v>
      </c>
      <c r="L2078" s="5">
        <v>0</v>
      </c>
      <c r="M2078" s="5">
        <v>0.0</v>
      </c>
      <c r="N2078" s="5">
        <v>0.0</v>
      </c>
      <c r="O2078" s="5">
        <v>0.0</v>
      </c>
      <c r="P2078" s="5">
        <v>0.0</v>
      </c>
      <c r="Q2078" s="5">
        <v>0.0</v>
      </c>
    </row>
    <row r="2079" outlineLevel="1">
      <c r="B2079" s="0" t="inlineStr">
        <is>
          <t xml:space="preserve">PARKER-HANNIFIN CORPORATION</t>
        </is>
      </c>
      <c r="C2079" s="0" t="inlineStr">
        <is>
          <t xml:space="preserve">T4RCBDVMPVM4</t>
        </is>
      </c>
      <c r="D2079" s="0" t="inlineStr">
        <is>
          <t xml:space="preserve">-</t>
        </is>
      </c>
      <c r="E2079" s="0" t="inlineStr">
        <is>
          <t xml:space="preserve">-</t>
        </is>
      </c>
      <c r="F2079" s="0" t="inlineStr">
        <is>
          <t xml:space="preserve">-</t>
        </is>
      </c>
      <c r="G2079" s="5">
        <v>0.030762</v>
      </c>
      <c r="H2079" s="0" t="inlineStr">
        <is>
          <t xml:space="preserve">supplier</t>
        </is>
      </c>
      <c r="I2079" s="0" t="inlineStr">
        <is>
          <t xml:space="preserve">unbucketed</t>
        </is>
      </c>
      <c r="J2079" s="0" t="inlineStr">
        <is>
          <t xml:space="preserve">residual</t>
        </is>
      </c>
      <c r="K2079" s="5">
        <v>0</v>
      </c>
      <c r="L2079" s="5">
        <v>0</v>
      </c>
      <c r="M2079" s="5">
        <v>0.030762</v>
      </c>
      <c r="N2079" s="5">
        <v>0.0</v>
      </c>
      <c r="O2079" s="5">
        <v>0.0</v>
      </c>
      <c r="P2079" s="5">
        <v>0.0</v>
      </c>
      <c r="Q2079" s="5">
        <v>0.030762</v>
      </c>
    </row>
    <row r="2080" outlineLevel="1">
      <c r="B2080" s="0" t="inlineStr">
        <is>
          <t xml:space="preserve">IRWIN AUTOMATION, INC.</t>
        </is>
      </c>
      <c r="C2080" s="0" t="inlineStr">
        <is>
          <t xml:space="preserve">MLRGP28FEQ41</t>
        </is>
      </c>
      <c r="D2080" s="0" t="inlineStr">
        <is>
          <t xml:space="preserve">-</t>
        </is>
      </c>
      <c r="E2080" s="0" t="inlineStr">
        <is>
          <t xml:space="preserve">-</t>
        </is>
      </c>
      <c r="F2080" s="0" t="inlineStr">
        <is>
          <t xml:space="preserve">-</t>
        </is>
      </c>
      <c r="G2080" s="5">
        <v>0.03075</v>
      </c>
      <c r="H2080" s="0" t="inlineStr">
        <is>
          <t xml:space="preserve">supplier</t>
        </is>
      </c>
      <c r="I2080" s="0" t="inlineStr">
        <is>
          <t xml:space="preserve">unbucketed</t>
        </is>
      </c>
      <c r="J2080" s="0" t="inlineStr">
        <is>
          <t xml:space="preserve">residual</t>
        </is>
      </c>
      <c r="K2080" s="5">
        <v>0</v>
      </c>
      <c r="L2080" s="5">
        <v>0</v>
      </c>
      <c r="M2080" s="5">
        <v>0.0</v>
      </c>
      <c r="N2080" s="5">
        <v>0.0</v>
      </c>
      <c r="O2080" s="5">
        <v>0.0</v>
      </c>
      <c r="P2080" s="5">
        <v>0.0</v>
      </c>
      <c r="Q2080" s="5">
        <v>0.0</v>
      </c>
    </row>
    <row r="2081" outlineLevel="1">
      <c r="B2081" s="0" t="inlineStr">
        <is>
          <t xml:space="preserve">COBHAM PLC</t>
        </is>
      </c>
      <c r="C2081" s="0" t="inlineStr">
        <is>
          <t xml:space="preserve">RZNSSHMNWPN3</t>
        </is>
      </c>
      <c r="D2081" s="0" t="inlineStr">
        <is>
          <t xml:space="preserve">-</t>
        </is>
      </c>
      <c r="E2081" s="0" t="inlineStr">
        <is>
          <t xml:space="preserve">-</t>
        </is>
      </c>
      <c r="F2081" s="0" t="inlineStr">
        <is>
          <t xml:space="preserve">-</t>
        </is>
      </c>
      <c r="G2081" s="5">
        <v>0.030745</v>
      </c>
      <c r="H2081" s="0" t="inlineStr">
        <is>
          <t xml:space="preserve">supplier</t>
        </is>
      </c>
      <c r="I2081" s="0" t="inlineStr">
        <is>
          <t xml:space="preserve">unbucketed</t>
        </is>
      </c>
      <c r="J2081" s="0" t="inlineStr">
        <is>
          <t xml:space="preserve">residual</t>
        </is>
      </c>
      <c r="K2081" s="5">
        <v>0</v>
      </c>
      <c r="L2081" s="5">
        <v>0</v>
      </c>
      <c r="M2081" s="5">
        <v>0.0</v>
      </c>
      <c r="N2081" s="5">
        <v>0.0</v>
      </c>
      <c r="O2081" s="5">
        <v>0.0</v>
      </c>
      <c r="P2081" s="5">
        <v>0.0</v>
      </c>
      <c r="Q2081" s="5">
        <v>0.0</v>
      </c>
    </row>
    <row r="2082" outlineLevel="1">
      <c r="B2082" s="0" t="inlineStr">
        <is>
          <t xml:space="preserve">PRECISION HOSE, INC.</t>
        </is>
      </c>
      <c r="C2082" s="0" t="inlineStr">
        <is>
          <t xml:space="preserve">HZVFYESM3PZ3</t>
        </is>
      </c>
      <c r="D2082" s="0" t="inlineStr">
        <is>
          <t xml:space="preserve">-</t>
        </is>
      </c>
      <c r="E2082" s="0" t="inlineStr">
        <is>
          <t xml:space="preserve">-</t>
        </is>
      </c>
      <c r="F2082" s="0" t="inlineStr">
        <is>
          <t xml:space="preserve">-</t>
        </is>
      </c>
      <c r="G2082" s="5">
        <v>0.03067298</v>
      </c>
      <c r="H2082" s="0" t="inlineStr">
        <is>
          <t xml:space="preserve">supplier</t>
        </is>
      </c>
      <c r="I2082" s="0" t="inlineStr">
        <is>
          <t xml:space="preserve">unbucketed</t>
        </is>
      </c>
      <c r="J2082" s="0" t="inlineStr">
        <is>
          <t xml:space="preserve">residual</t>
        </is>
      </c>
      <c r="K2082" s="5">
        <v>0</v>
      </c>
      <c r="L2082" s="5">
        <v>0</v>
      </c>
      <c r="M2082" s="5">
        <v>0.03067298</v>
      </c>
      <c r="N2082" s="5">
        <v>0.0</v>
      </c>
      <c r="O2082" s="5">
        <v>0.03067298</v>
      </c>
      <c r="P2082" s="5">
        <v>0.0</v>
      </c>
      <c r="Q2082" s="5">
        <v>0.0</v>
      </c>
    </row>
    <row r="2083" outlineLevel="1">
      <c r="B2083" s="0" t="inlineStr">
        <is>
          <t xml:space="preserve">EXPERIOR LABORATORIES, INC.</t>
        </is>
      </c>
      <c r="C2083" s="0" t="inlineStr">
        <is>
          <t xml:space="preserve">VKKVV42GH294</t>
        </is>
      </c>
      <c r="D2083" s="0" t="inlineStr">
        <is>
          <t xml:space="preserve">-</t>
        </is>
      </c>
      <c r="E2083" s="0" t="inlineStr">
        <is>
          <t xml:space="preserve">-</t>
        </is>
      </c>
      <c r="F2083" s="0" t="inlineStr">
        <is>
          <t xml:space="preserve">-</t>
        </is>
      </c>
      <c r="G2083" s="5">
        <v>0.03067</v>
      </c>
      <c r="H2083" s="0" t="inlineStr">
        <is>
          <t xml:space="preserve">supplier</t>
        </is>
      </c>
      <c r="I2083" s="0" t="inlineStr">
        <is>
          <t xml:space="preserve">unbucketed</t>
        </is>
      </c>
      <c r="J2083" s="0" t="inlineStr">
        <is>
          <t xml:space="preserve">residual</t>
        </is>
      </c>
      <c r="K2083" s="5">
        <v>0</v>
      </c>
      <c r="L2083" s="5">
        <v>0</v>
      </c>
      <c r="M2083" s="5">
        <v>0.0</v>
      </c>
      <c r="N2083" s="5">
        <v>0.0</v>
      </c>
      <c r="O2083" s="5">
        <v>0.0</v>
      </c>
      <c r="P2083" s="5">
        <v>0.0</v>
      </c>
      <c r="Q2083" s="5">
        <v>0.0</v>
      </c>
    </row>
    <row r="2084" outlineLevel="1">
      <c r="B2084" s="0" t="inlineStr">
        <is>
          <t xml:space="preserve">JRH ELECTRONICS LLC</t>
        </is>
      </c>
      <c r="C2084" s="0" t="inlineStr">
        <is>
          <t xml:space="preserve">EM1ZJ3TXF729</t>
        </is>
      </c>
      <c r="D2084" s="0" t="inlineStr">
        <is>
          <t xml:space="preserve">-</t>
        </is>
      </c>
      <c r="E2084" s="0" t="inlineStr">
        <is>
          <t xml:space="preserve">-</t>
        </is>
      </c>
      <c r="F2084" s="0" t="inlineStr">
        <is>
          <t xml:space="preserve">-</t>
        </is>
      </c>
      <c r="G2084" s="5">
        <v>0.030540599999999998</v>
      </c>
      <c r="H2084" s="0" t="inlineStr">
        <is>
          <t xml:space="preserve">supplier</t>
        </is>
      </c>
      <c r="I2084" s="0" t="inlineStr">
        <is>
          <t xml:space="preserve">unbucketed</t>
        </is>
      </c>
      <c r="J2084" s="0" t="inlineStr">
        <is>
          <t xml:space="preserve">residual</t>
        </is>
      </c>
      <c r="K2084" s="5">
        <v>0</v>
      </c>
      <c r="L2084" s="5">
        <v>0</v>
      </c>
      <c r="M2084" s="5">
        <v>0.0</v>
      </c>
      <c r="N2084" s="5">
        <v>0.0</v>
      </c>
      <c r="O2084" s="5">
        <v>0.0</v>
      </c>
      <c r="P2084" s="5">
        <v>0.0</v>
      </c>
      <c r="Q2084" s="5">
        <v>0.0</v>
      </c>
    </row>
    <row r="2085" outlineLevel="1">
      <c r="B2085" s="0" t="inlineStr">
        <is>
          <t xml:space="preserve">KINNAMAN ELECTRIC INC</t>
        </is>
      </c>
      <c r="C2085" s="0" t="inlineStr">
        <is>
          <t xml:space="preserve">KC78MF1CL9B8</t>
        </is>
      </c>
      <c r="D2085" s="0" t="inlineStr">
        <is>
          <t xml:space="preserve">-</t>
        </is>
      </c>
      <c r="E2085" s="0" t="inlineStr">
        <is>
          <t xml:space="preserve">-</t>
        </is>
      </c>
      <c r="F2085" s="0" t="inlineStr">
        <is>
          <t xml:space="preserve">-</t>
        </is>
      </c>
      <c r="G2085" s="5">
        <v>0.03052</v>
      </c>
      <c r="H2085" s="0" t="inlineStr">
        <is>
          <t xml:space="preserve">supplier</t>
        </is>
      </c>
      <c r="I2085" s="0" t="inlineStr">
        <is>
          <t xml:space="preserve">unbucketed</t>
        </is>
      </c>
      <c r="J2085" s="0" t="inlineStr">
        <is>
          <t xml:space="preserve">residual</t>
        </is>
      </c>
      <c r="K2085" s="5">
        <v>0</v>
      </c>
      <c r="L2085" s="5">
        <v>0</v>
      </c>
      <c r="M2085" s="5">
        <v>0.03052</v>
      </c>
      <c r="N2085" s="5">
        <v>0.0</v>
      </c>
      <c r="O2085" s="5">
        <v>0.0</v>
      </c>
      <c r="P2085" s="5">
        <v>0.0</v>
      </c>
      <c r="Q2085" s="5">
        <v>0.0</v>
      </c>
    </row>
    <row r="2086" outlineLevel="1">
      <c r="B2086" s="0" t="inlineStr">
        <is>
          <t xml:space="preserve">M.S. AEROSPACE INC.</t>
        </is>
      </c>
      <c r="C2086" s="0" t="inlineStr">
        <is>
          <t xml:space="preserve">WP5DYMGMLFJ6</t>
        </is>
      </c>
      <c r="D2086" s="0" t="inlineStr">
        <is>
          <t xml:space="preserve">-</t>
        </is>
      </c>
      <c r="E2086" s="0" t="inlineStr">
        <is>
          <t xml:space="preserve">-</t>
        </is>
      </c>
      <c r="F2086" s="0" t="inlineStr">
        <is>
          <t xml:space="preserve">-</t>
        </is>
      </c>
      <c r="G2086" s="5">
        <v>0.0305</v>
      </c>
      <c r="H2086" s="0" t="inlineStr">
        <is>
          <t xml:space="preserve">supplier</t>
        </is>
      </c>
      <c r="I2086" s="0" t="inlineStr">
        <is>
          <t xml:space="preserve">unbucketed</t>
        </is>
      </c>
      <c r="J2086" s="0" t="inlineStr">
        <is>
          <t xml:space="preserve">residual</t>
        </is>
      </c>
      <c r="K2086" s="5">
        <v>0</v>
      </c>
      <c r="L2086" s="5">
        <v>0</v>
      </c>
      <c r="M2086" s="5">
        <v>0.0</v>
      </c>
      <c r="N2086" s="5">
        <v>0.0</v>
      </c>
      <c r="O2086" s="5">
        <v>0.0</v>
      </c>
      <c r="P2086" s="5">
        <v>0.0</v>
      </c>
      <c r="Q2086" s="5">
        <v>0.0</v>
      </c>
    </row>
    <row r="2087" outlineLevel="1">
      <c r="B2087" s="0" t="inlineStr">
        <is>
          <t xml:space="preserve">HIGGINS MARINE SERVICES INC</t>
        </is>
      </c>
      <c r="C2087" s="0" t="inlineStr">
        <is>
          <t xml:space="preserve">KB8ALFD8K1X8</t>
        </is>
      </c>
      <c r="D2087" s="0" t="inlineStr">
        <is>
          <t xml:space="preserve">-</t>
        </is>
      </c>
      <c r="E2087" s="0" t="inlineStr">
        <is>
          <t xml:space="preserve">-</t>
        </is>
      </c>
      <c r="F2087" s="0" t="inlineStr">
        <is>
          <t xml:space="preserve">-</t>
        </is>
      </c>
      <c r="G2087" s="5">
        <v>0.0304</v>
      </c>
      <c r="H2087" s="0" t="inlineStr">
        <is>
          <t xml:space="preserve">supplier</t>
        </is>
      </c>
      <c r="I2087" s="0" t="inlineStr">
        <is>
          <t xml:space="preserve">unbucketed</t>
        </is>
      </c>
      <c r="J2087" s="0" t="inlineStr">
        <is>
          <t xml:space="preserve">residual</t>
        </is>
      </c>
      <c r="K2087" s="5">
        <v>0</v>
      </c>
      <c r="L2087" s="5">
        <v>0</v>
      </c>
      <c r="M2087" s="5">
        <v>0.0304</v>
      </c>
      <c r="N2087" s="5">
        <v>0.0</v>
      </c>
      <c r="O2087" s="5">
        <v>0.0</v>
      </c>
      <c r="P2087" s="5">
        <v>0.0</v>
      </c>
      <c r="Q2087" s="5">
        <v>0.0</v>
      </c>
    </row>
    <row r="2088" outlineLevel="1">
      <c r="B2088" s="0" t="inlineStr">
        <is>
          <t xml:space="preserve">DRS ADVANCED ISR, LLC</t>
        </is>
      </c>
      <c r="C2088" s="0" t="inlineStr">
        <is>
          <t xml:space="preserve">TXWJU52EEYC4</t>
        </is>
      </c>
      <c r="D2088" s="0" t="inlineStr">
        <is>
          <t xml:space="preserve">-</t>
        </is>
      </c>
      <c r="E2088" s="0" t="inlineStr">
        <is>
          <t xml:space="preserve">-</t>
        </is>
      </c>
      <c r="F2088" s="0" t="inlineStr">
        <is>
          <t xml:space="preserve">-</t>
        </is>
      </c>
      <c r="G2088" s="5">
        <v>0.03027237</v>
      </c>
      <c r="H2088" s="0" t="inlineStr">
        <is>
          <t xml:space="preserve">supplier</t>
        </is>
      </c>
      <c r="I2088" s="0" t="inlineStr">
        <is>
          <t xml:space="preserve">unbucketed</t>
        </is>
      </c>
      <c r="J2088" s="0" t="inlineStr">
        <is>
          <t xml:space="preserve">residual</t>
        </is>
      </c>
      <c r="K2088" s="5">
        <v>0</v>
      </c>
      <c r="L2088" s="5">
        <v>0</v>
      </c>
      <c r="M2088" s="5">
        <v>0.0</v>
      </c>
      <c r="N2088" s="5">
        <v>0.0</v>
      </c>
      <c r="O2088" s="5">
        <v>0.0</v>
      </c>
      <c r="P2088" s="5">
        <v>0.0</v>
      </c>
      <c r="Q2088" s="5">
        <v>0.0</v>
      </c>
    </row>
    <row r="2089" outlineLevel="1">
      <c r="B2089" s="0" t="inlineStr">
        <is>
          <t xml:space="preserve">BRENNTAG AG</t>
        </is>
      </c>
      <c r="C2089" s="0" t="inlineStr">
        <is>
          <t xml:space="preserve">WYLWSLL4AUB8</t>
        </is>
      </c>
      <c r="D2089" s="0" t="inlineStr">
        <is>
          <t xml:space="preserve">-</t>
        </is>
      </c>
      <c r="E2089" s="0" t="inlineStr">
        <is>
          <t xml:space="preserve">-</t>
        </is>
      </c>
      <c r="F2089" s="0" t="inlineStr">
        <is>
          <t xml:space="preserve">-</t>
        </is>
      </c>
      <c r="G2089" s="5">
        <v>0.03023</v>
      </c>
      <c r="H2089" s="0" t="inlineStr">
        <is>
          <t xml:space="preserve">supplier</t>
        </is>
      </c>
      <c r="I2089" s="0" t="inlineStr">
        <is>
          <t xml:space="preserve">unbucketed</t>
        </is>
      </c>
      <c r="J2089" s="0" t="inlineStr">
        <is>
          <t xml:space="preserve">residual</t>
        </is>
      </c>
      <c r="K2089" s="5">
        <v>0</v>
      </c>
      <c r="L2089" s="5">
        <v>0</v>
      </c>
      <c r="M2089" s="5">
        <v>0.0</v>
      </c>
      <c r="N2089" s="5">
        <v>0.0</v>
      </c>
      <c r="O2089" s="5">
        <v>0.0</v>
      </c>
      <c r="P2089" s="5">
        <v>0.0</v>
      </c>
      <c r="Q2089" s="5">
        <v>0.0</v>
      </c>
    </row>
    <row r="2090" outlineLevel="1">
      <c r="B2090" s="0" t="inlineStr">
        <is>
          <t xml:space="preserve">SCHROFF INC</t>
        </is>
      </c>
      <c r="C2090" s="0" t="inlineStr">
        <is>
          <t xml:space="preserve">JKLMWYMJX745</t>
        </is>
      </c>
      <c r="D2090" s="0" t="inlineStr">
        <is>
          <t xml:space="preserve">-</t>
        </is>
      </c>
      <c r="E2090" s="0" t="inlineStr">
        <is>
          <t xml:space="preserve">-</t>
        </is>
      </c>
      <c r="F2090" s="0" t="inlineStr">
        <is>
          <t xml:space="preserve">-</t>
        </is>
      </c>
      <c r="G2090" s="5">
        <v>0.0301725</v>
      </c>
      <c r="H2090" s="0" t="inlineStr">
        <is>
          <t xml:space="preserve">supplier</t>
        </is>
      </c>
      <c r="I2090" s="0" t="inlineStr">
        <is>
          <t xml:space="preserve">unbucketed</t>
        </is>
      </c>
      <c r="J2090" s="0" t="inlineStr">
        <is>
          <t xml:space="preserve">residual</t>
        </is>
      </c>
      <c r="K2090" s="5">
        <v>0</v>
      </c>
      <c r="L2090" s="5">
        <v>0</v>
      </c>
      <c r="M2090" s="5">
        <v>0.0</v>
      </c>
      <c r="N2090" s="5">
        <v>0.0</v>
      </c>
      <c r="O2090" s="5">
        <v>0.0</v>
      </c>
      <c r="P2090" s="5">
        <v>0.0</v>
      </c>
      <c r="Q2090" s="5">
        <v>0.0</v>
      </c>
    </row>
    <row r="2091" outlineLevel="1">
      <c r="B2091" s="0" t="inlineStr">
        <is>
          <t xml:space="preserve">LBI INC</t>
        </is>
      </c>
      <c r="C2091" s="0" t="inlineStr">
        <is>
          <t xml:space="preserve">CR99X5Q2KQS1</t>
        </is>
      </c>
      <c r="D2091" s="0" t="inlineStr">
        <is>
          <t xml:space="preserve">-</t>
        </is>
      </c>
      <c r="E2091" s="0" t="inlineStr">
        <is>
          <t xml:space="preserve">-</t>
        </is>
      </c>
      <c r="F2091" s="0" t="inlineStr">
        <is>
          <t xml:space="preserve">-</t>
        </is>
      </c>
      <c r="G2091" s="5">
        <v>0.03014</v>
      </c>
      <c r="H2091" s="0" t="inlineStr">
        <is>
          <t xml:space="preserve">supplier</t>
        </is>
      </c>
      <c r="I2091" s="0" t="inlineStr">
        <is>
          <t xml:space="preserve">unbucketed</t>
        </is>
      </c>
      <c r="J2091" s="0" t="inlineStr">
        <is>
          <t xml:space="preserve">residual</t>
        </is>
      </c>
      <c r="K2091" s="5">
        <v>0</v>
      </c>
      <c r="L2091" s="5">
        <v>0</v>
      </c>
      <c r="M2091" s="5">
        <v>0.03014</v>
      </c>
      <c r="N2091" s="5">
        <v>0.0</v>
      </c>
      <c r="O2091" s="5">
        <v>0.03014</v>
      </c>
      <c r="P2091" s="5">
        <v>0.0</v>
      </c>
      <c r="Q2091" s="5">
        <v>0.0</v>
      </c>
    </row>
    <row r="2092" outlineLevel="1">
      <c r="B2092" s="0" t="inlineStr">
        <is>
          <t xml:space="preserve">TOROTEL PRODUCTS INC</t>
        </is>
      </c>
      <c r="C2092" s="0" t="inlineStr">
        <is>
          <t xml:space="preserve">FPYNDBMUS9Z5</t>
        </is>
      </c>
      <c r="D2092" s="0" t="inlineStr">
        <is>
          <t xml:space="preserve">-</t>
        </is>
      </c>
      <c r="E2092" s="0" t="inlineStr">
        <is>
          <t xml:space="preserve">-</t>
        </is>
      </c>
      <c r="F2092" s="0" t="inlineStr">
        <is>
          <t xml:space="preserve">-</t>
        </is>
      </c>
      <c r="G2092" s="5">
        <v>0.030135</v>
      </c>
      <c r="H2092" s="0" t="inlineStr">
        <is>
          <t xml:space="preserve">supplier</t>
        </is>
      </c>
      <c r="I2092" s="0" t="inlineStr">
        <is>
          <t xml:space="preserve">unbucketed</t>
        </is>
      </c>
      <c r="J2092" s="0" t="inlineStr">
        <is>
          <t xml:space="preserve">residual</t>
        </is>
      </c>
      <c r="K2092" s="5">
        <v>0</v>
      </c>
      <c r="L2092" s="5">
        <v>0</v>
      </c>
      <c r="M2092" s="5">
        <v>0.0</v>
      </c>
      <c r="N2092" s="5">
        <v>0.0</v>
      </c>
      <c r="O2092" s="5">
        <v>0.0</v>
      </c>
      <c r="P2092" s="5">
        <v>0.0</v>
      </c>
      <c r="Q2092" s="5">
        <v>0.0</v>
      </c>
    </row>
    <row r="2093" outlineLevel="1">
      <c r="B2093" s="0" t="inlineStr">
        <is>
          <t xml:space="preserve">L.B.I., INC.</t>
        </is>
      </c>
      <c r="C2093" s="0" t="inlineStr">
        <is>
          <t xml:space="preserve">CR99X5Q2KQS1</t>
        </is>
      </c>
      <c r="D2093" s="0" t="inlineStr">
        <is>
          <t xml:space="preserve">-</t>
        </is>
      </c>
      <c r="E2093" s="0" t="inlineStr">
        <is>
          <t xml:space="preserve">-</t>
        </is>
      </c>
      <c r="F2093" s="0" t="inlineStr">
        <is>
          <t xml:space="preserve">-</t>
        </is>
      </c>
      <c r="G2093" s="5">
        <v>0.030105</v>
      </c>
      <c r="H2093" s="0" t="inlineStr">
        <is>
          <t xml:space="preserve">supplier</t>
        </is>
      </c>
      <c r="I2093" s="0" t="inlineStr">
        <is>
          <t xml:space="preserve">unbucketed</t>
        </is>
      </c>
      <c r="J2093" s="0" t="inlineStr">
        <is>
          <t xml:space="preserve">residual</t>
        </is>
      </c>
      <c r="K2093" s="5">
        <v>0</v>
      </c>
      <c r="L2093" s="5">
        <v>0</v>
      </c>
      <c r="M2093" s="5">
        <v>0.030105</v>
      </c>
      <c r="N2093" s="5">
        <v>0.0</v>
      </c>
      <c r="O2093" s="5">
        <v>0.030105</v>
      </c>
      <c r="P2093" s="5">
        <v>0.0</v>
      </c>
      <c r="Q2093" s="5">
        <v>0.0</v>
      </c>
    </row>
    <row r="2094" outlineLevel="1">
      <c r="B2094" s="0" t="inlineStr">
        <is>
          <t xml:space="preserve">AMERICAN TRADE GROUP, INC., THE</t>
        </is>
      </c>
      <c r="C2094" s="0" t="inlineStr">
        <is>
          <t xml:space="preserve">FG19HT8C3MM4</t>
        </is>
      </c>
      <c r="D2094" s="0" t="inlineStr">
        <is>
          <t xml:space="preserve">-</t>
        </is>
      </c>
      <c r="E2094" s="0" t="inlineStr">
        <is>
          <t xml:space="preserve">-</t>
        </is>
      </c>
      <c r="F2094" s="0" t="inlineStr">
        <is>
          <t xml:space="preserve">-</t>
        </is>
      </c>
      <c r="G2094" s="5">
        <v>0.030048</v>
      </c>
      <c r="H2094" s="0" t="inlineStr">
        <is>
          <t xml:space="preserve">supplier</t>
        </is>
      </c>
      <c r="I2094" s="0" t="inlineStr">
        <is>
          <t xml:space="preserve">unbucketed</t>
        </is>
      </c>
      <c r="J2094" s="0" t="inlineStr">
        <is>
          <t xml:space="preserve">residual</t>
        </is>
      </c>
      <c r="K2094" s="5">
        <v>0</v>
      </c>
      <c r="L2094" s="5">
        <v>0</v>
      </c>
      <c r="M2094" s="5">
        <v>0.030048</v>
      </c>
      <c r="N2094" s="5">
        <v>0.030048</v>
      </c>
      <c r="O2094" s="5">
        <v>0.0</v>
      </c>
      <c r="P2094" s="5">
        <v>0.0</v>
      </c>
      <c r="Q2094" s="5">
        <v>0.0</v>
      </c>
    </row>
    <row r="2095" outlineLevel="1">
      <c r="B2095" s="0" t="inlineStr">
        <is>
          <t xml:space="preserve">MAC PANEL CO</t>
        </is>
      </c>
      <c r="C2095" s="0" t="inlineStr">
        <is>
          <t xml:space="preserve">MTSKP9SNH6J1</t>
        </is>
      </c>
      <c r="D2095" s="0" t="inlineStr">
        <is>
          <t xml:space="preserve">-</t>
        </is>
      </c>
      <c r="E2095" s="0" t="inlineStr">
        <is>
          <t xml:space="preserve">-</t>
        </is>
      </c>
      <c r="F2095" s="0" t="inlineStr">
        <is>
          <t xml:space="preserve">-</t>
        </is>
      </c>
      <c r="G2095" s="5">
        <v>0.03</v>
      </c>
      <c r="H2095" s="0" t="inlineStr">
        <is>
          <t xml:space="preserve">supplier</t>
        </is>
      </c>
      <c r="I2095" s="0" t="inlineStr">
        <is>
          <t xml:space="preserve">unbucketed</t>
        </is>
      </c>
      <c r="J2095" s="0" t="inlineStr">
        <is>
          <t xml:space="preserve">residual</t>
        </is>
      </c>
      <c r="K2095" s="5">
        <v>0</v>
      </c>
      <c r="L2095" s="5">
        <v>0</v>
      </c>
      <c r="M2095" s="5">
        <v>0.0</v>
      </c>
      <c r="N2095" s="5">
        <v>0.0</v>
      </c>
      <c r="O2095" s="5">
        <v>0.0</v>
      </c>
      <c r="P2095" s="5">
        <v>0.0</v>
      </c>
      <c r="Q2095" s="5">
        <v>0.0</v>
      </c>
    </row>
    <row r="2096" outlineLevel="1">
      <c r="B2096" s="0" t="inlineStr">
        <is>
          <t xml:space="preserve">HAGLIN, C F &amp; SONS CO INC.</t>
        </is>
      </c>
      <c r="C2096" s="0" t="inlineStr">
        <is>
          <t xml:space="preserve">K2CXD619ZNJ2</t>
        </is>
      </c>
      <c r="D2096" s="0" t="inlineStr">
        <is>
          <t xml:space="preserve">-</t>
        </is>
      </c>
      <c r="E2096" s="0" t="inlineStr">
        <is>
          <t xml:space="preserve">-</t>
        </is>
      </c>
      <c r="F2096" s="0" t="inlineStr">
        <is>
          <t xml:space="preserve">-</t>
        </is>
      </c>
      <c r="G2096" s="5">
        <v>0.03</v>
      </c>
      <c r="H2096" s="0" t="inlineStr">
        <is>
          <t xml:space="preserve">supplier</t>
        </is>
      </c>
      <c r="I2096" s="0" t="inlineStr">
        <is>
          <t xml:space="preserve">unbucketed</t>
        </is>
      </c>
      <c r="J2096" s="0" t="inlineStr">
        <is>
          <t xml:space="preserve">residual</t>
        </is>
      </c>
      <c r="K2096" s="5">
        <v>0</v>
      </c>
      <c r="L2096" s="5">
        <v>0</v>
      </c>
      <c r="M2096" s="5">
        <v>0.0</v>
      </c>
      <c r="N2096" s="5">
        <v>0.0</v>
      </c>
      <c r="O2096" s="5">
        <v>0.0</v>
      </c>
      <c r="P2096" s="5">
        <v>0.0</v>
      </c>
      <c r="Q2096" s="5">
        <v>0.0</v>
      </c>
    </row>
    <row r="2097" outlineLevel="1">
      <c r="B2097" s="0" t="inlineStr">
        <is>
          <t xml:space="preserve">BRANDYWINE COMMUNICATIONS</t>
        </is>
      </c>
      <c r="C2097" s="0" t="inlineStr">
        <is>
          <t xml:space="preserve">CS7UG7SC6MF5</t>
        </is>
      </c>
      <c r="D2097" s="0" t="inlineStr">
        <is>
          <t xml:space="preserve">-</t>
        </is>
      </c>
      <c r="E2097" s="0" t="inlineStr">
        <is>
          <t xml:space="preserve">-</t>
        </is>
      </c>
      <c r="F2097" s="0" t="inlineStr">
        <is>
          <t xml:space="preserve">-</t>
        </is>
      </c>
      <c r="G2097" s="5">
        <v>0.03</v>
      </c>
      <c r="H2097" s="0" t="inlineStr">
        <is>
          <t xml:space="preserve">supplier</t>
        </is>
      </c>
      <c r="I2097" s="0" t="inlineStr">
        <is>
          <t xml:space="preserve">unbucketed</t>
        </is>
      </c>
      <c r="J2097" s="0" t="inlineStr">
        <is>
          <t xml:space="preserve">residual</t>
        </is>
      </c>
      <c r="K2097" s="5">
        <v>0</v>
      </c>
      <c r="L2097" s="5">
        <v>0</v>
      </c>
      <c r="M2097" s="5">
        <v>0.0</v>
      </c>
      <c r="N2097" s="5">
        <v>0.0</v>
      </c>
      <c r="O2097" s="5">
        <v>0.0</v>
      </c>
      <c r="P2097" s="5">
        <v>0.0</v>
      </c>
      <c r="Q2097" s="5">
        <v>0.0</v>
      </c>
    </row>
    <row r="2098" outlineLevel="1">
      <c r="B2098" s="0" t="inlineStr">
        <is>
          <t xml:space="preserve">DELPHINUS ENGINEERING, INC.</t>
        </is>
      </c>
      <c r="C2098" s="0" t="inlineStr">
        <is>
          <t xml:space="preserve">KF3NGNBNQ271</t>
        </is>
      </c>
      <c r="D2098" s="0" t="inlineStr">
        <is>
          <t xml:space="preserve">-</t>
        </is>
      </c>
      <c r="E2098" s="0" t="inlineStr">
        <is>
          <t xml:space="preserve">-</t>
        </is>
      </c>
      <c r="F2098" s="0" t="inlineStr">
        <is>
          <t xml:space="preserve">-</t>
        </is>
      </c>
      <c r="G2098" s="5">
        <v>0.03</v>
      </c>
      <c r="H2098" s="0" t="inlineStr">
        <is>
          <t xml:space="preserve">supplier</t>
        </is>
      </c>
      <c r="I2098" s="0" t="inlineStr">
        <is>
          <t xml:space="preserve">unbucketed</t>
        </is>
      </c>
      <c r="J2098" s="0" t="inlineStr">
        <is>
          <t xml:space="preserve">residual</t>
        </is>
      </c>
      <c r="K2098" s="5">
        <v>0</v>
      </c>
      <c r="L2098" s="5">
        <v>0</v>
      </c>
      <c r="M2098" s="5">
        <v>0.03</v>
      </c>
      <c r="N2098" s="5">
        <v>0.0</v>
      </c>
      <c r="O2098" s="5">
        <v>0.0</v>
      </c>
      <c r="P2098" s="5">
        <v>0.0</v>
      </c>
      <c r="Q2098" s="5">
        <v>0.03</v>
      </c>
    </row>
    <row r="2099" outlineLevel="1">
      <c r="B2099" s="0" t="inlineStr">
        <is>
          <t xml:space="preserve">AMETEK INC.</t>
        </is>
      </c>
      <c r="C2099" s="0" t="inlineStr">
        <is>
          <t xml:space="preserve">Y9KMLM1AFU63</t>
        </is>
      </c>
      <c r="D2099" s="0" t="inlineStr">
        <is>
          <t xml:space="preserve">USA</t>
        </is>
      </c>
      <c r="E2099" s="0" t="inlineStr">
        <is>
          <t xml:space="preserve">3359</t>
        </is>
      </c>
      <c r="F2099" s="0" t="inlineStr">
        <is>
          <t xml:space="preserve">All Other Miscellaneous Electrical Equipment and Component Manufacturing</t>
        </is>
      </c>
      <c r="G2099" s="5">
        <v>0.0297</v>
      </c>
      <c r="H2099" s="0" t="inlineStr">
        <is>
          <t xml:space="preserve">supplier</t>
        </is>
      </c>
      <c r="I2099" s="0" t="inlineStr">
        <is>
          <t xml:space="preserve">electrical</t>
        </is>
      </c>
      <c r="J2099" s="0" t="inlineStr">
        <is>
          <t xml:space="preserve">naics4</t>
        </is>
      </c>
      <c r="K2099" s="5">
        <v>0</v>
      </c>
      <c r="L2099" s="5">
        <v>0</v>
      </c>
      <c r="M2099" s="5">
        <v>0.0</v>
      </c>
      <c r="N2099" s="5">
        <v>0.0</v>
      </c>
      <c r="O2099" s="5">
        <v>0.0</v>
      </c>
      <c r="P2099" s="5">
        <v>0.0</v>
      </c>
      <c r="Q2099" s="5">
        <v>0.0</v>
      </c>
    </row>
    <row r="2100" outlineLevel="1">
      <c r="B2100" s="0" t="inlineStr">
        <is>
          <t xml:space="preserve">TOOLKRAFT, INC.</t>
        </is>
      </c>
      <c r="C2100" s="0" t="inlineStr">
        <is>
          <t xml:space="preserve">JN12SUFK5757</t>
        </is>
      </c>
      <c r="D2100" s="0" t="inlineStr">
        <is>
          <t xml:space="preserve">-</t>
        </is>
      </c>
      <c r="E2100" s="0" t="inlineStr">
        <is>
          <t xml:space="preserve">-</t>
        </is>
      </c>
      <c r="F2100" s="0" t="inlineStr">
        <is>
          <t xml:space="preserve">-</t>
        </is>
      </c>
      <c r="G2100" s="5">
        <v>0.029544</v>
      </c>
      <c r="H2100" s="0" t="inlineStr">
        <is>
          <t xml:space="preserve">supplier</t>
        </is>
      </c>
      <c r="I2100" s="0" t="inlineStr">
        <is>
          <t xml:space="preserve">unbucketed</t>
        </is>
      </c>
      <c r="J2100" s="0" t="inlineStr">
        <is>
          <t xml:space="preserve">residual</t>
        </is>
      </c>
      <c r="K2100" s="5">
        <v>0</v>
      </c>
      <c r="L2100" s="5">
        <v>0</v>
      </c>
      <c r="M2100" s="5">
        <v>0.0</v>
      </c>
      <c r="N2100" s="5">
        <v>0.0</v>
      </c>
      <c r="O2100" s="5">
        <v>0.0</v>
      </c>
      <c r="P2100" s="5">
        <v>0.0</v>
      </c>
      <c r="Q2100" s="5">
        <v>0.0</v>
      </c>
    </row>
    <row r="2101" outlineLevel="1">
      <c r="B2101" s="0" t="inlineStr">
        <is>
          <t xml:space="preserve">HEICO CORP</t>
        </is>
      </c>
      <c r="C2101" s="0" t="inlineStr">
        <is>
          <t xml:space="preserve">GJGQF5RZMJM9</t>
        </is>
      </c>
      <c r="D2101" s="0" t="inlineStr">
        <is>
          <t xml:space="preserve">-</t>
        </is>
      </c>
      <c r="E2101" s="0" t="inlineStr">
        <is>
          <t xml:space="preserve">-</t>
        </is>
      </c>
      <c r="F2101" s="0" t="inlineStr">
        <is>
          <t xml:space="preserve">-</t>
        </is>
      </c>
      <c r="G2101" s="5">
        <v>0.029394</v>
      </c>
      <c r="H2101" s="0" t="inlineStr">
        <is>
          <t xml:space="preserve">supplier</t>
        </is>
      </c>
      <c r="I2101" s="0" t="inlineStr">
        <is>
          <t xml:space="preserve">unbucketed</t>
        </is>
      </c>
      <c r="J2101" s="0" t="inlineStr">
        <is>
          <t xml:space="preserve">residual</t>
        </is>
      </c>
      <c r="K2101" s="5">
        <v>0</v>
      </c>
      <c r="L2101" s="5">
        <v>0</v>
      </c>
      <c r="M2101" s="5">
        <v>0.0</v>
      </c>
      <c r="N2101" s="5">
        <v>0.0</v>
      </c>
      <c r="O2101" s="5">
        <v>0.0</v>
      </c>
      <c r="P2101" s="5">
        <v>0.0</v>
      </c>
      <c r="Q2101" s="5">
        <v>0.0</v>
      </c>
    </row>
    <row r="2102" outlineLevel="1">
      <c r="B2102" s="0" t="inlineStr">
        <is>
          <t xml:space="preserve">HELIX ACQUISITION HOLDINGS, INC.</t>
        </is>
      </c>
      <c r="C2102" s="0" t="inlineStr">
        <is>
          <t xml:space="preserve">XLF3DLLKM9R6</t>
        </is>
      </c>
      <c r="D2102" s="0" t="inlineStr">
        <is>
          <t xml:space="preserve">-</t>
        </is>
      </c>
      <c r="E2102" s="0" t="inlineStr">
        <is>
          <t xml:space="preserve">-</t>
        </is>
      </c>
      <c r="F2102" s="0" t="inlineStr">
        <is>
          <t xml:space="preserve">-</t>
        </is>
      </c>
      <c r="G2102" s="5">
        <v>0.0293632</v>
      </c>
      <c r="H2102" s="0" t="inlineStr">
        <is>
          <t xml:space="preserve">supplier</t>
        </is>
      </c>
      <c r="I2102" s="0" t="inlineStr">
        <is>
          <t xml:space="preserve">unbucketed</t>
        </is>
      </c>
      <c r="J2102" s="0" t="inlineStr">
        <is>
          <t xml:space="preserve">residual</t>
        </is>
      </c>
      <c r="K2102" s="5">
        <v>0</v>
      </c>
      <c r="L2102" s="5">
        <v>0</v>
      </c>
      <c r="M2102" s="5">
        <v>0.0</v>
      </c>
      <c r="N2102" s="5">
        <v>0.0</v>
      </c>
      <c r="O2102" s="5">
        <v>0.0</v>
      </c>
      <c r="P2102" s="5">
        <v>0.0</v>
      </c>
      <c r="Q2102" s="5">
        <v>0.0</v>
      </c>
    </row>
    <row r="2103" outlineLevel="1">
      <c r="B2103" s="0" t="inlineStr">
        <is>
          <t xml:space="preserve">ENERGY MACHINERY INC</t>
        </is>
      </c>
      <c r="C2103" s="0" t="inlineStr">
        <is>
          <t xml:space="preserve">XR3UT8BLTKP7</t>
        </is>
      </c>
      <c r="D2103" s="0" t="inlineStr">
        <is>
          <t xml:space="preserve">-</t>
        </is>
      </c>
      <c r="E2103" s="0" t="inlineStr">
        <is>
          <t xml:space="preserve">-</t>
        </is>
      </c>
      <c r="F2103" s="0" t="inlineStr">
        <is>
          <t xml:space="preserve">-</t>
        </is>
      </c>
      <c r="G2103" s="5">
        <v>0.029331</v>
      </c>
      <c r="H2103" s="0" t="inlineStr">
        <is>
          <t xml:space="preserve">supplier</t>
        </is>
      </c>
      <c r="I2103" s="0" t="inlineStr">
        <is>
          <t xml:space="preserve">unbucketed</t>
        </is>
      </c>
      <c r="J2103" s="0" t="inlineStr">
        <is>
          <t xml:space="preserve">residual</t>
        </is>
      </c>
      <c r="K2103" s="5">
        <v>0</v>
      </c>
      <c r="L2103" s="5">
        <v>0</v>
      </c>
      <c r="M2103" s="5">
        <v>0.029331</v>
      </c>
      <c r="N2103" s="5">
        <v>0.0</v>
      </c>
      <c r="O2103" s="5">
        <v>0.029331</v>
      </c>
      <c r="P2103" s="5">
        <v>0.0</v>
      </c>
      <c r="Q2103" s="5">
        <v>0.0</v>
      </c>
    </row>
    <row r="2104" outlineLevel="1">
      <c r="B2104" s="0" t="inlineStr">
        <is>
          <t xml:space="preserve">ARGON ST, INC.</t>
        </is>
      </c>
      <c r="C2104" s="0" t="inlineStr">
        <is>
          <t xml:space="preserve">LCKATM42Y1M1</t>
        </is>
      </c>
      <c r="D2104" s="0" t="inlineStr">
        <is>
          <t xml:space="preserve">-</t>
        </is>
      </c>
      <c r="E2104" s="0" t="inlineStr">
        <is>
          <t xml:space="preserve">-</t>
        </is>
      </c>
      <c r="F2104" s="0" t="inlineStr">
        <is>
          <t xml:space="preserve">-</t>
        </is>
      </c>
      <c r="G2104" s="5">
        <v>0.02927</v>
      </c>
      <c r="H2104" s="0" t="inlineStr">
        <is>
          <t xml:space="preserve">supplier</t>
        </is>
      </c>
      <c r="I2104" s="0" t="inlineStr">
        <is>
          <t xml:space="preserve">unbucketed</t>
        </is>
      </c>
      <c r="J2104" s="0" t="inlineStr">
        <is>
          <t xml:space="preserve">residual</t>
        </is>
      </c>
      <c r="K2104" s="5">
        <v>0</v>
      </c>
      <c r="L2104" s="5">
        <v>0</v>
      </c>
      <c r="M2104" s="5">
        <v>0.02927</v>
      </c>
      <c r="N2104" s="5">
        <v>0.0</v>
      </c>
      <c r="O2104" s="5">
        <v>0.0</v>
      </c>
      <c r="P2104" s="5">
        <v>0.02927</v>
      </c>
      <c r="Q2104" s="5">
        <v>0.0</v>
      </c>
    </row>
    <row r="2105" outlineLevel="1">
      <c r="B2105" s="0" t="inlineStr">
        <is>
          <t xml:space="preserve">BENNETT DIE &amp; TOOL, INC.</t>
        </is>
      </c>
      <c r="C2105" s="0" t="inlineStr">
        <is>
          <t xml:space="preserve">JNJFRGW5JCQ9</t>
        </is>
      </c>
      <c r="D2105" s="0" t="inlineStr">
        <is>
          <t xml:space="preserve">-</t>
        </is>
      </c>
      <c r="E2105" s="0" t="inlineStr">
        <is>
          <t xml:space="preserve">-</t>
        </is>
      </c>
      <c r="F2105" s="0" t="inlineStr">
        <is>
          <t xml:space="preserve">-</t>
        </is>
      </c>
      <c r="G2105" s="5">
        <v>0.028150400000000003</v>
      </c>
      <c r="H2105" s="0" t="inlineStr">
        <is>
          <t xml:space="preserve">supplier</t>
        </is>
      </c>
      <c r="I2105" s="0" t="inlineStr">
        <is>
          <t xml:space="preserve">unbucketed</t>
        </is>
      </c>
      <c r="J2105" s="0" t="inlineStr">
        <is>
          <t xml:space="preserve">residual</t>
        </is>
      </c>
      <c r="K2105" s="5">
        <v>0</v>
      </c>
      <c r="L2105" s="5">
        <v>0</v>
      </c>
      <c r="M2105" s="5">
        <v>0.0</v>
      </c>
      <c r="N2105" s="5">
        <v>0.0</v>
      </c>
      <c r="O2105" s="5">
        <v>0.0</v>
      </c>
      <c r="P2105" s="5">
        <v>0.0</v>
      </c>
      <c r="Q2105" s="5">
        <v>0.0</v>
      </c>
    </row>
    <row r="2106" outlineLevel="1">
      <c r="B2106" s="0" t="inlineStr">
        <is>
          <t xml:space="preserve">THE JUDGE GROUP INC</t>
        </is>
      </c>
      <c r="C2106" s="0" t="inlineStr">
        <is>
          <t xml:space="preserve">ZTFGC4Q5RFB5</t>
        </is>
      </c>
      <c r="D2106" s="0" t="inlineStr">
        <is>
          <t xml:space="preserve">-</t>
        </is>
      </c>
      <c r="E2106" s="0" t="inlineStr">
        <is>
          <t xml:space="preserve">-</t>
        </is>
      </c>
      <c r="F2106" s="0" t="inlineStr">
        <is>
          <t xml:space="preserve">-</t>
        </is>
      </c>
      <c r="G2106" s="5">
        <v>0.02783</v>
      </c>
      <c r="H2106" s="0" t="inlineStr">
        <is>
          <t xml:space="preserve">supplier</t>
        </is>
      </c>
      <c r="I2106" s="0" t="inlineStr">
        <is>
          <t xml:space="preserve">unbucketed</t>
        </is>
      </c>
      <c r="J2106" s="0" t="inlineStr">
        <is>
          <t xml:space="preserve">residual</t>
        </is>
      </c>
      <c r="K2106" s="5">
        <v>0</v>
      </c>
      <c r="L2106" s="5">
        <v>0</v>
      </c>
      <c r="M2106" s="5">
        <v>0.0</v>
      </c>
      <c r="N2106" s="5">
        <v>0.0</v>
      </c>
      <c r="O2106" s="5">
        <v>0.0</v>
      </c>
      <c r="P2106" s="5">
        <v>0.0</v>
      </c>
      <c r="Q2106" s="5">
        <v>0.0</v>
      </c>
    </row>
    <row r="2107" outlineLevel="1">
      <c r="B2107" s="0" t="inlineStr">
        <is>
          <t xml:space="preserve">CHELSEA CLOCK, LLC, THE</t>
        </is>
      </c>
      <c r="C2107" s="0" t="inlineStr">
        <is>
          <t xml:space="preserve">KAJ2U4MCB329</t>
        </is>
      </c>
      <c r="D2107" s="0" t="inlineStr">
        <is>
          <t xml:space="preserve">-</t>
        </is>
      </c>
      <c r="E2107" s="0" t="inlineStr">
        <is>
          <t xml:space="preserve">-</t>
        </is>
      </c>
      <c r="F2107" s="0" t="inlineStr">
        <is>
          <t xml:space="preserve">-</t>
        </is>
      </c>
      <c r="G2107" s="5">
        <v>0.02762</v>
      </c>
      <c r="H2107" s="0" t="inlineStr">
        <is>
          <t xml:space="preserve">supplier</t>
        </is>
      </c>
      <c r="I2107" s="0" t="inlineStr">
        <is>
          <t xml:space="preserve">unbucketed</t>
        </is>
      </c>
      <c r="J2107" s="0" t="inlineStr">
        <is>
          <t xml:space="preserve">residual</t>
        </is>
      </c>
      <c r="K2107" s="5">
        <v>0</v>
      </c>
      <c r="L2107" s="5">
        <v>0</v>
      </c>
      <c r="M2107" s="5">
        <v>0.02762</v>
      </c>
      <c r="N2107" s="5">
        <v>0.0</v>
      </c>
      <c r="O2107" s="5">
        <v>0.0</v>
      </c>
      <c r="P2107" s="5">
        <v>0.0</v>
      </c>
      <c r="Q2107" s="5">
        <v>0.0</v>
      </c>
    </row>
    <row r="2108" outlineLevel="1">
      <c r="B2108" s="0" t="inlineStr">
        <is>
          <t xml:space="preserve">TECHNOBOX, INC.</t>
        </is>
      </c>
      <c r="C2108" s="0" t="inlineStr">
        <is>
          <t xml:space="preserve">MH13JYA8MDG1</t>
        </is>
      </c>
      <c r="D2108" s="0" t="inlineStr">
        <is>
          <t xml:space="preserve">-</t>
        </is>
      </c>
      <c r="E2108" s="0" t="inlineStr">
        <is>
          <t xml:space="preserve">-</t>
        </is>
      </c>
      <c r="F2108" s="0" t="inlineStr">
        <is>
          <t xml:space="preserve">-</t>
        </is>
      </c>
      <c r="G2108" s="5">
        <v>0.02761276</v>
      </c>
      <c r="H2108" s="0" t="inlineStr">
        <is>
          <t xml:space="preserve">supplier</t>
        </is>
      </c>
      <c r="I2108" s="0" t="inlineStr">
        <is>
          <t xml:space="preserve">unbucketed</t>
        </is>
      </c>
      <c r="J2108" s="0" t="inlineStr">
        <is>
          <t xml:space="preserve">residual</t>
        </is>
      </c>
      <c r="K2108" s="5">
        <v>0</v>
      </c>
      <c r="L2108" s="5">
        <v>0</v>
      </c>
      <c r="M2108" s="5">
        <v>0.0</v>
      </c>
      <c r="N2108" s="5">
        <v>0.0</v>
      </c>
      <c r="O2108" s="5">
        <v>0.0</v>
      </c>
      <c r="P2108" s="5">
        <v>0.0</v>
      </c>
      <c r="Q2108" s="5">
        <v>0.0</v>
      </c>
    </row>
    <row r="2109" outlineLevel="1">
      <c r="B2109" s="0" t="inlineStr">
        <is>
          <t xml:space="preserve">KAHN AND COMPANY, INCORPORATED</t>
        </is>
      </c>
      <c r="C2109" s="0" t="inlineStr">
        <is>
          <t xml:space="preserve">ZZG5TB4JCKE1</t>
        </is>
      </c>
      <c r="D2109" s="0" t="inlineStr">
        <is>
          <t xml:space="preserve">-</t>
        </is>
      </c>
      <c r="E2109" s="0" t="inlineStr">
        <is>
          <t xml:space="preserve">-</t>
        </is>
      </c>
      <c r="F2109" s="0" t="inlineStr">
        <is>
          <t xml:space="preserve">-</t>
        </is>
      </c>
      <c r="G2109" s="5">
        <v>0.02709</v>
      </c>
      <c r="H2109" s="0" t="inlineStr">
        <is>
          <t xml:space="preserve">supplier</t>
        </is>
      </c>
      <c r="I2109" s="0" t="inlineStr">
        <is>
          <t xml:space="preserve">unbucketed</t>
        </is>
      </c>
      <c r="J2109" s="0" t="inlineStr">
        <is>
          <t xml:space="preserve">residual</t>
        </is>
      </c>
      <c r="K2109" s="5">
        <v>0</v>
      </c>
      <c r="L2109" s="5">
        <v>0</v>
      </c>
      <c r="M2109" s="5">
        <v>0.02709</v>
      </c>
      <c r="N2109" s="5">
        <v>0.0</v>
      </c>
      <c r="O2109" s="5">
        <v>0.0</v>
      </c>
      <c r="P2109" s="5">
        <v>0.0</v>
      </c>
      <c r="Q2109" s="5">
        <v>0.0</v>
      </c>
    </row>
    <row r="2110" outlineLevel="1">
      <c r="B2110" s="0" t="inlineStr">
        <is>
          <t xml:space="preserve">SANMINA-SCI CORPORATION</t>
        </is>
      </c>
      <c r="C2110" s="0" t="inlineStr">
        <is>
          <t xml:space="preserve">CM2MNFUDAKM4</t>
        </is>
      </c>
      <c r="D2110" s="0" t="inlineStr">
        <is>
          <t xml:space="preserve">-</t>
        </is>
      </c>
      <c r="E2110" s="0" t="inlineStr">
        <is>
          <t xml:space="preserve">-</t>
        </is>
      </c>
      <c r="F2110" s="0" t="inlineStr">
        <is>
          <t xml:space="preserve">-</t>
        </is>
      </c>
      <c r="G2110" s="5">
        <v>0.02675556</v>
      </c>
      <c r="H2110" s="0" t="inlineStr">
        <is>
          <t xml:space="preserve">supplier</t>
        </is>
      </c>
      <c r="I2110" s="0" t="inlineStr">
        <is>
          <t xml:space="preserve">unbucketed</t>
        </is>
      </c>
      <c r="J2110" s="0" t="inlineStr">
        <is>
          <t xml:space="preserve">residual</t>
        </is>
      </c>
      <c r="K2110" s="5">
        <v>0</v>
      </c>
      <c r="L2110" s="5">
        <v>0</v>
      </c>
      <c r="M2110" s="5">
        <v>0.0</v>
      </c>
      <c r="N2110" s="5">
        <v>0.0</v>
      </c>
      <c r="O2110" s="5">
        <v>0.0</v>
      </c>
      <c r="P2110" s="5">
        <v>0.0</v>
      </c>
      <c r="Q2110" s="5">
        <v>0.0</v>
      </c>
    </row>
    <row r="2111" outlineLevel="1">
      <c r="B2111" s="0" t="inlineStr">
        <is>
          <t xml:space="preserve">KLUMB LUMBER COMPANY</t>
        </is>
      </c>
      <c r="C2111" s="0" t="inlineStr">
        <is>
          <t xml:space="preserve">HEUNPCKQLMN5</t>
        </is>
      </c>
      <c r="D2111" s="0" t="inlineStr">
        <is>
          <t xml:space="preserve">-</t>
        </is>
      </c>
      <c r="E2111" s="0" t="inlineStr">
        <is>
          <t xml:space="preserve">-</t>
        </is>
      </c>
      <c r="F2111" s="0" t="inlineStr">
        <is>
          <t xml:space="preserve">-</t>
        </is>
      </c>
      <c r="G2111" s="5">
        <v>0.02656524</v>
      </c>
      <c r="H2111" s="0" t="inlineStr">
        <is>
          <t xml:space="preserve">supplier</t>
        </is>
      </c>
      <c r="I2111" s="0" t="inlineStr">
        <is>
          <t xml:space="preserve">unbucketed</t>
        </is>
      </c>
      <c r="J2111" s="0" t="inlineStr">
        <is>
          <t xml:space="preserve">residual</t>
        </is>
      </c>
      <c r="K2111" s="5">
        <v>0</v>
      </c>
      <c r="L2111" s="5">
        <v>0</v>
      </c>
      <c r="M2111" s="5">
        <v>0.02656524</v>
      </c>
      <c r="N2111" s="5">
        <v>0.0</v>
      </c>
      <c r="O2111" s="5">
        <v>0.0</v>
      </c>
      <c r="P2111" s="5">
        <v>0.0</v>
      </c>
      <c r="Q2111" s="5">
        <v>0.0</v>
      </c>
    </row>
    <row r="2112" outlineLevel="1">
      <c r="B2112" s="0" t="inlineStr">
        <is>
          <t xml:space="preserve">SOUTHERN RUBBER &amp; SPECIALTIES, , INC.</t>
        </is>
      </c>
      <c r="C2112" s="0" t="inlineStr">
        <is>
          <t xml:space="preserve">HHFGANSDJXN8</t>
        </is>
      </c>
      <c r="D2112" s="0" t="inlineStr">
        <is>
          <t xml:space="preserve">-</t>
        </is>
      </c>
      <c r="E2112" s="0" t="inlineStr">
        <is>
          <t xml:space="preserve">-</t>
        </is>
      </c>
      <c r="F2112" s="0" t="inlineStr">
        <is>
          <t xml:space="preserve">-</t>
        </is>
      </c>
      <c r="G2112" s="5">
        <v>0.026454</v>
      </c>
      <c r="H2112" s="0" t="inlineStr">
        <is>
          <t xml:space="preserve">supplier</t>
        </is>
      </c>
      <c r="I2112" s="0" t="inlineStr">
        <is>
          <t xml:space="preserve">unbucketed</t>
        </is>
      </c>
      <c r="J2112" s="0" t="inlineStr">
        <is>
          <t xml:space="preserve">residual</t>
        </is>
      </c>
      <c r="K2112" s="5">
        <v>0</v>
      </c>
      <c r="L2112" s="5">
        <v>0</v>
      </c>
      <c r="M2112" s="5">
        <v>0.026454</v>
      </c>
      <c r="N2112" s="5">
        <v>0.0</v>
      </c>
      <c r="O2112" s="5">
        <v>0.0</v>
      </c>
      <c r="P2112" s="5">
        <v>0.0</v>
      </c>
      <c r="Q2112" s="5">
        <v>0.0</v>
      </c>
    </row>
    <row r="2113" outlineLevel="1">
      <c r="B2113" s="0" t="inlineStr">
        <is>
          <t xml:space="preserve">PORT ELECTRONICS CORP.</t>
        </is>
      </c>
      <c r="C2113" s="0" t="inlineStr">
        <is>
          <t xml:space="preserve">LRNPUBGWKNA1</t>
        </is>
      </c>
      <c r="D2113" s="0" t="inlineStr">
        <is>
          <t xml:space="preserve">USA</t>
        </is>
      </c>
      <c r="E2113" s="0" t="inlineStr">
        <is>
          <t xml:space="preserve">4236</t>
        </is>
      </c>
      <c r="F2113" s="0" t="inlineStr">
        <is>
          <t xml:space="preserve">Other Electronic Parts and Equipment Merchant Wholesalers</t>
        </is>
      </c>
      <c r="G2113" s="5">
        <v>0.0263877</v>
      </c>
      <c r="H2113" s="0" t="inlineStr">
        <is>
          <t xml:space="preserve">service</t>
        </is>
      </c>
      <c r="I2113" s="0" t="inlineStr">
        <is>
          <t xml:space="preserve">-</t>
        </is>
      </c>
      <c r="J2113" s="0" t="inlineStr">
        <is>
          <t xml:space="preserve">service NAICS</t>
        </is>
      </c>
      <c r="K2113" s="5">
        <v>0</v>
      </c>
      <c r="L2113" s="5">
        <v>0</v>
      </c>
      <c r="M2113" s="5">
        <v>0.0</v>
      </c>
      <c r="N2113" s="5">
        <v>0.0</v>
      </c>
      <c r="O2113" s="5">
        <v>0.0</v>
      </c>
      <c r="P2113" s="5">
        <v>0.0</v>
      </c>
      <c r="Q2113" s="5">
        <v>0.0</v>
      </c>
    </row>
    <row r="2114" outlineLevel="1">
      <c r="B2114" s="0" t="inlineStr">
        <is>
          <t xml:space="preserve">LUMEN TECHNOLOGIES, INC.</t>
        </is>
      </c>
      <c r="C2114" s="0" t="inlineStr">
        <is>
          <t xml:space="preserve">LYV8XEV314F6</t>
        </is>
      </c>
      <c r="D2114" s="0" t="inlineStr">
        <is>
          <t xml:space="preserve">-</t>
        </is>
      </c>
      <c r="E2114" s="0" t="inlineStr">
        <is>
          <t xml:space="preserve">-</t>
        </is>
      </c>
      <c r="F2114" s="0" t="inlineStr">
        <is>
          <t xml:space="preserve">-</t>
        </is>
      </c>
      <c r="G2114" s="5">
        <v>0.026224</v>
      </c>
      <c r="H2114" s="0" t="inlineStr">
        <is>
          <t xml:space="preserve">supplier</t>
        </is>
      </c>
      <c r="I2114" s="0" t="inlineStr">
        <is>
          <t xml:space="preserve">unbucketed</t>
        </is>
      </c>
      <c r="J2114" s="0" t="inlineStr">
        <is>
          <t xml:space="preserve">residual</t>
        </is>
      </c>
      <c r="K2114" s="5">
        <v>0</v>
      </c>
      <c r="L2114" s="5">
        <v>0</v>
      </c>
      <c r="M2114" s="5">
        <v>0.026224</v>
      </c>
      <c r="N2114" s="5">
        <v>0.0</v>
      </c>
      <c r="O2114" s="5">
        <v>0.026224</v>
      </c>
      <c r="P2114" s="5">
        <v>0.0</v>
      </c>
      <c r="Q2114" s="5">
        <v>0.0</v>
      </c>
    </row>
    <row r="2115" outlineLevel="1">
      <c r="B2115" s="0" t="inlineStr">
        <is>
          <t xml:space="preserve">AIR SYSTEM COMPONENTS, INC</t>
        </is>
      </c>
      <c r="C2115" s="0" t="inlineStr">
        <is>
          <t xml:space="preserve">E83TNKA9JCY6</t>
        </is>
      </c>
      <c r="D2115" s="0" t="inlineStr">
        <is>
          <t xml:space="preserve">-</t>
        </is>
      </c>
      <c r="E2115" s="0" t="inlineStr">
        <is>
          <t xml:space="preserve">-</t>
        </is>
      </c>
      <c r="F2115" s="0" t="inlineStr">
        <is>
          <t xml:space="preserve">-</t>
        </is>
      </c>
      <c r="G2115" s="5">
        <v>0.026068</v>
      </c>
      <c r="H2115" s="0" t="inlineStr">
        <is>
          <t xml:space="preserve">supplier</t>
        </is>
      </c>
      <c r="I2115" s="0" t="inlineStr">
        <is>
          <t xml:space="preserve">unbucketed</t>
        </is>
      </c>
      <c r="J2115" s="0" t="inlineStr">
        <is>
          <t xml:space="preserve">residual</t>
        </is>
      </c>
      <c r="K2115" s="5">
        <v>0</v>
      </c>
      <c r="L2115" s="5">
        <v>0</v>
      </c>
      <c r="M2115" s="5">
        <v>0.026068</v>
      </c>
      <c r="N2115" s="5">
        <v>0.026068</v>
      </c>
      <c r="O2115" s="5">
        <v>0.0</v>
      </c>
      <c r="P2115" s="5">
        <v>0.0</v>
      </c>
      <c r="Q2115" s="5">
        <v>0.0</v>
      </c>
    </row>
    <row r="2116" outlineLevel="1">
      <c r="B2116" s="0" t="inlineStr">
        <is>
          <t xml:space="preserve">ASC ENGINEERED SOLUTIONS, LLC</t>
        </is>
      </c>
      <c r="C2116" s="0" t="inlineStr">
        <is>
          <t xml:space="preserve">KNY4J2WMVJX3</t>
        </is>
      </c>
      <c r="D2116" s="0" t="inlineStr">
        <is>
          <t xml:space="preserve">-</t>
        </is>
      </c>
      <c r="E2116" s="0" t="inlineStr">
        <is>
          <t xml:space="preserve">-</t>
        </is>
      </c>
      <c r="F2116" s="0" t="inlineStr">
        <is>
          <t xml:space="preserve">-</t>
        </is>
      </c>
      <c r="G2116" s="5">
        <v>0.025994169999999997</v>
      </c>
      <c r="H2116" s="0" t="inlineStr">
        <is>
          <t xml:space="preserve">supplier</t>
        </is>
      </c>
      <c r="I2116" s="0" t="inlineStr">
        <is>
          <t xml:space="preserve">unbucketed</t>
        </is>
      </c>
      <c r="J2116" s="0" t="inlineStr">
        <is>
          <t xml:space="preserve">residual</t>
        </is>
      </c>
      <c r="K2116" s="5">
        <v>0</v>
      </c>
      <c r="L2116" s="5">
        <v>0</v>
      </c>
      <c r="M2116" s="5">
        <v>0.025994169999999997</v>
      </c>
      <c r="N2116" s="5">
        <v>0.025994169999999997</v>
      </c>
      <c r="O2116" s="5">
        <v>0.0</v>
      </c>
      <c r="P2116" s="5">
        <v>0.0</v>
      </c>
      <c r="Q2116" s="5">
        <v>0.0</v>
      </c>
    </row>
    <row r="2117" outlineLevel="1">
      <c r="B2117" s="0" t="inlineStr">
        <is>
          <t xml:space="preserve">DEZURIK, INC.</t>
        </is>
      </c>
      <c r="C2117" s="0" t="inlineStr">
        <is>
          <t xml:space="preserve">J6MHT1L54CG4</t>
        </is>
      </c>
      <c r="D2117" s="0" t="inlineStr">
        <is>
          <t xml:space="preserve">-</t>
        </is>
      </c>
      <c r="E2117" s="0" t="inlineStr">
        <is>
          <t xml:space="preserve">-</t>
        </is>
      </c>
      <c r="F2117" s="0" t="inlineStr">
        <is>
          <t xml:space="preserve">-</t>
        </is>
      </c>
      <c r="G2117" s="5">
        <v>0.025844</v>
      </c>
      <c r="H2117" s="0" t="inlineStr">
        <is>
          <t xml:space="preserve">supplier</t>
        </is>
      </c>
      <c r="I2117" s="0" t="inlineStr">
        <is>
          <t xml:space="preserve">unbucketed</t>
        </is>
      </c>
      <c r="J2117" s="0" t="inlineStr">
        <is>
          <t xml:space="preserve">residual</t>
        </is>
      </c>
      <c r="K2117" s="5">
        <v>0</v>
      </c>
      <c r="L2117" s="5">
        <v>0</v>
      </c>
      <c r="M2117" s="5">
        <v>0.025844</v>
      </c>
      <c r="N2117" s="5">
        <v>0.0</v>
      </c>
      <c r="O2117" s="5">
        <v>0.025844</v>
      </c>
      <c r="P2117" s="5">
        <v>0.0</v>
      </c>
      <c r="Q2117" s="5">
        <v>0.0</v>
      </c>
    </row>
    <row r="2118" outlineLevel="1">
      <c r="B2118" s="0" t="inlineStr">
        <is>
          <t xml:space="preserve">TAVERNIER DIDIER</t>
        </is>
      </c>
      <c r="C2118" s="0" t="inlineStr">
        <is>
          <t xml:space="preserve">JK16ZQ9FRJ51</t>
        </is>
      </c>
      <c r="D2118" s="0" t="inlineStr">
        <is>
          <t xml:space="preserve">Foreign</t>
        </is>
      </c>
      <c r="E2118" s="0" t="inlineStr">
        <is>
          <t xml:space="preserve">-</t>
        </is>
      </c>
      <c r="F2118" s="0" t="inlineStr">
        <is>
          <t xml:space="preserve">-</t>
        </is>
      </c>
      <c r="G2118" s="5">
        <v>0.025462</v>
      </c>
      <c r="H2118" s="0" t="inlineStr">
        <is>
          <t xml:space="preserve">foreign_fms</t>
        </is>
      </c>
      <c r="I2118" s="0" t="inlineStr">
        <is>
          <t xml:space="preserve">-</t>
        </is>
      </c>
      <c r="J2118" s="0" t="inlineStr">
        <is>
          <t xml:space="preserve">foreign flag</t>
        </is>
      </c>
      <c r="K2118" s="5">
        <v>0</v>
      </c>
      <c r="L2118" s="5">
        <v>0</v>
      </c>
      <c r="M2118" s="5">
        <v>0.025462</v>
      </c>
      <c r="N2118" s="5">
        <v>0.0</v>
      </c>
      <c r="O2118" s="5">
        <v>0.0</v>
      </c>
      <c r="P2118" s="5">
        <v>0.0</v>
      </c>
      <c r="Q2118" s="5">
        <v>0.0</v>
      </c>
    </row>
    <row r="2119" outlineLevel="1">
      <c r="B2119" s="0" t="inlineStr">
        <is>
          <t xml:space="preserve">COLFAX CORPORATION</t>
        </is>
      </c>
      <c r="C2119" s="0" t="inlineStr">
        <is>
          <t xml:space="preserve">YHGHMGTME7A5</t>
        </is>
      </c>
      <c r="D2119" s="0" t="inlineStr">
        <is>
          <t xml:space="preserve">-</t>
        </is>
      </c>
      <c r="E2119" s="0" t="inlineStr">
        <is>
          <t xml:space="preserve">-</t>
        </is>
      </c>
      <c r="F2119" s="0" t="inlineStr">
        <is>
          <t xml:space="preserve">-</t>
        </is>
      </c>
      <c r="G2119" s="5">
        <v>0.025215</v>
      </c>
      <c r="H2119" s="0" t="inlineStr">
        <is>
          <t xml:space="preserve">supplier</t>
        </is>
      </c>
      <c r="I2119" s="0" t="inlineStr">
        <is>
          <t xml:space="preserve">unbucketed</t>
        </is>
      </c>
      <c r="J2119" s="0" t="inlineStr">
        <is>
          <t xml:space="preserve">residual</t>
        </is>
      </c>
      <c r="K2119" s="5">
        <v>0</v>
      </c>
      <c r="L2119" s="5">
        <v>0</v>
      </c>
      <c r="M2119" s="5">
        <v>0.025215</v>
      </c>
      <c r="N2119" s="5">
        <v>0.0</v>
      </c>
      <c r="O2119" s="5">
        <v>0.0</v>
      </c>
      <c r="P2119" s="5">
        <v>0.0</v>
      </c>
      <c r="Q2119" s="5">
        <v>0.0</v>
      </c>
    </row>
    <row r="2120" outlineLevel="1">
      <c r="B2120" s="0" t="inlineStr">
        <is>
          <t xml:space="preserve">ELLISON BRONZE INC</t>
        </is>
      </c>
      <c r="C2120" s="0" t="inlineStr">
        <is>
          <t xml:space="preserve">J683M8AF97Q5</t>
        </is>
      </c>
      <c r="D2120" s="0" t="inlineStr">
        <is>
          <t xml:space="preserve">-</t>
        </is>
      </c>
      <c r="E2120" s="0" t="inlineStr">
        <is>
          <t xml:space="preserve">-</t>
        </is>
      </c>
      <c r="F2120" s="0" t="inlineStr">
        <is>
          <t xml:space="preserve">-</t>
        </is>
      </c>
      <c r="G2120" s="5">
        <v>0.025025</v>
      </c>
      <c r="H2120" s="0" t="inlineStr">
        <is>
          <t xml:space="preserve">supplier</t>
        </is>
      </c>
      <c r="I2120" s="0" t="inlineStr">
        <is>
          <t xml:space="preserve">unbucketed</t>
        </is>
      </c>
      <c r="J2120" s="0" t="inlineStr">
        <is>
          <t xml:space="preserve">residual</t>
        </is>
      </c>
      <c r="K2120" s="5">
        <v>0</v>
      </c>
      <c r="L2120" s="5">
        <v>0</v>
      </c>
      <c r="M2120" s="5">
        <v>0.025025</v>
      </c>
      <c r="N2120" s="5">
        <v>0.0</v>
      </c>
      <c r="O2120" s="5">
        <v>0.0</v>
      </c>
      <c r="P2120" s="5">
        <v>0.025025</v>
      </c>
      <c r="Q2120" s="5">
        <v>0.0</v>
      </c>
    </row>
    <row r="2121" outlineLevel="1">
      <c r="B2121" s="0" t="inlineStr">
        <is>
          <t xml:space="preserve">EGAN COMPANY</t>
        </is>
      </c>
      <c r="C2121" s="0" t="inlineStr">
        <is>
          <t xml:space="preserve">QEYBH9QVNP23</t>
        </is>
      </c>
      <c r="D2121" s="0" t="inlineStr">
        <is>
          <t xml:space="preserve">-</t>
        </is>
      </c>
      <c r="E2121" s="0" t="inlineStr">
        <is>
          <t xml:space="preserve">-</t>
        </is>
      </c>
      <c r="F2121" s="0" t="inlineStr">
        <is>
          <t xml:space="preserve">-</t>
        </is>
      </c>
      <c r="G2121" s="5">
        <v>0.025</v>
      </c>
      <c r="H2121" s="0" t="inlineStr">
        <is>
          <t xml:space="preserve">supplier</t>
        </is>
      </c>
      <c r="I2121" s="0" t="inlineStr">
        <is>
          <t xml:space="preserve">unbucketed</t>
        </is>
      </c>
      <c r="J2121" s="0" t="inlineStr">
        <is>
          <t xml:space="preserve">residual</t>
        </is>
      </c>
      <c r="K2121" s="5">
        <v>0</v>
      </c>
      <c r="L2121" s="5">
        <v>0</v>
      </c>
      <c r="M2121" s="5">
        <v>0.0</v>
      </c>
      <c r="N2121" s="5">
        <v>0.0</v>
      </c>
      <c r="O2121" s="5">
        <v>0.0</v>
      </c>
      <c r="P2121" s="5">
        <v>0.0</v>
      </c>
      <c r="Q2121" s="5">
        <v>0.0</v>
      </c>
    </row>
    <row r="2122" outlineLevel="1">
      <c r="B2122" s="0" t="inlineStr">
        <is>
          <t xml:space="preserve">RAYTHEON COMPANY</t>
        </is>
      </c>
      <c r="C2122" s="0" t="inlineStr">
        <is>
          <t xml:space="preserve">ENC9Y8JGL3E9</t>
        </is>
      </c>
      <c r="D2122" s="0" t="inlineStr">
        <is>
          <t xml:space="preserve">-</t>
        </is>
      </c>
      <c r="E2122" s="0" t="inlineStr">
        <is>
          <t xml:space="preserve">-</t>
        </is>
      </c>
      <c r="F2122" s="0" t="inlineStr">
        <is>
          <t xml:space="preserve">-</t>
        </is>
      </c>
      <c r="G2122" s="5">
        <v>0.02233047</v>
      </c>
      <c r="H2122" s="0" t="inlineStr">
        <is>
          <t xml:space="preserve">supplier</t>
        </is>
      </c>
      <c r="I2122" s="0" t="inlineStr">
        <is>
          <t xml:space="preserve">coatings</t>
        </is>
      </c>
      <c r="J2122" s="0" t="inlineStr">
        <is>
          <t xml:space="preserve">registry</t>
        </is>
      </c>
      <c r="K2122" s="5">
        <v>0</v>
      </c>
      <c r="L2122" s="5">
        <v>0</v>
      </c>
      <c r="M2122" s="5">
        <v>0.0</v>
      </c>
      <c r="N2122" s="5">
        <v>0.0</v>
      </c>
      <c r="O2122" s="5">
        <v>0.0</v>
      </c>
      <c r="P2122" s="5">
        <v>0.0</v>
      </c>
      <c r="Q2122" s="5">
        <v>0.0</v>
      </c>
    </row>
    <row r="2123" outlineLevel="1">
      <c r="B2123" s="0" t="inlineStr">
        <is>
          <t xml:space="preserve">NRL &amp; ASSOCIATES INC</t>
        </is>
      </c>
      <c r="C2123" s="0" t="inlineStr">
        <is>
          <t xml:space="preserve">XNKNJAGGN694</t>
        </is>
      </c>
      <c r="D2123" s="0" t="inlineStr">
        <is>
          <t xml:space="preserve">-</t>
        </is>
      </c>
      <c r="E2123" s="0" t="inlineStr">
        <is>
          <t xml:space="preserve">-</t>
        </is>
      </c>
      <c r="F2123" s="0" t="inlineStr">
        <is>
          <t xml:space="preserve">-</t>
        </is>
      </c>
      <c r="G2123" s="5">
        <v>0.021914</v>
      </c>
      <c r="H2123" s="0" t="inlineStr">
        <is>
          <t xml:space="preserve">supplier</t>
        </is>
      </c>
      <c r="I2123" s="0" t="inlineStr">
        <is>
          <t xml:space="preserve">unbucketed</t>
        </is>
      </c>
      <c r="J2123" s="0" t="inlineStr">
        <is>
          <t xml:space="preserve">residual</t>
        </is>
      </c>
      <c r="K2123" s="5">
        <v>0</v>
      </c>
      <c r="L2123" s="5">
        <v>0</v>
      </c>
      <c r="M2123" s="5">
        <v>0.0</v>
      </c>
      <c r="N2123" s="5">
        <v>0.0</v>
      </c>
      <c r="O2123" s="5">
        <v>0.0</v>
      </c>
      <c r="P2123" s="5">
        <v>0.0</v>
      </c>
      <c r="Q2123" s="5">
        <v>0.0</v>
      </c>
    </row>
    <row r="2124" outlineLevel="1">
      <c r="B2124" s="0" t="inlineStr">
        <is>
          <t xml:space="preserve">PINNACLE CENTRAL COMPANY, INC.</t>
        </is>
      </c>
      <c r="C2124" s="0" t="inlineStr">
        <is>
          <t xml:space="preserve">CPWUSW4XYAM5</t>
        </is>
      </c>
      <c r="D2124" s="0" t="inlineStr">
        <is>
          <t xml:space="preserve">-</t>
        </is>
      </c>
      <c r="E2124" s="0" t="inlineStr">
        <is>
          <t xml:space="preserve">-</t>
        </is>
      </c>
      <c r="F2124" s="0" t="inlineStr">
        <is>
          <t xml:space="preserve">-</t>
        </is>
      </c>
      <c r="G2124" s="5">
        <v>0.020177749999999998</v>
      </c>
      <c r="H2124" s="0" t="inlineStr">
        <is>
          <t xml:space="preserve">supplier</t>
        </is>
      </c>
      <c r="I2124" s="0" t="inlineStr">
        <is>
          <t xml:space="preserve">unbucketed</t>
        </is>
      </c>
      <c r="J2124" s="0" t="inlineStr">
        <is>
          <t xml:space="preserve">residual</t>
        </is>
      </c>
      <c r="K2124" s="5">
        <v>0</v>
      </c>
      <c r="L2124" s="5">
        <v>0</v>
      </c>
      <c r="M2124" s="5">
        <v>0.0</v>
      </c>
      <c r="N2124" s="5">
        <v>0.0</v>
      </c>
      <c r="O2124" s="5">
        <v>0.0</v>
      </c>
      <c r="P2124" s="5">
        <v>0.0</v>
      </c>
      <c r="Q2124" s="5">
        <v>0.0</v>
      </c>
    </row>
    <row r="2125" outlineLevel="1">
      <c r="B2125" s="0" t="inlineStr">
        <is>
          <t xml:space="preserve">NOISEWAVE CORPORATION</t>
        </is>
      </c>
      <c r="C2125" s="0" t="inlineStr">
        <is>
          <t xml:space="preserve">V5LASN1TFDA1</t>
        </is>
      </c>
      <c r="D2125" s="0" t="inlineStr">
        <is>
          <t xml:space="preserve">-</t>
        </is>
      </c>
      <c r="E2125" s="0" t="inlineStr">
        <is>
          <t xml:space="preserve">-</t>
        </is>
      </c>
      <c r="F2125" s="0" t="inlineStr">
        <is>
          <t xml:space="preserve">-</t>
        </is>
      </c>
      <c r="G2125" s="5">
        <v>0.0195</v>
      </c>
      <c r="H2125" s="0" t="inlineStr">
        <is>
          <t xml:space="preserve">supplier</t>
        </is>
      </c>
      <c r="I2125" s="0" t="inlineStr">
        <is>
          <t xml:space="preserve">unbucketed</t>
        </is>
      </c>
      <c r="J2125" s="0" t="inlineStr">
        <is>
          <t xml:space="preserve">residual</t>
        </is>
      </c>
      <c r="K2125" s="5">
        <v>0</v>
      </c>
      <c r="L2125" s="5">
        <v>0</v>
      </c>
      <c r="M2125" s="5">
        <v>0.0</v>
      </c>
      <c r="N2125" s="5">
        <v>0.0</v>
      </c>
      <c r="O2125" s="5">
        <v>0.0</v>
      </c>
      <c r="P2125" s="5">
        <v>0.0</v>
      </c>
      <c r="Q2125" s="5">
        <v>0.0</v>
      </c>
    </row>
    <row r="2126" outlineLevel="1">
      <c r="B2126" s="0" t="inlineStr">
        <is>
          <t xml:space="preserve">RED-D-ARC INC</t>
        </is>
      </c>
      <c r="C2126" s="0" t="inlineStr">
        <is>
          <t xml:space="preserve">DAR5NMQQMY53</t>
        </is>
      </c>
      <c r="D2126" s="0" t="inlineStr">
        <is>
          <t xml:space="preserve">-</t>
        </is>
      </c>
      <c r="E2126" s="0" t="inlineStr">
        <is>
          <t xml:space="preserve">-</t>
        </is>
      </c>
      <c r="F2126" s="0" t="inlineStr">
        <is>
          <t xml:space="preserve">-</t>
        </is>
      </c>
      <c r="G2126" s="5">
        <v>0.01113187</v>
      </c>
      <c r="H2126" s="0" t="inlineStr">
        <is>
          <t xml:space="preserve">supplier</t>
        </is>
      </c>
      <c r="I2126" s="0" t="inlineStr">
        <is>
          <t xml:space="preserve">unbucketed</t>
        </is>
      </c>
      <c r="J2126" s="0" t="inlineStr">
        <is>
          <t xml:space="preserve">residual</t>
        </is>
      </c>
      <c r="K2126" s="5">
        <v>0</v>
      </c>
      <c r="L2126" s="5">
        <v>0</v>
      </c>
      <c r="M2126" s="5">
        <v>0.0</v>
      </c>
      <c r="N2126" s="5">
        <v>0.0</v>
      </c>
      <c r="O2126" s="5">
        <v>0.0</v>
      </c>
      <c r="P2126" s="5">
        <v>0.0</v>
      </c>
      <c r="Q2126" s="5">
        <v>0.0</v>
      </c>
    </row>
    <row r="2127" outlineLevel="1">
      <c r="B2127" s="0" t="inlineStr">
        <is>
          <t xml:space="preserve">GENERAL DYNAMICS INFORMATION TECHNOLOGY, INC.</t>
        </is>
      </c>
      <c r="C2127" s="0" t="inlineStr">
        <is>
          <t xml:space="preserve">SMNWM6HN79X5</t>
        </is>
      </c>
      <c r="D2127" s="0" t="inlineStr">
        <is>
          <t xml:space="preserve">-</t>
        </is>
      </c>
      <c r="E2127" s="0" t="inlineStr">
        <is>
          <t xml:space="preserve">-</t>
        </is>
      </c>
      <c r="F2127" s="0" t="inlineStr">
        <is>
          <t xml:space="preserve">-</t>
        </is>
      </c>
      <c r="G2127" s="5">
        <v>0.00999998</v>
      </c>
      <c r="H2127" s="0" t="inlineStr">
        <is>
          <t xml:space="preserve">prime</t>
        </is>
      </c>
      <c r="I2127" s="0" t="inlineStr">
        <is>
          <t xml:space="preserve">-</t>
        </is>
      </c>
      <c r="J2127" s="0" t="inlineStr">
        <is>
          <t xml:space="preserve">prime/co-prime name</t>
        </is>
      </c>
      <c r="K2127" s="5">
        <v>0</v>
      </c>
      <c r="L2127" s="5">
        <v>0</v>
      </c>
      <c r="M2127" s="5">
        <v>0.0</v>
      </c>
      <c r="N2127" s="5">
        <v>0.0</v>
      </c>
      <c r="O2127" s="5">
        <v>0.0</v>
      </c>
      <c r="P2127" s="5">
        <v>0.0</v>
      </c>
      <c r="Q2127" s="5">
        <v>0.0</v>
      </c>
    </row>
    <row r="2128" outlineLevel="1">
      <c r="B2128" s="0" t="inlineStr">
        <is>
          <t xml:space="preserve">AI CONVOY TOPCO &amp; CY S.C.A.</t>
        </is>
      </c>
      <c r="C2128" s="0" t="inlineStr">
        <is>
          <t xml:space="preserve">VNP2L293JWL6</t>
        </is>
      </c>
      <c r="D2128" s="0" t="inlineStr">
        <is>
          <t xml:space="preserve">-</t>
        </is>
      </c>
      <c r="E2128" s="0" t="inlineStr">
        <is>
          <t xml:space="preserve">-</t>
        </is>
      </c>
      <c r="F2128" s="0" t="inlineStr">
        <is>
          <t xml:space="preserve">-</t>
        </is>
      </c>
      <c r="G2128" s="5">
        <v>0.009792</v>
      </c>
      <c r="H2128" s="0" t="inlineStr">
        <is>
          <t xml:space="preserve">mission_systems</t>
        </is>
      </c>
      <c r="I2128" s="0" t="inlineStr">
        <is>
          <t xml:space="preserve">-</t>
        </is>
      </c>
      <c r="J2128" s="0" t="inlineStr">
        <is>
          <t xml:space="preserve">registry</t>
        </is>
      </c>
      <c r="K2128" s="5">
        <v>0</v>
      </c>
      <c r="L2128" s="5">
        <v>0</v>
      </c>
      <c r="M2128" s="5">
        <v>0.0</v>
      </c>
      <c r="N2128" s="5">
        <v>0.0</v>
      </c>
      <c r="O2128" s="5">
        <v>0.0</v>
      </c>
      <c r="P2128" s="5">
        <v>0.0</v>
      </c>
      <c r="Q2128" s="5">
        <v>0.0</v>
      </c>
    </row>
    <row r="2129" outlineLevel="1">
      <c r="B2129" s="0" t="inlineStr">
        <is>
          <t xml:space="preserve">TOM GARCIA, INC</t>
        </is>
      </c>
      <c r="C2129" s="0" t="inlineStr">
        <is>
          <t xml:space="preserve">FCKLLSACUBT6</t>
        </is>
      </c>
      <c r="D2129" s="0" t="inlineStr">
        <is>
          <t xml:space="preserve">-</t>
        </is>
      </c>
      <c r="E2129" s="0" t="inlineStr">
        <is>
          <t xml:space="preserve">-</t>
        </is>
      </c>
      <c r="F2129" s="0" t="inlineStr">
        <is>
          <t xml:space="preserve">-</t>
        </is>
      </c>
      <c r="G2129" s="5">
        <v>0.00952</v>
      </c>
      <c r="H2129" s="0" t="inlineStr">
        <is>
          <t xml:space="preserve">supplier</t>
        </is>
      </c>
      <c r="I2129" s="0" t="inlineStr">
        <is>
          <t xml:space="preserve">unbucketed</t>
        </is>
      </c>
      <c r="J2129" s="0" t="inlineStr">
        <is>
          <t xml:space="preserve">residual</t>
        </is>
      </c>
      <c r="K2129" s="5">
        <v>0</v>
      </c>
      <c r="L2129" s="5">
        <v>0</v>
      </c>
      <c r="M2129" s="5">
        <v>0.0</v>
      </c>
      <c r="N2129" s="5">
        <v>0.0</v>
      </c>
      <c r="O2129" s="5">
        <v>0.0</v>
      </c>
      <c r="P2129" s="5">
        <v>0.0</v>
      </c>
      <c r="Q2129" s="5">
        <v>0.0</v>
      </c>
    </row>
    <row r="2130" outlineLevel="1">
      <c r="B2130" s="0" t="inlineStr">
        <is>
          <t xml:space="preserve">PERMA-FIX ENVIRONMENTAL SERVICES, INC.</t>
        </is>
      </c>
      <c r="C2130" s="0" t="inlineStr">
        <is>
          <t xml:space="preserve">HLG5NHJJJ4Q8</t>
        </is>
      </c>
      <c r="D2130" s="0" t="inlineStr">
        <is>
          <t xml:space="preserve">-</t>
        </is>
      </c>
      <c r="E2130" s="0" t="inlineStr">
        <is>
          <t xml:space="preserve">-</t>
        </is>
      </c>
      <c r="F2130" s="0" t="inlineStr">
        <is>
          <t xml:space="preserve">-</t>
        </is>
      </c>
      <c r="G2130" s="5">
        <v>0.008150010000000001</v>
      </c>
      <c r="H2130" s="0" t="inlineStr">
        <is>
          <t xml:space="preserve">supplier</t>
        </is>
      </c>
      <c r="I2130" s="0" t="inlineStr">
        <is>
          <t xml:space="preserve">unbucketed</t>
        </is>
      </c>
      <c r="J2130" s="0" t="inlineStr">
        <is>
          <t xml:space="preserve">residual</t>
        </is>
      </c>
      <c r="K2130" s="5">
        <v>0</v>
      </c>
      <c r="L2130" s="5">
        <v>0</v>
      </c>
      <c r="M2130" s="5">
        <v>0.0</v>
      </c>
      <c r="N2130" s="5">
        <v>0.0</v>
      </c>
      <c r="O2130" s="5">
        <v>0.0</v>
      </c>
      <c r="P2130" s="5">
        <v>0.0</v>
      </c>
      <c r="Q2130" s="5">
        <v>0.0</v>
      </c>
    </row>
    <row r="2131" outlineLevel="1">
      <c r="B2131" s="0" t="inlineStr">
        <is>
          <t xml:space="preserve">RED-D-ARC INC.</t>
        </is>
      </c>
      <c r="C2131" s="0" t="inlineStr">
        <is>
          <t xml:space="preserve">DAR5NMQQMY53</t>
        </is>
      </c>
      <c r="D2131" s="0" t="inlineStr">
        <is>
          <t xml:space="preserve">-</t>
        </is>
      </c>
      <c r="E2131" s="0" t="inlineStr">
        <is>
          <t xml:space="preserve">-</t>
        </is>
      </c>
      <c r="F2131" s="0" t="inlineStr">
        <is>
          <t xml:space="preserve">-</t>
        </is>
      </c>
      <c r="G2131" s="5">
        <v>0.00777567</v>
      </c>
      <c r="H2131" s="0" t="inlineStr">
        <is>
          <t xml:space="preserve">supplier</t>
        </is>
      </c>
      <c r="I2131" s="0" t="inlineStr">
        <is>
          <t xml:space="preserve">unbucketed</t>
        </is>
      </c>
      <c r="J2131" s="0" t="inlineStr">
        <is>
          <t xml:space="preserve">residual</t>
        </is>
      </c>
      <c r="K2131" s="5">
        <v>0</v>
      </c>
      <c r="L2131" s="5">
        <v>0</v>
      </c>
      <c r="M2131" s="5">
        <v>0.0</v>
      </c>
      <c r="N2131" s="5">
        <v>0.0</v>
      </c>
      <c r="O2131" s="5">
        <v>0.0</v>
      </c>
      <c r="P2131" s="5">
        <v>0.0</v>
      </c>
      <c r="Q2131" s="5">
        <v>0.0</v>
      </c>
    </row>
    <row r="2132" outlineLevel="1">
      <c r="B2132" s="0" t="inlineStr">
        <is>
          <t xml:space="preserve">OCKERMAN AUTOMATION CONSULTING INC</t>
        </is>
      </c>
      <c r="C2132" s="0" t="inlineStr">
        <is>
          <t xml:space="preserve">YJK3WJEE5W97</t>
        </is>
      </c>
      <c r="D2132" s="0" t="inlineStr">
        <is>
          <t xml:space="preserve">-</t>
        </is>
      </c>
      <c r="E2132" s="0" t="inlineStr">
        <is>
          <t xml:space="preserve">-</t>
        </is>
      </c>
      <c r="F2132" s="0" t="inlineStr">
        <is>
          <t xml:space="preserve">-</t>
        </is>
      </c>
      <c r="G2132" s="5">
        <v>0.007691</v>
      </c>
      <c r="H2132" s="0" t="inlineStr">
        <is>
          <t xml:space="preserve">supplier</t>
        </is>
      </c>
      <c r="I2132" s="0" t="inlineStr">
        <is>
          <t xml:space="preserve">unbucketed</t>
        </is>
      </c>
      <c r="J2132" s="0" t="inlineStr">
        <is>
          <t xml:space="preserve">residual</t>
        </is>
      </c>
      <c r="K2132" s="5">
        <v>0</v>
      </c>
      <c r="L2132" s="5">
        <v>0</v>
      </c>
      <c r="M2132" s="5">
        <v>0.0</v>
      </c>
      <c r="N2132" s="5">
        <v>0.0</v>
      </c>
      <c r="O2132" s="5">
        <v>0.0</v>
      </c>
      <c r="P2132" s="5">
        <v>0.0</v>
      </c>
      <c r="Q2132" s="5">
        <v>0.0</v>
      </c>
    </row>
    <row r="2133" outlineLevel="1">
      <c r="B2133" s="0" t="inlineStr">
        <is>
          <t xml:space="preserve">WARTSILA DEFENSE INC</t>
        </is>
      </c>
      <c r="C2133" s="0" t="inlineStr">
        <is>
          <t xml:space="preserve">TPN7LAC6HGW3</t>
        </is>
      </c>
      <c r="D2133" s="0" t="inlineStr">
        <is>
          <t xml:space="preserve">-</t>
        </is>
      </c>
      <c r="E2133" s="0" t="inlineStr">
        <is>
          <t xml:space="preserve">-</t>
        </is>
      </c>
      <c r="F2133" s="0" t="inlineStr">
        <is>
          <t xml:space="preserve">-</t>
        </is>
      </c>
      <c r="G2133" s="5">
        <v>0.002829</v>
      </c>
      <c r="H2133" s="0" t="inlineStr">
        <is>
          <t xml:space="preserve">supplier</t>
        </is>
      </c>
      <c r="I2133" s="0" t="inlineStr">
        <is>
          <t xml:space="preserve">unbucketed</t>
        </is>
      </c>
      <c r="J2133" s="0" t="inlineStr">
        <is>
          <t xml:space="preserve">residual</t>
        </is>
      </c>
      <c r="K2133" s="5">
        <v>0</v>
      </c>
      <c r="L2133" s="5">
        <v>0</v>
      </c>
      <c r="M2133" s="5">
        <v>0.0</v>
      </c>
      <c r="N2133" s="5">
        <v>0.0</v>
      </c>
      <c r="O2133" s="5">
        <v>0.0</v>
      </c>
      <c r="P2133" s="5">
        <v>0.0</v>
      </c>
      <c r="Q2133" s="5">
        <v>0.0</v>
      </c>
    </row>
    <row r="2134" outlineLevel="1">
      <c r="B2134" s="0" t="inlineStr">
        <is>
          <t xml:space="preserve">STANDARD INSPECTION SERVICES</t>
        </is>
      </c>
      <c r="C2134" s="0" t="inlineStr">
        <is>
          <t xml:space="preserve">RKNLMCX166E4</t>
        </is>
      </c>
      <c r="D2134" s="0" t="inlineStr">
        <is>
          <t xml:space="preserve">-</t>
        </is>
      </c>
      <c r="E2134" s="0" t="inlineStr">
        <is>
          <t xml:space="preserve">-</t>
        </is>
      </c>
      <c r="F2134" s="0" t="inlineStr">
        <is>
          <t xml:space="preserve">-</t>
        </is>
      </c>
      <c r="G2134" s="5">
        <v>0.0025200000000000005</v>
      </c>
      <c r="H2134" s="0" t="inlineStr">
        <is>
          <t xml:space="preserve">supplier</t>
        </is>
      </c>
      <c r="I2134" s="0" t="inlineStr">
        <is>
          <t xml:space="preserve">unbucketed</t>
        </is>
      </c>
      <c r="J2134" s="0" t="inlineStr">
        <is>
          <t xml:space="preserve">residual</t>
        </is>
      </c>
      <c r="K2134" s="5">
        <v>0</v>
      </c>
      <c r="L2134" s="5">
        <v>0</v>
      </c>
      <c r="M2134" s="5">
        <v>0.0</v>
      </c>
      <c r="N2134" s="5">
        <v>0.0</v>
      </c>
      <c r="O2134" s="5">
        <v>0.0</v>
      </c>
      <c r="P2134" s="5">
        <v>0.0</v>
      </c>
      <c r="Q2134" s="5">
        <v>0.0</v>
      </c>
    </row>
    <row r="2135" outlineLevel="1">
      <c r="B2135" s="0" t="inlineStr">
        <is>
          <t xml:space="preserve">CORNING INCORPORATED</t>
        </is>
      </c>
      <c r="C2135" s="0" t="inlineStr">
        <is>
          <t xml:space="preserve">NAW5ZKJ3QEG7</t>
        </is>
      </c>
      <c r="D2135" s="0" t="inlineStr">
        <is>
          <t xml:space="preserve">USA</t>
        </is>
      </c>
      <c r="E2135" s="0" t="inlineStr">
        <is>
          <t xml:space="preserve">3272</t>
        </is>
      </c>
      <c r="F2135" s="0" t="inlineStr">
        <is>
          <t xml:space="preserve">Other Pressed and Blown Glass and Glassware Manufacturing</t>
        </is>
      </c>
      <c r="G2135" s="5">
        <v>0.001008</v>
      </c>
      <c r="H2135" s="0" t="inlineStr">
        <is>
          <t xml:space="preserve">supplier</t>
        </is>
      </c>
      <c r="I2135" s="0" t="inlineStr">
        <is>
          <t xml:space="preserve">unbucketed</t>
        </is>
      </c>
      <c r="J2135" s="0" t="inlineStr">
        <is>
          <t xml:space="preserve">residual</t>
        </is>
      </c>
      <c r="K2135" s="5">
        <v>0</v>
      </c>
      <c r="L2135" s="5">
        <v>0</v>
      </c>
      <c r="M2135" s="5">
        <v>0.0</v>
      </c>
      <c r="N2135" s="5">
        <v>0.0</v>
      </c>
      <c r="O2135" s="5">
        <v>0.0</v>
      </c>
      <c r="P2135" s="5">
        <v>0.0</v>
      </c>
      <c r="Q2135" s="5">
        <v>0.0</v>
      </c>
    </row>
    <row r="2136" outlineLevel="1">
      <c r="B2136" s="0" t="inlineStr">
        <is>
          <t xml:space="preserve">TOM GARCIA, INC.</t>
        </is>
      </c>
      <c r="C2136" s="0" t="inlineStr">
        <is>
          <t xml:space="preserve">FCKLLSACUBT6</t>
        </is>
      </c>
      <c r="D2136" s="0" t="inlineStr">
        <is>
          <t xml:space="preserve">-</t>
        </is>
      </c>
      <c r="E2136" s="0" t="inlineStr">
        <is>
          <t xml:space="preserve">-</t>
        </is>
      </c>
      <c r="F2136" s="0" t="inlineStr">
        <is>
          <t xml:space="preserve">-</t>
        </is>
      </c>
      <c r="G2136" s="5">
        <v>0.00095</v>
      </c>
      <c r="H2136" s="0" t="inlineStr">
        <is>
          <t xml:space="preserve">supplier</t>
        </is>
      </c>
      <c r="I2136" s="0" t="inlineStr">
        <is>
          <t xml:space="preserve">unbucketed</t>
        </is>
      </c>
      <c r="J2136" s="0" t="inlineStr">
        <is>
          <t xml:space="preserve">residual</t>
        </is>
      </c>
      <c r="K2136" s="5">
        <v>0</v>
      </c>
      <c r="L2136" s="5">
        <v>0</v>
      </c>
      <c r="M2136" s="5">
        <v>0.0</v>
      </c>
      <c r="N2136" s="5">
        <v>0.0</v>
      </c>
      <c r="O2136" s="5">
        <v>0.0</v>
      </c>
      <c r="P2136" s="5">
        <v>0.0</v>
      </c>
      <c r="Q2136" s="5">
        <v>0.0</v>
      </c>
    </row>
    <row r="2137" outlineLevel="1">
      <c r="B2137" s="0" t="inlineStr">
        <is>
          <t xml:space="preserve">EMPOWERMENT PARTNERS LLC</t>
        </is>
      </c>
      <c r="C2137" s="0" t="inlineStr">
        <is>
          <t xml:space="preserve">CGNJR1TM1ML5</t>
        </is>
      </c>
      <c r="D2137" s="0" t="inlineStr">
        <is>
          <t xml:space="preserve">-</t>
        </is>
      </c>
      <c r="E2137" s="0" t="inlineStr">
        <is>
          <t xml:space="preserve">-</t>
        </is>
      </c>
      <c r="F2137" s="0" t="inlineStr">
        <is>
          <t xml:space="preserve">-</t>
        </is>
      </c>
      <c r="G2137" s="5">
        <v>6.098637220230962e-20</v>
      </c>
      <c r="H2137" s="0" t="inlineStr">
        <is>
          <t xml:space="preserve">supplier</t>
        </is>
      </c>
      <c r="I2137" s="0" t="inlineStr">
        <is>
          <t xml:space="preserve">unbucketed</t>
        </is>
      </c>
      <c r="J2137" s="0" t="inlineStr">
        <is>
          <t xml:space="preserve">residual</t>
        </is>
      </c>
      <c r="K2137" s="5">
        <v>0</v>
      </c>
      <c r="L2137" s="5">
        <v>0</v>
      </c>
      <c r="M2137" s="5">
        <v>0.0</v>
      </c>
      <c r="N2137" s="5">
        <v>0.0</v>
      </c>
      <c r="O2137" s="5">
        <v>0.0</v>
      </c>
      <c r="P2137" s="5">
        <v>0.0</v>
      </c>
      <c r="Q2137" s="5">
        <v>0.0</v>
      </c>
    </row>
    <row r="2138" outlineLevel="1">
      <c r="B2138" s="0" t="inlineStr">
        <is>
          <t xml:space="preserve">WBPARTS INC</t>
        </is>
      </c>
      <c r="C2138" s="0" t="inlineStr">
        <is>
          <t xml:space="preserve">GGERZB4A1FB3</t>
        </is>
      </c>
      <c r="D2138" s="0" t="inlineStr">
        <is>
          <t xml:space="preserve">-</t>
        </is>
      </c>
      <c r="E2138" s="0" t="inlineStr">
        <is>
          <t xml:space="preserve">-</t>
        </is>
      </c>
      <c r="F2138" s="0" t="inlineStr">
        <is>
          <t xml:space="preserve">-</t>
        </is>
      </c>
      <c r="G2138" s="5">
        <v>0.0</v>
      </c>
      <c r="H2138" s="0" t="inlineStr">
        <is>
          <t xml:space="preserve">supplier</t>
        </is>
      </c>
      <c r="I2138" s="0" t="inlineStr">
        <is>
          <t xml:space="preserve">unbucketed</t>
        </is>
      </c>
      <c r="J2138" s="0" t="inlineStr">
        <is>
          <t xml:space="preserve">residual</t>
        </is>
      </c>
      <c r="K2138" s="5">
        <v>0</v>
      </c>
      <c r="L2138" s="5">
        <v>0</v>
      </c>
      <c r="M2138" s="5">
        <v>0.0</v>
      </c>
      <c r="N2138" s="5">
        <v>0.0</v>
      </c>
      <c r="O2138" s="5">
        <v>0.0</v>
      </c>
      <c r="P2138" s="5">
        <v>0.04625</v>
      </c>
      <c r="Q2138" s="5">
        <v>-0.04625</v>
      </c>
    </row>
    <row r="2139" outlineLevel="1">
      <c r="B2139" s="0" t="inlineStr">
        <is>
          <t xml:space="preserve">PD MURRAY &amp; ASSOCIATES LLC</t>
        </is>
      </c>
      <c r="C2139" s="0" t="inlineStr">
        <is>
          <t xml:space="preserve">MBKTQ9KT6EZ4</t>
        </is>
      </c>
      <c r="D2139" s="0" t="inlineStr">
        <is>
          <t xml:space="preserve">-</t>
        </is>
      </c>
      <c r="E2139" s="0" t="inlineStr">
        <is>
          <t xml:space="preserve">-</t>
        </is>
      </c>
      <c r="F2139" s="0" t="inlineStr">
        <is>
          <t xml:space="preserve">-</t>
        </is>
      </c>
      <c r="G2139" s="5">
        <v>-0.000225</v>
      </c>
      <c r="H2139" s="0" t="inlineStr">
        <is>
          <t xml:space="preserve">supplier</t>
        </is>
      </c>
      <c r="I2139" s="0" t="inlineStr">
        <is>
          <t xml:space="preserve">unbucketed</t>
        </is>
      </c>
      <c r="J2139" s="0" t="inlineStr">
        <is>
          <t xml:space="preserve">residual</t>
        </is>
      </c>
      <c r="K2139" s="5">
        <v>0</v>
      </c>
      <c r="L2139" s="5">
        <v>0</v>
      </c>
      <c r="M2139" s="5">
        <v>0.0</v>
      </c>
      <c r="N2139" s="5">
        <v>0.0</v>
      </c>
      <c r="O2139" s="5">
        <v>0.0</v>
      </c>
      <c r="P2139" s="5">
        <v>0.0</v>
      </c>
      <c r="Q2139" s="5">
        <v>0.0</v>
      </c>
    </row>
    <row r="2140" outlineLevel="1">
      <c r="B2140" s="0" t="inlineStr">
        <is>
          <t xml:space="preserve">SYPRIS ELECTRONICS, LLC</t>
        </is>
      </c>
      <c r="C2140" s="0" t="inlineStr">
        <is>
          <t xml:space="preserve">NN5HLB6MZCG9</t>
        </is>
      </c>
      <c r="D2140" s="0" t="inlineStr">
        <is>
          <t xml:space="preserve">-</t>
        </is>
      </c>
      <c r="E2140" s="0" t="inlineStr">
        <is>
          <t xml:space="preserve">-</t>
        </is>
      </c>
      <c r="F2140" s="0" t="inlineStr">
        <is>
          <t xml:space="preserve">-</t>
        </is>
      </c>
      <c r="G2140" s="5">
        <v>-0.00129</v>
      </c>
      <c r="H2140" s="0" t="inlineStr">
        <is>
          <t xml:space="preserve">supplier</t>
        </is>
      </c>
      <c r="I2140" s="0" t="inlineStr">
        <is>
          <t xml:space="preserve">unbucketed</t>
        </is>
      </c>
      <c r="J2140" s="0" t="inlineStr">
        <is>
          <t xml:space="preserve">residual</t>
        </is>
      </c>
      <c r="K2140" s="5">
        <v>0</v>
      </c>
      <c r="L2140" s="5">
        <v>0</v>
      </c>
      <c r="M2140" s="5">
        <v>0.0</v>
      </c>
      <c r="N2140" s="5">
        <v>0.0</v>
      </c>
      <c r="O2140" s="5">
        <v>0.0</v>
      </c>
      <c r="P2140" s="5">
        <v>0.0</v>
      </c>
      <c r="Q2140" s="5">
        <v>0.0</v>
      </c>
    </row>
    <row r="2141" outlineLevel="1">
      <c r="B2141" s="0" t="inlineStr">
        <is>
          <t xml:space="preserve">HIPK LLC</t>
        </is>
      </c>
      <c r="C2141" s="0" t="inlineStr">
        <is>
          <t xml:space="preserve">GYF6XRBCDNH1</t>
        </is>
      </c>
      <c r="D2141" s="0" t="inlineStr">
        <is>
          <t xml:space="preserve">-</t>
        </is>
      </c>
      <c r="E2141" s="0" t="inlineStr">
        <is>
          <t xml:space="preserve">-</t>
        </is>
      </c>
      <c r="F2141" s="0" t="inlineStr">
        <is>
          <t xml:space="preserve">-</t>
        </is>
      </c>
      <c r="G2141" s="5">
        <v>-0.0022068400000000007</v>
      </c>
      <c r="H2141" s="0" t="inlineStr">
        <is>
          <t xml:space="preserve">supplier</t>
        </is>
      </c>
      <c r="I2141" s="0" t="inlineStr">
        <is>
          <t xml:space="preserve">unbucketed</t>
        </is>
      </c>
      <c r="J2141" s="0" t="inlineStr">
        <is>
          <t xml:space="preserve">residual</t>
        </is>
      </c>
      <c r="K2141" s="5">
        <v>0</v>
      </c>
      <c r="L2141" s="5">
        <v>0</v>
      </c>
      <c r="M2141" s="5">
        <v>0.0</v>
      </c>
      <c r="N2141" s="5">
        <v>0.0</v>
      </c>
      <c r="O2141" s="5">
        <v>0.0</v>
      </c>
      <c r="P2141" s="5">
        <v>0.0</v>
      </c>
      <c r="Q2141" s="5">
        <v>0.0</v>
      </c>
    </row>
    <row r="2142" outlineLevel="1">
      <c r="B2142" s="0" t="inlineStr">
        <is>
          <t xml:space="preserve">FLOTECH, LLC</t>
        </is>
      </c>
      <c r="C2142" s="0" t="inlineStr">
        <is>
          <t xml:space="preserve">LH54NFMEJW46</t>
        </is>
      </c>
      <c r="D2142" s="0" t="inlineStr">
        <is>
          <t xml:space="preserve">-</t>
        </is>
      </c>
      <c r="E2142" s="0" t="inlineStr">
        <is>
          <t xml:space="preserve">-</t>
        </is>
      </c>
      <c r="F2142" s="0" t="inlineStr">
        <is>
          <t xml:space="preserve">-</t>
        </is>
      </c>
      <c r="G2142" s="5">
        <v>-0.002445</v>
      </c>
      <c r="H2142" s="0" t="inlineStr">
        <is>
          <t xml:space="preserve">supplier</t>
        </is>
      </c>
      <c r="I2142" s="0" t="inlineStr">
        <is>
          <t xml:space="preserve">unbucketed</t>
        </is>
      </c>
      <c r="J2142" s="0" t="inlineStr">
        <is>
          <t xml:space="preserve">residual</t>
        </is>
      </c>
      <c r="K2142" s="5">
        <v>0</v>
      </c>
      <c r="L2142" s="5">
        <v>0</v>
      </c>
      <c r="M2142" s="5">
        <v>0.0</v>
      </c>
      <c r="N2142" s="5">
        <v>0.0</v>
      </c>
      <c r="O2142" s="5">
        <v>0.0</v>
      </c>
      <c r="P2142" s="5">
        <v>0.0</v>
      </c>
      <c r="Q2142" s="5">
        <v>0.0</v>
      </c>
    </row>
    <row r="2143" outlineLevel="1">
      <c r="B2143" s="0" t="inlineStr">
        <is>
          <t xml:space="preserve">BREWER CRANE LLC</t>
        </is>
      </c>
      <c r="C2143" s="0" t="inlineStr">
        <is>
          <t xml:space="preserve">PYYNFH7L35F6</t>
        </is>
      </c>
      <c r="D2143" s="0" t="inlineStr">
        <is>
          <t xml:space="preserve">-</t>
        </is>
      </c>
      <c r="E2143" s="0" t="inlineStr">
        <is>
          <t xml:space="preserve">-</t>
        </is>
      </c>
      <c r="F2143" s="0" t="inlineStr">
        <is>
          <t xml:space="preserve">-</t>
        </is>
      </c>
      <c r="G2143" s="5">
        <v>-0.00308</v>
      </c>
      <c r="H2143" s="0" t="inlineStr">
        <is>
          <t xml:space="preserve">supplier</t>
        </is>
      </c>
      <c r="I2143" s="0" t="inlineStr">
        <is>
          <t xml:space="preserve">unbucketed</t>
        </is>
      </c>
      <c r="J2143" s="0" t="inlineStr">
        <is>
          <t xml:space="preserve">residual</t>
        </is>
      </c>
      <c r="K2143" s="5">
        <v>0</v>
      </c>
      <c r="L2143" s="5">
        <v>0</v>
      </c>
      <c r="M2143" s="5">
        <v>0.0</v>
      </c>
      <c r="N2143" s="5">
        <v>0.0</v>
      </c>
      <c r="O2143" s="5">
        <v>0.0</v>
      </c>
      <c r="P2143" s="5">
        <v>0.0</v>
      </c>
      <c r="Q2143" s="5">
        <v>0.0</v>
      </c>
    </row>
    <row r="2144" outlineLevel="1">
      <c r="B2144" s="0" t="inlineStr">
        <is>
          <t xml:space="preserve">BLACK &amp; VEATCH SPECIAL PROJECTS CORP.</t>
        </is>
      </c>
      <c r="C2144" s="0" t="inlineStr">
        <is>
          <t xml:space="preserve">C8L3CMNXPAA1</t>
        </is>
      </c>
      <c r="D2144" s="0" t="inlineStr">
        <is>
          <t xml:space="preserve">-</t>
        </is>
      </c>
      <c r="E2144" s="0" t="inlineStr">
        <is>
          <t xml:space="preserve">-</t>
        </is>
      </c>
      <c r="F2144" s="0" t="inlineStr">
        <is>
          <t xml:space="preserve">-</t>
        </is>
      </c>
      <c r="G2144" s="5">
        <v>-0.00384533</v>
      </c>
      <c r="H2144" s="0" t="inlineStr">
        <is>
          <t xml:space="preserve">supplier</t>
        </is>
      </c>
      <c r="I2144" s="0" t="inlineStr">
        <is>
          <t xml:space="preserve">unbucketed</t>
        </is>
      </c>
      <c r="J2144" s="0" t="inlineStr">
        <is>
          <t xml:space="preserve">residual</t>
        </is>
      </c>
      <c r="K2144" s="5">
        <v>0</v>
      </c>
      <c r="L2144" s="5">
        <v>0</v>
      </c>
      <c r="M2144" s="5">
        <v>0.0</v>
      </c>
      <c r="N2144" s="5">
        <v>0.0</v>
      </c>
      <c r="O2144" s="5">
        <v>0.0</v>
      </c>
      <c r="P2144" s="5">
        <v>0.0</v>
      </c>
      <c r="Q2144" s="5">
        <v>0.0</v>
      </c>
    </row>
    <row r="2145" outlineLevel="1">
      <c r="B2145" s="0" t="inlineStr">
        <is>
          <t xml:space="preserve">SAN DIEGO BAY PILOTS ASSOCIATION, INC</t>
        </is>
      </c>
      <c r="C2145" s="0" t="inlineStr">
        <is>
          <t xml:space="preserve">EGTSKWG112H3</t>
        </is>
      </c>
      <c r="D2145" s="0" t="inlineStr">
        <is>
          <t xml:space="preserve">-</t>
        </is>
      </c>
      <c r="E2145" s="0" t="inlineStr">
        <is>
          <t xml:space="preserve">-</t>
        </is>
      </c>
      <c r="F2145" s="0" t="inlineStr">
        <is>
          <t xml:space="preserve">-</t>
        </is>
      </c>
      <c r="G2145" s="5">
        <v>-0.004702</v>
      </c>
      <c r="H2145" s="0" t="inlineStr">
        <is>
          <t xml:space="preserve">supplier</t>
        </is>
      </c>
      <c r="I2145" s="0" t="inlineStr">
        <is>
          <t xml:space="preserve">unbucketed</t>
        </is>
      </c>
      <c r="J2145" s="0" t="inlineStr">
        <is>
          <t xml:space="preserve">residual</t>
        </is>
      </c>
      <c r="K2145" s="5">
        <v>0</v>
      </c>
      <c r="L2145" s="5">
        <v>0</v>
      </c>
      <c r="M2145" s="5">
        <v>0.0</v>
      </c>
      <c r="N2145" s="5">
        <v>0.0</v>
      </c>
      <c r="O2145" s="5">
        <v>0.0</v>
      </c>
      <c r="P2145" s="5">
        <v>0.0</v>
      </c>
      <c r="Q2145" s="5">
        <v>0.0</v>
      </c>
    </row>
    <row r="2146" outlineLevel="1">
      <c r="B2146" s="0" t="inlineStr">
        <is>
          <t xml:space="preserve">EAST COAST REPAIR &amp; FABRICATION, LLC</t>
        </is>
      </c>
      <c r="C2146" s="0" t="inlineStr">
        <is>
          <t xml:space="preserve">WRLNL96Z2KE4</t>
        </is>
      </c>
      <c r="D2146" s="0" t="inlineStr">
        <is>
          <t xml:space="preserve">-</t>
        </is>
      </c>
      <c r="E2146" s="0" t="inlineStr">
        <is>
          <t xml:space="preserve">-</t>
        </is>
      </c>
      <c r="F2146" s="0" t="inlineStr">
        <is>
          <t xml:space="preserve">-</t>
        </is>
      </c>
      <c r="G2146" s="5">
        <v>-0.005754069999999998</v>
      </c>
      <c r="H2146" s="0" t="inlineStr">
        <is>
          <t xml:space="preserve">supplier</t>
        </is>
      </c>
      <c r="I2146" s="0" t="inlineStr">
        <is>
          <t xml:space="preserve">unbucketed</t>
        </is>
      </c>
      <c r="J2146" s="0" t="inlineStr">
        <is>
          <t xml:space="preserve">residual</t>
        </is>
      </c>
      <c r="K2146" s="5">
        <v>0</v>
      </c>
      <c r="L2146" s="5">
        <v>0</v>
      </c>
      <c r="M2146" s="5">
        <v>0.0</v>
      </c>
      <c r="N2146" s="5">
        <v>0.0</v>
      </c>
      <c r="O2146" s="5">
        <v>0.0</v>
      </c>
      <c r="P2146" s="5">
        <v>0.0</v>
      </c>
      <c r="Q2146" s="5">
        <v>0.0</v>
      </c>
    </row>
    <row r="2147" outlineLevel="1">
      <c r="B2147" s="0" t="inlineStr">
        <is>
          <t xml:space="preserve">TECHNOLOGY SERVICE CORP</t>
        </is>
      </c>
      <c r="C2147" s="0" t="inlineStr">
        <is>
          <t xml:space="preserve">NY98VECEW8H6</t>
        </is>
      </c>
      <c r="D2147" s="0" t="inlineStr">
        <is>
          <t xml:space="preserve">-</t>
        </is>
      </c>
      <c r="E2147" s="0" t="inlineStr">
        <is>
          <t xml:space="preserve">-</t>
        </is>
      </c>
      <c r="F2147" s="0" t="inlineStr">
        <is>
          <t xml:space="preserve">-</t>
        </is>
      </c>
      <c r="G2147" s="5">
        <v>-0.00605478</v>
      </c>
      <c r="H2147" s="0" t="inlineStr">
        <is>
          <t xml:space="preserve">supplier</t>
        </is>
      </c>
      <c r="I2147" s="0" t="inlineStr">
        <is>
          <t xml:space="preserve">unbucketed</t>
        </is>
      </c>
      <c r="J2147" s="0" t="inlineStr">
        <is>
          <t xml:space="preserve">residual</t>
        </is>
      </c>
      <c r="K2147" s="5">
        <v>0</v>
      </c>
      <c r="L2147" s="5">
        <v>0</v>
      </c>
      <c r="M2147" s="5">
        <v>0.0</v>
      </c>
      <c r="N2147" s="5">
        <v>0.0</v>
      </c>
      <c r="O2147" s="5">
        <v>0.0</v>
      </c>
      <c r="P2147" s="5">
        <v>0.0</v>
      </c>
      <c r="Q2147" s="5">
        <v>0.0</v>
      </c>
    </row>
    <row r="2148" outlineLevel="1">
      <c r="B2148" s="0" t="inlineStr">
        <is>
          <t xml:space="preserve">INSPEC TESTING INC</t>
        </is>
      </c>
      <c r="C2148" s="0" t="inlineStr">
        <is>
          <t xml:space="preserve">KHDJN8SXW3T7</t>
        </is>
      </c>
      <c r="D2148" s="0" t="inlineStr">
        <is>
          <t xml:space="preserve">-</t>
        </is>
      </c>
      <c r="E2148" s="0" t="inlineStr">
        <is>
          <t xml:space="preserve">-</t>
        </is>
      </c>
      <c r="F2148" s="0" t="inlineStr">
        <is>
          <t xml:space="preserve">-</t>
        </is>
      </c>
      <c r="G2148" s="5">
        <v>-0.00715</v>
      </c>
      <c r="H2148" s="0" t="inlineStr">
        <is>
          <t xml:space="preserve">supplier</t>
        </is>
      </c>
      <c r="I2148" s="0" t="inlineStr">
        <is>
          <t xml:space="preserve">unbucketed</t>
        </is>
      </c>
      <c r="J2148" s="0" t="inlineStr">
        <is>
          <t xml:space="preserve">residual</t>
        </is>
      </c>
      <c r="K2148" s="5">
        <v>0</v>
      </c>
      <c r="L2148" s="5">
        <v>0</v>
      </c>
      <c r="M2148" s="5">
        <v>0.0</v>
      </c>
      <c r="N2148" s="5">
        <v>0.0</v>
      </c>
      <c r="O2148" s="5">
        <v>0.0</v>
      </c>
      <c r="P2148" s="5">
        <v>0.0</v>
      </c>
      <c r="Q2148" s="5">
        <v>0.0</v>
      </c>
    </row>
    <row r="2149" outlineLevel="1">
      <c r="B2149" s="0" t="inlineStr">
        <is>
          <t xml:space="preserve">AMERICAN SCAFFOLD LLC</t>
        </is>
      </c>
      <c r="C2149" s="0" t="inlineStr">
        <is>
          <t xml:space="preserve">K1YLLHBBMPT1</t>
        </is>
      </c>
      <c r="D2149" s="0" t="inlineStr">
        <is>
          <t xml:space="preserve">-</t>
        </is>
      </c>
      <c r="E2149" s="0" t="inlineStr">
        <is>
          <t xml:space="preserve">-</t>
        </is>
      </c>
      <c r="F2149" s="0" t="inlineStr">
        <is>
          <t xml:space="preserve">-</t>
        </is>
      </c>
      <c r="G2149" s="5">
        <v>-0.01331459</v>
      </c>
      <c r="H2149" s="0" t="inlineStr">
        <is>
          <t xml:space="preserve">supplier</t>
        </is>
      </c>
      <c r="I2149" s="0" t="inlineStr">
        <is>
          <t xml:space="preserve">unbucketed</t>
        </is>
      </c>
      <c r="J2149" s="0" t="inlineStr">
        <is>
          <t xml:space="preserve">residual</t>
        </is>
      </c>
      <c r="K2149" s="5">
        <v>0</v>
      </c>
      <c r="L2149" s="5">
        <v>0</v>
      </c>
      <c r="M2149" s="5">
        <v>0.0</v>
      </c>
      <c r="N2149" s="5">
        <v>0.0</v>
      </c>
      <c r="O2149" s="5">
        <v>0.0</v>
      </c>
      <c r="P2149" s="5">
        <v>0.0</v>
      </c>
      <c r="Q2149" s="5">
        <v>0.0</v>
      </c>
    </row>
    <row r="2150" outlineLevel="1">
      <c r="B2150" s="0" t="inlineStr">
        <is>
          <t xml:space="preserve">AMBIPAR RESPONSE FLORIDA, LLC</t>
        </is>
      </c>
      <c r="C2150" s="0" t="inlineStr">
        <is>
          <t xml:space="preserve">L4MAMGG8KA31</t>
        </is>
      </c>
      <c r="D2150" s="0" t="inlineStr">
        <is>
          <t xml:space="preserve">-</t>
        </is>
      </c>
      <c r="E2150" s="0" t="inlineStr">
        <is>
          <t xml:space="preserve">-</t>
        </is>
      </c>
      <c r="F2150" s="0" t="inlineStr">
        <is>
          <t xml:space="preserve">-</t>
        </is>
      </c>
      <c r="G2150" s="5">
        <v>-0.01563</v>
      </c>
      <c r="H2150" s="0" t="inlineStr">
        <is>
          <t xml:space="preserve">supplier</t>
        </is>
      </c>
      <c r="I2150" s="0" t="inlineStr">
        <is>
          <t xml:space="preserve">unbucketed</t>
        </is>
      </c>
      <c r="J2150" s="0" t="inlineStr">
        <is>
          <t xml:space="preserve">residual</t>
        </is>
      </c>
      <c r="K2150" s="5">
        <v>0</v>
      </c>
      <c r="L2150" s="5">
        <v>0</v>
      </c>
      <c r="M2150" s="5">
        <v>0.0</v>
      </c>
      <c r="N2150" s="5">
        <v>0.0</v>
      </c>
      <c r="O2150" s="5">
        <v>0.0</v>
      </c>
      <c r="P2150" s="5">
        <v>0.0</v>
      </c>
      <c r="Q2150" s="5">
        <v>0.0</v>
      </c>
    </row>
    <row r="2151" outlineLevel="1">
      <c r="B2151" s="0" t="inlineStr">
        <is>
          <t xml:space="preserve">CARIBOU THUNDER, LLC</t>
        </is>
      </c>
      <c r="C2151" s="0" t="inlineStr">
        <is>
          <t xml:space="preserve">HVGZFZ19NXQ9</t>
        </is>
      </c>
      <c r="D2151" s="0" t="inlineStr">
        <is>
          <t xml:space="preserve">-</t>
        </is>
      </c>
      <c r="E2151" s="0" t="inlineStr">
        <is>
          <t xml:space="preserve">-</t>
        </is>
      </c>
      <c r="F2151" s="0" t="inlineStr">
        <is>
          <t xml:space="preserve">-</t>
        </is>
      </c>
      <c r="G2151" s="5">
        <v>-0.017437</v>
      </c>
      <c r="H2151" s="0" t="inlineStr">
        <is>
          <t xml:space="preserve">supplier</t>
        </is>
      </c>
      <c r="I2151" s="0" t="inlineStr">
        <is>
          <t xml:space="preserve">unbucketed</t>
        </is>
      </c>
      <c r="J2151" s="0" t="inlineStr">
        <is>
          <t xml:space="preserve">residual</t>
        </is>
      </c>
      <c r="K2151" s="5">
        <v>0</v>
      </c>
      <c r="L2151" s="5">
        <v>0</v>
      </c>
      <c r="M2151" s="5">
        <v>0.0</v>
      </c>
      <c r="N2151" s="5">
        <v>0.0</v>
      </c>
      <c r="O2151" s="5">
        <v>0.0</v>
      </c>
      <c r="P2151" s="5">
        <v>0.0</v>
      </c>
      <c r="Q2151" s="5">
        <v>0.0</v>
      </c>
    </row>
    <row r="2152" outlineLevel="1">
      <c r="B2152" s="0" t="inlineStr">
        <is>
          <t xml:space="preserve">MITSUBISHI HEAVY INDUSTRIES, LTD.</t>
        </is>
      </c>
      <c r="C2152" s="0" t="inlineStr">
        <is>
          <t xml:space="preserve">XJV2ZBQHSX87</t>
        </is>
      </c>
      <c r="D2152" s="0" t="inlineStr">
        <is>
          <t xml:space="preserve">Foreign</t>
        </is>
      </c>
      <c r="E2152" s="0" t="inlineStr">
        <is>
          <t xml:space="preserve">-</t>
        </is>
      </c>
      <c r="F2152" s="0" t="inlineStr">
        <is>
          <t xml:space="preserve">-</t>
        </is>
      </c>
      <c r="G2152" s="5">
        <v>-0.01981888</v>
      </c>
      <c r="H2152" s="0" t="inlineStr">
        <is>
          <t xml:space="preserve">foreign_fms</t>
        </is>
      </c>
      <c r="I2152" s="0" t="inlineStr">
        <is>
          <t xml:space="preserve">-</t>
        </is>
      </c>
      <c r="J2152" s="0" t="inlineStr">
        <is>
          <t xml:space="preserve">foreign flag</t>
        </is>
      </c>
      <c r="K2152" s="5">
        <v>0</v>
      </c>
      <c r="L2152" s="5">
        <v>0</v>
      </c>
      <c r="M2152" s="5">
        <v>0.0</v>
      </c>
      <c r="N2152" s="5">
        <v>0.0</v>
      </c>
      <c r="O2152" s="5">
        <v>0.0</v>
      </c>
      <c r="P2152" s="5">
        <v>0.0</v>
      </c>
      <c r="Q2152" s="5">
        <v>0.0</v>
      </c>
    </row>
    <row r="2153" outlineLevel="1">
      <c r="B2153" s="0" t="inlineStr">
        <is>
          <t xml:space="preserve">MERSEN S.A.</t>
        </is>
      </c>
      <c r="C2153" s="0" t="inlineStr">
        <is>
          <t xml:space="preserve">DQSCFBLNRHW7</t>
        </is>
      </c>
      <c r="D2153" s="0" t="inlineStr">
        <is>
          <t xml:space="preserve">-</t>
        </is>
      </c>
      <c r="E2153" s="0" t="inlineStr">
        <is>
          <t xml:space="preserve">-</t>
        </is>
      </c>
      <c r="F2153" s="0" t="inlineStr">
        <is>
          <t xml:space="preserve">-</t>
        </is>
      </c>
      <c r="G2153" s="5">
        <v>-0.022392639999999995</v>
      </c>
      <c r="H2153" s="0" t="inlineStr">
        <is>
          <t xml:space="preserve">supplier</t>
        </is>
      </c>
      <c r="I2153" s="0" t="inlineStr">
        <is>
          <t xml:space="preserve">unbucketed</t>
        </is>
      </c>
      <c r="J2153" s="0" t="inlineStr">
        <is>
          <t xml:space="preserve">residual</t>
        </is>
      </c>
      <c r="K2153" s="5">
        <v>0</v>
      </c>
      <c r="L2153" s="5">
        <v>0</v>
      </c>
      <c r="M2153" s="5">
        <v>0.0</v>
      </c>
      <c r="N2153" s="5">
        <v>0.0</v>
      </c>
      <c r="O2153" s="5">
        <v>0.0</v>
      </c>
      <c r="P2153" s="5">
        <v>0.0</v>
      </c>
      <c r="Q2153" s="5">
        <v>0.0</v>
      </c>
    </row>
    <row r="2154" outlineLevel="1">
      <c r="B2154" s="0" t="inlineStr">
        <is>
          <t xml:space="preserve">JOHNSON CONTROLS FEDERAL SYSTEMS, LLC</t>
        </is>
      </c>
      <c r="C2154" s="0" t="inlineStr">
        <is>
          <t xml:space="preserve">MZGNC7QAMPA7</t>
        </is>
      </c>
      <c r="D2154" s="0" t="inlineStr">
        <is>
          <t xml:space="preserve">-</t>
        </is>
      </c>
      <c r="E2154" s="0" t="inlineStr">
        <is>
          <t xml:space="preserve">-</t>
        </is>
      </c>
      <c r="F2154" s="0" t="inlineStr">
        <is>
          <t xml:space="preserve">-</t>
        </is>
      </c>
      <c r="G2154" s="5">
        <v>-0.02750799999999999</v>
      </c>
      <c r="H2154" s="0" t="inlineStr">
        <is>
          <t xml:space="preserve">supplier</t>
        </is>
      </c>
      <c r="I2154" s="0" t="inlineStr">
        <is>
          <t xml:space="preserve">unbucketed</t>
        </is>
      </c>
      <c r="J2154" s="0" t="inlineStr">
        <is>
          <t xml:space="preserve">residual</t>
        </is>
      </c>
      <c r="K2154" s="5">
        <v>0</v>
      </c>
      <c r="L2154" s="5">
        <v>0</v>
      </c>
      <c r="M2154" s="5">
        <v>0.0</v>
      </c>
      <c r="N2154" s="5">
        <v>0.0</v>
      </c>
      <c r="O2154" s="5">
        <v>0.0</v>
      </c>
      <c r="P2154" s="5">
        <v>0.0</v>
      </c>
      <c r="Q2154" s="5">
        <v>0.0</v>
      </c>
    </row>
    <row r="2155" outlineLevel="1">
      <c r="B2155" s="0" t="inlineStr">
        <is>
          <t xml:space="preserve">SANMINA CORPORATION</t>
        </is>
      </c>
      <c r="C2155" s="0" t="inlineStr">
        <is>
          <t xml:space="preserve">XM7MN67NELT1</t>
        </is>
      </c>
      <c r="D2155" s="0" t="inlineStr">
        <is>
          <t xml:space="preserve">-</t>
        </is>
      </c>
      <c r="E2155" s="0" t="inlineStr">
        <is>
          <t xml:space="preserve">-</t>
        </is>
      </c>
      <c r="F2155" s="0" t="inlineStr">
        <is>
          <t xml:space="preserve">-</t>
        </is>
      </c>
      <c r="G2155" s="5">
        <v>-0.03435498</v>
      </c>
      <c r="H2155" s="0" t="inlineStr">
        <is>
          <t xml:space="preserve">supplier</t>
        </is>
      </c>
      <c r="I2155" s="0" t="inlineStr">
        <is>
          <t xml:space="preserve">unbucketed</t>
        </is>
      </c>
      <c r="J2155" s="0" t="inlineStr">
        <is>
          <t xml:space="preserve">residual</t>
        </is>
      </c>
      <c r="K2155" s="5">
        <v>0</v>
      </c>
      <c r="L2155" s="5">
        <v>0</v>
      </c>
      <c r="M2155" s="5">
        <v>0.0</v>
      </c>
      <c r="N2155" s="5">
        <v>0.0</v>
      </c>
      <c r="O2155" s="5">
        <v>0.0</v>
      </c>
      <c r="P2155" s="5">
        <v>0.0</v>
      </c>
      <c r="Q2155" s="5">
        <v>0.0</v>
      </c>
    </row>
    <row r="2156" outlineLevel="1">
      <c r="B2156" s="0" t="inlineStr">
        <is>
          <t xml:space="preserve">SILICO SYSTEMS LLC</t>
        </is>
      </c>
      <c r="C2156" s="0" t="inlineStr">
        <is>
          <t xml:space="preserve">PTVDFVF3JNX6</t>
        </is>
      </c>
      <c r="D2156" s="0" t="inlineStr">
        <is>
          <t xml:space="preserve">-</t>
        </is>
      </c>
      <c r="E2156" s="0" t="inlineStr">
        <is>
          <t xml:space="preserve">-</t>
        </is>
      </c>
      <c r="F2156" s="0" t="inlineStr">
        <is>
          <t xml:space="preserve">-</t>
        </is>
      </c>
      <c r="G2156" s="5">
        <v>-0.052</v>
      </c>
      <c r="H2156" s="0" t="inlineStr">
        <is>
          <t xml:space="preserve">supplier</t>
        </is>
      </c>
      <c r="I2156" s="0" t="inlineStr">
        <is>
          <t xml:space="preserve">unbucketed</t>
        </is>
      </c>
      <c r="J2156" s="0" t="inlineStr">
        <is>
          <t xml:space="preserve">residual</t>
        </is>
      </c>
      <c r="K2156" s="5">
        <v>0</v>
      </c>
      <c r="L2156" s="5">
        <v>0</v>
      </c>
      <c r="M2156" s="5">
        <v>-0.052</v>
      </c>
      <c r="N2156" s="5">
        <v>0.0</v>
      </c>
      <c r="O2156" s="5">
        <v>0.0</v>
      </c>
      <c r="P2156" s="5">
        <v>0.0</v>
      </c>
      <c r="Q2156" s="5">
        <v>-0.052</v>
      </c>
    </row>
    <row r="2157" outlineLevel="1">
      <c r="B2157" s="0" t="inlineStr">
        <is>
          <t xml:space="preserve">RTX CORPORATION</t>
        </is>
      </c>
      <c r="C2157" s="0" t="inlineStr">
        <is>
          <t xml:space="preserve">ENC9Y8JGL3E9</t>
        </is>
      </c>
      <c r="D2157" s="0" t="inlineStr">
        <is>
          <t xml:space="preserve">-</t>
        </is>
      </c>
      <c r="E2157" s="0" t="inlineStr">
        <is>
          <t xml:space="preserve">-</t>
        </is>
      </c>
      <c r="F2157" s="0" t="inlineStr">
        <is>
          <t xml:space="preserve">-</t>
        </is>
      </c>
      <c r="G2157" s="5">
        <v>-0.06325991</v>
      </c>
      <c r="H2157" s="0" t="inlineStr">
        <is>
          <t xml:space="preserve">gfe_mib</t>
        </is>
      </c>
      <c r="I2157" s="0" t="inlineStr">
        <is>
          <t xml:space="preserve">-</t>
        </is>
      </c>
      <c r="J2157" s="0" t="inlineStr">
        <is>
          <t xml:space="preserve">GFE/MIB name</t>
        </is>
      </c>
      <c r="K2157" s="5">
        <v>0</v>
      </c>
      <c r="L2157" s="5">
        <v>0</v>
      </c>
      <c r="M2157" s="5">
        <v>0.0</v>
      </c>
      <c r="N2157" s="5">
        <v>0.0</v>
      </c>
      <c r="O2157" s="5">
        <v>0.0</v>
      </c>
      <c r="P2157" s="5">
        <v>0.0</v>
      </c>
      <c r="Q2157" s="5">
        <v>0.0</v>
      </c>
    </row>
    <row r="2158" outlineLevel="1">
      <c r="B2158" s="0" t="inlineStr">
        <is>
          <t xml:space="preserve">PACIFIC MOBILE STRUCTURES INC</t>
        </is>
      </c>
      <c r="C2158" s="0" t="inlineStr">
        <is>
          <t xml:space="preserve">ELA3HTZ25FJ3</t>
        </is>
      </c>
      <c r="D2158" s="0" t="inlineStr">
        <is>
          <t xml:space="preserve">-</t>
        </is>
      </c>
      <c r="E2158" s="0" t="inlineStr">
        <is>
          <t xml:space="preserve">-</t>
        </is>
      </c>
      <c r="F2158" s="0" t="inlineStr">
        <is>
          <t xml:space="preserve">-</t>
        </is>
      </c>
      <c r="G2158" s="5">
        <v>-0.0808302</v>
      </c>
      <c r="H2158" s="0" t="inlineStr">
        <is>
          <t xml:space="preserve">supplier</t>
        </is>
      </c>
      <c r="I2158" s="0" t="inlineStr">
        <is>
          <t xml:space="preserve">unbucketed</t>
        </is>
      </c>
      <c r="J2158" s="0" t="inlineStr">
        <is>
          <t xml:space="preserve">residual</t>
        </is>
      </c>
      <c r="K2158" s="5">
        <v>0</v>
      </c>
      <c r="L2158" s="5">
        <v>0</v>
      </c>
      <c r="M2158" s="5">
        <v>0.0</v>
      </c>
      <c r="N2158" s="5">
        <v>0.0</v>
      </c>
      <c r="O2158" s="5">
        <v>0.0</v>
      </c>
      <c r="P2158" s="5">
        <v>0.0</v>
      </c>
      <c r="Q2158" s="5">
        <v>0.0</v>
      </c>
    </row>
    <row r="2159" outlineLevel="1">
      <c r="B2159" s="0" t="inlineStr">
        <is>
          <t xml:space="preserve">RTI REMMELE ENGINEERING, INC.</t>
        </is>
      </c>
      <c r="C2159" s="0" t="inlineStr">
        <is>
          <t xml:space="preserve">WQ6KK3G6K2M1</t>
        </is>
      </c>
      <c r="D2159" s="0" t="inlineStr">
        <is>
          <t xml:space="preserve">-</t>
        </is>
      </c>
      <c r="E2159" s="0" t="inlineStr">
        <is>
          <t xml:space="preserve">-</t>
        </is>
      </c>
      <c r="F2159" s="0" t="inlineStr">
        <is>
          <t xml:space="preserve">-</t>
        </is>
      </c>
      <c r="G2159" s="5">
        <v>-0.115962</v>
      </c>
      <c r="H2159" s="0" t="inlineStr">
        <is>
          <t xml:space="preserve">supplier</t>
        </is>
      </c>
      <c r="I2159" s="0" t="inlineStr">
        <is>
          <t xml:space="preserve">machining</t>
        </is>
      </c>
      <c r="J2159" s="0" t="inlineStr">
        <is>
          <t xml:space="preserve">registry</t>
        </is>
      </c>
      <c r="K2159" s="5">
        <v>0</v>
      </c>
      <c r="L2159" s="5">
        <v>0</v>
      </c>
      <c r="M2159" s="5">
        <v>0.0</v>
      </c>
      <c r="N2159" s="5">
        <v>0.0</v>
      </c>
      <c r="O2159" s="5">
        <v>0.0</v>
      </c>
      <c r="P2159" s="5">
        <v>0.0</v>
      </c>
      <c r="Q2159" s="5">
        <v>0.0</v>
      </c>
    </row>
    <row r="2160" outlineLevel="1">
      <c r="B2160" s="0" t="inlineStr">
        <is>
          <t xml:space="preserve">GOODRICH CORP</t>
        </is>
      </c>
      <c r="C2160" s="0" t="inlineStr">
        <is>
          <t xml:space="preserve">CBMZJ3Z5SC89</t>
        </is>
      </c>
      <c r="D2160" s="0" t="inlineStr">
        <is>
          <t xml:space="preserve">-</t>
        </is>
      </c>
      <c r="E2160" s="0" t="inlineStr">
        <is>
          <t xml:space="preserve">-</t>
        </is>
      </c>
      <c r="F2160" s="0" t="inlineStr">
        <is>
          <t xml:space="preserve">-</t>
        </is>
      </c>
      <c r="G2160" s="5">
        <v>-0.16472807</v>
      </c>
      <c r="H2160" s="0" t="inlineStr">
        <is>
          <t xml:space="preserve">supplier</t>
        </is>
      </c>
      <c r="I2160" s="0" t="inlineStr">
        <is>
          <t xml:space="preserve">coatings</t>
        </is>
      </c>
      <c r="J2160" s="0" t="inlineStr">
        <is>
          <t xml:space="preserve">registry</t>
        </is>
      </c>
      <c r="K2160" s="5">
        <v>0</v>
      </c>
      <c r="L2160" s="5">
        <v>0</v>
      </c>
      <c r="M2160" s="5">
        <v>0.085</v>
      </c>
      <c r="N2160" s="5">
        <v>0.0</v>
      </c>
      <c r="O2160" s="5">
        <v>0.0</v>
      </c>
      <c r="P2160" s="5">
        <v>0.0425</v>
      </c>
      <c r="Q2160" s="5">
        <v>0.0425</v>
      </c>
    </row>
    <row r="2161" outlineLevel="1">
      <c r="B2161" s="0" t="inlineStr">
        <is>
          <t xml:space="preserve">SENER TAFS SA</t>
        </is>
      </c>
      <c r="C2161" s="0" t="inlineStr">
        <is>
          <t xml:space="preserve">DNQTMGXE5347</t>
        </is>
      </c>
      <c r="D2161" s="0" t="inlineStr">
        <is>
          <t xml:space="preserve">Foreign</t>
        </is>
      </c>
      <c r="E2161" s="0" t="inlineStr">
        <is>
          <t xml:space="preserve">-</t>
        </is>
      </c>
      <c r="F2161" s="0" t="inlineStr">
        <is>
          <t xml:space="preserve">-</t>
        </is>
      </c>
      <c r="G2161" s="5">
        <v>-0.2</v>
      </c>
      <c r="H2161" s="0" t="inlineStr">
        <is>
          <t xml:space="preserve">foreign_fms</t>
        </is>
      </c>
      <c r="I2161" s="0" t="inlineStr">
        <is>
          <t xml:space="preserve">-</t>
        </is>
      </c>
      <c r="J2161" s="0" t="inlineStr">
        <is>
          <t xml:space="preserve">foreign flag</t>
        </is>
      </c>
      <c r="K2161" s="5">
        <v>0</v>
      </c>
      <c r="L2161" s="5">
        <v>0</v>
      </c>
      <c r="M2161" s="5">
        <v>0.0</v>
      </c>
      <c r="N2161" s="5">
        <v>0.0</v>
      </c>
      <c r="O2161" s="5">
        <v>0.0</v>
      </c>
      <c r="P2161" s="5">
        <v>0.0</v>
      </c>
      <c r="Q2161" s="5">
        <v>0.0</v>
      </c>
    </row>
    <row r="2162" outlineLevel="1">
      <c r="B2162" s="0" t="inlineStr">
        <is>
          <t xml:space="preserve">CRANE ELECTRONICS, INC</t>
        </is>
      </c>
      <c r="C2162" s="0" t="inlineStr">
        <is>
          <t xml:space="preserve">RMU3M7S8M2C3</t>
        </is>
      </c>
      <c r="D2162" s="0" t="inlineStr">
        <is>
          <t xml:space="preserve">-</t>
        </is>
      </c>
      <c r="E2162" s="0" t="inlineStr">
        <is>
          <t xml:space="preserve">-</t>
        </is>
      </c>
      <c r="F2162" s="0" t="inlineStr">
        <is>
          <t xml:space="preserve">-</t>
        </is>
      </c>
      <c r="G2162" s="5">
        <v>-0.245367</v>
      </c>
      <c r="H2162" s="0" t="inlineStr">
        <is>
          <t xml:space="preserve">supplier</t>
        </is>
      </c>
      <c r="I2162" s="0" t="inlineStr">
        <is>
          <t xml:space="preserve">unbucketed</t>
        </is>
      </c>
      <c r="J2162" s="0" t="inlineStr">
        <is>
          <t xml:space="preserve">residual</t>
        </is>
      </c>
      <c r="K2162" s="5">
        <v>0</v>
      </c>
      <c r="L2162" s="5">
        <v>0</v>
      </c>
      <c r="M2162" s="5">
        <v>0.0</v>
      </c>
      <c r="N2162" s="5">
        <v>0.0</v>
      </c>
      <c r="O2162" s="5">
        <v>0.0</v>
      </c>
      <c r="P2162" s="5">
        <v>0.0</v>
      </c>
      <c r="Q2162" s="5">
        <v>0.0</v>
      </c>
    </row>
    <row r="2163" outlineLevel="1">
      <c r="B2163" s="0" t="inlineStr">
        <is>
          <t xml:space="preserve">UNIVERSAL PROTECTION SERVICE, LIMITED PARTNERSHIP</t>
        </is>
      </c>
      <c r="C2163" s="0" t="inlineStr">
        <is>
          <t xml:space="preserve">MFA2CSSMMA35</t>
        </is>
      </c>
      <c r="D2163" s="0" t="inlineStr">
        <is>
          <t xml:space="preserve">-</t>
        </is>
      </c>
      <c r="E2163" s="0" t="inlineStr">
        <is>
          <t xml:space="preserve">-</t>
        </is>
      </c>
      <c r="F2163" s="0" t="inlineStr">
        <is>
          <t xml:space="preserve">-</t>
        </is>
      </c>
      <c r="G2163" s="5">
        <v>-0.28735959</v>
      </c>
      <c r="H2163" s="0" t="inlineStr">
        <is>
          <t xml:space="preserve">supplier</t>
        </is>
      </c>
      <c r="I2163" s="0" t="inlineStr">
        <is>
          <t xml:space="preserve">unbucketed</t>
        </is>
      </c>
      <c r="J2163" s="0" t="inlineStr">
        <is>
          <t xml:space="preserve">residual</t>
        </is>
      </c>
      <c r="K2163" s="5">
        <v>0</v>
      </c>
      <c r="L2163" s="5">
        <v>0</v>
      </c>
      <c r="M2163" s="5">
        <v>0.0</v>
      </c>
      <c r="N2163" s="5">
        <v>0.0</v>
      </c>
      <c r="O2163" s="5">
        <v>0.0</v>
      </c>
      <c r="P2163" s="5">
        <v>0.0</v>
      </c>
      <c r="Q2163" s="5">
        <v>0.0</v>
      </c>
    </row>
    <row r="2164" outlineLevel="1">
      <c r="B2164" s="0" t="inlineStr">
        <is>
          <t xml:space="preserve">PACIFIC MARITIME GROUP INC</t>
        </is>
      </c>
      <c r="C2164" s="0" t="inlineStr">
        <is>
          <t xml:space="preserve">ZRBPR96JCE93</t>
        </is>
      </c>
      <c r="D2164" s="0" t="inlineStr">
        <is>
          <t xml:space="preserve">-</t>
        </is>
      </c>
      <c r="E2164" s="0" t="inlineStr">
        <is>
          <t xml:space="preserve">-</t>
        </is>
      </c>
      <c r="F2164" s="0" t="inlineStr">
        <is>
          <t xml:space="preserve">-</t>
        </is>
      </c>
      <c r="G2164" s="5">
        <v>-0.92240194</v>
      </c>
      <c r="H2164" s="0" t="inlineStr">
        <is>
          <t xml:space="preserve">supplier</t>
        </is>
      </c>
      <c r="I2164" s="0" t="inlineStr">
        <is>
          <t xml:space="preserve">unbucketed</t>
        </is>
      </c>
      <c r="J2164" s="0" t="inlineStr">
        <is>
          <t xml:space="preserve">residual</t>
        </is>
      </c>
      <c r="K2164" s="5">
        <v>0</v>
      </c>
      <c r="L2164" s="5">
        <v>0</v>
      </c>
      <c r="M2164" s="5">
        <v>0.0</v>
      </c>
      <c r="N2164" s="5">
        <v>0.0</v>
      </c>
      <c r="O2164" s="5">
        <v>0.0</v>
      </c>
      <c r="P2164" s="5">
        <v>0.0</v>
      </c>
      <c r="Q2164" s="5">
        <v>0.0</v>
      </c>
    </row>
    <row r="2167">
      <c r="A2167" s="0" t="inlineStr">
        <is>
          <t xml:space="preserve">x</t>
        </is>
      </c>
      <c r="B2167" s="9" t="inlineStr">
        <is>
          <t xml:space="preserve">§2 - Role summary (signed $; only 'supplier' is addressable)</t>
        </is>
      </c>
      <c r="C2167" s="9"/>
      <c r="D2167" s="9"/>
      <c r="E2167" s="9"/>
      <c r="F2167" s="9"/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</row>
    <row r="2169">
      <c r="B2169" s="2" t="inlineStr">
        <is>
          <t xml:space="preserve">Role</t>
        </is>
      </c>
      <c r="C2169" s="22" t="inlineStr">
        <is>
          <t xml:space="preserve">$M (signed)</t>
        </is>
      </c>
    </row>
    <row r="2170" outlineLevel="1">
      <c r="B2170" s="0" t="inlineStr">
        <is>
          <t xml:space="preserve">Supplier (addressable)</t>
        </is>
      </c>
      <c r="C2170" s="4">
        <f>SUMPRODUCT(('Entity Master'!H7:H2164="supplier")*'Entity Master'!G7:G2164)</f>
      </c>
    </row>
    <row r="2171" outlineLevel="1">
      <c r="B2171" s="0" t="inlineStr">
        <is>
          <t xml:space="preserve">Mission systems (excluded)</t>
        </is>
      </c>
      <c r="C2171" s="4">
        <f>SUMPRODUCT(('Entity Master'!H7:H2164="mission_systems")*'Entity Master'!G7:G2164)</f>
      </c>
    </row>
    <row r="2172" outlineLevel="1">
      <c r="B2172" s="0" t="inlineStr">
        <is>
          <t xml:space="preserve">Service / non-component (excluded)</t>
        </is>
      </c>
      <c r="C2172" s="4">
        <f>SUMPRODUCT(('Entity Master'!H7:H2164="service")*'Entity Master'!G7:G2164)</f>
      </c>
    </row>
    <row r="2173" outlineLevel="1">
      <c r="B2173" s="0" t="inlineStr">
        <is>
          <t xml:space="preserve">Holding / parent unknown (excluded)</t>
        </is>
      </c>
      <c r="C2173" s="4">
        <f>SUMPRODUCT(('Entity Master'!H7:H2164="holding")*'Entity Master'!G7:G2164)</f>
      </c>
    </row>
    <row r="2174" outlineLevel="1">
      <c r="B2174" s="0" t="inlineStr">
        <is>
          <t xml:space="preserve">Foreign / FMS (excluded)</t>
        </is>
      </c>
      <c r="C2174" s="4">
        <f>SUMPRODUCT(('Entity Master'!H7:H2164="foreign_fms")*'Entity Master'!G7:G2164)</f>
      </c>
    </row>
    <row r="2175" outlineLevel="1">
      <c r="B2175" s="0" t="inlineStr">
        <is>
          <t xml:space="preserve">Prime yard (dropped)</t>
        </is>
      </c>
      <c r="C2175" s="4">
        <f>SUMPRODUCT(('Entity Master'!H7:H2164="prime")*'Entity Master'!G7:G2164)</f>
      </c>
    </row>
    <row r="2176" outlineLevel="1">
      <c r="B2176" s="0" t="inlineStr">
        <is>
          <t xml:space="preserve">Co-prime yard (dropped)</t>
        </is>
      </c>
      <c r="C2176" s="4">
        <f>SUMPRODUCT(('Entity Master'!H7:H2164="co_prime")*'Entity Master'!G7:G2164)</f>
      </c>
    </row>
    <row r="2177" outlineLevel="1">
      <c r="B2177" s="0" t="inlineStr">
        <is>
          <t xml:space="preserve">GFE / MIB / Navy-directed (dropped)</t>
        </is>
      </c>
      <c r="C2177" s="4">
        <f>SUMPRODUCT(('Entity Master'!H7:H2164="gfe_mib")*'Entity Master'!G7:G2164)</f>
      </c>
    </row>
    <row r="2180">
      <c r="A2180" s="0" t="inlineStr">
        <is>
          <t xml:space="preserve">x</t>
        </is>
      </c>
      <c r="B2180" s="9" t="inlineStr">
        <is>
          <t xml:space="preserve">§3 - Bucket summary</t>
        </is>
      </c>
      <c r="C2180" s="9"/>
      <c r="D2180" s="9"/>
      <c r="E2180" s="9"/>
      <c r="F2180" s="9"/>
      <c r="G2180" s="9"/>
      <c r="H2180" s="9"/>
      <c r="I2180" s="9"/>
      <c r="J2180" s="9"/>
      <c r="K2180" s="9"/>
      <c r="L2180" s="9"/>
      <c r="M2180" s="9"/>
      <c r="N2180" s="9"/>
      <c r="O2180" s="9"/>
      <c r="P2180" s="9"/>
      <c r="Q2180" s="9"/>
    </row>
    <row r="2182">
      <c r="B2182" s="2" t="inlineStr">
        <is>
          <t xml:space="preserve">Bucket</t>
        </is>
      </c>
      <c r="C2182" s="22" t="inlineStr">
        <is>
          <t xml:space="preserve">Supplier $M</t>
        </is>
      </c>
    </row>
    <row r="2183" outlineLevel="1">
      <c r="B2183" s="0" t="inlineStr">
        <is>
          <t xml:space="preserve">Structural fabrication &amp; modules</t>
        </is>
      </c>
      <c r="C2183" s="4">
        <f>SUMPRODUCT(('Entity Master'!H7:H2164="supplier")*('Entity Master'!I7:I2164="structural")*'Entity Master'!G7:G2164)</f>
      </c>
    </row>
    <row r="2184" outlineLevel="1">
      <c r="B2184" s="0" t="inlineStr">
        <is>
          <t xml:space="preserve">Machining / mechanical / propulsion</t>
        </is>
      </c>
      <c r="C2184" s="4">
        <f>SUMPRODUCT(('Entity Master'!H7:H2164="supplier")*('Entity Master'!I7:I2164="machining")*'Entity Master'!G7:G2164)</f>
      </c>
    </row>
    <row r="2185" outlineLevel="1">
      <c r="B2185" s="0" t="inlineStr">
        <is>
          <t xml:space="preserve">Castings &amp; forgings</t>
        </is>
      </c>
      <c r="C2185" s="4">
        <f>SUMPRODUCT(('Entity Master'!H7:H2164="supplier")*('Entity Master'!I7:I2164="castings")*'Entity Master'!G7:G2164)</f>
      </c>
    </row>
    <row r="2186" outlineLevel="1">
      <c r="B2186" s="0" t="inlineStr">
        <is>
          <t xml:space="preserve">Piping / fluid handling</t>
        </is>
      </c>
      <c r="C2186" s="4">
        <f>SUMPRODUCT(('Entity Master'!H7:H2164="supplier")*('Entity Master'!I7:I2164="piping")*'Entity Master'!G7:G2164)</f>
      </c>
    </row>
    <row r="2187" outlineLevel="1">
      <c r="B2187" s="0" t="inlineStr">
        <is>
          <t xml:space="preserve">Electrical power / distribution / generation</t>
        </is>
      </c>
      <c r="C2187" s="4">
        <f>SUMPRODUCT(('Entity Master'!H7:H2164="supplier")*('Entity Master'!I7:I2164="electrical")*'Entity Master'!G7:G2164)</f>
      </c>
    </row>
    <row r="2188" outlineLevel="1">
      <c r="B2188" s="0" t="inlineStr">
        <is>
          <t xml:space="preserve">HVAC / ventilation / chilled water</t>
        </is>
      </c>
      <c r="C2188" s="4">
        <f>SUMPRODUCT(('Entity Master'!H7:H2164="supplier")*('Entity Master'!I7:I2164="hvac")*'Entity Master'!G7:G2164)</f>
      </c>
    </row>
    <row r="2189" outlineLevel="1">
      <c r="B2189" s="0" t="inlineStr">
        <is>
          <t xml:space="preserve">Coatings / insulation / decking</t>
        </is>
      </c>
      <c r="C2189" s="4">
        <f>SUMPRODUCT(('Entity Master'!H7:H2164="supplier")*('Entity Master'!I7:I2164="coatings")*'Entity Master'!G7:G2164)</f>
      </c>
    </row>
  </sheetData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7B1F3A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18" customWidth="1"/>
    <col min="3" max="3" width="18" customWidth="1"/>
    <col min="4" max="4" width="14" customWidth="1"/>
    <col min="5" max="5" width="30" customWidth="1"/>
  </cols>
  <sheetData>
    <row r="1"/>
    <row r="2">
      <c r="B2" s="8" t="inlineStr">
        <is>
          <t xml:space="preserve">Location Master</t>
        </is>
      </c>
      <c r="C2" s="8"/>
      <c r="D2" s="8"/>
      <c r="E2" s="8"/>
    </row>
    <row r="4">
      <c r="A4" s="0" t="inlineStr">
        <is>
          <t xml:space="preserve">x</t>
        </is>
      </c>
      <c r="B4" s="9" t="inlineStr">
        <is>
          <t xml:space="preserve">§1 - Prime sites</t>
        </is>
      </c>
      <c r="C4" s="9"/>
      <c r="D4" s="9"/>
      <c r="E4" s="9"/>
    </row>
    <row r="6">
      <c r="B6" s="2" t="inlineStr">
        <is>
          <t xml:space="preserve">State</t>
        </is>
      </c>
      <c r="C6" s="2" t="inlineStr">
        <is>
          <t xml:space="preserve">Name</t>
        </is>
      </c>
      <c r="D6" s="2" t="inlineStr">
        <is>
          <t xml:space="preserve">Prime-controlled site</t>
        </is>
      </c>
      <c r="E6" s="2" t="inlineStr">
        <is>
          <t xml:space="preserve">Role</t>
        </is>
      </c>
    </row>
    <row r="7" outlineLevel="1">
      <c r="B7" s="0" t="inlineStr">
        <is>
          <t xml:space="preserve">ME</t>
        </is>
      </c>
      <c r="C7" s="0" t="inlineStr">
        <is>
          <t xml:space="preserve">Maine</t>
        </is>
      </c>
      <c r="D7" s="0" t="inlineStr">
        <is>
          <t xml:space="preserve">GD Bath Iron Works (BIW)</t>
        </is>
      </c>
      <c r="E7" s="0" t="inlineStr">
        <is>
          <t xml:space="preserve">final-assembly yard</t>
        </is>
      </c>
    </row>
    <row r="8" outlineLevel="1">
      <c r="B8" s="0" t="inlineStr">
        <is>
          <t xml:space="preserve">MS</t>
        </is>
      </c>
      <c r="C8" s="0" t="inlineStr">
        <is>
          <t xml:space="preserve">Mississippi</t>
        </is>
      </c>
      <c r="D8" s="0" t="inlineStr">
        <is>
          <t xml:space="preserve">HII Ingalls Shipbuilding</t>
        </is>
      </c>
      <c r="E8" s="0" t="inlineStr">
        <is>
          <t xml:space="preserve">final-assembly yard</t>
        </is>
      </c>
    </row>
    <row r="11">
      <c r="A11" s="0" t="inlineStr">
        <is>
          <t xml:space="preserve">x</t>
        </is>
      </c>
      <c r="B11" s="9" t="inlineStr">
        <is>
          <t xml:space="preserve">§2 - Location principle</t>
        </is>
      </c>
      <c r="C11" s="9"/>
      <c r="D11" s="9"/>
      <c r="E11" s="9"/>
    </row>
    <row r="13" outlineLevel="1">
      <c r="B13" s="0" t="inlineStr">
        <is>
          <t xml:space="preserve">Vendor location is context, not a scope test; scope is set per award action.</t>
        </is>
      </c>
    </row>
    <row r="14" outlineLevel="1">
      <c r="B14" s="0" t="inlineStr">
        <is>
          <t xml:space="preserve">BIW (Maine) + Ingalls (Mississippi) are prime-controlled final-assembly sites; work there is not addressable.</t>
        </is>
      </c>
    </row>
    <row r="17">
      <c r="A17" s="0" t="inlineStr">
        <is>
          <t xml:space="preserve">x</t>
        </is>
      </c>
      <c r="B17" s="9" t="inlineStr">
        <is>
          <t xml:space="preserve">§3 - Domestic / foreign split (foreign / FMS is excluded scope)</t>
        </is>
      </c>
      <c r="C17" s="9"/>
      <c r="D17" s="9"/>
      <c r="E17" s="9"/>
    </row>
    <row r="19">
      <c r="B19" s="2" t="inlineStr">
        <is>
          <t xml:space="preserve">Origin</t>
        </is>
      </c>
      <c r="C19" s="22" t="inlineStr">
        <is>
          <t xml:space="preserve">$M lifetime</t>
        </is>
      </c>
      <c r="D19" s="22" t="inlineStr">
        <is>
          <t xml:space="preserve">% of total</t>
        </is>
      </c>
      <c r="E19" s="2"/>
    </row>
    <row r="20" outlineLevel="1">
      <c r="B20" s="0" t="inlineStr">
        <is>
          <t xml:space="preserve">Domestic (US)</t>
        </is>
      </c>
      <c r="C20" s="5">
        <v>8612.0</v>
      </c>
      <c r="D20" s="6">
        <f>C20/C22</f>
      </c>
    </row>
    <row r="21" outlineLevel="1">
      <c r="B21" s="0" t="inlineStr">
        <is>
          <t xml:space="preserve">Foreign</t>
        </is>
      </c>
      <c r="C21" s="5">
        <v>2589.9</v>
      </c>
      <c r="D21" s="6">
        <f>C21/C22</f>
      </c>
    </row>
    <row r="22">
      <c r="B22" s="3" t="inlineStr">
        <is>
          <t xml:space="preserve">Total</t>
        </is>
      </c>
      <c r="C22" s="13">
        <f>SUM(C20:C21)</f>
      </c>
      <c r="D22" s="14">
        <f>SUM(D20:D21)</f>
      </c>
      <c r="E22" s="16"/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7B1F3A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6" customWidth="1"/>
    <col min="3" max="3" width="40" customWidth="1"/>
    <col min="4" max="4" width="10" customWidth="1"/>
    <col min="5" max="5" width="14" customWidth="1"/>
    <col min="6" max="6" width="11" customWidth="1"/>
    <col min="7" max="7" width="11" customWidth="1"/>
  </cols>
  <sheetData>
    <row r="1"/>
    <row r="2">
      <c r="B2" s="8" t="inlineStr">
        <is>
          <t xml:space="preserve">Vendors</t>
        </is>
      </c>
      <c r="C2" s="8"/>
      <c r="D2" s="8"/>
      <c r="E2" s="8"/>
      <c r="F2" s="8"/>
      <c r="G2" s="8"/>
    </row>
    <row r="4">
      <c r="A4" s="0" t="inlineStr">
        <is>
          <t xml:space="preserve">x</t>
        </is>
      </c>
      <c r="B4" s="9" t="inlineStr">
        <is>
          <t xml:space="preserve">§1 - Top 60 vendors by lifetime $ (FFATA-visible)</t>
        </is>
      </c>
      <c r="C4" s="9"/>
      <c r="D4" s="9"/>
      <c r="E4" s="9"/>
      <c r="F4" s="9"/>
      <c r="G4" s="9"/>
    </row>
    <row r="6">
      <c r="B6" s="2" t="inlineStr">
        <is>
          <t xml:space="preserve">#</t>
        </is>
      </c>
      <c r="C6" s="2" t="inlineStr">
        <is>
          <t xml:space="preserve">Vendor</t>
        </is>
      </c>
      <c r="D6" s="2" t="inlineStr">
        <is>
          <t xml:space="preserve">Foreign</t>
        </is>
      </c>
      <c r="E6" s="2" t="inlineStr">
        <is>
          <t xml:space="preserve">$M lifetime</t>
        </is>
      </c>
      <c r="F6" s="2" t="inlineStr">
        <is>
          <t xml:space="preserve">Records</t>
        </is>
      </c>
      <c r="G6" s="2" t="inlineStr">
        <is>
          <t xml:space="preserve">PIIDs</t>
        </is>
      </c>
    </row>
    <row r="7" outlineLevel="1">
      <c r="B7" s="0" t="inlineStr">
        <is>
          <t xml:space="preserve">1</t>
        </is>
      </c>
      <c r="C7" s="0" t="inlineStr">
        <is>
          <t xml:space="preserve">LEONARDO SPA</t>
        </is>
      </c>
      <c r="D7" s="0" t="inlineStr">
        <is>
          <t xml:space="preserve">Yes</t>
        </is>
      </c>
      <c r="E7" s="5">
        <v>1810.2595</v>
      </c>
      <c r="F7" s="0" t="inlineStr">
        <is>
          <t xml:space="preserve">448</t>
        </is>
      </c>
      <c r="G7" s="0" t="inlineStr">
        <is>
          <t xml:space="preserve">21</t>
        </is>
      </c>
    </row>
    <row r="8" outlineLevel="1">
      <c r="B8" s="0" t="inlineStr">
        <is>
          <t xml:space="preserve">2</t>
        </is>
      </c>
      <c r="C8" s="0" t="inlineStr">
        <is>
          <t xml:space="preserve">ARCTIC SLOPE REGIONAL CORPORATION</t>
        </is>
      </c>
      <c r="E8" s="5">
        <v>987.4426</v>
      </c>
      <c r="F8" s="0" t="inlineStr">
        <is>
          <t xml:space="preserve">381</t>
        </is>
      </c>
      <c r="G8" s="0" t="inlineStr">
        <is>
          <t xml:space="preserve">6</t>
        </is>
      </c>
    </row>
    <row r="9" outlineLevel="1">
      <c r="B9" s="0" t="inlineStr">
        <is>
          <t xml:space="preserve">3</t>
        </is>
      </c>
      <c r="C9" s="0" t="inlineStr">
        <is>
          <t xml:space="preserve">MAJOR TOOL AND MACHINE INC</t>
        </is>
      </c>
      <c r="E9" s="5">
        <v>816.1143</v>
      </c>
      <c r="F9" s="0" t="inlineStr">
        <is>
          <t xml:space="preserve">53</t>
        </is>
      </c>
      <c r="G9" s="0" t="inlineStr">
        <is>
          <t xml:space="preserve">3</t>
        </is>
      </c>
    </row>
    <row r="10" outlineLevel="1">
      <c r="B10" s="0" t="inlineStr">
        <is>
          <t xml:space="preserve">4</t>
        </is>
      </c>
      <c r="C10" s="0" t="inlineStr">
        <is>
          <t xml:space="preserve">GENERAL DYNAMICS CORPORATION</t>
        </is>
      </c>
      <c r="D10" s="0" t="inlineStr">
        <is>
          <t xml:space="preserve">Yes</t>
        </is>
      </c>
      <c r="E10" s="5">
        <v>372.0111</v>
      </c>
      <c r="F10" s="0" t="inlineStr">
        <is>
          <t xml:space="preserve">146</t>
        </is>
      </c>
      <c r="G10" s="0" t="inlineStr">
        <is>
          <t xml:space="preserve">14</t>
        </is>
      </c>
    </row>
    <row r="11" outlineLevel="1">
      <c r="B11" s="0" t="inlineStr">
        <is>
          <t xml:space="preserve">5</t>
        </is>
      </c>
      <c r="C11" s="0" t="inlineStr">
        <is>
          <t xml:space="preserve">GENERAL ELECTRIC COMPANY</t>
        </is>
      </c>
      <c r="E11" s="5">
        <v>335.5685</v>
      </c>
      <c r="F11" s="0" t="inlineStr">
        <is>
          <t xml:space="preserve">34</t>
        </is>
      </c>
      <c r="G11" s="0" t="inlineStr">
        <is>
          <t xml:space="preserve">7</t>
        </is>
      </c>
    </row>
    <row r="12" outlineLevel="1">
      <c r="B12" s="0" t="inlineStr">
        <is>
          <t xml:space="preserve">6</t>
        </is>
      </c>
      <c r="C12" s="0" t="inlineStr">
        <is>
          <t xml:space="preserve">ROLLS-ROYCE HOLDINGS PLC</t>
        </is>
      </c>
      <c r="E12" s="5">
        <v>257.2133</v>
      </c>
      <c r="F12" s="0" t="inlineStr">
        <is>
          <t xml:space="preserve">100</t>
        </is>
      </c>
      <c r="G12" s="0" t="inlineStr">
        <is>
          <t xml:space="preserve">10</t>
        </is>
      </c>
    </row>
    <row r="13" outlineLevel="1">
      <c r="B13" s="0" t="inlineStr">
        <is>
          <t xml:space="preserve">7</t>
        </is>
      </c>
      <c r="C13" s="0" t="inlineStr">
        <is>
          <t xml:space="preserve">NORTHROP GRUMMAN CORPORATION</t>
        </is>
      </c>
      <c r="E13" s="5">
        <v>249.2584</v>
      </c>
      <c r="F13" s="0" t="inlineStr">
        <is>
          <t xml:space="preserve">59</t>
        </is>
      </c>
      <c r="G13" s="0" t="inlineStr">
        <is>
          <t xml:space="preserve">7</t>
        </is>
      </c>
    </row>
    <row r="14" outlineLevel="1">
      <c r="B14" s="0" t="inlineStr">
        <is>
          <t xml:space="preserve">8</t>
        </is>
      </c>
      <c r="C14" s="0" t="inlineStr">
        <is>
          <t xml:space="preserve">JOHNSON CONTROLS NAVY SYSTEMS, LLC</t>
        </is>
      </c>
      <c r="E14" s="5">
        <v>178.2302</v>
      </c>
      <c r="F14" s="0" t="inlineStr">
        <is>
          <t xml:space="preserve">46</t>
        </is>
      </c>
      <c r="G14" s="0" t="inlineStr">
        <is>
          <t xml:space="preserve">6</t>
        </is>
      </c>
    </row>
    <row r="15" outlineLevel="1">
      <c r="B15" s="0" t="inlineStr">
        <is>
          <t xml:space="preserve">9</t>
        </is>
      </c>
      <c r="C15" s="0" t="inlineStr">
        <is>
          <t xml:space="preserve">ADVANCED SCIENCES AND TECHNOLOGIES, LLC</t>
        </is>
      </c>
      <c r="E15" s="5">
        <v>173.9504</v>
      </c>
      <c r="F15" s="0" t="inlineStr">
        <is>
          <t xml:space="preserve">349</t>
        </is>
      </c>
      <c r="G15" s="0" t="inlineStr">
        <is>
          <t xml:space="preserve">7</t>
        </is>
      </c>
    </row>
    <row r="16" outlineLevel="1">
      <c r="B16" s="0" t="inlineStr">
        <is>
          <t xml:space="preserve">10</t>
        </is>
      </c>
      <c r="C16" s="0" t="inlineStr">
        <is>
          <t xml:space="preserve">CAES SYSTEMS LLC</t>
        </is>
      </c>
      <c r="E16" s="5">
        <v>169.1834</v>
      </c>
      <c r="F16" s="0" t="inlineStr">
        <is>
          <t xml:space="preserve">7</t>
        </is>
      </c>
      <c r="G16" s="0" t="inlineStr">
        <is>
          <t xml:space="preserve">1</t>
        </is>
      </c>
    </row>
    <row r="17" outlineLevel="1">
      <c r="B17" s="0" t="inlineStr">
        <is>
          <t xml:space="preserve">11</t>
        </is>
      </c>
      <c r="C17" s="0" t="inlineStr">
        <is>
          <t xml:space="preserve">TIMKEN GEARS &amp; SERVICES INC.</t>
        </is>
      </c>
      <c r="E17" s="5">
        <v>169.0458</v>
      </c>
      <c r="F17" s="0" t="inlineStr">
        <is>
          <t xml:space="preserve">5</t>
        </is>
      </c>
      <c r="G17" s="0" t="inlineStr">
        <is>
          <t xml:space="preserve">2</t>
        </is>
      </c>
    </row>
    <row r="18" outlineLevel="1">
      <c r="B18" s="0" t="inlineStr">
        <is>
          <t xml:space="preserve">12</t>
        </is>
      </c>
      <c r="C18" s="0" t="inlineStr">
        <is>
          <t xml:space="preserve">EXTREME ENGINEERING SOLUTIONS, INC.</t>
        </is>
      </c>
      <c r="E18" s="5">
        <v>151.9162</v>
      </c>
      <c r="F18" s="0" t="inlineStr">
        <is>
          <t xml:space="preserve">44</t>
        </is>
      </c>
      <c r="G18" s="0" t="inlineStr">
        <is>
          <t xml:space="preserve">5</t>
        </is>
      </c>
    </row>
    <row r="19" outlineLevel="1">
      <c r="B19" s="0" t="inlineStr">
        <is>
          <t xml:space="preserve">13</t>
        </is>
      </c>
      <c r="C19" s="0" t="inlineStr">
        <is>
          <t xml:space="preserve">SUPERIOR ELECTROMECHANICAL COMPONENT SERVICE, INC.</t>
        </is>
      </c>
      <c r="E19" s="5">
        <v>146.2616</v>
      </c>
      <c r="F19" s="0" t="inlineStr">
        <is>
          <t xml:space="preserve">42</t>
        </is>
      </c>
      <c r="G19" s="0" t="inlineStr">
        <is>
          <t xml:space="preserve">6</t>
        </is>
      </c>
    </row>
    <row r="20" outlineLevel="1">
      <c r="B20" s="0" t="inlineStr">
        <is>
          <t xml:space="preserve">14</t>
        </is>
      </c>
      <c r="C20" s="0" t="inlineStr">
        <is>
          <t xml:space="preserve">IN-DEPTH ENGINEERING CORPORATION</t>
        </is>
      </c>
      <c r="E20" s="5">
        <v>137.791</v>
      </c>
      <c r="F20" s="0" t="inlineStr">
        <is>
          <t xml:space="preserve">214</t>
        </is>
      </c>
      <c r="G20" s="0" t="inlineStr">
        <is>
          <t xml:space="preserve">6</t>
        </is>
      </c>
    </row>
    <row r="21" outlineLevel="1">
      <c r="B21" s="0" t="inlineStr">
        <is>
          <t xml:space="preserve">15</t>
        </is>
      </c>
      <c r="C21" s="0" t="inlineStr">
        <is>
          <t xml:space="preserve">MAJOR TOOL &amp; MACHINE INC</t>
        </is>
      </c>
      <c r="E21" s="5">
        <v>131.7774</v>
      </c>
      <c r="F21" s="0" t="inlineStr">
        <is>
          <t xml:space="preserve">18</t>
        </is>
      </c>
      <c r="G21" s="0" t="inlineStr">
        <is>
          <t xml:space="preserve">4</t>
        </is>
      </c>
    </row>
    <row r="22" outlineLevel="1">
      <c r="B22" s="0" t="inlineStr">
        <is>
          <t xml:space="preserve">16</t>
        </is>
      </c>
      <c r="C22" s="0" t="inlineStr">
        <is>
          <t xml:space="preserve">JOHNSON CONTROLS INTERNATIONAL PUBLIC LIMITED COMPANY</t>
        </is>
      </c>
      <c r="E22" s="5">
        <v>119.9552</v>
      </c>
      <c r="F22" s="0" t="inlineStr">
        <is>
          <t xml:space="preserve">50</t>
        </is>
      </c>
      <c r="G22" s="0" t="inlineStr">
        <is>
          <t xml:space="preserve">7</t>
        </is>
      </c>
    </row>
    <row r="23" outlineLevel="1">
      <c r="B23" s="0" t="inlineStr">
        <is>
          <t xml:space="preserve">17</t>
        </is>
      </c>
      <c r="C23" s="0" t="inlineStr">
        <is>
          <t xml:space="preserve">MERRILL TOOL HOLDING COMPANY</t>
        </is>
      </c>
      <c r="E23" s="5">
        <v>95.8757</v>
      </c>
      <c r="F23" s="0" t="inlineStr">
        <is>
          <t xml:space="preserve">47</t>
        </is>
      </c>
      <c r="G23" s="0" t="inlineStr">
        <is>
          <t xml:space="preserve">9</t>
        </is>
      </c>
    </row>
    <row r="24" outlineLevel="1">
      <c r="B24" s="0" t="inlineStr">
        <is>
          <t xml:space="preserve">18</t>
        </is>
      </c>
      <c r="C24" s="0" t="inlineStr">
        <is>
          <t xml:space="preserve">GOLDEN STAR TECHNOLOGY INC</t>
        </is>
      </c>
      <c r="E24" s="5">
        <v>87.5991</v>
      </c>
      <c r="F24" s="0" t="inlineStr">
        <is>
          <t xml:space="preserve">20</t>
        </is>
      </c>
      <c r="G24" s="0" t="inlineStr">
        <is>
          <t xml:space="preserve">1</t>
        </is>
      </c>
    </row>
    <row r="25" outlineLevel="1">
      <c r="B25" s="0" t="inlineStr">
        <is>
          <t xml:space="preserve">19</t>
        </is>
      </c>
      <c r="C25" s="0" t="inlineStr">
        <is>
          <t xml:space="preserve">HANWHA SYSTEMS CO., LTD.</t>
        </is>
      </c>
      <c r="D25" s="0" t="inlineStr">
        <is>
          <t xml:space="preserve">Yes</t>
        </is>
      </c>
      <c r="E25" s="5">
        <v>84.4424</v>
      </c>
      <c r="F25" s="0" t="inlineStr">
        <is>
          <t xml:space="preserve">12</t>
        </is>
      </c>
      <c r="G25" s="0" t="inlineStr">
        <is>
          <t xml:space="preserve">1</t>
        </is>
      </c>
    </row>
    <row r="26" outlineLevel="1">
      <c r="B26" s="0" t="inlineStr">
        <is>
          <t xml:space="preserve">20</t>
        </is>
      </c>
      <c r="C26" s="0" t="inlineStr">
        <is>
          <t xml:space="preserve">INDRA SISTEMAS, SOCIEDAD ANONIMA</t>
        </is>
      </c>
      <c r="D26" s="0" t="inlineStr">
        <is>
          <t xml:space="preserve">Yes</t>
        </is>
      </c>
      <c r="E26" s="5">
        <v>82.4636</v>
      </c>
      <c r="F26" s="0" t="inlineStr">
        <is>
          <t xml:space="preserve">28</t>
        </is>
      </c>
      <c r="G26" s="0" t="inlineStr">
        <is>
          <t xml:space="preserve">1</t>
        </is>
      </c>
    </row>
    <row r="27" outlineLevel="1">
      <c r="B27" s="0" t="inlineStr">
        <is>
          <t xml:space="preserve">21</t>
        </is>
      </c>
      <c r="C27" s="0" t="inlineStr">
        <is>
          <t xml:space="preserve">MERCURY SYSTEMS INC</t>
        </is>
      </c>
      <c r="E27" s="5">
        <v>77.6207</v>
      </c>
      <c r="F27" s="0" t="inlineStr">
        <is>
          <t xml:space="preserve">162</t>
        </is>
      </c>
      <c r="G27" s="0" t="inlineStr">
        <is>
          <t xml:space="preserve">10</t>
        </is>
      </c>
    </row>
    <row r="28" outlineLevel="1">
      <c r="B28" s="0" t="inlineStr">
        <is>
          <t xml:space="preserve">22</t>
        </is>
      </c>
      <c r="C28" s="0" t="inlineStr">
        <is>
          <t xml:space="preserve">ADVANCED INDUSTRIES, INC.</t>
        </is>
      </c>
      <c r="E28" s="5">
        <v>69.8856</v>
      </c>
      <c r="F28" s="0" t="inlineStr">
        <is>
          <t xml:space="preserve">88</t>
        </is>
      </c>
      <c r="G28" s="0" t="inlineStr">
        <is>
          <t xml:space="preserve">5</t>
        </is>
      </c>
    </row>
    <row r="29" outlineLevel="1">
      <c r="B29" s="0" t="inlineStr">
        <is>
          <t xml:space="preserve">23</t>
        </is>
      </c>
      <c r="C29" s="0" t="inlineStr">
        <is>
          <t xml:space="preserve">SEYER INDUSTRIES, INC.</t>
        </is>
      </c>
      <c r="E29" s="5">
        <v>63.0609</v>
      </c>
      <c r="F29" s="0" t="inlineStr">
        <is>
          <t xml:space="preserve">119</t>
        </is>
      </c>
      <c r="G29" s="0" t="inlineStr">
        <is>
          <t xml:space="preserve">7</t>
        </is>
      </c>
    </row>
    <row r="30" outlineLevel="1">
      <c r="B30" s="0" t="inlineStr">
        <is>
          <t xml:space="preserve">24</t>
        </is>
      </c>
      <c r="C30" s="0" t="inlineStr">
        <is>
          <t xml:space="preserve">COBHAM PLC</t>
        </is>
      </c>
      <c r="E30" s="5">
        <v>62.8617</v>
      </c>
      <c r="F30" s="0" t="inlineStr">
        <is>
          <t xml:space="preserve">75</t>
        </is>
      </c>
      <c r="G30" s="0" t="inlineStr">
        <is>
          <t xml:space="preserve">5</t>
        </is>
      </c>
    </row>
    <row r="31" outlineLevel="1">
      <c r="B31" s="0" t="inlineStr">
        <is>
          <t xml:space="preserve">25</t>
        </is>
      </c>
      <c r="C31" s="0" t="inlineStr">
        <is>
          <t xml:space="preserve">ANAREN, INC.</t>
        </is>
      </c>
      <c r="E31" s="5">
        <v>62.7665</v>
      </c>
      <c r="F31" s="0" t="inlineStr">
        <is>
          <t xml:space="preserve">8</t>
        </is>
      </c>
      <c r="G31" s="0" t="inlineStr">
        <is>
          <t xml:space="preserve">1</t>
        </is>
      </c>
    </row>
    <row r="32" outlineLevel="1">
      <c r="B32" s="0" t="inlineStr">
        <is>
          <t xml:space="preserve">26</t>
        </is>
      </c>
      <c r="C32" s="0" t="inlineStr">
        <is>
          <t xml:space="preserve">DUCOMMUN INCORPORATED</t>
        </is>
      </c>
      <c r="E32" s="5">
        <v>57.521</v>
      </c>
      <c r="F32" s="0" t="inlineStr">
        <is>
          <t xml:space="preserve">70</t>
        </is>
      </c>
      <c r="G32" s="0" t="inlineStr">
        <is>
          <t xml:space="preserve">9</t>
        </is>
      </c>
    </row>
    <row r="33" outlineLevel="1">
      <c r="B33" s="0" t="inlineStr">
        <is>
          <t xml:space="preserve">27</t>
        </is>
      </c>
      <c r="C33" s="0" t="inlineStr">
        <is>
          <t xml:space="preserve">ROLLS-ROYCE HOLDINGS PLC</t>
        </is>
      </c>
      <c r="E33" s="5">
        <v>54.776</v>
      </c>
      <c r="F33" s="0" t="inlineStr">
        <is>
          <t xml:space="preserve">22</t>
        </is>
      </c>
      <c r="G33" s="0" t="inlineStr">
        <is>
          <t xml:space="preserve">6</t>
        </is>
      </c>
    </row>
    <row r="34" outlineLevel="1">
      <c r="B34" s="0" t="inlineStr">
        <is>
          <t xml:space="preserve">28</t>
        </is>
      </c>
      <c r="C34" s="0" t="inlineStr">
        <is>
          <t xml:space="preserve">DATACON, INC.</t>
        </is>
      </c>
      <c r="E34" s="5">
        <v>54.5288</v>
      </c>
      <c r="F34" s="0" t="inlineStr">
        <is>
          <t xml:space="preserve">61</t>
        </is>
      </c>
      <c r="G34" s="0" t="inlineStr">
        <is>
          <t xml:space="preserve">6</t>
        </is>
      </c>
    </row>
    <row r="35" outlineLevel="1">
      <c r="B35" s="0" t="inlineStr">
        <is>
          <t xml:space="preserve">29</t>
        </is>
      </c>
      <c r="C35" s="0" t="inlineStr">
        <is>
          <t xml:space="preserve">GMT CORPORATION</t>
        </is>
      </c>
      <c r="E35" s="5">
        <v>52.8255</v>
      </c>
      <c r="F35" s="0" t="inlineStr">
        <is>
          <t xml:space="preserve">27</t>
        </is>
      </c>
      <c r="G35" s="0" t="inlineStr">
        <is>
          <t xml:space="preserve">4</t>
        </is>
      </c>
    </row>
    <row r="36" outlineLevel="1">
      <c r="B36" s="0" t="inlineStr">
        <is>
          <t xml:space="preserve">30</t>
        </is>
      </c>
      <c r="C36" s="0" t="inlineStr">
        <is>
          <t xml:space="preserve">SENER GRUPO DE INGENIERIA SOCIEDAD ANONIMA</t>
        </is>
      </c>
      <c r="D36" s="0" t="inlineStr">
        <is>
          <t xml:space="preserve">Yes</t>
        </is>
      </c>
      <c r="E36" s="5">
        <v>51.2183</v>
      </c>
      <c r="F36" s="0" t="inlineStr">
        <is>
          <t xml:space="preserve">14</t>
        </is>
      </c>
      <c r="G36" s="0" t="inlineStr">
        <is>
          <t xml:space="preserve">1</t>
        </is>
      </c>
    </row>
    <row r="37" outlineLevel="1">
      <c r="B37" s="0" t="inlineStr">
        <is>
          <t xml:space="preserve">31</t>
        </is>
      </c>
      <c r="C37" s="0" t="inlineStr">
        <is>
          <t xml:space="preserve">ESPEY MFG. &amp; ELECTRONICS CORP.</t>
        </is>
      </c>
      <c r="E37" s="5">
        <v>49.496</v>
      </c>
      <c r="F37" s="0" t="inlineStr">
        <is>
          <t xml:space="preserve">72</t>
        </is>
      </c>
      <c r="G37" s="0" t="inlineStr">
        <is>
          <t xml:space="preserve">4</t>
        </is>
      </c>
    </row>
    <row r="38" outlineLevel="1">
      <c r="B38" s="0" t="inlineStr">
        <is>
          <t xml:space="preserve">32</t>
        </is>
      </c>
      <c r="C38" s="0" t="inlineStr">
        <is>
          <t xml:space="preserve">L3HARRIS MARITIME POWER &amp; ENERGY SOLUTIONS, INC.</t>
        </is>
      </c>
      <c r="E38" s="5">
        <v>49.3176</v>
      </c>
      <c r="F38" s="0" t="inlineStr">
        <is>
          <t xml:space="preserve">18</t>
        </is>
      </c>
      <c r="G38" s="0" t="inlineStr">
        <is>
          <t xml:space="preserve">2</t>
        </is>
      </c>
    </row>
    <row r="39" outlineLevel="1">
      <c r="B39" s="0" t="inlineStr">
        <is>
          <t xml:space="preserve">33</t>
        </is>
      </c>
      <c r="C39" s="0" t="inlineStr">
        <is>
          <t xml:space="preserve">L3 TECHNOLOGIES, INC.</t>
        </is>
      </c>
      <c r="E39" s="5">
        <v>48.9639</v>
      </c>
      <c r="F39" s="0" t="inlineStr">
        <is>
          <t xml:space="preserve">42</t>
        </is>
      </c>
      <c r="G39" s="0" t="inlineStr">
        <is>
          <t xml:space="preserve">7</t>
        </is>
      </c>
    </row>
    <row r="40" outlineLevel="1">
      <c r="B40" s="0" t="inlineStr">
        <is>
          <t xml:space="preserve">34</t>
        </is>
      </c>
      <c r="C40" s="0" t="inlineStr">
        <is>
          <t xml:space="preserve">ELLWOOD GROUP, INC.</t>
        </is>
      </c>
      <c r="E40" s="5">
        <v>48.5818</v>
      </c>
      <c r="F40" s="0" t="inlineStr">
        <is>
          <t xml:space="preserve">29</t>
        </is>
      </c>
      <c r="G40" s="0" t="inlineStr">
        <is>
          <t xml:space="preserve">3</t>
        </is>
      </c>
    </row>
    <row r="41" outlineLevel="1">
      <c r="B41" s="0" t="inlineStr">
        <is>
          <t xml:space="preserve">35</t>
        </is>
      </c>
      <c r="C41" s="0" t="inlineStr">
        <is>
          <t xml:space="preserve">TOTAL SA</t>
        </is>
      </c>
      <c r="E41" s="5">
        <v>46.7662</v>
      </c>
      <c r="F41" s="0" t="inlineStr">
        <is>
          <t xml:space="preserve">45</t>
        </is>
      </c>
      <c r="G41" s="0" t="inlineStr">
        <is>
          <t xml:space="preserve">5</t>
        </is>
      </c>
    </row>
    <row r="42" outlineLevel="1">
      <c r="B42" s="0" t="inlineStr">
        <is>
          <t xml:space="preserve">36</t>
        </is>
      </c>
      <c r="C42" s="0" t="inlineStr">
        <is>
          <t xml:space="preserve">AC&amp;A ENTERPRISES HOLDINGS, LLC</t>
        </is>
      </c>
      <c r="E42" s="5">
        <v>44.1237</v>
      </c>
      <c r="F42" s="0" t="inlineStr">
        <is>
          <t xml:space="preserve">34</t>
        </is>
      </c>
      <c r="G42" s="0" t="inlineStr">
        <is>
          <t xml:space="preserve">4</t>
        </is>
      </c>
    </row>
    <row r="43" outlineLevel="1">
      <c r="B43" s="0" t="inlineStr">
        <is>
          <t xml:space="preserve">37</t>
        </is>
      </c>
      <c r="C43" s="0" t="inlineStr">
        <is>
          <t xml:space="preserve">FUTURAMIC TOOL &amp; ENGINEERING COMPANY</t>
        </is>
      </c>
      <c r="E43" s="5">
        <v>41.8043</v>
      </c>
      <c r="F43" s="0" t="inlineStr">
        <is>
          <t xml:space="preserve">207</t>
        </is>
      </c>
      <c r="G43" s="0" t="inlineStr">
        <is>
          <t xml:space="preserve">10</t>
        </is>
      </c>
    </row>
    <row r="44" outlineLevel="1">
      <c r="B44" s="0" t="inlineStr">
        <is>
          <t xml:space="preserve">38</t>
        </is>
      </c>
      <c r="C44" s="0" t="inlineStr">
        <is>
          <t xml:space="preserve">M.S.M. INDUSTRIES, INC.</t>
        </is>
      </c>
      <c r="E44" s="5">
        <v>41.7724</v>
      </c>
      <c r="F44" s="0" t="inlineStr">
        <is>
          <t xml:space="preserve">39</t>
        </is>
      </c>
      <c r="G44" s="0" t="inlineStr">
        <is>
          <t xml:space="preserve">5</t>
        </is>
      </c>
    </row>
    <row r="45" outlineLevel="1">
      <c r="B45" s="0" t="inlineStr">
        <is>
          <t xml:space="preserve">39</t>
        </is>
      </c>
      <c r="C45" s="0" t="inlineStr">
        <is>
          <t xml:space="preserve">TTM PRINTED CIRCUIT GROUP LLC</t>
        </is>
      </c>
      <c r="E45" s="5">
        <v>41.221</v>
      </c>
      <c r="F45" s="0" t="inlineStr">
        <is>
          <t xml:space="preserve">15</t>
        </is>
      </c>
      <c r="G45" s="0" t="inlineStr">
        <is>
          <t xml:space="preserve">1</t>
        </is>
      </c>
    </row>
    <row r="46" outlineLevel="1">
      <c r="B46" s="0" t="inlineStr">
        <is>
          <t xml:space="preserve">40</t>
        </is>
      </c>
      <c r="C46" s="0" t="inlineStr">
        <is>
          <t xml:space="preserve">BERKSHIRE HATHAWAY INC.</t>
        </is>
      </c>
      <c r="E46" s="5">
        <v>41.0707</v>
      </c>
      <c r="F46" s="0" t="inlineStr">
        <is>
          <t xml:space="preserve">92</t>
        </is>
      </c>
      <c r="G46" s="0" t="inlineStr">
        <is>
          <t xml:space="preserve">19</t>
        </is>
      </c>
    </row>
    <row r="47" outlineLevel="1">
      <c r="B47" s="0" t="inlineStr">
        <is>
          <t xml:space="preserve">41</t>
        </is>
      </c>
      <c r="C47" s="0" t="inlineStr">
        <is>
          <t xml:space="preserve">ALCOA EXTRUSIONS, INC.</t>
        </is>
      </c>
      <c r="E47" s="5">
        <v>40.7783</v>
      </c>
      <c r="F47" s="0" t="inlineStr">
        <is>
          <t xml:space="preserve">29</t>
        </is>
      </c>
      <c r="G47" s="0" t="inlineStr">
        <is>
          <t xml:space="preserve">5</t>
        </is>
      </c>
    </row>
    <row r="48" outlineLevel="1">
      <c r="B48" s="0" t="inlineStr">
        <is>
          <t xml:space="preserve">42</t>
        </is>
      </c>
      <c r="C48" s="0" t="inlineStr">
        <is>
          <t xml:space="preserve">PARKER-HANNIFIN CORPORATION</t>
        </is>
      </c>
      <c r="E48" s="5">
        <v>40.4988</v>
      </c>
      <c r="F48" s="0" t="inlineStr">
        <is>
          <t xml:space="preserve">86</t>
        </is>
      </c>
      <c r="G48" s="0" t="inlineStr">
        <is>
          <t xml:space="preserve">12</t>
        </is>
      </c>
    </row>
    <row r="49" outlineLevel="1">
      <c r="B49" s="0" t="inlineStr">
        <is>
          <t xml:space="preserve">43</t>
        </is>
      </c>
      <c r="C49" s="0" t="inlineStr">
        <is>
          <t xml:space="preserve">MAINE MACHINE PRODUCTS COMPANY</t>
        </is>
      </c>
      <c r="E49" s="5">
        <v>39.0225</v>
      </c>
      <c r="F49" s="0" t="inlineStr">
        <is>
          <t xml:space="preserve">3</t>
        </is>
      </c>
      <c r="G49" s="0" t="inlineStr">
        <is>
          <t xml:space="preserve">2</t>
        </is>
      </c>
    </row>
    <row r="50" outlineLevel="1">
      <c r="B50" s="0" t="inlineStr">
        <is>
          <t xml:space="preserve">44</t>
        </is>
      </c>
      <c r="C50" s="0" t="inlineStr">
        <is>
          <t xml:space="preserve">HI-AIR KOREA CO., LTD.</t>
        </is>
      </c>
      <c r="D50" s="0" t="inlineStr">
        <is>
          <t xml:space="preserve">Yes</t>
        </is>
      </c>
      <c r="E50" s="5">
        <v>37.7865</v>
      </c>
      <c r="F50" s="0" t="inlineStr">
        <is>
          <t xml:space="preserve">8</t>
        </is>
      </c>
      <c r="G50" s="0" t="inlineStr">
        <is>
          <t xml:space="preserve">1</t>
        </is>
      </c>
    </row>
    <row r="51" outlineLevel="1">
      <c r="B51" s="0" t="inlineStr">
        <is>
          <t xml:space="preserve">45</t>
        </is>
      </c>
      <c r="C51" s="0" t="inlineStr">
        <is>
          <t xml:space="preserve">AMERICAN TANK &amp; FABRICATING CO, THE</t>
        </is>
      </c>
      <c r="E51" s="5">
        <v>37.7833</v>
      </c>
      <c r="F51" s="0" t="inlineStr">
        <is>
          <t xml:space="preserve">34</t>
        </is>
      </c>
      <c r="G51" s="0" t="inlineStr">
        <is>
          <t xml:space="preserve">4</t>
        </is>
      </c>
    </row>
    <row r="52" outlineLevel="1">
      <c r="B52" s="0" t="inlineStr">
        <is>
          <t xml:space="preserve">46</t>
        </is>
      </c>
      <c r="C52" s="0" t="inlineStr">
        <is>
          <t xml:space="preserve">PRODUCTION ENGINEERING CORPORATION</t>
        </is>
      </c>
      <c r="E52" s="5">
        <v>36.1024</v>
      </c>
      <c r="F52" s="0" t="inlineStr">
        <is>
          <t xml:space="preserve">163</t>
        </is>
      </c>
      <c r="G52" s="0" t="inlineStr">
        <is>
          <t xml:space="preserve">9</t>
        </is>
      </c>
    </row>
    <row r="53" outlineLevel="1">
      <c r="B53" s="0" t="inlineStr">
        <is>
          <t xml:space="preserve">47</t>
        </is>
      </c>
      <c r="C53" s="0" t="inlineStr">
        <is>
          <t xml:space="preserve">TELEDYNE TECHNOLOGIES INCORPORATED</t>
        </is>
      </c>
      <c r="E53" s="5">
        <v>35.832</v>
      </c>
      <c r="F53" s="0" t="inlineStr">
        <is>
          <t xml:space="preserve">47</t>
        </is>
      </c>
      <c r="G53" s="0" t="inlineStr">
        <is>
          <t xml:space="preserve">6</t>
        </is>
      </c>
    </row>
    <row r="54" outlineLevel="1">
      <c r="B54" s="0" t="inlineStr">
        <is>
          <t xml:space="preserve">48</t>
        </is>
      </c>
      <c r="C54" s="0" t="inlineStr">
        <is>
          <t xml:space="preserve">AIRCRAFT APPLIANCES AND EQUIPMENT LIMITED</t>
        </is>
      </c>
      <c r="D54" s="0" t="inlineStr">
        <is>
          <t xml:space="preserve">Yes</t>
        </is>
      </c>
      <c r="E54" s="5">
        <v>33.7334</v>
      </c>
      <c r="F54" s="0" t="inlineStr">
        <is>
          <t xml:space="preserve">115</t>
        </is>
      </c>
      <c r="G54" s="0" t="inlineStr">
        <is>
          <t xml:space="preserve">5</t>
        </is>
      </c>
    </row>
    <row r="55" outlineLevel="1">
      <c r="B55" s="0" t="inlineStr">
        <is>
          <t xml:space="preserve">49</t>
        </is>
      </c>
      <c r="C55" s="0" t="inlineStr">
        <is>
          <t xml:space="preserve">TACTICAL ENGINEERING &amp; ANALYSIS, INC.</t>
        </is>
      </c>
      <c r="E55" s="5">
        <v>33.4528</v>
      </c>
      <c r="F55" s="0" t="inlineStr">
        <is>
          <t xml:space="preserve">29</t>
        </is>
      </c>
      <c r="G55" s="0" t="inlineStr">
        <is>
          <t xml:space="preserve">2</t>
        </is>
      </c>
    </row>
    <row r="56" outlineLevel="1">
      <c r="B56" s="0" t="inlineStr">
        <is>
          <t xml:space="preserve">50</t>
        </is>
      </c>
      <c r="C56" s="0" t="inlineStr">
        <is>
          <t xml:space="preserve">GULF COPPER &amp; MANUFACTURING CORPORATION</t>
        </is>
      </c>
      <c r="E56" s="5">
        <v>31.5893</v>
      </c>
      <c r="F56" s="0" t="inlineStr">
        <is>
          <t xml:space="preserve">17</t>
        </is>
      </c>
      <c r="G56" s="0" t="inlineStr">
        <is>
          <t xml:space="preserve">1</t>
        </is>
      </c>
    </row>
    <row r="57" outlineLevel="1">
      <c r="B57" s="0" t="inlineStr">
        <is>
          <t xml:space="preserve">51</t>
        </is>
      </c>
      <c r="C57" s="0" t="inlineStr">
        <is>
          <t xml:space="preserve">HANWHA TECHWIN CO., LTD.</t>
        </is>
      </c>
      <c r="D57" s="0" t="inlineStr">
        <is>
          <t xml:space="preserve">Yes</t>
        </is>
      </c>
      <c r="E57" s="5">
        <v>31.4606</v>
      </c>
      <c r="F57" s="0" t="inlineStr">
        <is>
          <t xml:space="preserve">4</t>
        </is>
      </c>
      <c r="G57" s="0" t="inlineStr">
        <is>
          <t xml:space="preserve">1</t>
        </is>
      </c>
    </row>
    <row r="58" outlineLevel="1">
      <c r="B58" s="0" t="inlineStr">
        <is>
          <t xml:space="preserve">52</t>
        </is>
      </c>
      <c r="C58" s="0" t="inlineStr">
        <is>
          <t xml:space="preserve">TECHNOLOGY DYNAMICS, INC.</t>
        </is>
      </c>
      <c r="E58" s="5">
        <v>30.6832</v>
      </c>
      <c r="F58" s="0" t="inlineStr">
        <is>
          <t xml:space="preserve">13</t>
        </is>
      </c>
      <c r="G58" s="0" t="inlineStr">
        <is>
          <t xml:space="preserve">1</t>
        </is>
      </c>
    </row>
    <row r="59" outlineLevel="1">
      <c r="B59" s="0" t="inlineStr">
        <is>
          <t xml:space="preserve">53</t>
        </is>
      </c>
      <c r="C59" s="0" t="inlineStr">
        <is>
          <t xml:space="preserve">L3HARRIS MARITIME POWER &amp; ENERGY SOLUTIONS, INC</t>
        </is>
      </c>
      <c r="E59" s="5">
        <v>29.9286</v>
      </c>
      <c r="F59" s="0" t="inlineStr">
        <is>
          <t xml:space="preserve">24</t>
        </is>
      </c>
      <c r="G59" s="0" t="inlineStr">
        <is>
          <t xml:space="preserve">3</t>
        </is>
      </c>
    </row>
    <row r="60" outlineLevel="1">
      <c r="B60" s="0" t="inlineStr">
        <is>
          <t xml:space="preserve">54</t>
        </is>
      </c>
      <c r="C60" s="0" t="inlineStr">
        <is>
          <t xml:space="preserve">ELLWOOD GROUP INCORPORATED</t>
        </is>
      </c>
      <c r="E60" s="5">
        <v>28.8663</v>
      </c>
      <c r="F60" s="0" t="inlineStr">
        <is>
          <t xml:space="preserve">7</t>
        </is>
      </c>
      <c r="G60" s="0" t="inlineStr">
        <is>
          <t xml:space="preserve">2</t>
        </is>
      </c>
    </row>
    <row r="61" outlineLevel="1">
      <c r="B61" s="0" t="inlineStr">
        <is>
          <t xml:space="preserve">55</t>
        </is>
      </c>
      <c r="C61" s="0" t="inlineStr">
        <is>
          <t xml:space="preserve">MAXIM EVAPORATORS OF AMERICA, LLC</t>
        </is>
      </c>
      <c r="E61" s="5">
        <v>28.5367</v>
      </c>
      <c r="F61" s="0" t="inlineStr">
        <is>
          <t xml:space="preserve">21</t>
        </is>
      </c>
      <c r="G61" s="0" t="inlineStr">
        <is>
          <t xml:space="preserve">3</t>
        </is>
      </c>
    </row>
    <row r="62" outlineLevel="1">
      <c r="B62" s="0" t="inlineStr">
        <is>
          <t xml:space="preserve">56</t>
        </is>
      </c>
      <c r="C62" s="0" t="inlineStr">
        <is>
          <t xml:space="preserve">AMPHENOL CORPORATION</t>
        </is>
      </c>
      <c r="E62" s="5">
        <v>28.3541</v>
      </c>
      <c r="F62" s="0" t="inlineStr">
        <is>
          <t xml:space="preserve">67</t>
        </is>
      </c>
      <c r="G62" s="0" t="inlineStr">
        <is>
          <t xml:space="preserve">9</t>
        </is>
      </c>
    </row>
    <row r="63" outlineLevel="1">
      <c r="B63" s="0" t="inlineStr">
        <is>
          <t xml:space="preserve">57</t>
        </is>
      </c>
      <c r="C63" s="0" t="inlineStr">
        <is>
          <t xml:space="preserve">DRS NAVAL POWER SYSTEMS, INC.</t>
        </is>
      </c>
      <c r="E63" s="5">
        <v>28.1728</v>
      </c>
      <c r="F63" s="0" t="inlineStr">
        <is>
          <t xml:space="preserve">34</t>
        </is>
      </c>
      <c r="G63" s="0" t="inlineStr">
        <is>
          <t xml:space="preserve">6</t>
        </is>
      </c>
    </row>
    <row r="64" outlineLevel="1">
      <c r="B64" s="0" t="inlineStr">
        <is>
          <t xml:space="preserve">58</t>
        </is>
      </c>
      <c r="C64" s="0" t="inlineStr">
        <is>
          <t xml:space="preserve">LAKE SHORE SYSTEMS, INC.</t>
        </is>
      </c>
      <c r="E64" s="5">
        <v>27.8723</v>
      </c>
      <c r="F64" s="0" t="inlineStr">
        <is>
          <t xml:space="preserve">69</t>
        </is>
      </c>
      <c r="G64" s="0" t="inlineStr">
        <is>
          <t xml:space="preserve">5</t>
        </is>
      </c>
    </row>
    <row r="65" outlineLevel="1">
      <c r="B65" s="0" t="inlineStr">
        <is>
          <t xml:space="preserve">59</t>
        </is>
      </c>
      <c r="C65" s="0" t="inlineStr">
        <is>
          <t xml:space="preserve">GENERAL MICRO SYSTEMS, INC</t>
        </is>
      </c>
      <c r="E65" s="5">
        <v>27.8115</v>
      </c>
      <c r="F65" s="0" t="inlineStr">
        <is>
          <t xml:space="preserve">48</t>
        </is>
      </c>
      <c r="G65" s="0" t="inlineStr">
        <is>
          <t xml:space="preserve">6</t>
        </is>
      </c>
    </row>
    <row r="66" outlineLevel="1">
      <c r="B66" s="0" t="inlineStr">
        <is>
          <t xml:space="preserve">60</t>
        </is>
      </c>
      <c r="C66" s="0" t="inlineStr">
        <is>
          <t xml:space="preserve">L3HARRIS TECHNOLOGIES, INC</t>
        </is>
      </c>
      <c r="E66" s="5">
        <v>26.7145</v>
      </c>
      <c r="F66" s="0" t="inlineStr">
        <is>
          <t xml:space="preserve">98</t>
        </is>
      </c>
      <c r="G66" s="0" t="inlineStr">
        <is>
          <t xml:space="preserve">13</t>
        </is>
      </c>
    </row>
    <row r="69">
      <c r="A69" s="0" t="inlineStr">
        <is>
          <t xml:space="preserve">x</t>
        </is>
      </c>
      <c r="B69" s="9" t="inlineStr">
        <is>
          <t xml:space="preserve">§2 - Concentration (of the shown top vendors)</t>
        </is>
      </c>
      <c r="C69" s="9"/>
      <c r="D69" s="9"/>
      <c r="E69" s="9"/>
      <c r="F69" s="9"/>
      <c r="G69" s="9"/>
    </row>
    <row r="71">
      <c r="B71" s="2" t="inlineStr">
        <is>
          <t xml:space="preserve">Group</t>
        </is>
      </c>
      <c r="C71" s="22" t="inlineStr">
        <is>
          <t xml:space="preserve">$M lifetime</t>
        </is>
      </c>
      <c r="D71" s="22" t="inlineStr">
        <is>
          <t xml:space="preserve">% of shown total</t>
        </is>
      </c>
      <c r="E71" s="2"/>
    </row>
    <row r="72" outlineLevel="1">
      <c r="B72" s="0" t="inlineStr">
        <is>
          <t xml:space="preserve">Top 10</t>
        </is>
      </c>
      <c r="C72" s="4">
        <f>SUM(E7:E16)</f>
      </c>
      <c r="D72" s="6">
        <f>C72/C74</f>
      </c>
    </row>
    <row r="73" outlineLevel="1">
      <c r="B73" s="0" t="inlineStr">
        <is>
          <t xml:space="preserve">Top 25</t>
        </is>
      </c>
      <c r="C73" s="4">
        <f>SUM(E7:E31)</f>
      </c>
      <c r="D73" s="6">
        <f>C73/C74</f>
      </c>
    </row>
    <row r="74" outlineLevel="1">
      <c r="B74" s="0" t="inlineStr">
        <is>
          <t xml:space="preserve">Top 60</t>
        </is>
      </c>
      <c r="C74" s="4">
        <f>SUM(E7:E66)</f>
      </c>
      <c r="D74" s="6">
        <f>C74/C74</f>
      </c>
    </row>
  </sheetData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7B1F3A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8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</cols>
  <sheetData>
    <row r="1"/>
    <row r="2">
      <c r="B2" s="8" t="inlineStr">
        <is>
          <t xml:space="preserve">FPDS Primes</t>
        </is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>
      <c r="A4" s="0" t="inlineStr">
        <is>
          <t xml:space="preserve">x</t>
        </is>
      </c>
      <c r="B4" s="9" t="inlineStr">
        <is>
          <t xml:space="preserve">§1 - Annual obligations ($M by FY x vendor group; de-capped)</t>
        </is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6">
      <c r="B6" s="2" t="inlineStr">
        <is>
          <t xml:space="preserve">FY</t>
        </is>
      </c>
      <c r="C6" s="22" t="inlineStr">
        <is>
          <t xml:space="preserve">GD-BIW</t>
        </is>
      </c>
      <c r="D6" s="22" t="inlineStr">
        <is>
          <t xml:space="preserve">HII-Ingalls</t>
        </is>
      </c>
      <c r="E6" s="22" t="inlineStr">
        <is>
          <t xml:space="preserve">Rolls-Royce</t>
        </is>
      </c>
      <c r="F6" s="22" t="inlineStr">
        <is>
          <t xml:space="preserve">GE-Propulsion</t>
        </is>
      </c>
      <c r="G6" s="22" t="inlineStr">
        <is>
          <t xml:space="preserve">LM-Aegis</t>
        </is>
      </c>
      <c r="H6" s="22" t="inlineStr">
        <is>
          <t xml:space="preserve">Raytheon</t>
        </is>
      </c>
      <c r="I6" s="22" t="inlineStr">
        <is>
          <t xml:space="preserve">BAE-Guns/VLS</t>
        </is>
      </c>
      <c r="J6" s="22" t="inlineStr">
        <is>
          <t xml:space="preserve">NG</t>
        </is>
      </c>
      <c r="K6" s="22" t="inlineStr">
        <is>
          <t xml:space="preserve">GD-MissionSys</t>
        </is>
      </c>
      <c r="L6" s="22" t="inlineStr">
        <is>
          <t xml:space="preserve">DRS</t>
        </is>
      </c>
      <c r="M6" s="22" t="inlineStr">
        <is>
          <t xml:space="preserve">L3Harris</t>
        </is>
      </c>
    </row>
    <row r="7" outlineLevel="1">
      <c r="B7" s="0" t="inlineStr">
        <is>
          <t xml:space="preserve">2018</t>
        </is>
      </c>
      <c r="C7" s="5">
        <v>451.08</v>
      </c>
      <c r="D7" s="5">
        <v>1737.3</v>
      </c>
      <c r="E7" s="5">
        <v>489.98</v>
      </c>
      <c r="F7" s="5">
        <v>797.93</v>
      </c>
      <c r="G7" s="5">
        <v>145.58</v>
      </c>
      <c r="H7" s="5">
        <v>9.03</v>
      </c>
      <c r="I7" s="5">
        <v>374.95</v>
      </c>
      <c r="J7" s="5">
        <v>15.52</v>
      </c>
      <c r="K7" s="5">
        <v>233.92</v>
      </c>
      <c r="L7" s="5">
        <v>336.82</v>
      </c>
      <c r="M7" s="5"/>
    </row>
    <row r="8" outlineLevel="1">
      <c r="B8" s="0" t="inlineStr">
        <is>
          <t xml:space="preserve">2019</t>
        </is>
      </c>
      <c r="C8" s="5">
        <v>2372.75</v>
      </c>
      <c r="D8" s="5">
        <v>-10.68</v>
      </c>
      <c r="E8" s="5">
        <v>627.29</v>
      </c>
      <c r="F8" s="5">
        <v>1344.93</v>
      </c>
      <c r="G8" s="5">
        <v>724.87</v>
      </c>
      <c r="H8" s="5">
        <v>633.86</v>
      </c>
      <c r="I8" s="5">
        <v>343.54</v>
      </c>
      <c r="J8" s="5">
        <v>28.57</v>
      </c>
      <c r="K8" s="5">
        <v>245.08</v>
      </c>
      <c r="L8" s="5">
        <v>236.0</v>
      </c>
      <c r="M8" s="5"/>
    </row>
    <row r="9" outlineLevel="1">
      <c r="B9" s="0" t="inlineStr">
        <is>
          <t xml:space="preserve">2020</t>
        </is>
      </c>
      <c r="C9" s="5">
        <v>1677.47</v>
      </c>
      <c r="D9" s="5">
        <v>968.53</v>
      </c>
      <c r="E9" s="5">
        <v>639.54</v>
      </c>
      <c r="F9" s="5">
        <v>1028.16</v>
      </c>
      <c r="G9" s="5">
        <v>488.48</v>
      </c>
      <c r="H9" s="5">
        <v>53.76</v>
      </c>
      <c r="I9" s="5">
        <v>373.68</v>
      </c>
      <c r="J9" s="5">
        <v>21.67</v>
      </c>
      <c r="K9" s="5">
        <v>330.83</v>
      </c>
      <c r="L9" s="5">
        <v>330.22</v>
      </c>
      <c r="M9" s="5"/>
    </row>
    <row r="10" outlineLevel="1">
      <c r="B10" s="0" t="inlineStr">
        <is>
          <t xml:space="preserve">2021</t>
        </is>
      </c>
      <c r="C10" s="5">
        <v>1047.81</v>
      </c>
      <c r="D10" s="5">
        <v>659.6</v>
      </c>
      <c r="E10" s="5">
        <v>627.54</v>
      </c>
      <c r="F10" s="5">
        <v>1122.96</v>
      </c>
      <c r="G10" s="5">
        <v>415.94</v>
      </c>
      <c r="H10" s="5">
        <v>78.74</v>
      </c>
      <c r="I10" s="5">
        <v>367.71</v>
      </c>
      <c r="J10" s="5">
        <v>6.3</v>
      </c>
      <c r="K10" s="5">
        <v>367.22</v>
      </c>
      <c r="L10" s="5">
        <v>221.55</v>
      </c>
      <c r="M10" s="5"/>
    </row>
    <row r="11" outlineLevel="1">
      <c r="B11" s="0" t="inlineStr">
        <is>
          <t xml:space="preserve">2022</t>
        </is>
      </c>
      <c r="C11" s="5">
        <v>1254.62</v>
      </c>
      <c r="D11" s="5">
        <v>909.82</v>
      </c>
      <c r="E11" s="5">
        <v>627.14</v>
      </c>
      <c r="F11" s="5">
        <v>766.0</v>
      </c>
      <c r="G11" s="5">
        <v>146.25</v>
      </c>
      <c r="H11" s="5">
        <v>462.59</v>
      </c>
      <c r="I11" s="5">
        <v>309.58</v>
      </c>
      <c r="J11" s="5">
        <v>3.87</v>
      </c>
      <c r="K11" s="5">
        <v>403.28</v>
      </c>
      <c r="L11" s="5">
        <v>214.11</v>
      </c>
      <c r="M11" s="5"/>
    </row>
    <row r="12" outlineLevel="1">
      <c r="B12" s="0" t="inlineStr">
        <is>
          <t xml:space="preserve">2023</t>
        </is>
      </c>
      <c r="C12" s="5">
        <v>2122.43</v>
      </c>
      <c r="D12" s="5">
        <v>3247.32</v>
      </c>
      <c r="E12" s="5">
        <v>532.12</v>
      </c>
      <c r="F12" s="5">
        <v>1077.32</v>
      </c>
      <c r="G12" s="5">
        <v>69.41</v>
      </c>
      <c r="H12" s="5">
        <v>49.73</v>
      </c>
      <c r="I12" s="5">
        <v>310.47</v>
      </c>
      <c r="J12" s="5">
        <v>0.24</v>
      </c>
      <c r="K12" s="5">
        <v>266.55</v>
      </c>
      <c r="L12" s="5">
        <v>252.68</v>
      </c>
      <c r="M12" s="5"/>
    </row>
    <row r="13" outlineLevel="1">
      <c r="B13" s="0" t="inlineStr">
        <is>
          <t xml:space="preserve">2024</t>
        </is>
      </c>
      <c r="C13" s="5">
        <v>2082.13</v>
      </c>
      <c r="D13" s="5">
        <v>1466.45</v>
      </c>
      <c r="E13" s="5">
        <v>420.35</v>
      </c>
      <c r="F13" s="5">
        <v>805.03</v>
      </c>
      <c r="G13" s="5">
        <v>83.69</v>
      </c>
      <c r="H13" s="5">
        <v>65.33</v>
      </c>
      <c r="I13" s="5">
        <v>372.71</v>
      </c>
      <c r="J13" s="5">
        <v>1.35</v>
      </c>
      <c r="K13" s="5">
        <v>343.47</v>
      </c>
      <c r="L13" s="5">
        <v>241.8</v>
      </c>
      <c r="M13" s="5"/>
    </row>
    <row r="14" outlineLevel="1">
      <c r="B14" s="0" t="inlineStr">
        <is>
          <t xml:space="preserve">2025</t>
        </is>
      </c>
      <c r="C14" s="5">
        <v>2370.32</v>
      </c>
      <c r="D14" s="5">
        <v>2803.11</v>
      </c>
      <c r="E14" s="5">
        <v>770.05</v>
      </c>
      <c r="F14" s="5">
        <v>701.6</v>
      </c>
      <c r="G14" s="5">
        <v>107.29</v>
      </c>
      <c r="H14" s="5">
        <v>789.78</v>
      </c>
      <c r="I14" s="5">
        <v>237.44</v>
      </c>
      <c r="J14" s="5">
        <v>0.64</v>
      </c>
      <c r="K14" s="5">
        <v>615.0</v>
      </c>
      <c r="L14" s="5">
        <v>139.42</v>
      </c>
      <c r="M14" s="5"/>
    </row>
    <row r="15" outlineLevel="1">
      <c r="B15" s="0" t="inlineStr">
        <is>
          <t xml:space="preserve">2026</t>
        </is>
      </c>
      <c r="C15" s="5">
        <v>196.29</v>
      </c>
      <c r="D15" s="5">
        <v>112.97</v>
      </c>
      <c r="E15" s="5">
        <v>162.25</v>
      </c>
      <c r="F15" s="5">
        <v>937.94</v>
      </c>
      <c r="G15" s="5">
        <v>22.55</v>
      </c>
      <c r="H15" s="5">
        <v>10.88</v>
      </c>
      <c r="I15" s="5">
        <v>78.28</v>
      </c>
      <c r="J15" s="5">
        <v>0.99</v>
      </c>
      <c r="K15" s="5">
        <v>182.39</v>
      </c>
      <c r="L15" s="5">
        <v>15.23</v>
      </c>
      <c r="M15" s="5"/>
    </row>
    <row r="16">
      <c r="B16" s="3" t="inlineStr">
        <is>
          <t xml:space="preserve">Total</t>
        </is>
      </c>
      <c r="C16" s="13">
        <f>SUM(C7:C15)</f>
      </c>
      <c r="D16" s="13">
        <f>SUM(D7:D15)</f>
      </c>
      <c r="E16" s="13">
        <f>SUM(E7:E15)</f>
      </c>
      <c r="F16" s="13">
        <f>SUM(F7:F15)</f>
      </c>
      <c r="G16" s="13">
        <f>SUM(G7:G15)</f>
      </c>
      <c r="H16" s="13">
        <f>SUM(H7:H15)</f>
      </c>
      <c r="I16" s="13">
        <f>SUM(I7:I15)</f>
      </c>
      <c r="J16" s="13">
        <f>SUM(J7:J15)</f>
      </c>
      <c r="K16" s="13">
        <f>SUM(K7:K15)</f>
      </c>
      <c r="L16" s="13">
        <f>SUM(L7:L15)</f>
      </c>
      <c r="M16" s="13">
        <f>SUM(M7:M15)</f>
      </c>
    </row>
    <row r="19">
      <c r="A19" s="0" t="inlineStr">
        <is>
          <t xml:space="preserve">x</t>
        </is>
      </c>
      <c r="B19" s="9" t="inlineStr">
        <is>
          <t xml:space="preserve">§2 - Use in model</t>
        </is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1" outlineLevel="1">
      <c r="B21" s="0" t="inlineStr">
        <is>
          <t xml:space="preserve">De-capped prime pulls size obligations and MYP reconstruction; not a direct SAM bucket source.</t>
        </is>
      </c>
    </row>
  </sheetData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7B1F3A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10" customWidth="1"/>
    <col min="3" max="3" width="44" customWidth="1"/>
    <col min="4" max="4" width="12" customWidth="1"/>
    <col min="5" max="5" width="30" customWidth="1"/>
  </cols>
  <sheetData>
    <row r="1"/>
    <row r="2">
      <c r="B2" s="8" t="inlineStr">
        <is>
          <t xml:space="preserve">Worktype Evidence</t>
        </is>
      </c>
      <c r="C2" s="8"/>
      <c r="D2" s="8"/>
      <c r="E2" s="8"/>
    </row>
    <row r="4">
      <c r="A4" s="0" t="inlineStr">
        <is>
          <t xml:space="preserve">x</t>
        </is>
      </c>
      <c r="B4" s="9" t="inlineStr">
        <is>
          <t xml:space="preserve">§1 - Bucket map</t>
        </is>
      </c>
      <c r="C4" s="9"/>
      <c r="D4" s="9"/>
      <c r="E4" s="9"/>
    </row>
    <row r="6">
      <c r="B6" s="2" t="inlineStr">
        <is>
          <t xml:space="preserve">Bucket</t>
        </is>
      </c>
      <c r="C6" s="2" t="inlineStr">
        <is>
          <t xml:space="preserve">Definition</t>
        </is>
      </c>
      <c r="D6" s="2"/>
      <c r="E6" s="2"/>
    </row>
    <row r="7" outlineLevel="1">
      <c r="B7" s="0" t="inlineStr">
        <is>
          <t xml:space="preserve">Structural fabrication &amp; modules</t>
        </is>
      </c>
      <c r="C7" s="0" t="inlineStr">
        <is>
          <t xml:space="preserve">hull sections, fabricated structural metal, deckhouse, pre-outfit modules</t>
        </is>
      </c>
    </row>
    <row r="8" outlineLevel="1">
      <c r="B8" s="0" t="inlineStr">
        <is>
          <t xml:space="preserve">Machining / mechanical / propulsion</t>
        </is>
      </c>
      <c r="C8" s="0" t="inlineStr">
        <is>
          <t xml:space="preserve">machine shops, precision machining, mechanical power transmission, propulsion machinery</t>
        </is>
      </c>
    </row>
    <row r="9" outlineLevel="1">
      <c r="B9" s="0" t="inlineStr">
        <is>
          <t xml:space="preserve">Castings &amp; forgings</t>
        </is>
      </c>
      <c r="C9" s="0" t="inlineStr">
        <is>
          <t xml:space="preserve">iron/steel forging, steel foundries, cast components</t>
        </is>
      </c>
    </row>
    <row r="10" outlineLevel="1">
      <c r="B10" s="0" t="inlineStr">
        <is>
          <t xml:space="preserve">Piping / fluid handling</t>
        </is>
      </c>
      <c r="C10" s="0" t="inlineStr">
        <is>
          <t xml:space="preserve">industrial valves, pumps, manifolds, pipe &amp; fittings, hydraulics</t>
        </is>
      </c>
    </row>
    <row r="11" outlineLevel="1">
      <c r="B11" s="0" t="inlineStr">
        <is>
          <t xml:space="preserve">Electrical power / distribution / generation</t>
        </is>
      </c>
      <c r="C11" s="0" t="inlineStr">
        <is>
          <t xml:space="preserve">switchgear, switchboards, transformers, generators/motors, ship power distribution</t>
        </is>
      </c>
    </row>
    <row r="12" outlineLevel="1">
      <c r="B12" s="0" t="inlineStr">
        <is>
          <t xml:space="preserve">HVAC / ventilation / chilled water</t>
        </is>
      </c>
      <c r="C12" s="0" t="inlineStr">
        <is>
          <t xml:space="preserve">air-conditioning, chilled water, warm-air heating, shipboard ventilation</t>
        </is>
      </c>
    </row>
    <row r="13" outlineLevel="1">
      <c r="B13" s="0" t="inlineStr">
        <is>
          <t xml:space="preserve">Coatings / insulation / decking</t>
        </is>
      </c>
      <c r="C13" s="0" t="inlineStr">
        <is>
          <t xml:space="preserve">coatings, paint, deck covering, insulation, rubber/synthetic/composites</t>
        </is>
      </c>
    </row>
    <row r="16">
      <c r="A16" s="0" t="inlineStr">
        <is>
          <t xml:space="preserve">x</t>
        </is>
      </c>
      <c r="B16" s="9" t="inlineStr">
        <is>
          <t xml:space="preserve">§2 - Top vendors by bucket (from Entities)</t>
        </is>
      </c>
      <c r="C16" s="9"/>
      <c r="D16" s="9"/>
      <c r="E16" s="9"/>
    </row>
    <row r="18">
      <c r="A18" s="0" t="inlineStr">
        <is>
          <t xml:space="preserve">x</t>
        </is>
      </c>
      <c r="B18" s="10" t="inlineStr">
        <is>
          <t xml:space="preserve">§2a - Structural fabrication &amp; modules (top 3 by subaward $)</t>
        </is>
      </c>
      <c r="C18" s="10"/>
      <c r="D18" s="10"/>
      <c r="E18" s="10"/>
    </row>
    <row r="20">
      <c r="B20" s="2" t="inlineStr">
        <is>
          <t xml:space="preserve">Rank</t>
        </is>
      </c>
      <c r="C20" s="2" t="inlineStr">
        <is>
          <t xml:space="preserve">Vendor</t>
        </is>
      </c>
      <c r="D20" s="22" t="inlineStr">
        <is>
          <t xml:space="preserve">$M</t>
        </is>
      </c>
      <c r="E20" s="2" t="inlineStr">
        <is>
          <t xml:space="preserve">NAICS desc</t>
        </is>
      </c>
    </row>
    <row r="21" outlineLevel="1">
      <c r="B21" s="0">
        <v>1</v>
      </c>
      <c r="C21" s="0">
        <f>'Entity Master'!B42</f>
      </c>
      <c r="D21" s="11">
        <f>'Entity Master'!G42</f>
      </c>
      <c r="E21" s="0">
        <f>'Entity Master'!F42</f>
      </c>
    </row>
    <row r="22" outlineLevel="1">
      <c r="B22" s="0">
        <v>2</v>
      </c>
      <c r="C22" s="0">
        <f>'Entity Master'!B44</f>
      </c>
      <c r="D22" s="11">
        <f>'Entity Master'!G44</f>
      </c>
      <c r="E22" s="0">
        <f>'Entity Master'!F44</f>
      </c>
    </row>
    <row r="23" outlineLevel="1">
      <c r="B23" s="0">
        <v>3</v>
      </c>
      <c r="C23" s="0">
        <f>'Entity Master'!B48</f>
      </c>
      <c r="D23" s="11">
        <f>'Entity Master'!G48</f>
      </c>
      <c r="E23" s="0">
        <f>'Entity Master'!F48</f>
      </c>
    </row>
    <row r="26">
      <c r="A26" s="0" t="inlineStr">
        <is>
          <t xml:space="preserve">x</t>
        </is>
      </c>
      <c r="B26" s="10" t="inlineStr">
        <is>
          <t xml:space="preserve">§2b - Machining / mechanical / propulsion (top 3 by subaward $)</t>
        </is>
      </c>
      <c r="C26" s="10"/>
      <c r="D26" s="10"/>
      <c r="E26" s="10"/>
    </row>
    <row r="28">
      <c r="B28" s="2" t="inlineStr">
        <is>
          <t xml:space="preserve">Rank</t>
        </is>
      </c>
      <c r="C28" s="2" t="inlineStr">
        <is>
          <t xml:space="preserve">Vendor</t>
        </is>
      </c>
      <c r="D28" s="22" t="inlineStr">
        <is>
          <t xml:space="preserve">$M</t>
        </is>
      </c>
      <c r="E28" s="2" t="inlineStr">
        <is>
          <t xml:space="preserve">NAICS desc</t>
        </is>
      </c>
    </row>
    <row r="29" outlineLevel="1">
      <c r="B29" s="0">
        <v>1</v>
      </c>
      <c r="C29" s="0">
        <f>'Entity Master'!B9</f>
      </c>
      <c r="D29" s="11">
        <f>'Entity Master'!G9</f>
      </c>
      <c r="E29" s="0">
        <f>'Entity Master'!F9</f>
      </c>
    </row>
    <row r="30" outlineLevel="1">
      <c r="B30" s="0">
        <v>2</v>
      </c>
      <c r="C30" s="0">
        <f>'Entity Master'!B12</f>
      </c>
      <c r="D30" s="11">
        <f>'Entity Master'!G12</f>
      </c>
      <c r="E30" s="0">
        <f>'Entity Master'!F12</f>
      </c>
    </row>
    <row r="31" outlineLevel="1">
      <c r="B31" s="0">
        <v>3</v>
      </c>
      <c r="C31" s="0">
        <f>'Entity Master'!B13</f>
      </c>
      <c r="D31" s="11">
        <f>'Entity Master'!G13</f>
      </c>
      <c r="E31" s="0">
        <f>'Entity Master'!F13</f>
      </c>
    </row>
    <row r="34">
      <c r="A34" s="0" t="inlineStr">
        <is>
          <t xml:space="preserve">x</t>
        </is>
      </c>
      <c r="B34" s="10" t="inlineStr">
        <is>
          <t xml:space="preserve">§2c - Castings &amp; forgings (top 3 by subaward $)</t>
        </is>
      </c>
      <c r="C34" s="10"/>
      <c r="D34" s="10"/>
      <c r="E34" s="10"/>
    </row>
    <row r="36">
      <c r="B36" s="2" t="inlineStr">
        <is>
          <t xml:space="preserve">Rank</t>
        </is>
      </c>
      <c r="C36" s="2" t="inlineStr">
        <is>
          <t xml:space="preserve">Vendor</t>
        </is>
      </c>
      <c r="D36" s="22" t="inlineStr">
        <is>
          <t xml:space="preserve">$M</t>
        </is>
      </c>
      <c r="E36" s="2" t="inlineStr">
        <is>
          <t xml:space="preserve">NAICS desc</t>
        </is>
      </c>
    </row>
    <row r="37" outlineLevel="1">
      <c r="B37" s="0">
        <v>1</v>
      </c>
      <c r="C37" s="0">
        <f>'Entity Master'!B38</f>
      </c>
      <c r="D37" s="11">
        <f>'Entity Master'!G38</f>
      </c>
      <c r="E37" s="0">
        <f>'Entity Master'!F38</f>
      </c>
    </row>
    <row r="38" outlineLevel="1">
      <c r="B38" s="0">
        <v>2</v>
      </c>
      <c r="C38" s="0">
        <f>'Entity Master'!B55</f>
      </c>
      <c r="D38" s="11">
        <f>'Entity Master'!G55</f>
      </c>
      <c r="E38" s="0">
        <f>'Entity Master'!F55</f>
      </c>
    </row>
    <row r="39" outlineLevel="1">
      <c r="B39" s="0">
        <v>3</v>
      </c>
      <c r="C39" s="0">
        <f>'Entity Master'!B110</f>
      </c>
      <c r="D39" s="11">
        <f>'Entity Master'!G110</f>
      </c>
      <c r="E39" s="0">
        <f>'Entity Master'!F110</f>
      </c>
    </row>
    <row r="42">
      <c r="A42" s="0" t="inlineStr">
        <is>
          <t xml:space="preserve">x</t>
        </is>
      </c>
      <c r="B42" s="10" t="inlineStr">
        <is>
          <t xml:space="preserve">§2d - Piping / fluid handling (top 3 by subaward $)</t>
        </is>
      </c>
      <c r="C42" s="10"/>
      <c r="D42" s="10"/>
      <c r="E42" s="10"/>
    </row>
    <row r="44">
      <c r="B44" s="2" t="inlineStr">
        <is>
          <t xml:space="preserve">Rank</t>
        </is>
      </c>
      <c r="C44" s="2" t="inlineStr">
        <is>
          <t xml:space="preserve">Vendor</t>
        </is>
      </c>
      <c r="D44" s="22" t="inlineStr">
        <is>
          <t xml:space="preserve">$M</t>
        </is>
      </c>
      <c r="E44" s="2" t="inlineStr">
        <is>
          <t xml:space="preserve">NAICS desc</t>
        </is>
      </c>
    </row>
    <row r="45" outlineLevel="1">
      <c r="B45" s="0">
        <v>1</v>
      </c>
      <c r="C45" s="0">
        <f>'Entity Master'!B56</f>
      </c>
      <c r="D45" s="11">
        <f>'Entity Master'!G56</f>
      </c>
      <c r="E45" s="0">
        <f>'Entity Master'!F56</f>
      </c>
    </row>
    <row r="46" outlineLevel="1">
      <c r="B46" s="0">
        <v>2</v>
      </c>
      <c r="C46" s="0">
        <f>'Entity Master'!B59</f>
      </c>
      <c r="D46" s="11">
        <f>'Entity Master'!G59</f>
      </c>
      <c r="E46" s="0">
        <f>'Entity Master'!F59</f>
      </c>
    </row>
    <row r="47" outlineLevel="1">
      <c r="B47" s="0">
        <v>3</v>
      </c>
      <c r="C47" s="0">
        <f>'Entity Master'!B70</f>
      </c>
      <c r="D47" s="11">
        <f>'Entity Master'!G70</f>
      </c>
      <c r="E47" s="0">
        <f>'Entity Master'!F70</f>
      </c>
    </row>
    <row r="50">
      <c r="A50" s="0" t="inlineStr">
        <is>
          <t xml:space="preserve">x</t>
        </is>
      </c>
      <c r="B50" s="10" t="inlineStr">
        <is>
          <t xml:space="preserve">§2e - Electrical power / distribution / generation (top 3 by subaward $)</t>
        </is>
      </c>
      <c r="C50" s="10"/>
      <c r="D50" s="10"/>
      <c r="E50" s="10"/>
    </row>
    <row r="52">
      <c r="B52" s="2" t="inlineStr">
        <is>
          <t xml:space="preserve">Rank</t>
        </is>
      </c>
      <c r="C52" s="2" t="inlineStr">
        <is>
          <t xml:space="preserve">Vendor</t>
        </is>
      </c>
      <c r="D52" s="22" t="inlineStr">
        <is>
          <t xml:space="preserve">$M</t>
        </is>
      </c>
      <c r="E52" s="2" t="inlineStr">
        <is>
          <t xml:space="preserve">NAICS desc</t>
        </is>
      </c>
    </row>
    <row r="53" outlineLevel="1">
      <c r="B53" s="0">
        <v>1</v>
      </c>
      <c r="C53" s="0">
        <f>'Entity Master'!B29</f>
      </c>
      <c r="D53" s="11">
        <f>'Entity Master'!G29</f>
      </c>
      <c r="E53" s="0">
        <f>'Entity Master'!F29</f>
      </c>
    </row>
    <row r="54" outlineLevel="1">
      <c r="B54" s="0">
        <v>2</v>
      </c>
      <c r="C54" s="0">
        <f>'Entity Master'!B36</f>
      </c>
      <c r="D54" s="11">
        <f>'Entity Master'!G36</f>
      </c>
      <c r="E54" s="0">
        <f>'Entity Master'!F36</f>
      </c>
    </row>
    <row r="55" outlineLevel="1">
      <c r="B55" s="0">
        <v>3</v>
      </c>
      <c r="C55" s="0">
        <f>'Entity Master'!B50</f>
      </c>
      <c r="D55" s="11">
        <f>'Entity Master'!G50</f>
      </c>
      <c r="E55" s="0">
        <f>'Entity Master'!F50</f>
      </c>
    </row>
    <row r="58">
      <c r="A58" s="0" t="inlineStr">
        <is>
          <t xml:space="preserve">x</t>
        </is>
      </c>
      <c r="B58" s="10" t="inlineStr">
        <is>
          <t xml:space="preserve">§2f - HVAC / ventilation / chilled water (top 3 by subaward $)</t>
        </is>
      </c>
      <c r="C58" s="10"/>
      <c r="D58" s="10"/>
      <c r="E58" s="10"/>
    </row>
    <row r="60">
      <c r="B60" s="2" t="inlineStr">
        <is>
          <t xml:space="preserve">Rank</t>
        </is>
      </c>
      <c r="C60" s="2" t="inlineStr">
        <is>
          <t xml:space="preserve">Vendor</t>
        </is>
      </c>
      <c r="D60" s="22" t="inlineStr">
        <is>
          <t xml:space="preserve">$M</t>
        </is>
      </c>
      <c r="E60" s="2" t="inlineStr">
        <is>
          <t xml:space="preserve">NAICS desc</t>
        </is>
      </c>
    </row>
    <row r="61" outlineLevel="1">
      <c r="B61" s="0">
        <v>1</v>
      </c>
      <c r="C61" s="0">
        <f>'Entity Master'!B14</f>
      </c>
      <c r="D61" s="11">
        <f>'Entity Master'!G14</f>
      </c>
      <c r="E61" s="0">
        <f>'Entity Master'!F14</f>
      </c>
    </row>
    <row r="62" outlineLevel="1">
      <c r="B62" s="0">
        <v>2</v>
      </c>
      <c r="C62" s="0">
        <f>'Entity Master'!B23</f>
      </c>
      <c r="D62" s="11">
        <f>'Entity Master'!G23</f>
      </c>
      <c r="E62" s="0">
        <f>'Entity Master'!F23</f>
      </c>
    </row>
    <row r="63" outlineLevel="1">
      <c r="B63" s="0">
        <v>3</v>
      </c>
      <c r="C63" s="0">
        <f>'Entity Master'!B35</f>
      </c>
      <c r="D63" s="11">
        <f>'Entity Master'!G35</f>
      </c>
      <c r="E63" s="0">
        <f>'Entity Master'!F35</f>
      </c>
    </row>
    <row r="66">
      <c r="A66" s="0" t="inlineStr">
        <is>
          <t xml:space="preserve">x</t>
        </is>
      </c>
      <c r="B66" s="10" t="inlineStr">
        <is>
          <t xml:space="preserve">§2g - Coatings / insulation / decking (top 3 by subaward $)</t>
        </is>
      </c>
      <c r="C66" s="10"/>
      <c r="D66" s="10"/>
      <c r="E66" s="10"/>
    </row>
    <row r="68">
      <c r="B68" s="2" t="inlineStr">
        <is>
          <t xml:space="preserve">Rank</t>
        </is>
      </c>
      <c r="C68" s="2" t="inlineStr">
        <is>
          <t xml:space="preserve">Vendor</t>
        </is>
      </c>
      <c r="D68" s="22" t="inlineStr">
        <is>
          <t xml:space="preserve">$M</t>
        </is>
      </c>
      <c r="E68" s="2" t="inlineStr">
        <is>
          <t xml:space="preserve">NAICS desc</t>
        </is>
      </c>
    </row>
    <row r="69" outlineLevel="1">
      <c r="B69" s="0">
        <v>1</v>
      </c>
      <c r="C69" s="0">
        <f>'Entity Master'!B39</f>
      </c>
      <c r="D69" s="11">
        <f>'Entity Master'!G39</f>
      </c>
      <c r="E69" s="0">
        <f>'Entity Master'!F39</f>
      </c>
    </row>
    <row r="70" outlineLevel="1">
      <c r="B70" s="0">
        <v>2</v>
      </c>
      <c r="C70" s="0">
        <f>'Entity Master'!B49</f>
      </c>
      <c r="D70" s="11">
        <f>'Entity Master'!G49</f>
      </c>
      <c r="E70" s="0">
        <f>'Entity Master'!F49</f>
      </c>
    </row>
    <row r="71" outlineLevel="1">
      <c r="B71" s="0">
        <v>3</v>
      </c>
      <c r="C71" s="0">
        <f>'Entity Master'!B53</f>
      </c>
      <c r="D71" s="11">
        <f>'Entity Master'!G53</f>
      </c>
      <c r="E71" s="0">
        <f>'Entity Master'!F53</f>
      </c>
    </row>
    <row r="74">
      <c r="A74" s="0" t="inlineStr">
        <is>
          <t xml:space="preserve">x</t>
        </is>
      </c>
      <c r="B74" s="9" t="inlineStr">
        <is>
          <t xml:space="preserve">§3 - Classification evidence</t>
        </is>
      </c>
      <c r="C74" s="9"/>
      <c r="D74" s="9"/>
      <c r="E74" s="9"/>
    </row>
    <row r="76">
      <c r="B76" s="2" t="inlineStr">
        <is>
          <t xml:space="preserve">Arbiter</t>
        </is>
      </c>
      <c r="C76" s="2" t="inlineStr">
        <is>
          <t xml:space="preserve">How it assigns role + bucket</t>
        </is>
      </c>
      <c r="D76" s="2"/>
      <c r="E76" s="2"/>
    </row>
    <row r="77" outlineLevel="1">
      <c r="B77" s="0" t="inlineStr">
        <is>
          <t xml:space="preserve">Evidence registry (primary)</t>
        </is>
      </c>
      <c r="C77" s="0" t="inlineStr">
        <is>
          <t xml:space="preserve">operating-entity UEI -&gt; role + bucket (SAM-resolved NAICS)</t>
        </is>
      </c>
    </row>
    <row r="78" outlineLevel="1">
      <c r="B78" s="0" t="inlineStr">
        <is>
          <t xml:space="preserve">Vendor-name override</t>
        </is>
      </c>
      <c r="C78" s="0" t="inlineStr">
        <is>
          <t xml:space="preserve">known specialty vendors mapped directly (e.g. Curtiss-Wright -&gt; piping)</t>
        </is>
      </c>
    </row>
    <row r="79" outlineLevel="1">
      <c r="B79" s="0" t="inlineStr">
        <is>
          <t xml:space="preserve">NAICS-4 fallback</t>
        </is>
      </c>
      <c r="C79" s="0" t="inlineStr">
        <is>
          <t xml:space="preserve">vendor NAICS-4 -&gt; bucket for entities not in the registry (e.g. 3329 -&gt; piping)</t>
        </is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7B1F3A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6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</cols>
  <sheetData>
    <row r="1"/>
    <row r="2">
      <c r="B2" s="8" t="inlineStr">
        <is>
          <t xml:space="preserve">Worktype by FY</t>
        </is>
      </c>
      <c r="C2" s="8"/>
      <c r="D2" s="8"/>
      <c r="E2" s="8"/>
      <c r="F2" s="8"/>
      <c r="G2" s="8"/>
    </row>
    <row r="4">
      <c r="A4" s="0" t="inlineStr">
        <is>
          <t xml:space="preserve">x</t>
        </is>
      </c>
      <c r="B4" s="9" t="inlineStr">
        <is>
          <t xml:space="preserve">§1 - Evidence basis (gated share evidence)</t>
        </is>
      </c>
      <c r="C4" s="9"/>
      <c r="D4" s="9"/>
      <c r="E4" s="9"/>
      <c r="F4" s="9"/>
      <c r="G4" s="9"/>
    </row>
    <row r="6">
      <c r="B6" s="2" t="inlineStr">
        <is>
          <t xml:space="preserve">Field</t>
        </is>
      </c>
      <c r="C6" s="2" t="inlineStr">
        <is>
          <t xml:space="preserve">Value</t>
        </is>
      </c>
    </row>
    <row r="7" outlineLevel="1">
      <c r="B7" s="0" t="inlineStr">
        <is>
          <t xml:space="preserve">Source</t>
        </is>
      </c>
      <c r="C7" s="0" t="inlineStr">
        <is>
          <t xml:space="preserve">Entity Master per-entity Yard columns (live SUMPRODUCTs; no figures re-keyed here)</t>
        </is>
      </c>
    </row>
    <row r="8" outlineLevel="1">
      <c r="B8" s="0" t="inlineStr">
        <is>
          <t xml:space="preserve">Prime scope</t>
        </is>
      </c>
      <c r="C8" s="0" t="inlineStr">
        <is>
          <t xml:space="preserve">Yard construction PIIDs (GD-BIW + HII-Ingalls); GFE / combat-system prime chains excluded</t>
        </is>
      </c>
    </row>
    <row r="9" outlineLevel="1">
      <c r="B9" s="0" t="inlineStr">
        <is>
          <t xml:space="preserve">FY window</t>
        </is>
      </c>
      <c r="C9" s="0" t="inlineStr">
        <is>
          <t xml:space="preserve">FY2022-FY2025 subaward action years (complete reporting years; partial FY2026 excluded)</t>
        </is>
      </c>
    </row>
    <row r="10" outlineLevel="1">
      <c r="B10" s="0" t="inlineStr">
        <is>
          <t xml:space="preserve">Feeds</t>
        </is>
      </c>
      <c r="C10" s="0" t="inlineStr">
        <is>
          <t xml:space="preserve">SAM Build per-FY bucket shares -&gt; tab</t>
        </is>
      </c>
    </row>
    <row r="13">
      <c r="A13" s="0" t="inlineStr">
        <is>
          <t xml:space="preserve">x</t>
        </is>
      </c>
      <c r="B13" s="9" t="inlineStr">
        <is>
          <t xml:space="preserve">§2 - Observed supplier $M by bucket x subaward FY (gated)</t>
        </is>
      </c>
      <c r="C13" s="9"/>
      <c r="D13" s="9"/>
      <c r="E13" s="9"/>
      <c r="F13" s="9"/>
      <c r="G13" s="9"/>
    </row>
    <row r="15">
      <c r="B15" s="2" t="inlineStr">
        <is>
          <t xml:space="preserve">Bucket</t>
        </is>
      </c>
      <c r="C15" s="22" t="inlineStr">
        <is>
          <t xml:space="preserve">FY2022</t>
        </is>
      </c>
      <c r="D15" s="22" t="inlineStr">
        <is>
          <t xml:space="preserve">FY2023</t>
        </is>
      </c>
      <c r="E15" s="22" t="inlineStr">
        <is>
          <t xml:space="preserve">FY2024</t>
        </is>
      </c>
      <c r="F15" s="22" t="inlineStr">
        <is>
          <t xml:space="preserve">FY2025</t>
        </is>
      </c>
      <c r="G15" s="22" t="inlineStr">
        <is>
          <t xml:space="preserve">FY22-25</t>
        </is>
      </c>
    </row>
    <row r="16" outlineLevel="1">
      <c r="B16" s="0" t="inlineStr">
        <is>
          <t xml:space="preserve">Structural fabrication &amp; modules</t>
        </is>
      </c>
      <c r="C16" s="4">
        <f>SUMPRODUCT(('Entity Master'!H7:H2164="supplier")*('Entity Master'!I7:I2164="structural")*'Entity Master'!N7:N2164)</f>
      </c>
      <c r="D16" s="4">
        <f>SUMPRODUCT(('Entity Master'!H7:H2164="supplier")*('Entity Master'!I7:I2164="structural")*'Entity Master'!O7:O2164)</f>
      </c>
      <c r="E16" s="4">
        <f>SUMPRODUCT(('Entity Master'!H7:H2164="supplier")*('Entity Master'!I7:I2164="structural")*'Entity Master'!P7:P2164)</f>
      </c>
      <c r="F16" s="4">
        <f>SUMPRODUCT(('Entity Master'!H7:H2164="supplier")*('Entity Master'!I7:I2164="structural")*'Entity Master'!Q7:Q2164)</f>
      </c>
      <c r="G16" s="4">
        <f>SUM(C16:F16)</f>
      </c>
    </row>
    <row r="17" outlineLevel="1">
      <c r="B17" s="0" t="inlineStr">
        <is>
          <t xml:space="preserve">Machining / mechanical / propulsion</t>
        </is>
      </c>
      <c r="C17" s="4">
        <f>SUMPRODUCT(('Entity Master'!H7:H2164="supplier")*('Entity Master'!I7:I2164="machining")*'Entity Master'!N7:N2164)</f>
      </c>
      <c r="D17" s="4">
        <f>SUMPRODUCT(('Entity Master'!H7:H2164="supplier")*('Entity Master'!I7:I2164="machining")*'Entity Master'!O7:O2164)</f>
      </c>
      <c r="E17" s="4">
        <f>SUMPRODUCT(('Entity Master'!H7:H2164="supplier")*('Entity Master'!I7:I2164="machining")*'Entity Master'!P7:P2164)</f>
      </c>
      <c r="F17" s="4">
        <f>SUMPRODUCT(('Entity Master'!H7:H2164="supplier")*('Entity Master'!I7:I2164="machining")*'Entity Master'!Q7:Q2164)</f>
      </c>
      <c r="G17" s="4">
        <f>SUM(C17:F17)</f>
      </c>
    </row>
    <row r="18" outlineLevel="1">
      <c r="B18" s="0" t="inlineStr">
        <is>
          <t xml:space="preserve">Castings &amp; forgings</t>
        </is>
      </c>
      <c r="C18" s="4">
        <f>SUMPRODUCT(('Entity Master'!H7:H2164="supplier")*('Entity Master'!I7:I2164="castings")*'Entity Master'!N7:N2164)</f>
      </c>
      <c r="D18" s="4">
        <f>SUMPRODUCT(('Entity Master'!H7:H2164="supplier")*('Entity Master'!I7:I2164="castings")*'Entity Master'!O7:O2164)</f>
      </c>
      <c r="E18" s="4">
        <f>SUMPRODUCT(('Entity Master'!H7:H2164="supplier")*('Entity Master'!I7:I2164="castings")*'Entity Master'!P7:P2164)</f>
      </c>
      <c r="F18" s="4">
        <f>SUMPRODUCT(('Entity Master'!H7:H2164="supplier")*('Entity Master'!I7:I2164="castings")*'Entity Master'!Q7:Q2164)</f>
      </c>
      <c r="G18" s="4">
        <f>SUM(C18:F18)</f>
      </c>
    </row>
    <row r="19" outlineLevel="1">
      <c r="B19" s="0" t="inlineStr">
        <is>
          <t xml:space="preserve">Piping / fluid handling</t>
        </is>
      </c>
      <c r="C19" s="4">
        <f>SUMPRODUCT(('Entity Master'!H7:H2164="supplier")*('Entity Master'!I7:I2164="piping")*'Entity Master'!N7:N2164)</f>
      </c>
      <c r="D19" s="4">
        <f>SUMPRODUCT(('Entity Master'!H7:H2164="supplier")*('Entity Master'!I7:I2164="piping")*'Entity Master'!O7:O2164)</f>
      </c>
      <c r="E19" s="4">
        <f>SUMPRODUCT(('Entity Master'!H7:H2164="supplier")*('Entity Master'!I7:I2164="piping")*'Entity Master'!P7:P2164)</f>
      </c>
      <c r="F19" s="4">
        <f>SUMPRODUCT(('Entity Master'!H7:H2164="supplier")*('Entity Master'!I7:I2164="piping")*'Entity Master'!Q7:Q2164)</f>
      </c>
      <c r="G19" s="4">
        <f>SUM(C19:F19)</f>
      </c>
    </row>
    <row r="20" outlineLevel="1">
      <c r="B20" s="0" t="inlineStr">
        <is>
          <t xml:space="preserve">Electrical power / distribution / generation</t>
        </is>
      </c>
      <c r="C20" s="4">
        <f>SUMPRODUCT(('Entity Master'!H7:H2164="supplier")*('Entity Master'!I7:I2164="electrical")*'Entity Master'!N7:N2164)</f>
      </c>
      <c r="D20" s="4">
        <f>SUMPRODUCT(('Entity Master'!H7:H2164="supplier")*('Entity Master'!I7:I2164="electrical")*'Entity Master'!O7:O2164)</f>
      </c>
      <c r="E20" s="4">
        <f>SUMPRODUCT(('Entity Master'!H7:H2164="supplier")*('Entity Master'!I7:I2164="electrical")*'Entity Master'!P7:P2164)</f>
      </c>
      <c r="F20" s="4">
        <f>SUMPRODUCT(('Entity Master'!H7:H2164="supplier")*('Entity Master'!I7:I2164="electrical")*'Entity Master'!Q7:Q2164)</f>
      </c>
      <c r="G20" s="4">
        <f>SUM(C20:F20)</f>
      </c>
    </row>
    <row r="21" outlineLevel="1">
      <c r="B21" s="0" t="inlineStr">
        <is>
          <t xml:space="preserve">HVAC / ventilation / chilled water</t>
        </is>
      </c>
      <c r="C21" s="4">
        <f>SUMPRODUCT(('Entity Master'!H7:H2164="supplier")*('Entity Master'!I7:I2164="hvac")*'Entity Master'!N7:N2164)</f>
      </c>
      <c r="D21" s="4">
        <f>SUMPRODUCT(('Entity Master'!H7:H2164="supplier")*('Entity Master'!I7:I2164="hvac")*'Entity Master'!O7:O2164)</f>
      </c>
      <c r="E21" s="4">
        <f>SUMPRODUCT(('Entity Master'!H7:H2164="supplier")*('Entity Master'!I7:I2164="hvac")*'Entity Master'!P7:P2164)</f>
      </c>
      <c r="F21" s="4">
        <f>SUMPRODUCT(('Entity Master'!H7:H2164="supplier")*('Entity Master'!I7:I2164="hvac")*'Entity Master'!Q7:Q2164)</f>
      </c>
      <c r="G21" s="4">
        <f>SUM(C21:F21)</f>
      </c>
    </row>
    <row r="22" outlineLevel="1">
      <c r="B22" s="0" t="inlineStr">
        <is>
          <t xml:space="preserve">Coatings / insulation / decking</t>
        </is>
      </c>
      <c r="C22" s="4">
        <f>SUMPRODUCT(('Entity Master'!H7:H2164="supplier")*('Entity Master'!I7:I2164="coatings")*'Entity Master'!N7:N2164)</f>
      </c>
      <c r="D22" s="4">
        <f>SUMPRODUCT(('Entity Master'!H7:H2164="supplier")*('Entity Master'!I7:I2164="coatings")*'Entity Master'!O7:O2164)</f>
      </c>
      <c r="E22" s="4">
        <f>SUMPRODUCT(('Entity Master'!H7:H2164="supplier")*('Entity Master'!I7:I2164="coatings")*'Entity Master'!P7:P2164)</f>
      </c>
      <c r="F22" s="4">
        <f>SUMPRODUCT(('Entity Master'!H7:H2164="supplier")*('Entity Master'!I7:I2164="coatings")*'Entity Master'!Q7:Q2164)</f>
      </c>
      <c r="G22" s="4">
        <f>SUM(C22:F22)</f>
      </c>
    </row>
    <row r="23" outlineLevel="1">
      <c r="B23" s="0" t="inlineStr">
        <is>
          <t xml:space="preserve">Unbucketed / ambiguous</t>
        </is>
      </c>
      <c r="C23" s="4">
        <f>SUMPRODUCT(('Entity Master'!H7:H2164="supplier")*('Entity Master'!I7:I2164="unbucketed")*'Entity Master'!N7:N2164)</f>
      </c>
      <c r="D23" s="4">
        <f>SUMPRODUCT(('Entity Master'!H7:H2164="supplier")*('Entity Master'!I7:I2164="unbucketed")*'Entity Master'!O7:O2164)</f>
      </c>
      <c r="E23" s="4">
        <f>SUMPRODUCT(('Entity Master'!H7:H2164="supplier")*('Entity Master'!I7:I2164="unbucketed")*'Entity Master'!P7:P2164)</f>
      </c>
      <c r="F23" s="4">
        <f>SUMPRODUCT(('Entity Master'!H7:H2164="supplier")*('Entity Master'!I7:I2164="unbucketed")*'Entity Master'!Q7:Q2164)</f>
      </c>
      <c r="G23" s="4">
        <f>SUM(C23:F23)</f>
      </c>
    </row>
    <row r="24">
      <c r="B24" s="16" t="inlineStr">
        <is>
          <t xml:space="preserve">Supplier-addressable total (gated)</t>
        </is>
      </c>
      <c r="C24" s="13">
        <f>SUM(C16:C23)</f>
      </c>
      <c r="D24" s="13">
        <f>SUM(D16:D23)</f>
      </c>
      <c r="E24" s="13">
        <f>SUM(E16:E23)</f>
      </c>
      <c r="F24" s="13">
        <f>SUM(F16:F23)</f>
      </c>
      <c r="G24" s="13">
        <f>SUM(G16:G23)</f>
      </c>
    </row>
    <row r="27">
      <c r="A27" s="0" t="inlineStr">
        <is>
          <t xml:space="preserve">x</t>
        </is>
      </c>
      <c r="B27" s="9" t="inlineStr">
        <is>
          <t xml:space="preserve">§3 - Observed bucket shares by FY</t>
        </is>
      </c>
      <c r="C27" s="9"/>
      <c r="D27" s="9"/>
      <c r="E27" s="9"/>
      <c r="F27" s="9"/>
      <c r="G27" s="9"/>
    </row>
    <row r="29">
      <c r="B29" s="2" t="inlineStr">
        <is>
          <t xml:space="preserve">Bucket</t>
        </is>
      </c>
      <c r="C29" s="22" t="inlineStr">
        <is>
          <t xml:space="preserve">FY2022</t>
        </is>
      </c>
      <c r="D29" s="22" t="inlineStr">
        <is>
          <t xml:space="preserve">FY2023</t>
        </is>
      </c>
      <c r="E29" s="22" t="inlineStr">
        <is>
          <t xml:space="preserve">FY2024</t>
        </is>
      </c>
      <c r="F29" s="22" t="inlineStr">
        <is>
          <t xml:space="preserve">FY2025</t>
        </is>
      </c>
      <c r="G29" s="22" t="inlineStr">
        <is>
          <t xml:space="preserve">FY22-25</t>
        </is>
      </c>
    </row>
    <row r="30" outlineLevel="1">
      <c r="B30" s="0" t="inlineStr">
        <is>
          <t xml:space="preserve">Structural fabrication &amp; modules</t>
        </is>
      </c>
      <c r="C30" s="6">
        <f>C16/C$24</f>
      </c>
      <c r="D30" s="6">
        <f>D16/D$24</f>
      </c>
      <c r="E30" s="6">
        <f>E16/E$24</f>
      </c>
      <c r="F30" s="6">
        <f>F16/F$24</f>
      </c>
      <c r="G30" s="6">
        <f>G16/G$24</f>
      </c>
    </row>
    <row r="31" outlineLevel="1">
      <c r="B31" s="0" t="inlineStr">
        <is>
          <t xml:space="preserve">Machining / mechanical / propulsion</t>
        </is>
      </c>
      <c r="C31" s="6">
        <f>C17/C$24</f>
      </c>
      <c r="D31" s="6">
        <f>D17/D$24</f>
      </c>
      <c r="E31" s="6">
        <f>E17/E$24</f>
      </c>
      <c r="F31" s="6">
        <f>F17/F$24</f>
      </c>
      <c r="G31" s="6">
        <f>G17/G$24</f>
      </c>
    </row>
    <row r="32" outlineLevel="1">
      <c r="B32" s="0" t="inlineStr">
        <is>
          <t xml:space="preserve">Castings &amp; forgings</t>
        </is>
      </c>
      <c r="C32" s="6">
        <f>C18/C$24</f>
      </c>
      <c r="D32" s="6">
        <f>D18/D$24</f>
      </c>
      <c r="E32" s="6">
        <f>E18/E$24</f>
      </c>
      <c r="F32" s="6">
        <f>F18/F$24</f>
      </c>
      <c r="G32" s="6">
        <f>G18/G$24</f>
      </c>
    </row>
    <row r="33" outlineLevel="1">
      <c r="B33" s="0" t="inlineStr">
        <is>
          <t xml:space="preserve">Piping / fluid handling</t>
        </is>
      </c>
      <c r="C33" s="6">
        <f>C19/C$24</f>
      </c>
      <c r="D33" s="6">
        <f>D19/D$24</f>
      </c>
      <c r="E33" s="6">
        <f>E19/E$24</f>
      </c>
      <c r="F33" s="6">
        <f>F19/F$24</f>
      </c>
      <c r="G33" s="6">
        <f>G19/G$24</f>
      </c>
    </row>
    <row r="34" outlineLevel="1">
      <c r="B34" s="0" t="inlineStr">
        <is>
          <t xml:space="preserve">Electrical power / distribution / generation</t>
        </is>
      </c>
      <c r="C34" s="6">
        <f>C20/C$24</f>
      </c>
      <c r="D34" s="6">
        <f>D20/D$24</f>
      </c>
      <c r="E34" s="6">
        <f>E20/E$24</f>
      </c>
      <c r="F34" s="6">
        <f>F20/F$24</f>
      </c>
      <c r="G34" s="6">
        <f>G20/G$24</f>
      </c>
    </row>
    <row r="35" outlineLevel="1">
      <c r="B35" s="0" t="inlineStr">
        <is>
          <t xml:space="preserve">HVAC / ventilation / chilled water</t>
        </is>
      </c>
      <c r="C35" s="6">
        <f>C21/C$24</f>
      </c>
      <c r="D35" s="6">
        <f>D21/D$24</f>
      </c>
      <c r="E35" s="6">
        <f>E21/E$24</f>
      </c>
      <c r="F35" s="6">
        <f>F21/F$24</f>
      </c>
      <c r="G35" s="6">
        <f>G21/G$24</f>
      </c>
    </row>
    <row r="36" outlineLevel="1">
      <c r="B36" s="0" t="inlineStr">
        <is>
          <t xml:space="preserve">Coatings / insulation / decking</t>
        </is>
      </c>
      <c r="C36" s="6">
        <f>C22/C$24</f>
      </c>
      <c r="D36" s="6">
        <f>D22/D$24</f>
      </c>
      <c r="E36" s="6">
        <f>E22/E$24</f>
      </c>
      <c r="F36" s="6">
        <f>F22/F$24</f>
      </c>
      <c r="G36" s="6">
        <f>G22/G$24</f>
      </c>
    </row>
    <row r="37" outlineLevel="1">
      <c r="B37" s="0" t="inlineStr">
        <is>
          <t xml:space="preserve">Unbucketed / ambiguous</t>
        </is>
      </c>
      <c r="C37" s="6">
        <f>C23/C$24</f>
      </c>
      <c r="D37" s="6">
        <f>D23/D$24</f>
      </c>
      <c r="E37" s="6">
        <f>E23/E$24</f>
      </c>
      <c r="F37" s="6">
        <f>F23/F$24</f>
      </c>
      <c r="G37" s="6">
        <f>G23/G$24</f>
      </c>
    </row>
    <row r="38">
      <c r="B38" s="16" t="inlineStr">
        <is>
          <t xml:space="preserve">Total</t>
        </is>
      </c>
      <c r="C38" s="14">
        <f>SUM(C30:C37)</f>
      </c>
      <c r="D38" s="14">
        <f>SUM(D30:D37)</f>
      </c>
      <c r="E38" s="14">
        <f>SUM(E30:E37)</f>
      </c>
      <c r="F38" s="14">
        <f>SUM(F30:F37)</f>
      </c>
      <c r="G38" s="14">
        <f>SUM(G30:G37)</f>
      </c>
    </row>
    <row r="41">
      <c r="A41" s="0" t="inlineStr">
        <is>
          <t xml:space="preserve">x</t>
        </is>
      </c>
      <c r="B41" s="9" t="inlineStr">
        <is>
          <t xml:space="preserve">§4 - Modular tag (gated window)</t>
        </is>
      </c>
      <c r="C41" s="9"/>
      <c r="D41" s="9"/>
      <c r="E41" s="9"/>
      <c r="F41" s="9"/>
      <c r="G41" s="9"/>
    </row>
    <row r="43">
      <c r="B43" s="2" t="inlineStr">
        <is>
          <t xml:space="preserve">Measure</t>
        </is>
      </c>
      <c r="C43" s="22" t="inlineStr">
        <is>
          <t xml:space="preserve">Value</t>
        </is>
      </c>
    </row>
    <row r="44" outlineLevel="1">
      <c r="B44" s="0" t="inlineStr">
        <is>
          <t xml:space="preserve">Modular-flagged supplier $M (flagged entities sit under GFE-chain primes)</t>
        </is>
      </c>
      <c r="C44" s="4">
        <f>SUMPRODUCT(('Entity Master'!H7:H2164="supplier")*('Entity Master'!K7:K2164=1)*('Entity Master'!N7:N2164+'Entity Master'!O7:O2164+'Entity Master'!P7:P2164+'Entity Master'!Q7:Q2164))</f>
      </c>
    </row>
    <row r="45" outlineLevel="1">
      <c r="B45" s="0" t="inlineStr">
        <is>
          <t xml:space="preserve">Modular share of gated window</t>
        </is>
      </c>
      <c r="C45" s="6">
        <f>C44/G24</f>
      </c>
    </row>
    <row r="48">
      <c r="A48" s="0" t="inlineStr">
        <is>
          <t xml:space="preserve">x</t>
        </is>
      </c>
      <c r="B48" s="9" t="inlineStr">
        <is>
          <t xml:space="preserve">§5 - Reconciliation to Entity Master</t>
        </is>
      </c>
      <c r="C48" s="9"/>
      <c r="D48" s="9"/>
      <c r="E48" s="9"/>
      <c r="F48" s="9"/>
      <c r="G48" s="9"/>
    </row>
    <row r="50">
      <c r="B50" s="2" t="inlineStr">
        <is>
          <t xml:space="preserve">Measure</t>
        </is>
      </c>
      <c r="C50" s="22" t="inlineStr">
        <is>
          <t xml:space="preserve">$M</t>
        </is>
      </c>
    </row>
    <row r="51" outlineLevel="1">
      <c r="B51" s="0" t="inlineStr">
        <is>
          <t xml:space="preserve">Entity Master supplier-addressable total (all primes, all years)</t>
        </is>
      </c>
      <c r="C51" s="4">
        <f>SUMPRODUCT(('Entity Master'!H7:H2164="supplier")*'Entity Master'!G7:G2164)</f>
      </c>
    </row>
    <row r="52" outlineLevel="1">
      <c r="B52" s="0" t="inlineStr">
        <is>
          <t xml:space="preserve">Yard-PIID supplier $M (all years)</t>
        </is>
      </c>
      <c r="C52" s="4">
        <f>SUMPRODUCT(('Entity Master'!H7:H2164="supplier")*'Entity Master'!M7:M2164)</f>
      </c>
    </row>
    <row r="53" outlineLevel="1">
      <c r="B53" s="0" t="inlineStr">
        <is>
          <t xml:space="preserve">Gated evidence base (in-window yard supplier $)</t>
        </is>
      </c>
      <c r="C53" s="4">
        <f>G24</f>
      </c>
    </row>
    <row r="54" outlineLevel="1">
      <c r="B54" s="0" t="inlineStr">
        <is>
          <t xml:space="preserve">Excluded - GFE / combat-system prime chains (all years)</t>
        </is>
      </c>
      <c r="C54" s="4">
        <f>C51-C52</f>
      </c>
    </row>
    <row r="55" outlineLevel="1">
      <c r="B55" s="0" t="inlineStr">
        <is>
          <t xml:space="preserve">Excluded - yard records outside FY2022-FY2025</t>
        </is>
      </c>
      <c r="C55" s="4">
        <f>C52-C53</f>
      </c>
    </row>
    <row r="56" outlineLevel="1">
      <c r="B56" s="0" t="inlineStr">
        <is>
          <t xml:space="preserve">Tie check (gated + excluded = supplier total)</t>
        </is>
      </c>
      <c r="C56" s="0">
        <f>IF(ABS(C53+C54+C55-C51)&lt;0.5,"OK","FAIL")</f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rgb="FF2E7D4F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10" customWidth="1"/>
    <col min="3" max="3" width="7" customWidth="1"/>
    <col min="4" max="4" width="48" customWidth="1"/>
    <col min="5" max="5" width="14" customWidth="1"/>
    <col min="6" max="6" width="40" customWidth="1"/>
  </cols>
  <sheetData>
    <row r="1"/>
    <row r="2">
      <c r="B2" s="8" t="inlineStr">
        <is>
          <t xml:space="preserve">Figure Register</t>
        </is>
      </c>
      <c r="C2" s="8"/>
      <c r="D2" s="8"/>
      <c r="E2" s="8"/>
      <c r="F2" s="8"/>
    </row>
    <row r="4">
      <c r="A4" s="0" t="inlineStr">
        <is>
          <t xml:space="preserve">x</t>
        </is>
      </c>
      <c r="B4" s="9" t="inlineStr">
        <is>
          <t xml:space="preserve">§1 - Deck figures (one cross-sheet link per slide figure)</t>
        </is>
      </c>
      <c r="C4" s="9"/>
      <c r="D4" s="9"/>
      <c r="E4" s="9"/>
      <c r="F4" s="9"/>
    </row>
    <row r="6">
      <c r="B6" s="2" t="inlineStr">
        <is>
          <t xml:space="preserve">Figure ID</t>
        </is>
      </c>
      <c r="C6" s="22" t="inlineStr">
        <is>
          <t xml:space="preserve">Slide</t>
        </is>
      </c>
      <c r="D6" s="2" t="inlineStr">
        <is>
          <t xml:space="preserve">Label</t>
        </is>
      </c>
      <c r="E6" s="22" t="inlineStr">
        <is>
          <t xml:space="preserve">Value</t>
        </is>
      </c>
      <c r="F6" s="2" t="inlineStr">
        <is>
          <t xml:space="preserve">Source cell</t>
        </is>
      </c>
    </row>
    <row r="7" outlineLevel="1">
      <c r="B7" s="0" t="inlineStr">
        <is>
          <t xml:space="preserve">DO-01</t>
        </is>
      </c>
      <c r="C7" s="0">
        <v>3</v>
      </c>
      <c r="D7" s="0" t="inlineStr">
        <is>
          <t xml:space="preserve">Average annual portfolio TAM $M/yr</t>
        </is>
      </c>
      <c r="E7" s="11">
        <f>'TAM Build'!C137</f>
      </c>
      <c r="F7" s="0" t="inlineStr">
        <is>
          <t xml:space="preserve">'TAM Build'!C137</t>
        </is>
      </c>
    </row>
    <row r="8" outlineLevel="1">
      <c r="B8" s="0" t="inlineStr">
        <is>
          <t xml:space="preserve">DO-02</t>
        </is>
      </c>
      <c r="C8" s="0">
        <v>3</v>
      </c>
      <c r="D8" s="0" t="inlineStr">
        <is>
          <t xml:space="preserve">Average annual broad component SAM $M/yr</t>
        </is>
      </c>
      <c r="E8" s="11">
        <f>'SAM Build'!E74</f>
      </c>
      <c r="F8" s="0" t="inlineStr">
        <is>
          <t xml:space="preserve">'SAM Build'!E74</t>
        </is>
      </c>
    </row>
    <row r="9" outlineLevel="1">
      <c r="B9" s="0" t="inlineStr">
        <is>
          <t xml:space="preserve">DO-03</t>
        </is>
      </c>
      <c r="C9" s="0">
        <v>3</v>
      </c>
      <c r="D9" s="0" t="inlineStr">
        <is>
          <t xml:space="preserve">Portfolio TAM (FY22-27 cumulative) $M</t>
        </is>
      </c>
      <c r="E9" s="11">
        <f>'TAM Build'!I117</f>
      </c>
      <c r="F9" s="0" t="inlineStr">
        <is>
          <t xml:space="preserve">'TAM Build'!I117</t>
        </is>
      </c>
    </row>
    <row r="10" outlineLevel="1">
      <c r="B10" s="0" t="inlineStr">
        <is>
          <t xml:space="preserve">DO-04</t>
        </is>
      </c>
      <c r="C10" s="0">
        <v>3</v>
      </c>
      <c r="D10" s="0" t="inlineStr">
        <is>
          <t xml:space="preserve">Broad component SAM (FY22-27 cumulative) $M</t>
        </is>
      </c>
      <c r="E10" s="11">
        <f>'SAM Build'!C74</f>
      </c>
      <c r="F10" s="0" t="inlineStr">
        <is>
          <t xml:space="preserve">'SAM Build'!C74</t>
        </is>
      </c>
    </row>
    <row r="11" outlineLevel="1">
      <c r="B11" s="0" t="inlineStr">
        <is>
          <t xml:space="preserve">DO-05</t>
        </is>
      </c>
      <c r="C11" s="0">
        <v>3</v>
      </c>
      <c r="D11" s="0" t="inlineStr">
        <is>
          <t xml:space="preserve">BC-stream TAM (FY22-27) $M</t>
        </is>
      </c>
      <c r="E11" s="11">
        <f>'TAM Build'!I115</f>
      </c>
      <c r="F11" s="0" t="inlineStr">
        <is>
          <t xml:space="preserve">'TAM Build'!I115</t>
        </is>
      </c>
    </row>
    <row r="12" outlineLevel="1">
      <c r="B12" s="0" t="inlineStr">
        <is>
          <t xml:space="preserve">DO-06</t>
        </is>
      </c>
      <c r="C12" s="0">
        <v>3</v>
      </c>
      <c r="D12" s="0" t="inlineStr">
        <is>
          <t xml:space="preserve">AP/LLTM-stream TAM (FY22-27) $M</t>
        </is>
      </c>
      <c r="E12" s="11">
        <f>'TAM Build'!I116</f>
      </c>
      <c r="F12" s="0" t="inlineStr">
        <is>
          <t xml:space="preserve">'TAM Build'!I116</t>
        </is>
      </c>
    </row>
    <row r="13" outlineLevel="1">
      <c r="B13" s="0" t="inlineStr">
        <is>
          <t xml:space="preserve">DO-07</t>
        </is>
      </c>
      <c r="C13" s="0">
        <v>3</v>
      </c>
      <c r="D13" s="0" t="inlineStr">
        <is>
          <t xml:space="preserve">Fiscal years in window (n)</t>
        </is>
      </c>
      <c r="E13" s="11">
        <f>'TAM Build'!C136</f>
      </c>
      <c r="F13" s="0" t="inlineStr">
        <is>
          <t xml:space="preserve">'TAM Build'!C136</t>
        </is>
      </c>
    </row>
    <row r="14" outlineLevel="1">
      <c r="B14" s="0" t="inlineStr">
        <is>
          <t xml:space="preserve">DO-08</t>
        </is>
      </c>
      <c r="C14" s="0">
        <v>5</v>
      </c>
      <c r="D14" s="0" t="inlineStr">
        <is>
          <t xml:space="preserve">FY22-27 total ship estimate $M</t>
        </is>
      </c>
      <c r="E14" s="11">
        <f>'SCN Budget'!C43</f>
      </c>
      <c r="F14" s="0" t="inlineStr">
        <is>
          <t xml:space="preserve">'SCN Budget'!C43</t>
        </is>
      </c>
    </row>
    <row r="15" outlineLevel="1">
      <c r="B15" s="0" t="inlineStr">
        <is>
          <t xml:space="preserve">DO-09</t>
        </is>
      </c>
      <c r="C15" s="0">
        <v>5</v>
      </c>
      <c r="D15" s="0" t="inlineStr">
        <is>
          <t xml:space="preserve">FY22-27 Basic Construction base $M</t>
        </is>
      </c>
      <c r="E15" s="11">
        <f>'SCN Budget'!C46</f>
      </c>
      <c r="F15" s="0" t="inlineStr">
        <is>
          <t xml:space="preserve">'SCN Budget'!C46</t>
        </is>
      </c>
    </row>
    <row r="16" outlineLevel="1">
      <c r="B16" s="0" t="inlineStr">
        <is>
          <t xml:space="preserve">DO-10</t>
        </is>
      </c>
      <c r="C16" s="0">
        <v>5</v>
      </c>
      <c r="D16" s="0" t="inlineStr">
        <is>
          <t xml:space="preserve">FY22-27 GFE / directed equipment $M</t>
        </is>
      </c>
      <c r="E16" s="11">
        <f>'SCN Budget'!C44</f>
      </c>
      <c r="F16" s="0" t="inlineStr">
        <is>
          <t xml:space="preserve">'SCN Budget'!C44</t>
        </is>
      </c>
    </row>
    <row r="17" outlineLevel="1">
      <c r="B17" s="0" t="inlineStr">
        <is>
          <t xml:space="preserve">DO-11</t>
        </is>
      </c>
      <c r="C17" s="0">
        <v>5</v>
      </c>
      <c r="D17" s="0" t="inlineStr">
        <is>
          <t xml:space="preserve">FY22-27 other non-BC categories $M</t>
        </is>
      </c>
      <c r="E17" s="11">
        <f>'SCN Budget'!C45</f>
      </c>
      <c r="F17" s="0" t="inlineStr">
        <is>
          <t xml:space="preserve">'SCN Budget'!C45</t>
        </is>
      </c>
    </row>
    <row r="18" outlineLevel="1">
      <c r="B18" s="0" t="inlineStr">
        <is>
          <t xml:space="preserve">DO-12</t>
        </is>
      </c>
      <c r="C18" s="0">
        <v>6</v>
      </c>
      <c r="D18" s="0" t="inlineStr">
        <is>
          <t xml:space="preserve">Outside-yards POP, MYP-corrected</t>
        </is>
      </c>
      <c r="E18" s="12">
        <f>'TAM Build'!C55</f>
      </c>
      <c r="F18" s="0" t="inlineStr">
        <is>
          <t xml:space="preserve">'TAM Build'!C55</t>
        </is>
      </c>
    </row>
    <row r="19" outlineLevel="1">
      <c r="B19" s="0" t="inlineStr">
        <is>
          <t xml:space="preserve">DO-13</t>
        </is>
      </c>
      <c r="C19" s="0">
        <v>6</v>
      </c>
      <c r="D19" s="0" t="inlineStr">
        <is>
          <t xml:space="preserve">Outside-yards POP, disclosed artifact</t>
        </is>
      </c>
      <c r="E19" s="12">
        <f>'TAM Build'!C54</f>
      </c>
      <c r="F19" s="0" t="inlineStr">
        <is>
          <t xml:space="preserve">'TAM Build'!C54</t>
        </is>
      </c>
    </row>
    <row r="20" outlineLevel="1">
      <c r="B20" s="0" t="inlineStr">
        <is>
          <t xml:space="preserve">DO-14</t>
        </is>
      </c>
      <c r="C20" s="0">
        <v>6</v>
      </c>
      <c r="D20" s="0" t="inlineStr">
        <is>
          <t xml:space="preserve">MYP masters reconstructed $M</t>
        </is>
      </c>
      <c r="E20" s="11">
        <f>'POP Source Audit'!D20</f>
      </c>
      <c r="F20" s="0" t="inlineStr">
        <is>
          <t xml:space="preserve">'POP Source Audit'!D20</t>
        </is>
      </c>
    </row>
    <row r="21" outlineLevel="1">
      <c r="B21" s="0" t="inlineStr">
        <is>
          <t xml:space="preserve">DO-15</t>
        </is>
      </c>
      <c r="C21" s="0">
        <v>6</v>
      </c>
      <c r="D21" s="0" t="inlineStr">
        <is>
          <t xml:space="preserve">Gated POP corpus $M (incl. masters)</t>
        </is>
      </c>
      <c r="E21" s="11">
        <f>'POP Source Audit'!D15</f>
      </c>
      <c r="F21" s="0" t="inlineStr">
        <is>
          <t xml:space="preserve">'POP Source Audit'!D15</t>
        </is>
      </c>
    </row>
    <row r="22" outlineLevel="1">
      <c r="B22" s="0" t="inlineStr">
        <is>
          <t xml:space="preserve">DO-16</t>
        </is>
      </c>
      <c r="C22" s="0">
        <v>6</v>
      </c>
      <c r="D22" s="0" t="inlineStr">
        <is>
          <t xml:space="preserve">GFE / Navy-directed scope dropped $M</t>
        </is>
      </c>
      <c r="E22" s="11">
        <f>'POP Source Audit'!D16</f>
      </c>
      <c r="F22" s="0" t="inlineStr">
        <is>
          <t xml:space="preserve">'POP Source Audit'!D16</t>
        </is>
      </c>
    </row>
    <row r="23" outlineLevel="1">
      <c r="B23" s="0" t="inlineStr">
        <is>
          <t xml:space="preserve">DO-17</t>
        </is>
      </c>
      <c r="C23" s="0">
        <v>7</v>
      </c>
      <c r="D23" s="0" t="inlineStr">
        <is>
          <t xml:space="preserve">Supplier-addressable subaward $M (full corpus)</t>
        </is>
      </c>
      <c r="E23" s="11">
        <f>'SAM Build'!C33</f>
      </c>
      <c r="F23" s="0" t="inlineStr">
        <is>
          <t xml:space="preserve">'SAM Build'!C33</t>
        </is>
      </c>
    </row>
    <row r="24" outlineLevel="1">
      <c r="B24" s="0" t="inlineStr">
        <is>
          <t xml:space="preserve">DO-18</t>
        </is>
      </c>
      <c r="C24" s="0">
        <v>8</v>
      </c>
      <c r="D24" s="0" t="inlineStr">
        <is>
          <t xml:space="preserve">BC construction base (SCN P-5c, FY22-27) $M</t>
        </is>
      </c>
      <c r="E24" s="11">
        <f>'TAM Build'!C145</f>
      </c>
      <c r="F24" s="0" t="inlineStr">
        <is>
          <t xml:space="preserve">'TAM Build'!C145</t>
        </is>
      </c>
    </row>
    <row r="25" outlineLevel="1">
      <c r="B25" s="0" t="inlineStr">
        <is>
          <t xml:space="preserve">DO-19</t>
        </is>
      </c>
      <c r="C25" s="0">
        <v>8</v>
      </c>
      <c r="D25" s="0" t="inlineStr">
        <is>
          <t xml:space="preserve">POP removal - prime / co-prime / GFE $M</t>
        </is>
      </c>
      <c r="E25" s="11">
        <f>'TAM Build'!C146</f>
      </c>
      <c r="F25" s="0" t="inlineStr">
        <is>
          <t xml:space="preserve">'TAM Build'!C146</t>
        </is>
      </c>
    </row>
    <row r="26" outlineLevel="1">
      <c r="B26" s="0" t="inlineStr">
        <is>
          <t xml:space="preserve">DO-20</t>
        </is>
      </c>
      <c r="C26" s="0">
        <v>8</v>
      </c>
      <c r="D26" s="0" t="inlineStr">
        <is>
          <t xml:space="preserve">BC supplier coefficient (MYP-corrected)</t>
        </is>
      </c>
      <c r="E26" s="12">
        <f>'TAM Build'!C44</f>
      </c>
      <c r="F26" s="0" t="inlineStr">
        <is>
          <t xml:space="preserve">'TAM Build'!C44</t>
        </is>
      </c>
    </row>
    <row r="27" outlineLevel="1">
      <c r="B27" s="0" t="inlineStr">
        <is>
          <t xml:space="preserve">DO-21</t>
        </is>
      </c>
      <c r="C27" s="0">
        <v>8</v>
      </c>
      <c r="D27" s="0" t="inlineStr">
        <is>
          <t xml:space="preserve">AP/LLTM supplier coefficient</t>
        </is>
      </c>
      <c r="E27" s="12">
        <f>'TAM Build'!C46</f>
      </c>
      <c r="F27" s="0" t="inlineStr">
        <is>
          <t xml:space="preserve">'TAM Build'!C46</t>
        </is>
      </c>
    </row>
    <row r="28" outlineLevel="1">
      <c r="B28" s="0" t="inlineStr">
        <is>
          <t xml:space="preserve">DO-22</t>
        </is>
      </c>
      <c r="C28" s="0">
        <v>8</v>
      </c>
      <c r="D28" s="0" t="inlineStr">
        <is>
          <t xml:space="preserve">Supplier TAM per in-window hull $M</t>
        </is>
      </c>
      <c r="E28" s="11">
        <f>'TAM Build'!C139</f>
      </c>
      <c r="F28" s="0" t="inlineStr">
        <is>
          <t xml:space="preserve">'TAM Build'!C139</t>
        </is>
      </c>
    </row>
    <row r="29" outlineLevel="1">
      <c r="B29" s="0" t="inlineStr">
        <is>
          <t xml:space="preserve">DO-23</t>
        </is>
      </c>
      <c r="C29" s="0">
        <v>8</v>
      </c>
      <c r="D29" s="0" t="inlineStr">
        <is>
          <t xml:space="preserve">BC TAM per in-window hull $M</t>
        </is>
      </c>
      <c r="E29" s="11">
        <f>'TAM Build'!C140</f>
      </c>
      <c r="F29" s="0" t="inlineStr">
        <is>
          <t xml:space="preserve">'TAM Build'!C140</t>
        </is>
      </c>
    </row>
    <row r="30" outlineLevel="1">
      <c r="B30" s="0" t="inlineStr">
        <is>
          <t xml:space="preserve">DO-24</t>
        </is>
      </c>
      <c r="C30" s="0">
        <v>9</v>
      </c>
      <c r="D30" s="0" t="inlineStr">
        <is>
          <t xml:space="preserve">TAM FY22 $M</t>
        </is>
      </c>
      <c r="E30" s="11">
        <f>'TAM Build'!C117</f>
      </c>
      <c r="F30" s="0" t="inlineStr">
        <is>
          <t xml:space="preserve">'TAM Build'!C117</t>
        </is>
      </c>
    </row>
    <row r="31" outlineLevel="1">
      <c r="B31" s="0" t="inlineStr">
        <is>
          <t xml:space="preserve">DO-25</t>
        </is>
      </c>
      <c r="C31" s="0">
        <v>9</v>
      </c>
      <c r="D31" s="0" t="inlineStr">
        <is>
          <t xml:space="preserve">TAM FY23 $M</t>
        </is>
      </c>
      <c r="E31" s="11">
        <f>'TAM Build'!D117</f>
      </c>
      <c r="F31" s="0" t="inlineStr">
        <is>
          <t xml:space="preserve">'TAM Build'!D117</t>
        </is>
      </c>
    </row>
    <row r="32" outlineLevel="1">
      <c r="B32" s="0" t="inlineStr">
        <is>
          <t xml:space="preserve">DO-26</t>
        </is>
      </c>
      <c r="C32" s="0">
        <v>9</v>
      </c>
      <c r="D32" s="0" t="inlineStr">
        <is>
          <t xml:space="preserve">TAM FY24 $M</t>
        </is>
      </c>
      <c r="E32" s="11">
        <f>'TAM Build'!E117</f>
      </c>
      <c r="F32" s="0" t="inlineStr">
        <is>
          <t xml:space="preserve">'TAM Build'!E117</t>
        </is>
      </c>
    </row>
    <row r="33" outlineLevel="1">
      <c r="B33" s="0" t="inlineStr">
        <is>
          <t xml:space="preserve">DO-27</t>
        </is>
      </c>
      <c r="C33" s="0">
        <v>9</v>
      </c>
      <c r="D33" s="0" t="inlineStr">
        <is>
          <t xml:space="preserve">TAM FY25 $M</t>
        </is>
      </c>
      <c r="E33" s="11">
        <f>'TAM Build'!F117</f>
      </c>
      <c r="F33" s="0" t="inlineStr">
        <is>
          <t xml:space="preserve">'TAM Build'!F117</t>
        </is>
      </c>
    </row>
    <row r="34" outlineLevel="1">
      <c r="B34" s="0" t="inlineStr">
        <is>
          <t xml:space="preserve">DO-28</t>
        </is>
      </c>
      <c r="C34" s="0">
        <v>9</v>
      </c>
      <c r="D34" s="0" t="inlineStr">
        <is>
          <t xml:space="preserve">TAM FY26 $M</t>
        </is>
      </c>
      <c r="E34" s="11">
        <f>'TAM Build'!G117</f>
      </c>
      <c r="F34" s="0" t="inlineStr">
        <is>
          <t xml:space="preserve">'TAM Build'!G117</t>
        </is>
      </c>
    </row>
    <row r="35" outlineLevel="1">
      <c r="B35" s="0" t="inlineStr">
        <is>
          <t xml:space="preserve">DO-29</t>
        </is>
      </c>
      <c r="C35" s="0">
        <v>9</v>
      </c>
      <c r="D35" s="0" t="inlineStr">
        <is>
          <t xml:space="preserve">TAM FY27 $M</t>
        </is>
      </c>
      <c r="E35" s="11">
        <f>'TAM Build'!H117</f>
      </c>
      <c r="F35" s="0" t="inlineStr">
        <is>
          <t xml:space="preserve">'TAM Build'!H117</t>
        </is>
      </c>
    </row>
    <row r="36" outlineLevel="1">
      <c r="B36" s="0" t="inlineStr">
        <is>
          <t xml:space="preserve">DO-30</t>
        </is>
      </c>
      <c r="C36" s="0">
        <v>11</v>
      </c>
      <c r="D36" s="0" t="inlineStr">
        <is>
          <t xml:space="preserve">Bucket TAM - Structural fabrication &amp; modules $M</t>
        </is>
      </c>
      <c r="E36" s="11">
        <f>'SAM Build'!C54</f>
      </c>
      <c r="F36" s="0" t="inlineStr">
        <is>
          <t xml:space="preserve">'SAM Build'!C54</t>
        </is>
      </c>
    </row>
    <row r="37" outlineLevel="1">
      <c r="B37" s="0" t="inlineStr">
        <is>
          <t xml:space="preserve">DO-31</t>
        </is>
      </c>
      <c r="C37" s="0">
        <v>11</v>
      </c>
      <c r="D37" s="0" t="inlineStr">
        <is>
          <t xml:space="preserve">Bucket TAM - Machining / mechanical / propulsion $M</t>
        </is>
      </c>
      <c r="E37" s="11">
        <f>'SAM Build'!C55</f>
      </c>
      <c r="F37" s="0" t="inlineStr">
        <is>
          <t xml:space="preserve">'SAM Build'!C55</t>
        </is>
      </c>
    </row>
    <row r="38" outlineLevel="1">
      <c r="B38" s="0" t="inlineStr">
        <is>
          <t xml:space="preserve">DO-32</t>
        </is>
      </c>
      <c r="C38" s="0">
        <v>11</v>
      </c>
      <c r="D38" s="0" t="inlineStr">
        <is>
          <t xml:space="preserve">Bucket TAM - Castings &amp; forgings $M</t>
        </is>
      </c>
      <c r="E38" s="11">
        <f>'SAM Build'!C56</f>
      </c>
      <c r="F38" s="0" t="inlineStr">
        <is>
          <t xml:space="preserve">'SAM Build'!C56</t>
        </is>
      </c>
    </row>
    <row r="39" outlineLevel="1">
      <c r="B39" s="0" t="inlineStr">
        <is>
          <t xml:space="preserve">DO-33</t>
        </is>
      </c>
      <c r="C39" s="0">
        <v>11</v>
      </c>
      <c r="D39" s="0" t="inlineStr">
        <is>
          <t xml:space="preserve">Bucket TAM - Piping / fluid handling $M</t>
        </is>
      </c>
      <c r="E39" s="11">
        <f>'SAM Build'!C57</f>
      </c>
      <c r="F39" s="0" t="inlineStr">
        <is>
          <t xml:space="preserve">'SAM Build'!C57</t>
        </is>
      </c>
    </row>
    <row r="40" outlineLevel="1">
      <c r="B40" s="0" t="inlineStr">
        <is>
          <t xml:space="preserve">DO-34</t>
        </is>
      </c>
      <c r="C40" s="0">
        <v>11</v>
      </c>
      <c r="D40" s="0" t="inlineStr">
        <is>
          <t xml:space="preserve">Bucket TAM - Electrical power / distribution / generation $M</t>
        </is>
      </c>
      <c r="E40" s="11">
        <f>'SAM Build'!C58</f>
      </c>
      <c r="F40" s="0" t="inlineStr">
        <is>
          <t xml:space="preserve">'SAM Build'!C58</t>
        </is>
      </c>
    </row>
    <row r="41" outlineLevel="1">
      <c r="B41" s="0" t="inlineStr">
        <is>
          <t xml:space="preserve">DO-35</t>
        </is>
      </c>
      <c r="C41" s="0">
        <v>11</v>
      </c>
      <c r="D41" s="0" t="inlineStr">
        <is>
          <t xml:space="preserve">Bucket TAM - HVAC / ventilation / chilled water $M</t>
        </is>
      </c>
      <c r="E41" s="11">
        <f>'SAM Build'!C59</f>
      </c>
      <c r="F41" s="0" t="inlineStr">
        <is>
          <t xml:space="preserve">'SAM Build'!C59</t>
        </is>
      </c>
    </row>
    <row r="42" outlineLevel="1">
      <c r="B42" s="0" t="inlineStr">
        <is>
          <t xml:space="preserve">DO-36</t>
        </is>
      </c>
      <c r="C42" s="0">
        <v>11</v>
      </c>
      <c r="D42" s="0" t="inlineStr">
        <is>
          <t xml:space="preserve">Bucket TAM - Coatings / insulation / decking $M</t>
        </is>
      </c>
      <c r="E42" s="11">
        <f>'SAM Build'!C60</f>
      </c>
      <c r="F42" s="0" t="inlineStr">
        <is>
          <t xml:space="preserve">'SAM Build'!C60</t>
        </is>
      </c>
    </row>
    <row r="43" outlineLevel="1">
      <c r="B43" s="0" t="inlineStr">
        <is>
          <t xml:space="preserve">DO-37</t>
        </is>
      </c>
      <c r="C43" s="0">
        <v>11</v>
      </c>
      <c r="D43" s="0" t="inlineStr">
        <is>
          <t xml:space="preserve">Bucket TAM - unbucketed residual $M</t>
        </is>
      </c>
      <c r="E43" s="11">
        <f>'SAM Build'!C61</f>
      </c>
      <c r="F43" s="0" t="inlineStr">
        <is>
          <t xml:space="preserve">'SAM Build'!C61</t>
        </is>
      </c>
    </row>
    <row r="44" outlineLevel="1">
      <c r="B44" s="0" t="inlineStr">
        <is>
          <t xml:space="preserve">DO-38</t>
        </is>
      </c>
      <c r="C44" s="0">
        <v>12</v>
      </c>
      <c r="D44" s="0" t="inlineStr">
        <is>
          <t xml:space="preserve">SAM - Metal components (cumulative) $M</t>
        </is>
      </c>
      <c r="E44" s="11">
        <f>'SAM Build'!C70</f>
      </c>
      <c r="F44" s="0" t="inlineStr">
        <is>
          <t xml:space="preserve">'SAM Build'!C70</t>
        </is>
      </c>
    </row>
    <row r="45" outlineLevel="1">
      <c r="B45" s="0" t="inlineStr">
        <is>
          <t xml:space="preserve">DO-39</t>
        </is>
      </c>
      <c r="C45" s="0">
        <v>12</v>
      </c>
      <c r="D45" s="0" t="inlineStr">
        <is>
          <t xml:space="preserve">SAM - HM&amp;E components (cumulative) $M</t>
        </is>
      </c>
      <c r="E45" s="11">
        <f>'SAM Build'!C71</f>
      </c>
      <c r="F45" s="0" t="inlineStr">
        <is>
          <t xml:space="preserve">'SAM Build'!C71</t>
        </is>
      </c>
    </row>
    <row r="46" outlineLevel="1">
      <c r="B46" s="0" t="inlineStr">
        <is>
          <t xml:space="preserve">DO-40</t>
        </is>
      </c>
      <c r="C46" s="0">
        <v>12</v>
      </c>
      <c r="D46" s="0" t="inlineStr">
        <is>
          <t xml:space="preserve">SAM - Electrical / power (cumulative) $M</t>
        </is>
      </c>
      <c r="E46" s="11">
        <f>'SAM Build'!C72</f>
      </c>
      <c r="F46" s="0" t="inlineStr">
        <is>
          <t xml:space="preserve">'SAM Build'!C72</t>
        </is>
      </c>
    </row>
    <row r="47" outlineLevel="1">
      <c r="B47" s="0" t="inlineStr">
        <is>
          <t xml:space="preserve">DO-41</t>
        </is>
      </c>
      <c r="C47" s="0">
        <v>12</v>
      </c>
      <c r="D47" s="0" t="inlineStr">
        <is>
          <t xml:space="preserve">SAM - Modular assemblies (cumulative) $M</t>
        </is>
      </c>
      <c r="E47" s="11">
        <f>'SAM Build'!C73</f>
      </c>
      <c r="F47" s="0" t="inlineStr">
        <is>
          <t xml:space="preserve">'SAM Build'!C73</t>
        </is>
      </c>
    </row>
    <row r="48" outlineLevel="1">
      <c r="B48" s="0" t="inlineStr">
        <is>
          <t xml:space="preserve">DO-42</t>
        </is>
      </c>
      <c r="C48" s="0">
        <v>12</v>
      </c>
      <c r="D48" s="0" t="inlineStr">
        <is>
          <t xml:space="preserve">SAM - Broad component mfg (cumulative) $M</t>
        </is>
      </c>
      <c r="E48" s="11">
        <f>'SAM Build'!C74</f>
      </c>
      <c r="F48" s="0" t="inlineStr">
        <is>
          <t xml:space="preserve">'SAM Build'!C74</t>
        </is>
      </c>
    </row>
    <row r="49" outlineLevel="1">
      <c r="B49" s="0" t="inlineStr">
        <is>
          <t xml:space="preserve">DO-43</t>
        </is>
      </c>
      <c r="C49" s="0">
        <v>12</v>
      </c>
      <c r="D49" s="0" t="inlineStr">
        <is>
          <t xml:space="preserve">SAM avg-annual - Metal components $M/yr</t>
        </is>
      </c>
      <c r="E49" s="11">
        <f>'SAM Build'!E70</f>
      </c>
      <c r="F49" s="0" t="inlineStr">
        <is>
          <t xml:space="preserve">'SAM Build'!E70</t>
        </is>
      </c>
    </row>
    <row r="50" outlineLevel="1">
      <c r="B50" s="0" t="inlineStr">
        <is>
          <t xml:space="preserve">DO-44</t>
        </is>
      </c>
      <c r="C50" s="0">
        <v>12</v>
      </c>
      <c r="D50" s="0" t="inlineStr">
        <is>
          <t xml:space="preserve">SAM avg-annual - HM&amp;E components $M/yr</t>
        </is>
      </c>
      <c r="E50" s="11">
        <f>'SAM Build'!E71</f>
      </c>
      <c r="F50" s="0" t="inlineStr">
        <is>
          <t xml:space="preserve">'SAM Build'!E71</t>
        </is>
      </c>
    </row>
    <row r="51" outlineLevel="1">
      <c r="B51" s="0" t="inlineStr">
        <is>
          <t xml:space="preserve">DO-45</t>
        </is>
      </c>
      <c r="C51" s="0">
        <v>12</v>
      </c>
      <c r="D51" s="0" t="inlineStr">
        <is>
          <t xml:space="preserve">SAM avg-annual - Electrical / power $M/yr</t>
        </is>
      </c>
      <c r="E51" s="11">
        <f>'SAM Build'!E72</f>
      </c>
      <c r="F51" s="0" t="inlineStr">
        <is>
          <t xml:space="preserve">'SAM Build'!E72</t>
        </is>
      </c>
    </row>
    <row r="52" outlineLevel="1">
      <c r="B52" s="0" t="inlineStr">
        <is>
          <t xml:space="preserve">DO-46</t>
        </is>
      </c>
      <c r="C52" s="0">
        <v>12</v>
      </c>
      <c r="D52" s="0" t="inlineStr">
        <is>
          <t xml:space="preserve">SAM avg-annual - Modular assemblies $M/yr</t>
        </is>
      </c>
      <c r="E52" s="11">
        <f>'SAM Build'!E73</f>
      </c>
      <c r="F52" s="0" t="inlineStr">
        <is>
          <t xml:space="preserve">'SAM Build'!E73</t>
        </is>
      </c>
    </row>
    <row r="53" outlineLevel="1">
      <c r="B53" s="0" t="inlineStr">
        <is>
          <t xml:space="preserve">DO-47</t>
        </is>
      </c>
      <c r="C53" s="0">
        <v>12</v>
      </c>
      <c r="D53" s="0" t="inlineStr">
        <is>
          <t xml:space="preserve">SAM avg-annual - Broad component mfg $M/yr</t>
        </is>
      </c>
      <c r="E53" s="11">
        <f>'SAM Build'!E74</f>
      </c>
      <c r="F53" s="0" t="inlineStr">
        <is>
          <t xml:space="preserve">'SAM Build'!E74</t>
        </is>
      </c>
    </row>
    <row r="54" outlineLevel="1">
      <c r="B54" s="0" t="inlineStr">
        <is>
          <t xml:space="preserve">DO-48</t>
        </is>
      </c>
      <c r="C54" s="0">
        <v>9</v>
      </c>
      <c r="D54" s="0" t="inlineStr">
        <is>
          <t xml:space="preserve">Outsourced BC penetration FY22</t>
        </is>
      </c>
      <c r="E54" s="12">
        <f>'Outlook'!C21</f>
      </c>
      <c r="F54" s="0" t="inlineStr">
        <is>
          <t xml:space="preserve">'Outlook'!C21</t>
        </is>
      </c>
    </row>
    <row r="55" outlineLevel="1">
      <c r="B55" s="0" t="inlineStr">
        <is>
          <t xml:space="preserve">DO-49</t>
        </is>
      </c>
      <c r="C55" s="0">
        <v>9</v>
      </c>
      <c r="D55" s="0" t="inlineStr">
        <is>
          <t xml:space="preserve">Outsourced BC penetration FY23</t>
        </is>
      </c>
      <c r="E55" s="12">
        <f>'Outlook'!D21</f>
      </c>
      <c r="F55" s="0" t="inlineStr">
        <is>
          <t xml:space="preserve">'Outlook'!D21</t>
        </is>
      </c>
    </row>
    <row r="56" outlineLevel="1">
      <c r="B56" s="0" t="inlineStr">
        <is>
          <t xml:space="preserve">DO-50</t>
        </is>
      </c>
      <c r="C56" s="0">
        <v>9</v>
      </c>
      <c r="D56" s="0" t="inlineStr">
        <is>
          <t xml:space="preserve">Outsourced BC penetration FY24</t>
        </is>
      </c>
      <c r="E56" s="12">
        <f>'Outlook'!E21</f>
      </c>
      <c r="F56" s="0" t="inlineStr">
        <is>
          <t xml:space="preserve">'Outlook'!E21</t>
        </is>
      </c>
    </row>
    <row r="57" outlineLevel="1">
      <c r="B57" s="0" t="inlineStr">
        <is>
          <t xml:space="preserve">DO-51</t>
        </is>
      </c>
      <c r="C57" s="0">
        <v>9</v>
      </c>
      <c r="D57" s="0" t="inlineStr">
        <is>
          <t xml:space="preserve">Outsourced BC penetration FY25</t>
        </is>
      </c>
      <c r="E57" s="12">
        <f>'Outlook'!F21</f>
      </c>
      <c r="F57" s="0" t="inlineStr">
        <is>
          <t xml:space="preserve">'Outlook'!F21</t>
        </is>
      </c>
    </row>
    <row r="58" outlineLevel="1">
      <c r="B58" s="0" t="inlineStr">
        <is>
          <t xml:space="preserve">DO-52</t>
        </is>
      </c>
      <c r="C58" s="0">
        <v>9</v>
      </c>
      <c r="D58" s="0" t="inlineStr">
        <is>
          <t xml:space="preserve">Outsourced BC penetration FY26</t>
        </is>
      </c>
      <c r="E58" s="12">
        <f>'Outlook'!G21</f>
      </c>
      <c r="F58" s="0" t="inlineStr">
        <is>
          <t xml:space="preserve">'Outlook'!G21</t>
        </is>
      </c>
    </row>
    <row r="59" outlineLevel="1">
      <c r="B59" s="0" t="inlineStr">
        <is>
          <t xml:space="preserve">DO-53</t>
        </is>
      </c>
      <c r="C59" s="0">
        <v>9</v>
      </c>
      <c r="D59" s="0" t="inlineStr">
        <is>
          <t xml:space="preserve">Outsourced BC penetration FY27</t>
        </is>
      </c>
      <c r="E59" s="12">
        <f>'Outlook'!H21</f>
      </c>
      <c r="F59" s="0" t="inlineStr">
        <is>
          <t xml:space="preserve">'Outlook'!H21</t>
        </is>
      </c>
    </row>
    <row r="60" outlineLevel="1">
      <c r="B60" s="0" t="inlineStr">
        <is>
          <t xml:space="preserve">DO-54</t>
        </is>
      </c>
      <c r="C60" s="0">
        <v>9</v>
      </c>
      <c r="D60" s="0" t="inlineStr">
        <is>
          <t xml:space="preserve">Outsourced BC penetration, FY22-27 avg</t>
        </is>
      </c>
      <c r="E60" s="12">
        <f>'Outlook'!C28</f>
      </c>
      <c r="F60" s="0" t="inlineStr">
        <is>
          <t xml:space="preserve">'Outlook'!C28</t>
        </is>
      </c>
    </row>
    <row r="61" outlineLevel="1">
      <c r="B61" s="0" t="inlineStr">
        <is>
          <t xml:space="preserve">DO-55</t>
        </is>
      </c>
      <c r="C61" s="0">
        <v>9</v>
      </c>
      <c r="D61" s="0" t="inlineStr">
        <is>
          <t xml:space="preserve">Outsourced BC penetration, FY26-27 avg</t>
        </is>
      </c>
      <c r="E61" s="12">
        <f>'Outlook'!C29</f>
      </c>
      <c r="F61" s="0" t="inlineStr">
        <is>
          <t xml:space="preserve">'Outlook'!C29</t>
        </is>
      </c>
    </row>
    <row r="62" outlineLevel="1">
      <c r="B62" s="0" t="inlineStr">
        <is>
          <t xml:space="preserve">DO-56</t>
        </is>
      </c>
      <c r="C62" s="0">
        <v>9</v>
      </c>
      <c r="D62" s="0" t="inlineStr">
        <is>
          <t xml:space="preserve">Implied Outsourced BC low FY28 $M</t>
        </is>
      </c>
      <c r="E62" s="11">
        <f>'Outlook'!C40</f>
      </c>
      <c r="F62" s="0" t="inlineStr">
        <is>
          <t xml:space="preserve">'Outlook'!C40</t>
        </is>
      </c>
    </row>
    <row r="63" outlineLevel="1">
      <c r="B63" s="0" t="inlineStr">
        <is>
          <t xml:space="preserve">DO-57</t>
        </is>
      </c>
      <c r="C63" s="0">
        <v>9</v>
      </c>
      <c r="D63" s="0" t="inlineStr">
        <is>
          <t xml:space="preserve">Implied Outsourced BC low FY29 $M</t>
        </is>
      </c>
      <c r="E63" s="11">
        <f>'Outlook'!D40</f>
      </c>
      <c r="F63" s="0" t="inlineStr">
        <is>
          <t xml:space="preserve">'Outlook'!D40</t>
        </is>
      </c>
    </row>
    <row r="64" outlineLevel="1">
      <c r="B64" s="0" t="inlineStr">
        <is>
          <t xml:space="preserve">DO-58</t>
        </is>
      </c>
      <c r="C64" s="0">
        <v>9</v>
      </c>
      <c r="D64" s="0" t="inlineStr">
        <is>
          <t xml:space="preserve">Implied Outsourced BC low FY30 $M</t>
        </is>
      </c>
      <c r="E64" s="11">
        <f>'Outlook'!E40</f>
      </c>
      <c r="F64" s="0" t="inlineStr">
        <is>
          <t xml:space="preserve">'Outlook'!E40</t>
        </is>
      </c>
    </row>
    <row r="65" outlineLevel="1">
      <c r="B65" s="0" t="inlineStr">
        <is>
          <t xml:space="preserve">DO-59</t>
        </is>
      </c>
      <c r="C65" s="0">
        <v>9</v>
      </c>
      <c r="D65" s="0" t="inlineStr">
        <is>
          <t xml:space="preserve">Implied Outsourced BC low FY31 $M</t>
        </is>
      </c>
      <c r="E65" s="11">
        <f>'Outlook'!F40</f>
      </c>
      <c r="F65" s="0" t="inlineStr">
        <is>
          <t xml:space="preserve">'Outlook'!F40</t>
        </is>
      </c>
    </row>
    <row r="66" outlineLevel="1">
      <c r="B66" s="0" t="inlineStr">
        <is>
          <t xml:space="preserve">DO-60</t>
        </is>
      </c>
      <c r="C66" s="0">
        <v>9</v>
      </c>
      <c r="D66" s="0" t="inlineStr">
        <is>
          <t xml:space="preserve">Implied Outsourced BC high FY28 $M</t>
        </is>
      </c>
      <c r="E66" s="11">
        <f>'Outlook'!C41</f>
      </c>
      <c r="F66" s="0" t="inlineStr">
        <is>
          <t xml:space="preserve">'Outlook'!C41</t>
        </is>
      </c>
    </row>
    <row r="67" outlineLevel="1">
      <c r="B67" s="0" t="inlineStr">
        <is>
          <t xml:space="preserve">DO-61</t>
        </is>
      </c>
      <c r="C67" s="0">
        <v>9</v>
      </c>
      <c r="D67" s="0" t="inlineStr">
        <is>
          <t xml:space="preserve">Implied Outsourced BC high FY29 $M</t>
        </is>
      </c>
      <c r="E67" s="11">
        <f>'Outlook'!D41</f>
      </c>
      <c r="F67" s="0" t="inlineStr">
        <is>
          <t xml:space="preserve">'Outlook'!D41</t>
        </is>
      </c>
    </row>
    <row r="68" outlineLevel="1">
      <c r="B68" s="0" t="inlineStr">
        <is>
          <t xml:space="preserve">DO-62</t>
        </is>
      </c>
      <c r="C68" s="0">
        <v>9</v>
      </c>
      <c r="D68" s="0" t="inlineStr">
        <is>
          <t xml:space="preserve">Implied Outsourced BC high FY30 $M</t>
        </is>
      </c>
      <c r="E68" s="11">
        <f>'Outlook'!E41</f>
      </c>
      <c r="F68" s="0" t="inlineStr">
        <is>
          <t xml:space="preserve">'Outlook'!E41</t>
        </is>
      </c>
    </row>
    <row r="69" outlineLevel="1">
      <c r="B69" s="0" t="inlineStr">
        <is>
          <t xml:space="preserve">DO-63</t>
        </is>
      </c>
      <c r="C69" s="0">
        <v>9</v>
      </c>
      <c r="D69" s="0" t="inlineStr">
        <is>
          <t xml:space="preserve">Implied Outsourced BC high FY31 $M</t>
        </is>
      </c>
      <c r="E69" s="11">
        <f>'Outlook'!F41</f>
      </c>
      <c r="F69" s="0" t="inlineStr">
        <is>
          <t xml:space="preserve">'Outlook'!F41</t>
        </is>
      </c>
    </row>
    <row r="70" outlineLevel="1">
      <c r="B70" s="0" t="inlineStr">
        <is>
          <t xml:space="preserve">DO-64</t>
        </is>
      </c>
      <c r="C70" s="0">
        <v>9</v>
      </c>
      <c r="D70" s="0" t="inlineStr">
        <is>
          <t xml:space="preserve">Implied outyear Outsourced BC low $M/yr</t>
        </is>
      </c>
      <c r="E70" s="11">
        <f>'Outlook'!C44</f>
      </c>
      <c r="F70" s="0" t="inlineStr">
        <is>
          <t xml:space="preserve">'Outlook'!C44</t>
        </is>
      </c>
    </row>
    <row r="71" outlineLevel="1">
      <c r="B71" s="0" t="inlineStr">
        <is>
          <t xml:space="preserve">DO-65</t>
        </is>
      </c>
      <c r="C71" s="0">
        <v>9</v>
      </c>
      <c r="D71" s="0" t="inlineStr">
        <is>
          <t xml:space="preserve">Implied outyear Outsourced BC high $M/yr</t>
        </is>
      </c>
      <c r="E71" s="11">
        <f>'Outlook'!C45</f>
      </c>
      <c r="F71" s="0" t="inlineStr">
        <is>
          <t xml:space="preserve">'Outlook'!C45</t>
        </is>
      </c>
    </row>
    <row r="72" outlineLevel="1">
      <c r="B72" s="0" t="inlineStr">
        <is>
          <t xml:space="preserve">DO-66</t>
        </is>
      </c>
      <c r="C72" s="0">
        <v>9</v>
      </c>
      <c r="D72" s="0" t="inlineStr">
        <is>
          <t xml:space="preserve">FY22-25 average annual TAM $M/yr</t>
        </is>
      </c>
      <c r="E72" s="11">
        <f>'Outlook'!C51</f>
      </c>
      <c r="F72" s="0" t="inlineStr">
        <is>
          <t xml:space="preserve">'Outlook'!C51</t>
        </is>
      </c>
    </row>
  </sheetData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6E6E6E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4" customWidth="1"/>
    <col min="3" max="3" width="14" customWidth="1"/>
  </cols>
  <sheetData>
    <row r="1"/>
    <row r="2">
      <c r="B2" s="8" t="inlineStr">
        <is>
          <t xml:space="preserve">Sensitivity</t>
        </is>
      </c>
      <c r="C2" s="8"/>
    </row>
    <row r="4">
      <c r="A4" s="0" t="inlineStr">
        <is>
          <t xml:space="preserve">x</t>
        </is>
      </c>
      <c r="B4" s="9" t="inlineStr">
        <is>
          <t xml:space="preserve">§1 - Coefficient ladder (BC coeff vs all-gated outside-yards POP)</t>
        </is>
      </c>
      <c r="C4" s="9"/>
    </row>
    <row r="6">
      <c r="B6" s="2" t="inlineStr">
        <is>
          <t xml:space="preserve">Coefficient</t>
        </is>
      </c>
      <c r="C6" s="22" t="inlineStr">
        <is>
          <t xml:space="preserve">Value</t>
        </is>
      </c>
    </row>
    <row r="7" outlineLevel="1">
      <c r="B7" s="1" t="inlineStr">
        <is>
          <t xml:space="preserve">BC supplier coeff (applied, MYP-corrected)</t>
        </is>
      </c>
      <c r="C7" s="12">
        <f>'TAM Build'!C44</f>
      </c>
    </row>
    <row r="8" outlineLevel="1">
      <c r="B8" s="0" t="inlineStr">
        <is>
          <t xml:space="preserve">Outside-yards POP, MYP-corrected</t>
        </is>
      </c>
      <c r="C8" s="12">
        <f>'TAM Build'!C55</f>
      </c>
    </row>
    <row r="9" outlineLevel="1">
      <c r="B9" s="0" t="inlineStr">
        <is>
          <t xml:space="preserve">Outside-yards POP, disclosed (artifact)</t>
        </is>
      </c>
      <c r="C9" s="12">
        <f>'TAM Build'!C54</f>
      </c>
    </row>
    <row r="12">
      <c r="A12" s="0" t="inlineStr">
        <is>
          <t xml:space="preserve">x</t>
        </is>
      </c>
      <c r="B12" s="9" t="inlineStr">
        <is>
          <t xml:space="preserve">§2 - MYP swing</t>
        </is>
      </c>
      <c r="C12" s="9"/>
    </row>
    <row r="14">
      <c r="B14" s="2" t="inlineStr">
        <is>
          <t xml:space="preserve">Measure</t>
        </is>
      </c>
      <c r="C14" s="22" t="inlineStr">
        <is>
          <t xml:space="preserve">Value</t>
        </is>
      </c>
    </row>
    <row r="15" outlineLevel="1">
      <c r="B15" s="1" t="inlineStr">
        <is>
          <t xml:space="preserve">Outside-yards swing (disclosed - corrected)</t>
        </is>
      </c>
      <c r="C15" s="6">
        <f>C9-C8</f>
      </c>
    </row>
    <row r="16" outlineLevel="1">
      <c r="B16" s="0" t="inlineStr">
        <is>
          <t xml:space="preserve">MYP masters $M (reconstructed)</t>
        </is>
      </c>
      <c r="C16" s="11">
        <f>'POP Source Audit'!D20</f>
      </c>
    </row>
    <row r="17" outlineLevel="1">
      <c r="B17" s="0" t="inlineStr">
        <is>
          <t xml:space="preserve">Masters as % of gated corpus $</t>
        </is>
      </c>
      <c r="C17" s="6">
        <f>C16/'POP Source Audit'!D15</f>
      </c>
    </row>
    <row r="20">
      <c r="A20" s="0" t="inlineStr">
        <is>
          <t xml:space="preserve">x</t>
        </is>
      </c>
      <c r="B20" s="9" t="inlineStr">
        <is>
          <t xml:space="preserve">§3 - TAM sensitivity (MYP adjustment effect: corrected vs disclosed-only coeff)</t>
        </is>
      </c>
      <c r="C20" s="9"/>
    </row>
    <row r="22">
      <c r="B22" s="2" t="inlineStr">
        <is>
          <t xml:space="preserve">Measure</t>
        </is>
      </c>
      <c r="C22" s="22" t="inlineStr">
        <is>
          <t xml:space="preserve">$M</t>
        </is>
      </c>
    </row>
    <row r="23" outlineLevel="1">
      <c r="B23" s="1" t="inlineStr">
        <is>
          <t xml:space="preserve">Portfolio TAM (applied, MYP-corrected)</t>
        </is>
      </c>
      <c r="C23" s="11">
        <f>'TAM Build'!I117</f>
      </c>
    </row>
    <row r="24" outlineLevel="1">
      <c r="B24" s="0" t="inlineStr">
        <is>
          <t xml:space="preserve">Portfolio TAM (disclosed-only BC coeff)</t>
        </is>
      </c>
      <c r="C24" s="4">
        <f>C23*('TAM Build'!C48/'TAM Build'!C44)</f>
      </c>
    </row>
    <row r="25" outlineLevel="1">
      <c r="B25" s="1" t="inlineStr">
        <is>
          <t xml:space="preserve">MYP adjustment uplift on TAM</t>
        </is>
      </c>
      <c r="C25" s="4">
        <f>C23-C24</f>
      </c>
    </row>
    <row r="26" outlineLevel="1">
      <c r="B26" s="0" t="inlineStr">
        <is>
          <t xml:space="preserve">Memo: masters' embedded content @ 42% band</t>
        </is>
      </c>
      <c r="C26" s="4">
        <f>'POP Source Audit'!D20*0.42</f>
      </c>
    </row>
    <row r="29">
      <c r="A29" s="0" t="inlineStr">
        <is>
          <t xml:space="preserve">x</t>
        </is>
      </c>
      <c r="B29" s="9" t="inlineStr">
        <is>
          <t xml:space="preserve">§4 - AP/LLTM stream</t>
        </is>
      </c>
      <c r="C29" s="9"/>
    </row>
    <row r="31">
      <c r="B31" s="2" t="inlineStr">
        <is>
          <t xml:space="preserve">Measure</t>
        </is>
      </c>
      <c r="C31" s="22" t="inlineStr">
        <is>
          <t xml:space="preserve">Value</t>
        </is>
      </c>
    </row>
    <row r="32" outlineLevel="1">
      <c r="B32" s="0" t="inlineStr">
        <is>
          <t xml:space="preserve">AP/LLTM supplier coefficient (P-10 EOQ basis)</t>
        </is>
      </c>
      <c r="C32" s="12">
        <f>'Assumptions'!C42</f>
      </c>
    </row>
    <row r="33" outlineLevel="1">
      <c r="B33" s="1" t="inlineStr">
        <is>
          <t xml:space="preserve">AP/LLTM stream TAM ($M)</t>
        </is>
      </c>
      <c r="C33" s="11">
        <f>'TAM Build'!I116</f>
      </c>
    </row>
    <row r="34" outlineLevel="1">
      <c r="B34" s="0" t="inlineStr">
        <is>
          <t xml:space="preserve">Stream TAM at 85% coefficient haircut ($M)</t>
        </is>
      </c>
      <c r="C34" s="4">
        <f>N('TAM Build'!I116)*0.85</f>
      </c>
    </row>
    <row r="35" outlineLevel="1">
      <c r="B35" s="0" t="inlineStr">
        <is>
          <t xml:space="preserve">Stream TAM at 70% coefficient haircut ($M)</t>
        </is>
      </c>
      <c r="C35" s="4">
        <f>N('TAM Build'!I116)*0.70</f>
      </c>
    </row>
    <row r="36" outlineLevel="1">
      <c r="B36" s="0" t="inlineStr">
        <is>
          <t xml:space="preserve">AP/LLTM share of portfolio TAM</t>
        </is>
      </c>
      <c r="C36" s="6">
        <f>N('TAM Build'!I116)/('TAM Build'!I115+N('TAM Build'!I116))</f>
      </c>
    </row>
    <row r="39">
      <c r="A39" s="0" t="inlineStr">
        <is>
          <t xml:space="preserve">x</t>
        </is>
      </c>
      <c r="B39" s="9" t="inlineStr">
        <is>
          <t xml:space="preserve">§5 - VLS launch-control sensitivity (boundary launcher electronics: out vs in)</t>
        </is>
      </c>
      <c r="C39" s="9"/>
    </row>
    <row r="41">
      <c r="B41" s="2" t="inlineStr">
        <is>
          <t xml:space="preserve">Measure</t>
        </is>
      </c>
      <c r="C41" s="22" t="inlineStr">
        <is>
          <t xml:space="preserve">$M</t>
        </is>
      </c>
    </row>
    <row r="42" outlineLevel="1">
      <c r="B42" s="1" t="inlineStr">
        <is>
          <t xml:space="preserve">Physical supplier base (VLS launch-control OUT - base case)</t>
        </is>
      </c>
      <c r="C42" s="4">
        <f>SUMPRODUCT(('Entity Master'!H7:H2164="supplier")*'Entity Master'!G7:G2164)-SUMPRODUCT(('Entity Master'!H7:H2164="supplier")*('Entity Master'!I7:I2164="unbucketed")*'Entity Master'!G7:G2164)</f>
      </c>
    </row>
    <row r="43" outlineLevel="1">
      <c r="B43" s="0" t="inlineStr">
        <is>
          <t xml:space="preserve">+ VLS launch-control (Leonardo DRS Training&amp;Control + Laurel; mission_systems)</t>
        </is>
      </c>
      <c r="C43" s="4">
        <f>SUMPRODUCT(('Entity Master'!L7:L2164=1)*'Entity Master'!G7:G2164)</f>
      </c>
    </row>
    <row r="44" outlineLevel="1">
      <c r="B44" s="1" t="inlineStr">
        <is>
          <t xml:space="preserve">= Physical supplier base (VLS launch-control IN - sensitivity)</t>
        </is>
      </c>
      <c r="C44" s="4">
        <f>C42+C43</f>
      </c>
    </row>
    <row r="45" outlineLevel="1">
      <c r="B45" s="0" t="inlineStr">
        <is>
          <t xml:space="preserve">VLS uplift as % of base</t>
        </is>
      </c>
      <c r="C45" s="6">
        <f>C43/C42</f>
      </c>
    </row>
    <row r="48">
      <c r="A48" s="0" t="inlineStr">
        <is>
          <t xml:space="preserve">x</t>
        </is>
      </c>
      <c r="B48" s="9" t="inlineStr">
        <is>
          <t xml:space="preserve">§6 - OBBBA BC-share sensitivity (Sec. 20002(17) BC/GFE split)</t>
        </is>
      </c>
      <c r="C48" s="9"/>
    </row>
    <row r="50">
      <c r="B50" s="2" t="inlineStr">
        <is>
          <t xml:space="preserve">Measure</t>
        </is>
      </c>
      <c r="C50" s="22" t="inlineStr">
        <is>
          <t xml:space="preserve">Value</t>
        </is>
      </c>
    </row>
    <row r="51" outlineLevel="1">
      <c r="B51" s="0" t="inlineStr">
        <is>
          <t xml:space="preserve">OBBBA gross award FY2026 ($M)</t>
        </is>
      </c>
      <c r="C51" s="11">
        <f>'OBBBA Mandatory'!G23</f>
      </c>
    </row>
    <row r="52" outlineLevel="1">
      <c r="B52" s="0" t="inlineStr">
        <is>
          <t xml:space="preserve">Applied BC share (Assumptions knob)</t>
        </is>
      </c>
      <c r="C52" s="12">
        <f>'Assumptions'!C43</f>
      </c>
    </row>
    <row r="53" outlineLevel="1">
      <c r="B53" s="1" t="inlineStr">
        <is>
          <t xml:space="preserve">OBBBA TAM uplift @ applied share ($M)</t>
        </is>
      </c>
      <c r="C53" s="4">
        <f>N('OBBBA Mandatory'!G29)*N('TAM Build'!C44)</f>
      </c>
    </row>
    <row r="54" outlineLevel="1">
      <c r="B54" s="0" t="inlineStr">
        <is>
          <t xml:space="preserve">OBBBA TAM uplift @ 55% BC share ($M)</t>
        </is>
      </c>
      <c r="C54" s="4">
        <f>C51*0.55*N('TAM Build'!C44)</f>
      </c>
    </row>
    <row r="55" outlineLevel="1">
      <c r="B55" s="0" t="inlineStr">
        <is>
          <t xml:space="preserve">OBBBA TAM uplift @ 70% BC share ($M)</t>
        </is>
      </c>
      <c r="C55" s="4">
        <f>C51*0.70*N('TAM Build'!C44)</f>
      </c>
    </row>
    <row r="56" outlineLevel="1">
      <c r="B56" s="0" t="inlineStr">
        <is>
          <t xml:space="preserve">Uplift band width (70% - 55%) ($M)</t>
        </is>
      </c>
      <c r="C56" s="4">
        <f>C55-C54</f>
      </c>
    </row>
    <row r="57" outlineLevel="1">
      <c r="B57" s="0" t="inlineStr">
        <is>
          <t xml:space="preserve">Uplift as % of portfolio TAM</t>
        </is>
      </c>
      <c r="C57" s="6">
        <f>C53/N('TAM Build'!I117)</f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rgb="FF6E6E6E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24" customWidth="1"/>
    <col min="3" max="3" width="40" customWidth="1"/>
    <col min="4" max="4" width="16" customWidth="1"/>
  </cols>
  <sheetData>
    <row r="1"/>
    <row r="2">
      <c r="B2" s="8" t="inlineStr">
        <is>
          <t xml:space="preserve">Scope Exclusions</t>
        </is>
      </c>
      <c r="C2" s="8"/>
      <c r="D2" s="8"/>
    </row>
    <row r="4">
      <c r="A4" s="0" t="inlineStr">
        <is>
          <t xml:space="preserve">x</t>
        </is>
      </c>
      <c r="B4" s="9" t="inlineStr">
        <is>
          <t xml:space="preserve">§1 - Cleanup summary (after removing 16 contaminant PIIDs)</t>
        </is>
      </c>
      <c r="C4" s="9"/>
      <c r="D4" s="9"/>
    </row>
    <row r="6">
      <c r="B6" s="2" t="inlineStr">
        <is>
          <t xml:space="preserve">Metric</t>
        </is>
      </c>
      <c r="C6" s="22" t="inlineStr">
        <is>
          <t xml:space="preserve">Value</t>
        </is>
      </c>
    </row>
    <row r="7" outlineLevel="1">
      <c r="B7" s="0" t="inlineStr">
        <is>
          <t xml:space="preserve">Records kept (in-scope)</t>
        </is>
      </c>
      <c r="C7" s="0">
        <v>15720</v>
      </c>
    </row>
    <row r="8" outlineLevel="1">
      <c r="B8" s="0" t="inlineStr">
        <is>
          <t xml:space="preserve">Records excluded (out-of-scope PIIDs)</t>
        </is>
      </c>
      <c r="C8" s="0">
        <v>6515</v>
      </c>
    </row>
    <row r="9" outlineLevel="1">
      <c r="B9" s="0" t="inlineStr">
        <is>
          <t xml:space="preserve">Records pre-clean (kept + excluded)</t>
        </is>
      </c>
      <c r="C9" s="0">
        <f>C7+C8</f>
      </c>
    </row>
    <row r="10" outlineLevel="1">
      <c r="B10" s="0" t="inlineStr">
        <is>
          <t xml:space="preserve">In-scope dollars ($M)</t>
        </is>
      </c>
      <c r="C10" s="5">
        <v>11201.9</v>
      </c>
    </row>
    <row r="11" outlineLevel="1">
      <c r="B11" s="0" t="inlineStr">
        <is>
          <t xml:space="preserve">Unique in-scope parent UEIs</t>
        </is>
      </c>
      <c r="C11" s="0">
        <v>1554</v>
      </c>
    </row>
    <row r="14">
      <c r="A14" s="0" t="inlineStr">
        <is>
          <t xml:space="preserve">x</t>
        </is>
      </c>
      <c r="B14" s="9" t="inlineStr">
        <is>
          <t xml:space="preserve">§2 - Excluded PIIDs by class (FPDS obligated $M = size indicator)</t>
        </is>
      </c>
      <c r="C14" s="9"/>
      <c r="D14" s="9"/>
    </row>
    <row r="16">
      <c r="A16" s="0" t="inlineStr">
        <is>
          <t xml:space="preserve">x</t>
        </is>
      </c>
      <c r="B16" s="10" t="inlineStr">
        <is>
          <t xml:space="preserve">§2a - IVECO - Marine Corps Mk110 gun (not DDG) (1)</t>
        </is>
      </c>
      <c r="C16" s="10"/>
      <c r="D16" s="10"/>
    </row>
    <row r="18">
      <c r="B18" s="2" t="inlineStr">
        <is>
          <t xml:space="preserve">PIID</t>
        </is>
      </c>
      <c r="C18" s="2" t="inlineStr">
        <is>
          <t xml:space="preserve">Reason</t>
        </is>
      </c>
      <c r="D18" s="22" t="inlineStr">
        <is>
          <t xml:space="preserve">FPDS obligated $M</t>
        </is>
      </c>
    </row>
    <row r="19" outlineLevel="1">
      <c r="B19" s="0" t="inlineStr">
        <is>
          <t xml:space="preserve">M6785416C0006</t>
        </is>
      </c>
      <c r="C19" s="0" t="inlineStr">
        <is>
          <t xml:space="preserve">MARCORSYSCOM Mk110 gun (IVECO) - Marine Corps, not DDG</t>
        </is>
      </c>
      <c r="D19" s="5">
        <v>1108.35</v>
      </c>
    </row>
    <row r="20">
      <c r="B20" s="16"/>
      <c r="C20" s="3" t="inlineStr">
        <is>
          <t xml:space="preserve">Subtotal - IVECO</t>
        </is>
      </c>
      <c r="D20" s="13">
        <f>SUM(D19:D19)</f>
      </c>
    </row>
    <row r="23">
      <c r="A23" s="0" t="inlineStr">
        <is>
          <t xml:space="preserve">x</t>
        </is>
      </c>
      <c r="B23" s="10" t="inlineStr">
        <is>
          <t xml:space="preserve">§2b - DDG-1000 / Zumwalt - out of class (LI 2119, closed) (6)</t>
        </is>
      </c>
      <c r="C23" s="10"/>
      <c r="D23" s="10"/>
    </row>
    <row r="25">
      <c r="B25" s="2" t="inlineStr">
        <is>
          <t xml:space="preserve">PIID</t>
        </is>
      </c>
      <c r="C25" s="2" t="inlineStr">
        <is>
          <t xml:space="preserve">Reason</t>
        </is>
      </c>
      <c r="D25" s="22" t="inlineStr">
        <is>
          <t xml:space="preserve">FPDS obligated $M</t>
        </is>
      </c>
    </row>
    <row r="26" outlineLevel="1">
      <c r="B26" s="0" t="inlineStr">
        <is>
          <t xml:space="preserve">N0002410C5126</t>
        </is>
      </c>
      <c r="C26" s="0" t="inlineStr">
        <is>
          <t xml:space="preserve">DDG-1002 MSE - DDG-1000 out of class</t>
        </is>
      </c>
      <c r="D26" s="5">
        <v>1341.51</v>
      </c>
    </row>
    <row r="27" outlineLevel="1">
      <c r="B27" s="0" t="inlineStr">
        <is>
          <t xml:space="preserve">N0002413C5212</t>
        </is>
      </c>
      <c r="C27" s="0" t="inlineStr">
        <is>
          <t xml:space="preserve">DDG-1000 opt year 4 - out of class</t>
        </is>
      </c>
      <c r="D27" s="5">
        <v>379.9</v>
      </c>
    </row>
    <row r="28" outlineLevel="1">
      <c r="B28" s="0" t="inlineStr">
        <is>
          <t xml:space="preserve">N0002417C5145</t>
        </is>
      </c>
      <c r="C28" s="0" t="inlineStr">
        <is>
          <t xml:space="preserve">DDG-1000 MSE/TSCE - out of class</t>
        </is>
      </c>
      <c r="D28" s="5">
        <v>793.09</v>
      </c>
    </row>
    <row r="29" outlineLevel="1">
      <c r="B29" s="0" t="inlineStr">
        <is>
          <t xml:space="preserve">N0002422C2300</t>
        </is>
      </c>
      <c r="C29" s="0" t="inlineStr">
        <is>
          <t xml:space="preserve">DDG-1002 Zumwalt CSA - out of class</t>
        </is>
      </c>
      <c r="D29" s="5">
        <v>305.55</v>
      </c>
    </row>
    <row r="30" outlineLevel="1">
      <c r="B30" s="0" t="inlineStr">
        <is>
          <t xml:space="preserve">N0002422C5522</t>
        </is>
      </c>
      <c r="C30" s="0" t="inlineStr">
        <is>
          <t xml:space="preserve">DDG-1000 systems engineering - out of class</t>
        </is>
      </c>
      <c r="D30" s="5">
        <v>621.73</v>
      </c>
    </row>
    <row r="31" outlineLevel="1">
      <c r="B31" s="0" t="inlineStr">
        <is>
          <t xml:space="preserve">N0002423C2324</t>
        </is>
      </c>
      <c r="C31" s="0" t="inlineStr">
        <is>
          <t xml:space="preserve">DDG-1000 Zumwalt BYMP - out of class</t>
        </is>
      </c>
      <c r="D31" s="5">
        <v>344.05</v>
      </c>
    </row>
    <row r="32">
      <c r="B32" s="16"/>
      <c r="C32" s="3" t="inlineStr">
        <is>
          <t xml:space="preserve">Subtotal - DDG-1000 / Zumwalt</t>
        </is>
      </c>
      <c r="D32" s="13">
        <f>SUM(D26:D31)</f>
      </c>
    </row>
    <row r="35">
      <c r="A35" s="0" t="inlineStr">
        <is>
          <t xml:space="preserve">x</t>
        </is>
      </c>
      <c r="B35" s="10" t="inlineStr">
        <is>
          <t xml:space="preserve">§2c - WPN/OPN weapons - ESSM + CIWS, different appropriation (9)</t>
        </is>
      </c>
      <c r="C35" s="10"/>
      <c r="D35" s="10"/>
    </row>
    <row r="37">
      <c r="B37" s="2" t="inlineStr">
        <is>
          <t xml:space="preserve">PIID</t>
        </is>
      </c>
      <c r="C37" s="2" t="inlineStr">
        <is>
          <t xml:space="preserve">Reason</t>
        </is>
      </c>
      <c r="D37" s="22" t="inlineStr">
        <is>
          <t xml:space="preserve">FPDS obligated $M</t>
        </is>
      </c>
    </row>
    <row r="38" outlineLevel="1">
      <c r="B38" s="0" t="inlineStr">
        <is>
          <t xml:space="preserve">N0002415C5420</t>
        </is>
      </c>
      <c r="C38" s="0" t="inlineStr">
        <is>
          <t xml:space="preserve">ESSM Block 2 EMD - WPN/OPN weapon (also the Thales $4.2B artifact PIID)</t>
        </is>
      </c>
      <c r="D38" s="5">
        <v>533.31</v>
      </c>
    </row>
    <row r="39" outlineLevel="1">
      <c r="B39" s="0" t="inlineStr">
        <is>
          <t xml:space="preserve">N0002416C5433</t>
        </is>
      </c>
      <c r="C39" s="0" t="inlineStr">
        <is>
          <t xml:space="preserve">ESSM design agent - WPN/OPN weapon</t>
        </is>
      </c>
      <c r="D39" s="5">
        <v>188.4</v>
      </c>
    </row>
    <row r="40" outlineLevel="1">
      <c r="B40" s="0" t="inlineStr">
        <is>
          <t xml:space="preserve">N0002418C5406</t>
        </is>
      </c>
      <c r="C40" s="0" t="inlineStr">
        <is>
          <t xml:space="preserve">CIWS Mk15 Phalanx U&amp;C - WPN/OPN weapon</t>
        </is>
      </c>
      <c r="D40" s="5">
        <v>261.94</v>
      </c>
    </row>
    <row r="41" outlineLevel="1">
      <c r="B41" s="0" t="inlineStr">
        <is>
          <t xml:space="preserve">N0002421C5408</t>
        </is>
      </c>
      <c r="C41" s="0" t="inlineStr">
        <is>
          <t xml:space="preserve">ESSM Block 2 spares - WPN/OPN weapon</t>
        </is>
      </c>
      <c r="D41" s="5">
        <v>1391.8</v>
      </c>
    </row>
    <row r="42" outlineLevel="1">
      <c r="B42" s="0" t="inlineStr">
        <is>
          <t xml:space="preserve">N0002424C5406</t>
        </is>
      </c>
      <c r="C42" s="0" t="inlineStr">
        <is>
          <t xml:space="preserve">CIWS FY25 production - WPN/OPN weapon</t>
        </is>
      </c>
      <c r="D42" s="5">
        <v>377.34</v>
      </c>
    </row>
    <row r="43" outlineLevel="1">
      <c r="B43" s="0" t="inlineStr">
        <is>
          <t xml:space="preserve">N0002426C5434</t>
        </is>
      </c>
      <c r="C43" s="0" t="inlineStr">
        <is>
          <t xml:space="preserve">ESSM CY26-30 design agent - WPN/OPN weapon</t>
        </is>
      </c>
      <c r="D43" s="5">
        <v>70.5</v>
      </c>
    </row>
    <row r="44" outlineLevel="1">
      <c r="B44" s="0" t="inlineStr">
        <is>
          <t xml:space="preserve">N0010418F0E40</t>
        </is>
      </c>
      <c r="C44" s="0" t="inlineStr">
        <is>
          <t xml:space="preserve">CIWS PBL definitization - WPN/OPN weapon</t>
        </is>
      </c>
      <c r="D44" s="5">
        <v>79.46</v>
      </c>
    </row>
    <row r="45" outlineLevel="1">
      <c r="B45" s="0" t="inlineStr">
        <is>
          <t xml:space="preserve">N0038319F0VP0</t>
        </is>
      </c>
      <c r="C45" s="0" t="inlineStr">
        <is>
          <t xml:space="preserve">CIWS PBL support - WPN/OPN weapon (sustainment)</t>
        </is>
      </c>
      <c r="D45" s="5">
        <v>184.87</v>
      </c>
    </row>
    <row r="46" outlineLevel="1">
      <c r="B46" s="0" t="inlineStr">
        <is>
          <t xml:space="preserve">N0038321F0ZM0</t>
        </is>
      </c>
      <c r="C46" s="0" t="inlineStr">
        <is>
          <t xml:space="preserve">CIWS long-term contract - WPN/OPN weapon</t>
        </is>
      </c>
      <c r="D46" s="5">
        <v>62.6</v>
      </c>
    </row>
    <row r="47">
      <c r="B47" s="16"/>
      <c r="C47" s="3" t="inlineStr">
        <is>
          <t xml:space="preserve">Subtotal - WPN/OPN weapons</t>
        </is>
      </c>
      <c r="D47" s="13">
        <f>SUM(D38:D46)</f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rgb="FF6E6E6E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4" customWidth="1"/>
    <col min="3" max="3" width="12" customWidth="1"/>
    <col min="4" max="4" width="12" customWidth="1"/>
  </cols>
  <sheetData>
    <row r="1"/>
    <row r="2">
      <c r="B2" s="8" t="inlineStr">
        <is>
          <t xml:space="preserve">POP Source Audit</t>
        </is>
      </c>
      <c r="C2" s="8"/>
      <c r="D2" s="8"/>
    </row>
    <row r="4">
      <c r="A4" s="0" t="inlineStr">
        <is>
          <t xml:space="preserve">x</t>
        </is>
      </c>
      <c r="B4" s="9" t="inlineStr">
        <is>
          <t xml:space="preserve">§1 - Confirmation approach (risk-weighted)</t>
        </is>
      </c>
      <c r="C4" s="9"/>
      <c r="D4" s="9"/>
    </row>
    <row r="6" outlineLevel="1">
      <c r="B6" s="0" t="inlineStr">
        <is>
          <t xml:space="preserve">Tier 1 - top-$ actions covering ~90-95% of the weighted pool; all $250M+ / $100M+.</t>
        </is>
      </c>
    </row>
    <row r="7" outlineLevel="1">
      <c r="B7" s="0" t="inlineStr">
        <is>
          <t xml:space="preserve">Tier 2 - the two MYP masters ($ reconstructed from FPDS + trade press; POP as announced); all AP/EOQ.</t>
        </is>
      </c>
    </row>
    <row r="8" outlineLevel="1">
      <c r="B8" s="0" t="inlineStr">
        <is>
          <t xml:space="preserve">Tier 3 - POP not summing ~100% (high unparsed); GFE-suspect; any coefficient-mover.</t>
        </is>
      </c>
    </row>
    <row r="9" outlineLevel="1">
      <c r="B9" s="0" t="inlineStr">
        <is>
          <t xml:space="preserve">Confirmed = gated AND in-scope (non-GFE) AND manual_review_status&lt;&gt;unresolved (default 1).</t>
        </is>
      </c>
    </row>
    <row r="12">
      <c r="A12" s="0" t="inlineStr">
        <is>
          <t xml:space="preserve">x</t>
        </is>
      </c>
      <c r="B12" s="9" t="inlineStr">
        <is>
          <t xml:space="preserve">§2 - Coverage (gated corpus, incl. MYP masters)</t>
        </is>
      </c>
      <c r="C12" s="9"/>
      <c r="D12" s="9"/>
    </row>
    <row r="14">
      <c r="B14" s="2" t="inlineStr">
        <is>
          <t xml:space="preserve">Metric</t>
        </is>
      </c>
      <c r="C14" s="22" t="inlineStr">
        <is>
          <t xml:space="preserve">Actions</t>
        </is>
      </c>
      <c r="D14" s="22" t="inlineStr">
        <is>
          <t xml:space="preserve">$M</t>
        </is>
      </c>
    </row>
    <row r="15" outlineLevel="1">
      <c r="B15" s="1" t="inlineStr">
        <is>
          <t xml:space="preserve">Gated TAM corpus</t>
        </is>
      </c>
      <c r="C15" s="4">
        <f>SUMPRODUCT('POP Corpus'!I7:I160)</f>
      </c>
      <c r="D15" s="4">
        <f>SUMPRODUCT('POP Corpus'!I7:I160*'POP Corpus'!M7:M160)</f>
      </c>
    </row>
    <row r="16" outlineLevel="1">
      <c r="B16" s="20" t="inlineStr">
        <is>
          <t xml:space="preserve">less: GFE / Navy-directed scope</t>
        </is>
      </c>
      <c r="C16" s="4">
        <f>SUMPRODUCT('POP Corpus'!I7:I160*'POP Corpus'!J7:J160)</f>
      </c>
      <c r="D16" s="4">
        <f>SUMPRODUCT('POP Corpus'!I7:I160*'POP Corpus'!J7:J160*'POP Corpus'!M7:M160)</f>
      </c>
    </row>
    <row r="17" outlineLevel="1">
      <c r="B17" s="1" t="inlineStr">
        <is>
          <t xml:space="preserve">In-scope (non-GFE) gated</t>
        </is>
      </c>
      <c r="C17" s="4">
        <f>SUMPRODUCT('POP Corpus'!I7:I160*(1-'POP Corpus'!J7:J160))</f>
      </c>
      <c r="D17" s="4">
        <f>SUMPRODUCT('POP Corpus'!I7:I160*(1-'POP Corpus'!J7:J160)*'POP Corpus'!M7:M160)</f>
      </c>
    </row>
    <row r="18" outlineLevel="1">
      <c r="B18" s="20" t="inlineStr">
        <is>
          <t xml:space="preserve">confirmed</t>
        </is>
      </c>
      <c r="C18" s="4">
        <f>SUMPRODUCT('POP Corpus'!I7:I160*(1-'POP Corpus'!J7:J160)*'POP Corpus'!K7:K160)</f>
      </c>
      <c r="D18" s="4">
        <f>SUMPRODUCT('POP Corpus'!I7:I160*(1-'POP Corpus'!J7:J160)*'POP Corpus'!K7:K160*'POP Corpus'!M7:M160)</f>
      </c>
    </row>
    <row r="19" outlineLevel="1">
      <c r="B19" s="20" t="inlineStr">
        <is>
          <t xml:space="preserve">of which BC stream</t>
        </is>
      </c>
      <c r="C19" s="4">
        <f>SUMPRODUCT('POP Corpus'!I7:I160*(1-'POP Corpus'!J7:J160)*'POP Corpus'!K7:K160*('POP Corpus'!H7:H160="BC"))</f>
      </c>
      <c r="D19" s="4">
        <f>SUMPRODUCT('POP Corpus'!I7:I160*(1-'POP Corpus'!J7:J160)*'POP Corpus'!K7:K160*('POP Corpus'!H7:H160="BC")*'POP Corpus'!M7:M160)</f>
      </c>
    </row>
    <row r="20" outlineLevel="1">
      <c r="B20" s="1" t="inlineStr">
        <is>
          <t xml:space="preserve">MYP masters (reconstructed)</t>
        </is>
      </c>
      <c r="C20" s="4">
        <f>SUMPRODUCT('POP Corpus'!I7:I160*'POP Corpus'!L7:L160)</f>
      </c>
      <c r="D20" s="4">
        <f>SUMPRODUCT('POP Corpus'!I7:I160*'POP Corpus'!L7:L160*'POP Corpus'!M7:M160)</f>
      </c>
    </row>
    <row r="21" outlineLevel="1">
      <c r="B21" s="0" t="inlineStr">
        <is>
          <t xml:space="preserve">Disclosed (excl. masters)</t>
        </is>
      </c>
      <c r="C21" s="4">
        <f>SUMPRODUCT('POP Corpus'!I7:I160*(1-'POP Corpus'!L7:L160))</f>
      </c>
      <c r="D21" s="4">
        <f>SUMPRODUCT('POP Corpus'!I7:I160*(1-'POP Corpus'!L7:L160)*'POP Corpus'!M7:M160)</f>
      </c>
    </row>
    <row r="24">
      <c r="A24" s="0" t="inlineStr">
        <is>
          <t xml:space="preserve">x</t>
        </is>
      </c>
      <c r="B24" s="9" t="inlineStr">
        <is>
          <t xml:space="preserve">§3 - Risk ratios + partition</t>
        </is>
      </c>
      <c r="C24" s="9"/>
      <c r="D24" s="9"/>
    </row>
    <row r="26" outlineLevel="1">
      <c r="B26" s="0" t="inlineStr">
        <is>
          <t xml:space="preserve">Confirmation coverage (% of in-scope $)</t>
        </is>
      </c>
      <c r="C26" s="6">
        <f>IF(C17=0,0,D18/D17)</f>
      </c>
    </row>
    <row r="27" outlineLevel="1">
      <c r="B27" s="0" t="inlineStr">
        <is>
          <t xml:space="preserve">Stream partition OK? (every in-scope action is BC)</t>
        </is>
      </c>
      <c r="C27" s="0">
        <f>IF(C19=C18,"OK","FAIL")</f>
      </c>
    </row>
    <row r="28" outlineLevel="1">
      <c r="B28" s="0" t="inlineStr">
        <is>
          <t xml:space="preserve">MYP masters as % of gated $</t>
        </is>
      </c>
      <c r="C28" s="6">
        <f>IF(D15=0,0,D20/D15)</f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rgb="FF1F3A5F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36" customWidth="1"/>
    <col min="3" max="3" width="10" customWidth="1"/>
    <col min="4" max="4" width="32" customWidth="1"/>
    <col min="5" max="5" width="26" customWidth="1"/>
    <col min="6" max="6" width="14" customWidth="1"/>
  </cols>
  <sheetData>
    <row r="1"/>
    <row r="2">
      <c r="B2" s="8" t="inlineStr">
        <is>
          <t xml:space="preserve">Source Index</t>
        </is>
      </c>
      <c r="C2" s="8"/>
      <c r="D2" s="8"/>
      <c r="E2" s="8"/>
      <c r="F2" s="8"/>
    </row>
    <row r="4">
      <c r="A4" s="0" t="inlineStr">
        <is>
          <t xml:space="preserve">x</t>
        </is>
      </c>
      <c r="B4" s="9" t="inlineStr">
        <is>
          <t xml:space="preserve">§1 - Extracted datasets and their consuming tabs</t>
        </is>
      </c>
      <c r="C4" s="9"/>
      <c r="D4" s="9"/>
      <c r="E4" s="9"/>
      <c r="F4" s="9"/>
    </row>
    <row r="6">
      <c r="B6" s="2" t="inlineStr">
        <is>
          <t xml:space="preserve">Dataset (extracted/)</t>
        </is>
      </c>
      <c r="C6" s="2" t="inlineStr">
        <is>
          <t xml:space="preserve">Rows</t>
        </is>
      </c>
      <c r="D6" s="2" t="inlineStr">
        <is>
          <t xml:space="preserve">Key fields</t>
        </is>
      </c>
      <c r="E6" s="2" t="inlineStr">
        <is>
          <t xml:space="preserve">Consumed by (tab)</t>
        </is>
      </c>
      <c r="F6" s="2" t="inlineStr">
        <is>
          <t xml:space="preserve">Retrieval</t>
        </is>
      </c>
    </row>
    <row r="7" outlineLevel="1">
      <c r="B7" s="0" t="inlineStr">
        <is>
          <t xml:space="preserve">scn_li_cost_categories.csv</t>
        </is>
      </c>
      <c r="C7" s="0" t="inlineStr">
        <is>
          <t xml:space="preserve">9</t>
        </is>
      </c>
      <c r="D7" s="0" t="inlineStr">
        <is>
          <t xml:space="preserve">LI, cost category, FY values</t>
        </is>
      </c>
      <c r="E7" s="0" t="inlineStr">
        <is>
          <t xml:space="preserve">SCN Budget</t>
        </is>
      </c>
      <c r="F7" s="0" t="inlineStr">
        <is>
          <t xml:space="preserve">FY22-27 PB (reconciled)</t>
        </is>
      </c>
    </row>
    <row r="8" outlineLevel="1">
      <c r="B8" s="0" t="inlineStr">
        <is>
          <t xml:space="preserve">scn_li_production_schedule.csv</t>
        </is>
      </c>
      <c r="C8" s="0" t="inlineStr">
        <is>
          <t xml:space="preserve">31</t>
        </is>
      </c>
      <c r="D8" s="0" t="inlineStr">
        <is>
          <t xml:space="preserve">ship, shipbuilder, FY, award/start/delivery</t>
        </is>
      </c>
      <c r="E8" s="0" t="inlineStr">
        <is>
          <t xml:space="preserve">Production Schedule</t>
        </is>
      </c>
      <c r="F8" s="0" t="inlineStr">
        <is>
          <t xml:space="preserve">FY27 PB</t>
        </is>
      </c>
    </row>
    <row r="9" outlineLevel="1">
      <c r="B9" s="0" t="inlineStr">
        <is>
          <t xml:space="preserve">scn_li_resource_summary.csv</t>
        </is>
      </c>
      <c r="C9" s="0" t="inlineStr">
        <is>
          <t xml:space="preserve">21</t>
        </is>
      </c>
      <c r="D9" s="0" t="inlineStr">
        <is>
          <t xml:space="preserve">row label, prior/FY/to-complete/total</t>
        </is>
      </c>
      <c r="E9" s="0" t="inlineStr">
        <is>
          <t xml:space="preserve">AP Bridge / TAM Build / FYDP Outyears / Outlook</t>
        </is>
      </c>
      <c r="F9" s="0" t="inlineStr">
        <is>
          <t xml:space="preserve">FY27 PB</t>
        </is>
      </c>
    </row>
    <row r="10" outlineLevel="1">
      <c r="B10" s="0" t="inlineStr">
        <is>
          <t xml:space="preserve">dod_announcement_pop.csv</t>
        </is>
      </c>
      <c r="C10" s="0" t="inlineStr">
        <is>
          <t xml:space="preserve">860</t>
        </is>
      </c>
      <c r="D10" s="0" t="inlineStr">
        <is>
          <t xml:space="preserve">piid, amount, prime, pop_*_pct, work_type, gate</t>
        </is>
      </c>
      <c r="E10" s="0" t="inlineStr">
        <is>
          <t xml:space="preserve">POP Corpus</t>
        </is>
      </c>
      <c r="F10" s="0" t="inlineStr">
        <is>
          <t xml:space="preserve">CY22-26</t>
        </is>
      </c>
    </row>
    <row r="11" outlineLevel="1">
      <c r="B11" s="0" t="inlineStr">
        <is>
          <t xml:space="preserve">dod_action_pop_by_worktype.csv</t>
        </is>
      </c>
      <c r="C11" s="0" t="inlineStr">
        <is>
          <t xml:space="preserve">36</t>
        </is>
      </c>
      <c r="D11" s="0" t="inlineStr">
        <is>
          <t xml:space="preserve">program, work_type, n, $, pop_*_pct_w</t>
        </is>
      </c>
      <c r="E11" s="0" t="inlineStr">
        <is>
          <t xml:space="preserve">POP Corpus</t>
        </is>
      </c>
      <c r="F11" s="0" t="inlineStr">
        <is>
          <t xml:space="preserve">CY22-26</t>
        </is>
      </c>
    </row>
    <row r="12" outlineLevel="1">
      <c r="B12" s="0" t="inlineStr">
        <is>
          <t xml:space="preserve">nc_records_long.csv</t>
        </is>
      </c>
      <c r="C12" s="0" t="inlineStr">
        <is>
          <t xml:space="preserve">22,867</t>
        </is>
      </c>
      <c r="D12" s="0" t="inlineStr">
        <is>
          <t xml:space="preserve">piid, fy, subAwardAmount, sub_name, description</t>
        </is>
      </c>
      <c r="E12" s="0" t="inlineStr">
        <is>
          <t xml:space="preserve">SAM Build / Entities</t>
        </is>
      </c>
      <c r="F12" s="0" t="inlineStr">
        <is>
          <t xml:space="preserve">FY17-26</t>
        </is>
      </c>
    </row>
    <row r="13" outlineLevel="1">
      <c r="B13" s="0" t="inlineStr">
        <is>
          <t xml:space="preserve">nc_annual_by_piid.csv</t>
        </is>
      </c>
      <c r="C13" s="0" t="inlineStr">
        <is>
          <t xml:space="preserve">16</t>
        </is>
      </c>
      <c r="D13" s="0" t="inlineStr">
        <is>
          <t xml:space="preserve">FY x PIID ($M + count)</t>
        </is>
      </c>
      <c r="E13" s="0" t="inlineStr">
        <is>
          <t xml:space="preserve">SAM Build</t>
        </is>
      </c>
      <c r="F13" s="0" t="inlineStr">
        <is>
          <t xml:space="preserve">FY17-26</t>
        </is>
      </c>
    </row>
    <row r="14" outlineLevel="1">
      <c r="B14" s="0" t="inlineStr">
        <is>
          <t xml:space="preserve">nc_annual_by_vendor.csv</t>
        </is>
      </c>
      <c r="C14" s="0" t="inlineStr">
        <is>
          <t xml:space="preserve">4,323</t>
        </is>
      </c>
      <c r="D14" s="0" t="inlineStr">
        <is>
          <t xml:space="preserve">fy, uei, vendor, amount_M</t>
        </is>
      </c>
      <c r="E14" s="0" t="inlineStr">
        <is>
          <t xml:space="preserve">Vendors</t>
        </is>
      </c>
      <c r="F14" s="0" t="inlineStr">
        <is>
          <t xml:space="preserve">FY17-26</t>
        </is>
      </c>
    </row>
    <row r="15" outlineLevel="1">
      <c r="B15" s="0" t="inlineStr">
        <is>
          <t xml:space="preserve">nc_lifetime_vendors.csv</t>
        </is>
      </c>
      <c r="C15" s="0" t="inlineStr">
        <is>
          <t xml:space="preserve">1,555</t>
        </is>
      </c>
      <c r="D15" s="0" t="inlineStr">
        <is>
          <t xml:space="preserve">rank, uei, vendor, amount_M_lifetime, piids</t>
        </is>
      </c>
      <c r="E15" s="0" t="inlineStr">
        <is>
          <t xml:space="preserve">Vendors / Entities / Locations</t>
        </is>
      </c>
      <c r="F15" s="0" t="inlineStr">
        <is>
          <t xml:space="preserve">2026</t>
        </is>
      </c>
    </row>
    <row r="16" outlineLevel="1">
      <c r="B16" s="0" t="inlineStr">
        <is>
          <t xml:space="preserve">entity_naics_lookup.csv</t>
        </is>
      </c>
      <c r="C16" s="0" t="inlineStr">
        <is>
          <t xml:space="preserve">151</t>
        </is>
      </c>
      <c r="D16" s="0" t="inlineStr">
        <is>
          <t xml:space="preserve">uei, vendor, primary_naics, naics_4digit, country</t>
        </is>
      </c>
      <c r="E16" s="0" t="inlineStr">
        <is>
          <t xml:space="preserve">Entities</t>
        </is>
      </c>
      <c r="F16" s="0" t="inlineStr">
        <is>
          <t xml:space="preserve">2026</t>
        </is>
      </c>
    </row>
    <row r="17" outlineLevel="1">
      <c r="B17" s="0" t="inlineStr">
        <is>
          <t xml:space="preserve">fpds_annual_by_prime.csv</t>
        </is>
      </c>
      <c r="C17" s="0" t="inlineStr">
        <is>
          <t xml:space="preserve">10</t>
        </is>
      </c>
      <c r="D17" s="0" t="inlineStr">
        <is>
          <t xml:space="preserve">FY x vendor-group ($M + piid_count)</t>
        </is>
      </c>
      <c r="E17" s="0" t="inlineStr">
        <is>
          <t xml:space="preserve">FPDS Primes</t>
        </is>
      </c>
      <c r="F17" s="0" t="inlineStr">
        <is>
          <t xml:space="preserve">FY17-26</t>
        </is>
      </c>
    </row>
    <row r="18" outlineLevel="1">
      <c r="B18" s="0" t="inlineStr">
        <is>
          <t xml:space="preserve">fpds_raw_v2/ (BIW, Rolls-Royce JSON)</t>
        </is>
      </c>
      <c r="C18" s="0" t="inlineStr">
        <is>
          <t xml:space="preserve">33,798</t>
        </is>
      </c>
      <c r="D18" s="0" t="inlineStr">
        <is>
          <t xml:space="preserve">obligatedAmount, piid, dates</t>
        </is>
      </c>
      <c r="E18" s="0" t="inlineStr">
        <is>
          <t xml:space="preserve">FPDS Primes / TAM Build</t>
        </is>
      </c>
      <c r="F18" s="0" t="inlineStr">
        <is>
          <t xml:space="preserve">2026</t>
        </is>
      </c>
    </row>
    <row r="19" outlineLevel="1">
      <c r="B19" s="0" t="inlineStr">
        <is>
          <t xml:space="preserve">nc_scope_summary.json + _discovered_piids.csv</t>
        </is>
      </c>
      <c r="C19" s="0" t="inlineStr">
        <is>
          <t xml:space="preserve">397 / 118</t>
        </is>
      </c>
      <c r="D19" s="0" t="inlineStr">
        <is>
          <t xml:space="preserve">piid, group, class, label</t>
        </is>
      </c>
      <c r="E19" s="0" t="inlineStr">
        <is>
          <t xml:space="preserve">Scope Exclusions</t>
        </is>
      </c>
      <c r="F19" s="0" t="inlineStr">
        <is>
          <t xml:space="preserve">2026</t>
        </is>
      </c>
    </row>
    <row r="20" outlineLevel="1">
      <c r="B20" s="0" t="inlineStr">
        <is>
          <t xml:space="preserve">cost_funnel_summary.csv</t>
        </is>
      </c>
      <c r="C20" s="0" t="inlineStr">
        <is>
          <t xml:space="preserve">13 / 106</t>
        </is>
      </c>
      <c r="D20" s="0" t="inlineStr">
        <is>
          <t xml:space="preserve">LI, FY, basic_construction_$M, band</t>
        </is>
      </c>
      <c r="E20" s="0" t="inlineStr">
        <is>
          <t xml:space="preserve">SCN Budget</t>
        </is>
      </c>
      <c r="F20" s="0" t="inlineStr">
        <is>
          <t xml:space="preserve">FY27 PB</t>
        </is>
      </c>
    </row>
    <row r="21" outlineLevel="1">
      <c r="B21" s="0" t="inlineStr">
        <is>
          <t xml:space="preserve">obbba_ddg_mandatory.csv</t>
        </is>
      </c>
      <c r="C21" s="0" t="inlineStr">
        <is>
          <t xml:space="preserve">36</t>
        </is>
      </c>
      <c r="D21" s="0" t="inlineStr">
        <is>
          <t xml:space="preserve">section, line, item, fy2026_$M, included, category</t>
        </is>
      </c>
      <c r="E21" s="0" t="inlineStr">
        <is>
          <t xml:space="preserve">OBBBA Mandatory / TAM Build</t>
        </is>
      </c>
      <c r="F21" s="0" t="inlineStr">
        <is>
          <t xml:space="preserve">Mandatory Funding Allocation Plan a/o 2026-02-18</t>
        </is>
      </c>
    </row>
    <row r="22" outlineLevel="1">
      <c r="B22" s="0" t="inlineStr">
        <is>
          <t xml:space="preserve">sam_subaward_annual_by_prime.csv</t>
        </is>
      </c>
      <c r="C22" s="0" t="inlineStr">
        <is>
          <t xml:space="preserve">16</t>
        </is>
      </c>
      <c r="D22" s="0" t="inlineStr">
        <is>
          <t xml:space="preserve">FY x PIID ($M + count)</t>
        </is>
      </c>
      <c r="E22" s="0" t="inlineStr">
        <is>
          <t xml:space="preserve">SAM Build</t>
        </is>
      </c>
      <c r="F22" s="0" t="inlineStr">
        <is>
          <t xml:space="preserve">FY17-26</t>
        </is>
      </c>
    </row>
    <row r="23" outlineLevel="1">
      <c r="B23" s="0" t="inlineStr">
        <is>
          <t xml:space="preserve">exec_quotes_outsourcing.csv</t>
        </is>
      </c>
      <c r="C23" s="0" t="inlineStr">
        <is>
          <t xml:space="preserve">241</t>
        </is>
      </c>
      <c r="D23" s="0" t="inlineStr">
        <is>
          <t xml:space="preserve">company, fy, speaker, matched_phrase</t>
        </is>
      </c>
      <c r="E23" s="0" t="inlineStr">
        <is>
          <t xml:space="preserve">References</t>
        </is>
      </c>
      <c r="F23" s="0" t="inlineStr">
        <is>
          <t xml:space="preserve">FY19-26</t>
        </is>
      </c>
    </row>
    <row r="24" outlineLevel="1">
      <c r="B24" s="0" t="inlineStr">
        <is>
          <t xml:space="preserve">edgar_research/ (HII, GD filings)</t>
        </is>
      </c>
      <c r="C24" s="0" t="inlineStr">
        <is>
          <t xml:space="preserve">n/a</t>
        </is>
      </c>
      <c r="D24" s="0" t="inlineStr">
        <is>
          <t xml:space="preserve">segment revenue, backlog</t>
        </is>
      </c>
      <c r="E24" s="0" t="inlineStr">
        <is>
          <t xml:space="preserve">References</t>
        </is>
      </c>
      <c r="F24" s="0" t="inlineStr">
        <is>
          <t xml:space="preserve">FY19-25</t>
        </is>
      </c>
    </row>
    <row r="27">
      <c r="A27" s="0" t="inlineStr">
        <is>
          <t xml:space="preserve">x</t>
        </is>
      </c>
      <c r="B27" s="9" t="inlineStr">
        <is>
          <t xml:space="preserve">§2 - Consumers by model area</t>
        </is>
      </c>
      <c r="C27" s="9"/>
      <c r="D27" s="9"/>
      <c r="E27" s="9"/>
      <c r="F27" s="9"/>
    </row>
    <row r="29">
      <c r="B29" s="2" t="inlineStr">
        <is>
          <t xml:space="preserve">Model area</t>
        </is>
      </c>
      <c r="C29" s="2" t="inlineStr">
        <is>
          <t xml:space="preserve">Primary datasets</t>
        </is>
      </c>
      <c r="D29" s="2"/>
      <c r="E29" s="2"/>
      <c r="F29" s="2"/>
    </row>
    <row r="30" outlineLevel="1">
      <c r="B30" s="0" t="inlineStr">
        <is>
          <t xml:space="preserve">Budget</t>
        </is>
      </c>
      <c r="C30" s="0" t="inlineStr">
        <is>
          <t xml:space="preserve">scn_li_cost_categories, scn_li_resource_summary, cost_funnel_summary, obbba_ddg_mandatory</t>
        </is>
      </c>
    </row>
    <row r="31" outlineLevel="1">
      <c r="B31" s="0" t="inlineStr">
        <is>
          <t xml:space="preserve">POP</t>
        </is>
      </c>
      <c r="C31" s="0" t="inlineStr">
        <is>
          <t xml:space="preserve">dod_announcement_pop, dod_action_pop_by_worktype</t>
        </is>
      </c>
    </row>
    <row r="32" outlineLevel="1">
      <c r="B32" s="0" t="inlineStr">
        <is>
          <t xml:space="preserve">Suppliers</t>
        </is>
      </c>
      <c r="C32" s="0" t="inlineStr">
        <is>
          <t xml:space="preserve">entity_naics_lookup, nc_lifetime_vendors, fpds_annual_by_prime, fpds_raw_v2</t>
        </is>
      </c>
    </row>
    <row r="33" outlineLevel="1">
      <c r="B33" s="0" t="inlineStr">
        <is>
          <t xml:space="preserve">SAM</t>
        </is>
      </c>
      <c r="C33" s="0" t="inlineStr">
        <is>
          <t xml:space="preserve">nc_records_long, nc_annual_by_piid, sam_subaward_annual_by_prime</t>
        </is>
      </c>
    </row>
    <row r="34" outlineLevel="1">
      <c r="B34" s="0" t="inlineStr">
        <is>
          <t xml:space="preserve">Validation</t>
        </is>
      </c>
      <c r="C34" s="0" t="inlineStr">
        <is>
          <t xml:space="preserve">nc_scope_summary, _discovered_piids</t>
        </is>
      </c>
    </row>
    <row r="35" outlineLevel="1">
      <c r="B35" s="0" t="inlineStr">
        <is>
          <t xml:space="preserve">References</t>
        </is>
      </c>
      <c r="C35" s="0" t="inlineStr">
        <is>
          <t xml:space="preserve">exec_quotes_outsourcing, edgar_research</t>
        </is>
      </c>
    </row>
  </sheetData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rgb="FF1F3A5F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14" customWidth="1"/>
    <col min="3" max="3" width="36" customWidth="1"/>
    <col min="4" max="4" width="24" customWidth="1"/>
    <col min="5" max="5" width="12" customWidth="1"/>
    <col min="6" max="6" width="26" customWidth="1"/>
    <col min="7" max="7" width="40" customWidth="1"/>
  </cols>
  <sheetData>
    <row r="1"/>
    <row r="2">
      <c r="B2" s="8" t="inlineStr">
        <is>
          <t xml:space="preserve">References</t>
        </is>
      </c>
      <c r="C2" s="8"/>
      <c r="D2" s="8"/>
      <c r="E2" s="8"/>
      <c r="F2" s="8"/>
      <c r="G2" s="8"/>
    </row>
    <row r="4">
      <c r="A4" s="0" t="inlineStr">
        <is>
          <t xml:space="preserve">x</t>
        </is>
      </c>
      <c r="B4" s="9" t="inlineStr">
        <is>
          <t xml:space="preserve">§1 - Primary sources &amp; data pulls</t>
        </is>
      </c>
      <c r="C4" s="9"/>
      <c r="D4" s="9"/>
      <c r="E4" s="9"/>
      <c r="F4" s="9"/>
      <c r="G4" s="9"/>
    </row>
    <row r="6">
      <c r="B6" s="2" t="inlineStr">
        <is>
          <t xml:space="preserve">Source ID</t>
        </is>
      </c>
      <c r="C6" s="2" t="inlineStr">
        <is>
          <t xml:space="preserve">Document / dataset</t>
        </is>
      </c>
      <c r="D6" s="2" t="inlineStr">
        <is>
          <t xml:space="preserve">Type</t>
        </is>
      </c>
      <c r="E6" s="2" t="inlineStr">
        <is>
          <t xml:space="preserve">Date</t>
        </is>
      </c>
      <c r="F6" s="2" t="inlineStr">
        <is>
          <t xml:space="preserve">Location / reference</t>
        </is>
      </c>
      <c r="G6" s="2" t="inlineStr">
        <is>
          <t xml:space="preserve">Context note</t>
        </is>
      </c>
    </row>
    <row r="7" outlineLevel="1">
      <c r="B7" s="0" t="inlineStr">
        <is>
          <t xml:space="preserve">SRC-01</t>
        </is>
      </c>
      <c r="C7" s="0" t="inlineStr">
        <is>
          <t xml:space="preserve">DDG-51 SCN budget justification books FY2022-FY2027</t>
        </is>
      </c>
      <c r="D7" s="0" t="inlineStr">
        <is>
          <t xml:space="preserve">Budget exhibit (P-5c/P-10/P-40)</t>
        </is>
      </c>
      <c r="E7" s="0" t="inlineStr">
        <is>
          <t xml:space="preserve">2021-2026</t>
        </is>
      </c>
      <c r="F7" s="0" t="inlineStr">
        <is>
          <t xml:space="preserve">budget_books/SCN_Book_FY22..27</t>
        </is>
      </c>
      <c r="G7" s="0" t="inlineStr">
        <is>
          <t xml:space="preserve">Basic Construction, AP/EOQ, cost categories for LI 2122. P-5c categories reconciled across all six PB vintages (most-recent settled per FY); pre-FY24 HM&amp;E backfilled.</t>
        </is>
      </c>
    </row>
    <row r="8" outlineLevel="1">
      <c r="B8" s="0" t="inlineStr">
        <is>
          <t xml:space="preserve">SRC-02</t>
        </is>
      </c>
      <c r="C8" s="0" t="inlineStr">
        <is>
          <t xml:space="preserve">SCN cost categories per FY (LI 2122)</t>
        </is>
      </c>
      <c r="D8" s="0" t="inlineStr">
        <is>
          <t xml:space="preserve">Extracted CSV</t>
        </is>
      </c>
      <c r="E8" s="0" t="inlineStr">
        <is>
          <t xml:space="preserve">FY22-27 PB</t>
        </is>
      </c>
      <c r="F8" s="0" t="inlineStr">
        <is>
          <t xml:space="preserve">extracted/scn_li_cost_categories.csv (9)</t>
        </is>
      </c>
      <c r="G8" s="0" t="inlineStr">
        <is>
          <t xml:space="preserve">Total ship -&gt; Basic Construction, multi-vintage reconciled. Feeds TAM Build + slide-05 portfolio funnel.</t>
        </is>
      </c>
    </row>
    <row r="9" outlineLevel="1">
      <c r="B9" s="0" t="inlineStr">
        <is>
          <t xml:space="preserve">SRC-03</t>
        </is>
      </c>
      <c r="C9" s="0" t="inlineStr">
        <is>
          <t xml:space="preserve">SCN production schedule (hull -&gt; yard -&gt; FY)</t>
        </is>
      </c>
      <c r="D9" s="0" t="inlineStr">
        <is>
          <t xml:space="preserve">Extracted CSV</t>
        </is>
      </c>
      <c r="E9" s="0" t="inlineStr">
        <is>
          <t xml:space="preserve">FY27 PB</t>
        </is>
      </c>
      <c r="F9" s="0" t="inlineStr">
        <is>
          <t xml:space="preserve">extracted/scn_li_production_schedule.csv (31)</t>
        </is>
      </c>
      <c r="G9" s="0" t="inlineStr">
        <is>
          <t xml:space="preserve">DDG 126-156 -&gt; BIW or Ingalls. Drives per-yard BC allocation.</t>
        </is>
      </c>
    </row>
    <row r="10" outlineLevel="1">
      <c r="B10" s="0" t="inlineStr">
        <is>
          <t xml:space="preserve">SRC-04</t>
        </is>
      </c>
      <c r="C10" s="0" t="inlineStr">
        <is>
          <t xml:space="preserve">DoD/DoW daily contract announcements + POP</t>
        </is>
      </c>
      <c r="D10" s="0" t="inlineStr">
        <is>
          <t xml:space="preserve">Press releases (&gt;=$7.5M)</t>
        </is>
      </c>
      <c r="E10" s="0" t="inlineStr">
        <is>
          <t xml:space="preserve">CY2022-2026</t>
        </is>
      </c>
      <c r="F10" s="0" t="inlineStr">
        <is>
          <t xml:space="preserve">extracted/dod_announcement_pop.csv (860)</t>
        </is>
      </c>
      <c r="G10" s="0" t="inlineStr">
        <is>
          <t xml:space="preserve">POP % by action; 152 TAM-relevant. MYP master $ redacted here.</t>
        </is>
      </c>
    </row>
    <row r="11" outlineLevel="1">
      <c r="B11" s="0" t="inlineStr">
        <is>
          <t xml:space="preserve">SRC-05</t>
        </is>
      </c>
      <c r="C11" s="0" t="inlineStr">
        <is>
          <t xml:space="preserve">DoD announcement POP rollup by work-type</t>
        </is>
      </c>
      <c r="D11" s="0" t="inlineStr">
        <is>
          <t xml:space="preserve">Extracted CSV</t>
        </is>
      </c>
      <c r="E11" s="0" t="inlineStr">
        <is>
          <t xml:space="preserve">CY2022-2026</t>
        </is>
      </c>
      <c r="F11" s="0" t="inlineStr">
        <is>
          <t xml:space="preserve">extracted/dod_action_pop_by_worktype.csv (36)</t>
        </is>
      </c>
      <c r="G11" s="0" t="inlineStr">
        <is>
          <t xml:space="preserve">Dollar-weighted POP shares by program x work-type.</t>
        </is>
      </c>
    </row>
    <row r="12" outlineLevel="1">
      <c r="B12" s="0" t="inlineStr">
        <is>
          <t xml:space="preserve">SRC-06</t>
        </is>
      </c>
      <c r="C12" s="0" t="inlineStr">
        <is>
          <t xml:space="preserve">FPDS de-capped prime pulls (BIW + Rolls-Royce)</t>
        </is>
      </c>
      <c r="D12" s="0" t="inlineStr">
        <is>
          <t xml:space="preserve">FPDS Atom feed (raw JSON)</t>
        </is>
      </c>
      <c r="E12" s="0" t="inlineStr">
        <is>
          <t xml:space="preserve">2017-2026</t>
        </is>
      </c>
      <c r="F12" s="0" t="inlineStr">
        <is>
          <t xml:space="preserve">fpds_raw_v2/ (BIW 30,236 / RR 3,562)</t>
        </is>
      </c>
      <c r="G12" s="0" t="inlineStr">
        <is>
          <t xml:space="preserve">Recovers vendor slugs past the FPDS cap. Prime-obligation sizing.</t>
        </is>
      </c>
    </row>
    <row r="13" outlineLevel="1">
      <c r="B13" s="0" t="inlineStr">
        <is>
          <t xml:space="preserve">SRC-07</t>
        </is>
      </c>
      <c r="C13" s="0" t="inlineStr">
        <is>
          <t xml:space="preserve">FPDS prime obligations annual by vendor group</t>
        </is>
      </c>
      <c r="D13" s="0" t="inlineStr">
        <is>
          <t xml:space="preserve">Extracted CSV</t>
        </is>
      </c>
      <c r="E13" s="0" t="inlineStr">
        <is>
          <t xml:space="preserve">FY2017-2026</t>
        </is>
      </c>
      <c r="F13" s="0" t="inlineStr">
        <is>
          <t xml:space="preserve">extracted/fpds_annual_by_prime.csv (10)</t>
        </is>
      </c>
      <c r="G13" s="0" t="inlineStr">
        <is>
          <t xml:space="preserve">Two-yard compare; reads fpds_raw/ + fpds_raw_v2/.</t>
        </is>
      </c>
    </row>
    <row r="14" outlineLevel="1">
      <c r="B14" s="0" t="inlineStr">
        <is>
          <t xml:space="preserve">SRC-08</t>
        </is>
      </c>
      <c r="C14" s="0" t="inlineStr">
        <is>
          <t xml:space="preserve">SAM.gov FSRS first-tier subawards (new construction)</t>
        </is>
      </c>
      <c r="D14" s="0" t="inlineStr">
        <is>
          <t xml:space="preserve">Extracted CSV</t>
        </is>
      </c>
      <c r="E14" s="0" t="inlineStr">
        <is>
          <t xml:space="preserve">FY2017-2026</t>
        </is>
      </c>
      <c r="F14" s="0" t="inlineStr">
        <is>
          <t xml:space="preserve">extracted/nc_records_long.csv (22,867)</t>
        </is>
      </c>
      <c r="G14" s="0" t="inlineStr">
        <is>
          <t xml:space="preserve">Canonical subaward source. Signed subaward records + sub_entity_uei for registry-led entity classification.</t>
        </is>
      </c>
    </row>
    <row r="15" outlineLevel="1">
      <c r="B15" s="0" t="inlineStr">
        <is>
          <t xml:space="preserve">SRC-09</t>
        </is>
      </c>
      <c r="C15" s="0" t="inlineStr">
        <is>
          <t xml:space="preserve">Subaward annual by PIID (yard-grouped)</t>
        </is>
      </c>
      <c r="D15" s="0" t="inlineStr">
        <is>
          <t xml:space="preserve">Extracted CSV</t>
        </is>
      </c>
      <c r="E15" s="0" t="inlineStr">
        <is>
          <t xml:space="preserve">FY2017-2026</t>
        </is>
      </c>
      <c r="F15" s="0" t="inlineStr">
        <is>
          <t xml:space="preserve">extracted/nc_annual_by_piid.csv</t>
        </is>
      </c>
      <c r="G15" s="0" t="inlineStr">
        <is>
          <t xml:space="preserve">Per-FY subaward by PIID/yard. FFATA ~15% floor of true flow.</t>
        </is>
      </c>
    </row>
    <row r="16" outlineLevel="1">
      <c r="B16" s="0" t="inlineStr">
        <is>
          <t xml:space="preserve">SRC-10</t>
        </is>
      </c>
      <c r="C16" s="0" t="inlineStr">
        <is>
          <t xml:space="preserve">Cleaned lifetime vendors + NAICS enrichment</t>
        </is>
      </c>
      <c r="D16" s="0" t="inlineStr">
        <is>
          <t xml:space="preserve">Extracted CSV</t>
        </is>
      </c>
      <c r="E16" s="0" t="inlineStr">
        <is>
          <t xml:space="preserve">2026</t>
        </is>
      </c>
      <c r="F16" s="0" t="inlineStr">
        <is>
          <t xml:space="preserve">nc_lifetime_vendors.csv (1,555) / entity_naics_lookup.csv (151)</t>
        </is>
      </c>
      <c r="G16" s="0" t="inlineStr">
        <is>
          <t xml:space="preserve">Vendor concentration + sector. ~35% NAICS lookup-fail.</t>
        </is>
      </c>
    </row>
    <row r="17" outlineLevel="1">
      <c r="B17" s="0" t="inlineStr">
        <is>
          <t xml:space="preserve">SRC-11</t>
        </is>
      </c>
      <c r="C17" s="0" t="inlineStr">
        <is>
          <t xml:space="preserve">In-scope PIID set + discovered PIIDs</t>
        </is>
      </c>
      <c r="D17" s="0" t="inlineStr">
        <is>
          <t xml:space="preserve">JSON / CSV</t>
        </is>
      </c>
      <c r="E17" s="0" t="inlineStr">
        <is>
          <t xml:space="preserve">2026</t>
        </is>
      </c>
      <c r="F17" s="0" t="inlineStr">
        <is>
          <t xml:space="preserve">nc_scope_summary.json / _discovered_piids.csv (118)</t>
        </is>
      </c>
      <c r="G17" s="0" t="inlineStr">
        <is>
          <t xml:space="preserve">Scope arbiter. IVECO, DDG-1000, WPN/OPN, Thales ESSM removed.</t>
        </is>
      </c>
    </row>
    <row r="18" outlineLevel="1">
      <c r="B18" s="0" t="inlineStr">
        <is>
          <t xml:space="preserve">SRC-12</t>
        </is>
      </c>
      <c r="C18" s="0" t="inlineStr">
        <is>
          <t xml:space="preserve">Cost-funnel decomposition (BC base)</t>
        </is>
      </c>
      <c r="D18" s="0" t="inlineStr">
        <is>
          <t xml:space="preserve">Extracted CSV</t>
        </is>
      </c>
      <c r="E18" s="0" t="inlineStr">
        <is>
          <t xml:space="preserve">FY27 PB</t>
        </is>
      </c>
      <c r="F18" s="0" t="inlineStr">
        <is>
          <t xml:space="preserve">extracted/cost_funnel_summary.csv (13)</t>
        </is>
      </c>
      <c r="G18" s="0" t="inlineStr">
        <is>
          <t xml:space="preserve">Total ship cost -&gt; Basic Construction base. Yard-side band archived.</t>
        </is>
      </c>
    </row>
    <row r="19" outlineLevel="1">
      <c r="B19" s="0" t="inlineStr">
        <is>
          <t xml:space="preserve">SRC-13</t>
        </is>
      </c>
      <c r="C19" s="0" t="inlineStr">
        <is>
          <t xml:space="preserve">HII Ingalls segment + GD Marine Systems financials</t>
        </is>
      </c>
      <c r="D19" s="0" t="inlineStr">
        <is>
          <t xml:space="preserve">SEC EDGAR (10-K/10-Q)</t>
        </is>
      </c>
      <c r="E19" s="0" t="inlineStr">
        <is>
          <t xml:space="preserve">FY2019-2025</t>
        </is>
      </c>
      <c r="F19" s="0" t="inlineStr">
        <is>
          <t xml:space="preserve">edgar_research/</t>
        </is>
      </c>
      <c r="G19" s="0" t="inlineStr">
        <is>
          <t xml:space="preserve">Segment-revenue triangulation of the hidden yard-side (archived).</t>
        </is>
      </c>
    </row>
    <row r="20" outlineLevel="1">
      <c r="B20" s="0" t="inlineStr">
        <is>
          <t xml:space="preserve">SRC-14</t>
        </is>
      </c>
      <c r="C20" s="0" t="inlineStr">
        <is>
          <t xml:space="preserve">Executive earnings-call commentary on outsourcing</t>
        </is>
      </c>
      <c r="D20" s="0" t="inlineStr">
        <is>
          <t xml:space="preserve">Extracted CSV</t>
        </is>
      </c>
      <c r="E20" s="0" t="inlineStr">
        <is>
          <t xml:space="preserve">FY2019-2026</t>
        </is>
      </c>
      <c r="F20" s="0" t="inlineStr">
        <is>
          <t xml:space="preserve">extracted/exec_quotes_outsourcing.csv (241)</t>
        </is>
      </c>
      <c r="G20" s="0" t="inlineStr">
        <is>
          <t xml:space="preserve">Direction-of-travel signal (HII/GD/LM/RTX). Not dollar sizing.</t>
        </is>
      </c>
    </row>
    <row r="21" outlineLevel="1">
      <c r="B21" s="0" t="inlineStr">
        <is>
          <t xml:space="preserve">SRC-15</t>
        </is>
      </c>
      <c r="C21" s="0" t="inlineStr">
        <is>
          <t xml:space="preserve">FY 2026 Mandatory Funding Allocation Plan (OBBBA)</t>
        </is>
      </c>
      <c r="D21" s="0" t="inlineStr">
        <is>
          <t xml:space="preserve">DoD allocation plan (narrative)</t>
        </is>
      </c>
      <c r="E21" s="0" t="inlineStr">
        <is>
          <t xml:space="preserve">a/o 2026-02-18</t>
        </is>
      </c>
      <c r="F21" s="0" t="inlineStr">
        <is>
          <t xml:space="preserve">extracted/obbba_ddg_mandatory.csv (36)</t>
        </is>
      </c>
      <c r="G21" s="0" t="inlineStr">
        <is>
          <t xml:space="preserve">Sec. 20002(17): $5,400.0M FY2026, two DDG-51 (BC + GFE, current MYP, award Q2 FY2026). All Sec. 20002 lines transcribed; only line 17 enters the model.</t>
        </is>
      </c>
    </row>
    <row r="24">
      <c r="A24" s="0" t="inlineStr">
        <is>
          <t xml:space="preserve">x</t>
        </is>
      </c>
      <c r="B24" s="9" t="inlineStr">
        <is>
          <t xml:space="preserve">§2 - Policy &amp; industry citations</t>
        </is>
      </c>
      <c r="C24" s="9"/>
      <c r="D24" s="9"/>
      <c r="E24" s="9"/>
      <c r="F24" s="9"/>
      <c r="G24" s="9"/>
    </row>
    <row r="26">
      <c r="B26" s="2" t="inlineStr">
        <is>
          <t xml:space="preserve">Source ID</t>
        </is>
      </c>
      <c r="C26" s="2" t="inlineStr">
        <is>
          <t xml:space="preserve">Document / dataset</t>
        </is>
      </c>
      <c r="D26" s="2" t="inlineStr">
        <is>
          <t xml:space="preserve">Type</t>
        </is>
      </c>
      <c r="E26" s="2" t="inlineStr">
        <is>
          <t xml:space="preserve">Date</t>
        </is>
      </c>
      <c r="F26" s="2" t="inlineStr">
        <is>
          <t xml:space="preserve">Location / reference</t>
        </is>
      </c>
      <c r="G26" s="2" t="inlineStr">
        <is>
          <t xml:space="preserve">Context note</t>
        </is>
      </c>
    </row>
    <row r="27" outlineLevel="1">
      <c r="B27" s="0" t="inlineStr">
        <is>
          <t xml:space="preserve">CITE-01</t>
        </is>
      </c>
      <c r="C27" s="0" t="inlineStr">
        <is>
          <t xml:space="preserve">MYP master totals - BIW 2305 (~$6.40B), Ingalls 2307 (~$8.18B)</t>
        </is>
      </c>
      <c r="D27" s="0" t="inlineStr">
        <is>
          <t xml:space="preserve">Trade press (USNI / Defense Daily)</t>
        </is>
      </c>
      <c r="E27" s="0" t="inlineStr">
        <is>
          <t xml:space="preserve">2023</t>
        </is>
      </c>
      <c r="F27" s="0" t="inlineStr">
        <is>
          <t xml:space="preserve">USNI/Defense Daily + FPDS</t>
        </is>
      </c>
      <c r="G27" s="0" t="inlineStr">
        <is>
          <t xml:space="preserve">Reconstructs the ~$14.58B redacted master dollars; POP as announced. Outside-yards 87% -&gt; ~42%.</t>
        </is>
      </c>
    </row>
    <row r="28" outlineLevel="1">
      <c r="B28" s="0" t="inlineStr">
        <is>
          <t xml:space="preserve">CITE-02</t>
        </is>
      </c>
      <c r="C28" s="0" t="inlineStr">
        <is>
          <t xml:space="preserve">Navy DDG-51 Arleigh Burke-class destroyer program</t>
        </is>
      </c>
      <c r="D28" s="0" t="inlineStr">
        <is>
          <t xml:space="preserve">CRS report (RL32109)</t>
        </is>
      </c>
      <c r="E28" s="0" t="inlineStr">
        <is>
          <t xml:space="preserve">latest</t>
        </is>
      </c>
      <c r="F28" s="0" t="inlineStr">
        <is>
          <t xml:space="preserve">crsreports.congress.gov</t>
        </is>
      </c>
      <c r="G28" s="0" t="inlineStr">
        <is>
          <t xml:space="preserve">Program scope, multi-year procurement, two-yard structure.</t>
        </is>
      </c>
    </row>
    <row r="29" outlineLevel="1">
      <c r="B29" s="0" t="inlineStr">
        <is>
          <t xml:space="preserve">CITE-03</t>
        </is>
      </c>
      <c r="C29" s="0" t="inlineStr">
        <is>
          <t xml:space="preserve">GAO shipbuilding / Navy industrial-base assessments</t>
        </is>
      </c>
      <c r="D29" s="0" t="inlineStr">
        <is>
          <t xml:space="preserve">GAO reports</t>
        </is>
      </c>
      <c r="E29" s="0" t="inlineStr">
        <is>
          <t xml:space="preserve">latest</t>
        </is>
      </c>
      <c r="F29" s="0" t="inlineStr">
        <is>
          <t xml:space="preserve">gao.gov</t>
        </is>
      </c>
      <c r="G29" s="0" t="inlineStr">
        <is>
          <t xml:space="preserve">Cost/schedule + supplier-base anchors.</t>
        </is>
      </c>
    </row>
    <row r="30" outlineLevel="1">
      <c r="B30" s="0" t="inlineStr">
        <is>
          <t xml:space="preserve">CITE-04</t>
        </is>
      </c>
      <c r="C30" s="0" t="inlineStr">
        <is>
          <t xml:space="preserve">Navy 30-Year Shipbuilding Plan</t>
        </is>
      </c>
      <c r="D30" s="0" t="inlineStr">
        <is>
          <t xml:space="preserve">Navy report</t>
        </is>
      </c>
      <c r="E30" s="0" t="inlineStr">
        <is>
          <t xml:space="preserve">latest</t>
        </is>
      </c>
      <c r="F30" s="0" t="inlineStr">
        <is>
          <t xml:space="preserve">budget_books/30_Year_Shipbuilding_Plan</t>
        </is>
      </c>
      <c r="G30" s="0" t="inlineStr">
        <is>
          <t xml:space="preserve">Build-rate / distributed-shipbuilding direction.</t>
        </is>
      </c>
    </row>
    <row r="31" outlineLevel="1">
      <c r="B31" s="0" t="inlineStr">
        <is>
          <t xml:space="preserve">CITE-05</t>
        </is>
      </c>
      <c r="C31" s="0" t="inlineStr">
        <is>
          <t xml:space="preserve">Methodology + model spec (internal)</t>
        </is>
      </c>
      <c r="D31" s="0" t="inlineStr">
        <is>
          <t xml:space="preserve">Internal doc</t>
        </is>
      </c>
      <c r="E31" s="0" t="inlineStr">
        <is>
          <t xml:space="preserve">2026-05-28</t>
        </is>
      </c>
      <c r="F31" s="0" t="inlineStr">
        <is>
          <t xml:space="preserve">METHODOLOGY.md / WORKBOOK_SPEC.md</t>
        </is>
      </c>
      <c r="G31" s="0" t="inlineStr">
        <is>
          <t xml:space="preserve">Four-denominator framing, MYP guardrail, scope-exclusion list.</t>
        </is>
      </c>
    </row>
    <row r="32" outlineLevel="1">
      <c r="B32" s="0" t="inlineStr">
        <is>
          <t xml:space="preserve">CITE-06</t>
        </is>
      </c>
      <c r="C32" s="0" t="inlineStr">
        <is>
          <t xml:space="preserve">PL 119-21 Title II (One Big Beautiful Bill Act), Sec. 20002</t>
        </is>
      </c>
      <c r="D32" s="0" t="inlineStr">
        <is>
          <t xml:space="preserve">Public law</t>
        </is>
      </c>
      <c r="E32" s="0" t="inlineStr">
        <is>
          <t xml:space="preserve">2025-07-04</t>
        </is>
      </c>
      <c r="F32" s="0" t="inlineStr">
        <is>
          <t xml:space="preserve">congress.gov / PL 119-21</t>
        </is>
      </c>
      <c r="G32" s="0" t="inlineStr">
        <is>
          <t xml:space="preserve">Mandatory (reconciliation) shipbuilding appropriation; obligation availability through 2029-09-30.</t>
        </is>
      </c>
    </row>
    <row r="33" outlineLevel="1">
      <c r="B33" s="0" t="inlineStr">
        <is>
          <t xml:space="preserve">CITE-07</t>
        </is>
      </c>
      <c r="C33" s="0" t="inlineStr">
        <is>
          <t xml:space="preserve">OSD National Defense Budget Estimates FY2025 (Green Book), Tables 5-3/5-4</t>
        </is>
      </c>
      <c r="D33" s="0" t="inlineStr">
        <is>
          <t xml:space="preserve">OSD Comptroller</t>
        </is>
      </c>
      <c r="E33" s="0" t="inlineStr">
        <is>
          <t xml:space="preserve">FY2025 ed.</t>
        </is>
      </c>
      <c r="F33" s="0" t="inlineStr">
        <is>
          <t xml:space="preserve">fy25_Green_Book.pdf pp. 57-59</t>
        </is>
      </c>
      <c r="G33" s="0" t="inlineStr">
        <is>
          <t xml:space="preserve">Procurement TOA deflators through FY2029 (rebased to FY2026); FY2030-FY2031 extrapolated at 2.1%/yr (Table 5-3 steady-state purchases inflation).</t>
        </is>
      </c>
    </row>
    <row r="34" outlineLevel="1">
      <c r="B34" s="0" t="inlineStr">
        <is>
          <t xml:space="preserve">CITE-08</t>
        </is>
      </c>
      <c r="C34" s="0" t="inlineStr">
        <is>
          <t xml:space="preserve">PB2027 P-40 FYDP outyears (FY2028-FY2031), LI 2122</t>
        </is>
      </c>
      <c r="D34" s="0" t="inlineStr">
        <is>
          <t xml:space="preserve">SCN justification book (P-40)</t>
        </is>
      </c>
      <c r="E34" s="0" t="inlineStr">
        <is>
          <t xml:space="preserve">April 2026</t>
        </is>
      </c>
      <c r="F34" s="0" t="inlineStr">
        <is>
          <t xml:space="preserve">budget_books/SCN_Book_FY27</t>
        </is>
      </c>
      <c r="G34" s="0" t="inlineStr">
        <is>
          <t xml:space="preserve">Gross/Weapon System Cost request basis for the Outlook outyear projection; request, not appropriation - refresh at PB2028.</t>
        </is>
      </c>
    </row>
    <row r="35" outlineLevel="1">
      <c r="B35" s="0" t="inlineStr">
        <is>
          <t xml:space="preserve">CITE-09</t>
        </is>
      </c>
      <c r="C35" s="0" t="inlineStr">
        <is>
          <t xml:space="preserve">Exhibit P-10 Advance Procurement Requirements Analysis, LI 2122</t>
        </is>
      </c>
      <c r="D35" s="0" t="inlineStr">
        <is>
          <t xml:space="preserve">SCN justification book (P-10)</t>
        </is>
      </c>
      <c r="E35" s="0" t="inlineStr">
        <is>
          <t xml:space="preserve">April 2026</t>
        </is>
      </c>
      <c r="F35" s="0" t="inlineStr">
        <is>
          <t xml:space="preserve">budget_books/SCN_Book_FY27 (Vol 1 p.243); FY25 split also PB2026 (p.235)</t>
        </is>
      </c>
      <c r="G35" s="0" t="inlineStr">
        <is>
          <t xml:space="preserve">AP/LLTM stream basis: FY26 $1,750.0M = Ship Construction EOQ $1,000.0M + congressional adds $450.0M shipyard infrastructure + $300.0M wage enhancements (excluded); FY25 $83.224M = EOQ $41.5M + NMT terminal GFE (excluded).</t>
        </is>
      </c>
    </row>
    <row r="36" outlineLevel="1">
      <c r="B36" s="0" t="inlineStr">
        <is>
          <t xml:space="preserve">CITE-10</t>
        </is>
      </c>
      <c r="C36" s="0" t="inlineStr">
        <is>
          <t xml:space="preserve">FY18-22 MYP master awards - BIW 18-2305 ($3,904.7M), Ingalls 18-2307 ($5,104.7M)</t>
        </is>
      </c>
      <c r="D36" s="0" t="inlineStr">
        <is>
          <t xml:space="preserve">DoD announcement (2018-09-27)</t>
        </is>
      </c>
      <c r="E36" s="0" t="inlineStr">
        <is>
          <t xml:space="preserve">2018-09-27</t>
        </is>
      </c>
      <c r="F36" s="0" t="inlineStr">
        <is>
          <t xml:space="preserve">defense.gov article 1647166 (Wayback 20180928083950); research_primary_sources/dod_announcement_pop/2018-09-27_dod-contracts_1647166.txt</t>
        </is>
      </c>
      <c r="G36" s="0" t="inlineStr">
        <is>
          <t xml:space="preserve">Announced $ and POP: BIW 61% Bath / 39% outside; Ingalls 91% Pascagoula / 9% outside. Basis for the FY2022-vintage BC coefficient (22.0%); predates the POP-corpus window, so not a corpus row.</t>
        </is>
      </c>
    </row>
  </sheetData>
  <tableParts count="2">
    <tablePart r:id="rId1"/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rgb="FF404040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</cols>
  <sheetData>
    <row r="1"/>
    <row r="2">
      <c r="B2" s="8" t="inlineStr">
        <is>
          <t xml:space="preserve">z_ChartData</t>
        </is>
      </c>
      <c r="C2" s="8"/>
      <c r="D2" s="8"/>
      <c r="E2" s="8"/>
      <c r="F2" s="8"/>
      <c r="G2" s="8"/>
      <c r="H2" s="8"/>
      <c r="I2" s="8"/>
      <c r="J2" s="8"/>
      <c r="K2" s="8"/>
      <c r="L2" s="8"/>
    </row>
    <row r="4">
      <c r="A4" s="0" t="inlineStr">
        <is>
          <t xml:space="preserve">x</t>
        </is>
      </c>
      <c r="B4" s="9" t="inlineStr">
        <is>
          <t xml:space="preserve">§1 - Cost funnel (waterfall)</t>
        </is>
      </c>
      <c r="C4" s="9"/>
      <c r="D4" s="9"/>
      <c r="E4" s="9"/>
      <c r="F4" s="9"/>
      <c r="G4" s="9"/>
      <c r="H4" s="9"/>
      <c r="I4" s="9"/>
      <c r="J4" s="9"/>
      <c r="K4" s="9"/>
      <c r="L4" s="9"/>
    </row>
    <row r="6" outlineLevel="1">
      <c r="B6" s="23"/>
      <c r="C6" s="24" t="inlineStr">
        <is>
          <t xml:space="preserve">Total ship</t>
        </is>
      </c>
      <c r="D6" s="24" t="inlineStr">
        <is>
          <t xml:space="preserve">Less GFE</t>
        </is>
      </c>
      <c r="E6" s="24" t="inlineStr">
        <is>
          <t xml:space="preserve">Less other</t>
        </is>
      </c>
      <c r="F6" s="25" t="inlineStr">
        <is>
          <t xml:space="preserve">Basic Construction</t>
        </is>
      </c>
    </row>
    <row r="7" outlineLevel="1">
      <c r="B7" s="27"/>
      <c r="C7" s="29">
        <f>'SCN Budget'!C43</f>
      </c>
      <c r="D7" s="29">
        <f>-'SCN Budget'!C44</f>
      </c>
      <c r="E7" s="29">
        <f>-'SCN Budget'!C45</f>
      </c>
      <c r="F7" s="30" t="inlineStr">
        <is>
          <t xml:space="preserve">e</t>
        </is>
      </c>
    </row>
    <row r="10">
      <c r="A10" s="0" t="inlineStr">
        <is>
          <t xml:space="preserve">x</t>
        </is>
      </c>
      <c r="B10" s="9" t="inlineStr">
        <is>
          <t xml:space="preserve">§2 - MYP POP distribution (stacked column)</t>
        </is>
      </c>
      <c r="C10" s="9"/>
      <c r="D10" s="9"/>
      <c r="E10" s="9"/>
      <c r="F10" s="9"/>
      <c r="G10" s="9"/>
      <c r="H10" s="9"/>
      <c r="I10" s="9"/>
      <c r="J10" s="9"/>
      <c r="K10" s="9"/>
      <c r="L10" s="9"/>
    </row>
    <row r="12" outlineLevel="1">
      <c r="B12" s="23"/>
      <c r="C12" s="25" t="inlineStr">
        <is>
          <t xml:space="preserve">POP share</t>
        </is>
      </c>
    </row>
    <row r="13" outlineLevel="1">
      <c r="B13" s="26" t="inlineStr">
        <is>
          <t xml:space="preserve">BIW site</t>
        </is>
      </c>
      <c r="C13" s="41">
        <f>'TAM Build'!C62</f>
      </c>
    </row>
    <row r="14" outlineLevel="1">
      <c r="B14" s="26" t="inlineStr">
        <is>
          <t xml:space="preserve">Ingalls site</t>
        </is>
      </c>
      <c r="C14" s="41">
        <f>'TAM Build'!C63</f>
      </c>
    </row>
    <row r="15" outlineLevel="1">
      <c r="B15" s="26" t="inlineStr">
        <is>
          <t xml:space="preserve">Other-US supplier</t>
        </is>
      </c>
      <c r="C15" s="41">
        <f>'TAM Build'!C64</f>
      </c>
    </row>
    <row r="16" outlineLevel="1">
      <c r="B16" s="26" t="inlineStr">
        <is>
          <t xml:space="preserve">Foreign</t>
        </is>
      </c>
      <c r="C16" s="41">
        <f>'TAM Build'!C65</f>
      </c>
    </row>
    <row r="17" outlineLevel="1">
      <c r="B17" s="27" t="inlineStr">
        <is>
          <t xml:space="preserve">Unparsed</t>
        </is>
      </c>
      <c r="C17" s="40">
        <f>'TAM Build'!C66</f>
      </c>
    </row>
    <row r="20">
      <c r="A20" s="0" t="inlineStr">
        <is>
          <t xml:space="preserve">x</t>
        </is>
      </c>
      <c r="B20" s="9" t="inlineStr">
        <is>
          <t xml:space="preserve">§3 - MYP outside-yards split (stacked column)</t>
        </is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2" outlineLevel="1">
      <c r="B22" s="23"/>
      <c r="C22" s="24" t="inlineStr">
        <is>
          <t xml:space="preserve">MYP-corrected</t>
        </is>
      </c>
      <c r="D22" s="25" t="inlineStr">
        <is>
          <t xml:space="preserve">Disclosed artifact</t>
        </is>
      </c>
    </row>
    <row r="23" outlineLevel="1">
      <c r="B23" s="27" t="inlineStr">
        <is>
          <t xml:space="preserve">Outside-yards share</t>
        </is>
      </c>
      <c r="C23" s="39">
        <f>'TAM Build'!C55</f>
      </c>
      <c r="D23" s="40">
        <f>'TAM Build'!C54</f>
      </c>
    </row>
    <row r="26">
      <c r="A26" s="0" t="inlineStr">
        <is>
          <t xml:space="preserve">x</t>
        </is>
      </c>
      <c r="B26" s="9" t="inlineStr">
        <is>
          <t xml:space="preserve">§4 - Annual TAM build (waterfall)</t>
        </is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8" outlineLevel="1">
      <c r="B28" s="23"/>
      <c r="C28" s="24" t="inlineStr">
        <is>
          <t xml:space="preserve">BC base</t>
        </is>
      </c>
      <c r="D28" s="24" t="inlineStr">
        <is>
          <t xml:space="preserve">Less non-supplier</t>
        </is>
      </c>
      <c r="E28" s="24" t="inlineStr">
        <is>
          <t xml:space="preserve">BC stream</t>
        </is>
      </c>
      <c r="F28" s="24" t="inlineStr">
        <is>
          <t xml:space="preserve">AP/LLTM</t>
        </is>
      </c>
      <c r="G28" s="25" t="inlineStr">
        <is>
          <t xml:space="preserve">Portfolio TAM</t>
        </is>
      </c>
    </row>
    <row r="29" outlineLevel="1">
      <c r="B29" s="27"/>
      <c r="C29" s="29">
        <f>'TAM Build'!C145/'TAM Build'!C136</f>
      </c>
      <c r="D29" s="29">
        <f>-'TAM Build'!C146/'TAM Build'!C136</f>
      </c>
      <c r="E29" s="29" t="inlineStr">
        <is>
          <t xml:space="preserve">e</t>
        </is>
      </c>
      <c r="F29" s="29">
        <f>'TAM Build'!I116/'TAM Build'!C136</f>
      </c>
      <c r="G29" s="30" t="inlineStr">
        <is>
          <t xml:space="preserve">e</t>
        </is>
      </c>
    </row>
    <row r="32">
      <c r="A32" s="0" t="inlineStr">
        <is>
          <t xml:space="preserve">x</t>
        </is>
      </c>
      <c r="B32" s="9" t="inlineStr">
        <is>
          <t xml:space="preserve">§5 - TAM by fiscal year (stacked column)</t>
        </is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4" outlineLevel="1">
      <c r="B34" s="23"/>
      <c r="C34" s="24" t="inlineStr">
        <is>
          <t xml:space="preserve">FY22</t>
        </is>
      </c>
      <c r="D34" s="24" t="inlineStr">
        <is>
          <t xml:space="preserve">FY23</t>
        </is>
      </c>
      <c r="E34" s="24" t="inlineStr">
        <is>
          <t xml:space="preserve">FY24</t>
        </is>
      </c>
      <c r="F34" s="24" t="inlineStr">
        <is>
          <t xml:space="preserve">FY25</t>
        </is>
      </c>
      <c r="G34" s="24" t="inlineStr">
        <is>
          <t xml:space="preserve">FY26</t>
        </is>
      </c>
      <c r="H34" s="25" t="inlineStr">
        <is>
          <t xml:space="preserve">FY27</t>
        </is>
      </c>
    </row>
    <row r="35" outlineLevel="1">
      <c r="B35" s="26" t="inlineStr">
        <is>
          <t xml:space="preserve">BC stream</t>
        </is>
      </c>
      <c r="C35" s="32">
        <f>'TAM Build'!C115</f>
      </c>
      <c r="D35" s="32">
        <f>'TAM Build'!D115</f>
      </c>
      <c r="E35" s="32">
        <f>'TAM Build'!E115</f>
      </c>
      <c r="F35" s="32">
        <f>'TAM Build'!F115</f>
      </c>
      <c r="G35" s="32">
        <f>'TAM Build'!G115</f>
      </c>
      <c r="H35" s="31">
        <f>'TAM Build'!H115</f>
      </c>
    </row>
    <row r="36" outlineLevel="1">
      <c r="B36" s="27" t="inlineStr">
        <is>
          <t xml:space="preserve">AP/LLTM stream</t>
        </is>
      </c>
      <c r="C36" s="29">
        <f>'TAM Build'!C116</f>
      </c>
      <c r="D36" s="29">
        <f>'TAM Build'!D116</f>
      </c>
      <c r="E36" s="29">
        <f>'TAM Build'!E116</f>
      </c>
      <c r="F36" s="29">
        <f>'TAM Build'!F116</f>
      </c>
      <c r="G36" s="29">
        <f>'TAM Build'!G116</f>
      </c>
      <c r="H36" s="30">
        <f>'TAM Build'!H116</f>
      </c>
    </row>
    <row r="39">
      <c r="A39" s="0" t="inlineStr">
        <is>
          <t xml:space="preserve">x</t>
        </is>
      </c>
      <c r="B39" s="9" t="inlineStr">
        <is>
          <t xml:space="preserve">§6 - Work-type allocation (ranked column)</t>
        </is>
      </c>
      <c r="C39" s="9"/>
      <c r="D39" s="9"/>
      <c r="E39" s="9"/>
      <c r="F39" s="9"/>
      <c r="G39" s="9"/>
      <c r="H39" s="9"/>
      <c r="I39" s="9"/>
      <c r="J39" s="9"/>
      <c r="K39" s="9"/>
      <c r="L39" s="9"/>
    </row>
    <row r="41" outlineLevel="1">
      <c r="B41" s="23"/>
      <c r="C41" s="24" t="inlineStr">
        <is>
          <t xml:space="preserve">Unbucketed</t>
        </is>
      </c>
      <c r="D41" s="24" t="inlineStr">
        <is>
          <t xml:space="preserve">Electrical/power</t>
        </is>
      </c>
      <c r="E41" s="24" t="inlineStr">
        <is>
          <t xml:space="preserve">Structural</t>
        </is>
      </c>
      <c r="F41" s="24" t="inlineStr">
        <is>
          <t xml:space="preserve">Machining</t>
        </is>
      </c>
      <c r="G41" s="24" t="inlineStr">
        <is>
          <t xml:space="preserve">Piping/valves</t>
        </is>
      </c>
      <c r="H41" s="24" t="inlineStr">
        <is>
          <t xml:space="preserve">HVAC</t>
        </is>
      </c>
      <c r="I41" s="24" t="inlineStr">
        <is>
          <t xml:space="preserve">Coatings</t>
        </is>
      </c>
      <c r="J41" s="25" t="inlineStr">
        <is>
          <t xml:space="preserve">Castings</t>
        </is>
      </c>
    </row>
    <row r="42" outlineLevel="1">
      <c r="B42" s="27"/>
      <c r="C42" s="29">
        <f>'SAM Build'!C61/'TAM Build'!C136</f>
      </c>
      <c r="D42" s="29">
        <f>'SAM Build'!C58/'TAM Build'!C136</f>
      </c>
      <c r="E42" s="29">
        <f>'SAM Build'!C54/'TAM Build'!C136</f>
      </c>
      <c r="F42" s="29">
        <f>'SAM Build'!C55/'TAM Build'!C136</f>
      </c>
      <c r="G42" s="29">
        <f>'SAM Build'!C57/'TAM Build'!C136</f>
      </c>
      <c r="H42" s="29">
        <f>'SAM Build'!C59/'TAM Build'!C136</f>
      </c>
      <c r="I42" s="29">
        <f>'SAM Build'!C60/'TAM Build'!C136</f>
      </c>
      <c r="J42" s="30">
        <f>'SAM Build'!C56/'TAM Build'!C136</f>
      </c>
    </row>
    <row r="45">
      <c r="A45" s="0" t="inlineStr">
        <is>
          <t xml:space="preserve">x</t>
        </is>
      </c>
      <c r="B45" s="9" t="inlineStr">
        <is>
          <t xml:space="preserve">§7 - SAM scenarios (ranked column)</t>
        </is>
      </c>
      <c r="C45" s="9"/>
      <c r="D45" s="9"/>
      <c r="E45" s="9"/>
      <c r="F45" s="9"/>
      <c r="G45" s="9"/>
      <c r="H45" s="9"/>
      <c r="I45" s="9"/>
      <c r="J45" s="9"/>
      <c r="K45" s="9"/>
      <c r="L45" s="9"/>
    </row>
    <row r="47" outlineLevel="1">
      <c r="B47" s="23"/>
      <c r="C47" s="24" t="inlineStr">
        <is>
          <t xml:space="preserve">Broad components</t>
        </is>
      </c>
      <c r="D47" s="24" t="inlineStr">
        <is>
          <t xml:space="preserve">Metal components</t>
        </is>
      </c>
      <c r="E47" s="24" t="inlineStr">
        <is>
          <t xml:space="preserve">Electrical/power</t>
        </is>
      </c>
      <c r="F47" s="24" t="inlineStr">
        <is>
          <t xml:space="preserve">Modular assy</t>
        </is>
      </c>
      <c r="G47" s="25" t="inlineStr">
        <is>
          <t xml:space="preserve">HM&amp;E</t>
        </is>
      </c>
    </row>
    <row r="48" outlineLevel="1">
      <c r="B48" s="27"/>
      <c r="C48" s="29">
        <f>'SAM Build'!E74</f>
      </c>
      <c r="D48" s="29">
        <f>'SAM Build'!E70</f>
      </c>
      <c r="E48" s="29">
        <f>'SAM Build'!E72</f>
      </c>
      <c r="F48" s="29">
        <f>'SAM Build'!E73</f>
      </c>
      <c r="G48" s="30">
        <f>'SAM Build'!E71</f>
      </c>
    </row>
    <row r="51">
      <c r="A51" s="0" t="inlineStr">
        <is>
          <t xml:space="preserve">x</t>
        </is>
      </c>
      <c r="B51" s="9" t="inlineStr">
        <is>
          <t xml:space="preserve">§8 - Supplier landscape (bar)</t>
        </is>
      </c>
      <c r="C51" s="9"/>
      <c r="D51" s="9"/>
      <c r="E51" s="9"/>
      <c r="F51" s="9"/>
      <c r="G51" s="9"/>
      <c r="H51" s="9"/>
      <c r="I51" s="9"/>
      <c r="J51" s="9"/>
      <c r="K51" s="9"/>
      <c r="L51" s="9"/>
    </row>
    <row r="53" outlineLevel="1">
      <c r="B53" s="23"/>
      <c r="C53" s="25" t="inlineStr">
        <is>
          <t xml:space="preserve">Visible flow</t>
        </is>
      </c>
    </row>
    <row r="54" outlineLevel="1">
      <c r="B54" s="26">
        <f>'Entity Master'!B9</f>
      </c>
      <c r="C54" s="31">
        <f>'Entity Master'!G9</f>
      </c>
    </row>
    <row r="55" outlineLevel="1">
      <c r="B55" s="26">
        <f>'Entity Master'!B12</f>
      </c>
      <c r="C55" s="31">
        <f>'Entity Master'!G12</f>
      </c>
    </row>
    <row r="56" outlineLevel="1">
      <c r="B56" s="26">
        <f>'Entity Master'!B13</f>
      </c>
      <c r="C56" s="31">
        <f>'Entity Master'!G13</f>
      </c>
    </row>
    <row r="57" outlineLevel="1">
      <c r="B57" s="26">
        <f>'Entity Master'!B14</f>
      </c>
      <c r="C57" s="31">
        <f>'Entity Master'!G14</f>
      </c>
    </row>
    <row r="58" outlineLevel="1">
      <c r="B58" s="26">
        <f>'Entity Master'!B16</f>
      </c>
      <c r="C58" s="31">
        <f>'Entity Master'!G16</f>
      </c>
    </row>
    <row r="59" outlineLevel="1">
      <c r="B59" s="26">
        <f>'Entity Master'!B20</f>
      </c>
      <c r="C59" s="31">
        <f>'Entity Master'!G20</f>
      </c>
    </row>
    <row r="60" outlineLevel="1">
      <c r="B60" s="26">
        <f>'Entity Master'!B22</f>
      </c>
      <c r="C60" s="31">
        <f>'Entity Master'!G22</f>
      </c>
    </row>
    <row r="61" outlineLevel="1">
      <c r="B61" s="26">
        <f>'Entity Master'!B23</f>
      </c>
      <c r="C61" s="31">
        <f>'Entity Master'!G23</f>
      </c>
    </row>
    <row r="62" outlineLevel="1">
      <c r="B62" s="26">
        <f>'Entity Master'!B25</f>
      </c>
      <c r="C62" s="31">
        <f>'Entity Master'!G25</f>
      </c>
    </row>
    <row r="63" outlineLevel="1">
      <c r="B63" s="27">
        <f>'Entity Master'!B29</f>
      </c>
      <c r="C63" s="30">
        <f>'Entity Master'!G29</f>
      </c>
    </row>
    <row r="66">
      <c r="A66" s="0" t="inlineStr">
        <is>
          <t xml:space="preserve">x</t>
        </is>
      </c>
      <c r="B66" s="9" t="inlineStr">
        <is>
          <t xml:space="preserve">§9 - FFATA visibility gap (column)</t>
        </is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8" outlineLevel="1">
      <c r="B68" s="23"/>
      <c r="C68" s="24" t="inlineStr">
        <is>
          <t xml:space="preserve">Visible flow</t>
        </is>
      </c>
      <c r="D68" s="24" t="inlineStr">
        <is>
          <t xml:space="preserve">Outsourcing low</t>
        </is>
      </c>
      <c r="E68" s="24" t="inlineStr">
        <is>
          <t xml:space="preserve">Outsourcing mid</t>
        </is>
      </c>
      <c r="F68" s="25" t="inlineStr">
        <is>
          <t xml:space="preserve">Outsourcing high</t>
        </is>
      </c>
    </row>
    <row r="69" outlineLevel="1">
      <c r="B69" s="27"/>
      <c r="C69" s="29">
        <v>2728.6</v>
      </c>
      <c r="D69" s="29">
        <v>11311.4</v>
      </c>
      <c r="E69" s="29">
        <v>13573.7</v>
      </c>
      <c r="F69" s="30">
        <v>16159.2</v>
      </c>
    </row>
    <row r="72">
      <c r="A72" s="0" t="inlineStr">
        <is>
          <t xml:space="preserve">x</t>
        </is>
      </c>
      <c r="B72" s="9" t="inlineStr">
        <is>
          <t xml:space="preserve">§10 - Outsourced BC penetration (strip)</t>
        </is>
      </c>
      <c r="C72" s="9"/>
      <c r="D72" s="9"/>
      <c r="E72" s="9"/>
      <c r="F72" s="9"/>
      <c r="G72" s="9"/>
      <c r="H72" s="9"/>
      <c r="I72" s="9"/>
      <c r="J72" s="9"/>
      <c r="K72" s="9"/>
      <c r="L72" s="9"/>
    </row>
    <row r="74" outlineLevel="1">
      <c r="B74" s="23"/>
      <c r="C74" s="24" t="inlineStr">
        <is>
          <t xml:space="preserve">FY22</t>
        </is>
      </c>
      <c r="D74" s="24" t="inlineStr">
        <is>
          <t xml:space="preserve">FY23</t>
        </is>
      </c>
      <c r="E74" s="24" t="inlineStr">
        <is>
          <t xml:space="preserve">FY24</t>
        </is>
      </c>
      <c r="F74" s="24" t="inlineStr">
        <is>
          <t xml:space="preserve">FY25</t>
        </is>
      </c>
      <c r="G74" s="24" t="inlineStr">
        <is>
          <t xml:space="preserve">FY26</t>
        </is>
      </c>
      <c r="H74" s="24" t="inlineStr">
        <is>
          <t xml:space="preserve">FY27</t>
        </is>
      </c>
      <c r="I74" s="24" t="inlineStr">
        <is>
          <t xml:space="preserve">FY28</t>
        </is>
      </c>
      <c r="J74" s="24" t="inlineStr">
        <is>
          <t xml:space="preserve">FY29</t>
        </is>
      </c>
      <c r="K74" s="24" t="inlineStr">
        <is>
          <t xml:space="preserve">FY30</t>
        </is>
      </c>
      <c r="L74" s="25" t="inlineStr">
        <is>
          <t xml:space="preserve">FY31</t>
        </is>
      </c>
    </row>
    <row r="75" outlineLevel="1">
      <c r="B75" s="26" t="inlineStr">
        <is>
          <t xml:space="preserve">Actual</t>
        </is>
      </c>
      <c r="C75" s="42">
        <f>'Outlook'!C21</f>
      </c>
      <c r="D75" s="42">
        <f>'Outlook'!D21</f>
      </c>
      <c r="E75" s="42">
        <f>'Outlook'!E21</f>
      </c>
      <c r="F75" s="42">
        <f>'Outlook'!F21</f>
      </c>
      <c r="G75" s="42">
        <f>'Outlook'!G21</f>
      </c>
      <c r="H75" s="42">
        <f>'Outlook'!H21</f>
      </c>
      <c r="I75" s="42"/>
      <c r="J75" s="42"/>
      <c r="K75" s="42"/>
      <c r="L75" s="41"/>
    </row>
    <row r="76" outlineLevel="1">
      <c r="B76" s="26" t="inlineStr">
        <is>
          <t xml:space="preserve">Assumed low</t>
        </is>
      </c>
      <c r="C76" s="42"/>
      <c r="D76" s="42"/>
      <c r="E76" s="42"/>
      <c r="F76" s="42"/>
      <c r="G76" s="42"/>
      <c r="H76" s="42"/>
      <c r="I76" s="42">
        <f>'Outlook'!C31</f>
      </c>
      <c r="J76" s="42">
        <f>'Outlook'!C31</f>
      </c>
      <c r="K76" s="42">
        <f>'Outlook'!C31</f>
      </c>
      <c r="L76" s="41">
        <f>'Outlook'!C31</f>
      </c>
    </row>
    <row r="77" outlineLevel="1">
      <c r="B77" s="27" t="inlineStr">
        <is>
          <t xml:space="preserve">Assumed high</t>
        </is>
      </c>
      <c r="C77" s="39"/>
      <c r="D77" s="39"/>
      <c r="E77" s="39"/>
      <c r="F77" s="39"/>
      <c r="G77" s="39"/>
      <c r="H77" s="39"/>
      <c r="I77" s="39">
        <f>'Outlook'!C32</f>
      </c>
      <c r="J77" s="39">
        <f>'Outlook'!C32</f>
      </c>
      <c r="K77" s="39">
        <f>'Outlook'!C32</f>
      </c>
      <c r="L77" s="40">
        <f>'Outlook'!C32</f>
      </c>
    </row>
    <row r="80">
      <c r="A80" s="0" t="inlineStr">
        <is>
          <t xml:space="preserve">x</t>
        </is>
      </c>
      <c r="B80" s="9" t="inlineStr">
        <is>
          <t xml:space="preserve">§11 - Implied outyear Outsourced BC (stacked column)</t>
        </is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2" outlineLevel="1">
      <c r="B82" s="23"/>
      <c r="C82" s="24" t="inlineStr">
        <is>
          <t xml:space="preserve">FY28</t>
        </is>
      </c>
      <c r="D82" s="24" t="inlineStr">
        <is>
          <t xml:space="preserve">FY29</t>
        </is>
      </c>
      <c r="E82" s="24" t="inlineStr">
        <is>
          <t xml:space="preserve">FY30</t>
        </is>
      </c>
      <c r="F82" s="25" t="inlineStr">
        <is>
          <t xml:space="preserve">FY31</t>
        </is>
      </c>
    </row>
    <row r="83" outlineLevel="1">
      <c r="B83" s="26" t="inlineStr">
        <is>
          <t xml:space="preserve">Implied low</t>
        </is>
      </c>
      <c r="C83" s="32">
        <f>'Outlook'!C40</f>
      </c>
      <c r="D83" s="32">
        <f>'Outlook'!D40</f>
      </c>
      <c r="E83" s="32">
        <f>'Outlook'!E40</f>
      </c>
      <c r="F83" s="31">
        <f>'Outlook'!F40</f>
      </c>
    </row>
    <row r="84" outlineLevel="1">
      <c r="B84" s="27" t="inlineStr">
        <is>
          <t xml:space="preserve">Range to high</t>
        </is>
      </c>
      <c r="C84" s="29">
        <f>'Outlook'!C41-'Outlook'!C40</f>
      </c>
      <c r="D84" s="29">
        <f>'Outlook'!D41-'Outlook'!D40</f>
      </c>
      <c r="E84" s="29">
        <f>'Outlook'!E41-'Outlook'!E40</f>
      </c>
      <c r="F84" s="30">
        <f>'Outlook'!F41-'Outlook'!F40</f>
      </c>
    </row>
    <row r="87">
      <c r="A87" s="0" t="inlineStr">
        <is>
          <t xml:space="preserve">x</t>
        </is>
      </c>
      <c r="B87" s="9" t="inlineStr">
        <is>
          <t xml:space="preserve">§12 - FY22-25 average annual TAM (reference line)</t>
        </is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9" outlineLevel="1">
      <c r="B89" s="23"/>
      <c r="C89" s="25" t="inlineStr">
        <is>
          <t xml:space="preserve">FY22-25 avg</t>
        </is>
      </c>
    </row>
    <row r="90" outlineLevel="1">
      <c r="B90" s="27"/>
      <c r="C90" s="30">
        <f>'Outlook'!C51</f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workbook_ddg</Application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Executive Summary</vt:lpstr>
      <vt:lpstr>Methodology</vt:lpstr>
      <vt:lpstr>Assumptions</vt:lpstr>
      <vt:lpstr>Scenarios</vt:lpstr>
      <vt:lpstr>TAM Build</vt:lpstr>
      <vt:lpstr>SAM Build</vt:lpstr>
      <vt:lpstr>Outlook</vt:lpstr>
      <vt:lpstr>Deflators</vt:lpstr>
      <vt:lpstr>SCN Budget</vt:lpstr>
      <vt:lpstr>OBBBA Mandatory</vt:lpstr>
      <vt:lpstr>Production Schedule</vt:lpstr>
      <vt:lpstr>AP Bridge</vt:lpstr>
      <vt:lpstr>FYDP Outyears</vt:lpstr>
      <vt:lpstr>POP Corpus</vt:lpstr>
      <vt:lpstr>Entity Master</vt:lpstr>
      <vt:lpstr>Location Master</vt:lpstr>
      <vt:lpstr>Vendors</vt:lpstr>
      <vt:lpstr>FPDS Primes</vt:lpstr>
      <vt:lpstr>Worktype Evidence</vt:lpstr>
      <vt:lpstr>Worktype by FY</vt:lpstr>
      <vt:lpstr>Figure Register</vt:lpstr>
      <vt:lpstr>Sensitivity</vt:lpstr>
      <vt:lpstr>Scope Exclusions</vt:lpstr>
      <vt:lpstr>POP Source Audit</vt:lpstr>
      <vt:lpstr>Source Index</vt:lpstr>
      <vt:lpstr>References</vt:lpstr>
      <vt:lpstr>z_ChartData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Destroyer Outsourced Construction - TAM &amp; SAM Sizing</dc:title>
  <dc:creator>workbook_ddg build_workbook.py</dc:creator>
  <dcterms:created xsi:type="dcterms:W3CDTF">2026-06-15T14:10:48Z</dcterms:created>
  <dcterms:modified xsi:type="dcterms:W3CDTF">2026-06-15T14:10:48Z</dcterms:modified>
</cp:coreProperties>
</file>