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dantoole/projects3/ooxml_build_pipelines_light/projects/distributed_shipbuilding/"/>
    </mc:Choice>
  </mc:AlternateContent>
  <xr:revisionPtr revIDLastSave="0" documentId="11_CB4810FDD3EB5A6EF7A2C298C8E2EA6D138C2711" xr6:coauthVersionLast="47" xr6:coauthVersionMax="47" xr10:uidLastSave="{00000000-0000-0000-0000-000000000000}"/>
  <bookViews>
    <workbookView xWindow="0" yWindow="760" windowWidth="28800" windowHeight="16800" xr2:uid="{00000000-000D-0000-FFFF-FFFF00000000}"/>
  </bookViews>
  <sheets>
    <sheet name="Executive Summary" sheetId="1" r:id="rId1"/>
    <sheet name="Assumptions" sheetId="2" r:id="rId2"/>
    <sheet name="Ceiling Model" sheetId="3" r:id="rId3"/>
    <sheet name="Conversion Bridge" sheetId="4" r:id="rId4"/>
    <sheet name="Headroom" sheetId="5" r:id="rId5"/>
    <sheet name="Cost Base" sheetId="6" r:id="rId6"/>
    <sheet name="Sensitivity" sheetId="7" r:id="rId7"/>
    <sheet name="Tie-Outs" sheetId="8" state="hidden" r:id="rId8"/>
    <sheet name="Sources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7" l="1"/>
  <c r="F18" i="7"/>
  <c r="E18" i="7"/>
  <c r="D18" i="7"/>
  <c r="C18" i="7"/>
  <c r="G12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7" i="7"/>
  <c r="F7" i="7"/>
  <c r="E7" i="7"/>
  <c r="D7" i="7"/>
  <c r="C7" i="7"/>
  <c r="I22" i="6"/>
  <c r="F22" i="6"/>
  <c r="E22" i="6"/>
  <c r="D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E13" i="5"/>
  <c r="D13" i="5"/>
  <c r="C13" i="5"/>
  <c r="F13" i="5" s="1"/>
  <c r="E8" i="5"/>
  <c r="D8" i="5"/>
  <c r="C8" i="5"/>
  <c r="C7" i="5"/>
  <c r="C14" i="5" s="1"/>
  <c r="D12" i="4"/>
  <c r="C10" i="4"/>
  <c r="E9" i="4"/>
  <c r="D9" i="4"/>
  <c r="D14" i="4" s="1"/>
  <c r="C9" i="4"/>
  <c r="C12" i="4" s="1"/>
  <c r="E8" i="4"/>
  <c r="E11" i="4" s="1"/>
  <c r="E13" i="4" s="1"/>
  <c r="D8" i="4"/>
  <c r="D11" i="4" s="1"/>
  <c r="D13" i="4" s="1"/>
  <c r="C8" i="4"/>
  <c r="D7" i="4"/>
  <c r="E9" i="3"/>
  <c r="D9" i="3"/>
  <c r="C9" i="3"/>
  <c r="E8" i="3"/>
  <c r="D8" i="3"/>
  <c r="C8" i="3"/>
  <c r="C10" i="3" s="1"/>
  <c r="E7" i="3"/>
  <c r="E7" i="5" s="1"/>
  <c r="D7" i="3"/>
  <c r="D7" i="5" s="1"/>
  <c r="D14" i="5" s="1"/>
  <c r="C7" i="3"/>
  <c r="C7" i="4" s="1"/>
  <c r="C24" i="2"/>
  <c r="C25" i="2" s="1"/>
  <c r="E7" i="4" l="1"/>
  <c r="C11" i="5"/>
  <c r="D11" i="5"/>
  <c r="E11" i="5"/>
  <c r="E14" i="4"/>
  <c r="H22" i="6"/>
  <c r="F7" i="4"/>
  <c r="C11" i="4"/>
  <c r="C13" i="4" s="1"/>
  <c r="C15" i="4" s="1"/>
  <c r="F15" i="4" s="1"/>
  <c r="F13" i="4" s="1"/>
  <c r="F17" i="1" s="1"/>
  <c r="D10" i="3"/>
  <c r="E10" i="3"/>
  <c r="F7" i="3"/>
  <c r="G22" i="6"/>
  <c r="D17" i="1"/>
  <c r="D15" i="4"/>
  <c r="E14" i="5"/>
  <c r="F14" i="5" s="1"/>
  <c r="F7" i="5"/>
  <c r="C12" i="3"/>
  <c r="C11" i="3"/>
  <c r="C15" i="1"/>
  <c r="D15" i="1"/>
  <c r="E15" i="4"/>
  <c r="E17" i="1"/>
  <c r="E11" i="3"/>
  <c r="E15" i="1"/>
  <c r="E12" i="3"/>
  <c r="E12" i="4"/>
  <c r="C17" i="1" l="1"/>
  <c r="D11" i="3"/>
  <c r="D8" i="8" s="1"/>
  <c r="D12" i="3"/>
  <c r="F11" i="5"/>
  <c r="F8" i="5" s="1"/>
  <c r="C14" i="4"/>
  <c r="F14" i="4" s="1"/>
  <c r="F12" i="4"/>
  <c r="C16" i="1"/>
  <c r="C9" i="5"/>
  <c r="C10" i="5" s="1"/>
  <c r="C19" i="1" s="1"/>
  <c r="C11" i="8"/>
  <c r="C13" i="3"/>
  <c r="C7" i="8" s="1"/>
  <c r="C9" i="8"/>
  <c r="E9" i="5"/>
  <c r="E10" i="5" s="1"/>
  <c r="E19" i="1" s="1"/>
  <c r="E16" i="1"/>
  <c r="E11" i="8"/>
  <c r="E9" i="8"/>
  <c r="E13" i="3"/>
  <c r="F12" i="3"/>
  <c r="C8" i="8"/>
  <c r="E8" i="8"/>
  <c r="D16" i="1"/>
  <c r="D9" i="5"/>
  <c r="D10" i="5" s="1"/>
  <c r="D19" i="1" s="1"/>
  <c r="D11" i="8"/>
  <c r="D9" i="8"/>
  <c r="D13" i="3"/>
  <c r="D7" i="8" s="1"/>
  <c r="E18" i="1" l="1"/>
  <c r="E12" i="5"/>
  <c r="E10" i="8"/>
  <c r="F10" i="3"/>
  <c r="D12" i="5"/>
  <c r="D10" i="8"/>
  <c r="D13" i="8" s="1"/>
  <c r="D18" i="1"/>
  <c r="E7" i="8"/>
  <c r="C12" i="5"/>
  <c r="F12" i="5" s="1"/>
  <c r="F9" i="5" s="1"/>
  <c r="F10" i="5" s="1"/>
  <c r="F19" i="1" s="1"/>
  <c r="C18" i="1"/>
  <c r="C10" i="8"/>
  <c r="C13" i="8" s="1"/>
  <c r="F13" i="3"/>
  <c r="F7" i="8" s="1"/>
  <c r="E13" i="8" l="1"/>
  <c r="F11" i="3"/>
  <c r="F15" i="1"/>
  <c r="F10" i="8"/>
  <c r="F18" i="1"/>
  <c r="F11" i="8" l="1"/>
  <c r="F16" i="1"/>
  <c r="F9" i="8"/>
  <c r="F8" i="8"/>
  <c r="F13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C16" authorId="0" shapeId="0" xr:uid="{00000000-0006-0000-0100-000001000000}">
      <text>
        <r>
          <rPr>
            <sz val="8"/>
            <color indexed="81"/>
            <rFont val="Arial"/>
            <family val="2"/>
          </rPr>
          <t>Virginia/Columbia h=0.50: RADM Jon Rucker (PEO Attack Submarines), Defense News 2022-10-21 - EB+NNS outsourced hours grow 2M-&gt;5M = 'half the work to build a Virginia submarine'. Labor-hours basis; a forward capacity-relief target, not a measured make/buy split. See Sources A1.</t>
        </r>
      </text>
    </comment>
    <comment ref="E16" authorId="0" shapeId="0" xr:uid="{00000000-0006-0000-0100-000002000000}">
      <text>
        <r>
          <rPr>
            <sz val="8"/>
            <color indexed="81"/>
            <rFont val="Arial"/>
            <family val="2"/>
          </rPr>
          <t>DDG-51 h=0.55 (analyst assumption, not the Rucker submarine figure): no reactor, larger separable GFE, and more amenable to distributed block builds -&gt; a higher outsourceable-hour ceiling than the nuclear submarines. Carrier (CVN-80) ~20% of structural units outsourced and rising is the nearest non-nuclear datapoint.</t>
        </r>
      </text>
    </comment>
    <comment ref="C17" authorId="0" shapeId="0" xr:uid="{00000000-0006-0000-0100-000003000000}">
      <text>
        <r>
          <rPr>
            <sz val="8"/>
            <color indexed="81"/>
            <rFont val="Arial"/>
            <family val="2"/>
          </rPr>
          <t>L=0.50 of BC: O'Rourke (CRS, 2025-03-11) 'shipyard labor ~40% of a military ship's total procurement cost'; since BC excludes most GFE, labor's share of BC is higher than 40%. CBO Shipbuilding Composite Index (2024) puts shipbuilder labor at 39-48%. See Sources A2/A3.</t>
        </r>
      </text>
    </comment>
    <comment ref="E17" authorId="0" shapeId="0" xr:uid="{00000000-0006-0000-0100-000004000000}">
      <text>
        <r>
          <rPr>
            <sz val="8"/>
            <color indexed="81"/>
            <rFont val="Arial"/>
            <family val="2"/>
          </rPr>
          <t>DDG-51 L=0.45 (analyst assumption): non-nuclear mix with a larger separable GFE layer, so labor is a somewhat smaller share of BC than on the nuclear boats. Sensitivity tab sweeps L.</t>
        </r>
      </text>
    </comment>
    <comment ref="C20" authorId="0" shapeId="0" xr:uid="{00000000-0006-0000-0100-000005000000}">
      <text>
        <r>
          <rPr>
            <sz val="8"/>
            <color indexed="81"/>
            <rFont val="Arial"/>
            <family val="2"/>
          </rPr>
          <t>p = share of an outsourced package's material that travels with it (a tier-2 fabricator buys/installs its own steel, pipe, components). Bridge: outsourced $ = h*L*BC + p*(1-L)*BC. p=0 labor-only (~25% of BC); p=1 material-inclusive (~75%). For a supplier-opportunity TAM, p is high.</t>
        </r>
      </text>
    </comment>
    <comment ref="C32" authorId="0" shapeId="0" xr:uid="{00000000-0006-0000-0100-000006000000}">
      <text>
        <r>
          <rPr>
            <sz val="8"/>
            <color indexed="81"/>
            <rFont val="Arial"/>
            <family val="2"/>
          </rPr>
          <t>Current off-team share of construction work (announced place of performance): Virginia 34% (Block V, DoD 2019-12-02) / Columbia 22% (Build I, 2020-11-05) / DDG-51 ~13% (production-weighted blend: BIW ~20% off-Bath + Ingalls ~9% off-Pascagoula). The applied current-state floor the ceiling sits above. See Sources A5/A6/A7.</t>
        </r>
      </text>
    </comment>
    <comment ref="D32" authorId="0" shapeId="0" xr:uid="{00000000-0006-0000-0100-000007000000}">
      <text>
        <r>
          <rPr>
            <sz val="8"/>
            <color indexed="81"/>
            <rFont val="Arial"/>
            <family val="2"/>
          </rPr>
          <t>Current off-team share of construction work (announced place of performance): Virginia 34% (Block V, DoD 2019-12-02) / Columbia 22% (Build I, 2020-11-05) / DDG-51 ~13% (production-weighted blend: BIW ~20% off-Bath + Ingalls ~9% off-Pascagoula). The applied current-state floor the ceiling sits above. See Sources A5/A6/A7.</t>
        </r>
      </text>
    </comment>
    <comment ref="E32" authorId="0" shapeId="0" xr:uid="{00000000-0006-0000-0100-000008000000}">
      <text>
        <r>
          <rPr>
            <sz val="8"/>
            <color indexed="81"/>
            <rFont val="Arial"/>
            <family val="2"/>
          </rPr>
          <t>Current off-team share of construction work (announced place of performance): Virginia 34% (Block V, DoD 2019-12-02) / Columbia 22% (Build I, 2020-11-05) / DDG-51 ~13% (production-weighted blend: BIW ~20% off-Bath + Ingalls ~9% off-Pascagoula). The applied current-state floor the ceiling sits above. See Sources A5/A6/A7.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E7" authorId="0" shapeId="0" xr:uid="{00000000-0006-0000-0800-000001000000}">
      <text>
        <r>
          <rPr>
            <sz val="8"/>
            <color indexed="81"/>
            <rFont val="Arial"/>
            <family val="2"/>
          </rPr>
          <t>https://www.defensenews.com/industry/2022/10/21/defense-firms-outsource-sub-carrier-construction-amid-labor-woes/</t>
        </r>
      </text>
    </comment>
    <comment ref="E8" authorId="0" shapeId="0" xr:uid="{00000000-0006-0000-0800-000002000000}">
      <text>
        <r>
          <rPr>
            <sz val="8"/>
            <color indexed="81"/>
            <rFont val="Arial"/>
            <family val="2"/>
          </rPr>
          <t>https://armedservices.house.gov/uploadedfiles/03.11.25_spf_state_of_shipbuilding_orourke_statement.pdf</t>
        </r>
      </text>
    </comment>
    <comment ref="E9" authorId="0" shapeId="0" xr:uid="{00000000-0006-0000-0800-000003000000}">
      <text>
        <r>
          <rPr>
            <sz val="8"/>
            <color indexed="81"/>
            <rFont val="Arial"/>
            <family val="2"/>
          </rPr>
          <t>https://www.cbo.gov/publication/60206</t>
        </r>
      </text>
    </comment>
    <comment ref="E10" authorId="0" shapeId="0" xr:uid="{00000000-0006-0000-0800-000004000000}">
      <text>
        <r>
          <rPr>
            <sz val="8"/>
            <color indexed="81"/>
            <rFont val="Arial"/>
            <family val="2"/>
          </rPr>
          <t>https://comptroller.defense.gov/Portals/45/documents/fmr/current/02b/02b_04.pdf</t>
        </r>
      </text>
    </comment>
    <comment ref="E11" authorId="0" shapeId="0" xr:uid="{00000000-0006-0000-0800-000005000000}">
      <text>
        <r>
          <rPr>
            <sz val="8"/>
            <color indexed="81"/>
            <rFont val="Arial"/>
            <family val="2"/>
          </rPr>
          <t>https://www.defense.gov/News/Contracts/Contract/Article/2030017/</t>
        </r>
      </text>
    </comment>
    <comment ref="E12" authorId="0" shapeId="0" xr:uid="{00000000-0006-0000-0800-000006000000}">
      <text>
        <r>
          <rPr>
            <sz val="8"/>
            <color indexed="81"/>
            <rFont val="Arial"/>
            <family val="2"/>
          </rPr>
          <t>https://www.defense.gov/Newsroom/Contracts/Contract/Article/2406922/</t>
        </r>
      </text>
    </comment>
    <comment ref="E13" authorId="0" shapeId="0" xr:uid="{00000000-0006-0000-0800-000007000000}">
      <text>
        <r>
          <rPr>
            <sz val="8"/>
            <color indexed="81"/>
            <rFont val="Arial"/>
            <family val="2"/>
          </rPr>
          <t>https://www.defense.gov/News/Contracts/Contract/Article/3479250/</t>
        </r>
      </text>
    </comment>
  </commentList>
</comments>
</file>

<file path=xl/sharedStrings.xml><?xml version="1.0" encoding="utf-8"?>
<sst xmlns="http://schemas.openxmlformats.org/spreadsheetml/2006/main" count="226" uniqueCount="151">
  <si>
    <t>Executive Summary</t>
  </si>
  <si>
    <t>x</t>
  </si>
  <si>
    <t>§1 - Scope</t>
  </si>
  <si>
    <t>Question</t>
  </si>
  <si>
    <t>Theoretical ceiling on new-construction outsourcing $ (and the irreducible core)</t>
  </si>
  <si>
    <t>Programs</t>
  </si>
  <si>
    <t>Virginia, Columbia, DDG-51</t>
  </si>
  <si>
    <t>Window / units</t>
  </si>
  <si>
    <t>FY2022-2027 - then-year $M (P-5c); ratios unit-invariant</t>
  </si>
  <si>
    <t>Frame</t>
  </si>
  <si>
    <t>POP / distributed leads; make/buy = reference (Headroom)</t>
  </si>
  <si>
    <t>§2 - Headline (share of Basic Construction)</t>
  </si>
  <si>
    <t>Measure</t>
  </si>
  <si>
    <t>Virginia</t>
  </si>
  <si>
    <t>Columbia</t>
  </si>
  <si>
    <t>DDG-51</t>
  </si>
  <si>
    <t>Portfolio</t>
  </si>
  <si>
    <t>Irreducible core %</t>
  </si>
  <si>
    <t>Structural ceiling % (p=1 upper bound)</t>
  </si>
  <si>
    <t>Selected pass-through case % (p=50%)</t>
  </si>
  <si>
    <t>Ceiling $M (FY22-27)</t>
  </si>
  <si>
    <t>Headroom x vs current outsourcing</t>
  </si>
  <si>
    <t>Assumptions</t>
  </si>
  <si>
    <t>§1 - Run settings</t>
  </si>
  <si>
    <t>Setting</t>
  </si>
  <si>
    <t>Value</t>
  </si>
  <si>
    <t>Program scope</t>
  </si>
  <si>
    <t>FY window</t>
  </si>
  <si>
    <t>FY2022-2027</t>
  </si>
  <si>
    <t>Units</t>
  </si>
  <si>
    <t>Then-year $M (P-5c as reported); ratios unit-invariant</t>
  </si>
  <si>
    <t>Lead frame</t>
  </si>
  <si>
    <t>POP / distributed (make/buy = reference footnote)</t>
  </si>
  <si>
    <t>§2 - Core parameters (share of Basic Construction)</t>
  </si>
  <si>
    <t>Parameter</t>
  </si>
  <si>
    <t>h - outsourceable labor-hour share</t>
  </si>
  <si>
    <t>L - shipyard labor share of BC</t>
  </si>
  <si>
    <t>Selected material pass-through</t>
  </si>
  <si>
    <t>p - pass-through material in outsourced packages</t>
  </si>
  <si>
    <t>L rebase: 40% of total cost to share of BC</t>
  </si>
  <si>
    <t>Labor share of total ship cost (CRS/CBO, A2/A3)</t>
  </si>
  <si>
    <t>Portfolio BC / total ship cost (Cost Base)</t>
  </si>
  <si>
    <t>Implied L of BC if all labor sat in BC</t>
  </si>
  <si>
    <t>Selected L of BC: subs 50% / DDG 45% (see L above)</t>
  </si>
  <si>
    <t>§3 - Current-state anchors (reference)</t>
  </si>
  <si>
    <t>Anchor</t>
  </si>
  <si>
    <t>Current off-team work (announced POP)</t>
  </si>
  <si>
    <t>Make/buy bought-out band (share of BC, all classes)</t>
  </si>
  <si>
    <t>Low</t>
  </si>
  <si>
    <t>Mid</t>
  </si>
  <si>
    <t>High</t>
  </si>
  <si>
    <t>Ceiling Model</t>
  </si>
  <si>
    <t>§1 - Outsourcing ceiling (share of Basic Construction)</t>
  </si>
  <si>
    <t>BC base (cumulative FY22-27, $M)</t>
  </si>
  <si>
    <t>Core % = L x (1 - h)</t>
  </si>
  <si>
    <t>Ceiling % = 1 - core</t>
  </si>
  <si>
    <t>Core $M (never-outsourced)</t>
  </si>
  <si>
    <t>Ceiling $M (outsourceable)</t>
  </si>
  <si>
    <t>Conversion Bridge</t>
  </si>
  <si>
    <t>§1 - Hours-to-dollars bridge (outsourced share of BC)</t>
  </si>
  <si>
    <t>p - pass-through material (active)</t>
  </si>
  <si>
    <t>Material share M = 1 - L</t>
  </si>
  <si>
    <t>Outsourced share, labor-only (p=0) = h x L</t>
  </si>
  <si>
    <t>Outsourced share, active p = hL + pM</t>
  </si>
  <si>
    <t>Outsourced share, material-incl (p=1) = hL + M</t>
  </si>
  <si>
    <t>Outsourced $M (active p)</t>
  </si>
  <si>
    <t>Headroom</t>
  </si>
  <si>
    <t>§1 - Headroom over current outsourcing (POP frame; $M, x)</t>
  </si>
  <si>
    <t>Current off-team work (POP)</t>
  </si>
  <si>
    <t>Ceiling %</t>
  </si>
  <si>
    <t>Headroom x = ceiling / current</t>
  </si>
  <si>
    <t>Current outsourced $M = POP x BC</t>
  </si>
  <si>
    <t>FFATA-visible subawards $M (observed floor)</t>
  </si>
  <si>
    <t>Make/buy reference $M (mid band, footnote)</t>
  </si>
  <si>
    <t>Cost Base</t>
  </si>
  <si>
    <t>§1 - P-5c cost base ($M then-year, FY22-27)</t>
  </si>
  <si>
    <t>Program</t>
  </si>
  <si>
    <t>FY</t>
  </si>
  <si>
    <t>BC</t>
  </si>
  <si>
    <t>GFE</t>
  </si>
  <si>
    <t>Total</t>
  </si>
  <si>
    <t>Plans+Other</t>
  </si>
  <si>
    <t>BC %</t>
  </si>
  <si>
    <t>FFATA</t>
  </si>
  <si>
    <t>Portfolio (FY22-27)</t>
  </si>
  <si>
    <t>Sensitivity</t>
  </si>
  <si>
    <t>§1 - Ceiling % sensitivity (L down, h across)</t>
  </si>
  <si>
    <t>L \ h</t>
  </si>
  <si>
    <t>§2 - Outsourced share vs pass-through p (Virginia params)</t>
  </si>
  <si>
    <t>Outsourced share \ p</t>
  </si>
  <si>
    <t>hL + p*M (share of BC)</t>
  </si>
  <si>
    <t>Tie-Outs</t>
  </si>
  <si>
    <t>§1 - Identity + sanity checks</t>
  </si>
  <si>
    <t>Check</t>
  </si>
  <si>
    <t>Core $ + Ceiling $ = BC $</t>
  </si>
  <si>
    <t>Core % + Ceiling % = 1</t>
  </si>
  <si>
    <t>Ceiling % &gt;= current POP %</t>
  </si>
  <si>
    <t>Ceiling $ &gt;= FFATA-visible $ (floor)</t>
  </si>
  <si>
    <t>Ceiling % = Bridge p=1 case</t>
  </si>
  <si>
    <t>All-OK gate</t>
  </si>
  <si>
    <t>Sources</t>
  </si>
  <si>
    <t>§1 - Anchors (verified citations)</t>
  </si>
  <si>
    <t>Basis</t>
  </si>
  <si>
    <t>Source</t>
  </si>
  <si>
    <t>ID</t>
  </si>
  <si>
    <t>labor-hours</t>
  </si>
  <si>
    <t>Defense News - Defense firms outsource sub, carrier construction amid labor woes (M. Eckstein, 2022-10-21)</t>
  </si>
  <si>
    <t>A1</t>
  </si>
  <si>
    <t>L - shipyard labor share of ship cost</t>
  </si>
  <si>
    <t>dollars (of total procurement cost)</t>
  </si>
  <si>
    <t>O'Rourke (CRS), 'The State of U.S. Shipbuilding', House Armed Services testimony (2025-03-11)</t>
  </si>
  <si>
    <t>A2</t>
  </si>
  <si>
    <t>L cross-check - labor weight of shipbuilding cost</t>
  </si>
  <si>
    <t>0.39-0.48</t>
  </si>
  <si>
    <t>dollars (composite index weight)</t>
  </si>
  <si>
    <t>CBO, The Shipbuilding Composite Index (April 2024)</t>
  </si>
  <si>
    <t>A3</t>
  </si>
  <si>
    <t>Basic Construction is a single regulated line (no labor/material split)</t>
  </si>
  <si>
    <t>n/a</t>
  </si>
  <si>
    <t>definition</t>
  </si>
  <si>
    <t>DoD FMR 7000.14-R Vol 2B Ch 4, Exhibit P-5 Ship Cost Element Categories (Nov 2017)</t>
  </si>
  <si>
    <t>A4</t>
  </si>
  <si>
    <t>Virginia current off-team place-of-performance</t>
  </si>
  <si>
    <t>place of performance</t>
  </si>
  <si>
    <t>DoD Contracts 2019-12-02 (article 2030017), Block V N00024-17-C-2100</t>
  </si>
  <si>
    <t>A5</t>
  </si>
  <si>
    <t>Columbia current off-team place-of-performance</t>
  </si>
  <si>
    <t>DoD Contracts 2020-11-05 (article 2406922), Build I N00024-17-C-2117</t>
  </si>
  <si>
    <t>A6</t>
  </si>
  <si>
    <t>DDG-51 current off-team place-of-performance</t>
  </si>
  <si>
    <t>DoD Contracts 2023-08-01 (article 3479250), DDG-51 FY23-27 multiyear (BIW + Ingalls)</t>
  </si>
  <si>
    <t>A7</t>
  </si>
  <si>
    <t>§2 - Sourced vs assumed</t>
  </si>
  <si>
    <t>Status</t>
  </si>
  <si>
    <t>Note</t>
  </si>
  <si>
    <t>Verified</t>
  </si>
  <si>
    <t>Rucker / Defense News 2022 (A1)</t>
  </si>
  <si>
    <t>Verified + judgment</t>
  </si>
  <si>
    <t>40% of total cost (CRS/CBO A2/A3), rebased to BC (see Assumptions)</t>
  </si>
  <si>
    <t>core = L x (1 - h)</t>
  </si>
  <si>
    <t>Derived</t>
  </si>
  <si>
    <t>identity</t>
  </si>
  <si>
    <t>ceiling = 1 - core</t>
  </si>
  <si>
    <t>p - pass-through material</t>
  </si>
  <si>
    <t>Assumption</t>
  </si>
  <si>
    <t>scenario input; sizes supplier-package value</t>
  </si>
  <si>
    <t>DDG-51 h / L</t>
  </si>
  <si>
    <t>non-nuclear contrast, not Rucker</t>
  </si>
  <si>
    <t>Current off-team POP %</t>
  </si>
  <si>
    <t>Sourced + derived</t>
  </si>
  <si>
    <t>announced POP A5/A6; DDG-51 13% blended (A7)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</si>
</sst>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;\-#,##0.0;&quot;-&quot;"/>
    <numFmt numFmtId="165" formatCode="0.0%;\-0.0%;&quot;-&quot;"/>
  </numFmts>
  <fonts count="10" x14ac:knownFonts="1">
    <font>
      <sz val="8"/>
      <color rgb="FF000000"/>
      <name val="Arial"/>
    </font>
    <font>
      <b/>
      <sz val="8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0000FF"/>
      <name val="Arial"/>
      <family val="2"/>
    </font>
    <font>
      <sz val="8"/>
      <color rgb="FF008000"/>
      <name val="Arial"/>
      <family val="2"/>
    </font>
    <font>
      <i/>
      <sz val="8"/>
      <color rgb="FF000000"/>
      <name val="Arial"/>
      <family val="2"/>
    </font>
    <font>
      <i/>
      <sz val="8"/>
      <color rgb="FF0000FF"/>
      <name val="Arial"/>
      <family val="2"/>
    </font>
    <font>
      <i/>
      <sz val="8"/>
      <color rgb="FF008000"/>
      <name val="Arial"/>
      <family val="2"/>
    </font>
    <font>
      <b/>
      <i/>
      <sz val="8"/>
      <color rgb="FF000000"/>
      <name val="Arial"/>
      <family val="2"/>
    </font>
    <font>
      <sz val="8"/>
      <color indexed="8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164" fontId="0" fillId="0" borderId="0" xfId="0" applyNumberFormat="1"/>
    <xf numFmtId="164" fontId="3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4" fillId="0" borderId="0" xfId="0" applyNumberFormat="1" applyFont="1"/>
    <xf numFmtId="165" fontId="7" fillId="0" borderId="0" xfId="0" applyNumberFormat="1" applyFont="1"/>
    <xf numFmtId="164" fontId="1" fillId="0" borderId="2" xfId="0" applyNumberFormat="1" applyFont="1" applyBorder="1"/>
    <xf numFmtId="165" fontId="8" fillId="0" borderId="2" xfId="0" applyNumberFormat="1" applyFont="1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WorkbookCore_NoFormatTable" defaultPivotStyle="PivotStyleLight16">
    <tableStyle name="WorkbookCore_NoFormatTable" pivot="0" count="13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stBase" displayName="CostBase" ref="B6:I21" totalsRowShown="0">
  <autoFilter ref="B6:I21" xr:uid="{00000000-0009-0000-0100-000001000000}"/>
  <tableColumns count="8">
    <tableColumn id="1" xr3:uid="{00000000-0010-0000-0000-000001000000}" name="Program"/>
    <tableColumn id="2" xr3:uid="{00000000-0010-0000-0000-000002000000}" name="FY"/>
    <tableColumn id="3" xr3:uid="{00000000-0010-0000-0000-000003000000}" name="BC"/>
    <tableColumn id="4" xr3:uid="{00000000-0010-0000-0000-000004000000}" name="GFE"/>
    <tableColumn id="5" xr3:uid="{00000000-0010-0000-0000-000005000000}" name="Total"/>
    <tableColumn id="6" xr3:uid="{00000000-0010-0000-0000-000006000000}" name="Plans+Other"/>
    <tableColumn id="7" xr3:uid="{00000000-0010-0000-0000-000007000000}" name="BC %"/>
    <tableColumn id="8" xr3:uid="{00000000-0010-0000-0000-000008000000}" name="FFATA"/>
  </tableColumns>
  <tableStyleInfo name="WorkbookCore_NoFormatTable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chors" displayName="Anchors" ref="B6:F13" totalsRowShown="0">
  <autoFilter ref="B6:F13" xr:uid="{00000000-0009-0000-0100-000002000000}"/>
  <tableColumns count="5">
    <tableColumn id="1" xr3:uid="{00000000-0010-0000-0100-000001000000}" name="Parameter"/>
    <tableColumn id="2" xr3:uid="{00000000-0010-0000-0100-000002000000}" name="Value"/>
    <tableColumn id="3" xr3:uid="{00000000-0010-0000-0100-000003000000}" name="Basis"/>
    <tableColumn id="4" xr3:uid="{00000000-0010-0000-0100-000004000000}" name="Source"/>
    <tableColumn id="5" xr3:uid="{00000000-0010-0000-0100-000005000000}" name="ID"/>
  </tableColumns>
  <tableStyleInfo name="WorkbookCore_NoFormatTable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2626"/>
    <outlinePr summaryBelow="0"/>
  </sheetPr>
  <dimension ref="A2:F19"/>
  <sheetViews>
    <sheetView showGridLines="0" tabSelected="1" showOutlineSymbols="0" workbookViewId="0">
      <selection activeCell="B1" sqref="B1"/>
    </sheetView>
  </sheetViews>
  <sheetFormatPr baseColWidth="10" defaultColWidth="8.75" defaultRowHeight="10" customHeight="1" outlineLevelRow="1" x14ac:dyDescent="0.15"/>
  <cols>
    <col min="1" max="1" width="2.25" customWidth="1"/>
    <col min="2" max="2" width="42" customWidth="1"/>
    <col min="3" max="6" width="12" customWidth="1"/>
  </cols>
  <sheetData>
    <row r="2" spans="1:6" ht="10" customHeight="1" x14ac:dyDescent="0.15">
      <c r="B2" s="8" t="s">
        <v>0</v>
      </c>
      <c r="C2" s="8"/>
      <c r="D2" s="8"/>
      <c r="E2" s="8"/>
      <c r="F2" s="8"/>
    </row>
    <row r="4" spans="1:6" ht="10" customHeight="1" x14ac:dyDescent="0.15">
      <c r="A4" t="s">
        <v>1</v>
      </c>
      <c r="B4" s="9" t="s">
        <v>2</v>
      </c>
      <c r="C4" s="9"/>
      <c r="D4" s="9"/>
      <c r="E4" s="9"/>
      <c r="F4" s="9"/>
    </row>
    <row r="6" spans="1:6" ht="10" customHeight="1" outlineLevel="1" x14ac:dyDescent="0.15">
      <c r="B6" t="s">
        <v>3</v>
      </c>
      <c r="C6" t="s">
        <v>4</v>
      </c>
    </row>
    <row r="7" spans="1:6" ht="10" customHeight="1" outlineLevel="1" x14ac:dyDescent="0.15">
      <c r="B7" t="s">
        <v>5</v>
      </c>
      <c r="C7" t="s">
        <v>6</v>
      </c>
    </row>
    <row r="8" spans="1:6" ht="10" customHeight="1" outlineLevel="1" x14ac:dyDescent="0.15">
      <c r="B8" t="s">
        <v>7</v>
      </c>
      <c r="C8" t="s">
        <v>8</v>
      </c>
    </row>
    <row r="9" spans="1:6" ht="10" customHeight="1" outlineLevel="1" x14ac:dyDescent="0.15">
      <c r="B9" t="s">
        <v>9</v>
      </c>
      <c r="C9" t="s">
        <v>10</v>
      </c>
    </row>
    <row r="12" spans="1:6" ht="10" customHeight="1" x14ac:dyDescent="0.15">
      <c r="A12" t="s">
        <v>1</v>
      </c>
      <c r="B12" s="9" t="s">
        <v>11</v>
      </c>
      <c r="C12" s="9"/>
      <c r="D12" s="9"/>
      <c r="E12" s="9"/>
      <c r="F12" s="9"/>
    </row>
    <row r="14" spans="1:6" ht="10" customHeight="1" x14ac:dyDescent="0.15">
      <c r="B14" s="2" t="s">
        <v>12</v>
      </c>
      <c r="C14" s="15" t="s">
        <v>13</v>
      </c>
      <c r="D14" s="15" t="s">
        <v>14</v>
      </c>
      <c r="E14" s="15" t="s">
        <v>15</v>
      </c>
      <c r="F14" s="15" t="s">
        <v>16</v>
      </c>
    </row>
    <row r="15" spans="1:6" ht="10" customHeight="1" outlineLevel="1" x14ac:dyDescent="0.15">
      <c r="B15" t="s">
        <v>17</v>
      </c>
      <c r="C15" s="11">
        <f>'Ceiling Model'!C10</f>
        <v>0.25</v>
      </c>
      <c r="D15" s="11">
        <f>'Ceiling Model'!D10</f>
        <v>0.25</v>
      </c>
      <c r="E15" s="11">
        <f>'Ceiling Model'!E10</f>
        <v>0.20249999999999999</v>
      </c>
      <c r="F15" s="11">
        <f>'Ceiling Model'!F10</f>
        <v>0.23880332794280884</v>
      </c>
    </row>
    <row r="16" spans="1:6" ht="10" customHeight="1" outlineLevel="1" x14ac:dyDescent="0.15">
      <c r="B16" t="s">
        <v>18</v>
      </c>
      <c r="C16" s="11">
        <f>'Ceiling Model'!C11</f>
        <v>0.75</v>
      </c>
      <c r="D16" s="11">
        <f>'Ceiling Model'!D11</f>
        <v>0.75</v>
      </c>
      <c r="E16" s="11">
        <f>'Ceiling Model'!E11</f>
        <v>0.79749999999999999</v>
      </c>
      <c r="F16" s="11">
        <f>'Ceiling Model'!F11</f>
        <v>0.76119667205719121</v>
      </c>
    </row>
    <row r="17" spans="2:6" ht="10" customHeight="1" outlineLevel="1" x14ac:dyDescent="0.15">
      <c r="B17" t="s">
        <v>19</v>
      </c>
      <c r="C17" s="11">
        <f>'Conversion Bridge'!C13</f>
        <v>0.5</v>
      </c>
      <c r="D17" s="11">
        <f>'Conversion Bridge'!D13</f>
        <v>0.5</v>
      </c>
      <c r="E17" s="11">
        <f>'Conversion Bridge'!E13</f>
        <v>0.52250000000000008</v>
      </c>
      <c r="F17" s="11">
        <f>'Conversion Bridge'!F13</f>
        <v>0.50530368676393267</v>
      </c>
    </row>
    <row r="18" spans="2:6" ht="10" customHeight="1" outlineLevel="1" x14ac:dyDescent="0.15">
      <c r="B18" t="s">
        <v>20</v>
      </c>
      <c r="C18" s="10">
        <f>'Ceiling Model'!C13</f>
        <v>27207.854250000004</v>
      </c>
      <c r="D18" s="10">
        <f>'Ceiling Model'!D13</f>
        <v>15277.190999999999</v>
      </c>
      <c r="E18" s="10">
        <f>'Ceiling Model'!E13</f>
        <v>13933.108942499997</v>
      </c>
      <c r="F18" s="10">
        <f>'Ceiling Model'!F13</f>
        <v>56418.154192499998</v>
      </c>
    </row>
    <row r="19" spans="2:6" ht="10" customHeight="1" outlineLevel="1" x14ac:dyDescent="0.15">
      <c r="B19" t="s">
        <v>21</v>
      </c>
      <c r="C19" s="10">
        <f>Headroom!C10</f>
        <v>2.2058823529411762</v>
      </c>
      <c r="D19" s="10">
        <f>Headroom!D10</f>
        <v>3.4090909090909092</v>
      </c>
      <c r="E19" s="10">
        <f>Headroom!E10</f>
        <v>6.1346153846153841</v>
      </c>
      <c r="F19" s="10">
        <f>Headroom!F10</f>
        <v>2.9558783762711083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56B2F"/>
    <outlinePr summaryBelow="0"/>
  </sheetPr>
  <dimension ref="A2:E37"/>
  <sheetViews>
    <sheetView showGridLines="0" showOutlineSymbols="0" workbookViewId="0"/>
  </sheetViews>
  <sheetFormatPr baseColWidth="10" defaultColWidth="8.75" defaultRowHeight="10" customHeight="1" outlineLevelRow="1" x14ac:dyDescent="0.15"/>
  <cols>
    <col min="1" max="1" width="2.25" customWidth="1"/>
    <col min="2" max="2" width="52" customWidth="1"/>
    <col min="3" max="5" width="13" customWidth="1"/>
  </cols>
  <sheetData>
    <row r="2" spans="1:5" ht="10" customHeight="1" x14ac:dyDescent="0.15">
      <c r="B2" s="8" t="s">
        <v>22</v>
      </c>
      <c r="C2" s="8"/>
      <c r="D2" s="8"/>
      <c r="E2" s="8"/>
    </row>
    <row r="4" spans="1:5" ht="10" customHeight="1" x14ac:dyDescent="0.15">
      <c r="A4" t="s">
        <v>1</v>
      </c>
      <c r="B4" s="9" t="s">
        <v>23</v>
      </c>
      <c r="C4" s="9"/>
      <c r="D4" s="9"/>
      <c r="E4" s="9"/>
    </row>
    <row r="6" spans="1:5" ht="10" customHeight="1" x14ac:dyDescent="0.15">
      <c r="B6" s="2" t="s">
        <v>24</v>
      </c>
      <c r="C6" s="2" t="s">
        <v>25</v>
      </c>
    </row>
    <row r="7" spans="1:5" ht="10" customHeight="1" outlineLevel="1" x14ac:dyDescent="0.15">
      <c r="B7" t="s">
        <v>26</v>
      </c>
      <c r="C7" t="s">
        <v>6</v>
      </c>
    </row>
    <row r="8" spans="1:5" ht="10" customHeight="1" outlineLevel="1" x14ac:dyDescent="0.15">
      <c r="B8" t="s">
        <v>27</v>
      </c>
      <c r="C8" t="s">
        <v>28</v>
      </c>
    </row>
    <row r="9" spans="1:5" ht="10" customHeight="1" outlineLevel="1" x14ac:dyDescent="0.15">
      <c r="B9" t="s">
        <v>29</v>
      </c>
      <c r="C9" t="s">
        <v>30</v>
      </c>
    </row>
    <row r="10" spans="1:5" ht="10" customHeight="1" outlineLevel="1" x14ac:dyDescent="0.15">
      <c r="B10" t="s">
        <v>31</v>
      </c>
      <c r="C10" t="s">
        <v>32</v>
      </c>
    </row>
    <row r="13" spans="1:5" ht="10" customHeight="1" x14ac:dyDescent="0.15">
      <c r="A13" t="s">
        <v>1</v>
      </c>
      <c r="B13" s="9" t="s">
        <v>33</v>
      </c>
      <c r="C13" s="9"/>
      <c r="D13" s="9"/>
      <c r="E13" s="9"/>
    </row>
    <row r="15" spans="1:5" ht="10" customHeight="1" x14ac:dyDescent="0.15">
      <c r="B15" s="2" t="s">
        <v>34</v>
      </c>
      <c r="C15" s="15" t="s">
        <v>13</v>
      </c>
      <c r="D15" s="15" t="s">
        <v>14</v>
      </c>
      <c r="E15" s="15" t="s">
        <v>15</v>
      </c>
    </row>
    <row r="16" spans="1:5" ht="10" customHeight="1" outlineLevel="1" x14ac:dyDescent="0.15">
      <c r="B16" t="s">
        <v>35</v>
      </c>
      <c r="C16" s="7">
        <v>0.5</v>
      </c>
      <c r="D16" s="7">
        <v>0.5</v>
      </c>
      <c r="E16" s="7">
        <v>0.55000000000000004</v>
      </c>
    </row>
    <row r="17" spans="1:5" ht="10" customHeight="1" outlineLevel="1" x14ac:dyDescent="0.15">
      <c r="B17" t="s">
        <v>36</v>
      </c>
      <c r="C17" s="7">
        <v>0.5</v>
      </c>
      <c r="D17" s="7">
        <v>0.5</v>
      </c>
      <c r="E17" s="7">
        <v>0.45</v>
      </c>
    </row>
    <row r="19" spans="1:5" ht="10" customHeight="1" x14ac:dyDescent="0.15">
      <c r="B19" s="2" t="s">
        <v>37</v>
      </c>
      <c r="C19" s="15" t="s">
        <v>25</v>
      </c>
    </row>
    <row r="20" spans="1:5" ht="10" customHeight="1" outlineLevel="1" x14ac:dyDescent="0.15">
      <c r="B20" t="s">
        <v>38</v>
      </c>
      <c r="C20" s="7">
        <v>0.5</v>
      </c>
    </row>
    <row r="22" spans="1:5" ht="10" customHeight="1" x14ac:dyDescent="0.15">
      <c r="B22" s="2" t="s">
        <v>39</v>
      </c>
      <c r="C22" s="15" t="s">
        <v>25</v>
      </c>
    </row>
    <row r="23" spans="1:5" ht="10" customHeight="1" outlineLevel="1" x14ac:dyDescent="0.15">
      <c r="B23" t="s">
        <v>40</v>
      </c>
      <c r="C23" s="6">
        <v>0.4</v>
      </c>
    </row>
    <row r="24" spans="1:5" ht="10" customHeight="1" outlineLevel="1" x14ac:dyDescent="0.15">
      <c r="B24" t="s">
        <v>41</v>
      </c>
      <c r="C24" s="6">
        <f>(SUMIF('Cost Base'!$B$7:$B$21,"Virginia",'Cost Base'!$D$7:$D$21)+SUMIF('Cost Base'!$B$7:$B$21,"Columbia",'Cost Base'!$D$7:$D$21)+SUMIF('Cost Base'!$B$7:$B$21,"DDG-51",'Cost Base'!$D$7:$D$21))/(SUMIF('Cost Base'!$B$7:$B$21,"Virginia",'Cost Base'!$F$7:$F$21)+SUMIF('Cost Base'!$B$7:$B$21,"Columbia",'Cost Base'!$F$7:$F$21)+SUMIF('Cost Base'!$B$7:$B$21,"DDG-51",'Cost Base'!$F$7:$F$21))</f>
        <v>0.65171741461728083</v>
      </c>
    </row>
    <row r="25" spans="1:5" ht="10" customHeight="1" outlineLevel="1" x14ac:dyDescent="0.15">
      <c r="B25" t="s">
        <v>42</v>
      </c>
      <c r="C25" s="6">
        <f>C23/C24</f>
        <v>0.61376294545527665</v>
      </c>
    </row>
    <row r="26" spans="1:5" ht="10" customHeight="1" outlineLevel="1" x14ac:dyDescent="0.15">
      <c r="B26" t="s">
        <v>43</v>
      </c>
    </row>
    <row r="29" spans="1:5" ht="10" customHeight="1" x14ac:dyDescent="0.15">
      <c r="A29" t="s">
        <v>1</v>
      </c>
      <c r="B29" s="9" t="s">
        <v>44</v>
      </c>
      <c r="C29" s="9"/>
      <c r="D29" s="9"/>
      <c r="E29" s="9"/>
    </row>
    <row r="31" spans="1:5" ht="10" customHeight="1" x14ac:dyDescent="0.15">
      <c r="B31" s="2" t="s">
        <v>45</v>
      </c>
      <c r="C31" s="15" t="s">
        <v>13</v>
      </c>
      <c r="D31" s="15" t="s">
        <v>14</v>
      </c>
      <c r="E31" s="15" t="s">
        <v>15</v>
      </c>
    </row>
    <row r="32" spans="1:5" ht="10" customHeight="1" outlineLevel="1" x14ac:dyDescent="0.15">
      <c r="B32" t="s">
        <v>46</v>
      </c>
      <c r="C32" s="7">
        <v>0.34</v>
      </c>
      <c r="D32" s="7">
        <v>0.22</v>
      </c>
      <c r="E32" s="7">
        <v>0.13</v>
      </c>
    </row>
    <row r="34" spans="2:3" ht="10" customHeight="1" x14ac:dyDescent="0.15">
      <c r="B34" s="2" t="s">
        <v>47</v>
      </c>
      <c r="C34" s="15" t="s">
        <v>25</v>
      </c>
    </row>
    <row r="35" spans="2:3" ht="10" customHeight="1" outlineLevel="1" x14ac:dyDescent="0.15">
      <c r="B35" t="s">
        <v>48</v>
      </c>
      <c r="C35" s="7">
        <v>0.5</v>
      </c>
    </row>
    <row r="36" spans="2:3" ht="10" customHeight="1" outlineLevel="1" x14ac:dyDescent="0.15">
      <c r="B36" t="s">
        <v>49</v>
      </c>
      <c r="C36" s="7">
        <v>0.6</v>
      </c>
    </row>
    <row r="37" spans="2:3" ht="10" customHeight="1" outlineLevel="1" x14ac:dyDescent="0.15">
      <c r="B37" t="s">
        <v>50</v>
      </c>
      <c r="C37" s="7">
        <v>0.65</v>
      </c>
    </row>
  </sheetData>
  <dataValidations count="1">
    <dataValidation type="decimal" allowBlank="1" showErrorMessage="1" sqref="C16:E17 C35:C37 C32:E32 C20" xr:uid="{00000000-0002-0000-0100-000000000000}">
      <formula1>0</formula1>
      <formula2>1</formula2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8596B"/>
    <outlinePr summaryBelow="0"/>
  </sheetPr>
  <dimension ref="A2:F13"/>
  <sheetViews>
    <sheetView showGridLines="0" showOutlineSymbols="0" workbookViewId="0"/>
  </sheetViews>
  <sheetFormatPr baseColWidth="10" defaultColWidth="8.75" defaultRowHeight="10" customHeight="1" outlineLevelRow="1" x14ac:dyDescent="0.15"/>
  <cols>
    <col min="1" max="1" width="2.25" customWidth="1"/>
    <col min="2" max="2" width="40" customWidth="1"/>
    <col min="3" max="6" width="12" customWidth="1"/>
  </cols>
  <sheetData>
    <row r="2" spans="1:6" ht="10" customHeight="1" x14ac:dyDescent="0.15">
      <c r="B2" s="8" t="s">
        <v>51</v>
      </c>
      <c r="C2" s="8"/>
      <c r="D2" s="8"/>
      <c r="E2" s="8"/>
      <c r="F2" s="8"/>
    </row>
    <row r="4" spans="1:6" ht="10" customHeight="1" x14ac:dyDescent="0.15">
      <c r="A4" t="s">
        <v>1</v>
      </c>
      <c r="B4" s="9" t="s">
        <v>52</v>
      </c>
      <c r="C4" s="9"/>
      <c r="D4" s="9"/>
      <c r="E4" s="9"/>
      <c r="F4" s="9"/>
    </row>
    <row r="6" spans="1:6" ht="10" customHeight="1" x14ac:dyDescent="0.15">
      <c r="B6" s="2" t="s">
        <v>12</v>
      </c>
      <c r="C6" s="15" t="s">
        <v>13</v>
      </c>
      <c r="D6" s="15" t="s">
        <v>14</v>
      </c>
      <c r="E6" s="15" t="s">
        <v>15</v>
      </c>
      <c r="F6" s="15" t="s">
        <v>16</v>
      </c>
    </row>
    <row r="7" spans="1:6" ht="10" customHeight="1" outlineLevel="1" x14ac:dyDescent="0.15">
      <c r="B7" t="s">
        <v>53</v>
      </c>
      <c r="C7" s="10">
        <f>SUMIF('Cost Base'!$B$7:$B$21,"Virginia",'Cost Base'!$D$7:$D$21)</f>
        <v>36277.139000000003</v>
      </c>
      <c r="D7" s="10">
        <f>SUMIF('Cost Base'!$B$7:$B$21,"Columbia",'Cost Base'!$D$7:$D$21)</f>
        <v>20369.588</v>
      </c>
      <c r="E7" s="10">
        <f>SUMIF('Cost Base'!$B$7:$B$21,"DDG-51",'Cost Base'!$D$7:$D$21)</f>
        <v>17470.982999999997</v>
      </c>
      <c r="F7" s="4">
        <f>SUM(C7:E7)</f>
        <v>74117.709999999992</v>
      </c>
    </row>
    <row r="8" spans="1:6" ht="10" customHeight="1" outlineLevel="1" x14ac:dyDescent="0.15">
      <c r="B8" t="s">
        <v>36</v>
      </c>
      <c r="C8" s="11">
        <f>Assumptions!C17</f>
        <v>0.5</v>
      </c>
      <c r="D8" s="11">
        <f>Assumptions!D17</f>
        <v>0.5</v>
      </c>
      <c r="E8" s="11">
        <f>Assumptions!E17</f>
        <v>0.45</v>
      </c>
    </row>
    <row r="9" spans="1:6" ht="10" customHeight="1" outlineLevel="1" x14ac:dyDescent="0.15">
      <c r="B9" t="s">
        <v>35</v>
      </c>
      <c r="C9" s="11">
        <f>Assumptions!C16</f>
        <v>0.5</v>
      </c>
      <c r="D9" s="11">
        <f>Assumptions!D16</f>
        <v>0.5</v>
      </c>
      <c r="E9" s="11">
        <f>Assumptions!E16</f>
        <v>0.55000000000000004</v>
      </c>
    </row>
    <row r="10" spans="1:6" ht="10" customHeight="1" outlineLevel="1" x14ac:dyDescent="0.15">
      <c r="B10" s="1" t="s">
        <v>54</v>
      </c>
      <c r="C10" s="6">
        <f>C8*(1-C9)</f>
        <v>0.25</v>
      </c>
      <c r="D10" s="6">
        <f>D8*(1-D9)</f>
        <v>0.25</v>
      </c>
      <c r="E10" s="6">
        <f>E8*(1-E9)</f>
        <v>0.20249999999999999</v>
      </c>
      <c r="F10" s="6">
        <f>IF(F7=0,0,F12/F7)</f>
        <v>0.23880332794280884</v>
      </c>
    </row>
    <row r="11" spans="1:6" ht="10" customHeight="1" outlineLevel="1" x14ac:dyDescent="0.15">
      <c r="B11" s="1" t="s">
        <v>55</v>
      </c>
      <c r="C11" s="6">
        <f>1-C10</f>
        <v>0.75</v>
      </c>
      <c r="D11" s="6">
        <f>1-D10</f>
        <v>0.75</v>
      </c>
      <c r="E11" s="6">
        <f>1-E10</f>
        <v>0.79749999999999999</v>
      </c>
      <c r="F11" s="6">
        <f>1-F10</f>
        <v>0.76119667205719121</v>
      </c>
    </row>
    <row r="12" spans="1:6" ht="10" customHeight="1" outlineLevel="1" x14ac:dyDescent="0.15">
      <c r="B12" t="s">
        <v>56</v>
      </c>
      <c r="C12" s="4">
        <f>C10*C7</f>
        <v>9069.2847500000007</v>
      </c>
      <c r="D12" s="4">
        <f>D10*D7</f>
        <v>5092.3969999999999</v>
      </c>
      <c r="E12" s="4">
        <f>E10*E7</f>
        <v>3537.8740574999993</v>
      </c>
      <c r="F12" s="4">
        <f>SUM(C12:E12)</f>
        <v>17699.555807500001</v>
      </c>
    </row>
    <row r="13" spans="1:6" ht="10" customHeight="1" outlineLevel="1" x14ac:dyDescent="0.15">
      <c r="B13" s="1" t="s">
        <v>57</v>
      </c>
      <c r="C13" s="4">
        <f>C11*C7</f>
        <v>27207.854250000004</v>
      </c>
      <c r="D13" s="4">
        <f>D11*D7</f>
        <v>15277.190999999999</v>
      </c>
      <c r="E13" s="4">
        <f>E11*E7</f>
        <v>13933.108942499997</v>
      </c>
      <c r="F13" s="4">
        <f>SUM(C13:E13)</f>
        <v>56418.154192499998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8596B"/>
    <outlinePr summaryBelow="0"/>
  </sheetPr>
  <dimension ref="A2:F15"/>
  <sheetViews>
    <sheetView showGridLines="0" showOutlineSymbols="0" workbookViewId="0"/>
  </sheetViews>
  <sheetFormatPr baseColWidth="10" defaultColWidth="8.75" defaultRowHeight="10" customHeight="1" outlineLevelRow="1" x14ac:dyDescent="0.15"/>
  <cols>
    <col min="1" max="1" width="2.25" customWidth="1"/>
    <col min="2" max="2" width="48" customWidth="1"/>
    <col min="3" max="6" width="12" customWidth="1"/>
  </cols>
  <sheetData>
    <row r="2" spans="1:6" ht="10" customHeight="1" x14ac:dyDescent="0.15">
      <c r="B2" s="8" t="s">
        <v>58</v>
      </c>
      <c r="C2" s="8"/>
      <c r="D2" s="8"/>
      <c r="E2" s="8"/>
      <c r="F2" s="8"/>
    </row>
    <row r="4" spans="1:6" ht="10" customHeight="1" x14ac:dyDescent="0.15">
      <c r="A4" t="s">
        <v>1</v>
      </c>
      <c r="B4" s="9" t="s">
        <v>59</v>
      </c>
      <c r="C4" s="9"/>
      <c r="D4" s="9"/>
      <c r="E4" s="9"/>
      <c r="F4" s="9"/>
    </row>
    <row r="6" spans="1:6" ht="10" customHeight="1" x14ac:dyDescent="0.15">
      <c r="B6" s="2" t="s">
        <v>12</v>
      </c>
      <c r="C6" s="15" t="s">
        <v>13</v>
      </c>
      <c r="D6" s="15" t="s">
        <v>14</v>
      </c>
      <c r="E6" s="15" t="s">
        <v>15</v>
      </c>
      <c r="F6" s="15" t="s">
        <v>16</v>
      </c>
    </row>
    <row r="7" spans="1:6" ht="10" customHeight="1" outlineLevel="1" x14ac:dyDescent="0.15">
      <c r="B7" t="s">
        <v>53</v>
      </c>
      <c r="C7" s="10">
        <f>'Ceiling Model'!C7</f>
        <v>36277.139000000003</v>
      </c>
      <c r="D7" s="10">
        <f>'Ceiling Model'!D7</f>
        <v>20369.588</v>
      </c>
      <c r="E7" s="10">
        <f>'Ceiling Model'!E7</f>
        <v>17470.982999999997</v>
      </c>
      <c r="F7" s="4">
        <f>SUM(C7:E7)</f>
        <v>74117.709999999992</v>
      </c>
    </row>
    <row r="8" spans="1:6" ht="10" customHeight="1" outlineLevel="1" x14ac:dyDescent="0.15">
      <c r="B8" t="s">
        <v>36</v>
      </c>
      <c r="C8" s="11">
        <f>Assumptions!C17</f>
        <v>0.5</v>
      </c>
      <c r="D8" s="11">
        <f>Assumptions!D17</f>
        <v>0.5</v>
      </c>
      <c r="E8" s="11">
        <f>Assumptions!E17</f>
        <v>0.45</v>
      </c>
    </row>
    <row r="9" spans="1:6" ht="10" customHeight="1" outlineLevel="1" x14ac:dyDescent="0.15">
      <c r="B9" t="s">
        <v>35</v>
      </c>
      <c r="C9" s="11">
        <f>Assumptions!C16</f>
        <v>0.5</v>
      </c>
      <c r="D9" s="11">
        <f>Assumptions!D16</f>
        <v>0.5</v>
      </c>
      <c r="E9" s="11">
        <f>Assumptions!E16</f>
        <v>0.55000000000000004</v>
      </c>
    </row>
    <row r="10" spans="1:6" ht="10" customHeight="1" outlineLevel="1" x14ac:dyDescent="0.15">
      <c r="B10" t="s">
        <v>60</v>
      </c>
      <c r="C10" s="11">
        <f>Assumptions!C20</f>
        <v>0.5</v>
      </c>
    </row>
    <row r="11" spans="1:6" ht="10" customHeight="1" outlineLevel="1" x14ac:dyDescent="0.15">
      <c r="B11" t="s">
        <v>61</v>
      </c>
      <c r="C11" s="6">
        <f>1-C8</f>
        <v>0.5</v>
      </c>
      <c r="D11" s="6">
        <f>1-D8</f>
        <v>0.5</v>
      </c>
      <c r="E11" s="6">
        <f>1-E8</f>
        <v>0.55000000000000004</v>
      </c>
    </row>
    <row r="12" spans="1:6" ht="10" customHeight="1" outlineLevel="1" x14ac:dyDescent="0.15">
      <c r="B12" t="s">
        <v>62</v>
      </c>
      <c r="C12" s="6">
        <f>C9*C8</f>
        <v>0.25</v>
      </c>
      <c r="D12" s="6">
        <f>D9*D8</f>
        <v>0.25</v>
      </c>
      <c r="E12" s="6">
        <f>E9*E8</f>
        <v>0.24750000000000003</v>
      </c>
      <c r="F12" s="6">
        <f>IF(F7=0,0,SUMPRODUCT(C12:E12,C7:E7)/F7)</f>
        <v>0.24941070147067418</v>
      </c>
    </row>
    <row r="13" spans="1:6" ht="10" customHeight="1" outlineLevel="1" x14ac:dyDescent="0.15">
      <c r="B13" s="1" t="s">
        <v>63</v>
      </c>
      <c r="C13" s="6">
        <f>C9*C8+Assumptions!C20*C11</f>
        <v>0.5</v>
      </c>
      <c r="D13" s="6">
        <f>D9*D8+Assumptions!C20*D11</f>
        <v>0.5</v>
      </c>
      <c r="E13" s="6">
        <f>E9*E8+Assumptions!C20*E11</f>
        <v>0.52250000000000008</v>
      </c>
      <c r="F13" s="6">
        <f>IF(F7=0,0,F15/F7)</f>
        <v>0.50530368676393267</v>
      </c>
    </row>
    <row r="14" spans="1:6" ht="10" customHeight="1" outlineLevel="1" x14ac:dyDescent="0.15">
      <c r="B14" t="s">
        <v>64</v>
      </c>
      <c r="C14" s="6">
        <f>C9*C8+C11</f>
        <v>0.75</v>
      </c>
      <c r="D14" s="6">
        <f>D9*D8+D11</f>
        <v>0.75</v>
      </c>
      <c r="E14" s="6">
        <f>E9*E8+E11</f>
        <v>0.7975000000000001</v>
      </c>
      <c r="F14" s="6">
        <f>IF(F7=0,0,SUMPRODUCT(C14:E14,C7:E7)/F7)</f>
        <v>0.76119667205719133</v>
      </c>
    </row>
    <row r="15" spans="1:6" ht="10" customHeight="1" outlineLevel="1" x14ac:dyDescent="0.15">
      <c r="B15" s="1" t="s">
        <v>65</v>
      </c>
      <c r="C15" s="4">
        <f>C13*C7</f>
        <v>18138.569500000001</v>
      </c>
      <c r="D15" s="4">
        <f>D13*D7</f>
        <v>10184.794</v>
      </c>
      <c r="E15" s="4">
        <f>E13*E7</f>
        <v>9128.5886174999996</v>
      </c>
      <c r="F15" s="4">
        <f>SUM(C15:E15)</f>
        <v>37451.952117499997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8596B"/>
    <outlinePr summaryBelow="0"/>
  </sheetPr>
  <dimension ref="A2:F14"/>
  <sheetViews>
    <sheetView showGridLines="0" showOutlineSymbols="0" workbookViewId="0"/>
  </sheetViews>
  <sheetFormatPr baseColWidth="10" defaultColWidth="8.75" defaultRowHeight="10" customHeight="1" outlineLevelRow="1" x14ac:dyDescent="0.15"/>
  <cols>
    <col min="1" max="1" width="2.25" customWidth="1"/>
    <col min="2" max="2" width="46" customWidth="1"/>
    <col min="3" max="6" width="12" customWidth="1"/>
  </cols>
  <sheetData>
    <row r="2" spans="1:6" ht="10" customHeight="1" x14ac:dyDescent="0.15">
      <c r="B2" s="8" t="s">
        <v>66</v>
      </c>
      <c r="C2" s="8"/>
      <c r="D2" s="8"/>
      <c r="E2" s="8"/>
      <c r="F2" s="8"/>
    </row>
    <row r="4" spans="1:6" ht="10" customHeight="1" x14ac:dyDescent="0.15">
      <c r="A4" t="s">
        <v>1</v>
      </c>
      <c r="B4" s="9" t="s">
        <v>67</v>
      </c>
      <c r="C4" s="9"/>
      <c r="D4" s="9"/>
      <c r="E4" s="9"/>
      <c r="F4" s="9"/>
    </row>
    <row r="6" spans="1:6" ht="10" customHeight="1" x14ac:dyDescent="0.15">
      <c r="B6" s="2" t="s">
        <v>12</v>
      </c>
      <c r="C6" s="15" t="s">
        <v>13</v>
      </c>
      <c r="D6" s="15" t="s">
        <v>14</v>
      </c>
      <c r="E6" s="15" t="s">
        <v>15</v>
      </c>
      <c r="F6" s="15" t="s">
        <v>16</v>
      </c>
    </row>
    <row r="7" spans="1:6" ht="10" customHeight="1" outlineLevel="1" x14ac:dyDescent="0.15">
      <c r="B7" t="s">
        <v>53</v>
      </c>
      <c r="C7" s="10">
        <f>'Ceiling Model'!C7</f>
        <v>36277.139000000003</v>
      </c>
      <c r="D7" s="10">
        <f>'Ceiling Model'!D7</f>
        <v>20369.588</v>
      </c>
      <c r="E7" s="10">
        <f>'Ceiling Model'!E7</f>
        <v>17470.982999999997</v>
      </c>
      <c r="F7" s="4">
        <f>SUM(C7:E7)</f>
        <v>74117.709999999992</v>
      </c>
    </row>
    <row r="8" spans="1:6" ht="10" customHeight="1" outlineLevel="1" x14ac:dyDescent="0.15">
      <c r="B8" t="s">
        <v>68</v>
      </c>
      <c r="C8" s="11">
        <f>Assumptions!C32</f>
        <v>0.34</v>
      </c>
      <c r="D8" s="11">
        <f>Assumptions!D32</f>
        <v>0.22</v>
      </c>
      <c r="E8" s="11">
        <f>Assumptions!E32</f>
        <v>0.13</v>
      </c>
      <c r="F8" s="6">
        <f>IF(F7=0,0,F11/F7)</f>
        <v>0.25751961859048272</v>
      </c>
    </row>
    <row r="9" spans="1:6" ht="10" customHeight="1" outlineLevel="1" x14ac:dyDescent="0.15">
      <c r="B9" t="s">
        <v>69</v>
      </c>
      <c r="C9" s="11">
        <f>'Ceiling Model'!C11</f>
        <v>0.75</v>
      </c>
      <c r="D9" s="11">
        <f>'Ceiling Model'!D11</f>
        <v>0.75</v>
      </c>
      <c r="E9" s="11">
        <f>'Ceiling Model'!E11</f>
        <v>0.79749999999999999</v>
      </c>
      <c r="F9" s="6">
        <f>IF(F7=0,0,F12/F7)</f>
        <v>0.76119667205719121</v>
      </c>
    </row>
    <row r="10" spans="1:6" ht="10" customHeight="1" outlineLevel="1" x14ac:dyDescent="0.15">
      <c r="B10" s="1" t="s">
        <v>70</v>
      </c>
      <c r="C10" s="4">
        <f>IF(C8=0,0,C9/C8)</f>
        <v>2.2058823529411762</v>
      </c>
      <c r="D10" s="4">
        <f>IF(D8=0,0,D9/D8)</f>
        <v>3.4090909090909092</v>
      </c>
      <c r="E10" s="4">
        <f>IF(E8=0,0,E9/E8)</f>
        <v>6.1346153846153841</v>
      </c>
      <c r="F10" s="4">
        <f>IF(F8=0,0,F9/F8)</f>
        <v>2.9558783762711083</v>
      </c>
    </row>
    <row r="11" spans="1:6" ht="10" customHeight="1" outlineLevel="1" x14ac:dyDescent="0.15">
      <c r="B11" t="s">
        <v>71</v>
      </c>
      <c r="C11" s="4">
        <f>C8*C7</f>
        <v>12334.227260000001</v>
      </c>
      <c r="D11" s="4">
        <f>D8*D7</f>
        <v>4481.3093600000002</v>
      </c>
      <c r="E11" s="4">
        <f>E8*E7</f>
        <v>2271.2277899999995</v>
      </c>
      <c r="F11" s="4">
        <f>SUM(C11:E11)</f>
        <v>19086.764410000003</v>
      </c>
    </row>
    <row r="12" spans="1:6" ht="10" customHeight="1" outlineLevel="1" x14ac:dyDescent="0.15">
      <c r="B12" s="1" t="s">
        <v>57</v>
      </c>
      <c r="C12" s="10">
        <f>'Ceiling Model'!C13</f>
        <v>27207.854250000004</v>
      </c>
      <c r="D12" s="10">
        <f>'Ceiling Model'!D13</f>
        <v>15277.190999999999</v>
      </c>
      <c r="E12" s="10">
        <f>'Ceiling Model'!E13</f>
        <v>13933.108942499997</v>
      </c>
      <c r="F12" s="4">
        <f>SUM(C12:E12)</f>
        <v>56418.154192499998</v>
      </c>
    </row>
    <row r="13" spans="1:6" ht="10" customHeight="1" outlineLevel="1" x14ac:dyDescent="0.15">
      <c r="B13" t="s">
        <v>72</v>
      </c>
      <c r="C13" s="10">
        <f>SUMIF('Cost Base'!$B$7:$B$21,"Virginia",'Cost Base'!$I$7:$I$21)</f>
        <v>1905.36</v>
      </c>
      <c r="D13" s="10">
        <f>SUMIF('Cost Base'!$B$7:$B$21,"Columbia",'Cost Base'!$I$7:$I$21)</f>
        <v>837.99</v>
      </c>
      <c r="E13" s="10">
        <f>SUMIF('Cost Base'!$B$7:$B$21,"DDG-51",'Cost Base'!$I$7:$I$21)</f>
        <v>1762.64</v>
      </c>
      <c r="F13" s="4">
        <f>SUM(C13:E13)</f>
        <v>4505.99</v>
      </c>
    </row>
    <row r="14" spans="1:6" ht="10" customHeight="1" outlineLevel="1" x14ac:dyDescent="0.15">
      <c r="B14" t="s">
        <v>73</v>
      </c>
      <c r="C14" s="4">
        <f>Assumptions!C36*C7</f>
        <v>21766.2834</v>
      </c>
      <c r="D14" s="4">
        <f>Assumptions!C36*D7</f>
        <v>12221.7528</v>
      </c>
      <c r="E14" s="4">
        <f>Assumptions!C36*E7</f>
        <v>10482.589799999998</v>
      </c>
      <c r="F14" s="4">
        <f>SUM(C14:E14)</f>
        <v>44470.626000000004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03864"/>
    <outlinePr summaryBelow="0"/>
  </sheetPr>
  <dimension ref="A2:I22"/>
  <sheetViews>
    <sheetView showGridLines="0" showOutlineSymbols="0" workbookViewId="0"/>
  </sheetViews>
  <sheetFormatPr baseColWidth="10" defaultColWidth="8.75" defaultRowHeight="10" customHeight="1" outlineLevelRow="1" x14ac:dyDescent="0.15"/>
  <cols>
    <col min="1" max="1" width="2.25" customWidth="1"/>
    <col min="2" max="2" width="11" customWidth="1"/>
    <col min="3" max="3" width="7" customWidth="1"/>
    <col min="4" max="5" width="11" customWidth="1"/>
    <col min="6" max="6" width="12" customWidth="1"/>
    <col min="7" max="7" width="13" customWidth="1"/>
    <col min="8" max="8" width="10" customWidth="1"/>
    <col min="9" max="9" width="11" customWidth="1"/>
  </cols>
  <sheetData>
    <row r="2" spans="1:9" ht="10" customHeight="1" x14ac:dyDescent="0.15">
      <c r="B2" s="8" t="s">
        <v>74</v>
      </c>
      <c r="C2" s="8"/>
      <c r="D2" s="8"/>
      <c r="E2" s="8"/>
      <c r="F2" s="8"/>
      <c r="G2" s="8"/>
      <c r="H2" s="8"/>
      <c r="I2" s="8"/>
    </row>
    <row r="4" spans="1:9" ht="10" customHeight="1" x14ac:dyDescent="0.15">
      <c r="A4" t="s">
        <v>1</v>
      </c>
      <c r="B4" s="9" t="s">
        <v>75</v>
      </c>
      <c r="C4" s="9"/>
      <c r="D4" s="9"/>
      <c r="E4" s="9"/>
      <c r="F4" s="9"/>
      <c r="G4" s="9"/>
      <c r="H4" s="9"/>
      <c r="I4" s="9"/>
    </row>
    <row r="6" spans="1:9" ht="10" customHeight="1" x14ac:dyDescent="0.15">
      <c r="B6" s="2" t="s">
        <v>76</v>
      </c>
      <c r="C6" s="15" t="s">
        <v>77</v>
      </c>
      <c r="D6" s="2" t="s">
        <v>78</v>
      </c>
      <c r="E6" s="2" t="s">
        <v>79</v>
      </c>
      <c r="F6" s="2" t="s">
        <v>80</v>
      </c>
      <c r="G6" s="2" t="s">
        <v>81</v>
      </c>
      <c r="H6" s="2" t="s">
        <v>82</v>
      </c>
      <c r="I6" s="2" t="s">
        <v>83</v>
      </c>
    </row>
    <row r="7" spans="1:9" ht="10" customHeight="1" outlineLevel="1" x14ac:dyDescent="0.15">
      <c r="B7" t="s">
        <v>13</v>
      </c>
      <c r="C7">
        <v>2022</v>
      </c>
      <c r="D7" s="5">
        <v>4758.2830000000004</v>
      </c>
      <c r="E7" s="5">
        <v>1587.366</v>
      </c>
      <c r="F7" s="5">
        <v>6915.7569999999996</v>
      </c>
      <c r="G7" s="4">
        <f t="shared" ref="G7:G21" si="0">F7-D7-E7</f>
        <v>570.10799999999927</v>
      </c>
      <c r="H7" s="6">
        <f t="shared" ref="H7:H22" si="1">IF(F7=0,0,D7/F7)</f>
        <v>0.68803501915986931</v>
      </c>
      <c r="I7" s="5">
        <v>241.07</v>
      </c>
    </row>
    <row r="8" spans="1:9" ht="10" customHeight="1" outlineLevel="1" x14ac:dyDescent="0.15">
      <c r="B8" t="s">
        <v>13</v>
      </c>
      <c r="C8">
        <v>2023</v>
      </c>
      <c r="D8" s="5">
        <v>5095.4480000000003</v>
      </c>
      <c r="E8" s="5">
        <v>1634.461</v>
      </c>
      <c r="F8" s="5">
        <v>7250.5789999999997</v>
      </c>
      <c r="G8" s="4">
        <f t="shared" si="0"/>
        <v>520.66999999999939</v>
      </c>
      <c r="H8" s="6">
        <f t="shared" si="1"/>
        <v>0.70276428958294235</v>
      </c>
      <c r="I8" s="5">
        <v>939.9</v>
      </c>
    </row>
    <row r="9" spans="1:9" ht="10" customHeight="1" outlineLevel="1" x14ac:dyDescent="0.15">
      <c r="B9" t="s">
        <v>13</v>
      </c>
      <c r="C9">
        <v>2024</v>
      </c>
      <c r="D9" s="5">
        <v>9070.7620000000006</v>
      </c>
      <c r="E9" s="5">
        <v>1683.8420000000001</v>
      </c>
      <c r="F9" s="5">
        <v>11377.643</v>
      </c>
      <c r="G9" s="4">
        <f t="shared" si="0"/>
        <v>623.03899999999931</v>
      </c>
      <c r="H9" s="6">
        <f t="shared" si="1"/>
        <v>0.79724438532655673</v>
      </c>
      <c r="I9" s="5">
        <v>462.23</v>
      </c>
    </row>
    <row r="10" spans="1:9" ht="10" customHeight="1" outlineLevel="1" x14ac:dyDescent="0.15">
      <c r="B10" t="s">
        <v>13</v>
      </c>
      <c r="C10">
        <v>2025</v>
      </c>
      <c r="D10" s="5">
        <v>5326.5439999999999</v>
      </c>
      <c r="E10" s="5">
        <v>1318.2139999999999</v>
      </c>
      <c r="F10" s="5">
        <v>9500.5339999999997</v>
      </c>
      <c r="G10" s="4">
        <f t="shared" si="0"/>
        <v>2855.7759999999998</v>
      </c>
      <c r="H10" s="6">
        <f t="shared" si="1"/>
        <v>0.56065732726181494</v>
      </c>
      <c r="I10" s="5">
        <v>261.86</v>
      </c>
    </row>
    <row r="11" spans="1:9" ht="10" customHeight="1" outlineLevel="1" x14ac:dyDescent="0.15">
      <c r="B11" t="s">
        <v>13</v>
      </c>
      <c r="C11">
        <v>2026</v>
      </c>
      <c r="D11" s="5">
        <v>3136.7919999999999</v>
      </c>
      <c r="E11" s="5">
        <v>1633.585</v>
      </c>
      <c r="F11" s="5">
        <v>5389.1090000000004</v>
      </c>
      <c r="G11" s="4">
        <f t="shared" si="0"/>
        <v>618.73200000000043</v>
      </c>
      <c r="H11" s="6">
        <f t="shared" si="1"/>
        <v>0.58206133889665246</v>
      </c>
      <c r="I11" s="5">
        <v>0.3</v>
      </c>
    </row>
    <row r="12" spans="1:9" ht="10" customHeight="1" outlineLevel="1" x14ac:dyDescent="0.15">
      <c r="B12" t="s">
        <v>13</v>
      </c>
      <c r="C12">
        <v>2027</v>
      </c>
      <c r="D12" s="5">
        <v>8889.31</v>
      </c>
      <c r="E12" s="5">
        <v>1897.9880000000001</v>
      </c>
      <c r="F12" s="5">
        <v>11437.036</v>
      </c>
      <c r="G12" s="4">
        <f t="shared" si="0"/>
        <v>649.73800000000051</v>
      </c>
      <c r="H12" s="6">
        <f t="shared" si="1"/>
        <v>0.77723896296208206</v>
      </c>
      <c r="I12" s="5">
        <v>0</v>
      </c>
    </row>
    <row r="13" spans="1:9" ht="10" customHeight="1" outlineLevel="1" x14ac:dyDescent="0.15">
      <c r="B13" t="s">
        <v>14</v>
      </c>
      <c r="C13">
        <v>2024</v>
      </c>
      <c r="D13" s="5">
        <v>6356.0870000000004</v>
      </c>
      <c r="E13" s="5">
        <v>2560.4569999999999</v>
      </c>
      <c r="F13" s="5">
        <v>10688.811</v>
      </c>
      <c r="G13" s="4">
        <f t="shared" si="0"/>
        <v>1772.2669999999994</v>
      </c>
      <c r="H13" s="6">
        <f t="shared" si="1"/>
        <v>0.59464864707590026</v>
      </c>
      <c r="I13" s="5">
        <v>837.99</v>
      </c>
    </row>
    <row r="14" spans="1:9" ht="10" customHeight="1" outlineLevel="1" x14ac:dyDescent="0.15">
      <c r="B14" t="s">
        <v>14</v>
      </c>
      <c r="C14">
        <v>2026</v>
      </c>
      <c r="D14" s="5">
        <v>7159.768</v>
      </c>
      <c r="E14" s="5">
        <v>2125.0010000000002</v>
      </c>
      <c r="F14" s="5">
        <v>10744.316999999999</v>
      </c>
      <c r="G14" s="4">
        <f t="shared" si="0"/>
        <v>1459.5479999999989</v>
      </c>
      <c r="H14" s="6">
        <f t="shared" si="1"/>
        <v>0.6663772113201798</v>
      </c>
      <c r="I14" s="5">
        <v>0</v>
      </c>
    </row>
    <row r="15" spans="1:9" ht="10" customHeight="1" outlineLevel="1" x14ac:dyDescent="0.15">
      <c r="B15" t="s">
        <v>14</v>
      </c>
      <c r="C15">
        <v>2027</v>
      </c>
      <c r="D15" s="5">
        <v>6853.7330000000002</v>
      </c>
      <c r="E15" s="5">
        <v>2422.192</v>
      </c>
      <c r="F15" s="5">
        <v>10486.369000000001</v>
      </c>
      <c r="G15" s="4">
        <f t="shared" si="0"/>
        <v>1210.4440000000004</v>
      </c>
      <c r="H15" s="6">
        <f t="shared" si="1"/>
        <v>0.65358495395307947</v>
      </c>
      <c r="I15" s="5">
        <v>0</v>
      </c>
    </row>
    <row r="16" spans="1:9" ht="10" customHeight="1" outlineLevel="1" x14ac:dyDescent="0.15">
      <c r="B16" t="s">
        <v>15</v>
      </c>
      <c r="C16">
        <v>2022</v>
      </c>
      <c r="D16" s="5">
        <v>1959.99</v>
      </c>
      <c r="E16" s="5">
        <v>1707.778</v>
      </c>
      <c r="F16" s="5">
        <v>4072.8820000000001</v>
      </c>
      <c r="G16" s="4">
        <f t="shared" si="0"/>
        <v>405.11399999999981</v>
      </c>
      <c r="H16" s="6">
        <f t="shared" si="1"/>
        <v>0.48122926222758233</v>
      </c>
      <c r="I16" s="5">
        <v>162.11000000000001</v>
      </c>
    </row>
    <row r="17" spans="2:9" ht="10" customHeight="1" outlineLevel="1" x14ac:dyDescent="0.15">
      <c r="B17" t="s">
        <v>15</v>
      </c>
      <c r="C17">
        <v>2023</v>
      </c>
      <c r="D17" s="5">
        <v>4558.1629999999996</v>
      </c>
      <c r="E17" s="5">
        <v>2784.53</v>
      </c>
      <c r="F17" s="5">
        <v>7949.54</v>
      </c>
      <c r="G17" s="4">
        <f t="shared" si="0"/>
        <v>606.84700000000021</v>
      </c>
      <c r="H17" s="6">
        <f t="shared" si="1"/>
        <v>0.57338701358820754</v>
      </c>
      <c r="I17" s="5">
        <v>300.88</v>
      </c>
    </row>
    <row r="18" spans="2:9" ht="10" customHeight="1" outlineLevel="1" x14ac:dyDescent="0.15">
      <c r="B18" t="s">
        <v>15</v>
      </c>
      <c r="C18">
        <v>2024</v>
      </c>
      <c r="D18" s="5">
        <v>3322.4580000000001</v>
      </c>
      <c r="E18" s="5">
        <v>1807.2660000000001</v>
      </c>
      <c r="F18" s="5">
        <v>5492.33</v>
      </c>
      <c r="G18" s="4">
        <f t="shared" si="0"/>
        <v>362.60599999999977</v>
      </c>
      <c r="H18" s="6">
        <f t="shared" si="1"/>
        <v>0.6049268707452029</v>
      </c>
      <c r="I18" s="5">
        <v>552.79999999999995</v>
      </c>
    </row>
    <row r="19" spans="2:9" ht="10" customHeight="1" outlineLevel="1" x14ac:dyDescent="0.15">
      <c r="B19" t="s">
        <v>15</v>
      </c>
      <c r="C19">
        <v>2025</v>
      </c>
      <c r="D19" s="5">
        <v>4628.2129999999997</v>
      </c>
      <c r="E19" s="5">
        <v>2767.6120000000001</v>
      </c>
      <c r="F19" s="5">
        <v>7858.8140000000003</v>
      </c>
      <c r="G19" s="4">
        <f t="shared" si="0"/>
        <v>462.98900000000049</v>
      </c>
      <c r="H19" s="6">
        <f t="shared" si="1"/>
        <v>0.58892003297189621</v>
      </c>
      <c r="I19" s="5">
        <v>684.17</v>
      </c>
    </row>
    <row r="20" spans="2:9" ht="10" customHeight="1" outlineLevel="1" x14ac:dyDescent="0.15">
      <c r="B20" t="s">
        <v>15</v>
      </c>
      <c r="C20">
        <v>2026</v>
      </c>
      <c r="D20" s="5">
        <v>282.60399999999998</v>
      </c>
      <c r="E20" s="5">
        <v>23.521000000000001</v>
      </c>
      <c r="F20" s="5">
        <v>306.125</v>
      </c>
      <c r="G20" s="4">
        <f t="shared" si="0"/>
        <v>0</v>
      </c>
      <c r="H20" s="6">
        <f t="shared" si="1"/>
        <v>0.92316537362188644</v>
      </c>
      <c r="I20" s="5">
        <v>62.68</v>
      </c>
    </row>
    <row r="21" spans="2:9" ht="10" customHeight="1" outlineLevel="1" x14ac:dyDescent="0.15">
      <c r="B21" t="s">
        <v>15</v>
      </c>
      <c r="C21">
        <v>2027</v>
      </c>
      <c r="D21" s="5">
        <v>2719.5549999999998</v>
      </c>
      <c r="E21" s="5">
        <v>1199.2270000000001</v>
      </c>
      <c r="F21" s="5">
        <v>4256.9139999999998</v>
      </c>
      <c r="G21" s="4">
        <f t="shared" si="0"/>
        <v>338.13199999999983</v>
      </c>
      <c r="H21" s="6">
        <f t="shared" si="1"/>
        <v>0.63885598816419598</v>
      </c>
      <c r="I21" s="5">
        <v>0</v>
      </c>
    </row>
    <row r="22" spans="2:9" ht="10" customHeight="1" x14ac:dyDescent="0.15">
      <c r="B22" s="3" t="s">
        <v>84</v>
      </c>
      <c r="C22" s="14"/>
      <c r="D22" s="12">
        <f>SUBTOTAL(109,D7:D21)</f>
        <v>74117.710000000006</v>
      </c>
      <c r="E22" s="12">
        <f>SUBTOTAL(109,E7:E21)</f>
        <v>27153.039999999997</v>
      </c>
      <c r="F22" s="12">
        <f>SUBTOTAL(109,F7:F21)</f>
        <v>113726.76000000001</v>
      </c>
      <c r="G22" s="12">
        <f>SUBTOTAL(109,G7:G21)</f>
        <v>12456.009999999997</v>
      </c>
      <c r="H22" s="13">
        <f t="shared" si="1"/>
        <v>0.65171741461728094</v>
      </c>
      <c r="I22" s="12">
        <f>SUBTOTAL(109,I7:I21)</f>
        <v>4505.9900000000007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694A1"/>
    <outlinePr summaryBelow="0"/>
  </sheetPr>
  <dimension ref="A2:G18"/>
  <sheetViews>
    <sheetView showGridLines="0" showOutlineSymbols="0" workbookViewId="0"/>
  </sheetViews>
  <sheetFormatPr baseColWidth="10" defaultColWidth="8.75" defaultRowHeight="10" customHeight="1" outlineLevelRow="1" x14ac:dyDescent="0.15"/>
  <cols>
    <col min="1" max="1" width="2.25" customWidth="1"/>
    <col min="2" max="2" width="20" customWidth="1"/>
    <col min="3" max="7" width="10" customWidth="1"/>
  </cols>
  <sheetData>
    <row r="2" spans="1:7" ht="10" customHeight="1" x14ac:dyDescent="0.15">
      <c r="B2" s="8" t="s">
        <v>85</v>
      </c>
      <c r="C2" s="8"/>
      <c r="D2" s="8"/>
      <c r="E2" s="8"/>
      <c r="F2" s="8"/>
      <c r="G2" s="8"/>
    </row>
    <row r="4" spans="1:7" ht="10" customHeight="1" x14ac:dyDescent="0.15">
      <c r="A4" t="s">
        <v>1</v>
      </c>
      <c r="B4" s="9" t="s">
        <v>86</v>
      </c>
      <c r="C4" s="9"/>
      <c r="D4" s="9"/>
      <c r="E4" s="9"/>
      <c r="F4" s="9"/>
      <c r="G4" s="9"/>
    </row>
    <row r="6" spans="1:7" ht="10" customHeight="1" x14ac:dyDescent="0.15">
      <c r="B6" s="2" t="s">
        <v>87</v>
      </c>
      <c r="C6" s="7">
        <v>0.3</v>
      </c>
      <c r="D6" s="7">
        <v>0.4</v>
      </c>
      <c r="E6" s="7">
        <v>0.5</v>
      </c>
      <c r="F6" s="7">
        <v>0.6</v>
      </c>
      <c r="G6" s="7">
        <v>0.7</v>
      </c>
    </row>
    <row r="7" spans="1:7" ht="10" customHeight="1" outlineLevel="1" x14ac:dyDescent="0.15">
      <c r="B7" s="7">
        <v>0.35</v>
      </c>
      <c r="C7" s="6">
        <f t="shared" ref="C7:G12" si="0">1-$B7*(1-C$6)</f>
        <v>0.755</v>
      </c>
      <c r="D7" s="6">
        <f t="shared" si="0"/>
        <v>0.79</v>
      </c>
      <c r="E7" s="6">
        <f t="shared" si="0"/>
        <v>0.82499999999999996</v>
      </c>
      <c r="F7" s="6">
        <f t="shared" si="0"/>
        <v>0.86</v>
      </c>
      <c r="G7" s="6">
        <f t="shared" si="0"/>
        <v>0.89500000000000002</v>
      </c>
    </row>
    <row r="8" spans="1:7" ht="10" customHeight="1" outlineLevel="1" x14ac:dyDescent="0.15">
      <c r="B8" s="7">
        <v>0.4</v>
      </c>
      <c r="C8" s="6">
        <f t="shared" si="0"/>
        <v>0.72</v>
      </c>
      <c r="D8" s="6">
        <f t="shared" si="0"/>
        <v>0.76</v>
      </c>
      <c r="E8" s="6">
        <f t="shared" si="0"/>
        <v>0.8</v>
      </c>
      <c r="F8" s="6">
        <f t="shared" si="0"/>
        <v>0.84</v>
      </c>
      <c r="G8" s="6">
        <f t="shared" si="0"/>
        <v>0.88</v>
      </c>
    </row>
    <row r="9" spans="1:7" ht="10" customHeight="1" outlineLevel="1" x14ac:dyDescent="0.15">
      <c r="B9" s="7">
        <v>0.45</v>
      </c>
      <c r="C9" s="6">
        <f t="shared" si="0"/>
        <v>0.68500000000000005</v>
      </c>
      <c r="D9" s="6">
        <f t="shared" si="0"/>
        <v>0.73</v>
      </c>
      <c r="E9" s="6">
        <f t="shared" si="0"/>
        <v>0.77500000000000002</v>
      </c>
      <c r="F9" s="6">
        <f t="shared" si="0"/>
        <v>0.82</v>
      </c>
      <c r="G9" s="6">
        <f t="shared" si="0"/>
        <v>0.86499999999999999</v>
      </c>
    </row>
    <row r="10" spans="1:7" ht="10" customHeight="1" outlineLevel="1" x14ac:dyDescent="0.15">
      <c r="B10" s="7">
        <v>0.5</v>
      </c>
      <c r="C10" s="6">
        <f t="shared" si="0"/>
        <v>0.65</v>
      </c>
      <c r="D10" s="6">
        <f t="shared" si="0"/>
        <v>0.7</v>
      </c>
      <c r="E10" s="6">
        <f t="shared" si="0"/>
        <v>0.75</v>
      </c>
      <c r="F10" s="6">
        <f t="shared" si="0"/>
        <v>0.8</v>
      </c>
      <c r="G10" s="6">
        <f t="shared" si="0"/>
        <v>0.85</v>
      </c>
    </row>
    <row r="11" spans="1:7" ht="10" customHeight="1" outlineLevel="1" x14ac:dyDescent="0.15">
      <c r="B11" s="7">
        <v>0.55000000000000004</v>
      </c>
      <c r="C11" s="6">
        <f t="shared" si="0"/>
        <v>0.61499999999999999</v>
      </c>
      <c r="D11" s="6">
        <f t="shared" si="0"/>
        <v>0.66999999999999993</v>
      </c>
      <c r="E11" s="6">
        <f t="shared" si="0"/>
        <v>0.72499999999999998</v>
      </c>
      <c r="F11" s="6">
        <f t="shared" si="0"/>
        <v>0.78</v>
      </c>
      <c r="G11" s="6">
        <f t="shared" si="0"/>
        <v>0.83499999999999996</v>
      </c>
    </row>
    <row r="12" spans="1:7" ht="10" customHeight="1" outlineLevel="1" x14ac:dyDescent="0.15">
      <c r="B12" s="7">
        <v>0.6</v>
      </c>
      <c r="C12" s="6">
        <f t="shared" si="0"/>
        <v>0.58000000000000007</v>
      </c>
      <c r="D12" s="6">
        <f t="shared" si="0"/>
        <v>0.64</v>
      </c>
      <c r="E12" s="6">
        <f t="shared" si="0"/>
        <v>0.7</v>
      </c>
      <c r="F12" s="6">
        <f t="shared" si="0"/>
        <v>0.76</v>
      </c>
      <c r="G12" s="6">
        <f t="shared" si="0"/>
        <v>0.82</v>
      </c>
    </row>
    <row r="15" spans="1:7" ht="10" customHeight="1" x14ac:dyDescent="0.15">
      <c r="A15" t="s">
        <v>1</v>
      </c>
      <c r="B15" s="9" t="s">
        <v>88</v>
      </c>
      <c r="C15" s="9"/>
      <c r="D15" s="9"/>
      <c r="E15" s="9"/>
      <c r="F15" s="9"/>
      <c r="G15" s="9"/>
    </row>
    <row r="17" spans="2:7" ht="10" customHeight="1" x14ac:dyDescent="0.15">
      <c r="B17" s="2" t="s">
        <v>89</v>
      </c>
      <c r="C17" s="7">
        <v>0</v>
      </c>
      <c r="D17" s="7">
        <v>0.25</v>
      </c>
      <c r="E17" s="7">
        <v>0.5</v>
      </c>
      <c r="F17" s="7">
        <v>0.75</v>
      </c>
      <c r="G17" s="7">
        <v>1</v>
      </c>
    </row>
    <row r="18" spans="2:7" ht="10" customHeight="1" outlineLevel="1" x14ac:dyDescent="0.15">
      <c r="B18" s="1" t="s">
        <v>90</v>
      </c>
      <c r="C18" s="6">
        <f>(Assumptions!C17*Assumptions!C16)+C$17*(1-Assumptions!C17)</f>
        <v>0.25</v>
      </c>
      <c r="D18" s="6">
        <f>(Assumptions!C17*Assumptions!C16)+D$17*(1-Assumptions!C17)</f>
        <v>0.375</v>
      </c>
      <c r="E18" s="6">
        <f>(Assumptions!C17*Assumptions!C16)+E$17*(1-Assumptions!C17)</f>
        <v>0.5</v>
      </c>
      <c r="F18" s="6">
        <f>(Assumptions!C17*Assumptions!C16)+F$17*(1-Assumptions!C17)</f>
        <v>0.625</v>
      </c>
      <c r="G18" s="6">
        <f>(Assumptions!C17*Assumptions!C16)+G$17*(1-Assumptions!C17)</f>
        <v>0.75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694A1"/>
    <outlinePr summaryBelow="0"/>
  </sheetPr>
  <dimension ref="A2:F13"/>
  <sheetViews>
    <sheetView showGridLines="0" showOutlineSymbols="0" workbookViewId="0"/>
  </sheetViews>
  <sheetFormatPr baseColWidth="10" defaultColWidth="8.75" defaultRowHeight="10" customHeight="1" outlineLevelRow="1" x14ac:dyDescent="0.15"/>
  <cols>
    <col min="1" max="1" width="2.25" customWidth="1"/>
    <col min="2" max="2" width="40" customWidth="1"/>
    <col min="3" max="6" width="12" customWidth="1"/>
  </cols>
  <sheetData>
    <row r="2" spans="1:6" ht="10" customHeight="1" x14ac:dyDescent="0.15">
      <c r="B2" s="8" t="s">
        <v>91</v>
      </c>
      <c r="C2" s="8"/>
      <c r="D2" s="8"/>
      <c r="E2" s="8"/>
      <c r="F2" s="8"/>
    </row>
    <row r="4" spans="1:6" ht="10" customHeight="1" x14ac:dyDescent="0.15">
      <c r="A4" t="s">
        <v>1</v>
      </c>
      <c r="B4" s="9" t="s">
        <v>92</v>
      </c>
      <c r="C4" s="9"/>
      <c r="D4" s="9"/>
      <c r="E4" s="9"/>
      <c r="F4" s="9"/>
    </row>
    <row r="6" spans="1:6" ht="10" customHeight="1" x14ac:dyDescent="0.15">
      <c r="B6" s="2" t="s">
        <v>93</v>
      </c>
      <c r="C6" s="2" t="s">
        <v>13</v>
      </c>
      <c r="D6" s="2" t="s">
        <v>14</v>
      </c>
      <c r="E6" s="2" t="s">
        <v>15</v>
      </c>
      <c r="F6" s="2" t="s">
        <v>16</v>
      </c>
    </row>
    <row r="7" spans="1:6" ht="10" customHeight="1" outlineLevel="1" x14ac:dyDescent="0.15">
      <c r="B7" t="s">
        <v>94</v>
      </c>
      <c r="C7" t="str">
        <f>IF(ABS(('Ceiling Model'!C12+'Ceiling Model'!C13)-'Ceiling Model'!C7)&lt;0.5,"OK","FAIL")</f>
        <v>OK</v>
      </c>
      <c r="D7" t="str">
        <f>IF(ABS(('Ceiling Model'!D12+'Ceiling Model'!D13)-'Ceiling Model'!D7)&lt;0.5,"OK","FAIL")</f>
        <v>OK</v>
      </c>
      <c r="E7" t="str">
        <f>IF(ABS(('Ceiling Model'!E12+'Ceiling Model'!E13)-'Ceiling Model'!E7)&lt;0.5,"OK","FAIL")</f>
        <v>OK</v>
      </c>
      <c r="F7" t="str">
        <f>IF(ABS(('Ceiling Model'!F12+'Ceiling Model'!F13)-'Ceiling Model'!F7)&lt;0.5,"OK","FAIL")</f>
        <v>OK</v>
      </c>
    </row>
    <row r="8" spans="1:6" ht="10" customHeight="1" outlineLevel="1" x14ac:dyDescent="0.15">
      <c r="B8" t="s">
        <v>95</v>
      </c>
      <c r="C8" t="str">
        <f>IF(ABS(('Ceiling Model'!C10+'Ceiling Model'!C11)-1)&lt;0.001,"OK","FAIL")</f>
        <v>OK</v>
      </c>
      <c r="D8" t="str">
        <f>IF(ABS(('Ceiling Model'!D10+'Ceiling Model'!D11)-1)&lt;0.001,"OK","FAIL")</f>
        <v>OK</v>
      </c>
      <c r="E8" t="str">
        <f>IF(ABS(('Ceiling Model'!E10+'Ceiling Model'!E11)-1)&lt;0.001,"OK","FAIL")</f>
        <v>OK</v>
      </c>
      <c r="F8" t="str">
        <f>IF(ABS(('Ceiling Model'!F10+'Ceiling Model'!F11)-1)&lt;0.001,"OK","FAIL")</f>
        <v>OK</v>
      </c>
    </row>
    <row r="9" spans="1:6" ht="10" customHeight="1" outlineLevel="1" x14ac:dyDescent="0.15">
      <c r="B9" t="s">
        <v>96</v>
      </c>
      <c r="C9" t="str">
        <f>IF('Ceiling Model'!C11&gt;=(Assumptions!C32),"OK","FAIL")</f>
        <v>OK</v>
      </c>
      <c r="D9" t="str">
        <f>IF('Ceiling Model'!D11&gt;=(Assumptions!D32),"OK","FAIL")</f>
        <v>OK</v>
      </c>
      <c r="E9" t="str">
        <f>IF('Ceiling Model'!E11&gt;=(Assumptions!E32),"OK","FAIL")</f>
        <v>OK</v>
      </c>
      <c r="F9" t="str">
        <f>IF('Ceiling Model'!F11&gt;=(SUMPRODUCT(Assumptions!C32:E32,'Ceiling Model'!C7:E7)/'Ceiling Model'!F7),"OK","FAIL")</f>
        <v>OK</v>
      </c>
    </row>
    <row r="10" spans="1:6" ht="10" customHeight="1" outlineLevel="1" x14ac:dyDescent="0.15">
      <c r="B10" t="s">
        <v>97</v>
      </c>
      <c r="C10" t="str">
        <f>IF('Ceiling Model'!C13&gt;=(SUMIF('Cost Base'!$B$7:$B$21,"Virginia",'Cost Base'!$I$7:$I$21)),"OK","FAIL")</f>
        <v>OK</v>
      </c>
      <c r="D10" t="str">
        <f>IF('Ceiling Model'!D13&gt;=(SUMIF('Cost Base'!$B$7:$B$21,"Columbia",'Cost Base'!$I$7:$I$21)),"OK","FAIL")</f>
        <v>OK</v>
      </c>
      <c r="E10" t="str">
        <f>IF('Ceiling Model'!E13&gt;=(SUMIF('Cost Base'!$B$7:$B$21,"DDG-51",'Cost Base'!$I$7:$I$21)),"OK","FAIL")</f>
        <v>OK</v>
      </c>
      <c r="F10" t="str">
        <f>IF('Ceiling Model'!F13&gt;=(SUMIF('Cost Base'!$B$7:$B$21,"Virginia",'Cost Base'!$I$7:$I$21)+SUMIF('Cost Base'!$B$7:$B$21,"Columbia",'Cost Base'!$I$7:$I$21)+SUMIF('Cost Base'!$B$7:$B$21,"DDG-51",'Cost Base'!$I$7:$I$21)),"OK","FAIL")</f>
        <v>OK</v>
      </c>
    </row>
    <row r="11" spans="1:6" ht="10" customHeight="1" outlineLevel="1" x14ac:dyDescent="0.15">
      <c r="B11" t="s">
        <v>98</v>
      </c>
      <c r="C11" t="str">
        <f>IF(ABS('Ceiling Model'!C11-'Conversion Bridge'!C14)&lt;0.001,"OK","FAIL")</f>
        <v>OK</v>
      </c>
      <c r="D11" t="str">
        <f>IF(ABS('Ceiling Model'!D11-'Conversion Bridge'!D14)&lt;0.001,"OK","FAIL")</f>
        <v>OK</v>
      </c>
      <c r="E11" t="str">
        <f>IF(ABS('Ceiling Model'!E11-'Conversion Bridge'!E14)&lt;0.001,"OK","FAIL")</f>
        <v>OK</v>
      </c>
      <c r="F11" t="str">
        <f>IF(ABS('Ceiling Model'!F11-'Conversion Bridge'!F14)&lt;0.001,"OK","FAIL")</f>
        <v>OK</v>
      </c>
    </row>
    <row r="13" spans="1:6" ht="10" customHeight="1" x14ac:dyDescent="0.15">
      <c r="B13" s="1" t="s">
        <v>99</v>
      </c>
      <c r="C13" t="str">
        <f>IF(COUNTIF(C7:C11,"FAIL")=0,"OK","FAIL")</f>
        <v>OK</v>
      </c>
      <c r="D13" t="str">
        <f>IF(COUNTIF(D7:D11,"FAIL")=0,"OK","FAIL")</f>
        <v>OK</v>
      </c>
      <c r="E13" t="str">
        <f>IF(COUNTIF(E7:E11,"FAIL")=0,"OK","FAIL")</f>
        <v>OK</v>
      </c>
      <c r="F13" t="str">
        <f>IF(COUNTIF(F7:F11,"FAIL")=0,"OK","FAIL")</f>
        <v>OK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C4A57"/>
    <outlinePr summaryBelow="0"/>
  </sheetPr>
  <dimension ref="A2:F25"/>
  <sheetViews>
    <sheetView showGridLines="0" showOutlineSymbols="0" workbookViewId="0"/>
  </sheetViews>
  <sheetFormatPr baseColWidth="10" defaultColWidth="8.75" defaultRowHeight="10" customHeight="1" outlineLevelRow="1" x14ac:dyDescent="0.15"/>
  <cols>
    <col min="1" max="1" width="2.25" customWidth="1"/>
    <col min="2" max="2" width="44" customWidth="1"/>
    <col min="3" max="3" width="10" customWidth="1"/>
    <col min="4" max="4" width="34" customWidth="1"/>
    <col min="5" max="5" width="80" customWidth="1"/>
    <col min="6" max="6" width="6" customWidth="1"/>
  </cols>
  <sheetData>
    <row r="2" spans="1:6" ht="10" customHeight="1" x14ac:dyDescent="0.15">
      <c r="B2" s="8" t="s">
        <v>100</v>
      </c>
      <c r="C2" s="8"/>
      <c r="D2" s="8"/>
      <c r="E2" s="8"/>
      <c r="F2" s="8"/>
    </row>
    <row r="4" spans="1:6" ht="10" customHeight="1" x14ac:dyDescent="0.15">
      <c r="A4" t="s">
        <v>1</v>
      </c>
      <c r="B4" s="9" t="s">
        <v>101</v>
      </c>
      <c r="C4" s="9"/>
      <c r="D4" s="9"/>
      <c r="E4" s="9"/>
      <c r="F4" s="9"/>
    </row>
    <row r="6" spans="1:6" ht="10" customHeight="1" x14ac:dyDescent="0.15">
      <c r="B6" s="2" t="s">
        <v>34</v>
      </c>
      <c r="C6" s="2" t="s">
        <v>25</v>
      </c>
      <c r="D6" s="2" t="s">
        <v>102</v>
      </c>
      <c r="E6" s="2" t="s">
        <v>103</v>
      </c>
      <c r="F6" s="2" t="s">
        <v>104</v>
      </c>
    </row>
    <row r="7" spans="1:6" ht="10" customHeight="1" outlineLevel="1" x14ac:dyDescent="0.15">
      <c r="B7" t="s">
        <v>35</v>
      </c>
      <c r="C7">
        <v>0.5</v>
      </c>
      <c r="D7" t="s">
        <v>105</v>
      </c>
      <c r="E7" t="s">
        <v>106</v>
      </c>
      <c r="F7" t="s">
        <v>107</v>
      </c>
    </row>
    <row r="8" spans="1:6" ht="10" customHeight="1" outlineLevel="1" x14ac:dyDescent="0.15">
      <c r="B8" t="s">
        <v>108</v>
      </c>
      <c r="C8">
        <v>0.4</v>
      </c>
      <c r="D8" t="s">
        <v>109</v>
      </c>
      <c r="E8" t="s">
        <v>110</v>
      </c>
      <c r="F8" t="s">
        <v>111</v>
      </c>
    </row>
    <row r="9" spans="1:6" ht="10" customHeight="1" outlineLevel="1" x14ac:dyDescent="0.15">
      <c r="B9" t="s">
        <v>112</v>
      </c>
      <c r="C9" t="s">
        <v>113</v>
      </c>
      <c r="D9" t="s">
        <v>114</v>
      </c>
      <c r="E9" t="s">
        <v>115</v>
      </c>
      <c r="F9" t="s">
        <v>116</v>
      </c>
    </row>
    <row r="10" spans="1:6" ht="10" customHeight="1" outlineLevel="1" x14ac:dyDescent="0.15">
      <c r="B10" t="s">
        <v>117</v>
      </c>
      <c r="C10" t="s">
        <v>118</v>
      </c>
      <c r="D10" t="s">
        <v>119</v>
      </c>
      <c r="E10" t="s">
        <v>120</v>
      </c>
      <c r="F10" t="s">
        <v>121</v>
      </c>
    </row>
    <row r="11" spans="1:6" ht="10" customHeight="1" outlineLevel="1" x14ac:dyDescent="0.15">
      <c r="B11" t="s">
        <v>122</v>
      </c>
      <c r="C11">
        <v>0.34</v>
      </c>
      <c r="D11" t="s">
        <v>123</v>
      </c>
      <c r="E11" t="s">
        <v>124</v>
      </c>
      <c r="F11" t="s">
        <v>125</v>
      </c>
    </row>
    <row r="12" spans="1:6" ht="10" customHeight="1" outlineLevel="1" x14ac:dyDescent="0.15">
      <c r="B12" t="s">
        <v>126</v>
      </c>
      <c r="C12">
        <v>0.22</v>
      </c>
      <c r="D12" t="s">
        <v>123</v>
      </c>
      <c r="E12" t="s">
        <v>127</v>
      </c>
      <c r="F12" t="s">
        <v>128</v>
      </c>
    </row>
    <row r="13" spans="1:6" ht="10" customHeight="1" outlineLevel="1" x14ac:dyDescent="0.15">
      <c r="B13" t="s">
        <v>129</v>
      </c>
      <c r="C13">
        <v>0.13</v>
      </c>
      <c r="D13" t="s">
        <v>123</v>
      </c>
      <c r="E13" t="s">
        <v>130</v>
      </c>
      <c r="F13" t="s">
        <v>131</v>
      </c>
    </row>
    <row r="16" spans="1:6" ht="10" customHeight="1" x14ac:dyDescent="0.15">
      <c r="A16" t="s">
        <v>1</v>
      </c>
      <c r="B16" s="9" t="s">
        <v>132</v>
      </c>
      <c r="C16" s="9"/>
      <c r="D16" s="9"/>
      <c r="E16" s="9"/>
      <c r="F16" s="9"/>
    </row>
    <row r="18" spans="2:4" ht="10" customHeight="1" x14ac:dyDescent="0.15">
      <c r="B18" s="2" t="s">
        <v>34</v>
      </c>
      <c r="C18" s="2" t="s">
        <v>133</v>
      </c>
      <c r="D18" s="2" t="s">
        <v>134</v>
      </c>
    </row>
    <row r="19" spans="2:4" ht="10" customHeight="1" outlineLevel="1" x14ac:dyDescent="0.15">
      <c r="B19" t="s">
        <v>35</v>
      </c>
      <c r="C19" t="s">
        <v>135</v>
      </c>
      <c r="D19" t="s">
        <v>136</v>
      </c>
    </row>
    <row r="20" spans="2:4" ht="10" customHeight="1" outlineLevel="1" x14ac:dyDescent="0.15">
      <c r="B20" t="s">
        <v>36</v>
      </c>
      <c r="C20" t="s">
        <v>137</v>
      </c>
      <c r="D20" t="s">
        <v>138</v>
      </c>
    </row>
    <row r="21" spans="2:4" ht="10" customHeight="1" outlineLevel="1" x14ac:dyDescent="0.15">
      <c r="B21" t="s">
        <v>139</v>
      </c>
      <c r="C21" t="s">
        <v>140</v>
      </c>
      <c r="D21" t="s">
        <v>141</v>
      </c>
    </row>
    <row r="22" spans="2:4" ht="10" customHeight="1" outlineLevel="1" x14ac:dyDescent="0.15">
      <c r="B22" t="s">
        <v>142</v>
      </c>
      <c r="C22" t="s">
        <v>140</v>
      </c>
      <c r="D22" t="s">
        <v>141</v>
      </c>
    </row>
    <row r="23" spans="2:4" ht="10" customHeight="1" outlineLevel="1" x14ac:dyDescent="0.15">
      <c r="B23" t="s">
        <v>143</v>
      </c>
      <c r="C23" t="s">
        <v>144</v>
      </c>
      <c r="D23" t="s">
        <v>145</v>
      </c>
    </row>
    <row r="24" spans="2:4" ht="10" customHeight="1" outlineLevel="1" x14ac:dyDescent="0.15">
      <c r="B24" t="s">
        <v>146</v>
      </c>
      <c r="C24" t="s">
        <v>144</v>
      </c>
      <c r="D24" t="s">
        <v>147</v>
      </c>
    </row>
    <row r="25" spans="2:4" ht="10" customHeight="1" outlineLevel="1" x14ac:dyDescent="0.15">
      <c r="B25" t="s">
        <v>148</v>
      </c>
      <c r="C25" t="s">
        <v>149</v>
      </c>
      <c r="D25" t="s">
        <v>150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Assumptions</vt:lpstr>
      <vt:lpstr>Ceiling Model</vt:lpstr>
      <vt:lpstr>Conversion Bridge</vt:lpstr>
      <vt:lpstr>Headroom</vt:lpstr>
      <vt:lpstr>Cost Base</vt:lpstr>
      <vt:lpstr>Sensitivity</vt:lpstr>
      <vt:lpstr>Tie-Outs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Distributed Shipbuilding Outsourcing Ceiling - Structural Ceiling + Hours-to-Dollars Bridge</dc:title>
  <dc:creator>Distributed Shipbuilding analysis</dc:creator>
  <cp:lastModifiedBy>Brendan Toole</cp:lastModifiedBy>
  <dcterms:created xsi:type="dcterms:W3CDTF">2026-06-16T21:17:10Z</dcterms:created>
  <dcterms:modified xsi:type="dcterms:W3CDTF">2026-06-17T02:49:34Z</dcterms:modified>
</cp:coreProperties>
</file>