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6800"/>
  </bookViews>
  <sheets>
    <sheet name="Module Cost" sheetId="1" r:id="rId1"/>
    <sheet name="Structural Hierarchy" sheetId="2" r:id="rId2"/>
    <sheet name="SAM-to-Module Bridge Notes" sheetId="3" r:id="rId3"/>
    <sheet name="Assumptions" sheetId="4" r:id="rId4"/>
    <sheet name="Ship Cost Basis" sheetId="5" r:id="rId5"/>
    <sheet name="Outfit Context" sheetId="6" r:id="rId6"/>
  </sheets>
  <calcPr calcId="191029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7">
    <numFmt numFmtId="164" formatCode="#,##0.0;-#,##0.0;&quot;-&quot;"/>
    <numFmt numFmtId="165" formatCode="0.0%;-0.0%;&quot;-&quot;"/>
    <numFmt numFmtId="166" formatCode="&quot;$&quot;#,##0&quot;M&quot;"/>
    <numFmt numFmtId="167" formatCode="&quot;$&quot;0.0&quot;B&quot;"/>
    <numFmt numFmtId="168" formatCode="#,##0;-#,##0;&quot;-&quot;"/>
    <numFmt numFmtId="169" formatCode="yyyy\-mm\-dd"/>
    <numFmt numFmtId="170" formatCode="0.00;-0.00;&quot;-&quot;"/>
  </numFmts>
  <fonts count="10">
    <font>
      <sz val="8"/>
      <name val="Arial"/>
      <color rgb="FF000000"/>
    </font>
    <font>
      <sz val="8"/>
      <name val="Arial"/>
      <b/>
      <color rgb="FF000000"/>
    </font>
    <font>
      <sz val="8"/>
      <name val="Arial"/>
      <b/>
      <color rgb="FFFFFFFF"/>
    </font>
    <font>
      <sz val="8"/>
      <name val="Arial"/>
      <color rgb="FF0000FF"/>
    </font>
    <font>
      <sz val="8"/>
      <name val="Arial"/>
      <color rgb="FF008000"/>
    </font>
    <font>
      <sz val="8"/>
      <name val="Arial"/>
      <i/>
      <color rgb="FF000000"/>
    </font>
    <font>
      <sz val="8"/>
      <name val="Arial"/>
      <i/>
      <color rgb="FF0000FF"/>
    </font>
    <font>
      <sz val="8"/>
      <name val="Arial"/>
      <i/>
      <color rgb="FF008000"/>
    </font>
    <font>
      <sz val="8"/>
      <name val="Arial"/>
      <b/>
      <i/>
      <color rgb="FF000000"/>
    </font>
    <font>
      <sz val="8"/>
      <name val="Arial"/>
      <i/>
      <color rgb="FF808080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FFFACD"/>
      </patternFill>
    </fill>
    <fill>
      <patternFill patternType="solid">
        <fgColor rgb="FFFFF2CC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5" fontId="6" fillId="0" borderId="2" xfId="0" applyNumberFormat="1" applyFont="1" applyBorder="1"/>
    <xf numFmtId="164" fontId="4" fillId="0" borderId="2" xfId="0" applyNumberFormat="1" applyFont="1" applyBorder="1"/>
    <xf numFmtId="165" fontId="7" fillId="0" borderId="2" xfId="0" applyNumberFormat="1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166" fontId="0" fillId="5" borderId="6" xfId="0" applyNumberFormat="1" applyFill="1" applyBorder="1"/>
    <xf numFmtId="166" fontId="0" fillId="5" borderId="1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5" borderId="0" xfId="0" applyNumberFormat="1" applyFill="1"/>
    <xf numFmtId="167" fontId="0" fillId="5" borderId="6" xfId="0" applyNumberFormat="1" applyFill="1" applyBorder="1"/>
    <xf numFmtId="167" fontId="0" fillId="5" borderId="1" xfId="0" applyNumberFormat="1" applyFill="1" applyBorder="1"/>
    <xf numFmtId="167" fontId="0" fillId="5" borderId="7" xfId="0" applyNumberFormat="1" applyFill="1" applyBorder="1"/>
    <xf numFmtId="167" fontId="0" fillId="5" borderId="9" xfId="0" applyNumberFormat="1" applyFill="1" applyBorder="1"/>
    <xf numFmtId="167" fontId="0" fillId="5" borderId="0" xfId="0" applyNumberFormat="1" applyFill="1"/>
    <xf numFmtId="165" fontId="0" fillId="5" borderId="6" xfId="0" applyNumberFormat="1" applyFill="1" applyBorder="1"/>
    <xf numFmtId="165" fontId="0" fillId="5" borderId="1" xfId="0" applyNumberFormat="1" applyFill="1" applyBorder="1"/>
    <xf numFmtId="165" fontId="0" fillId="5" borderId="7" xfId="0" applyNumberFormat="1" applyFill="1" applyBorder="1"/>
    <xf numFmtId="165" fontId="0" fillId="5" borderId="9" xfId="0" applyNumberFormat="1" applyFill="1" applyBorder="1"/>
    <xf numFmtId="165" fontId="0" fillId="5" borderId="0" xfId="0" applyNumberFormat="1" applyFill="1"/>
    <xf numFmtId="0" fontId="9" fillId="0" borderId="0" xfId="0" applyFont="1" applyAlignment="1">
      <alignment horizontal="left" vertical="center"/>
    </xf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/>
    <xf numFmtId="168" fontId="1" fillId="0" borderId="2" xfId="0" applyNumberFormat="1" applyFont="1" applyBorder="1"/>
    <xf numFmtId="168" fontId="3" fillId="0" borderId="2" xfId="0" applyNumberFormat="1" applyFont="1" applyBorder="1"/>
    <xf numFmtId="168" fontId="4" fillId="0" borderId="2" xfId="0" applyNumberFormat="1" applyFont="1" applyBorder="1"/>
    <xf numFmtId="169" fontId="3" fillId="0" borderId="0" xfId="0" applyNumberFormat="1" applyFont="1"/>
    <xf numFmtId="169" fontId="3" fillId="0" borderId="2" xfId="0" applyNumberFormat="1" applyFont="1" applyBorder="1"/>
    <xf numFmtId="169" fontId="4" fillId="0" borderId="0" xfId="0" applyNumberFormat="1" applyFont="1"/>
    <xf numFmtId="169" fontId="4" fillId="0" borderId="2" xfId="0" applyNumberFormat="1" applyFont="1" applyBorder="1"/>
    <xf numFmtId="169" fontId="0" fillId="0" borderId="0" xfId="0" applyNumberFormat="1"/>
    <xf numFmtId="169" fontId="1" fillId="0" borderId="2" xfId="0" applyNumberFormat="1" applyFont="1" applyBorder="1"/>
    <xf numFmtId="165" fontId="5" fillId="0" borderId="8" xfId="0" applyNumberFormat="1" applyFont="1" applyBorder="1"/>
    <xf numFmtId="165" fontId="5" fillId="0" borderId="9" xfId="0" applyNumberFormat="1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0" xfId="0" applyFont="1"/>
    <xf numFmtId="164" fontId="3" fillId="6" borderId="0" xfId="0" applyNumberFormat="1" applyFont="1" applyFill="1"/>
    <xf numFmtId="165" fontId="6" fillId="6" borderId="0" xfId="0" applyNumberFormat="1" applyFont="1" applyFill="1"/>
    <xf numFmtId="168" fontId="3" fillId="6" borderId="0" xfId="0" applyNumberFormat="1" applyFont="1" applyFill="1"/>
    <xf numFmtId="0" fontId="3" fillId="6" borderId="0" xfId="0" applyFont="1" applyFill="1"/>
    <xf numFmtId="170" fontId="0" fillId="0" borderId="0" xfId="0" applyNumberFormat="1"/>
  </cellXfs>
  <cellStyles count="1">
    <cellStyle name="Normal" xfId="0" builtinId="0"/>
  </cellStyles>
  <dxfs count="5">
    <dxf/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</dxfs>
  <tableStyles count="1" defaultTableStyle="WorkbookCore_NoFormatTable" defaultPivotStyle="PivotStyleLight16">
    <tableStyle name="WorkbookCore_NoFormatTable" pivot="0" table="1" count="13">
      <tableStyleElement type="wholeTable" dxfId="0"/>
      <tableStyleElement type="headerRow" dxfId="0"/>
      <tableStyleElement type="totalRow" dxfId="0"/>
      <tableStyleElement type="firstColumn" dxfId="0"/>
      <tableStyleElement type="lastColumn" dxfId="0"/>
      <tableStyleElement type="firstHeaderCell" dxfId="0"/>
      <tableStyleElement type="lastHeaderCell" dxfId="0"/>
      <tableStyleElement type="firstTotalCell" dxfId="0"/>
      <tableStyleElement type="lastTotalCell" dxfId="0"/>
      <tableStyleElement type="firstRowStripe" dxfId="0" size="1"/>
      <tableStyleElement type="secondRowStripe" dxfId="0" size="1"/>
      <tableStyleElement type="firstColumnStripe" dxfId="0" size="1"/>
      <tableStyleElement type="secondColumnStripe" dxfId="0" size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62626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2" customWidth="1"/>
    <col min="3" max="3" width="15" customWidth="1"/>
    <col min="4" max="4" width="16" customWidth="1"/>
  </cols>
  <sheetData>
    <row r="1"/>
    <row r="2">
      <c r="A2" s="0" t="inlineStr">
        <is>
          <t xml:space="preserve">x</t>
        </is>
      </c>
      <c r="B2" s="8" t="inlineStr">
        <is>
          <t xml:space="preserve">Module Cost</t>
        </is>
      </c>
      <c r="C2" s="8"/>
      <c r="D2" s="8"/>
    </row>
    <row r="3" outlineLevel="1">
      <c r="B3" s="60" t="inlineStr">
        <is>
          <t xml:space="preserve">Per-ship Basic Construction allocated down the HII modular build hierarchy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Cost per structural level (even split, const FY2026 $M)</t>
        </is>
      </c>
      <c r="C6" s="9"/>
      <c r="D6" s="9"/>
    </row>
    <row r="7" outlineLevel="2"/>
    <row r="8" outlineLevel="2">
      <c r="B8" s="2" t="inlineStr">
        <is>
          <t xml:space="preserve">Level</t>
        </is>
      </c>
      <c r="C8" s="22" t="inlineStr">
        <is>
          <t xml:space="preserve">Count</t>
        </is>
      </c>
      <c r="D8" s="22" t="inlineStr">
        <is>
          <t xml:space="preserve">Avg per item ($M)</t>
        </is>
      </c>
    </row>
    <row r="9" outlineLevel="2">
      <c r="B9" s="1" t="inlineStr">
        <is>
          <t xml:space="preserve">Ship (per hull)</t>
        </is>
      </c>
      <c r="C9" s="44">
        <v>1</v>
      </c>
      <c r="D9" s="11">
        <f>'Assumptions'!C10</f>
      </c>
    </row>
    <row r="10" outlineLevel="2">
      <c r="B10" s="0" t="inlineStr">
        <is>
          <t xml:space="preserve">Hull module</t>
        </is>
      </c>
      <c r="C10" s="46">
        <f>'Assumptions'!C16</f>
      </c>
      <c r="D10" s="4">
        <f>'Assumptions'!C10/'Assumptions'!C16</f>
      </c>
    </row>
    <row r="11" outlineLevel="2">
      <c r="B11" s="0" t="inlineStr">
        <is>
          <t xml:space="preserve">Grand block</t>
        </is>
      </c>
      <c r="C11" s="46">
        <f>'Assumptions'!C17</f>
      </c>
      <c r="D11" s="4">
        <f>'Assumptions'!C10/'Assumptions'!C17</f>
      </c>
    </row>
    <row r="12" outlineLevel="2">
      <c r="B12" s="0" t="inlineStr">
        <is>
          <t xml:space="preserve">Structural unit</t>
        </is>
      </c>
      <c r="C12" s="46">
        <f>'Assumptions'!C18</f>
      </c>
      <c r="D12" s="4">
        <f>'Assumptions'!C10/'Assumptions'!C18</f>
      </c>
    </row>
    <row r="13" outlineLevel="2"/>
    <row r="14" outlineLevel="2"/>
    <row r="15" outlineLevel="1">
      <c r="A15" s="0" t="inlineStr">
        <is>
          <t xml:space="preserve">x</t>
        </is>
      </c>
      <c r="B15" s="9" t="inlineStr">
        <is>
          <t xml:space="preserve">§2 - Module breakout (weighted, const FY2026 $M)</t>
        </is>
      </c>
      <c r="C15" s="9"/>
      <c r="D15" s="9"/>
    </row>
    <row r="16" outlineLevel="2"/>
    <row r="17" outlineLevel="2">
      <c r="B17" s="2" t="inlineStr">
        <is>
          <t xml:space="preserve">Module</t>
        </is>
      </c>
      <c r="C17" s="22" t="inlineStr">
        <is>
          <t xml:space="preserve">Relative weight</t>
        </is>
      </c>
      <c r="D17" s="22" t="inlineStr">
        <is>
          <t xml:space="preserve">Allocated ($M)</t>
        </is>
      </c>
    </row>
    <row r="18" outlineLevel="2">
      <c r="B18" s="0" t="inlineStr">
        <is>
          <t xml:space="preserve">Hull module 1 (forward)</t>
        </is>
      </c>
      <c r="C18" s="11">
        <f>'Assumptions'!C24</f>
      </c>
      <c r="D18" s="4">
        <f>'Assumptions'!C10*'Assumptions'!C24/'Assumptions'!C28</f>
      </c>
    </row>
    <row r="19" outlineLevel="2">
      <c r="B19" s="0" t="inlineStr">
        <is>
          <t xml:space="preserve">Hull module 2 (midship)</t>
        </is>
      </c>
      <c r="C19" s="11">
        <f>'Assumptions'!C25</f>
      </c>
      <c r="D19" s="4">
        <f>'Assumptions'!C10*'Assumptions'!C25/'Assumptions'!C28</f>
      </c>
    </row>
    <row r="20" outlineLevel="2">
      <c r="B20" s="0" t="inlineStr">
        <is>
          <t xml:space="preserve">Hull module 3 (aft)</t>
        </is>
      </c>
      <c r="C20" s="11">
        <f>'Assumptions'!C26</f>
      </c>
      <c r="D20" s="4">
        <f>'Assumptions'!C10*'Assumptions'!C26/'Assumptions'!C28</f>
      </c>
    </row>
    <row r="21" outlineLevel="2">
      <c r="B21" s="0" t="inlineStr">
        <is>
          <t xml:space="preserve">Deckhouse (module 4)</t>
        </is>
      </c>
      <c r="C21" s="11">
        <f>'Assumptions'!C27</f>
      </c>
      <c r="D21" s="4">
        <f>'Assumptions'!C10*'Assumptions'!C27/'Assumptions'!C28</f>
      </c>
    </row>
    <row r="22" outlineLevel="2">
      <c r="B22" s="3" t="inlineStr">
        <is>
          <t xml:space="preserve">All modules</t>
        </is>
      </c>
      <c r="C22" s="18">
        <f>'Assumptions'!C28</f>
      </c>
      <c r="D22" s="13">
        <f>SUM(D18:D21)</f>
      </c>
    </row>
    <row r="23" outlineLevel="2">
      <c r="B23" s="43" t="inlineStr">
        <is>
          <t xml:space="preserve">Allocated total ties to per-ship Basic Construction; equal weights reduce this to the even split (/4).</t>
        </is>
      </c>
    </row>
    <row r="24" outlineLevel="2"/>
    <row r="25" outlineLevel="2"/>
    <row r="26" outlineLevel="1">
      <c r="A26" s="0" t="inlineStr">
        <is>
          <t xml:space="preserve">x</t>
        </is>
      </c>
      <c r="B26" s="9" t="inlineStr">
        <is>
          <t xml:space="preserve">§3 - Sensitivity: FY2027 single-ship buy</t>
        </is>
      </c>
      <c r="C26" s="9"/>
      <c r="D26" s="9"/>
    </row>
    <row r="27" outlineLevel="2"/>
    <row r="28" outlineLevel="2">
      <c r="B28" s="2" t="inlineStr">
        <is>
          <t xml:space="preserve">Line</t>
        </is>
      </c>
      <c r="C28" s="22" t="inlineStr">
        <is>
          <t xml:space="preserve">Count</t>
        </is>
      </c>
      <c r="D28" s="22" t="inlineStr">
        <is>
          <t xml:space="preserve">Value ($M)</t>
        </is>
      </c>
    </row>
    <row r="29" outlineLevel="2">
      <c r="B29" s="0" t="inlineStr">
        <is>
          <t xml:space="preserve">Per-ship Basic Construction, FY2027 (1-ship)</t>
        </is>
      </c>
      <c r="D29" s="11">
        <f>'Ship Cost Basis'!H29</f>
      </c>
    </row>
    <row r="30" outlineLevel="2">
      <c r="B30" s="0" t="inlineStr">
        <is>
          <t xml:space="preserve">  per structural unit (/72)</t>
        </is>
      </c>
      <c r="C30" s="46">
        <f>'Assumptions'!C18</f>
      </c>
      <c r="D30" s="4">
        <f>'Ship Cost Basis'!H29/'Assumptions'!C18</f>
      </c>
    </row>
    <row r="31" outlineLevel="2">
      <c r="B31" s="43" t="inlineStr">
        <is>
          <t xml:space="preserve">Single-ship buys carry rate + nonrecurring loading; the FY2025 multi-ship rate is the headline.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C5E5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0" customWidth="1"/>
    <col min="3" max="3" width="11" customWidth="1"/>
    <col min="4" max="4" width="78" customWidth="1"/>
  </cols>
  <sheetData>
    <row r="1"/>
    <row r="2">
      <c r="A2" s="0" t="inlineStr">
        <is>
          <t xml:space="preserve">x</t>
        </is>
      </c>
      <c r="B2" s="8" t="inlineStr">
        <is>
          <t xml:space="preserve">Structural Hierarchy</t>
        </is>
      </c>
      <c r="C2" s="8"/>
      <c r="D2" s="8"/>
    </row>
    <row r="3" outlineLevel="1">
      <c r="B3" s="60" t="inlineStr">
        <is>
          <t xml:space="preserve">HII (Ingalls) modular build hierarchy: ship -&gt; modules -&gt; grand blocks -&gt; units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The modular build hierarchy</t>
        </is>
      </c>
      <c r="C6" s="9"/>
      <c r="D6" s="9"/>
    </row>
    <row r="7" outlineLevel="2"/>
    <row r="8" outlineLevel="2">
      <c r="B8" s="2" t="inlineStr">
        <is>
          <t xml:space="preserve">Level</t>
        </is>
      </c>
      <c r="C8" s="22" t="inlineStr">
        <is>
          <t xml:space="preserve">Count</t>
        </is>
      </c>
      <c r="D8" s="2" t="inlineStr">
        <is>
          <t xml:space="preserve">Description</t>
        </is>
      </c>
    </row>
    <row r="9" outlineLevel="2">
      <c r="B9" s="1" t="inlineStr">
        <is>
          <t xml:space="preserve">Ship (per hull)</t>
        </is>
      </c>
      <c r="C9" s="44">
        <v>1</v>
      </c>
      <c r="D9" s="0" t="inlineStr">
        <is>
          <t xml:space="preserve">One complete DDG-51 (Arleigh Burke-class) hull.</t>
        </is>
      </c>
    </row>
    <row r="10" outlineLevel="2">
      <c r="B10" s="0" t="inlineStr">
        <is>
          <t xml:space="preserve">Hull modules 1-3</t>
        </is>
      </c>
      <c r="C10" s="44">
        <v>3</v>
      </c>
      <c r="D10" s="0" t="inlineStr">
        <is>
          <t xml:space="preserve">Forward / midship / aft hull; each integrated from grand blocks.</t>
        </is>
      </c>
    </row>
    <row r="11" outlineLevel="2">
      <c r="B11" s="0" t="inlineStr">
        <is>
          <t xml:space="preserve">Deckhouse (module 4)</t>
        </is>
      </c>
      <c r="C11" s="44">
        <v>1</v>
      </c>
      <c r="D11" s="0" t="inlineStr">
        <is>
          <t xml:space="preserve">Landed onto the hull after modules 1-3.</t>
        </is>
      </c>
    </row>
    <row r="12" outlineLevel="2">
      <c r="B12" s="1" t="inlineStr">
        <is>
          <t xml:space="preserve">Modules (total)</t>
        </is>
      </c>
      <c r="C12" s="46">
        <f>'Assumptions'!C16</f>
      </c>
      <c r="D12" s="0" t="inlineStr">
        <is>
          <t xml:space="preserve">Hull modules 1-3 + deckhouse (module 4).</t>
        </is>
      </c>
    </row>
    <row r="13" outlineLevel="2">
      <c r="B13" s="1" t="inlineStr">
        <is>
          <t xml:space="preserve">Grand blocks</t>
        </is>
      </c>
      <c r="C13" s="46">
        <f>'Assumptions'!C17</f>
      </c>
      <c r="D13" s="0" t="inlineStr">
        <is>
          <t xml:space="preserve">Integrated to create the hull modules.</t>
        </is>
      </c>
    </row>
    <row r="14" outlineLevel="2">
      <c r="B14" s="1" t="inlineStr">
        <is>
          <t xml:space="preserve">Structural units (assemblies)</t>
        </is>
      </c>
      <c r="C14" s="46">
        <f>'Assumptions'!C18</f>
      </c>
      <c r="D14" s="0" t="inlineStr">
        <is>
          <t xml:space="preserve">Base assemblies: CAM-cut plate, bent pipe; extensively pre-outfitted.</t>
        </is>
      </c>
    </row>
    <row r="15" outlineLevel="2">
      <c r="B15" s="43" t="inlineStr">
        <is>
          <t xml:space="preserve">Counts (4 / 21 / 72) are the editable inputs on the Assumptions tab.</t>
        </is>
      </c>
    </row>
    <row r="16" outlineLevel="2"/>
    <row r="17" outlineLevel="2"/>
    <row r="18" outlineLevel="1">
      <c r="A18" s="0" t="inlineStr">
        <is>
          <t xml:space="preserve">x</t>
        </is>
      </c>
      <c r="B18" s="9" t="inlineStr">
        <is>
          <t xml:space="preserve">§2 - Level ratios (live)</t>
        </is>
      </c>
      <c r="C18" s="9"/>
      <c r="D18" s="9"/>
    </row>
    <row r="19" outlineLevel="2"/>
    <row r="20" outlineLevel="2">
      <c r="B20" s="2" t="inlineStr">
        <is>
          <t xml:space="preserve">Ratio</t>
        </is>
      </c>
      <c r="C20" s="22" t="inlineStr">
        <is>
          <t xml:space="preserve">Value</t>
        </is>
      </c>
      <c r="D20" s="2" t="inlineStr">
        <is>
          <t xml:space="preserve">Note</t>
        </is>
      </c>
    </row>
    <row r="21" outlineLevel="2">
      <c r="B21" s="0" t="inlineStr">
        <is>
          <t xml:space="preserve">Units per grand block</t>
        </is>
      </c>
      <c r="C21" s="4">
        <f>'Assumptions'!C18/'Assumptions'!C17</f>
      </c>
      <c r="D21" s="43" t="inlineStr">
        <is>
          <t xml:space="preserve">72 / 21</t>
        </is>
      </c>
    </row>
    <row r="22" outlineLevel="2">
      <c r="B22" s="0" t="inlineStr">
        <is>
          <t xml:space="preserve">Grand blocks per module</t>
        </is>
      </c>
      <c r="C22" s="4">
        <f>'Assumptions'!C17/'Assumptions'!C16</f>
      </c>
      <c r="D22" s="43" t="inlineStr">
        <is>
          <t xml:space="preserve">21 / 4</t>
        </is>
      </c>
    </row>
    <row r="23" outlineLevel="2">
      <c r="B23" s="0" t="inlineStr">
        <is>
          <t xml:space="preserve">Units per module</t>
        </is>
      </c>
      <c r="C23" s="4">
        <f>'Assumptions'!C18/'Assumptions'!C16</f>
      </c>
      <c r="D23" s="43" t="inlineStr">
        <is>
          <t xml:space="preserve">72 / 4</t>
        </is>
      </c>
    </row>
    <row r="24" outlineLevel="2"/>
    <row r="25" outlineLevel="2"/>
    <row r="26" outlineLevel="1">
      <c r="A26" s="0" t="inlineStr">
        <is>
          <t xml:space="preserve">x</t>
        </is>
      </c>
      <c r="B26" s="9" t="inlineStr">
        <is>
          <t xml:space="preserve">§3 - HII source (verbatim)</t>
        </is>
      </c>
      <c r="C26" s="9"/>
      <c r="D26" s="9"/>
    </row>
    <row r="27" outlineLevel="2"/>
    <row r="28" outlineLevel="2">
      <c r="B28" s="60" t="inlineStr">
        <is>
          <t xml:space="preserve">Ingalls Shipbuilding uses modular construction techniques pioneered by the shipyard in the 1970s and refined over the years to maximize shipyard throughput.</t>
        </is>
      </c>
    </row>
    <row r="29" outlineLevel="2">
      <c r="B29" s="60" t="inlineStr">
        <is>
          <t xml:space="preserve">During the construction of a DDG 51 destroyer, 72 structural assemblies (units) are integrated, forming 21 grand blocks.</t>
        </is>
      </c>
    </row>
    <row r="30" outlineLevel="2">
      <c r="B30" s="60" t="inlineStr">
        <is>
          <t xml:space="preserve">These grand blocks are integrated, creating the ship's hull modules 1, 2 and 3.</t>
        </is>
      </c>
    </row>
    <row r="31" outlineLevel="2">
      <c r="B31" s="60" t="inlineStr">
        <is>
          <t xml:space="preserve">The deckhouse is landed (module 4), piping systems installed, cable routed, equipment connected and systems readied for test.</t>
        </is>
      </c>
    </row>
    <row r="32" outlineLevel="2">
      <c r="B32" s="60" t="inlineStr">
        <is>
          <t xml:space="preserve">The ship is moved to a drydock and launched in a 12-hour time period. Final outfitting and test is completed pier side.</t>
        </is>
      </c>
    </row>
    <row r="33" outlineLevel="2">
      <c r="B33" s="43" t="inlineStr">
        <is>
          <t xml:space="preserve">Source: HII / Ingalls Shipbuilding, Arleigh Burke-class capability page (web.archive.org capture 2026-04-02).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C5E5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4" customWidth="1"/>
    <col min="3" max="3" width="86" customWidth="1"/>
  </cols>
  <sheetData>
    <row r="1"/>
    <row r="2">
      <c r="A2" s="0" t="inlineStr">
        <is>
          <t xml:space="preserve">x</t>
        </is>
      </c>
      <c r="B2" s="8" t="inlineStr">
        <is>
          <t xml:space="preserve">SAM-to-Module Bridge Notes</t>
        </is>
      </c>
      <c r="C2" s="8"/>
    </row>
    <row r="3" outlineLevel="1">
      <c r="B3" s="60" t="inlineStr">
        <is>
          <t xml:space="preserve">How the SAM subaward evidence relates to HII's physical build hierarchy - and where it does not.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Two different dimensions</t>
        </is>
      </c>
      <c r="C6" s="9"/>
    </row>
    <row r="7" outlineLevel="2">
      <c r="B7" s="60" t="inlineStr">
        <is>
          <t xml:space="preserve">SWBS and the module hierarchy describe the ship along different axes. A part has both, but a subaward usually reveals only one.</t>
        </is>
      </c>
    </row>
    <row r="8" outlineLevel="2"/>
    <row r="9" outlineLevel="2">
      <c r="B9" s="1" t="inlineStr">
        <is>
          <t xml:space="preserve">SWBS (functional)</t>
        </is>
      </c>
      <c r="C9" s="0" t="inlineStr">
        <is>
          <t xml:space="preserve">Ship Work Breakdown Structure - a functional / system taxonomy (hull structure, propulsion, electric, auxiliary, ...). Answers WHICH SYSTEM a part belongs to. The SAM workbook tags HII-DDG subawards to SWBS via the HII work-item code crosswalk.</t>
        </is>
      </c>
    </row>
    <row r="10" outlineLevel="2">
      <c r="B10" s="1" t="inlineStr">
        <is>
          <t xml:space="preserve">Module / grand block / unit (physical)</t>
        </is>
      </c>
      <c r="C10" s="0" t="inlineStr">
        <is>
          <t xml:space="preserve">HII's production / product breakdown: how the yard fabricates, outfits, and erects the ship (ship -&gt; 4 modules -&gt; 21 grand blocks -&gt; 72 structural units). Answers WHERE in the build a piece is assembled. See the Structural Hierarchy tab.</t>
        </is>
      </c>
    </row>
    <row r="11" outlineLevel="2">
      <c r="B11" s="1" t="inlineStr">
        <is>
          <t xml:space="preserve">Why they differ</t>
        </is>
      </c>
      <c r="C11" s="0" t="inlineStr">
        <is>
          <t xml:space="preserve">A pump, valve, cable, or radar component has a ship SYSTEM (SWBS) and a vendor, but its physical module / grand block is generally not knowable from public subaward text.</t>
        </is>
      </c>
    </row>
    <row r="12" outlineLevel="2"/>
    <row r="13" outlineLevel="2"/>
    <row r="14" outlineLevel="1">
      <c r="A14" s="0" t="inlineStr">
        <is>
          <t xml:space="preserve">x</t>
        </is>
      </c>
      <c r="B14" s="9" t="inlineStr">
        <is>
          <t xml:space="preserve">§2 - What a SAM subaward can attribute</t>
        </is>
      </c>
      <c r="C14" s="9"/>
    </row>
    <row r="15" outlineLevel="2">
      <c r="B15" s="60" t="inlineStr">
        <is>
          <t xml:space="preserve">The dimensions the subaward evidence does - and does not - support.</t>
        </is>
      </c>
    </row>
    <row r="16" outlineLevel="2"/>
    <row r="17" outlineLevel="2">
      <c r="B17" s="2" t="inlineStr">
        <is>
          <t xml:space="preserve">Dimension</t>
        </is>
      </c>
      <c r="C17" s="2" t="inlineStr">
        <is>
          <t xml:space="preserve">Subaward support</t>
        </is>
      </c>
    </row>
    <row r="18" outlineLevel="2">
      <c r="B18" s="0" t="inlineStr">
        <is>
          <t xml:space="preserve">Ship system / work type (SWBS)</t>
        </is>
      </c>
      <c r="C18" s="0" t="inlineStr">
        <is>
          <t xml:space="preserve">Yes - via the HII work-item code crosswalk (HII-DDG only).</t>
        </is>
      </c>
    </row>
    <row r="19" outlineLevel="2">
      <c r="B19" s="0" t="inlineStr">
        <is>
          <t xml:space="preserve">Vendor</t>
        </is>
      </c>
      <c r="C19" s="0" t="inlineStr">
        <is>
          <t xml:space="preserve">Yes - the subawardee entity (UEI).</t>
        </is>
      </c>
    </row>
    <row r="20" outlineLevel="2">
      <c r="B20" s="0" t="inlineStr">
        <is>
          <t xml:space="preserve">Hull</t>
        </is>
      </c>
      <c r="C20" s="0" t="inlineStr">
        <is>
          <t xml:space="preserve">Often - confidence-scored (see the SAM Hull Mapping Methodology).</t>
        </is>
      </c>
    </row>
    <row r="21" outlineLevel="2">
      <c r="B21" s="0" t="inlineStr">
        <is>
          <t xml:space="preserve">Timing</t>
        </is>
      </c>
      <c r="C21" s="0" t="inlineStr">
        <is>
          <t xml:space="preserve">Yes - the subaward action date.</t>
        </is>
      </c>
    </row>
    <row r="22" outlineLevel="2">
      <c r="B22" s="0" t="inlineStr">
        <is>
          <t xml:space="preserve">Physical module / grand block / unit</t>
        </is>
      </c>
      <c r="C22" s="0" t="inlineStr">
        <is>
          <t xml:space="preserve">Rarely - only when the text explicitly names a module, block, zone, unit, or drawing.</t>
        </is>
      </c>
    </row>
    <row r="23" outlineLevel="2"/>
    <row r="24" outlineLevel="2"/>
    <row r="25" outlineLevel="1">
      <c r="A25" s="0" t="inlineStr">
        <is>
          <t xml:space="preserve">x</t>
        </is>
      </c>
      <c r="B25" s="9" t="inlineStr">
        <is>
          <t xml:space="preserve">§3 - Attribution rules</t>
        </is>
      </c>
      <c r="C25" s="9"/>
    </row>
    <row r="26" outlineLevel="2">
      <c r="B26" s="60" t="inlineStr">
        <is>
          <t xml:space="preserve">How to use the subaward evidence without overstating it.</t>
        </is>
      </c>
    </row>
    <row r="27" outlineLevel="2"/>
    <row r="28" outlineLevel="2">
      <c r="B28" s="1" t="inlineStr">
        <is>
          <t xml:space="preserve">SWBS first</t>
        </is>
      </c>
      <c r="C28" s="0" t="inlineStr">
        <is>
          <t xml:space="preserve">Use SWBS as the primary work taxonomy for subaward spend.</t>
        </is>
      </c>
    </row>
    <row r="29" outlineLevel="2">
      <c r="B29" s="1" t="inlineStr">
        <is>
          <t xml:space="preserve">Module only on explicit text</t>
        </is>
      </c>
      <c r="C29" s="0" t="inlineStr">
        <is>
          <t xml:space="preserve">Attribute a subaward to a module / grand block / zone ONLY when its text explicitly references one.</t>
        </is>
      </c>
    </row>
    <row r="30" outlineLevel="2">
      <c r="B30" s="1" t="inlineStr">
        <is>
          <t xml:space="preserve">Notional allocation = scenario</t>
        </is>
      </c>
      <c r="C30" s="0" t="inlineStr">
        <is>
          <t xml:space="preserve">Spreading subaward $ across modules by structural weight is scenario analysis, not factual assignment.</t>
        </is>
      </c>
    </row>
    <row r="31" outlineLevel="2">
      <c r="B31" s="1" t="inlineStr">
        <is>
          <t xml:space="preserve">The bridge</t>
        </is>
      </c>
      <c r="C31" s="0" t="inlineStr">
        <is>
          <t xml:space="preserve">Subaward -&gt; SWBS / work type -&gt; hull -&gt; (later) lifecycle stage. NOT usually subaward -&gt; structural unit / grand block.</t>
        </is>
      </c>
    </row>
    <row r="32" outlineLevel="2">
      <c r="B32" s="43" t="inlineStr">
        <is>
          <t xml:space="preserve">The Outfit Context tab shows HII-Ingalls subaward $ by SWBS major group as context - it is subawardee spend, NOT a structural-unit cost weight.</t>
        </is>
      </c>
    </row>
    <row r="33" outlineLevel="2"/>
    <row r="34" outlineLevel="2"/>
    <row r="35" outlineLevel="1">
      <c r="A35" s="0" t="inlineStr">
        <is>
          <t xml:space="preserve">x</t>
        </is>
      </c>
      <c r="B35" s="9" t="inlineStr">
        <is>
          <t xml:space="preserve">§4 - The archetype (where the hierarchy comes from)</t>
        </is>
      </c>
      <c r="C35" s="9"/>
    </row>
    <row r="36" outlineLevel="2">
      <c r="B36" s="60" t="inlineStr">
        <is>
          <t xml:space="preserve">The module hierarchy is a production breakdown, not a contract or functional one.</t>
        </is>
      </c>
    </row>
    <row r="37" outlineLevel="2"/>
    <row r="38" outlineLevel="2">
      <c r="B38" s="1" t="inlineStr">
        <is>
          <t xml:space="preserve">Not Contract WBS</t>
        </is>
      </c>
      <c r="C38" s="0" t="inlineStr">
        <is>
          <t xml:space="preserve">Module / grand block / unit is not the MIL-STD-881 contract WBS (acquisition cost / reporting) nor SWBS (functional). It is a product / production breakdown.</t>
        </is>
      </c>
    </row>
    <row r="39" outlineLevel="2">
      <c r="B39" s="1" t="inlineStr">
        <is>
          <t xml:space="preserve">PWBS lineage</t>
        </is>
      </c>
      <c r="C39" s="0" t="inlineStr">
        <is>
          <t xml:space="preserve">Product Work Breakdown Structure / zone-block / group-technology shipbuilding - IHI (Ishikawajima-Harima, Japan) origin, transmitted into US yards via MARAD / NSRP around 1980 (NSRP-0164, Product Work Breakdown Structure, rev. Dec 1982).</t>
        </is>
      </c>
    </row>
    <row r="40" outlineLevel="2">
      <c r="B40" s="1" t="inlineStr">
        <is>
          <t xml:space="preserve">DDG-51 tie</t>
        </is>
      </c>
      <c r="C40" s="0" t="inlineStr">
        <is>
          <t xml:space="preserve">The 1988 MIT thesis (Seubert) ties IHI PWBS and modular shipbuilding to the DDG-51 class at Bath Iron Works.</t>
        </is>
      </c>
    </row>
    <row r="41" outlineLevel="2">
      <c r="B41" s="43" t="inlineStr">
        <is>
          <t xml:space="preserve">Sources: NSRP-0164 (HathiTrust, full view); 'Ship Work Breakdown Structures Through Different Ship Lifecycle Stages' (CWBS / SWBS / PWBS / ZWBS); OSTI biblio 6892557 (Seubert 1988).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56B2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6" customWidth="1"/>
    <col min="3" max="3" width="18" customWidth="1"/>
  </cols>
  <sheetData>
    <row r="1"/>
    <row r="2">
      <c r="A2" s="0" t="inlineStr">
        <is>
          <t xml:space="preserve">x</t>
        </is>
      </c>
      <c r="B2" s="8" t="inlineStr">
        <is>
          <t xml:space="preserve">Assumptions</t>
        </is>
      </c>
      <c r="C2" s="8"/>
    </row>
    <row r="3" outlineLevel="1">
      <c r="B3" s="60" t="inlineStr">
        <is>
          <t xml:space="preserve">Cost anchor, HII structural counts, and module weights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Cost anchor</t>
        </is>
      </c>
      <c r="C6" s="9"/>
    </row>
    <row r="7" outlineLevel="2"/>
    <row r="8" outlineLevel="2">
      <c r="B8" s="2" t="inlineStr">
        <is>
          <t xml:space="preserve">Knob</t>
        </is>
      </c>
      <c r="C8" s="22" t="inlineStr">
        <is>
          <t xml:space="preserve">Value</t>
        </is>
      </c>
    </row>
    <row r="9" outlineLevel="2">
      <c r="B9" s="0" t="inlineStr">
        <is>
          <t xml:space="preserve">Anchor fiscal year (FY2025 = 3-ship; FY2027 = 1-ship)</t>
        </is>
      </c>
      <c r="C9" s="64">
        <v>2025</v>
      </c>
    </row>
    <row r="10" outlineLevel="2">
      <c r="B10" s="1" t="inlineStr">
        <is>
          <t xml:space="preserve">Per-ship Basic Construction (const FY2026 $M)</t>
        </is>
      </c>
      <c r="C10" s="11">
        <f>INDEX('Ship Cost Basis'!C29:H29,MATCH(C9,'Ship Cost Basis'!C24:H24,0))</f>
      </c>
    </row>
    <row r="11" outlineLevel="2"/>
    <row r="12" outlineLevel="2"/>
    <row r="13" outlineLevel="1">
      <c r="A13" s="0" t="inlineStr">
        <is>
          <t xml:space="preserve">x</t>
        </is>
      </c>
      <c r="B13" s="9" t="inlineStr">
        <is>
          <t xml:space="preserve">§2 - Structural counts (HII modular build hierarchy)</t>
        </is>
      </c>
      <c r="C13" s="9"/>
    </row>
    <row r="14" outlineLevel="2"/>
    <row r="15" outlineLevel="2">
      <c r="B15" s="2" t="inlineStr">
        <is>
          <t xml:space="preserve">Level</t>
        </is>
      </c>
      <c r="C15" s="22" t="inlineStr">
        <is>
          <t xml:space="preserve">Count</t>
        </is>
      </c>
    </row>
    <row r="16" outlineLevel="2">
      <c r="B16" s="0" t="inlineStr">
        <is>
          <t xml:space="preserve">Modules (hull 1-3 + deckhouse)</t>
        </is>
      </c>
      <c r="C16" s="63">
        <v>4</v>
      </c>
    </row>
    <row r="17" outlineLevel="2">
      <c r="B17" s="0" t="inlineStr">
        <is>
          <t xml:space="preserve">Grand blocks</t>
        </is>
      </c>
      <c r="C17" s="63">
        <v>21</v>
      </c>
    </row>
    <row r="18" outlineLevel="2">
      <c r="B18" s="0" t="inlineStr">
        <is>
          <t xml:space="preserve">Structural units (assemblies)</t>
        </is>
      </c>
      <c r="C18" s="63">
        <v>72</v>
      </c>
    </row>
    <row r="19" outlineLevel="2"/>
    <row r="20" outlineLevel="2"/>
    <row r="21" outlineLevel="1">
      <c r="A21" s="0" t="inlineStr">
        <is>
          <t xml:space="preserve">x</t>
        </is>
      </c>
      <c r="B21" s="9" t="inlineStr">
        <is>
          <t xml:space="preserve">§3 - Module relative weights</t>
        </is>
      </c>
      <c r="C21" s="9"/>
    </row>
    <row r="22" outlineLevel="2"/>
    <row r="23" outlineLevel="2">
      <c r="B23" s="2" t="inlineStr">
        <is>
          <t xml:space="preserve">Module</t>
        </is>
      </c>
      <c r="C23" s="22" t="inlineStr">
        <is>
          <t xml:space="preserve">Relative weight</t>
        </is>
      </c>
    </row>
    <row r="24" outlineLevel="2">
      <c r="B24" s="0" t="inlineStr">
        <is>
          <t xml:space="preserve">Hull module 1 (forward)</t>
        </is>
      </c>
      <c r="C24" s="61">
        <v>1.0</v>
      </c>
    </row>
    <row r="25" outlineLevel="2">
      <c r="B25" s="0" t="inlineStr">
        <is>
          <t xml:space="preserve">Hull module 2 (midship)</t>
        </is>
      </c>
      <c r="C25" s="61">
        <v>1.0</v>
      </c>
    </row>
    <row r="26" outlineLevel="2">
      <c r="B26" s="0" t="inlineStr">
        <is>
          <t xml:space="preserve">Hull module 3 (aft)</t>
        </is>
      </c>
      <c r="C26" s="61">
        <v>1.0</v>
      </c>
    </row>
    <row r="27" outlineLevel="2">
      <c r="B27" s="0" t="inlineStr">
        <is>
          <t xml:space="preserve">Deckhouse (module 4)</t>
        </is>
      </c>
      <c r="C27" s="61">
        <v>1.0</v>
      </c>
    </row>
    <row r="28" outlineLevel="2">
      <c r="B28" s="3" t="inlineStr">
        <is>
          <t xml:space="preserve">Total weight</t>
        </is>
      </c>
      <c r="C28" s="13">
        <f>SUM(C24:C27)</f>
      </c>
    </row>
    <row r="29" outlineLevel="2">
      <c r="B29" s="43" t="inlineStr">
        <is>
          <t xml:space="preserve">Default equal weights = even split. Raise a module's weight to load it heavier (e.g. the machinery-dense aft module / deckhouse).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03864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52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/>
    <row r="2">
      <c r="A2" s="0" t="inlineStr">
        <is>
          <t xml:space="preserve">x</t>
        </is>
      </c>
      <c r="B2" s="8" t="inlineStr">
        <is>
          <t xml:space="preserve">Ship Cost Basis</t>
        </is>
      </c>
      <c r="C2" s="8"/>
      <c r="D2" s="8"/>
      <c r="E2" s="8"/>
      <c r="F2" s="8"/>
      <c r="G2" s="8"/>
      <c r="H2" s="8"/>
    </row>
    <row r="3" outlineLevel="1">
      <c r="B3" s="60" t="inlineStr">
        <is>
          <t xml:space="preserve">DDG-51 (LI 2122) P-5c cost slice, mirrored from the Master TAM workbook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P-5c cost categories, then-year $M</t>
        </is>
      </c>
      <c r="C6" s="9"/>
      <c r="D6" s="9"/>
      <c r="E6" s="9"/>
      <c r="F6" s="9"/>
      <c r="G6" s="9"/>
      <c r="H6" s="9"/>
    </row>
    <row r="7" outlineLevel="2"/>
    <row r="8" outlineLevel="2">
      <c r="B8" s="2" t="inlineStr">
        <is>
          <t xml:space="preserve">Cost category</t>
        </is>
      </c>
      <c r="C8" s="22" t="inlineStr">
        <is>
          <t xml:space="preserve">FY2022</t>
        </is>
      </c>
      <c r="D8" s="22" t="inlineStr">
        <is>
          <t xml:space="preserve">FY2023</t>
        </is>
      </c>
      <c r="E8" s="22" t="inlineStr">
        <is>
          <t xml:space="preserve">FY2024</t>
        </is>
      </c>
      <c r="F8" s="22" t="inlineStr">
        <is>
          <t xml:space="preserve">FY2025</t>
        </is>
      </c>
      <c r="G8" s="22" t="inlineStr">
        <is>
          <t xml:space="preserve">FY2026</t>
        </is>
      </c>
      <c r="H8" s="22" t="inlineStr">
        <is>
          <t xml:space="preserve">FY2027</t>
        </is>
      </c>
    </row>
    <row r="9" outlineLevel="2">
      <c r="B9" s="1" t="inlineStr">
        <is>
          <t xml:space="preserve">Basic Construction (TAM base)</t>
        </is>
      </c>
      <c r="C9" s="5">
        <v>1959.99</v>
      </c>
      <c r="D9" s="5">
        <v>4558.163</v>
      </c>
      <c r="E9" s="5">
        <v>3322.458</v>
      </c>
      <c r="F9" s="5">
        <v>4628.213</v>
      </c>
      <c r="G9" s="5">
        <v>282.604</v>
      </c>
      <c r="H9" s="5">
        <v>2719.555</v>
      </c>
    </row>
    <row r="10" outlineLevel="2">
      <c r="B10" s="1" t="inlineStr">
        <is>
          <t xml:space="preserve">Plans</t>
        </is>
      </c>
      <c r="C10" s="5">
        <v>86.682</v>
      </c>
      <c r="D10" s="5">
        <v>92.152</v>
      </c>
      <c r="E10" s="5">
        <v>82.697</v>
      </c>
      <c r="F10" s="5">
        <v>83.596</v>
      </c>
      <c r="G10" s="5"/>
      <c r="H10" s="5">
        <v>87.927</v>
      </c>
    </row>
    <row r="11" outlineLevel="2">
      <c r="B11" s="1" t="inlineStr">
        <is>
          <t xml:space="preserve">Hull, Mechanical &amp; Electrical (HM&amp;E)</t>
        </is>
      </c>
      <c r="C11" s="5">
        <v>164.03</v>
      </c>
      <c r="D11" s="5">
        <v>295.732</v>
      </c>
      <c r="E11" s="5">
        <v>100.673</v>
      </c>
      <c r="F11" s="5">
        <v>154.029</v>
      </c>
      <c r="G11" s="5"/>
      <c r="H11" s="5">
        <v>66.009</v>
      </c>
    </row>
    <row r="12" outlineLevel="2">
      <c r="B12" s="1" t="inlineStr">
        <is>
          <t xml:space="preserve">Electronics (GFE)</t>
        </is>
      </c>
      <c r="C12" s="5">
        <v>546.096</v>
      </c>
      <c r="D12" s="5">
        <v>949.051</v>
      </c>
      <c r="E12" s="5">
        <v>619.811</v>
      </c>
      <c r="F12" s="5">
        <v>950.971</v>
      </c>
      <c r="G12" s="5">
        <v>23.521</v>
      </c>
      <c r="H12" s="5">
        <v>414.741</v>
      </c>
    </row>
    <row r="13" outlineLevel="2">
      <c r="B13" s="1" t="inlineStr">
        <is>
          <t xml:space="preserve">Ordnance (GFE)</t>
        </is>
      </c>
      <c r="C13" s="5">
        <v>1161.682</v>
      </c>
      <c r="D13" s="5">
        <v>1835.479</v>
      </c>
      <c r="E13" s="5">
        <v>1187.455</v>
      </c>
      <c r="F13" s="5">
        <v>1816.641</v>
      </c>
      <c r="G13" s="5"/>
      <c r="H13" s="5">
        <v>784.486</v>
      </c>
    </row>
    <row r="14" outlineLevel="2">
      <c r="B14" s="1" t="inlineStr">
        <is>
          <t xml:space="preserve">Other Cost</t>
        </is>
      </c>
      <c r="C14" s="5">
        <v>76.985</v>
      </c>
      <c r="D14" s="5">
        <v>82.196</v>
      </c>
      <c r="E14" s="5">
        <v>87.684</v>
      </c>
      <c r="F14" s="5">
        <v>88.492</v>
      </c>
      <c r="G14" s="5"/>
      <c r="H14" s="5">
        <v>89.974</v>
      </c>
    </row>
    <row r="15" outlineLevel="2">
      <c r="B15" s="1" t="inlineStr">
        <is>
          <t xml:space="preserve">GFE Sum (= Electronics + Ordnance)</t>
        </is>
      </c>
      <c r="C15" s="5">
        <v>1707.778</v>
      </c>
      <c r="D15" s="5">
        <v>2784.53</v>
      </c>
      <c r="E15" s="5">
        <v>1807.266</v>
      </c>
      <c r="F15" s="5">
        <v>2767.612</v>
      </c>
      <c r="G15" s="5">
        <v>23.521</v>
      </c>
      <c r="H15" s="5">
        <v>1199.227</v>
      </c>
    </row>
    <row r="16" outlineLevel="2">
      <c r="B16" s="1" t="inlineStr">
        <is>
          <t xml:space="preserve">Change Orders</t>
        </is>
      </c>
      <c r="C16" s="5">
        <v>77.417</v>
      </c>
      <c r="D16" s="5">
        <v>136.767</v>
      </c>
      <c r="E16" s="5">
        <v>91.552</v>
      </c>
      <c r="F16" s="5">
        <v>136.872</v>
      </c>
      <c r="G16" s="5"/>
      <c r="H16" s="5">
        <v>94.222</v>
      </c>
    </row>
    <row r="17" outlineLevel="2">
      <c r="B17" s="1" t="inlineStr">
        <is>
          <t xml:space="preserve">Total Ship Estimate</t>
        </is>
      </c>
      <c r="C17" s="5">
        <v>4072.882</v>
      </c>
      <c r="D17" s="5">
        <v>7949.54</v>
      </c>
      <c r="E17" s="5">
        <v>5492.33</v>
      </c>
      <c r="F17" s="5">
        <v>7858.814</v>
      </c>
      <c r="G17" s="5">
        <v>306.125</v>
      </c>
      <c r="H17" s="5">
        <v>4256.914</v>
      </c>
    </row>
    <row r="18" outlineLevel="2">
      <c r="B18" s="43" t="inlineStr">
        <is>
          <t xml:space="preserve">GFE = Electronics + Ordnance (government-furnished combat systems; installed late / pier-side, not part of a structural block)</t>
        </is>
      </c>
    </row>
    <row r="19" outlineLevel="2"/>
    <row r="20" outlineLevel="2"/>
    <row r="21" outlineLevel="1">
      <c r="A21" s="0" t="inlineStr">
        <is>
          <t xml:space="preserve">x</t>
        </is>
      </c>
      <c r="B21" s="9" t="inlineStr">
        <is>
          <t xml:space="preserve">§2 - Constant FY2026 $M and per ship</t>
        </is>
      </c>
      <c r="C21" s="9"/>
      <c r="D21" s="9"/>
      <c r="E21" s="9"/>
      <c r="F21" s="9"/>
      <c r="G21" s="9"/>
      <c r="H21" s="9"/>
    </row>
    <row r="22" outlineLevel="2"/>
    <row r="23" outlineLevel="2">
      <c r="B23" s="2" t="inlineStr">
        <is>
          <t xml:space="preserve">Line</t>
        </is>
      </c>
      <c r="C23" s="22" t="inlineStr">
        <is>
          <t xml:space="preserve">FY2022</t>
        </is>
      </c>
      <c r="D23" s="22" t="inlineStr">
        <is>
          <t xml:space="preserve">FY2023</t>
        </is>
      </c>
      <c r="E23" s="22" t="inlineStr">
        <is>
          <t xml:space="preserve">FY2024</t>
        </is>
      </c>
      <c r="F23" s="22" t="inlineStr">
        <is>
          <t xml:space="preserve">FY2025</t>
        </is>
      </c>
      <c r="G23" s="22" t="inlineStr">
        <is>
          <t xml:space="preserve">FY2026</t>
        </is>
      </c>
      <c r="H23" s="22" t="inlineStr">
        <is>
          <t xml:space="preserve">FY2027</t>
        </is>
      </c>
    </row>
    <row r="24" outlineLevel="2">
      <c r="B24" s="1" t="inlineStr">
        <is>
          <t xml:space="preserve">Fiscal year (FY)</t>
        </is>
      </c>
      <c r="C24" s="0">
        <v>2022</v>
      </c>
      <c r="D24" s="0">
        <v>2023</v>
      </c>
      <c r="E24" s="0">
        <v>2024</v>
      </c>
      <c r="F24" s="0">
        <v>2025</v>
      </c>
      <c r="G24" s="0">
        <v>2026</v>
      </c>
      <c r="H24" s="0">
        <v>2027</v>
      </c>
    </row>
    <row r="25" outlineLevel="2">
      <c r="B25" s="0" t="inlineStr">
        <is>
          <t xml:space="preserve">Constant-FY2026 factor (Green Book)</t>
        </is>
      </c>
      <c r="C25" s="65">
        <v>1.1</v>
      </c>
      <c r="D25" s="65">
        <v>1.07</v>
      </c>
      <c r="E25" s="65">
        <v>1.04</v>
      </c>
      <c r="F25" s="65">
        <v>1.02</v>
      </c>
      <c r="G25" s="65">
        <v>1.0</v>
      </c>
      <c r="H25" s="65">
        <v>0.98</v>
      </c>
    </row>
    <row r="26" outlineLevel="2">
      <c r="B26" s="0" t="inlineStr">
        <is>
          <t xml:space="preserve">Basic Construction, const FY2026 $M</t>
        </is>
      </c>
      <c r="C26" s="4">
        <f>C9*C25</f>
      </c>
      <c r="D26" s="4">
        <f>D9*D25</f>
      </c>
      <c r="E26" s="4">
        <f>E9*E25</f>
      </c>
      <c r="F26" s="4">
        <f>F9*F25</f>
      </c>
      <c r="G26" s="4">
        <f>G9*G25</f>
      </c>
      <c r="H26" s="4">
        <f>H9*H25</f>
      </c>
    </row>
    <row r="27" outlineLevel="2">
      <c r="B27" s="0" t="inlineStr">
        <is>
          <t xml:space="preserve">Total Ship Estimate, const FY2026 $M</t>
        </is>
      </c>
      <c r="C27" s="4">
        <f>C17*C25</f>
      </c>
      <c r="D27" s="4">
        <f>D17*D25</f>
      </c>
      <c r="E27" s="4">
        <f>E17*E25</f>
      </c>
      <c r="F27" s="4">
        <f>F17*F25</f>
      </c>
      <c r="G27" s="4">
        <f>G17*G25</f>
      </c>
      <c r="H27" s="4">
        <f>H17*H25</f>
      </c>
    </row>
    <row r="28" outlineLevel="2">
      <c r="B28" s="0" t="inlineStr">
        <is>
          <t xml:space="preserve">Procurement quantity (ships)</t>
        </is>
      </c>
      <c r="C28" s="45"/>
      <c r="D28" s="45"/>
      <c r="E28" s="45"/>
      <c r="F28" s="45">
        <v>3</v>
      </c>
      <c r="G28" s="45"/>
      <c r="H28" s="45">
        <v>1</v>
      </c>
    </row>
    <row r="29" outlineLevel="2">
      <c r="B29" s="3" t="inlineStr">
        <is>
          <t xml:space="preserve">Per-ship Basic Construction, const FY2026 $M</t>
        </is>
      </c>
      <c r="C29" s="13"/>
      <c r="D29" s="13"/>
      <c r="E29" s="13"/>
      <c r="F29" s="13">
        <f>F26/F28</f>
      </c>
      <c r="G29" s="13"/>
      <c r="H29" s="13">
        <f>H26/H28</f>
      </c>
    </row>
    <row r="30" outlineLevel="2">
      <c r="B30" s="0" t="inlineStr">
        <is>
          <t xml:space="preserve">Per-ship Total Ship Estimate, const FY2026 $M</t>
        </is>
      </c>
      <c r="C30" s="4"/>
      <c r="D30" s="4"/>
      <c r="E30" s="4"/>
      <c r="F30" s="4">
        <f>F27/F28</f>
      </c>
      <c r="G30" s="4"/>
      <c r="H30" s="4">
        <f>H27/H28</f>
      </c>
    </row>
    <row r="31" outlineLevel="2">
      <c r="B31" s="43" t="inlineStr">
        <is>
          <t xml:space="preserve">Per-ship figures exist only for FY2025 (3-ship buy) and FY2027 (1-ship buy); other years have no procurement quantity.</t>
        </is>
      </c>
    </row>
    <row r="32" outlineLevel="2"/>
    <row r="33" outlineLevel="2"/>
    <row r="34" outlineLevel="1">
      <c r="A34" s="0" t="inlineStr">
        <is>
          <t xml:space="preserve">x</t>
        </is>
      </c>
      <c r="B34" s="9" t="inlineStr">
        <is>
          <t xml:space="preserve">§3 - Source</t>
        </is>
      </c>
      <c r="C34" s="9"/>
      <c r="D34" s="9"/>
      <c r="E34" s="9"/>
      <c r="F34" s="9"/>
      <c r="G34" s="9"/>
      <c r="H34" s="9"/>
    </row>
    <row r="35" outlineLevel="2"/>
    <row r="36" outlineLevel="2">
      <c r="B36" s="2" t="inlineStr">
        <is>
          <t xml:space="preserve">Series</t>
        </is>
      </c>
      <c r="C36" s="2" t="inlineStr">
        <is>
          <t xml:space="preserve">Source</t>
        </is>
      </c>
    </row>
    <row r="37" outlineLevel="2">
      <c r="B37" s="1" t="inlineStr">
        <is>
          <t xml:space="preserve">P-5c cost categories</t>
        </is>
      </c>
      <c r="C37" s="0" t="inlineStr">
        <is>
          <t xml:space="preserve">Master TAM workbook, extracted/scn_budget.csv (DDG-51 LI 2122, PB exhibits); GFE = Electronics + Ordnance</t>
        </is>
      </c>
    </row>
    <row r="38" outlineLevel="2">
      <c r="B38" s="1" t="inlineStr">
        <is>
          <t xml:space="preserve">Quantities</t>
        </is>
      </c>
      <c r="C38" s="0" t="inlineStr">
        <is>
          <t xml:space="preserve">Master TAM workbook, extracted/fydp_outyears.csv (PB2027 P-40)</t>
        </is>
      </c>
    </row>
    <row r="39" outlineLevel="2">
      <c r="B39" s="1" t="inlineStr">
        <is>
          <t xml:space="preserve">Deflator</t>
        </is>
      </c>
      <c r="C39" s="0" t="inlineStr">
        <is>
          <t xml:space="preserve">Master TAM workbook, extracted/deflators.csv (Green Book Procurement TOA; FY2025=100, rebased FY2026=1.000)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03864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8" customWidth="1"/>
    <col min="3" max="3" width="14" customWidth="1"/>
    <col min="4" max="4" width="12" customWidth="1"/>
    <col min="5" max="5" width="11" customWidth="1"/>
  </cols>
  <sheetData>
    <row r="1"/>
    <row r="2">
      <c r="A2" s="0" t="inlineStr">
        <is>
          <t xml:space="preserve">x</t>
        </is>
      </c>
      <c r="B2" s="8" t="inlineStr">
        <is>
          <t xml:space="preserve">Outfit Context</t>
        </is>
      </c>
      <c r="C2" s="8"/>
      <c r="D2" s="8"/>
      <c r="E2" s="8"/>
    </row>
    <row r="3" outlineLevel="1">
      <c r="B3" s="60" t="inlineStr">
        <is>
          <t xml:space="preserve">HII-Ingalls subaward spend by ship system (context only)</t>
        </is>
      </c>
    </row>
    <row r="4" outlineLevel="1"/>
    <row r="5" outlineLevel="1"/>
    <row r="6" outlineLevel="1">
      <c r="A6" s="0" t="inlineStr">
        <is>
          <t xml:space="preserve">x</t>
        </is>
      </c>
      <c r="B6" s="9" t="inlineStr">
        <is>
          <t xml:space="preserve">§1 - DDG-51 subaward spend by ship system (SWBS), const FY2026 $M</t>
        </is>
      </c>
      <c r="C6" s="9"/>
      <c r="D6" s="9"/>
      <c r="E6" s="9"/>
    </row>
    <row r="7" outlineLevel="2"/>
    <row r="8" outlineLevel="2">
      <c r="B8" s="2" t="inlineStr">
        <is>
          <t xml:space="preserve">Ship system (SWBS major group)</t>
        </is>
      </c>
      <c r="C8" s="22" t="inlineStr">
        <is>
          <t xml:space="preserve">Subaward $M</t>
        </is>
      </c>
      <c r="D8" s="22" t="inlineStr">
        <is>
          <t xml:space="preserve">% of total</t>
        </is>
      </c>
      <c r="E8" s="22" t="inlineStr">
        <is>
          <t xml:space="preserve">Records</t>
        </is>
      </c>
    </row>
    <row r="9" outlineLevel="2">
      <c r="B9" s="1" t="inlineStr">
        <is>
          <t xml:space="preserve">500 Auxiliary Systems</t>
        </is>
      </c>
      <c r="C9" s="5">
        <v>1105.6</v>
      </c>
      <c r="D9" s="6">
        <f>C9/C19</f>
      </c>
      <c r="E9" s="45">
        <v>1082</v>
      </c>
    </row>
    <row r="10" outlineLevel="2">
      <c r="B10" s="1" t="inlineStr">
        <is>
          <t xml:space="preserve">200 Propulsion Plant</t>
        </is>
      </c>
      <c r="C10" s="5">
        <v>1093.6</v>
      </c>
      <c r="D10" s="6">
        <f>C10/C19</f>
      </c>
      <c r="E10" s="45">
        <v>266</v>
      </c>
    </row>
    <row r="11" outlineLevel="2">
      <c r="B11" s="1" t="inlineStr">
        <is>
          <t xml:space="preserve">300 Electric Plant</t>
        </is>
      </c>
      <c r="C11" s="5">
        <v>895.8</v>
      </c>
      <c r="D11" s="6">
        <f>C11/C19</f>
      </c>
      <c r="E11" s="45">
        <v>422</v>
      </c>
    </row>
    <row r="12" outlineLevel="2">
      <c r="B12" s="1" t="inlineStr">
        <is>
          <t xml:space="preserve">U00 No SWBS Evidence</t>
        </is>
      </c>
      <c r="C12" s="5">
        <v>684.4</v>
      </c>
      <c r="D12" s="6">
        <f>C12/C19</f>
      </c>
      <c r="E12" s="45">
        <v>3708</v>
      </c>
    </row>
    <row r="13" outlineLevel="2">
      <c r="B13" s="1" t="inlineStr">
        <is>
          <t xml:space="preserve">600 Outfit &amp; Furnishings</t>
        </is>
      </c>
      <c r="C13" s="5">
        <v>72.6</v>
      </c>
      <c r="D13" s="6">
        <f>C13/C19</f>
      </c>
      <c r="E13" s="45">
        <v>139</v>
      </c>
    </row>
    <row r="14" outlineLevel="2">
      <c r="B14" s="1" t="inlineStr">
        <is>
          <t xml:space="preserve">400 Command, Control &amp; Surveillance</t>
        </is>
      </c>
      <c r="C14" s="5">
        <v>56.3</v>
      </c>
      <c r="D14" s="6">
        <f>C14/C19</f>
      </c>
      <c r="E14" s="45">
        <v>88</v>
      </c>
    </row>
    <row r="15" outlineLevel="2">
      <c r="B15" s="1" t="inlineStr">
        <is>
          <t xml:space="preserve">100 Hull Structure</t>
        </is>
      </c>
      <c r="C15" s="5">
        <v>28.1</v>
      </c>
      <c r="D15" s="6">
        <f>C15/C19</f>
      </c>
      <c r="E15" s="45">
        <v>121</v>
      </c>
    </row>
    <row r="16" outlineLevel="2">
      <c r="B16" s="1" t="inlineStr">
        <is>
          <t xml:space="preserve">X00 Cross-Cutting</t>
        </is>
      </c>
      <c r="C16" s="5">
        <v>10.8</v>
      </c>
      <c r="D16" s="6">
        <f>C16/C19</f>
      </c>
      <c r="E16" s="45">
        <v>36</v>
      </c>
    </row>
    <row r="17" outlineLevel="2">
      <c r="B17" s="1" t="inlineStr">
        <is>
          <t xml:space="preserve">L00 Legacy / Unmapped</t>
        </is>
      </c>
      <c r="C17" s="5">
        <v>8.4</v>
      </c>
      <c r="D17" s="6">
        <f>C17/C19</f>
      </c>
      <c r="E17" s="45">
        <v>16</v>
      </c>
    </row>
    <row r="18" outlineLevel="2">
      <c r="B18" s="1" t="inlineStr">
        <is>
          <t xml:space="preserve">700 Armament</t>
        </is>
      </c>
      <c r="C18" s="5">
        <v>1.7</v>
      </c>
      <c r="D18" s="6">
        <f>C18/C19</f>
      </c>
      <c r="E18" s="45">
        <v>13</v>
      </c>
    </row>
    <row r="19" outlineLevel="2">
      <c r="B19" s="3" t="inlineStr">
        <is>
          <t xml:space="preserve">All ship systems</t>
        </is>
      </c>
      <c r="C19" s="13">
        <f>SUM(C9:C18)</f>
      </c>
      <c r="D19" s="14">
        <f>C19/C19</f>
      </c>
      <c r="E19" s="47">
        <f>SUM(E9:E18)</f>
      </c>
    </row>
    <row r="20" outlineLevel="2"/>
    <row r="21" outlineLevel="2">
      <c r="B21" s="43" t="inlineStr">
        <is>
          <t xml:space="preserve">Source: SAM award-classification workbook, "DDG SWBS by Ship-System" tab (first-tier HII-Ingalls subawards; recalculated 2026-06-25).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workbook_ddg_module_cost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 Cost</vt:lpstr>
      <vt:lpstr>Structural Hierarchy</vt:lpstr>
      <vt:lpstr>SAM-to-Module Bridge Notes</vt:lpstr>
      <vt:lpstr>Assumptions</vt:lpstr>
      <vt:lpstr>Ship Cost Basis</vt:lpstr>
      <vt:lpstr>Outfit Context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DDG-51 Cost per Module - top-down allocation over the HII modular build hierarchy</dc:title>
  <dc:creator>workbook_ddg_module_cost build_workbook.py</dc:creator>
  <dcterms:created xsi:type="dcterms:W3CDTF">2026-06-28T23:52:40Z</dcterms:created>
  <dcterms:modified xsi:type="dcterms:W3CDTF">2026-06-28T23:52:40Z</dcterms:modified>
</cp:coreProperties>
</file>