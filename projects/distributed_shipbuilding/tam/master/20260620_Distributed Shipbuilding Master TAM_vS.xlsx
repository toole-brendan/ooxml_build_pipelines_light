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endantoole/projects3/ooxml_build_pipelines_light/projects/distributed_shipbuilding/tam/master/"/>
    </mc:Choice>
  </mc:AlternateContent>
  <xr:revisionPtr revIDLastSave="0" documentId="11_2A523A41FA0FB409816837FA4A762E1717791B8E" xr6:coauthVersionLast="47" xr6:coauthVersionMax="47" xr10:uidLastSave="{00000000-0000-0000-0000-000000000000}"/>
  <bookViews>
    <workbookView xWindow="0" yWindow="760" windowWidth="28800" windowHeight="16800" xr2:uid="{00000000-000D-0000-FFFF-FFFF00000000}"/>
  </bookViews>
  <sheets>
    <sheet name="Executive Summary" sheetId="1" r:id="rId1"/>
    <sheet name="Methodology" sheetId="2" r:id="rId2"/>
    <sheet name="Assumptions" sheetId="3" r:id="rId3"/>
    <sheet name="Virginia TAM" sheetId="4" r:id="rId4"/>
    <sheet name="Columbia TAM" sheetId="5" r:id="rId5"/>
    <sheet name="DDG-51 TAM" sheetId="6" r:id="rId6"/>
    <sheet name="SCN Budget" sheetId="7" r:id="rId7"/>
    <sheet name="Place of Performance" sheetId="8" r:id="rId8"/>
    <sheet name="OBBBA Mandatory" sheetId="9" r:id="rId9"/>
    <sheet name="FYDP Outyears" sheetId="10" r:id="rId10"/>
    <sheet name="Deflators" sheetId="11" r:id="rId11"/>
    <sheet name="Checks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2" l="1"/>
  <c r="D14" i="12" s="1"/>
  <c r="I44" i="10"/>
  <c r="H44" i="10"/>
  <c r="G44" i="10"/>
  <c r="D59" i="6" s="1"/>
  <c r="I43" i="10"/>
  <c r="H43" i="10"/>
  <c r="G43" i="10"/>
  <c r="F43" i="10"/>
  <c r="C43" i="10"/>
  <c r="I42" i="10"/>
  <c r="F53" i="4" s="1"/>
  <c r="H42" i="10"/>
  <c r="H45" i="10" s="1"/>
  <c r="I41" i="10"/>
  <c r="H41" i="10"/>
  <c r="G41" i="10"/>
  <c r="G42" i="10" s="1"/>
  <c r="F41" i="10"/>
  <c r="F44" i="10" s="1"/>
  <c r="C59" i="6" s="1"/>
  <c r="E41" i="10"/>
  <c r="E44" i="10" s="1"/>
  <c r="D41" i="10"/>
  <c r="D42" i="10" s="1"/>
  <c r="C41" i="10"/>
  <c r="C42" i="10" s="1"/>
  <c r="H32" i="9"/>
  <c r="G32" i="9"/>
  <c r="F32" i="9"/>
  <c r="E32" i="9"/>
  <c r="E37" i="9" s="1"/>
  <c r="D32" i="9"/>
  <c r="D37" i="9" s="1"/>
  <c r="C32" i="9"/>
  <c r="C37" i="9" s="1"/>
  <c r="C22" i="6" s="1"/>
  <c r="H18" i="9"/>
  <c r="H42" i="4" s="1"/>
  <c r="G18" i="9"/>
  <c r="H17" i="9"/>
  <c r="G17" i="9"/>
  <c r="F17" i="9"/>
  <c r="E17" i="9"/>
  <c r="D17" i="9"/>
  <c r="C17" i="9"/>
  <c r="D20" i="8"/>
  <c r="C20" i="8"/>
  <c r="E20" i="8" s="1"/>
  <c r="D19" i="8"/>
  <c r="C19" i="8"/>
  <c r="E19" i="8" s="1"/>
  <c r="D14" i="8"/>
  <c r="C14" i="8"/>
  <c r="E14" i="8" s="1"/>
  <c r="D13" i="8"/>
  <c r="C13" i="8"/>
  <c r="D12" i="8"/>
  <c r="C12" i="8"/>
  <c r="D11" i="8"/>
  <c r="C11" i="8"/>
  <c r="H117" i="7"/>
  <c r="H116" i="7"/>
  <c r="G116" i="7"/>
  <c r="D114" i="7"/>
  <c r="C114" i="7"/>
  <c r="H112" i="7"/>
  <c r="H46" i="6" s="1"/>
  <c r="G112" i="7"/>
  <c r="G46" i="6" s="1"/>
  <c r="H107" i="7"/>
  <c r="G107" i="7"/>
  <c r="F107" i="7"/>
  <c r="E107" i="7"/>
  <c r="D107" i="7"/>
  <c r="C107" i="7"/>
  <c r="H106" i="7"/>
  <c r="G106" i="7"/>
  <c r="F106" i="7"/>
  <c r="E106" i="7"/>
  <c r="D106" i="7"/>
  <c r="C106" i="7"/>
  <c r="H87" i="7"/>
  <c r="H10" i="7" s="1"/>
  <c r="H86" i="7"/>
  <c r="G86" i="7"/>
  <c r="H82" i="7"/>
  <c r="H79" i="7"/>
  <c r="H78" i="7"/>
  <c r="G78" i="7"/>
  <c r="H72" i="7"/>
  <c r="G72" i="7"/>
  <c r="F72" i="7"/>
  <c r="E72" i="7"/>
  <c r="D72" i="7"/>
  <c r="C72" i="7"/>
  <c r="H71" i="7"/>
  <c r="G71" i="7"/>
  <c r="F71" i="7"/>
  <c r="E71" i="7"/>
  <c r="D71" i="7"/>
  <c r="C71" i="7"/>
  <c r="H50" i="7"/>
  <c r="G50" i="7"/>
  <c r="F50" i="7"/>
  <c r="F49" i="7"/>
  <c r="E49" i="7"/>
  <c r="C48" i="7"/>
  <c r="H47" i="7"/>
  <c r="H46" i="7"/>
  <c r="G46" i="7"/>
  <c r="D44" i="7"/>
  <c r="H43" i="7"/>
  <c r="H42" i="7"/>
  <c r="H35" i="7"/>
  <c r="G35" i="7"/>
  <c r="F35" i="7"/>
  <c r="E35" i="7"/>
  <c r="D35" i="7"/>
  <c r="C35" i="7"/>
  <c r="H34" i="7"/>
  <c r="G34" i="7"/>
  <c r="F34" i="7"/>
  <c r="E34" i="7"/>
  <c r="D34" i="7"/>
  <c r="C34" i="7"/>
  <c r="H13" i="7"/>
  <c r="H114" i="7" s="1"/>
  <c r="G13" i="7"/>
  <c r="G117" i="7" s="1"/>
  <c r="F13" i="7"/>
  <c r="F117" i="7" s="1"/>
  <c r="E13" i="7"/>
  <c r="E120" i="7" s="1"/>
  <c r="D13" i="7"/>
  <c r="D120" i="7" s="1"/>
  <c r="C13" i="7"/>
  <c r="C115" i="7" s="1"/>
  <c r="F59" i="6"/>
  <c r="E59" i="6"/>
  <c r="C56" i="6"/>
  <c r="C55" i="6"/>
  <c r="H47" i="6"/>
  <c r="F48" i="5"/>
  <c r="E48" i="5"/>
  <c r="D48" i="5"/>
  <c r="C48" i="5"/>
  <c r="C45" i="5"/>
  <c r="H19" i="5"/>
  <c r="C50" i="4"/>
  <c r="G42" i="4"/>
  <c r="F42" i="4"/>
  <c r="E42" i="4"/>
  <c r="D42" i="4"/>
  <c r="C42" i="4"/>
  <c r="H20" i="4"/>
  <c r="G20" i="4"/>
  <c r="F20" i="4"/>
  <c r="E16" i="3"/>
  <c r="C13" i="12" s="1"/>
  <c r="D13" i="12" s="1"/>
  <c r="C15" i="3"/>
  <c r="E15" i="3" s="1"/>
  <c r="C28" i="12" s="1"/>
  <c r="D28" i="12" s="1"/>
  <c r="E53" i="4" l="1"/>
  <c r="H48" i="6"/>
  <c r="F37" i="9"/>
  <c r="F22" i="6" s="1"/>
  <c r="C45" i="10"/>
  <c r="E13" i="8"/>
  <c r="C54" i="6" s="1"/>
  <c r="F41" i="7"/>
  <c r="H12" i="7"/>
  <c r="C80" i="7"/>
  <c r="F120" i="7"/>
  <c r="F42" i="7"/>
  <c r="F81" i="7"/>
  <c r="G120" i="7"/>
  <c r="G42" i="7"/>
  <c r="F82" i="7"/>
  <c r="H120" i="7"/>
  <c r="C47" i="6"/>
  <c r="G82" i="7"/>
  <c r="E11" i="8"/>
  <c r="C40" i="7"/>
  <c r="C41" i="4" s="1"/>
  <c r="C43" i="4" s="1"/>
  <c r="C118" i="7"/>
  <c r="E41" i="7"/>
  <c r="E47" i="6"/>
  <c r="C43" i="7"/>
  <c r="I45" i="10"/>
  <c r="D43" i="10"/>
  <c r="D45" i="10" s="1"/>
  <c r="G37" i="9"/>
  <c r="G22" i="6" s="1"/>
  <c r="F47" i="6"/>
  <c r="C84" i="7"/>
  <c r="E12" i="8"/>
  <c r="E20" i="5" s="1"/>
  <c r="E42" i="10"/>
  <c r="F119" i="7"/>
  <c r="G47" i="6"/>
  <c r="G48" i="6" s="1"/>
  <c r="C44" i="7"/>
  <c r="D84" i="7"/>
  <c r="F112" i="7"/>
  <c r="F46" i="6" s="1"/>
  <c r="F42" i="10"/>
  <c r="C38" i="6"/>
  <c r="E24" i="6"/>
  <c r="D22" i="6"/>
  <c r="D38" i="9"/>
  <c r="E22" i="6"/>
  <c r="E38" i="9"/>
  <c r="C39" i="6"/>
  <c r="C24" i="6"/>
  <c r="C26" i="6" s="1"/>
  <c r="E21" i="6"/>
  <c r="E11" i="7"/>
  <c r="G23" i="4"/>
  <c r="H22" i="4"/>
  <c r="H23" i="4" s="1"/>
  <c r="G22" i="4"/>
  <c r="C22" i="4"/>
  <c r="C49" i="4"/>
  <c r="F22" i="4"/>
  <c r="F23" i="4" s="1"/>
  <c r="D22" i="4"/>
  <c r="E22" i="4"/>
  <c r="C34" i="4"/>
  <c r="F38" i="9"/>
  <c r="D53" i="4"/>
  <c r="G45" i="10"/>
  <c r="H20" i="5"/>
  <c r="H21" i="5" s="1"/>
  <c r="H22" i="5" s="1"/>
  <c r="D21" i="6"/>
  <c r="D11" i="7"/>
  <c r="C25" i="9"/>
  <c r="D45" i="7"/>
  <c r="D77" i="7"/>
  <c r="D37" i="5" s="1"/>
  <c r="D38" i="5" s="1"/>
  <c r="D39" i="5" s="1"/>
  <c r="D85" i="7"/>
  <c r="D115" i="7"/>
  <c r="H37" i="9"/>
  <c r="H22" i="6" s="1"/>
  <c r="C12" i="12"/>
  <c r="D12" i="12" s="1"/>
  <c r="E45" i="7"/>
  <c r="E77" i="7"/>
  <c r="E37" i="5" s="1"/>
  <c r="E38" i="5" s="1"/>
  <c r="E85" i="7"/>
  <c r="E115" i="7"/>
  <c r="C38" i="9"/>
  <c r="D40" i="7"/>
  <c r="D41" i="4" s="1"/>
  <c r="D43" i="4" s="1"/>
  <c r="F45" i="7"/>
  <c r="D48" i="7"/>
  <c r="F77" i="7"/>
  <c r="F37" i="5" s="1"/>
  <c r="F38" i="5" s="1"/>
  <c r="F39" i="5" s="1"/>
  <c r="D80" i="7"/>
  <c r="F85" i="7"/>
  <c r="F115" i="7"/>
  <c r="D118" i="7"/>
  <c r="E40" i="7"/>
  <c r="E41" i="4" s="1"/>
  <c r="E43" i="4" s="1"/>
  <c r="G45" i="7"/>
  <c r="E48" i="7"/>
  <c r="G77" i="7"/>
  <c r="G37" i="5" s="1"/>
  <c r="G38" i="5" s="1"/>
  <c r="E80" i="7"/>
  <c r="C83" i="7"/>
  <c r="G85" i="7"/>
  <c r="C113" i="7"/>
  <c r="G115" i="7"/>
  <c r="E118" i="7"/>
  <c r="C128" i="7"/>
  <c r="C23" i="6" s="1"/>
  <c r="C23" i="9"/>
  <c r="C24" i="9" s="1"/>
  <c r="C21" i="4" s="1"/>
  <c r="F40" i="7"/>
  <c r="F41" i="4" s="1"/>
  <c r="F43" i="4" s="1"/>
  <c r="D43" i="7"/>
  <c r="H45" i="7"/>
  <c r="F48" i="7"/>
  <c r="H77" i="7"/>
  <c r="H37" i="5" s="1"/>
  <c r="H38" i="5" s="1"/>
  <c r="F80" i="7"/>
  <c r="D83" i="7"/>
  <c r="H85" i="7"/>
  <c r="D113" i="7"/>
  <c r="H115" i="7"/>
  <c r="F118" i="7"/>
  <c r="D128" i="7"/>
  <c r="D23" i="6" s="1"/>
  <c r="D27" i="6" s="1"/>
  <c r="D23" i="9"/>
  <c r="D24" i="9" s="1"/>
  <c r="G40" i="7"/>
  <c r="G41" i="4" s="1"/>
  <c r="G43" i="4" s="1"/>
  <c r="E43" i="7"/>
  <c r="C46" i="7"/>
  <c r="G48" i="7"/>
  <c r="C78" i="7"/>
  <c r="G80" i="7"/>
  <c r="E83" i="7"/>
  <c r="C86" i="7"/>
  <c r="E113" i="7"/>
  <c r="C116" i="7"/>
  <c r="G118" i="7"/>
  <c r="E128" i="7"/>
  <c r="E23" i="6" s="1"/>
  <c r="E27" i="6" s="1"/>
  <c r="E23" i="9"/>
  <c r="E24" i="9" s="1"/>
  <c r="G38" i="9"/>
  <c r="F9" i="7"/>
  <c r="H40" i="7"/>
  <c r="H41" i="4" s="1"/>
  <c r="H43" i="4" s="1"/>
  <c r="F43" i="7"/>
  <c r="D46" i="7"/>
  <c r="H48" i="7"/>
  <c r="D78" i="7"/>
  <c r="H80" i="7"/>
  <c r="F83" i="7"/>
  <c r="D86" i="7"/>
  <c r="F113" i="7"/>
  <c r="D116" i="7"/>
  <c r="H118" i="7"/>
  <c r="F128" i="7"/>
  <c r="F23" i="6" s="1"/>
  <c r="F27" i="6" s="1"/>
  <c r="F23" i="9"/>
  <c r="F24" i="9" s="1"/>
  <c r="D47" i="6"/>
  <c r="G9" i="7"/>
  <c r="C41" i="7"/>
  <c r="G43" i="7"/>
  <c r="E46" i="7"/>
  <c r="C49" i="7"/>
  <c r="E78" i="7"/>
  <c r="C81" i="7"/>
  <c r="G83" i="7"/>
  <c r="E86" i="7"/>
  <c r="G113" i="7"/>
  <c r="E116" i="7"/>
  <c r="C119" i="7"/>
  <c r="G128" i="7"/>
  <c r="G23" i="6" s="1"/>
  <c r="G27" i="6" s="1"/>
  <c r="G23" i="9"/>
  <c r="G24" i="9" s="1"/>
  <c r="E43" i="10"/>
  <c r="E45" i="10" s="1"/>
  <c r="H9" i="7"/>
  <c r="D41" i="7"/>
  <c r="F46" i="7"/>
  <c r="D49" i="7"/>
  <c r="F78" i="7"/>
  <c r="D81" i="7"/>
  <c r="H83" i="7"/>
  <c r="F86" i="7"/>
  <c r="H113" i="7"/>
  <c r="F116" i="7"/>
  <c r="D119" i="7"/>
  <c r="H128" i="7"/>
  <c r="H23" i="6" s="1"/>
  <c r="H27" i="6" s="1"/>
  <c r="H23" i="9"/>
  <c r="H24" i="9" s="1"/>
  <c r="H21" i="4" s="1"/>
  <c r="H24" i="4" s="1"/>
  <c r="E81" i="7"/>
  <c r="E119" i="7"/>
  <c r="G41" i="7"/>
  <c r="E44" i="7"/>
  <c r="C47" i="7"/>
  <c r="G49" i="7"/>
  <c r="C79" i="7"/>
  <c r="G81" i="7"/>
  <c r="E84" i="7"/>
  <c r="C87" i="7"/>
  <c r="E114" i="7"/>
  <c r="C117" i="7"/>
  <c r="G119" i="7"/>
  <c r="H41" i="7"/>
  <c r="F44" i="7"/>
  <c r="D47" i="7"/>
  <c r="H49" i="7"/>
  <c r="D79" i="7"/>
  <c r="H81" i="7"/>
  <c r="F84" i="7"/>
  <c r="D87" i="7"/>
  <c r="F114" i="7"/>
  <c r="D117" i="7"/>
  <c r="H119" i="7"/>
  <c r="C44" i="10"/>
  <c r="C42" i="7"/>
  <c r="G44" i="7"/>
  <c r="E47" i="7"/>
  <c r="C50" i="7"/>
  <c r="E79" i="7"/>
  <c r="C82" i="7"/>
  <c r="G84" i="7"/>
  <c r="E87" i="7"/>
  <c r="C112" i="7"/>
  <c r="C46" i="6" s="1"/>
  <c r="C48" i="6" s="1"/>
  <c r="G114" i="7"/>
  <c r="E117" i="7"/>
  <c r="C120" i="7"/>
  <c r="D44" i="10"/>
  <c r="D42" i="7"/>
  <c r="H44" i="7"/>
  <c r="F47" i="7"/>
  <c r="D50" i="7"/>
  <c r="F79" i="7"/>
  <c r="D82" i="7"/>
  <c r="H84" i="7"/>
  <c r="F87" i="7"/>
  <c r="F12" i="7" s="1"/>
  <c r="D112" i="7"/>
  <c r="D46" i="6" s="1"/>
  <c r="E42" i="7"/>
  <c r="C45" i="7"/>
  <c r="G47" i="7"/>
  <c r="E50" i="7"/>
  <c r="C77" i="7"/>
  <c r="C37" i="5" s="1"/>
  <c r="C38" i="5" s="1"/>
  <c r="C39" i="5" s="1"/>
  <c r="G79" i="7"/>
  <c r="E82" i="7"/>
  <c r="C85" i="7"/>
  <c r="G87" i="7"/>
  <c r="E112" i="7"/>
  <c r="E46" i="6" s="1"/>
  <c r="I22" i="6" l="1"/>
  <c r="H25" i="9"/>
  <c r="H11" i="7"/>
  <c r="H21" i="6"/>
  <c r="H25" i="6" s="1"/>
  <c r="H28" i="6" s="1"/>
  <c r="F20" i="5"/>
  <c r="C30" i="5"/>
  <c r="C10" i="12" s="1"/>
  <c r="D10" i="12" s="1"/>
  <c r="D24" i="6"/>
  <c r="G11" i="7"/>
  <c r="G21" i="6"/>
  <c r="G25" i="6" s="1"/>
  <c r="C20" i="5"/>
  <c r="F24" i="6"/>
  <c r="F26" i="6" s="1"/>
  <c r="D20" i="5"/>
  <c r="G24" i="6"/>
  <c r="G26" i="6" s="1"/>
  <c r="F11" i="7"/>
  <c r="F21" i="6"/>
  <c r="C44" i="5"/>
  <c r="H25" i="4"/>
  <c r="H24" i="6"/>
  <c r="H26" i="6" s="1"/>
  <c r="G20" i="5"/>
  <c r="F48" i="6"/>
  <c r="C53" i="4"/>
  <c r="F45" i="10"/>
  <c r="E48" i="6"/>
  <c r="G12" i="7"/>
  <c r="D25" i="6"/>
  <c r="H40" i="4"/>
  <c r="H17" i="1"/>
  <c r="H36" i="5"/>
  <c r="H39" i="5" s="1"/>
  <c r="H18" i="1"/>
  <c r="C24" i="4"/>
  <c r="I23" i="6"/>
  <c r="C27" i="6"/>
  <c r="I27" i="6" s="1"/>
  <c r="G10" i="7"/>
  <c r="G19" i="5"/>
  <c r="G21" i="5" s="1"/>
  <c r="G22" i="5" s="1"/>
  <c r="F55" i="4"/>
  <c r="E55" i="4"/>
  <c r="D55" i="4"/>
  <c r="C55" i="4"/>
  <c r="H44" i="4"/>
  <c r="D21" i="4"/>
  <c r="D24" i="4" s="1"/>
  <c r="D25" i="9"/>
  <c r="E26" i="6"/>
  <c r="D20" i="4"/>
  <c r="D23" i="4" s="1"/>
  <c r="D12" i="7"/>
  <c r="D9" i="7"/>
  <c r="C10" i="7"/>
  <c r="C19" i="5"/>
  <c r="C21" i="6"/>
  <c r="C11" i="7"/>
  <c r="D10" i="7"/>
  <c r="D19" i="5"/>
  <c r="E21" i="4"/>
  <c r="E24" i="4" s="1"/>
  <c r="E25" i="9"/>
  <c r="G21" i="4"/>
  <c r="G24" i="4" s="1"/>
  <c r="G25" i="4" s="1"/>
  <c r="G25" i="9"/>
  <c r="H38" i="9"/>
  <c r="D26" i="6"/>
  <c r="F21" i="4"/>
  <c r="F24" i="4" s="1"/>
  <c r="F25" i="4" s="1"/>
  <c r="F25" i="9"/>
  <c r="E10" i="7"/>
  <c r="E19" i="5"/>
  <c r="E21" i="5" s="1"/>
  <c r="E22" i="5" s="1"/>
  <c r="D48" i="6"/>
  <c r="E20" i="4"/>
  <c r="E23" i="4" s="1"/>
  <c r="E25" i="4" s="1"/>
  <c r="E12" i="7"/>
  <c r="E9" i="7"/>
  <c r="F50" i="5"/>
  <c r="E50" i="5"/>
  <c r="D50" i="5"/>
  <c r="C50" i="5"/>
  <c r="F10" i="7"/>
  <c r="F19" i="5"/>
  <c r="C20" i="4"/>
  <c r="C12" i="7"/>
  <c r="C9" i="7"/>
  <c r="C11" i="12"/>
  <c r="D11" i="12" s="1"/>
  <c r="I19" i="1"/>
  <c r="C11" i="6"/>
  <c r="I17" i="1"/>
  <c r="C9" i="12"/>
  <c r="D9" i="12" s="1"/>
  <c r="C11" i="4"/>
  <c r="E25" i="6"/>
  <c r="F61" i="6"/>
  <c r="E61" i="6"/>
  <c r="D61" i="6"/>
  <c r="C61" i="6"/>
  <c r="G28" i="6" l="1"/>
  <c r="I11" i="7"/>
  <c r="I26" i="6"/>
  <c r="C36" i="6" s="1"/>
  <c r="C12" i="6" s="1"/>
  <c r="E28" i="6"/>
  <c r="D21" i="5"/>
  <c r="D22" i="5" s="1"/>
  <c r="I18" i="1"/>
  <c r="C11" i="5"/>
  <c r="F21" i="5"/>
  <c r="F22" i="5" s="1"/>
  <c r="F36" i="5" s="1"/>
  <c r="D25" i="4"/>
  <c r="D40" i="4" s="1"/>
  <c r="D44" i="4" s="1"/>
  <c r="F25" i="6"/>
  <c r="F28" i="6" s="1"/>
  <c r="F45" i="6" s="1"/>
  <c r="F49" i="6" s="1"/>
  <c r="F17" i="1"/>
  <c r="F40" i="4"/>
  <c r="F44" i="4" s="1"/>
  <c r="G40" i="4"/>
  <c r="G44" i="4" s="1"/>
  <c r="G17" i="1"/>
  <c r="E45" i="6"/>
  <c r="E49" i="6" s="1"/>
  <c r="E19" i="1"/>
  <c r="D17" i="1"/>
  <c r="G36" i="5"/>
  <c r="G39" i="5" s="1"/>
  <c r="G18" i="1"/>
  <c r="C13" i="6"/>
  <c r="C37" i="6"/>
  <c r="H45" i="6"/>
  <c r="H49" i="6" s="1"/>
  <c r="H19" i="1"/>
  <c r="H20" i="1" s="1"/>
  <c r="I24" i="4"/>
  <c r="C33" i="4" s="1"/>
  <c r="C12" i="4" s="1"/>
  <c r="E17" i="1"/>
  <c r="E40" i="4"/>
  <c r="E44" i="4" s="1"/>
  <c r="D28" i="6"/>
  <c r="I21" i="4"/>
  <c r="I12" i="7"/>
  <c r="D36" i="5"/>
  <c r="D18" i="1"/>
  <c r="I9" i="7"/>
  <c r="E36" i="5"/>
  <c r="E39" i="5" s="1"/>
  <c r="E18" i="1"/>
  <c r="C43" i="5"/>
  <c r="I19" i="5"/>
  <c r="C21" i="5"/>
  <c r="C48" i="4"/>
  <c r="I20" i="4"/>
  <c r="C23" i="4"/>
  <c r="C53" i="6"/>
  <c r="C25" i="6"/>
  <c r="I21" i="6"/>
  <c r="I10" i="7"/>
  <c r="F19" i="1" l="1"/>
  <c r="F18" i="1"/>
  <c r="G45" i="6"/>
  <c r="G49" i="6" s="1"/>
  <c r="G19" i="1"/>
  <c r="I25" i="6"/>
  <c r="C28" i="6"/>
  <c r="D20" i="1"/>
  <c r="C54" i="4"/>
  <c r="E54" i="4"/>
  <c r="F54" i="4"/>
  <c r="D54" i="4"/>
  <c r="G20" i="1"/>
  <c r="C22" i="5"/>
  <c r="I21" i="5"/>
  <c r="E60" i="6"/>
  <c r="F60" i="6"/>
  <c r="D60" i="6"/>
  <c r="C60" i="6"/>
  <c r="C25" i="4"/>
  <c r="I23" i="4"/>
  <c r="D45" i="6"/>
  <c r="D49" i="6" s="1"/>
  <c r="D19" i="1"/>
  <c r="E20" i="1"/>
  <c r="C49" i="5"/>
  <c r="D49" i="5"/>
  <c r="E49" i="5"/>
  <c r="F49" i="5"/>
  <c r="F20" i="1"/>
  <c r="C40" i="4" l="1"/>
  <c r="C17" i="1"/>
  <c r="I25" i="4"/>
  <c r="C31" i="4" s="1"/>
  <c r="F62" i="6"/>
  <c r="F29" i="1" s="1"/>
  <c r="F63" i="6"/>
  <c r="F33" i="1" s="1"/>
  <c r="D57" i="4"/>
  <c r="D31" i="1" s="1"/>
  <c r="D56" i="4"/>
  <c r="D27" i="1" s="1"/>
  <c r="C63" i="6"/>
  <c r="C62" i="6"/>
  <c r="E57" i="4"/>
  <c r="E31" i="1" s="1"/>
  <c r="E56" i="4"/>
  <c r="E27" i="1" s="1"/>
  <c r="D63" i="6"/>
  <c r="D33" i="1" s="1"/>
  <c r="D62" i="6"/>
  <c r="D29" i="1" s="1"/>
  <c r="E63" i="6"/>
  <c r="E33" i="1" s="1"/>
  <c r="E62" i="6"/>
  <c r="E29" i="1" s="1"/>
  <c r="C18" i="1"/>
  <c r="C36" i="5"/>
  <c r="C42" i="5" s="1"/>
  <c r="I22" i="5"/>
  <c r="C28" i="5" s="1"/>
  <c r="F51" i="5"/>
  <c r="F28" i="1" s="1"/>
  <c r="F52" i="5"/>
  <c r="F32" i="1" s="1"/>
  <c r="E51" i="5"/>
  <c r="E28" i="1" s="1"/>
  <c r="E52" i="5"/>
  <c r="E32" i="1" s="1"/>
  <c r="F57" i="4"/>
  <c r="F31" i="1" s="1"/>
  <c r="F34" i="1" s="1"/>
  <c r="F56" i="4"/>
  <c r="F27" i="1" s="1"/>
  <c r="D51" i="5"/>
  <c r="D28" i="1" s="1"/>
  <c r="D52" i="5"/>
  <c r="D32" i="1" s="1"/>
  <c r="C51" i="5"/>
  <c r="C52" i="5"/>
  <c r="C57" i="4"/>
  <c r="C56" i="4"/>
  <c r="C45" i="6"/>
  <c r="C19" i="1"/>
  <c r="I28" i="6"/>
  <c r="C34" i="6" s="1"/>
  <c r="F30" i="1" l="1"/>
  <c r="D34" i="1"/>
  <c r="C21" i="12"/>
  <c r="D21" i="12" s="1"/>
  <c r="C32" i="1"/>
  <c r="C55" i="5"/>
  <c r="C13" i="5" s="1"/>
  <c r="C52" i="6"/>
  <c r="C49" i="6"/>
  <c r="C59" i="4"/>
  <c r="C13" i="4" s="1"/>
  <c r="C27" i="1"/>
  <c r="C30" i="1" s="1"/>
  <c r="C20" i="12"/>
  <c r="D20" i="12" s="1"/>
  <c r="C33" i="12" s="1"/>
  <c r="D33" i="12" s="1"/>
  <c r="C31" i="1"/>
  <c r="C34" i="1" s="1"/>
  <c r="C60" i="4"/>
  <c r="C14" i="4" s="1"/>
  <c r="C28" i="1"/>
  <c r="C54" i="5"/>
  <c r="C12" i="5" s="1"/>
  <c r="E34" i="1"/>
  <c r="D30" i="1"/>
  <c r="C29" i="1"/>
  <c r="C65" i="6"/>
  <c r="C14" i="6" s="1"/>
  <c r="C33" i="1"/>
  <c r="C22" i="12"/>
  <c r="D22" i="12" s="1"/>
  <c r="C66" i="6"/>
  <c r="C15" i="6" s="1"/>
  <c r="C9" i="5"/>
  <c r="C29" i="5"/>
  <c r="C10" i="5" s="1"/>
  <c r="C20" i="1"/>
  <c r="E30" i="1"/>
  <c r="C32" i="4"/>
  <c r="C10" i="4" s="1"/>
  <c r="C9" i="4"/>
  <c r="C9" i="6"/>
  <c r="C35" i="6"/>
  <c r="C10" i="6" s="1"/>
  <c r="C47" i="4"/>
  <c r="C4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</author>
  </authors>
  <commentList>
    <comment ref="C9" authorId="0" shapeId="0" xr:uid="{00000000-0006-0000-0200-000001000000}">
      <text>
        <r>
          <rPr>
            <sz val="8"/>
            <color indexed="81"/>
            <rFont val="Arial"/>
            <family val="2"/>
          </rPr>
          <t>P-10 Ship Construction EOQ only; excludes adds and terminal GFE.</t>
        </r>
      </text>
    </comment>
    <comment ref="C24" authorId="0" shapeId="0" xr:uid="{00000000-0006-0000-0200-000002000000}">
      <text>
        <r>
          <rPr>
            <sz val="8"/>
            <color indexed="81"/>
            <rFont val="Arial"/>
            <family val="2"/>
          </rPr>
          <t>HII FY2026 target: outsourcing hours +30% y/y. Phased onto the outyear BC coefficient as a compound ramp reaching the full +30% at FY2031 (no throughput normalization).</t>
        </r>
      </text>
    </comment>
    <comment ref="C25" authorId="0" shapeId="0" xr:uid="{00000000-0006-0000-0200-000003000000}">
      <text>
        <r>
          <rPr>
            <sz val="8"/>
            <color indexed="81"/>
            <rFont val="Arial"/>
            <family val="2"/>
          </rPr>
          <t>Growth applies to HII's 55% DDG BC share; BIW held flat.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</author>
  </authors>
  <commentList>
    <comment ref="D9" authorId="0" shapeId="0" xr:uid="{00000000-0006-0000-0800-000001000000}">
      <text>
        <r>
          <rPr>
            <sz val="8"/>
            <color indexed="81"/>
            <rFont val="Arial"/>
            <family val="2"/>
          </rPr>
          <t>Second FY2026 Virginia-class submarine; full ship procurement (no cost-category breakout)</t>
        </r>
      </text>
    </comment>
    <comment ref="D10" authorId="0" shapeId="0" xr:uid="{00000000-0006-0000-0800-000002000000}">
      <text>
        <r>
          <rPr>
            <sz val="8"/>
            <color indexed="81"/>
            <rFont val="Arial"/>
            <family val="2"/>
          </rPr>
          <t>Two DDG-51 (DDG 147/149) under current MYP; covers BC + GFE (no breakout)</t>
        </r>
      </text>
    </comment>
  </commentList>
</comments>
</file>

<file path=xl/sharedStrings.xml><?xml version="1.0" encoding="utf-8"?>
<sst xmlns="http://schemas.openxmlformats.org/spreadsheetml/2006/main" count="1094" uniqueCount="424">
  <si>
    <t>x</t>
  </si>
  <si>
    <t>Executive Summary</t>
  </si>
  <si>
    <t>Portfolio outsourced TAM, FY2022-31, constant FY2026 $M</t>
  </si>
  <si>
    <t>§1 - Scope</t>
  </si>
  <si>
    <t>Question</t>
  </si>
  <si>
    <t>Portfolio outsourced new-construction TAM</t>
  </si>
  <si>
    <t>Definition</t>
  </si>
  <si>
    <t>BC base x supplier coefficient, plus applicable overlays</t>
  </si>
  <si>
    <t>Programs</t>
  </si>
  <si>
    <t>Virginia, Columbia, DDG-51</t>
  </si>
  <si>
    <t>Window</t>
  </si>
  <si>
    <t>FY2022-31, constant FY2026 $M</t>
  </si>
  <si>
    <t>§2 - FY2022-27 outsourced TAM ($M)</t>
  </si>
  <si>
    <t>Program</t>
  </si>
  <si>
    <t>FY2022</t>
  </si>
  <si>
    <t>FY2023</t>
  </si>
  <si>
    <t>FY2024</t>
  </si>
  <si>
    <t>FY2025</t>
  </si>
  <si>
    <t>FY2026E</t>
  </si>
  <si>
    <t>FY2027E</t>
  </si>
  <si>
    <t>BC coeff</t>
  </si>
  <si>
    <t>Virginia</t>
  </si>
  <si>
    <t>Columbia</t>
  </si>
  <si>
    <t>DDG-51</t>
  </si>
  <si>
    <t>Total</t>
  </si>
  <si>
    <t>E = estimate: FY2026-27 budget request (FY2026 incl. OBBBA).</t>
  </si>
  <si>
    <t>§3 - FY2028-31 outlook ($M)</t>
  </si>
  <si>
    <t>Outyear ($M)</t>
  </si>
  <si>
    <t>FY2028E</t>
  </si>
  <si>
    <t>FY2029E</t>
  </si>
  <si>
    <t>FY2030E</t>
  </si>
  <si>
    <t>FY2031E</t>
  </si>
  <si>
    <t>Virginia low</t>
  </si>
  <si>
    <t>Columbia low</t>
  </si>
  <si>
    <t>DDG-51 low</t>
  </si>
  <si>
    <t>Total low</t>
  </si>
  <si>
    <t>Virginia high</t>
  </si>
  <si>
    <t>Columbia high</t>
  </si>
  <si>
    <t>DDG-51 high</t>
  </si>
  <si>
    <t>Total high</t>
  </si>
  <si>
    <t>Low holds coefficients flat; high compound-ramps Assumptions §4 growth to FY2031.</t>
  </si>
  <si>
    <t>Methodology</t>
  </si>
  <si>
    <t>TAM definition, formula, scope, coefficient basis, and sources</t>
  </si>
  <si>
    <t>Supplier-addressable TAM for Virginia, Columbia, and DDG-51 new construction.</t>
  </si>
  <si>
    <t>Market</t>
  </si>
  <si>
    <t>New-construction work outsourced away from the prime/co-prime yards.</t>
  </si>
  <si>
    <t>Basis</t>
  </si>
  <si>
    <t>Built from SCN budget + DoD award place-of-performance, not sparse subawards.</t>
  </si>
  <si>
    <t>§2 - Formula</t>
  </si>
  <si>
    <t>TAM = BC base x BC coeff + OBBBA BC base x BC coeff + AP/LLTM base x AP coeff</t>
  </si>
  <si>
    <t>BC base</t>
  </si>
  <si>
    <t>P-5c Basic Construction $/program/FY (SCN Budget), constant FY2026 $; GFE excluded.</t>
  </si>
  <si>
    <t>BC coefficient</t>
  </si>
  <si>
    <t>Award $-share landing away from the prime/co-prime yards (Place of Performance).</t>
  </si>
  <si>
    <t>OBBBA BC base</t>
  </si>
  <si>
    <t>BC slice of the OBBBA mandatory award (gross x BC share).</t>
  </si>
  <si>
    <t>AP/LLTM</t>
  </si>
  <si>
    <t>DDG only: P-10 Ship Construction EOQ x AP coeff (subs hold LLTM inside BC).</t>
  </si>
  <si>
    <t>§3 - Coefficients</t>
  </si>
  <si>
    <t>Virginia (~34%)</t>
  </si>
  <si>
    <t>$-weighted Block V master (33% + 1%) + disclosed announcements; master dominates.</t>
  </si>
  <si>
    <t>Columbia (~22%)</t>
  </si>
  <si>
    <t>Build I construction master (other-US 22% + foreign 0%).</t>
  </si>
  <si>
    <t>DDG-51 (~25.3%)</t>
  </si>
  <si>
    <t>MYP-corrected FY23-27 masters + disclosed corpus; FY2022 uses FY18-22 vintage (~22%).</t>
  </si>
  <si>
    <t>§4 - Sources</t>
  </si>
  <si>
    <t>Source</t>
  </si>
  <si>
    <t>Use</t>
  </si>
  <si>
    <t>PB2027 SCN P-5c</t>
  </si>
  <si>
    <t>BC base + cost-category breakdown (SCN Budget)</t>
  </si>
  <si>
    <t>PB2027 SCN P-40</t>
  </si>
  <si>
    <t>FY2025-31 FYDP outyears (FYDP Outyears)</t>
  </si>
  <si>
    <t>PB2027 SCN P-10</t>
  </si>
  <si>
    <t>DDG Ship Construction EOQ (AP/LLTM base)</t>
  </si>
  <si>
    <t>DoD award announcements</t>
  </si>
  <si>
    <t>place-of-performance corpus + construction masters</t>
  </si>
  <si>
    <t>Virginia Block V / Columbia Build I</t>
  </si>
  <si>
    <t>submarine applied BC coefficients</t>
  </si>
  <si>
    <t>DDG MYP awards</t>
  </si>
  <si>
    <t>DDG applied BC coefficient (MYP-corrected)</t>
  </si>
  <si>
    <t>OBBBA Sec. 20002</t>
  </si>
  <si>
    <t>mandatory new-construction overlay (OBBBA Mandatory)</t>
  </si>
  <si>
    <t>Green Book Table 5-4</t>
  </si>
  <si>
    <t>constant-FY2026 deflators (Deflators)</t>
  </si>
  <si>
    <t>Assumptions</t>
  </si>
  <si>
    <t>Editable supplier-share, OBBBA, and outyear assumptions</t>
  </si>
  <si>
    <t>§2 - DDG AP/LLTM supplier coefficient</t>
  </si>
  <si>
    <t>Knob</t>
  </si>
  <si>
    <t>Value</t>
  </si>
  <si>
    <t>DDG AP/LLTM supplier coefficient</t>
  </si>
  <si>
    <t>§3 - OBBBA BC shares</t>
  </si>
  <si>
    <t>Control</t>
  </si>
  <si>
    <t>Observed</t>
  </si>
  <si>
    <t>Adjustment</t>
  </si>
  <si>
    <t>Modeled</t>
  </si>
  <si>
    <t>Virginia OBBBA BC share (Sec. 20002(16))</t>
  </si>
  <si>
    <t>DDG-51 OBBBA BC share (Sec. 20002(17))</t>
  </si>
  <si>
    <t>FY2027 execution spillover</t>
  </si>
  <si>
    <t>§4 - Outyear outsourcing growth</t>
  </si>
  <si>
    <t>HII outsourcing-hours growth (annual)</t>
  </si>
  <si>
    <t>DDG-51 HII share of BC</t>
  </si>
  <si>
    <t>Virginia TAM</t>
  </si>
  <si>
    <t>Virginia BC and OBBBA TAM, FY2022-31</t>
  </si>
  <si>
    <t>§1 - Headline TAM</t>
  </si>
  <si>
    <t>Measure</t>
  </si>
  <si>
    <t>Cumulative TAM (FY22-27) $M</t>
  </si>
  <si>
    <t>Average annual TAM $M/yr</t>
  </si>
  <si>
    <t>Applied BC supplier coefficient</t>
  </si>
  <si>
    <t>incl. OBBBA mandatory TAM $M</t>
  </si>
  <si>
    <t>Implied outyear (FY28-31) low $M/yr</t>
  </si>
  <si>
    <t>Implied outyear (FY28-31) high $M/yr</t>
  </si>
  <si>
    <t>§2 - TAM by fiscal year ($M, constant FY2026)</t>
  </si>
  <si>
    <t>Metric</t>
  </si>
  <si>
    <t>FY2026</t>
  </si>
  <si>
    <t>FY2027</t>
  </si>
  <si>
    <t>FY22-27</t>
  </si>
  <si>
    <t>BC base (P-5c Basic Construction)</t>
  </si>
  <si>
    <t>OBBBA mandatory BC base</t>
  </si>
  <si>
    <t>Applied BC coefficient (from Place of Performance)</t>
  </si>
  <si>
    <t>TAM - BC stream</t>
  </si>
  <si>
    <t>TAM - OBBBA mandatory stream</t>
  </si>
  <si>
    <t>TAM (all streams)</t>
  </si>
  <si>
    <t>§2a - Roll-up &amp; applied coefficient</t>
  </si>
  <si>
    <t>of which OBBBA mandatory TAM (cumulative) $M</t>
  </si>
  <si>
    <t>§3 - Penetration and outyears ($M)</t>
  </si>
  <si>
    <t>Outsourced TAM, all streams ($M)</t>
  </si>
  <si>
    <t>Total ship spend: P-5c Total Ship Estimate ($M)</t>
  </si>
  <si>
    <t>plus OBBBA gross award ($M; FY27 via spillover)</t>
  </si>
  <si>
    <t>Total ship spend incl. OBBBA ($M)</t>
  </si>
  <si>
    <t>Penetration: TAM / total ship spend</t>
  </si>
  <si>
    <t>FY22-25 average penetration</t>
  </si>
  <si>
    <t>Forecast BC share</t>
  </si>
  <si>
    <t>Outyear BC coefficient, low</t>
  </si>
  <si>
    <t>Outyear outsourcing growth (annual target)</t>
  </si>
  <si>
    <t>Outyears</t>
  </si>
  <si>
    <t>FY2028</t>
  </si>
  <si>
    <t>FY2029</t>
  </si>
  <si>
    <t>FY2030</t>
  </si>
  <si>
    <t>FY2031</t>
  </si>
  <si>
    <t>FYDP gross</t>
  </si>
  <si>
    <t>Outyear BC base</t>
  </si>
  <si>
    <t>Outyear BC coefficient, high (compounded)</t>
  </si>
  <si>
    <t>Outsourced BC, low</t>
  </si>
  <si>
    <t>Outsourced BC, high</t>
  </si>
  <si>
    <t>Outyear low average</t>
  </si>
  <si>
    <t>Outyear high average</t>
  </si>
  <si>
    <t>Columbia TAM</t>
  </si>
  <si>
    <t>Columbia BC TAM, FY2022-31</t>
  </si>
  <si>
    <t>Total ship spend ($M)</t>
  </si>
  <si>
    <t>DDG-51 TAM</t>
  </si>
  <si>
    <t>DDG-51 BC, AP/LLTM, and OBBBA TAM, FY2022-31</t>
  </si>
  <si>
    <t>incl. AP/LLTM TAM $M</t>
  </si>
  <si>
    <t>AP/LLTM base (P-10 Ship Construction EOQ)</t>
  </si>
  <si>
    <t>TAM - AP/LLTM stream</t>
  </si>
  <si>
    <t>of which AP/LLTM TAM (cumulative) $M</t>
  </si>
  <si>
    <t>Applied BC coefficient, FY2022 vintage</t>
  </si>
  <si>
    <t>plus OBBBA gross award ($M)</t>
  </si>
  <si>
    <t>HII share of DDG BC</t>
  </si>
  <si>
    <t>SCN Budget</t>
  </si>
  <si>
    <t>PB2027 P-5c cost categories and constant-dollar BC bases</t>
  </si>
  <si>
    <t>§1 - Basic Construction by program</t>
  </si>
  <si>
    <t>Virginia Basic Construction</t>
  </si>
  <si>
    <t>Columbia Basic Construction</t>
  </si>
  <si>
    <t>DDG-51 Basic Construction</t>
  </si>
  <si>
    <t>Portfolio Basic Construction</t>
  </si>
  <si>
    <t>Constant-FY2026 factor (then-year x this; from Deflators)</t>
  </si>
  <si>
    <t>§2 - Virginia P-5c</t>
  </si>
  <si>
    <t>Total Ship Estimate</t>
  </si>
  <si>
    <t>Plans Costs</t>
  </si>
  <si>
    <t>Propulsion Equipment</t>
  </si>
  <si>
    <t>Electronics</t>
  </si>
  <si>
    <t>Hull, Mechanical, Electrical (HM&amp;E)</t>
  </si>
  <si>
    <t>Ordnance</t>
  </si>
  <si>
    <t>Other Cost</t>
  </si>
  <si>
    <t>Technology Insertion</t>
  </si>
  <si>
    <t>GFE Sum</t>
  </si>
  <si>
    <t>Change Orders</t>
  </si>
  <si>
    <t>Basic Construction (TAM base)</t>
  </si>
  <si>
    <t>§2a - Ratios</t>
  </si>
  <si>
    <t>Ratio</t>
  </si>
  <si>
    <t>BC % of Total</t>
  </si>
  <si>
    <t>GFE % of Total</t>
  </si>
  <si>
    <t>§2b - Constant FY2026 $M</t>
  </si>
  <si>
    <t>§3 - Columbia P-5c</t>
  </si>
  <si>
    <t>§3a - Ratios</t>
  </si>
  <si>
    <t>§3b - Constant FY2026 $M</t>
  </si>
  <si>
    <t>§4 - DDG-51 P-5c</t>
  </si>
  <si>
    <t>§4a - Ratios</t>
  </si>
  <si>
    <t>§4b - Constant FY2026 $M</t>
  </si>
  <si>
    <t>§5 - DDG-51 AP/LLTM (P-10 EOQ)</t>
  </si>
  <si>
    <t>CY AP gross, then-year $ (P-1; memo)</t>
  </si>
  <si>
    <t>Ship Construction EOQ, then-year $ (P-10)</t>
  </si>
  <si>
    <t>Ship Construction EOQ, constant FY2026 $M</t>
  </si>
  <si>
    <t>Place of Performance</t>
  </si>
  <si>
    <t>Award place of performance and supplier coefficients</t>
  </si>
  <si>
    <t>§1 - Supplier coefficients</t>
  </si>
  <si>
    <t>§1a - Applied coefficients</t>
  </si>
  <si>
    <t>Eligible $M</t>
  </si>
  <si>
    <t>Supplier $M</t>
  </si>
  <si>
    <t>Coefficient</t>
  </si>
  <si>
    <t>Virginia BC</t>
  </si>
  <si>
    <t>Columbia BC</t>
  </si>
  <si>
    <t>DDG-51 BC, FY23-27</t>
  </si>
  <si>
    <t>DDG-51 BC, FY2022</t>
  </si>
  <si>
    <t>§1b - Reference coefficients</t>
  </si>
  <si>
    <t>DDG-51 disclosed</t>
  </si>
  <si>
    <t>Submarine AP/LLTM</t>
  </si>
  <si>
    <t>§2 - Award corpus</t>
  </si>
  <si>
    <t>Date</t>
  </si>
  <si>
    <t>PIID</t>
  </si>
  <si>
    <t>Prime</t>
  </si>
  <si>
    <t>Work Type</t>
  </si>
  <si>
    <t>Stream</t>
  </si>
  <si>
    <t>Master</t>
  </si>
  <si>
    <t>FY18-22 vintage</t>
  </si>
  <si>
    <t>$M</t>
  </si>
  <si>
    <t>Prime %</t>
  </si>
  <si>
    <t>Co-prime %</t>
  </si>
  <si>
    <t>Other US %</t>
  </si>
  <si>
    <t>Foreign %</t>
  </si>
  <si>
    <t>2019-12-02</t>
  </si>
  <si>
    <t>N00024-17-C-2100</t>
  </si>
  <si>
    <t>General Dynamics Electric Boat</t>
  </si>
  <si>
    <t>construction</t>
  </si>
  <si>
    <t>BC</t>
  </si>
  <si>
    <t>DoD Contracts 2019-12-02 (defense.gov Article 2030017); Block V, 9 boats FY19-23</t>
  </si>
  <si>
    <t>2025-04-30</t>
  </si>
  <si>
    <t>-</t>
  </si>
  <si>
    <t>lltm_early_mfg</t>
  </si>
  <si>
    <t>AP_LLTM</t>
  </si>
  <si>
    <t>https://www.globalsecurity.org/military/library/news/2025/04/dod-contracts_4170827.htm</t>
  </si>
  <si>
    <t>2026-05-11</t>
  </si>
  <si>
    <t>N00024-24-C-2110</t>
  </si>
  <si>
    <t>General Dynamics Electric Boat Corp.</t>
  </si>
  <si>
    <t>https://www.globalsecurity.org/military/library/news/2026/05/dod-contracts_4479470.htm</t>
  </si>
  <si>
    <t>2025-06-26</t>
  </si>
  <si>
    <t>https://www.globalsecurity.org/military/library/news/2025/06/dod-contracts_4227676.htm</t>
  </si>
  <si>
    <t>2025-03-25</t>
  </si>
  <si>
    <t>https://www.globalsecurity.org/military/library/news/2025/03/dod-contracts_4134550.htm</t>
  </si>
  <si>
    <t>2023-10-13</t>
  </si>
  <si>
    <t>https://www.defense.gov/News/Contracts/Contract/Article/3557261/  (via web.archive.org)</t>
  </si>
  <si>
    <t>2025-01-08</t>
  </si>
  <si>
    <t>https://www.globalsecurity.org/military/library/news/2025/01/dod-contracts_4024737.htm</t>
  </si>
  <si>
    <t>2025-07-21</t>
  </si>
  <si>
    <t>component_procurement</t>
  </si>
  <si>
    <t>https://www.globalsecurity.org/military/library/news/2025/07/dod-contracts_4250988.htm</t>
  </si>
  <si>
    <t>2024-02-23</t>
  </si>
  <si>
    <t>https://www.defense.gov/News/Contracts/Contract/Article/3685947/  (via web.archive.org)</t>
  </si>
  <si>
    <t>2024-01-22</t>
  </si>
  <si>
    <t>https://www.defense.gov/News/Contracts/Contract/Article/3652144/  (via web.archive.org)</t>
  </si>
  <si>
    <t>2025-08-11</t>
  </si>
  <si>
    <t>https://www.globalsecurity.org/military/library/news/2025/08/dod-contracts_4271589.htm</t>
  </si>
  <si>
    <t>2025-07-29</t>
  </si>
  <si>
    <t>CIRCOR Naval Solutions LLC</t>
  </si>
  <si>
    <t>https://www.globalsecurity.org/military/library/news/2025/07/dod-contracts_4258695.htm</t>
  </si>
  <si>
    <t>2023-09-08</t>
  </si>
  <si>
    <t>N40085-23-C-0045</t>
  </si>
  <si>
    <t>https://www.defense.gov/News/Contracts/Contract/Article/3520839/  (via web.archive.org)</t>
  </si>
  <si>
    <t>2024-09-27</t>
  </si>
  <si>
    <t>https://www.defense.gov/News/Contracts/Contract/Article/3919852/  (via web.archive.org)</t>
  </si>
  <si>
    <t>2025-03-28</t>
  </si>
  <si>
    <t>https://www.globalsecurity.org/military/library/news/2025/03/dod-contracts_4138718.htm</t>
  </si>
  <si>
    <t>2025-08-22</t>
  </si>
  <si>
    <t>Rolls Royce Marine North America Inc.</t>
  </si>
  <si>
    <t>https://www.globalsecurity.org/military/library/news/2025/08/dod-contracts_4283984.htm</t>
  </si>
  <si>
    <t>2020-11-05</t>
  </si>
  <si>
    <t>N00024-17-C-2117</t>
  </si>
  <si>
    <t>DoD Contracts 2020-11-05 (defense.gov Article 2406922); Build I, SSBN 826/827</t>
  </si>
  <si>
    <t>2025-11-17</t>
  </si>
  <si>
    <t>advance_procurement</t>
  </si>
  <si>
    <t>https://www.globalsecurity.org/military/library/news/2025/11/dod-contracts_4333778.htm</t>
  </si>
  <si>
    <t>(MYP master)</t>
  </si>
  <si>
    <t>N00024-23-C-2305</t>
  </si>
  <si>
    <t>Bath Iron Works</t>
  </si>
  <si>
    <t>DDG FY23-27 MYP; POP per award bulletin, $ reconstructed from FPDS + trade press</t>
  </si>
  <si>
    <t>N00024-23-C-2307</t>
  </si>
  <si>
    <t>Huntington Ingalls Industries</t>
  </si>
  <si>
    <t>2026-04-22</t>
  </si>
  <si>
    <t>N00024-24-C-4212</t>
  </si>
  <si>
    <t>https://www.globalsecurity.org/military/library/news/2026/04/dod-contracts_4467057.htm</t>
  </si>
  <si>
    <t>2025-05-14</t>
  </si>
  <si>
    <t>https://www.globalsecurity.org/military/library/news/2025/05/dod-contracts_4186522.htm</t>
  </si>
  <si>
    <t>2024-06-14</t>
  </si>
  <si>
    <t>https://www.defense.gov/News/Contracts/Contract/Article/3808062/  (via web.archive.org)</t>
  </si>
  <si>
    <t>2023-09-06</t>
  </si>
  <si>
    <t>https://www.defense.gov/News/Contracts/Contract/Article/3517358/  (via web.archive.org)</t>
  </si>
  <si>
    <t>2023-11-17</t>
  </si>
  <si>
    <t>N00024-24-C-2313</t>
  </si>
  <si>
    <t>https://www.defense.gov/News/Contracts/Contract/Article/3593062/  (via web.archive.org)</t>
  </si>
  <si>
    <t>2024-03-21</t>
  </si>
  <si>
    <t>N00024-19-C-4452</t>
  </si>
  <si>
    <t>General Dynamics Bath Iron Works</t>
  </si>
  <si>
    <t>https://www.defense.gov/News/Contracts/Contract/Article/3714389/  (via web.archive.org)</t>
  </si>
  <si>
    <t>2025-12-05</t>
  </si>
  <si>
    <t>N00024-24-C-2312</t>
  </si>
  <si>
    <t>Huntington Ingalls Inc.</t>
  </si>
  <si>
    <t>https://www.globalsecurity.org/military/library/news/2025/12/dod-contracts_4351194.htm</t>
  </si>
  <si>
    <t>2024-05-13</t>
  </si>
  <si>
    <t>N00024-17-C-4109</t>
  </si>
  <si>
    <t>DRS Laurel Technologies</t>
  </si>
  <si>
    <t>https://www.defense.gov/News/Contracts/Contract/Article/3773612/  (via web.archive.org)</t>
  </si>
  <si>
    <t>2024-09-03</t>
  </si>
  <si>
    <t>N00024-24-C-2321</t>
  </si>
  <si>
    <t>BAE Systems Jacksonville Ship Repair LLC</t>
  </si>
  <si>
    <t>https://www.defense.gov/News/Contracts/Contract/Article/3893110/  (via web.archive.org)</t>
  </si>
  <si>
    <t>2025-02-26</t>
  </si>
  <si>
    <t>https://www.globalsecurity.org/military/library/news/2025/02/dod-contracts_4078369.htm</t>
  </si>
  <si>
    <t>2026-05-20</t>
  </si>
  <si>
    <t>Huntington-Ingalls Industries - Ingalls Shipbuilding</t>
  </si>
  <si>
    <t>https://www.globalsecurity.org/military/library/news/2026/05/dod-contracts_4496900.htm</t>
  </si>
  <si>
    <t>2025-07-31</t>
  </si>
  <si>
    <t>DRS Laurel Technologies Inc.</t>
  </si>
  <si>
    <t>https://www.globalsecurity.org/military/library/news/2025/07/dod-contracts_4261297.htm</t>
  </si>
  <si>
    <t>2022-09-22</t>
  </si>
  <si>
    <t>https://www.defense.gov/News/Contracts/Contract/Article/3168041/  (via web.archive.org)</t>
  </si>
  <si>
    <t>2022-12-21</t>
  </si>
  <si>
    <t>N69316-23-F-6000</t>
  </si>
  <si>
    <t>https://www.defense.gov/News/Contracts/Contract/Article/3253110/  (via web.archive.org)</t>
  </si>
  <si>
    <t>2023-03-20</t>
  </si>
  <si>
    <t>N00024-13-C-2305</t>
  </si>
  <si>
    <t>https://www.defense.gov/News/Contracts/Contract/Article/3335127/  (via web.archive.org)</t>
  </si>
  <si>
    <t>2025-01-29</t>
  </si>
  <si>
    <t>https://www.globalsecurity.org/military/library/news/2025/01/dod-contracts_4047048.htm</t>
  </si>
  <si>
    <t>2024-03-26</t>
  </si>
  <si>
    <t>N00024-19-C-2322</t>
  </si>
  <si>
    <t>https://www.defense.gov/News/Contracts/Contract/Article/3719093/  (via web.archive.org)</t>
  </si>
  <si>
    <t>2022-12-02</t>
  </si>
  <si>
    <t>https://www.defense.gov/News/Contracts/Contract/Article/3235034/  (via web.archive.org)</t>
  </si>
  <si>
    <t>2024-08-27</t>
  </si>
  <si>
    <t>https://www.defense.gov/News/Contracts/Contract/Article/3886803/  (via web.archive.org)</t>
  </si>
  <si>
    <t>2025-02-20</t>
  </si>
  <si>
    <t>N00024-22-C-2319</t>
  </si>
  <si>
    <t>https://www.globalsecurity.org/military/library/news/2025/02/dod-contracts_4072252.htm</t>
  </si>
  <si>
    <t>2025-02-21</t>
  </si>
  <si>
    <t>https://www.globalsecurity.org/military/library/news/2025/02/dod-contracts_4073782.htm</t>
  </si>
  <si>
    <t>2025-05-16</t>
  </si>
  <si>
    <t>https://www.globalsecurity.org/military/library/news/2025/05/dod-contracts_4189244.htm</t>
  </si>
  <si>
    <t>2025-07-17</t>
  </si>
  <si>
    <t>N00024-22-C-2318</t>
  </si>
  <si>
    <t>https://www.globalsecurity.org/military/library/news/2025/07/dod-contracts_4248652.htm</t>
  </si>
  <si>
    <t>2023-08-01</t>
  </si>
  <si>
    <t>https://www.defense.gov/News/Contracts/Contract/Article/3479250/  (via web.archive.org)</t>
  </si>
  <si>
    <t>2023-08-11</t>
  </si>
  <si>
    <t>https://www.defense.gov/News/Contracts/Contract/Article/3491276/  (via web.archive.org)</t>
  </si>
  <si>
    <t>2024-07-17</t>
  </si>
  <si>
    <t>https://www.defense.gov/News/Contracts/Contract/Article/3841931/  (via web.archive.org)</t>
  </si>
  <si>
    <t>2018-09-27</t>
  </si>
  <si>
    <t>N00024-18-C-2305</t>
  </si>
  <si>
    <t>DoD Contracts 2018-09-27 (defense.gov Article 1647166); FY18-22 MYP</t>
  </si>
  <si>
    <t>N00024-18-C-2307</t>
  </si>
  <si>
    <t>OBBBA Mandatory</t>
  </si>
  <si>
    <t>FY2026 mandatory awards and BC/GFE bridge</t>
  </si>
  <si>
    <t>§1 - Mandatory awards</t>
  </si>
  <si>
    <t>Award</t>
  </si>
  <si>
    <t>Section</t>
  </si>
  <si>
    <t>Gross $M</t>
  </si>
  <si>
    <t>Virginia (LI 2013)</t>
  </si>
  <si>
    <t>20002(16)</t>
  </si>
  <si>
    <t>DDG-51 (LI 2122)</t>
  </si>
  <si>
    <t>20002(17)</t>
  </si>
  <si>
    <t>§2 - Virginia bridge ($M)</t>
  </si>
  <si>
    <t>Sec. 20002(16) award, then-year $M</t>
  </si>
  <si>
    <t>Gross award, constant FY2026 $M</t>
  </si>
  <si>
    <t>Gross award, execution-aligned, constant FY2026 $M</t>
  </si>
  <si>
    <t>§2a - BC/GFE split</t>
  </si>
  <si>
    <t>OBBBA BC base, then-year $M</t>
  </si>
  <si>
    <t>OBBBA BC base, constant FY2026 $M</t>
  </si>
  <si>
    <t>GFE / non-BC remainder ($M; excluded from TAM)</t>
  </si>
  <si>
    <t>§3 - DDG-51 bridge ($M)</t>
  </si>
  <si>
    <t>Sec. 20002(17) award, then-year $M</t>
  </si>
  <si>
    <t>§3a - BC/GFE split</t>
  </si>
  <si>
    <t>FYDP Outyears</t>
  </si>
  <si>
    <t>PB2027 P-40 gross spend, FY2025-31</t>
  </si>
  <si>
    <t>§1 - PB2027 P-40 Resource Summary (then-year $M)</t>
  </si>
  <si>
    <t>Field</t>
  </si>
  <si>
    <t>Exhibit</t>
  </si>
  <si>
    <t>PB2027 Navy P-40 (1611N SCN)</t>
  </si>
  <si>
    <t>Period</t>
  </si>
  <si>
    <t>FY2025-31; FY2027 = Total (Base+OOC), FY2028-31 = outyears</t>
  </si>
  <si>
    <t>§2 - Virginia (LI 2013), then-year $M</t>
  </si>
  <si>
    <t>Gross / Weapon System Cost, then-year $M</t>
  </si>
  <si>
    <t>Procurement quantity (ships)</t>
  </si>
  <si>
    <t>Net Procurement (P-1), then-year $M (memo)</t>
  </si>
  <si>
    <t>Total Obligation Authority, then-year $M (memo)</t>
  </si>
  <si>
    <t>§3 - Columbia (LI 1045), then-year $M</t>
  </si>
  <si>
    <t>§4 - DDG-51 (LI 2122), then-year $M</t>
  </si>
  <si>
    <t>§5 - Constant FY2026 $M</t>
  </si>
  <si>
    <t>Class</t>
  </si>
  <si>
    <t>Columbia (LI 1045)</t>
  </si>
  <si>
    <t>Submarine portfolio (Va + Col), constant FY2026 $M</t>
  </si>
  <si>
    <t>Deflators</t>
  </si>
  <si>
    <t>Procurement deflators rebased to FY2026</t>
  </si>
  <si>
    <t>§1 - Procurement deflators</t>
  </si>
  <si>
    <t>FY</t>
  </si>
  <si>
    <t>Procurement deflator (FY2025=100)</t>
  </si>
  <si>
    <t>Factor to constant FY2026 $</t>
  </si>
  <si>
    <t>Extrapolated @ 2.1%/yr</t>
  </si>
  <si>
    <t>§2 - Source</t>
  </si>
  <si>
    <t>Series</t>
  </si>
  <si>
    <t>Procurement TOA</t>
  </si>
  <si>
    <t>OSD National Defense Budget Estimates for FY2025 (Green Book), Table 5-4 Procurement TOA, FY2025=100; rebased to FY2026=1.000</t>
  </si>
  <si>
    <t>FY2030-31</t>
  </si>
  <si>
    <t>Extrapolated at 2.1%/yr (Green Book Table 5-3 steady-state purchases inflation)</t>
  </si>
  <si>
    <t>Checks</t>
  </si>
  <si>
    <t>Input bounds, outyear ordering, and completeness</t>
  </si>
  <si>
    <t>§1 - Share bounds</t>
  </si>
  <si>
    <t>Check</t>
  </si>
  <si>
    <t>Status</t>
  </si>
  <si>
    <t>Virginia applied BC coefficient</t>
  </si>
  <si>
    <t>Columbia applied BC coefficient</t>
  </si>
  <si>
    <t>DDG-51 applied BC coefficient</t>
  </si>
  <si>
    <t>Virginia OBBBA modeled BC share</t>
  </si>
  <si>
    <t>DDG-51 OBBBA modeled BC share</t>
  </si>
  <si>
    <t>DDG-51 AP/LLTM supplier coefficient</t>
  </si>
  <si>
    <t>§2 - Outyear band</t>
  </si>
  <si>
    <t>Min margin $M</t>
  </si>
  <si>
    <t>Virginia outyear high &gt;= low</t>
  </si>
  <si>
    <t>Columbia outyear high &gt;= low</t>
  </si>
  <si>
    <t>DDG-51 outyear high &gt;= low</t>
  </si>
  <si>
    <t>§3 - Completeness</t>
  </si>
  <si>
    <t>Count</t>
  </si>
  <si>
    <t>Key behavioral knobs present &amp; numeric</t>
  </si>
  <si>
    <t>§4 - Master check</t>
  </si>
  <si>
    <t>All checks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</si>
</sst>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;\-#,##0.0;&quot;-&quot;"/>
    <numFmt numFmtId="165" formatCode="0.0%;\-0.0%;&quot;-&quot;"/>
    <numFmt numFmtId="168" formatCode="#,##0;\-#,##0;&quot;-&quot;"/>
    <numFmt numFmtId="170" formatCode="0.00;\-0.00;&quot;-&quot;"/>
  </numFmts>
  <fonts count="9" x14ac:knownFonts="1">
    <font>
      <sz val="8"/>
      <color rgb="FF000000"/>
      <name val="Arial"/>
    </font>
    <font>
      <b/>
      <sz val="8"/>
      <color rgb="FF000000"/>
      <name val="Arial"/>
      <family val="2"/>
    </font>
    <font>
      <b/>
      <sz val="8"/>
      <color rgb="FFFFFFFF"/>
      <name val="Arial"/>
      <family val="2"/>
    </font>
    <font>
      <sz val="8"/>
      <color rgb="FF0000FF"/>
      <name val="Arial"/>
      <family val="2"/>
    </font>
    <font>
      <sz val="8"/>
      <color rgb="FF008000"/>
      <name val="Arial"/>
      <family val="2"/>
    </font>
    <font>
      <i/>
      <sz val="8"/>
      <color rgb="FF000000"/>
      <name val="Arial"/>
      <family val="2"/>
    </font>
    <font>
      <i/>
      <sz val="8"/>
      <color rgb="FF0000FF"/>
      <name val="Arial"/>
      <family val="2"/>
    </font>
    <font>
      <i/>
      <sz val="8"/>
      <color rgb="FF008000"/>
      <name val="Arial"/>
      <family val="2"/>
    </font>
    <font>
      <sz val="8"/>
      <color indexed="8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808080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/>
    <xf numFmtId="164" fontId="0" fillId="0" borderId="0" xfId="0" applyNumberFormat="1"/>
    <xf numFmtId="164" fontId="3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164" fontId="4" fillId="0" borderId="0" xfId="0" applyNumberFormat="1" applyFont="1"/>
    <xf numFmtId="165" fontId="7" fillId="0" borderId="0" xfId="0" applyNumberFormat="1" applyFont="1"/>
    <xf numFmtId="164" fontId="1" fillId="0" borderId="2" xfId="0" applyNumberFormat="1" applyFont="1" applyBorder="1"/>
    <xf numFmtId="0" fontId="0" fillId="0" borderId="2" xfId="0" applyBorder="1"/>
    <xf numFmtId="0" fontId="1" fillId="0" borderId="1" xfId="0" applyFont="1" applyBorder="1" applyAlignment="1">
      <alignment horizontal="center" vertical="center"/>
    </xf>
    <xf numFmtId="168" fontId="0" fillId="0" borderId="0" xfId="0" applyNumberFormat="1"/>
    <xf numFmtId="168" fontId="3" fillId="0" borderId="0" xfId="0" applyNumberFormat="1" applyFont="1"/>
    <xf numFmtId="0" fontId="5" fillId="0" borderId="0" xfId="0" applyFont="1"/>
    <xf numFmtId="170" fontId="0" fillId="0" borderId="0" xfId="0" applyNumberFormat="1"/>
    <xf numFmtId="165" fontId="6" fillId="5" borderId="0" xfId="0" applyNumberFormat="1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WorkbookCore_NoFormatTable" defaultPivotStyle="PivotStyleLight16">
    <tableStyle name="WorkbookCore_NoFormatTable" pivot="0" count="13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op_corpus" displayName="tbl_pop_corpus" ref="B25:O76" totalsRowShown="0">
  <autoFilter ref="B25:O76" xr:uid="{00000000-0009-0000-0100-000001000000}"/>
  <tableColumns count="14">
    <tableColumn id="1" xr3:uid="{00000000-0010-0000-0000-000001000000}" name="Program"/>
    <tableColumn id="2" xr3:uid="{00000000-0010-0000-0000-000002000000}" name="Date"/>
    <tableColumn id="3" xr3:uid="{00000000-0010-0000-0000-000003000000}" name="PIID"/>
    <tableColumn id="4" xr3:uid="{00000000-0010-0000-0000-000004000000}" name="Prime"/>
    <tableColumn id="5" xr3:uid="{00000000-0010-0000-0000-000005000000}" name="Work Type"/>
    <tableColumn id="6" xr3:uid="{00000000-0010-0000-0000-000006000000}" name="Stream"/>
    <tableColumn id="7" xr3:uid="{00000000-0010-0000-0000-000007000000}" name="Master"/>
    <tableColumn id="8" xr3:uid="{00000000-0010-0000-0000-000008000000}" name="FY18-22 vintage"/>
    <tableColumn id="9" xr3:uid="{00000000-0010-0000-0000-000009000000}" name="$M"/>
    <tableColumn id="10" xr3:uid="{00000000-0010-0000-0000-00000A000000}" name="Prime %"/>
    <tableColumn id="11" xr3:uid="{00000000-0010-0000-0000-00000B000000}" name="Co-prime %"/>
    <tableColumn id="12" xr3:uid="{00000000-0010-0000-0000-00000C000000}" name="Other US %"/>
    <tableColumn id="13" xr3:uid="{00000000-0010-0000-0000-00000D000000}" name="Foreign %"/>
    <tableColumn id="14" xr3:uid="{00000000-0010-0000-0000-00000E000000}" name="Source"/>
  </tableColumns>
  <tableStyleInfo name="WorkbookCore_NoFormatTable" showFirstColumn="0" showLastColumn="0" showRowStripes="0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62626"/>
    <outlinePr summaryBelow="0"/>
  </sheetPr>
  <dimension ref="A2:I35"/>
  <sheetViews>
    <sheetView showGridLines="0" tabSelected="1" showOutlineSymbols="0" workbookViewId="0">
      <selection activeCell="D1" sqref="D1"/>
    </sheetView>
  </sheetViews>
  <sheetFormatPr baseColWidth="10" defaultColWidth="8.75" defaultRowHeight="10" customHeight="1" outlineLevelRow="2" x14ac:dyDescent="0.15"/>
  <cols>
    <col min="1" max="1" width="2.25" customWidth="1"/>
    <col min="2" max="2" width="22" customWidth="1"/>
    <col min="3" max="9" width="11" customWidth="1"/>
  </cols>
  <sheetData>
    <row r="2" spans="1:9" ht="10" customHeight="1" x14ac:dyDescent="0.15">
      <c r="A2" t="s">
        <v>0</v>
      </c>
      <c r="B2" s="8" t="s">
        <v>1</v>
      </c>
      <c r="C2" s="8"/>
      <c r="D2" s="8"/>
      <c r="E2" s="8"/>
      <c r="F2" s="8"/>
      <c r="G2" s="8"/>
      <c r="H2" s="8"/>
      <c r="I2" s="8"/>
    </row>
    <row r="3" spans="1:9" ht="10" customHeight="1" outlineLevel="1" x14ac:dyDescent="0.15">
      <c r="B3" s="18" t="s">
        <v>2</v>
      </c>
    </row>
    <row r="4" spans="1:9" ht="10" customHeight="1" outlineLevel="1" x14ac:dyDescent="0.15"/>
    <row r="5" spans="1:9" ht="10" customHeight="1" outlineLevel="1" x14ac:dyDescent="0.15"/>
    <row r="6" spans="1:9" ht="10" customHeight="1" outlineLevel="1" x14ac:dyDescent="0.15">
      <c r="A6" t="s">
        <v>0</v>
      </c>
      <c r="B6" s="9" t="s">
        <v>3</v>
      </c>
      <c r="C6" s="9"/>
      <c r="D6" s="9"/>
      <c r="E6" s="9"/>
      <c r="F6" s="9"/>
      <c r="G6" s="9"/>
      <c r="H6" s="9"/>
      <c r="I6" s="9"/>
    </row>
    <row r="7" spans="1:9" ht="10" customHeight="1" outlineLevel="2" x14ac:dyDescent="0.15"/>
    <row r="8" spans="1:9" ht="10" customHeight="1" outlineLevel="2" x14ac:dyDescent="0.15">
      <c r="B8" t="s">
        <v>4</v>
      </c>
      <c r="C8" t="s">
        <v>5</v>
      </c>
    </row>
    <row r="9" spans="1:9" ht="10" customHeight="1" outlineLevel="2" x14ac:dyDescent="0.15">
      <c r="B9" t="s">
        <v>6</v>
      </c>
      <c r="C9" t="s">
        <v>7</v>
      </c>
    </row>
    <row r="10" spans="1:9" ht="10" customHeight="1" outlineLevel="2" x14ac:dyDescent="0.15">
      <c r="B10" t="s">
        <v>8</v>
      </c>
      <c r="C10" t="s">
        <v>9</v>
      </c>
    </row>
    <row r="11" spans="1:9" ht="10" customHeight="1" outlineLevel="2" x14ac:dyDescent="0.15">
      <c r="B11" t="s">
        <v>10</v>
      </c>
      <c r="C11" t="s">
        <v>11</v>
      </c>
    </row>
    <row r="12" spans="1:9" ht="10" customHeight="1" outlineLevel="2" x14ac:dyDescent="0.15"/>
    <row r="13" spans="1:9" ht="10" customHeight="1" outlineLevel="2" x14ac:dyDescent="0.15"/>
    <row r="14" spans="1:9" ht="10" customHeight="1" outlineLevel="1" x14ac:dyDescent="0.15">
      <c r="A14" t="s">
        <v>0</v>
      </c>
      <c r="B14" s="9" t="s">
        <v>12</v>
      </c>
      <c r="C14" s="9"/>
      <c r="D14" s="9"/>
      <c r="E14" s="9"/>
      <c r="F14" s="9"/>
      <c r="G14" s="9"/>
      <c r="H14" s="9"/>
      <c r="I14" s="9"/>
    </row>
    <row r="15" spans="1:9" ht="10" customHeight="1" outlineLevel="2" x14ac:dyDescent="0.15"/>
    <row r="16" spans="1:9" ht="10" customHeight="1" outlineLevel="2" x14ac:dyDescent="0.15">
      <c r="B16" s="2" t="s">
        <v>13</v>
      </c>
      <c r="C16" s="15" t="s">
        <v>14</v>
      </c>
      <c r="D16" s="15" t="s">
        <v>15</v>
      </c>
      <c r="E16" s="15" t="s">
        <v>16</v>
      </c>
      <c r="F16" s="15" t="s">
        <v>17</v>
      </c>
      <c r="G16" s="15" t="s">
        <v>18</v>
      </c>
      <c r="H16" s="15" t="s">
        <v>19</v>
      </c>
      <c r="I16" s="15" t="s">
        <v>20</v>
      </c>
    </row>
    <row r="17" spans="1:9" ht="10" customHeight="1" outlineLevel="2" x14ac:dyDescent="0.15">
      <c r="B17" t="s">
        <v>21</v>
      </c>
      <c r="C17" s="11">
        <f>'Virginia TAM'!C25</f>
        <v>1780.8373853073931</v>
      </c>
      <c r="D17" s="11">
        <f>'Virginia TAM'!D25</f>
        <v>1855.0151567889034</v>
      </c>
      <c r="E17" s="11">
        <f>'Virginia TAM'!E25</f>
        <v>3209.6555084983934</v>
      </c>
      <c r="F17" s="11">
        <f>'Virginia TAM'!F25</f>
        <v>1848.5321211030569</v>
      </c>
      <c r="G17" s="11">
        <f>'Virginia TAM'!G25</f>
        <v>1978.2301516285349</v>
      </c>
      <c r="H17" s="11">
        <f>'Virginia TAM'!H25</f>
        <v>2963.9811568460768</v>
      </c>
      <c r="I17" s="12">
        <f>'Virginia TAM'!C34</f>
        <v>0.34023682020429963</v>
      </c>
    </row>
    <row r="18" spans="1:9" ht="10" customHeight="1" outlineLevel="2" x14ac:dyDescent="0.15">
      <c r="B18" t="s">
        <v>22</v>
      </c>
      <c r="C18" s="11">
        <f>'Columbia TAM'!C22</f>
        <v>0</v>
      </c>
      <c r="D18" s="11">
        <f>'Columbia TAM'!D22</f>
        <v>0</v>
      </c>
      <c r="E18" s="11">
        <f>'Columbia TAM'!E22</f>
        <v>1454.2727056000003</v>
      </c>
      <c r="F18" s="11">
        <f>'Columbia TAM'!F22</f>
        <v>0</v>
      </c>
      <c r="G18" s="11">
        <f>'Columbia TAM'!G22</f>
        <v>1575.1489600000002</v>
      </c>
      <c r="H18" s="11">
        <f>'Columbia TAM'!H22</f>
        <v>1477.6648348000001</v>
      </c>
      <c r="I18" s="12">
        <f>'Columbia TAM'!C30</f>
        <v>0.22000000000000003</v>
      </c>
    </row>
    <row r="19" spans="1:9" ht="10" customHeight="1" outlineLevel="2" x14ac:dyDescent="0.15">
      <c r="B19" t="s">
        <v>23</v>
      </c>
      <c r="C19" s="11">
        <f>'DDG-51 TAM'!C28</f>
        <v>474.36499813919465</v>
      </c>
      <c r="D19" s="11">
        <f>'DDG-51 TAM'!D28</f>
        <v>1233.6318878196453</v>
      </c>
      <c r="E19" s="11">
        <f>'DDG-51 TAM'!E28</f>
        <v>873.98664525766401</v>
      </c>
      <c r="F19" s="11">
        <f>'DDG-51 TAM'!F28</f>
        <v>1236.3881226297572</v>
      </c>
      <c r="G19" s="11">
        <f>'DDG-51 TAM'!G28</f>
        <v>1929.2400944902224</v>
      </c>
      <c r="H19" s="11">
        <f>'DDG-51 TAM'!H28</f>
        <v>674.11793178621656</v>
      </c>
      <c r="I19" s="12">
        <f>'DDG-51 TAM'!C38</f>
        <v>0.252936763771345</v>
      </c>
    </row>
    <row r="20" spans="1:9" ht="10" customHeight="1" outlineLevel="2" x14ac:dyDescent="0.15">
      <c r="B20" s="3" t="s">
        <v>24</v>
      </c>
      <c r="C20" s="13">
        <f t="shared" ref="C20:H20" si="0">SUM(C17:C19)</f>
        <v>2255.2023834465876</v>
      </c>
      <c r="D20" s="13">
        <f t="shared" si="0"/>
        <v>3088.6470446085486</v>
      </c>
      <c r="E20" s="13">
        <f t="shared" si="0"/>
        <v>5537.9148593560585</v>
      </c>
      <c r="F20" s="13">
        <f t="shared" si="0"/>
        <v>3084.920243732814</v>
      </c>
      <c r="G20" s="13">
        <f t="shared" si="0"/>
        <v>5482.6192061187576</v>
      </c>
      <c r="H20" s="13">
        <f t="shared" si="0"/>
        <v>5115.7639234322942</v>
      </c>
      <c r="I20" s="14"/>
    </row>
    <row r="21" spans="1:9" ht="10" customHeight="1" outlineLevel="2" x14ac:dyDescent="0.15">
      <c r="B21" s="18" t="s">
        <v>25</v>
      </c>
    </row>
    <row r="22" spans="1:9" ht="10" customHeight="1" outlineLevel="2" x14ac:dyDescent="0.15"/>
    <row r="23" spans="1:9" ht="10" customHeight="1" outlineLevel="2" x14ac:dyDescent="0.15"/>
    <row r="24" spans="1:9" ht="10" customHeight="1" outlineLevel="1" x14ac:dyDescent="0.15">
      <c r="A24" t="s">
        <v>0</v>
      </c>
      <c r="B24" s="9" t="s">
        <v>26</v>
      </c>
      <c r="C24" s="9"/>
      <c r="D24" s="9"/>
      <c r="E24" s="9"/>
      <c r="F24" s="9"/>
    </row>
    <row r="25" spans="1:9" ht="10" customHeight="1" outlineLevel="2" x14ac:dyDescent="0.15"/>
    <row r="26" spans="1:9" ht="10" customHeight="1" outlineLevel="2" x14ac:dyDescent="0.15">
      <c r="B26" s="2" t="s">
        <v>27</v>
      </c>
      <c r="C26" s="15" t="s">
        <v>28</v>
      </c>
      <c r="D26" s="15" t="s">
        <v>29</v>
      </c>
      <c r="E26" s="15" t="s">
        <v>30</v>
      </c>
      <c r="F26" s="15" t="s">
        <v>31</v>
      </c>
    </row>
    <row r="27" spans="1:9" ht="10" customHeight="1" outlineLevel="2" x14ac:dyDescent="0.15">
      <c r="B27" t="s">
        <v>32</v>
      </c>
      <c r="C27" s="11">
        <f>'Virginia TAM'!C56</f>
        <v>2553.2525720386584</v>
      </c>
      <c r="D27" s="11">
        <f>'Virginia TAM'!D56</f>
        <v>2458.7648684821343</v>
      </c>
      <c r="E27" s="11">
        <f>'Virginia TAM'!E56</f>
        <v>2210.9123148917179</v>
      </c>
      <c r="F27" s="11">
        <f>'Virginia TAM'!F56</f>
        <v>2247.1893167321259</v>
      </c>
    </row>
    <row r="28" spans="1:9" ht="10" customHeight="1" outlineLevel="2" x14ac:dyDescent="0.15">
      <c r="B28" t="s">
        <v>33</v>
      </c>
      <c r="C28" s="11">
        <f>'Columbia TAM'!C51</f>
        <v>1273.1135404422068</v>
      </c>
      <c r="D28" s="11">
        <f>'Columbia TAM'!D51</f>
        <v>1274.1265320240032</v>
      </c>
      <c r="E28" s="11">
        <f>'Columbia TAM'!E51</f>
        <v>1256.646368838668</v>
      </c>
      <c r="F28" s="11">
        <f>'Columbia TAM'!F51</f>
        <v>1259.0080953855893</v>
      </c>
    </row>
    <row r="29" spans="1:9" ht="10" customHeight="1" outlineLevel="2" x14ac:dyDescent="0.15">
      <c r="B29" t="s">
        <v>34</v>
      </c>
      <c r="C29" s="11">
        <f>'DDG-51 TAM'!C62</f>
        <v>556.60545991448032</v>
      </c>
      <c r="D29" s="11">
        <f>'DDG-51 TAM'!D62</f>
        <v>569.81378815897244</v>
      </c>
      <c r="E29" s="11">
        <f>'DDG-51 TAM'!E62</f>
        <v>876.14713119446458</v>
      </c>
      <c r="F29" s="11">
        <f>'DDG-51 TAM'!F62</f>
        <v>902.60065323552726</v>
      </c>
    </row>
    <row r="30" spans="1:9" ht="10" customHeight="1" outlineLevel="2" x14ac:dyDescent="0.15">
      <c r="B30" s="3" t="s">
        <v>35</v>
      </c>
      <c r="C30" s="13">
        <f>SUM(C27:C29)</f>
        <v>4382.971572395345</v>
      </c>
      <c r="D30" s="13">
        <f>SUM(D27:D29)</f>
        <v>4302.7051886651097</v>
      </c>
      <c r="E30" s="13">
        <f>SUM(E27:E29)</f>
        <v>4343.7058149248505</v>
      </c>
      <c r="F30" s="13">
        <f>SUM(F27:F29)</f>
        <v>4408.7980653532431</v>
      </c>
    </row>
    <row r="31" spans="1:9" ht="10" customHeight="1" outlineLevel="2" x14ac:dyDescent="0.15">
      <c r="B31" t="s">
        <v>36</v>
      </c>
      <c r="C31" s="11">
        <f>'Virginia TAM'!C57</f>
        <v>2726.3374933570226</v>
      </c>
      <c r="D31" s="11">
        <f>'Virginia TAM'!D57</f>
        <v>2803.4232791404438</v>
      </c>
      <c r="E31" s="11">
        <f>'Virginia TAM'!E57</f>
        <v>2691.7147414049032</v>
      </c>
      <c r="F31" s="11">
        <f>'Virginia TAM'!F57</f>
        <v>2921.3461117517636</v>
      </c>
    </row>
    <row r="32" spans="1:9" ht="10" customHeight="1" outlineLevel="2" x14ac:dyDescent="0.15">
      <c r="B32" t="s">
        <v>37</v>
      </c>
      <c r="C32" s="11">
        <f>'Columbia TAM'!C52</f>
        <v>1359.4178721757644</v>
      </c>
      <c r="D32" s="11">
        <f>'Columbia TAM'!D52</f>
        <v>1452.7277602805584</v>
      </c>
      <c r="E32" s="11">
        <f>'Columbia TAM'!E52</f>
        <v>1529.9265977003024</v>
      </c>
      <c r="F32" s="11">
        <f>'Columbia TAM'!F52</f>
        <v>1636.7105240012659</v>
      </c>
    </row>
    <row r="33" spans="2:6" ht="10" customHeight="1" outlineLevel="2" x14ac:dyDescent="0.15">
      <c r="B33" t="s">
        <v>38</v>
      </c>
      <c r="C33" s="11">
        <f>'DDG-51 TAM'!C63</f>
        <v>577.35820772695411</v>
      </c>
      <c r="D33" s="11">
        <f>'DDG-51 TAM'!D63</f>
        <v>613.74442764936612</v>
      </c>
      <c r="E33" s="11">
        <f>'DDG-51 TAM'!E63</f>
        <v>980.9407564788861</v>
      </c>
      <c r="F33" s="11">
        <f>'DDG-51 TAM'!F63</f>
        <v>1051.5297610193893</v>
      </c>
    </row>
    <row r="34" spans="2:6" ht="10" customHeight="1" outlineLevel="2" x14ac:dyDescent="0.15">
      <c r="B34" s="3" t="s">
        <v>39</v>
      </c>
      <c r="C34" s="13">
        <f>SUM(C31:C33)</f>
        <v>4663.1135732597413</v>
      </c>
      <c r="D34" s="13">
        <f>SUM(D31:D33)</f>
        <v>4869.8954670703679</v>
      </c>
      <c r="E34" s="13">
        <f>SUM(E31:E33)</f>
        <v>5202.5820955840918</v>
      </c>
      <c r="F34" s="13">
        <f>SUM(F31:F33)</f>
        <v>5609.586396772419</v>
      </c>
    </row>
    <row r="35" spans="2:6" ht="10" customHeight="1" outlineLevel="2" x14ac:dyDescent="0.15">
      <c r="B35" s="18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C5E5E"/>
    <outlinePr summaryBelow="0"/>
  </sheetPr>
  <dimension ref="A2:C39"/>
  <sheetViews>
    <sheetView showGridLines="0" showOutlineSymbols="0" workbookViewId="0"/>
  </sheetViews>
  <sheetFormatPr baseColWidth="10" defaultColWidth="8.75" defaultRowHeight="10" customHeight="1" outlineLevelRow="2" x14ac:dyDescent="0.15"/>
  <cols>
    <col min="1" max="1" width="2.25" customWidth="1"/>
    <col min="2" max="2" width="34" customWidth="1"/>
    <col min="3" max="3" width="80" customWidth="1"/>
  </cols>
  <sheetData>
    <row r="2" spans="1:3" ht="10" customHeight="1" x14ac:dyDescent="0.15">
      <c r="A2" t="s">
        <v>0</v>
      </c>
      <c r="B2" s="8" t="s">
        <v>41</v>
      </c>
      <c r="C2" s="8"/>
    </row>
    <row r="3" spans="1:3" ht="10" customHeight="1" outlineLevel="1" x14ac:dyDescent="0.15">
      <c r="B3" s="18" t="s">
        <v>42</v>
      </c>
    </row>
    <row r="4" spans="1:3" ht="10" customHeight="1" outlineLevel="1" x14ac:dyDescent="0.15"/>
    <row r="5" spans="1:3" ht="10" customHeight="1" outlineLevel="1" x14ac:dyDescent="0.15"/>
    <row r="6" spans="1:3" ht="10" customHeight="1" outlineLevel="1" x14ac:dyDescent="0.15">
      <c r="A6" t="s">
        <v>0</v>
      </c>
      <c r="B6" s="9" t="s">
        <v>3</v>
      </c>
      <c r="C6" s="9"/>
    </row>
    <row r="7" spans="1:3" ht="10" customHeight="1" outlineLevel="2" x14ac:dyDescent="0.15"/>
    <row r="8" spans="1:3" ht="10" customHeight="1" outlineLevel="2" x14ac:dyDescent="0.15">
      <c r="B8" s="1" t="s">
        <v>4</v>
      </c>
      <c r="C8" t="s">
        <v>43</v>
      </c>
    </row>
    <row r="9" spans="1:3" ht="10" customHeight="1" outlineLevel="2" x14ac:dyDescent="0.15">
      <c r="B9" s="1" t="s">
        <v>44</v>
      </c>
      <c r="C9" t="s">
        <v>45</v>
      </c>
    </row>
    <row r="10" spans="1:3" ht="10" customHeight="1" outlineLevel="2" x14ac:dyDescent="0.15">
      <c r="B10" s="1" t="s">
        <v>46</v>
      </c>
      <c r="C10" t="s">
        <v>47</v>
      </c>
    </row>
    <row r="11" spans="1:3" ht="10" customHeight="1" outlineLevel="2" x14ac:dyDescent="0.15"/>
    <row r="12" spans="1:3" ht="10" customHeight="1" outlineLevel="2" x14ac:dyDescent="0.15"/>
    <row r="13" spans="1:3" ht="10" customHeight="1" outlineLevel="1" x14ac:dyDescent="0.15">
      <c r="A13" t="s">
        <v>0</v>
      </c>
      <c r="B13" s="9" t="s">
        <v>48</v>
      </c>
      <c r="C13" s="9"/>
    </row>
    <row r="14" spans="1:3" ht="10" customHeight="1" outlineLevel="2" x14ac:dyDescent="0.15"/>
    <row r="15" spans="1:3" ht="10" customHeight="1" outlineLevel="2" x14ac:dyDescent="0.15">
      <c r="B15" t="s">
        <v>49</v>
      </c>
    </row>
    <row r="16" spans="1:3" ht="10" customHeight="1" outlineLevel="2" x14ac:dyDescent="0.15">
      <c r="B16" s="1" t="s">
        <v>50</v>
      </c>
      <c r="C16" t="s">
        <v>51</v>
      </c>
    </row>
    <row r="17" spans="1:3" ht="10" customHeight="1" outlineLevel="2" x14ac:dyDescent="0.15">
      <c r="B17" s="1" t="s">
        <v>52</v>
      </c>
      <c r="C17" t="s">
        <v>53</v>
      </c>
    </row>
    <row r="18" spans="1:3" ht="10" customHeight="1" outlineLevel="2" x14ac:dyDescent="0.15">
      <c r="B18" s="1" t="s">
        <v>54</v>
      </c>
      <c r="C18" t="s">
        <v>55</v>
      </c>
    </row>
    <row r="19" spans="1:3" ht="10" customHeight="1" outlineLevel="2" x14ac:dyDescent="0.15">
      <c r="B19" s="1" t="s">
        <v>56</v>
      </c>
      <c r="C19" t="s">
        <v>57</v>
      </c>
    </row>
    <row r="20" spans="1:3" ht="10" customHeight="1" outlineLevel="2" x14ac:dyDescent="0.15"/>
    <row r="21" spans="1:3" ht="10" customHeight="1" outlineLevel="2" x14ac:dyDescent="0.15"/>
    <row r="22" spans="1:3" ht="10" customHeight="1" outlineLevel="1" x14ac:dyDescent="0.15">
      <c r="A22" t="s">
        <v>0</v>
      </c>
      <c r="B22" s="9" t="s">
        <v>58</v>
      </c>
      <c r="C22" s="9"/>
    </row>
    <row r="23" spans="1:3" ht="10" customHeight="1" outlineLevel="2" x14ac:dyDescent="0.15"/>
    <row r="24" spans="1:3" ht="10" customHeight="1" outlineLevel="2" x14ac:dyDescent="0.15">
      <c r="B24" s="1" t="s">
        <v>59</v>
      </c>
      <c r="C24" t="s">
        <v>60</v>
      </c>
    </row>
    <row r="25" spans="1:3" ht="10" customHeight="1" outlineLevel="2" x14ac:dyDescent="0.15">
      <c r="B25" s="1" t="s">
        <v>61</v>
      </c>
      <c r="C25" t="s">
        <v>62</v>
      </c>
    </row>
    <row r="26" spans="1:3" ht="10" customHeight="1" outlineLevel="2" x14ac:dyDescent="0.15">
      <c r="B26" s="1" t="s">
        <v>63</v>
      </c>
      <c r="C26" t="s">
        <v>64</v>
      </c>
    </row>
    <row r="27" spans="1:3" ht="10" customHeight="1" outlineLevel="2" x14ac:dyDescent="0.15"/>
    <row r="28" spans="1:3" ht="10" customHeight="1" outlineLevel="2" x14ac:dyDescent="0.15"/>
    <row r="29" spans="1:3" ht="10" customHeight="1" outlineLevel="1" x14ac:dyDescent="0.15">
      <c r="A29" t="s">
        <v>0</v>
      </c>
      <c r="B29" s="9" t="s">
        <v>65</v>
      </c>
      <c r="C29" s="9"/>
    </row>
    <row r="30" spans="1:3" ht="10" customHeight="1" outlineLevel="2" x14ac:dyDescent="0.15"/>
    <row r="31" spans="1:3" ht="10" customHeight="1" outlineLevel="2" x14ac:dyDescent="0.15">
      <c r="B31" s="2" t="s">
        <v>66</v>
      </c>
      <c r="C31" s="2" t="s">
        <v>67</v>
      </c>
    </row>
    <row r="32" spans="1:3" ht="10" customHeight="1" outlineLevel="2" x14ac:dyDescent="0.15">
      <c r="B32" t="s">
        <v>68</v>
      </c>
      <c r="C32" t="s">
        <v>69</v>
      </c>
    </row>
    <row r="33" spans="2:3" ht="10" customHeight="1" outlineLevel="2" x14ac:dyDescent="0.15">
      <c r="B33" t="s">
        <v>70</v>
      </c>
      <c r="C33" t="s">
        <v>71</v>
      </c>
    </row>
    <row r="34" spans="2:3" ht="10" customHeight="1" outlineLevel="2" x14ac:dyDescent="0.15">
      <c r="B34" t="s">
        <v>72</v>
      </c>
      <c r="C34" t="s">
        <v>73</v>
      </c>
    </row>
    <row r="35" spans="2:3" ht="10" customHeight="1" outlineLevel="2" x14ac:dyDescent="0.15">
      <c r="B35" t="s">
        <v>74</v>
      </c>
      <c r="C35" t="s">
        <v>75</v>
      </c>
    </row>
    <row r="36" spans="2:3" ht="10" customHeight="1" outlineLevel="2" x14ac:dyDescent="0.15">
      <c r="B36" t="s">
        <v>76</v>
      </c>
      <c r="C36" t="s">
        <v>77</v>
      </c>
    </row>
    <row r="37" spans="2:3" ht="10" customHeight="1" outlineLevel="2" x14ac:dyDescent="0.15">
      <c r="B37" t="s">
        <v>78</v>
      </c>
      <c r="C37" t="s">
        <v>79</v>
      </c>
    </row>
    <row r="38" spans="2:3" ht="10" customHeight="1" outlineLevel="2" x14ac:dyDescent="0.15">
      <c r="B38" t="s">
        <v>80</v>
      </c>
      <c r="C38" t="s">
        <v>81</v>
      </c>
    </row>
    <row r="39" spans="2:3" ht="10" customHeight="1" outlineLevel="2" x14ac:dyDescent="0.15">
      <c r="B39" t="s">
        <v>82</v>
      </c>
      <c r="C39" t="s">
        <v>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56B2F"/>
    <outlinePr summaryBelow="0"/>
  </sheetPr>
  <dimension ref="A2:H25"/>
  <sheetViews>
    <sheetView showGridLines="0" showOutlineSymbols="0" workbookViewId="0"/>
  </sheetViews>
  <sheetFormatPr baseColWidth="10" defaultColWidth="8.75" defaultRowHeight="10" customHeight="1" outlineLevelRow="2" x14ac:dyDescent="0.15"/>
  <cols>
    <col min="1" max="1" width="2.25" customWidth="1"/>
    <col min="2" max="2" width="40" customWidth="1"/>
    <col min="3" max="3" width="18" customWidth="1"/>
    <col min="4" max="4" width="13" customWidth="1"/>
    <col min="5" max="6" width="12" customWidth="1"/>
    <col min="7" max="7" width="13" customWidth="1"/>
    <col min="8" max="8" width="12" customWidth="1"/>
  </cols>
  <sheetData>
    <row r="2" spans="1:8" ht="10" customHeight="1" x14ac:dyDescent="0.15">
      <c r="A2" t="s">
        <v>0</v>
      </c>
      <c r="B2" s="8" t="s">
        <v>84</v>
      </c>
      <c r="C2" s="8"/>
      <c r="D2" s="8"/>
      <c r="E2" s="8"/>
      <c r="F2" s="8"/>
      <c r="G2" s="8"/>
      <c r="H2" s="8"/>
    </row>
    <row r="3" spans="1:8" ht="10" customHeight="1" outlineLevel="1" x14ac:dyDescent="0.15">
      <c r="B3" s="18" t="s">
        <v>85</v>
      </c>
    </row>
    <row r="4" spans="1:8" ht="10" customHeight="1" outlineLevel="1" x14ac:dyDescent="0.15"/>
    <row r="5" spans="1:8" ht="10" customHeight="1" outlineLevel="1" x14ac:dyDescent="0.15"/>
    <row r="6" spans="1:8" ht="10" customHeight="1" outlineLevel="1" x14ac:dyDescent="0.15">
      <c r="A6" t="s">
        <v>0</v>
      </c>
      <c r="B6" s="9" t="s">
        <v>86</v>
      </c>
      <c r="C6" s="9"/>
      <c r="D6" s="9"/>
      <c r="E6" s="9"/>
      <c r="F6" s="9"/>
      <c r="G6" s="9"/>
      <c r="H6" s="9"/>
    </row>
    <row r="7" spans="1:8" ht="10" customHeight="1" outlineLevel="2" x14ac:dyDescent="0.15"/>
    <row r="8" spans="1:8" ht="10" customHeight="1" outlineLevel="2" x14ac:dyDescent="0.15">
      <c r="B8" s="2" t="s">
        <v>87</v>
      </c>
      <c r="C8" s="15" t="s">
        <v>88</v>
      </c>
    </row>
    <row r="9" spans="1:8" ht="10" customHeight="1" outlineLevel="2" x14ac:dyDescent="0.15">
      <c r="B9" t="s">
        <v>89</v>
      </c>
      <c r="C9" s="20">
        <v>1</v>
      </c>
    </row>
    <row r="10" spans="1:8" ht="10" customHeight="1" outlineLevel="2" x14ac:dyDescent="0.15"/>
    <row r="11" spans="1:8" ht="10" customHeight="1" outlineLevel="2" x14ac:dyDescent="0.15"/>
    <row r="12" spans="1:8" ht="10" customHeight="1" outlineLevel="1" x14ac:dyDescent="0.15">
      <c r="A12" t="s">
        <v>0</v>
      </c>
      <c r="B12" s="9" t="s">
        <v>90</v>
      </c>
      <c r="C12" s="9"/>
      <c r="D12" s="9"/>
      <c r="E12" s="9"/>
      <c r="F12" s="9"/>
      <c r="G12" s="9"/>
      <c r="H12" s="9"/>
    </row>
    <row r="13" spans="1:8" ht="10" customHeight="1" outlineLevel="2" x14ac:dyDescent="0.15"/>
    <row r="14" spans="1:8" ht="10" customHeight="1" outlineLevel="2" x14ac:dyDescent="0.15">
      <c r="B14" s="2" t="s">
        <v>91</v>
      </c>
      <c r="C14" s="15" t="s">
        <v>92</v>
      </c>
      <c r="D14" s="15" t="s">
        <v>93</v>
      </c>
      <c r="E14" s="15" t="s">
        <v>94</v>
      </c>
    </row>
    <row r="15" spans="1:8" ht="10" customHeight="1" outlineLevel="2" x14ac:dyDescent="0.15">
      <c r="B15" t="s">
        <v>95</v>
      </c>
      <c r="C15" s="12">
        <f>'SCN Budget'!G34</f>
        <v>0.58206133889665246</v>
      </c>
      <c r="D15" s="20">
        <v>0</v>
      </c>
      <c r="E15" s="6">
        <f>C15+D15</f>
        <v>0.58206133889665246</v>
      </c>
    </row>
    <row r="16" spans="1:8" ht="10" customHeight="1" outlineLevel="2" x14ac:dyDescent="0.15">
      <c r="B16" t="s">
        <v>96</v>
      </c>
      <c r="C16" s="20">
        <v>0.628</v>
      </c>
      <c r="D16" s="20">
        <v>0</v>
      </c>
      <c r="E16" s="6">
        <f>C16+D16</f>
        <v>0.628</v>
      </c>
    </row>
    <row r="17" spans="1:8" ht="10" customHeight="1" outlineLevel="2" x14ac:dyDescent="0.15"/>
    <row r="18" spans="1:8" ht="10" customHeight="1" outlineLevel="2" x14ac:dyDescent="0.15">
      <c r="B18" t="s">
        <v>97</v>
      </c>
      <c r="C18" s="20">
        <v>0</v>
      </c>
    </row>
    <row r="19" spans="1:8" ht="10" customHeight="1" outlineLevel="2" x14ac:dyDescent="0.15"/>
    <row r="20" spans="1:8" ht="10" customHeight="1" outlineLevel="2" x14ac:dyDescent="0.15"/>
    <row r="21" spans="1:8" ht="10" customHeight="1" outlineLevel="1" x14ac:dyDescent="0.15">
      <c r="A21" t="s">
        <v>0</v>
      </c>
      <c r="B21" s="9" t="s">
        <v>98</v>
      </c>
      <c r="C21" s="9"/>
      <c r="D21" s="9"/>
      <c r="E21" s="9"/>
      <c r="F21" s="9"/>
      <c r="G21" s="9"/>
      <c r="H21" s="9"/>
    </row>
    <row r="22" spans="1:8" ht="10" customHeight="1" outlineLevel="2" x14ac:dyDescent="0.15"/>
    <row r="23" spans="1:8" ht="10" customHeight="1" outlineLevel="2" x14ac:dyDescent="0.15">
      <c r="B23" s="2" t="s">
        <v>87</v>
      </c>
      <c r="C23" s="15" t="s">
        <v>88</v>
      </c>
    </row>
    <row r="24" spans="1:8" ht="10" customHeight="1" outlineLevel="2" x14ac:dyDescent="0.15">
      <c r="B24" t="s">
        <v>99</v>
      </c>
      <c r="C24" s="20">
        <v>0.3</v>
      </c>
    </row>
    <row r="25" spans="1:8" ht="10" customHeight="1" outlineLevel="2" x14ac:dyDescent="0.15">
      <c r="B25" t="s">
        <v>100</v>
      </c>
      <c r="C25" s="20">
        <v>0.55000000000000004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8596B"/>
    <outlinePr summaryBelow="0"/>
  </sheetPr>
  <dimension ref="A2:I60"/>
  <sheetViews>
    <sheetView showGridLines="0" showOutlineSymbols="0" workbookViewId="0"/>
  </sheetViews>
  <sheetFormatPr baseColWidth="10" defaultColWidth="8.75" defaultRowHeight="10" customHeight="1" outlineLevelRow="3" x14ac:dyDescent="0.15"/>
  <cols>
    <col min="1" max="1" width="2.25" customWidth="1"/>
    <col min="2" max="2" width="42" customWidth="1"/>
    <col min="3" max="8" width="12" customWidth="1"/>
    <col min="9" max="9" width="13" customWidth="1"/>
  </cols>
  <sheetData>
    <row r="2" spans="1:9" ht="10" customHeight="1" x14ac:dyDescent="0.15">
      <c r="A2" t="s">
        <v>0</v>
      </c>
      <c r="B2" s="8" t="s">
        <v>101</v>
      </c>
      <c r="C2" s="8"/>
      <c r="D2" s="8"/>
      <c r="E2" s="8"/>
      <c r="F2" s="8"/>
      <c r="G2" s="8"/>
      <c r="H2" s="8"/>
      <c r="I2" s="8"/>
    </row>
    <row r="3" spans="1:9" ht="10" customHeight="1" outlineLevel="1" x14ac:dyDescent="0.15">
      <c r="B3" s="18" t="s">
        <v>102</v>
      </c>
    </row>
    <row r="4" spans="1:9" ht="10" customHeight="1" outlineLevel="1" x14ac:dyDescent="0.15"/>
    <row r="5" spans="1:9" ht="10" customHeight="1" outlineLevel="1" x14ac:dyDescent="0.15"/>
    <row r="6" spans="1:9" ht="10" customHeight="1" outlineLevel="1" x14ac:dyDescent="0.15">
      <c r="A6" t="s">
        <v>0</v>
      </c>
      <c r="B6" s="9" t="s">
        <v>103</v>
      </c>
      <c r="C6" s="9"/>
      <c r="D6" s="9"/>
      <c r="E6" s="9"/>
      <c r="F6" s="9"/>
      <c r="G6" s="9"/>
      <c r="H6" s="9"/>
      <c r="I6" s="9"/>
    </row>
    <row r="7" spans="1:9" ht="10" customHeight="1" outlineLevel="2" x14ac:dyDescent="0.15"/>
    <row r="8" spans="1:9" ht="10" customHeight="1" outlineLevel="2" x14ac:dyDescent="0.15">
      <c r="B8" s="2" t="s">
        <v>104</v>
      </c>
      <c r="C8" s="15" t="s">
        <v>88</v>
      </c>
    </row>
    <row r="9" spans="1:9" ht="10" customHeight="1" outlineLevel="2" x14ac:dyDescent="0.15">
      <c r="B9" s="1" t="s">
        <v>105</v>
      </c>
      <c r="C9" s="4">
        <f>C31</f>
        <v>13636.251480172359</v>
      </c>
    </row>
    <row r="10" spans="1:9" ht="10" customHeight="1" outlineLevel="2" x14ac:dyDescent="0.15">
      <c r="B10" s="1" t="s">
        <v>106</v>
      </c>
      <c r="C10" s="4">
        <f>C32</f>
        <v>2272.7085800287264</v>
      </c>
    </row>
    <row r="11" spans="1:9" ht="10" customHeight="1" outlineLevel="2" x14ac:dyDescent="0.15">
      <c r="B11" t="s">
        <v>107</v>
      </c>
      <c r="C11" s="6">
        <f>C34</f>
        <v>0.34023682020429963</v>
      </c>
    </row>
    <row r="12" spans="1:9" ht="10" customHeight="1" outlineLevel="2" x14ac:dyDescent="0.15">
      <c r="B12" t="s">
        <v>108</v>
      </c>
      <c r="C12" s="4">
        <f>C33</f>
        <v>910.97801590624954</v>
      </c>
    </row>
    <row r="13" spans="1:9" ht="10" customHeight="1" outlineLevel="2" x14ac:dyDescent="0.15">
      <c r="B13" t="s">
        <v>109</v>
      </c>
      <c r="C13" s="4">
        <f>C59</f>
        <v>2367.5297680361591</v>
      </c>
    </row>
    <row r="14" spans="1:9" ht="10" customHeight="1" outlineLevel="2" x14ac:dyDescent="0.15">
      <c r="B14" t="s">
        <v>110</v>
      </c>
      <c r="C14" s="4">
        <f>C60</f>
        <v>2785.7054064135332</v>
      </c>
    </row>
    <row r="15" spans="1:9" ht="10" customHeight="1" outlineLevel="2" x14ac:dyDescent="0.15"/>
    <row r="16" spans="1:9" ht="10" customHeight="1" outlineLevel="2" x14ac:dyDescent="0.15"/>
    <row r="17" spans="1:9" ht="10" customHeight="1" outlineLevel="1" x14ac:dyDescent="0.15">
      <c r="A17" t="s">
        <v>0</v>
      </c>
      <c r="B17" s="9" t="s">
        <v>111</v>
      </c>
      <c r="C17" s="9"/>
      <c r="D17" s="9"/>
      <c r="E17" s="9"/>
      <c r="F17" s="9"/>
      <c r="G17" s="9"/>
      <c r="H17" s="9"/>
      <c r="I17" s="9"/>
    </row>
    <row r="18" spans="1:9" ht="10" customHeight="1" outlineLevel="2" x14ac:dyDescent="0.15"/>
    <row r="19" spans="1:9" ht="10" customHeight="1" outlineLevel="2" x14ac:dyDescent="0.15">
      <c r="B19" s="2" t="s">
        <v>112</v>
      </c>
      <c r="C19" s="15" t="s">
        <v>14</v>
      </c>
      <c r="D19" s="15" t="s">
        <v>15</v>
      </c>
      <c r="E19" s="15" t="s">
        <v>16</v>
      </c>
      <c r="F19" s="15" t="s">
        <v>17</v>
      </c>
      <c r="G19" s="15" t="s">
        <v>113</v>
      </c>
      <c r="H19" s="15" t="s">
        <v>114</v>
      </c>
      <c r="I19" s="15" t="s">
        <v>115</v>
      </c>
    </row>
    <row r="20" spans="1:9" ht="10" customHeight="1" outlineLevel="2" x14ac:dyDescent="0.15">
      <c r="B20" t="s">
        <v>116</v>
      </c>
      <c r="C20" s="11">
        <f>'SCN Budget'!C50</f>
        <v>5234.1113000000005</v>
      </c>
      <c r="D20" s="11">
        <f>'SCN Budget'!D50</f>
        <v>5452.1293600000008</v>
      </c>
      <c r="E20" s="11">
        <f>'SCN Budget'!E50</f>
        <v>9433.5924800000012</v>
      </c>
      <c r="F20" s="11">
        <f>'SCN Budget'!F50</f>
        <v>5433.0748800000001</v>
      </c>
      <c r="G20" s="11">
        <f>'SCN Budget'!G50</f>
        <v>3136.7919999999999</v>
      </c>
      <c r="H20" s="11">
        <f>'SCN Budget'!H50</f>
        <v>8711.523799999999</v>
      </c>
      <c r="I20" s="4">
        <f>SUM(C20:H20)</f>
        <v>37401.223819999999</v>
      </c>
    </row>
    <row r="21" spans="1:9" ht="10" customHeight="1" outlineLevel="2" x14ac:dyDescent="0.15">
      <c r="B21" t="s">
        <v>117</v>
      </c>
      <c r="C21" s="11">
        <f>'OBBBA Mandatory'!C24</f>
        <v>0</v>
      </c>
      <c r="D21" s="11">
        <f>'OBBBA Mandatory'!D24</f>
        <v>0</v>
      </c>
      <c r="E21" s="11">
        <f>'OBBBA Mandatory'!E24</f>
        <v>0</v>
      </c>
      <c r="F21" s="11">
        <f>'OBBBA Mandatory'!F24</f>
        <v>0</v>
      </c>
      <c r="G21" s="11">
        <f>'OBBBA Mandatory'!G24</f>
        <v>2677.4821589246012</v>
      </c>
      <c r="H21" s="11">
        <f>'OBBBA Mandatory'!H24</f>
        <v>0</v>
      </c>
      <c r="I21" s="4">
        <f>SUM(C21:H21)</f>
        <v>2677.4821589246012</v>
      </c>
    </row>
    <row r="22" spans="1:9" ht="10" customHeight="1" outlineLevel="2" x14ac:dyDescent="0.15">
      <c r="B22" t="s">
        <v>118</v>
      </c>
      <c r="C22" s="12">
        <f>'Place of Performance'!E11</f>
        <v>0.34023682020429963</v>
      </c>
      <c r="D22" s="12">
        <f>'Place of Performance'!E11</f>
        <v>0.34023682020429963</v>
      </c>
      <c r="E22" s="12">
        <f>'Place of Performance'!E11</f>
        <v>0.34023682020429963</v>
      </c>
      <c r="F22" s="12">
        <f>'Place of Performance'!E11</f>
        <v>0.34023682020429963</v>
      </c>
      <c r="G22" s="12">
        <f>'Place of Performance'!E11</f>
        <v>0.34023682020429963</v>
      </c>
      <c r="H22" s="12">
        <f>'Place of Performance'!E11</f>
        <v>0.34023682020429963</v>
      </c>
    </row>
    <row r="23" spans="1:9" ht="10" customHeight="1" outlineLevel="2" x14ac:dyDescent="0.15">
      <c r="B23" t="s">
        <v>119</v>
      </c>
      <c r="C23" s="4">
        <f t="shared" ref="C23:H24" si="0">C20*C$22</f>
        <v>1780.8373853073931</v>
      </c>
      <c r="D23" s="4">
        <f t="shared" si="0"/>
        <v>1855.0151567889034</v>
      </c>
      <c r="E23" s="4">
        <f t="shared" si="0"/>
        <v>3209.6555084983934</v>
      </c>
      <c r="F23" s="4">
        <f t="shared" si="0"/>
        <v>1848.5321211030569</v>
      </c>
      <c r="G23" s="4">
        <f t="shared" si="0"/>
        <v>1067.2521357222854</v>
      </c>
      <c r="H23" s="4">
        <f t="shared" si="0"/>
        <v>2963.9811568460768</v>
      </c>
      <c r="I23" s="4">
        <f>SUM(C23:H23)</f>
        <v>12725.273464266109</v>
      </c>
    </row>
    <row r="24" spans="1:9" ht="10" customHeight="1" outlineLevel="2" x14ac:dyDescent="0.15">
      <c r="B24" t="s">
        <v>120</v>
      </c>
      <c r="C24" s="4">
        <f t="shared" si="0"/>
        <v>0</v>
      </c>
      <c r="D24" s="4">
        <f t="shared" si="0"/>
        <v>0</v>
      </c>
      <c r="E24" s="4">
        <f t="shared" si="0"/>
        <v>0</v>
      </c>
      <c r="F24" s="4">
        <f t="shared" si="0"/>
        <v>0</v>
      </c>
      <c r="G24" s="4">
        <f t="shared" si="0"/>
        <v>910.97801590624954</v>
      </c>
      <c r="H24" s="4">
        <f t="shared" si="0"/>
        <v>0</v>
      </c>
      <c r="I24" s="4">
        <f>SUM(C24:H24)</f>
        <v>910.97801590624954</v>
      </c>
    </row>
    <row r="25" spans="1:9" ht="10" customHeight="1" outlineLevel="2" x14ac:dyDescent="0.15">
      <c r="B25" s="3" t="s">
        <v>121</v>
      </c>
      <c r="C25" s="13">
        <f t="shared" ref="C25:H25" si="1">SUM(C23:C24)</f>
        <v>1780.8373853073931</v>
      </c>
      <c r="D25" s="13">
        <f t="shared" si="1"/>
        <v>1855.0151567889034</v>
      </c>
      <c r="E25" s="13">
        <f t="shared" si="1"/>
        <v>3209.6555084983934</v>
      </c>
      <c r="F25" s="13">
        <f t="shared" si="1"/>
        <v>1848.5321211030569</v>
      </c>
      <c r="G25" s="13">
        <f t="shared" si="1"/>
        <v>1978.2301516285349</v>
      </c>
      <c r="H25" s="13">
        <f t="shared" si="1"/>
        <v>2963.9811568460768</v>
      </c>
      <c r="I25" s="13">
        <f>SUM(C25:H25)</f>
        <v>13636.251480172359</v>
      </c>
    </row>
    <row r="26" spans="1:9" ht="10" customHeight="1" outlineLevel="2" x14ac:dyDescent="0.15"/>
    <row r="27" spans="1:9" ht="10" customHeight="1" outlineLevel="2" x14ac:dyDescent="0.15"/>
    <row r="28" spans="1:9" ht="10" customHeight="1" outlineLevel="2" x14ac:dyDescent="0.15">
      <c r="A28" t="s">
        <v>0</v>
      </c>
      <c r="B28" s="10" t="s">
        <v>122</v>
      </c>
      <c r="C28" s="10"/>
      <c r="D28" s="10"/>
      <c r="E28" s="10"/>
      <c r="F28" s="10"/>
      <c r="G28" s="10"/>
      <c r="H28" s="10"/>
      <c r="I28" s="10"/>
    </row>
    <row r="29" spans="1:9" ht="10" customHeight="1" outlineLevel="3" x14ac:dyDescent="0.15"/>
    <row r="30" spans="1:9" ht="10" customHeight="1" outlineLevel="3" x14ac:dyDescent="0.15">
      <c r="B30" s="2" t="s">
        <v>104</v>
      </c>
      <c r="C30" s="15" t="s">
        <v>88</v>
      </c>
    </row>
    <row r="31" spans="1:9" ht="10" customHeight="1" outlineLevel="3" x14ac:dyDescent="0.15">
      <c r="B31" s="1" t="s">
        <v>105</v>
      </c>
      <c r="C31" s="4">
        <f>I25</f>
        <v>13636.251480172359</v>
      </c>
    </row>
    <row r="32" spans="1:9" ht="10" customHeight="1" outlineLevel="3" x14ac:dyDescent="0.15">
      <c r="B32" s="1" t="s">
        <v>106</v>
      </c>
      <c r="C32" s="4">
        <f>C31/6</f>
        <v>2272.7085800287264</v>
      </c>
    </row>
    <row r="33" spans="1:9" ht="10" customHeight="1" outlineLevel="3" x14ac:dyDescent="0.15">
      <c r="B33" t="s">
        <v>123</v>
      </c>
      <c r="C33" s="4">
        <f>I24</f>
        <v>910.97801590624954</v>
      </c>
    </row>
    <row r="34" spans="1:9" ht="10" customHeight="1" outlineLevel="3" x14ac:dyDescent="0.15">
      <c r="B34" t="s">
        <v>107</v>
      </c>
      <c r="C34" s="6">
        <f>'Place of Performance'!E11</f>
        <v>0.34023682020429963</v>
      </c>
    </row>
    <row r="35" spans="1:9" ht="10" customHeight="1" outlineLevel="3" x14ac:dyDescent="0.15"/>
    <row r="36" spans="1:9" ht="10" customHeight="1" outlineLevel="3" x14ac:dyDescent="0.15"/>
    <row r="37" spans="1:9" ht="10" customHeight="1" outlineLevel="1" x14ac:dyDescent="0.15">
      <c r="A37" t="s">
        <v>0</v>
      </c>
      <c r="B37" s="9" t="s">
        <v>124</v>
      </c>
      <c r="C37" s="9"/>
      <c r="D37" s="9"/>
      <c r="E37" s="9"/>
      <c r="F37" s="9"/>
      <c r="G37" s="9"/>
      <c r="H37" s="9"/>
      <c r="I37" s="9"/>
    </row>
    <row r="38" spans="1:9" ht="10" customHeight="1" outlineLevel="2" x14ac:dyDescent="0.15"/>
    <row r="39" spans="1:9" ht="10" customHeight="1" outlineLevel="2" x14ac:dyDescent="0.15">
      <c r="B39" s="2" t="s">
        <v>112</v>
      </c>
      <c r="C39" s="15" t="s">
        <v>14</v>
      </c>
      <c r="D39" s="15" t="s">
        <v>15</v>
      </c>
      <c r="E39" s="15" t="s">
        <v>16</v>
      </c>
      <c r="F39" s="15" t="s">
        <v>17</v>
      </c>
      <c r="G39" s="15" t="s">
        <v>113</v>
      </c>
      <c r="H39" s="15" t="s">
        <v>114</v>
      </c>
    </row>
    <row r="40" spans="1:9" ht="10" customHeight="1" outlineLevel="2" x14ac:dyDescent="0.15">
      <c r="B40" s="1" t="s">
        <v>125</v>
      </c>
      <c r="C40" s="4">
        <f t="shared" ref="C40:H40" si="2">N(C25)</f>
        <v>1780.8373853073931</v>
      </c>
      <c r="D40" s="4">
        <f t="shared" si="2"/>
        <v>1855.0151567889034</v>
      </c>
      <c r="E40" s="4">
        <f t="shared" si="2"/>
        <v>3209.6555084983934</v>
      </c>
      <c r="F40" s="4">
        <f t="shared" si="2"/>
        <v>1848.5321211030569</v>
      </c>
      <c r="G40" s="4">
        <f t="shared" si="2"/>
        <v>1978.2301516285349</v>
      </c>
      <c r="H40" s="4">
        <f t="shared" si="2"/>
        <v>2963.9811568460768</v>
      </c>
    </row>
    <row r="41" spans="1:9" ht="10" customHeight="1" outlineLevel="2" x14ac:dyDescent="0.15">
      <c r="B41" t="s">
        <v>126</v>
      </c>
      <c r="C41" s="11">
        <f>'SCN Budget'!C40</f>
        <v>7607.3326999999999</v>
      </c>
      <c r="D41" s="11">
        <f>'SCN Budget'!D40</f>
        <v>7758.1195299999999</v>
      </c>
      <c r="E41" s="11">
        <f>'SCN Budget'!E40</f>
        <v>11832.74872</v>
      </c>
      <c r="F41" s="11">
        <f>'SCN Budget'!F40</f>
        <v>9690.5446799999991</v>
      </c>
      <c r="G41" s="11">
        <f>'SCN Budget'!G40</f>
        <v>5389.1090000000004</v>
      </c>
      <c r="H41" s="11">
        <f>'SCN Budget'!H40</f>
        <v>11208.29528</v>
      </c>
    </row>
    <row r="42" spans="1:9" ht="10" customHeight="1" outlineLevel="2" x14ac:dyDescent="0.15">
      <c r="B42" t="s">
        <v>127</v>
      </c>
      <c r="C42" s="11">
        <f>'OBBBA Mandatory'!C18</f>
        <v>0</v>
      </c>
      <c r="D42" s="11">
        <f>'OBBBA Mandatory'!D18</f>
        <v>0</v>
      </c>
      <c r="E42" s="11">
        <f>'OBBBA Mandatory'!E18</f>
        <v>0</v>
      </c>
      <c r="F42" s="11">
        <f>'OBBBA Mandatory'!F18</f>
        <v>0</v>
      </c>
      <c r="G42" s="11">
        <f>'OBBBA Mandatory'!G18</f>
        <v>4600</v>
      </c>
      <c r="H42" s="11">
        <f>'OBBBA Mandatory'!H18</f>
        <v>0</v>
      </c>
    </row>
    <row r="43" spans="1:9" ht="10" customHeight="1" outlineLevel="2" x14ac:dyDescent="0.15">
      <c r="B43" s="3" t="s">
        <v>128</v>
      </c>
      <c r="C43" s="13">
        <f t="shared" ref="C43:H43" si="3">C41+N(C42)</f>
        <v>7607.3326999999999</v>
      </c>
      <c r="D43" s="13">
        <f t="shared" si="3"/>
        <v>7758.1195299999999</v>
      </c>
      <c r="E43" s="13">
        <f t="shared" si="3"/>
        <v>11832.74872</v>
      </c>
      <c r="F43" s="13">
        <f t="shared" si="3"/>
        <v>9690.5446799999991</v>
      </c>
      <c r="G43" s="13">
        <f t="shared" si="3"/>
        <v>9989.1090000000004</v>
      </c>
      <c r="H43" s="13">
        <f t="shared" si="3"/>
        <v>11208.29528</v>
      </c>
    </row>
    <row r="44" spans="1:9" ht="10" customHeight="1" outlineLevel="2" x14ac:dyDescent="0.15">
      <c r="B44" s="1" t="s">
        <v>129</v>
      </c>
      <c r="C44" s="6">
        <f t="shared" ref="C44:H44" si="4">IF(C43=0,"",C40/C43)</f>
        <v>0.23409484710815831</v>
      </c>
      <c r="D44" s="6">
        <f t="shared" si="4"/>
        <v>0.23910628724083391</v>
      </c>
      <c r="E44" s="6">
        <f t="shared" si="4"/>
        <v>0.27125189458923904</v>
      </c>
      <c r="F44" s="6">
        <f t="shared" si="4"/>
        <v>0.19075626625180134</v>
      </c>
      <c r="G44" s="6">
        <f t="shared" si="4"/>
        <v>0.19803869911005426</v>
      </c>
      <c r="H44" s="6">
        <f t="shared" si="4"/>
        <v>0.26444531329710619</v>
      </c>
    </row>
    <row r="45" spans="1:9" ht="10" customHeight="1" outlineLevel="2" x14ac:dyDescent="0.15"/>
    <row r="46" spans="1:9" ht="10" customHeight="1" outlineLevel="2" x14ac:dyDescent="0.15">
      <c r="B46" s="2" t="s">
        <v>104</v>
      </c>
      <c r="C46" s="15" t="s">
        <v>88</v>
      </c>
    </row>
    <row r="47" spans="1:9" ht="10" customHeight="1" outlineLevel="2" x14ac:dyDescent="0.15">
      <c r="B47" t="s">
        <v>130</v>
      </c>
      <c r="C47" s="6">
        <f>SUM(C40:F40)/SUM(C43:F43)</f>
        <v>0.23568272716292271</v>
      </c>
    </row>
    <row r="48" spans="1:9" ht="10" customHeight="1" outlineLevel="2" x14ac:dyDescent="0.15">
      <c r="B48" s="1" t="s">
        <v>131</v>
      </c>
      <c r="C48" s="6">
        <f>SUM(C20:F20)/SUM(C41:F41)</f>
        <v>0.69270200392010473</v>
      </c>
    </row>
    <row r="49" spans="2:6" ht="10" customHeight="1" outlineLevel="2" x14ac:dyDescent="0.15">
      <c r="B49" t="s">
        <v>132</v>
      </c>
      <c r="C49" s="12">
        <f>'Place of Performance'!E11</f>
        <v>0.34023682020429963</v>
      </c>
    </row>
    <row r="50" spans="2:6" ht="10" customHeight="1" outlineLevel="2" x14ac:dyDescent="0.15">
      <c r="B50" t="s">
        <v>133</v>
      </c>
      <c r="C50" s="12">
        <f>Assumptions!C24</f>
        <v>0.3</v>
      </c>
    </row>
    <row r="51" spans="2:6" ht="10" customHeight="1" outlineLevel="2" x14ac:dyDescent="0.15"/>
    <row r="52" spans="2:6" ht="10" customHeight="1" outlineLevel="2" x14ac:dyDescent="0.15">
      <c r="B52" s="2" t="s">
        <v>134</v>
      </c>
      <c r="C52" s="15" t="s">
        <v>135</v>
      </c>
      <c r="D52" s="15" t="s">
        <v>136</v>
      </c>
      <c r="E52" s="15" t="s">
        <v>137</v>
      </c>
      <c r="F52" s="15" t="s">
        <v>138</v>
      </c>
    </row>
    <row r="53" spans="2:6" ht="10" customHeight="1" outlineLevel="2" x14ac:dyDescent="0.15">
      <c r="B53" s="1" t="s">
        <v>139</v>
      </c>
      <c r="C53" s="11">
        <f>'FYDP Outyears'!F42</f>
        <v>10833.431039999999</v>
      </c>
      <c r="D53" s="11">
        <f>'FYDP Outyears'!G42</f>
        <v>10432.520439999998</v>
      </c>
      <c r="E53" s="11">
        <f>'FYDP Outyears'!H42</f>
        <v>9380.8839599999992</v>
      </c>
      <c r="F53" s="11">
        <f>'FYDP Outyears'!I42</f>
        <v>9534.8070000000007</v>
      </c>
    </row>
    <row r="54" spans="2:6" ht="10" customHeight="1" outlineLevel="2" x14ac:dyDescent="0.15">
      <c r="B54" t="s">
        <v>140</v>
      </c>
      <c r="C54" s="4">
        <f>C53*$C$48</f>
        <v>7504.3393907382642</v>
      </c>
      <c r="D54" s="4">
        <f>D53*$C$48</f>
        <v>7226.6278147254516</v>
      </c>
      <c r="E54" s="4">
        <f>E53*$C$48</f>
        <v>6498.1571176339667</v>
      </c>
      <c r="F54" s="4">
        <f>F53*$C$48</f>
        <v>6604.7799158914422</v>
      </c>
    </row>
    <row r="55" spans="2:6" ht="10" customHeight="1" outlineLevel="2" x14ac:dyDescent="0.15">
      <c r="B55" t="s">
        <v>141</v>
      </c>
      <c r="C55" s="6">
        <f>$C$49*POWER(1+$C$50,1/4)</f>
        <v>0.36330146484603626</v>
      </c>
      <c r="D55" s="6">
        <f>$C$49*POWER(1+$C$50,2/4)</f>
        <v>0.38792966111081634</v>
      </c>
      <c r="E55" s="6">
        <f>$C$49*POWER(1+$C$50,3/4)</f>
        <v>0.41422740211996889</v>
      </c>
      <c r="F55" s="6">
        <f>$C$49*POWER(1+$C$50,4/4)</f>
        <v>0.44230786626558954</v>
      </c>
    </row>
    <row r="56" spans="2:6" ht="10" customHeight="1" outlineLevel="2" x14ac:dyDescent="0.15">
      <c r="B56" s="1" t="s">
        <v>142</v>
      </c>
      <c r="C56" s="4">
        <f>C54*$C$49</f>
        <v>2553.2525720386584</v>
      </c>
      <c r="D56" s="4">
        <f>D54*$C$49</f>
        <v>2458.7648684821343</v>
      </c>
      <c r="E56" s="4">
        <f>E54*$C$49</f>
        <v>2210.9123148917179</v>
      </c>
      <c r="F56" s="4">
        <f>F54*$C$49</f>
        <v>2247.1893167321259</v>
      </c>
    </row>
    <row r="57" spans="2:6" ht="10" customHeight="1" outlineLevel="2" x14ac:dyDescent="0.15">
      <c r="B57" s="1" t="s">
        <v>143</v>
      </c>
      <c r="C57" s="4">
        <f>C54*C55</f>
        <v>2726.3374933570226</v>
      </c>
      <c r="D57" s="4">
        <f>D54*D55</f>
        <v>2803.4232791404438</v>
      </c>
      <c r="E57" s="4">
        <f>E54*E55</f>
        <v>2691.7147414049032</v>
      </c>
      <c r="F57" s="4">
        <f>F54*F55</f>
        <v>2921.3461117517636</v>
      </c>
    </row>
    <row r="58" spans="2:6" ht="10" customHeight="1" outlineLevel="2" x14ac:dyDescent="0.15"/>
    <row r="59" spans="2:6" ht="10" customHeight="1" outlineLevel="2" x14ac:dyDescent="0.15">
      <c r="B59" t="s">
        <v>144</v>
      </c>
      <c r="C59" s="4">
        <f>AVERAGE(C56:F56)</f>
        <v>2367.5297680361591</v>
      </c>
    </row>
    <row r="60" spans="2:6" ht="10" customHeight="1" outlineLevel="2" x14ac:dyDescent="0.15">
      <c r="B60" t="s">
        <v>145</v>
      </c>
      <c r="C60" s="4">
        <f>AVERAGE(C57:F57)</f>
        <v>2785.7054064135332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8596B"/>
    <outlinePr summaryBelow="0"/>
  </sheetPr>
  <dimension ref="A2:I55"/>
  <sheetViews>
    <sheetView showGridLines="0" showOutlineSymbols="0" workbookViewId="0"/>
  </sheetViews>
  <sheetFormatPr baseColWidth="10" defaultColWidth="8.75" defaultRowHeight="10" customHeight="1" outlineLevelRow="3" x14ac:dyDescent="0.15"/>
  <cols>
    <col min="1" max="1" width="2.25" customWidth="1"/>
    <col min="2" max="2" width="42" customWidth="1"/>
    <col min="3" max="8" width="12" customWidth="1"/>
    <col min="9" max="9" width="13" customWidth="1"/>
  </cols>
  <sheetData>
    <row r="2" spans="1:9" ht="10" customHeight="1" x14ac:dyDescent="0.15">
      <c r="A2" t="s">
        <v>0</v>
      </c>
      <c r="B2" s="8" t="s">
        <v>146</v>
      </c>
      <c r="C2" s="8"/>
      <c r="D2" s="8"/>
      <c r="E2" s="8"/>
      <c r="F2" s="8"/>
      <c r="G2" s="8"/>
      <c r="H2" s="8"/>
      <c r="I2" s="8"/>
    </row>
    <row r="3" spans="1:9" ht="10" customHeight="1" outlineLevel="1" x14ac:dyDescent="0.15">
      <c r="B3" s="18" t="s">
        <v>147</v>
      </c>
    </row>
    <row r="4" spans="1:9" ht="10" customHeight="1" outlineLevel="1" x14ac:dyDescent="0.15"/>
    <row r="5" spans="1:9" ht="10" customHeight="1" outlineLevel="1" x14ac:dyDescent="0.15"/>
    <row r="6" spans="1:9" ht="10" customHeight="1" outlineLevel="1" x14ac:dyDescent="0.15">
      <c r="A6" t="s">
        <v>0</v>
      </c>
      <c r="B6" s="9" t="s">
        <v>103</v>
      </c>
      <c r="C6" s="9"/>
      <c r="D6" s="9"/>
      <c r="E6" s="9"/>
      <c r="F6" s="9"/>
      <c r="G6" s="9"/>
      <c r="H6" s="9"/>
      <c r="I6" s="9"/>
    </row>
    <row r="7" spans="1:9" ht="10" customHeight="1" outlineLevel="2" x14ac:dyDescent="0.15"/>
    <row r="8" spans="1:9" ht="10" customHeight="1" outlineLevel="2" x14ac:dyDescent="0.15">
      <c r="B8" s="2" t="s">
        <v>104</v>
      </c>
      <c r="C8" s="15" t="s">
        <v>88</v>
      </c>
    </row>
    <row r="9" spans="1:9" ht="10" customHeight="1" outlineLevel="2" x14ac:dyDescent="0.15">
      <c r="B9" s="1" t="s">
        <v>105</v>
      </c>
      <c r="C9" s="4">
        <f>C28</f>
        <v>4507.0865004000007</v>
      </c>
    </row>
    <row r="10" spans="1:9" ht="10" customHeight="1" outlineLevel="2" x14ac:dyDescent="0.15">
      <c r="B10" s="1" t="s">
        <v>106</v>
      </c>
      <c r="C10" s="4">
        <f>C29</f>
        <v>751.18108340000015</v>
      </c>
    </row>
    <row r="11" spans="1:9" ht="10" customHeight="1" outlineLevel="2" x14ac:dyDescent="0.15">
      <c r="B11" t="s">
        <v>107</v>
      </c>
      <c r="C11" s="6">
        <f>C30</f>
        <v>0.22000000000000003</v>
      </c>
    </row>
    <row r="12" spans="1:9" ht="10" customHeight="1" outlineLevel="2" x14ac:dyDescent="0.15">
      <c r="B12" t="s">
        <v>109</v>
      </c>
      <c r="C12" s="4">
        <f>C54</f>
        <v>1265.7236341726168</v>
      </c>
    </row>
    <row r="13" spans="1:9" ht="10" customHeight="1" outlineLevel="2" x14ac:dyDescent="0.15">
      <c r="B13" t="s">
        <v>110</v>
      </c>
      <c r="C13" s="4">
        <f>C55</f>
        <v>1494.6956885394729</v>
      </c>
    </row>
    <row r="14" spans="1:9" ht="10" customHeight="1" outlineLevel="2" x14ac:dyDescent="0.15"/>
    <row r="15" spans="1:9" ht="10" customHeight="1" outlineLevel="2" x14ac:dyDescent="0.15"/>
    <row r="16" spans="1:9" ht="10" customHeight="1" outlineLevel="1" x14ac:dyDescent="0.15">
      <c r="A16" t="s">
        <v>0</v>
      </c>
      <c r="B16" s="9" t="s">
        <v>111</v>
      </c>
      <c r="C16" s="9"/>
      <c r="D16" s="9"/>
      <c r="E16" s="9"/>
      <c r="F16" s="9"/>
      <c r="G16" s="9"/>
      <c r="H16" s="9"/>
      <c r="I16" s="9"/>
    </row>
    <row r="17" spans="1:9" ht="10" customHeight="1" outlineLevel="2" x14ac:dyDescent="0.15"/>
    <row r="18" spans="1:9" ht="10" customHeight="1" outlineLevel="2" x14ac:dyDescent="0.15">
      <c r="B18" s="2" t="s">
        <v>112</v>
      </c>
      <c r="C18" s="15" t="s">
        <v>14</v>
      </c>
      <c r="D18" s="15" t="s">
        <v>15</v>
      </c>
      <c r="E18" s="15" t="s">
        <v>16</v>
      </c>
      <c r="F18" s="15" t="s">
        <v>17</v>
      </c>
      <c r="G18" s="15" t="s">
        <v>113</v>
      </c>
      <c r="H18" s="15" t="s">
        <v>114</v>
      </c>
      <c r="I18" s="15" t="s">
        <v>115</v>
      </c>
    </row>
    <row r="19" spans="1:9" ht="10" customHeight="1" outlineLevel="2" x14ac:dyDescent="0.15">
      <c r="B19" t="s">
        <v>116</v>
      </c>
      <c r="C19" s="11">
        <f>'SCN Budget'!C87</f>
        <v>0</v>
      </c>
      <c r="D19" s="11">
        <f>'SCN Budget'!D87</f>
        <v>0</v>
      </c>
      <c r="E19" s="11">
        <f>'SCN Budget'!E87</f>
        <v>6610.3304800000005</v>
      </c>
      <c r="F19" s="11">
        <f>'SCN Budget'!F87</f>
        <v>0</v>
      </c>
      <c r="G19" s="11">
        <f>'SCN Budget'!G87</f>
        <v>7159.768</v>
      </c>
      <c r="H19" s="11">
        <f>'SCN Budget'!H87</f>
        <v>6716.65834</v>
      </c>
      <c r="I19" s="4">
        <f>SUM(C19:H19)</f>
        <v>20486.756820000002</v>
      </c>
    </row>
    <row r="20" spans="1:9" ht="10" customHeight="1" outlineLevel="2" x14ac:dyDescent="0.15">
      <c r="B20" t="s">
        <v>118</v>
      </c>
      <c r="C20" s="12">
        <f>'Place of Performance'!E12</f>
        <v>0.22000000000000003</v>
      </c>
      <c r="D20" s="12">
        <f>'Place of Performance'!E12</f>
        <v>0.22000000000000003</v>
      </c>
      <c r="E20" s="12">
        <f>'Place of Performance'!E12</f>
        <v>0.22000000000000003</v>
      </c>
      <c r="F20" s="12">
        <f>'Place of Performance'!E12</f>
        <v>0.22000000000000003</v>
      </c>
      <c r="G20" s="12">
        <f>'Place of Performance'!E12</f>
        <v>0.22000000000000003</v>
      </c>
      <c r="H20" s="12">
        <f>'Place of Performance'!E12</f>
        <v>0.22000000000000003</v>
      </c>
    </row>
    <row r="21" spans="1:9" ht="10" customHeight="1" outlineLevel="2" x14ac:dyDescent="0.15">
      <c r="B21" t="s">
        <v>119</v>
      </c>
      <c r="C21" s="4">
        <f t="shared" ref="C21:H21" si="0">C19*C$20</f>
        <v>0</v>
      </c>
      <c r="D21" s="4">
        <f t="shared" si="0"/>
        <v>0</v>
      </c>
      <c r="E21" s="4">
        <f t="shared" si="0"/>
        <v>1454.2727056000003</v>
      </c>
      <c r="F21" s="4">
        <f t="shared" si="0"/>
        <v>0</v>
      </c>
      <c r="G21" s="4">
        <f t="shared" si="0"/>
        <v>1575.1489600000002</v>
      </c>
      <c r="H21" s="4">
        <f t="shared" si="0"/>
        <v>1477.6648348000001</v>
      </c>
      <c r="I21" s="4">
        <f>SUM(C21:H21)</f>
        <v>4507.0865004000007</v>
      </c>
    </row>
    <row r="22" spans="1:9" ht="10" customHeight="1" outlineLevel="2" x14ac:dyDescent="0.15">
      <c r="B22" s="3" t="s">
        <v>121</v>
      </c>
      <c r="C22" s="13">
        <f t="shared" ref="C22:H22" si="1">SUM(C21:C21)</f>
        <v>0</v>
      </c>
      <c r="D22" s="13">
        <f t="shared" si="1"/>
        <v>0</v>
      </c>
      <c r="E22" s="13">
        <f t="shared" si="1"/>
        <v>1454.2727056000003</v>
      </c>
      <c r="F22" s="13">
        <f t="shared" si="1"/>
        <v>0</v>
      </c>
      <c r="G22" s="13">
        <f t="shared" si="1"/>
        <v>1575.1489600000002</v>
      </c>
      <c r="H22" s="13">
        <f t="shared" si="1"/>
        <v>1477.6648348000001</v>
      </c>
      <c r="I22" s="13">
        <f>SUM(C22:H22)</f>
        <v>4507.0865004000007</v>
      </c>
    </row>
    <row r="23" spans="1:9" ht="10" customHeight="1" outlineLevel="2" x14ac:dyDescent="0.15"/>
    <row r="24" spans="1:9" ht="10" customHeight="1" outlineLevel="2" x14ac:dyDescent="0.15"/>
    <row r="25" spans="1:9" ht="10" customHeight="1" outlineLevel="2" x14ac:dyDescent="0.15">
      <c r="A25" t="s">
        <v>0</v>
      </c>
      <c r="B25" s="10" t="s">
        <v>122</v>
      </c>
      <c r="C25" s="10"/>
      <c r="D25" s="10"/>
      <c r="E25" s="10"/>
      <c r="F25" s="10"/>
      <c r="G25" s="10"/>
      <c r="H25" s="10"/>
      <c r="I25" s="10"/>
    </row>
    <row r="26" spans="1:9" ht="10" customHeight="1" outlineLevel="3" x14ac:dyDescent="0.15"/>
    <row r="27" spans="1:9" ht="10" customHeight="1" outlineLevel="3" x14ac:dyDescent="0.15">
      <c r="B27" s="2" t="s">
        <v>104</v>
      </c>
      <c r="C27" s="15" t="s">
        <v>88</v>
      </c>
    </row>
    <row r="28" spans="1:9" ht="10" customHeight="1" outlineLevel="3" x14ac:dyDescent="0.15">
      <c r="B28" s="1" t="s">
        <v>105</v>
      </c>
      <c r="C28" s="4">
        <f>I22</f>
        <v>4507.0865004000007</v>
      </c>
    </row>
    <row r="29" spans="1:9" ht="10" customHeight="1" outlineLevel="3" x14ac:dyDescent="0.15">
      <c r="B29" s="1" t="s">
        <v>106</v>
      </c>
      <c r="C29" s="4">
        <f>C28/6</f>
        <v>751.18108340000015</v>
      </c>
    </row>
    <row r="30" spans="1:9" ht="10" customHeight="1" outlineLevel="3" x14ac:dyDescent="0.15">
      <c r="B30" t="s">
        <v>107</v>
      </c>
      <c r="C30" s="6">
        <f>'Place of Performance'!E12</f>
        <v>0.22000000000000003</v>
      </c>
    </row>
    <row r="31" spans="1:9" ht="10" customHeight="1" outlineLevel="3" x14ac:dyDescent="0.15"/>
    <row r="32" spans="1:9" ht="10" customHeight="1" outlineLevel="3" x14ac:dyDescent="0.15"/>
    <row r="33" spans="1:9" ht="10" customHeight="1" outlineLevel="1" x14ac:dyDescent="0.15">
      <c r="A33" t="s">
        <v>0</v>
      </c>
      <c r="B33" s="9" t="s">
        <v>124</v>
      </c>
      <c r="C33" s="9"/>
      <c r="D33" s="9"/>
      <c r="E33" s="9"/>
      <c r="F33" s="9"/>
      <c r="G33" s="9"/>
      <c r="H33" s="9"/>
      <c r="I33" s="9"/>
    </row>
    <row r="34" spans="1:9" ht="10" customHeight="1" outlineLevel="2" x14ac:dyDescent="0.15"/>
    <row r="35" spans="1:9" ht="10" customHeight="1" outlineLevel="2" x14ac:dyDescent="0.15">
      <c r="B35" s="2" t="s">
        <v>112</v>
      </c>
      <c r="C35" s="15" t="s">
        <v>14</v>
      </c>
      <c r="D35" s="15" t="s">
        <v>15</v>
      </c>
      <c r="E35" s="15" t="s">
        <v>16</v>
      </c>
      <c r="F35" s="15" t="s">
        <v>17</v>
      </c>
      <c r="G35" s="15" t="s">
        <v>113</v>
      </c>
      <c r="H35" s="15" t="s">
        <v>114</v>
      </c>
    </row>
    <row r="36" spans="1:9" ht="10" customHeight="1" outlineLevel="2" x14ac:dyDescent="0.15">
      <c r="B36" s="1" t="s">
        <v>125</v>
      </c>
      <c r="C36" s="4">
        <f t="shared" ref="C36:H36" si="2">N(C22)</f>
        <v>0</v>
      </c>
      <c r="D36" s="4">
        <f t="shared" si="2"/>
        <v>0</v>
      </c>
      <c r="E36" s="4">
        <f t="shared" si="2"/>
        <v>1454.2727056000003</v>
      </c>
      <c r="F36" s="4">
        <f t="shared" si="2"/>
        <v>0</v>
      </c>
      <c r="G36" s="4">
        <f t="shared" si="2"/>
        <v>1575.1489600000002</v>
      </c>
      <c r="H36" s="4">
        <f t="shared" si="2"/>
        <v>1477.6648348000001</v>
      </c>
    </row>
    <row r="37" spans="1:9" ht="10" customHeight="1" outlineLevel="2" x14ac:dyDescent="0.15">
      <c r="B37" t="s">
        <v>126</v>
      </c>
      <c r="C37" s="11">
        <f>'SCN Budget'!C77</f>
        <v>0</v>
      </c>
      <c r="D37" s="11">
        <f>'SCN Budget'!D77</f>
        <v>0</v>
      </c>
      <c r="E37" s="11">
        <f>'SCN Budget'!E77</f>
        <v>11116.363439999999</v>
      </c>
      <c r="F37" s="11">
        <f>'SCN Budget'!F77</f>
        <v>0</v>
      </c>
      <c r="G37" s="11">
        <f>'SCN Budget'!G77</f>
        <v>10744.316999999999</v>
      </c>
      <c r="H37" s="11">
        <f>'SCN Budget'!H77</f>
        <v>10276.64162</v>
      </c>
    </row>
    <row r="38" spans="1:9" ht="10" customHeight="1" outlineLevel="2" x14ac:dyDescent="0.15">
      <c r="B38" s="3" t="s">
        <v>148</v>
      </c>
      <c r="C38" s="13">
        <f t="shared" ref="C38:H38" si="3">N(C37)</f>
        <v>0</v>
      </c>
      <c r="D38" s="13">
        <f t="shared" si="3"/>
        <v>0</v>
      </c>
      <c r="E38" s="13">
        <f t="shared" si="3"/>
        <v>11116.363439999999</v>
      </c>
      <c r="F38" s="13">
        <f t="shared" si="3"/>
        <v>0</v>
      </c>
      <c r="G38" s="13">
        <f t="shared" si="3"/>
        <v>10744.316999999999</v>
      </c>
      <c r="H38" s="13">
        <f t="shared" si="3"/>
        <v>10276.64162</v>
      </c>
    </row>
    <row r="39" spans="1:9" ht="10" customHeight="1" outlineLevel="2" x14ac:dyDescent="0.15">
      <c r="B39" s="1" t="s">
        <v>129</v>
      </c>
      <c r="C39" s="6" t="str">
        <f t="shared" ref="C39:H39" si="4">IF(C38=0,"",C36/C38)</f>
        <v/>
      </c>
      <c r="D39" s="6" t="str">
        <f t="shared" si="4"/>
        <v/>
      </c>
      <c r="E39" s="6">
        <f t="shared" si="4"/>
        <v>0.13082270235669807</v>
      </c>
      <c r="F39" s="6" t="str">
        <f t="shared" si="4"/>
        <v/>
      </c>
      <c r="G39" s="6">
        <f t="shared" si="4"/>
        <v>0.1466029864904396</v>
      </c>
      <c r="H39" s="6">
        <f t="shared" si="4"/>
        <v>0.14378868986967749</v>
      </c>
    </row>
    <row r="40" spans="1:9" ht="10" customHeight="1" outlineLevel="2" x14ac:dyDescent="0.15"/>
    <row r="41" spans="1:9" ht="10" customHeight="1" outlineLevel="2" x14ac:dyDescent="0.15">
      <c r="B41" s="2" t="s">
        <v>104</v>
      </c>
      <c r="C41" s="15" t="s">
        <v>88</v>
      </c>
    </row>
    <row r="42" spans="1:9" ht="10" customHeight="1" outlineLevel="2" x14ac:dyDescent="0.15">
      <c r="B42" t="s">
        <v>130</v>
      </c>
      <c r="C42" s="6">
        <f>SUM(C36:F36)/SUM(C38:F38)</f>
        <v>0.13082270235669807</v>
      </c>
    </row>
    <row r="43" spans="1:9" ht="10" customHeight="1" outlineLevel="2" x14ac:dyDescent="0.15">
      <c r="B43" s="1" t="s">
        <v>131</v>
      </c>
      <c r="C43" s="6">
        <f>SUM(C19:F19)/SUM(C37:F37)</f>
        <v>0.59464864707590026</v>
      </c>
    </row>
    <row r="44" spans="1:9" ht="10" customHeight="1" outlineLevel="2" x14ac:dyDescent="0.15">
      <c r="B44" t="s">
        <v>132</v>
      </c>
      <c r="C44" s="12">
        <f>'Place of Performance'!E12</f>
        <v>0.22000000000000003</v>
      </c>
    </row>
    <row r="45" spans="1:9" ht="10" customHeight="1" outlineLevel="2" x14ac:dyDescent="0.15">
      <c r="B45" t="s">
        <v>133</v>
      </c>
      <c r="C45" s="12">
        <f>Assumptions!C24</f>
        <v>0.3</v>
      </c>
    </row>
    <row r="46" spans="1:9" ht="10" customHeight="1" outlineLevel="2" x14ac:dyDescent="0.15"/>
    <row r="47" spans="1:9" ht="10" customHeight="1" outlineLevel="2" x14ac:dyDescent="0.15">
      <c r="B47" s="2" t="s">
        <v>134</v>
      </c>
      <c r="C47" s="15" t="s">
        <v>135</v>
      </c>
      <c r="D47" s="15" t="s">
        <v>136</v>
      </c>
      <c r="E47" s="15" t="s">
        <v>137</v>
      </c>
      <c r="F47" s="15" t="s">
        <v>138</v>
      </c>
    </row>
    <row r="48" spans="1:9" ht="10" customHeight="1" outlineLevel="2" x14ac:dyDescent="0.15">
      <c r="B48" s="1" t="s">
        <v>139</v>
      </c>
      <c r="C48" s="11">
        <f>'FYDP Outyears'!F43</f>
        <v>9731.5948799999987</v>
      </c>
      <c r="D48" s="11">
        <f>'FYDP Outyears'!G43</f>
        <v>9739.3381199999985</v>
      </c>
      <c r="E48" s="11">
        <f>'FYDP Outyears'!H43</f>
        <v>9605.7209199999998</v>
      </c>
      <c r="F48" s="11">
        <f>'FYDP Outyears'!I43</f>
        <v>9623.7738000000008</v>
      </c>
    </row>
    <row r="49" spans="2:6" ht="10" customHeight="1" outlineLevel="2" x14ac:dyDescent="0.15">
      <c r="B49" t="s">
        <v>140</v>
      </c>
      <c r="C49" s="4">
        <f>C48*$C$43</f>
        <v>5786.8797292827576</v>
      </c>
      <c r="D49" s="4">
        <f>D48*$C$43</f>
        <v>5791.484236472741</v>
      </c>
      <c r="E49" s="4">
        <f>E48*$C$43</f>
        <v>5712.0289492666716</v>
      </c>
      <c r="F49" s="4">
        <f>F48*$C$43</f>
        <v>5722.7640699344956</v>
      </c>
    </row>
    <row r="50" spans="2:6" ht="10" customHeight="1" outlineLevel="2" x14ac:dyDescent="0.15">
      <c r="B50" t="s">
        <v>141</v>
      </c>
      <c r="C50" s="6">
        <f>$C$44*POWER(1+$C$45,1/4)</f>
        <v>0.23491379392193704</v>
      </c>
      <c r="D50" s="6">
        <f>$C$44*POWER(1+$C$45,2/4)</f>
        <v>0.25083859352181043</v>
      </c>
      <c r="E50" s="6">
        <f>$C$44*POWER(1+$C$45,3/4)</f>
        <v>0.26784293484659583</v>
      </c>
      <c r="F50" s="6">
        <f>$C$44*POWER(1+$C$45,4/4)</f>
        <v>0.28600000000000003</v>
      </c>
    </row>
    <row r="51" spans="2:6" ht="10" customHeight="1" outlineLevel="2" x14ac:dyDescent="0.15">
      <c r="B51" s="1" t="s">
        <v>142</v>
      </c>
      <c r="C51" s="4">
        <f>C49*$C$44</f>
        <v>1273.1135404422068</v>
      </c>
      <c r="D51" s="4">
        <f>D49*$C$44</f>
        <v>1274.1265320240032</v>
      </c>
      <c r="E51" s="4">
        <f>E49*$C$44</f>
        <v>1256.646368838668</v>
      </c>
      <c r="F51" s="4">
        <f>F49*$C$44</f>
        <v>1259.0080953855893</v>
      </c>
    </row>
    <row r="52" spans="2:6" ht="10" customHeight="1" outlineLevel="2" x14ac:dyDescent="0.15">
      <c r="B52" s="1" t="s">
        <v>143</v>
      </c>
      <c r="C52" s="4">
        <f>C49*C50</f>
        <v>1359.4178721757644</v>
      </c>
      <c r="D52" s="4">
        <f>D49*D50</f>
        <v>1452.7277602805584</v>
      </c>
      <c r="E52" s="4">
        <f>E49*E50</f>
        <v>1529.9265977003024</v>
      </c>
      <c r="F52" s="4">
        <f>F49*F50</f>
        <v>1636.7105240012659</v>
      </c>
    </row>
    <row r="53" spans="2:6" ht="10" customHeight="1" outlineLevel="2" x14ac:dyDescent="0.15"/>
    <row r="54" spans="2:6" ht="10" customHeight="1" outlineLevel="2" x14ac:dyDescent="0.15">
      <c r="B54" t="s">
        <v>144</v>
      </c>
      <c r="C54" s="4">
        <f>AVERAGE(C51:F51)</f>
        <v>1265.7236341726168</v>
      </c>
    </row>
    <row r="55" spans="2:6" ht="10" customHeight="1" outlineLevel="2" x14ac:dyDescent="0.15">
      <c r="B55" t="s">
        <v>145</v>
      </c>
      <c r="C55" s="4">
        <f>AVERAGE(C52:F52)</f>
        <v>1494.6956885394729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8596B"/>
    <outlinePr summaryBelow="0"/>
  </sheetPr>
  <dimension ref="A2:I66"/>
  <sheetViews>
    <sheetView showGridLines="0" showOutlineSymbols="0" workbookViewId="0"/>
  </sheetViews>
  <sheetFormatPr baseColWidth="10" defaultColWidth="8.75" defaultRowHeight="10" customHeight="1" outlineLevelRow="3" x14ac:dyDescent="0.15"/>
  <cols>
    <col min="1" max="1" width="2.25" customWidth="1"/>
    <col min="2" max="2" width="42" customWidth="1"/>
    <col min="3" max="8" width="12" customWidth="1"/>
    <col min="9" max="9" width="13" customWidth="1"/>
  </cols>
  <sheetData>
    <row r="2" spans="1:9" ht="10" customHeight="1" x14ac:dyDescent="0.15">
      <c r="A2" t="s">
        <v>0</v>
      </c>
      <c r="B2" s="8" t="s">
        <v>149</v>
      </c>
      <c r="C2" s="8"/>
      <c r="D2" s="8"/>
      <c r="E2" s="8"/>
      <c r="F2" s="8"/>
      <c r="G2" s="8"/>
      <c r="H2" s="8"/>
      <c r="I2" s="8"/>
    </row>
    <row r="3" spans="1:9" ht="10" customHeight="1" outlineLevel="1" x14ac:dyDescent="0.15">
      <c r="B3" s="18" t="s">
        <v>150</v>
      </c>
    </row>
    <row r="4" spans="1:9" ht="10" customHeight="1" outlineLevel="1" x14ac:dyDescent="0.15"/>
    <row r="5" spans="1:9" ht="10" customHeight="1" outlineLevel="1" x14ac:dyDescent="0.15"/>
    <row r="6" spans="1:9" ht="10" customHeight="1" outlineLevel="1" x14ac:dyDescent="0.15">
      <c r="A6" t="s">
        <v>0</v>
      </c>
      <c r="B6" s="9" t="s">
        <v>103</v>
      </c>
      <c r="C6" s="9"/>
      <c r="D6" s="9"/>
      <c r="E6" s="9"/>
      <c r="F6" s="9"/>
      <c r="G6" s="9"/>
      <c r="H6" s="9"/>
      <c r="I6" s="9"/>
    </row>
    <row r="7" spans="1:9" ht="10" customHeight="1" outlineLevel="2" x14ac:dyDescent="0.15"/>
    <row r="8" spans="1:9" ht="10" customHeight="1" outlineLevel="2" x14ac:dyDescent="0.15">
      <c r="B8" s="2" t="s">
        <v>104</v>
      </c>
      <c r="C8" s="15" t="s">
        <v>88</v>
      </c>
    </row>
    <row r="9" spans="1:9" ht="10" customHeight="1" outlineLevel="2" x14ac:dyDescent="0.15">
      <c r="B9" s="1" t="s">
        <v>105</v>
      </c>
      <c r="C9" s="4">
        <f>C34</f>
        <v>6421.7296801227003</v>
      </c>
    </row>
    <row r="10" spans="1:9" ht="10" customHeight="1" outlineLevel="2" x14ac:dyDescent="0.15">
      <c r="B10" s="1" t="s">
        <v>106</v>
      </c>
      <c r="C10" s="4">
        <f>C35</f>
        <v>1070.28828002045</v>
      </c>
    </row>
    <row r="11" spans="1:9" ht="10" customHeight="1" outlineLevel="2" x14ac:dyDescent="0.15">
      <c r="B11" t="s">
        <v>107</v>
      </c>
      <c r="C11" s="6">
        <f>C38</f>
        <v>0.252936763771345</v>
      </c>
    </row>
    <row r="12" spans="1:9" ht="10" customHeight="1" outlineLevel="2" x14ac:dyDescent="0.15">
      <c r="B12" t="s">
        <v>108</v>
      </c>
      <c r="C12" s="4">
        <f>C36</f>
        <v>857.75915330138514</v>
      </c>
    </row>
    <row r="13" spans="1:9" ht="10" customHeight="1" outlineLevel="2" x14ac:dyDescent="0.15">
      <c r="B13" t="s">
        <v>151</v>
      </c>
      <c r="C13" s="4">
        <f>I27</f>
        <v>1042.33</v>
      </c>
    </row>
    <row r="14" spans="1:9" ht="10" customHeight="1" outlineLevel="2" x14ac:dyDescent="0.15">
      <c r="B14" t="s">
        <v>109</v>
      </c>
      <c r="C14" s="4">
        <f>C65</f>
        <v>726.29175812586118</v>
      </c>
    </row>
    <row r="15" spans="1:9" ht="10" customHeight="1" outlineLevel="2" x14ac:dyDescent="0.15">
      <c r="B15" t="s">
        <v>110</v>
      </c>
      <c r="C15" s="4">
        <f>C66</f>
        <v>805.89328821864888</v>
      </c>
    </row>
    <row r="16" spans="1:9" ht="10" customHeight="1" outlineLevel="2" x14ac:dyDescent="0.15"/>
    <row r="17" spans="1:9" ht="10" customHeight="1" outlineLevel="2" x14ac:dyDescent="0.15"/>
    <row r="18" spans="1:9" ht="10" customHeight="1" outlineLevel="1" x14ac:dyDescent="0.15">
      <c r="A18" t="s">
        <v>0</v>
      </c>
      <c r="B18" s="9" t="s">
        <v>111</v>
      </c>
      <c r="C18" s="9"/>
      <c r="D18" s="9"/>
      <c r="E18" s="9"/>
      <c r="F18" s="9"/>
      <c r="G18" s="9"/>
      <c r="H18" s="9"/>
      <c r="I18" s="9"/>
    </row>
    <row r="19" spans="1:9" ht="10" customHeight="1" outlineLevel="2" x14ac:dyDescent="0.15"/>
    <row r="20" spans="1:9" ht="10" customHeight="1" outlineLevel="2" x14ac:dyDescent="0.15">
      <c r="B20" s="2" t="s">
        <v>112</v>
      </c>
      <c r="C20" s="15" t="s">
        <v>14</v>
      </c>
      <c r="D20" s="15" t="s">
        <v>15</v>
      </c>
      <c r="E20" s="15" t="s">
        <v>16</v>
      </c>
      <c r="F20" s="15" t="s">
        <v>17</v>
      </c>
      <c r="G20" s="15" t="s">
        <v>113</v>
      </c>
      <c r="H20" s="15" t="s">
        <v>114</v>
      </c>
      <c r="I20" s="15" t="s">
        <v>115</v>
      </c>
    </row>
    <row r="21" spans="1:9" ht="10" customHeight="1" outlineLevel="2" x14ac:dyDescent="0.15">
      <c r="B21" t="s">
        <v>116</v>
      </c>
      <c r="C21" s="11">
        <f>'SCN Budget'!C120</f>
        <v>2155.989</v>
      </c>
      <c r="D21" s="11">
        <f>'SCN Budget'!D120</f>
        <v>4877.23441</v>
      </c>
      <c r="E21" s="11">
        <f>'SCN Budget'!E120</f>
        <v>3455.3563200000003</v>
      </c>
      <c r="F21" s="11">
        <f>'SCN Budget'!F120</f>
        <v>4720.7772599999998</v>
      </c>
      <c r="G21" s="11">
        <f>'SCN Budget'!G120</f>
        <v>282.60399999999998</v>
      </c>
      <c r="H21" s="11">
        <f>'SCN Budget'!H120</f>
        <v>2665.1639</v>
      </c>
      <c r="I21" s="4">
        <f>SUM(C21:H21)</f>
        <v>18157.124889999999</v>
      </c>
    </row>
    <row r="22" spans="1:9" ht="10" customHeight="1" outlineLevel="2" x14ac:dyDescent="0.15">
      <c r="B22" t="s">
        <v>117</v>
      </c>
      <c r="C22" s="11">
        <f>'OBBBA Mandatory'!C37</f>
        <v>0</v>
      </c>
      <c r="D22" s="11">
        <f>'OBBBA Mandatory'!D37</f>
        <v>0</v>
      </c>
      <c r="E22" s="11">
        <f>'OBBBA Mandatory'!E37</f>
        <v>0</v>
      </c>
      <c r="F22" s="11">
        <f>'OBBBA Mandatory'!F37</f>
        <v>0</v>
      </c>
      <c r="G22" s="11">
        <f>'OBBBA Mandatory'!G37</f>
        <v>3391.2</v>
      </c>
      <c r="H22" s="11">
        <f>'OBBBA Mandatory'!H37</f>
        <v>0</v>
      </c>
      <c r="I22" s="4">
        <f>SUM(C22:H22)</f>
        <v>3391.2</v>
      </c>
    </row>
    <row r="23" spans="1:9" ht="10" customHeight="1" outlineLevel="2" x14ac:dyDescent="0.15">
      <c r="B23" t="s">
        <v>152</v>
      </c>
      <c r="C23" s="11">
        <f>'SCN Budget'!C128</f>
        <v>0</v>
      </c>
      <c r="D23" s="11">
        <f>'SCN Budget'!D128</f>
        <v>0</v>
      </c>
      <c r="E23" s="11">
        <f>'SCN Budget'!E128</f>
        <v>0</v>
      </c>
      <c r="F23" s="11">
        <f>'SCN Budget'!F128</f>
        <v>42.33</v>
      </c>
      <c r="G23" s="11">
        <f>'SCN Budget'!G128</f>
        <v>1000</v>
      </c>
      <c r="H23" s="11">
        <f>'SCN Budget'!H128</f>
        <v>0</v>
      </c>
      <c r="I23" s="4">
        <f>SUM(C23:H23)</f>
        <v>1042.33</v>
      </c>
    </row>
    <row r="24" spans="1:9" ht="10" customHeight="1" outlineLevel="2" x14ac:dyDescent="0.15">
      <c r="B24" t="s">
        <v>118</v>
      </c>
      <c r="C24" s="12">
        <f>'Place of Performance'!E14</f>
        <v>0.22002199368326769</v>
      </c>
      <c r="D24" s="12">
        <f>'Place of Performance'!E13</f>
        <v>0.252936763771345</v>
      </c>
      <c r="E24" s="12">
        <f>'Place of Performance'!E13</f>
        <v>0.252936763771345</v>
      </c>
      <c r="F24" s="12">
        <f>'Place of Performance'!E13</f>
        <v>0.252936763771345</v>
      </c>
      <c r="G24" s="12">
        <f>'Place of Performance'!E13</f>
        <v>0.252936763771345</v>
      </c>
      <c r="H24" s="12">
        <f>'Place of Performance'!E13</f>
        <v>0.252936763771345</v>
      </c>
    </row>
    <row r="25" spans="1:9" ht="10" customHeight="1" outlineLevel="2" x14ac:dyDescent="0.15">
      <c r="B25" t="s">
        <v>119</v>
      </c>
      <c r="C25" s="4">
        <f t="shared" ref="C25:H26" si="0">C21*C$24</f>
        <v>474.36499813919465</v>
      </c>
      <c r="D25" s="4">
        <f t="shared" si="0"/>
        <v>1233.6318878196453</v>
      </c>
      <c r="E25" s="4">
        <f t="shared" si="0"/>
        <v>873.98664525766401</v>
      </c>
      <c r="F25" s="4">
        <f t="shared" si="0"/>
        <v>1194.0581226297572</v>
      </c>
      <c r="G25" s="4">
        <f t="shared" si="0"/>
        <v>71.480941188837178</v>
      </c>
      <c r="H25" s="4">
        <f t="shared" si="0"/>
        <v>674.11793178621656</v>
      </c>
      <c r="I25" s="4">
        <f>SUM(C25:H25)</f>
        <v>4521.6405268213148</v>
      </c>
    </row>
    <row r="26" spans="1:9" ht="10" customHeight="1" outlineLevel="2" x14ac:dyDescent="0.15">
      <c r="B26" t="s">
        <v>120</v>
      </c>
      <c r="C26" s="4">
        <f t="shared" si="0"/>
        <v>0</v>
      </c>
      <c r="D26" s="4">
        <f t="shared" si="0"/>
        <v>0</v>
      </c>
      <c r="E26" s="4">
        <f t="shared" si="0"/>
        <v>0</v>
      </c>
      <c r="F26" s="4">
        <f t="shared" si="0"/>
        <v>0</v>
      </c>
      <c r="G26" s="4">
        <f t="shared" si="0"/>
        <v>857.75915330138514</v>
      </c>
      <c r="H26" s="4">
        <f t="shared" si="0"/>
        <v>0</v>
      </c>
      <c r="I26" s="4">
        <f>SUM(C26:H26)</f>
        <v>857.75915330138514</v>
      </c>
    </row>
    <row r="27" spans="1:9" ht="10" customHeight="1" outlineLevel="2" x14ac:dyDescent="0.15">
      <c r="B27" t="s">
        <v>153</v>
      </c>
      <c r="C27" s="4">
        <f>C23*Assumptions!C9</f>
        <v>0</v>
      </c>
      <c r="D27" s="4">
        <f>D23*Assumptions!C9</f>
        <v>0</v>
      </c>
      <c r="E27" s="4">
        <f>E23*Assumptions!C9</f>
        <v>0</v>
      </c>
      <c r="F27" s="4">
        <f>F23*Assumptions!C9</f>
        <v>42.33</v>
      </c>
      <c r="G27" s="4">
        <f>G23*Assumptions!C9</f>
        <v>1000</v>
      </c>
      <c r="H27" s="4">
        <f>H23*Assumptions!C9</f>
        <v>0</v>
      </c>
      <c r="I27" s="4">
        <f>SUM(C27:H27)</f>
        <v>1042.33</v>
      </c>
    </row>
    <row r="28" spans="1:9" ht="10" customHeight="1" outlineLevel="2" x14ac:dyDescent="0.15">
      <c r="B28" s="3" t="s">
        <v>121</v>
      </c>
      <c r="C28" s="13">
        <f t="shared" ref="C28:H28" si="1">SUM(C25:C27)</f>
        <v>474.36499813919465</v>
      </c>
      <c r="D28" s="13">
        <f t="shared" si="1"/>
        <v>1233.6318878196453</v>
      </c>
      <c r="E28" s="13">
        <f t="shared" si="1"/>
        <v>873.98664525766401</v>
      </c>
      <c r="F28" s="13">
        <f t="shared" si="1"/>
        <v>1236.3881226297572</v>
      </c>
      <c r="G28" s="13">
        <f t="shared" si="1"/>
        <v>1929.2400944902224</v>
      </c>
      <c r="H28" s="13">
        <f t="shared" si="1"/>
        <v>674.11793178621656</v>
      </c>
      <c r="I28" s="13">
        <f>SUM(C28:H28)</f>
        <v>6421.7296801227003</v>
      </c>
    </row>
    <row r="29" spans="1:9" ht="10" customHeight="1" outlineLevel="2" x14ac:dyDescent="0.15"/>
    <row r="30" spans="1:9" ht="10" customHeight="1" outlineLevel="2" x14ac:dyDescent="0.15"/>
    <row r="31" spans="1:9" ht="10" customHeight="1" outlineLevel="2" x14ac:dyDescent="0.15">
      <c r="A31" t="s">
        <v>0</v>
      </c>
      <c r="B31" s="10" t="s">
        <v>122</v>
      </c>
      <c r="C31" s="10"/>
      <c r="D31" s="10"/>
      <c r="E31" s="10"/>
      <c r="F31" s="10"/>
      <c r="G31" s="10"/>
      <c r="H31" s="10"/>
      <c r="I31" s="10"/>
    </row>
    <row r="32" spans="1:9" ht="10" customHeight="1" outlineLevel="3" x14ac:dyDescent="0.15"/>
    <row r="33" spans="1:9" ht="10" customHeight="1" outlineLevel="3" x14ac:dyDescent="0.15">
      <c r="B33" s="2" t="s">
        <v>104</v>
      </c>
      <c r="C33" s="15" t="s">
        <v>88</v>
      </c>
    </row>
    <row r="34" spans="1:9" ht="10" customHeight="1" outlineLevel="3" x14ac:dyDescent="0.15">
      <c r="B34" s="1" t="s">
        <v>105</v>
      </c>
      <c r="C34" s="4">
        <f>I28</f>
        <v>6421.7296801227003</v>
      </c>
    </row>
    <row r="35" spans="1:9" ht="10" customHeight="1" outlineLevel="3" x14ac:dyDescent="0.15">
      <c r="B35" s="1" t="s">
        <v>106</v>
      </c>
      <c r="C35" s="4">
        <f>C34/6</f>
        <v>1070.28828002045</v>
      </c>
    </row>
    <row r="36" spans="1:9" ht="10" customHeight="1" outlineLevel="3" x14ac:dyDescent="0.15">
      <c r="B36" t="s">
        <v>123</v>
      </c>
      <c r="C36" s="4">
        <f>I26</f>
        <v>857.75915330138514</v>
      </c>
    </row>
    <row r="37" spans="1:9" ht="10" customHeight="1" outlineLevel="3" x14ac:dyDescent="0.15">
      <c r="B37" t="s">
        <v>154</v>
      </c>
      <c r="C37" s="4">
        <f>I27</f>
        <v>1042.33</v>
      </c>
    </row>
    <row r="38" spans="1:9" ht="10" customHeight="1" outlineLevel="3" x14ac:dyDescent="0.15">
      <c r="B38" t="s">
        <v>107</v>
      </c>
      <c r="C38" s="6">
        <f>'Place of Performance'!E13</f>
        <v>0.252936763771345</v>
      </c>
    </row>
    <row r="39" spans="1:9" ht="10" customHeight="1" outlineLevel="3" x14ac:dyDescent="0.15">
      <c r="B39" t="s">
        <v>155</v>
      </c>
      <c r="C39" s="6">
        <f>'Place of Performance'!E14</f>
        <v>0.22002199368326769</v>
      </c>
    </row>
    <row r="40" spans="1:9" ht="10" customHeight="1" outlineLevel="3" x14ac:dyDescent="0.15"/>
    <row r="41" spans="1:9" ht="10" customHeight="1" outlineLevel="3" x14ac:dyDescent="0.15"/>
    <row r="42" spans="1:9" ht="10" customHeight="1" outlineLevel="1" x14ac:dyDescent="0.15">
      <c r="A42" t="s">
        <v>0</v>
      </c>
      <c r="B42" s="9" t="s">
        <v>124</v>
      </c>
      <c r="C42" s="9"/>
      <c r="D42" s="9"/>
      <c r="E42" s="9"/>
      <c r="F42" s="9"/>
      <c r="G42" s="9"/>
      <c r="H42" s="9"/>
      <c r="I42" s="9"/>
    </row>
    <row r="43" spans="1:9" ht="10" customHeight="1" outlineLevel="2" x14ac:dyDescent="0.15"/>
    <row r="44" spans="1:9" ht="10" customHeight="1" outlineLevel="2" x14ac:dyDescent="0.15">
      <c r="B44" s="2" t="s">
        <v>112</v>
      </c>
      <c r="C44" s="15" t="s">
        <v>14</v>
      </c>
      <c r="D44" s="15" t="s">
        <v>15</v>
      </c>
      <c r="E44" s="15" t="s">
        <v>16</v>
      </c>
      <c r="F44" s="15" t="s">
        <v>17</v>
      </c>
      <c r="G44" s="15" t="s">
        <v>113</v>
      </c>
      <c r="H44" s="15" t="s">
        <v>114</v>
      </c>
    </row>
    <row r="45" spans="1:9" ht="10" customHeight="1" outlineLevel="2" x14ac:dyDescent="0.15">
      <c r="B45" s="1" t="s">
        <v>125</v>
      </c>
      <c r="C45" s="4">
        <f t="shared" ref="C45:H45" si="2">N(C28)</f>
        <v>474.36499813919465</v>
      </c>
      <c r="D45" s="4">
        <f t="shared" si="2"/>
        <v>1233.6318878196453</v>
      </c>
      <c r="E45" s="4">
        <f t="shared" si="2"/>
        <v>873.98664525766401</v>
      </c>
      <c r="F45" s="4">
        <f t="shared" si="2"/>
        <v>1236.3881226297572</v>
      </c>
      <c r="G45" s="4">
        <f t="shared" si="2"/>
        <v>1929.2400944902224</v>
      </c>
      <c r="H45" s="4">
        <f t="shared" si="2"/>
        <v>674.11793178621656</v>
      </c>
    </row>
    <row r="46" spans="1:9" ht="10" customHeight="1" outlineLevel="2" x14ac:dyDescent="0.15">
      <c r="B46" t="s">
        <v>126</v>
      </c>
      <c r="C46" s="11">
        <f>'SCN Budget'!C112</f>
        <v>4480.1702000000005</v>
      </c>
      <c r="D46" s="11">
        <f>'SCN Budget'!D112</f>
        <v>8506.0078000000012</v>
      </c>
      <c r="E46" s="11">
        <f>'SCN Budget'!E112</f>
        <v>5712.0232000000005</v>
      </c>
      <c r="F46" s="11">
        <f>'SCN Budget'!F112</f>
        <v>8015.9902800000009</v>
      </c>
      <c r="G46" s="11">
        <f>'SCN Budget'!G112</f>
        <v>306.125</v>
      </c>
      <c r="H46" s="11">
        <f>'SCN Budget'!H112</f>
        <v>4171.7757199999996</v>
      </c>
    </row>
    <row r="47" spans="1:9" ht="10" customHeight="1" outlineLevel="2" x14ac:dyDescent="0.15">
      <c r="B47" t="s">
        <v>156</v>
      </c>
      <c r="C47" s="4">
        <f>N('OBBBA Mandatory'!C32)</f>
        <v>0</v>
      </c>
      <c r="D47" s="4">
        <f>N('OBBBA Mandatory'!D32)</f>
        <v>0</v>
      </c>
      <c r="E47" s="4">
        <f>N('OBBBA Mandatory'!E32)</f>
        <v>0</v>
      </c>
      <c r="F47" s="4">
        <f>N('OBBBA Mandatory'!F32)</f>
        <v>0</v>
      </c>
      <c r="G47" s="4">
        <f>N('OBBBA Mandatory'!G32)</f>
        <v>5400</v>
      </c>
      <c r="H47" s="4">
        <f>N('OBBBA Mandatory'!H32)</f>
        <v>0</v>
      </c>
    </row>
    <row r="48" spans="1:9" ht="10" customHeight="1" outlineLevel="2" x14ac:dyDescent="0.15">
      <c r="B48" s="3" t="s">
        <v>128</v>
      </c>
      <c r="C48" s="13">
        <f t="shared" ref="C48:H48" si="3">C46+N(C47)</f>
        <v>4480.1702000000005</v>
      </c>
      <c r="D48" s="13">
        <f t="shared" si="3"/>
        <v>8506.0078000000012</v>
      </c>
      <c r="E48" s="13">
        <f t="shared" si="3"/>
        <v>5712.0232000000005</v>
      </c>
      <c r="F48" s="13">
        <f t="shared" si="3"/>
        <v>8015.9902800000009</v>
      </c>
      <c r="G48" s="13">
        <f t="shared" si="3"/>
        <v>5706.125</v>
      </c>
      <c r="H48" s="13">
        <f t="shared" si="3"/>
        <v>4171.7757199999996</v>
      </c>
    </row>
    <row r="49" spans="2:8" ht="10" customHeight="1" outlineLevel="2" x14ac:dyDescent="0.15">
      <c r="B49" s="1" t="s">
        <v>129</v>
      </c>
      <c r="C49" s="6">
        <f t="shared" ref="C49:H49" si="4">IF(C48=0,"",C45/C48)</f>
        <v>0.10588102169404069</v>
      </c>
      <c r="D49" s="6">
        <f t="shared" si="4"/>
        <v>0.14503065560551745</v>
      </c>
      <c r="E49" s="6">
        <f t="shared" si="4"/>
        <v>0.15300824500461832</v>
      </c>
      <c r="F49" s="6">
        <f t="shared" si="4"/>
        <v>0.15424022228601766</v>
      </c>
      <c r="G49" s="6">
        <f t="shared" si="4"/>
        <v>0.33809986540607195</v>
      </c>
      <c r="H49" s="6">
        <f t="shared" si="4"/>
        <v>0.16159016616219643</v>
      </c>
    </row>
    <row r="50" spans="2:8" ht="10" customHeight="1" outlineLevel="2" x14ac:dyDescent="0.15"/>
    <row r="51" spans="2:8" ht="10" customHeight="1" outlineLevel="2" x14ac:dyDescent="0.15">
      <c r="B51" s="2" t="s">
        <v>104</v>
      </c>
      <c r="C51" s="15" t="s">
        <v>88</v>
      </c>
    </row>
    <row r="52" spans="2:8" ht="10" customHeight="1" outlineLevel="2" x14ac:dyDescent="0.15">
      <c r="B52" t="s">
        <v>130</v>
      </c>
      <c r="C52" s="6">
        <f>SUM(C45:F45)/SUM(C48:F48)</f>
        <v>0.14293420247080824</v>
      </c>
    </row>
    <row r="53" spans="2:8" ht="10" customHeight="1" outlineLevel="2" x14ac:dyDescent="0.15">
      <c r="B53" s="1" t="s">
        <v>131</v>
      </c>
      <c r="C53" s="6">
        <f>SUM(C21:F21)/SUM(C46:F46)</f>
        <v>0.56933622720293531</v>
      </c>
    </row>
    <row r="54" spans="2:8" ht="10" customHeight="1" outlineLevel="2" x14ac:dyDescent="0.15">
      <c r="B54" t="s">
        <v>132</v>
      </c>
      <c r="C54" s="12">
        <f>'Place of Performance'!E13</f>
        <v>0.252936763771345</v>
      </c>
    </row>
    <row r="55" spans="2:8" ht="10" customHeight="1" outlineLevel="2" x14ac:dyDescent="0.15">
      <c r="B55" t="s">
        <v>133</v>
      </c>
      <c r="C55" s="12">
        <f>Assumptions!C24</f>
        <v>0.3</v>
      </c>
    </row>
    <row r="56" spans="2:8" ht="10" customHeight="1" outlineLevel="2" x14ac:dyDescent="0.15">
      <c r="B56" t="s">
        <v>157</v>
      </c>
      <c r="C56" s="12">
        <f>Assumptions!C25</f>
        <v>0.55000000000000004</v>
      </c>
    </row>
    <row r="57" spans="2:8" ht="10" customHeight="1" outlineLevel="2" x14ac:dyDescent="0.15"/>
    <row r="58" spans="2:8" ht="10" customHeight="1" outlineLevel="2" x14ac:dyDescent="0.15">
      <c r="B58" s="2" t="s">
        <v>134</v>
      </c>
      <c r="C58" s="15" t="s">
        <v>135</v>
      </c>
      <c r="D58" s="15" t="s">
        <v>136</v>
      </c>
      <c r="E58" s="15" t="s">
        <v>137</v>
      </c>
      <c r="F58" s="15" t="s">
        <v>138</v>
      </c>
    </row>
    <row r="59" spans="2:8" ht="10" customHeight="1" outlineLevel="2" x14ac:dyDescent="0.15">
      <c r="B59" s="1" t="s">
        <v>139</v>
      </c>
      <c r="C59" s="11">
        <f>'FYDP Outyears'!F44</f>
        <v>3865.1529599999999</v>
      </c>
      <c r="D59" s="11">
        <f>'FYDP Outyears'!G44</f>
        <v>3956.8735999999994</v>
      </c>
      <c r="E59" s="11">
        <f>'FYDP Outyears'!H44</f>
        <v>6084.0989200000004</v>
      </c>
      <c r="F59" s="11">
        <f>'FYDP Outyears'!I44</f>
        <v>6267.7961999999998</v>
      </c>
    </row>
    <row r="60" spans="2:8" ht="10" customHeight="1" outlineLevel="2" x14ac:dyDescent="0.15">
      <c r="B60" t="s">
        <v>140</v>
      </c>
      <c r="C60" s="4">
        <f>C59*$C$53</f>
        <v>2200.571603808658</v>
      </c>
      <c r="D60" s="4">
        <f>D59*$C$53</f>
        <v>2252.7914869428964</v>
      </c>
      <c r="E60" s="4">
        <f>E59*$C$53</f>
        <v>3463.8979250422535</v>
      </c>
      <c r="F60" s="4">
        <f>F59*$C$53</f>
        <v>3568.4834413848944</v>
      </c>
    </row>
    <row r="61" spans="2:8" ht="10" customHeight="1" outlineLevel="2" x14ac:dyDescent="0.15">
      <c r="B61" t="s">
        <v>141</v>
      </c>
      <c r="C61" s="6">
        <f>$C$54*(1+$C$56*(POWER(1+$C$55,1/4)-1))</f>
        <v>0.26236738069676374</v>
      </c>
      <c r="D61" s="6">
        <f>$C$54*(1+$C$56*(POWER(1+$C$55,2/4)-1))</f>
        <v>0.27243729888301166</v>
      </c>
      <c r="E61" s="6">
        <f>$C$54*(1+$C$56*(POWER(1+$C$55,3/4)-1))</f>
        <v>0.28318985654489814</v>
      </c>
      <c r="F61" s="6">
        <f>$C$54*(1+$C$56*(POWER(1+$C$55,4/4)-1))</f>
        <v>0.29467132979361693</v>
      </c>
    </row>
    <row r="62" spans="2:8" ht="10" customHeight="1" outlineLevel="2" x14ac:dyDescent="0.15">
      <c r="B62" s="1" t="s">
        <v>142</v>
      </c>
      <c r="C62" s="4">
        <f>C60*$C$54</f>
        <v>556.60545991448032</v>
      </c>
      <c r="D62" s="4">
        <f>D60*$C$54</f>
        <v>569.81378815897244</v>
      </c>
      <c r="E62" s="4">
        <f>E60*$C$54</f>
        <v>876.14713119446458</v>
      </c>
      <c r="F62" s="4">
        <f>F60*$C$54</f>
        <v>902.60065323552726</v>
      </c>
    </row>
    <row r="63" spans="2:8" ht="10" customHeight="1" outlineLevel="2" x14ac:dyDescent="0.15">
      <c r="B63" s="1" t="s">
        <v>143</v>
      </c>
      <c r="C63" s="4">
        <f>C60*C61</f>
        <v>577.35820772695411</v>
      </c>
      <c r="D63" s="4">
        <f>D60*D61</f>
        <v>613.74442764936612</v>
      </c>
      <c r="E63" s="4">
        <f>E60*E61</f>
        <v>980.9407564788861</v>
      </c>
      <c r="F63" s="4">
        <f>F60*F61</f>
        <v>1051.5297610193893</v>
      </c>
    </row>
    <row r="64" spans="2:8" ht="10" customHeight="1" outlineLevel="2" x14ac:dyDescent="0.15"/>
    <row r="65" spans="2:3" ht="10" customHeight="1" outlineLevel="2" x14ac:dyDescent="0.15">
      <c r="B65" t="s">
        <v>144</v>
      </c>
      <c r="C65" s="4">
        <f>AVERAGE(C62:F62)</f>
        <v>726.29175812586118</v>
      </c>
    </row>
    <row r="66" spans="2:3" ht="10" customHeight="1" outlineLevel="2" x14ac:dyDescent="0.15">
      <c r="B66" t="s">
        <v>145</v>
      </c>
      <c r="C66" s="4">
        <f>AVERAGE(C63:F63)</f>
        <v>805.89328821864888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03864"/>
    <outlinePr summaryBelow="0"/>
  </sheetPr>
  <dimension ref="A2:I130"/>
  <sheetViews>
    <sheetView showGridLines="0" showOutlineSymbols="0" workbookViewId="0"/>
  </sheetViews>
  <sheetFormatPr baseColWidth="10" defaultColWidth="8.75" defaultRowHeight="10" customHeight="1" outlineLevelRow="3" x14ac:dyDescent="0.15"/>
  <cols>
    <col min="1" max="1" width="2.25" customWidth="1"/>
    <col min="2" max="2" width="40" customWidth="1"/>
    <col min="3" max="8" width="12" customWidth="1"/>
    <col min="9" max="9" width="13" customWidth="1"/>
  </cols>
  <sheetData>
    <row r="2" spans="1:9" ht="10" customHeight="1" x14ac:dyDescent="0.15">
      <c r="A2" t="s">
        <v>0</v>
      </c>
      <c r="B2" s="8" t="s">
        <v>158</v>
      </c>
      <c r="C2" s="8"/>
      <c r="D2" s="8"/>
      <c r="E2" s="8"/>
      <c r="F2" s="8"/>
      <c r="G2" s="8"/>
      <c r="H2" s="8"/>
      <c r="I2" s="8"/>
    </row>
    <row r="3" spans="1:9" ht="10" customHeight="1" outlineLevel="1" x14ac:dyDescent="0.15">
      <c r="B3" s="18" t="s">
        <v>159</v>
      </c>
    </row>
    <row r="4" spans="1:9" ht="10" customHeight="1" outlineLevel="1" x14ac:dyDescent="0.15"/>
    <row r="5" spans="1:9" ht="10" customHeight="1" outlineLevel="1" x14ac:dyDescent="0.15"/>
    <row r="6" spans="1:9" ht="10" customHeight="1" outlineLevel="1" x14ac:dyDescent="0.15">
      <c r="A6" t="s">
        <v>0</v>
      </c>
      <c r="B6" s="9" t="s">
        <v>160</v>
      </c>
      <c r="C6" s="9"/>
      <c r="D6" s="9"/>
      <c r="E6" s="9"/>
      <c r="F6" s="9"/>
      <c r="G6" s="9"/>
      <c r="H6" s="9"/>
      <c r="I6" s="9"/>
    </row>
    <row r="7" spans="1:9" ht="10" customHeight="1" outlineLevel="2" x14ac:dyDescent="0.15"/>
    <row r="8" spans="1:9" ht="10" customHeight="1" outlineLevel="2" x14ac:dyDescent="0.15">
      <c r="B8" s="2" t="s">
        <v>104</v>
      </c>
      <c r="C8" s="15" t="s">
        <v>14</v>
      </c>
      <c r="D8" s="15" t="s">
        <v>15</v>
      </c>
      <c r="E8" s="15" t="s">
        <v>16</v>
      </c>
      <c r="F8" s="15" t="s">
        <v>17</v>
      </c>
      <c r="G8" s="15" t="s">
        <v>113</v>
      </c>
      <c r="H8" s="15" t="s">
        <v>114</v>
      </c>
      <c r="I8" s="15" t="s">
        <v>24</v>
      </c>
    </row>
    <row r="9" spans="1:9" ht="10" customHeight="1" outlineLevel="2" x14ac:dyDescent="0.15">
      <c r="B9" s="1" t="s">
        <v>161</v>
      </c>
      <c r="C9" s="4">
        <f>'SCN Budget'!C50</f>
        <v>5234.1113000000005</v>
      </c>
      <c r="D9" s="4">
        <f>'SCN Budget'!D50</f>
        <v>5452.1293600000008</v>
      </c>
      <c r="E9" s="4">
        <f>'SCN Budget'!E50</f>
        <v>9433.5924800000012</v>
      </c>
      <c r="F9" s="4">
        <f>'SCN Budget'!F50</f>
        <v>5433.0748800000001</v>
      </c>
      <c r="G9" s="4">
        <f>'SCN Budget'!G50</f>
        <v>3136.7919999999999</v>
      </c>
      <c r="H9" s="4">
        <f>'SCN Budget'!H50</f>
        <v>8711.523799999999</v>
      </c>
      <c r="I9" s="4">
        <f>SUM(C9:H9)</f>
        <v>37401.223819999999</v>
      </c>
    </row>
    <row r="10" spans="1:9" ht="10" customHeight="1" outlineLevel="2" x14ac:dyDescent="0.15">
      <c r="B10" s="1" t="s">
        <v>162</v>
      </c>
      <c r="C10" s="4">
        <f>'SCN Budget'!C87</f>
        <v>0</v>
      </c>
      <c r="D10" s="4">
        <f>'SCN Budget'!D87</f>
        <v>0</v>
      </c>
      <c r="E10" s="4">
        <f>'SCN Budget'!E87</f>
        <v>6610.3304800000005</v>
      </c>
      <c r="F10" s="4">
        <f>'SCN Budget'!F87</f>
        <v>0</v>
      </c>
      <c r="G10" s="4">
        <f>'SCN Budget'!G87</f>
        <v>7159.768</v>
      </c>
      <c r="H10" s="4">
        <f>'SCN Budget'!H87</f>
        <v>6716.65834</v>
      </c>
      <c r="I10" s="4">
        <f>SUM(C10:H10)</f>
        <v>20486.756820000002</v>
      </c>
    </row>
    <row r="11" spans="1:9" ht="10" customHeight="1" outlineLevel="2" x14ac:dyDescent="0.15">
      <c r="B11" s="1" t="s">
        <v>163</v>
      </c>
      <c r="C11" s="4">
        <f>'SCN Budget'!C120</f>
        <v>2155.989</v>
      </c>
      <c r="D11" s="4">
        <f>'SCN Budget'!D120</f>
        <v>4877.23441</v>
      </c>
      <c r="E11" s="4">
        <f>'SCN Budget'!E120</f>
        <v>3455.3563200000003</v>
      </c>
      <c r="F11" s="4">
        <f>'SCN Budget'!F120</f>
        <v>4720.7772599999998</v>
      </c>
      <c r="G11" s="4">
        <f>'SCN Budget'!G120</f>
        <v>282.60399999999998</v>
      </c>
      <c r="H11" s="4">
        <f>'SCN Budget'!H120</f>
        <v>2665.1639</v>
      </c>
      <c r="I11" s="4">
        <f>SUM(C11:H11)</f>
        <v>18157.124889999999</v>
      </c>
    </row>
    <row r="12" spans="1:9" ht="10" customHeight="1" outlineLevel="2" x14ac:dyDescent="0.15">
      <c r="B12" s="3" t="s">
        <v>164</v>
      </c>
      <c r="C12" s="13">
        <f>N('SCN Budget'!C50)+N('SCN Budget'!C87)+N('SCN Budget'!C120)</f>
        <v>7390.1003000000001</v>
      </c>
      <c r="D12" s="13">
        <f>N('SCN Budget'!D50)+N('SCN Budget'!D87)+N('SCN Budget'!D120)</f>
        <v>10329.36377</v>
      </c>
      <c r="E12" s="13">
        <f>N('SCN Budget'!E50)+N('SCN Budget'!E87)+N('SCN Budget'!E120)</f>
        <v>19499.279280000002</v>
      </c>
      <c r="F12" s="13">
        <f>N('SCN Budget'!F50)+N('SCN Budget'!F87)+N('SCN Budget'!F120)</f>
        <v>10153.852139999999</v>
      </c>
      <c r="G12" s="13">
        <f>N('SCN Budget'!G50)+N('SCN Budget'!G87)+N('SCN Budget'!G120)</f>
        <v>10579.163999999999</v>
      </c>
      <c r="H12" s="13">
        <f>N('SCN Budget'!H50)+N('SCN Budget'!H87)+N('SCN Budget'!H120)</f>
        <v>18093.34604</v>
      </c>
      <c r="I12" s="13">
        <f>SUM(C12:H12)</f>
        <v>76045.105530000001</v>
      </c>
    </row>
    <row r="13" spans="1:9" ht="10" customHeight="1" outlineLevel="2" x14ac:dyDescent="0.15">
      <c r="B13" s="1" t="s">
        <v>165</v>
      </c>
      <c r="C13" s="19">
        <f>Deflators!D9</f>
        <v>1.1000000000000001</v>
      </c>
      <c r="D13" s="19">
        <f>Deflators!D10</f>
        <v>1.07</v>
      </c>
      <c r="E13" s="19">
        <f>Deflators!D11</f>
        <v>1.04</v>
      </c>
      <c r="F13" s="19">
        <f>Deflators!D12</f>
        <v>1.02</v>
      </c>
      <c r="G13" s="19">
        <f>Deflators!D13</f>
        <v>1</v>
      </c>
      <c r="H13" s="19">
        <f>Deflators!D14</f>
        <v>0.98</v>
      </c>
    </row>
    <row r="14" spans="1:9" ht="10" customHeight="1" outlineLevel="2" x14ac:dyDescent="0.15"/>
    <row r="15" spans="1:9" ht="10" customHeight="1" outlineLevel="2" x14ac:dyDescent="0.15"/>
    <row r="16" spans="1:9" ht="10" customHeight="1" outlineLevel="1" x14ac:dyDescent="0.15">
      <c r="A16" t="s">
        <v>0</v>
      </c>
      <c r="B16" s="9" t="s">
        <v>166</v>
      </c>
      <c r="C16" s="9"/>
      <c r="D16" s="9"/>
      <c r="E16" s="9"/>
      <c r="F16" s="9"/>
      <c r="G16" s="9"/>
      <c r="H16" s="9"/>
      <c r="I16" s="9"/>
    </row>
    <row r="17" spans="1:9" ht="10" customHeight="1" outlineLevel="2" x14ac:dyDescent="0.15"/>
    <row r="18" spans="1:9" ht="10" customHeight="1" outlineLevel="2" x14ac:dyDescent="0.15">
      <c r="B18" s="2" t="s">
        <v>112</v>
      </c>
      <c r="C18" s="15" t="s">
        <v>14</v>
      </c>
      <c r="D18" s="15" t="s">
        <v>15</v>
      </c>
      <c r="E18" s="15" t="s">
        <v>16</v>
      </c>
      <c r="F18" s="15" t="s">
        <v>17</v>
      </c>
      <c r="G18" s="15" t="s">
        <v>113</v>
      </c>
      <c r="H18" s="15" t="s">
        <v>114</v>
      </c>
    </row>
    <row r="19" spans="1:9" ht="10" customHeight="1" outlineLevel="2" x14ac:dyDescent="0.15">
      <c r="B19" s="1" t="s">
        <v>167</v>
      </c>
      <c r="C19" s="5">
        <v>6915.7569999999996</v>
      </c>
      <c r="D19" s="5">
        <v>7250.5789999999997</v>
      </c>
      <c r="E19" s="5">
        <v>11377.643</v>
      </c>
      <c r="F19" s="5">
        <v>9500.5339999999997</v>
      </c>
      <c r="G19" s="5">
        <v>5389.1090000000004</v>
      </c>
      <c r="H19" s="5">
        <v>11437.036</v>
      </c>
    </row>
    <row r="20" spans="1:9" ht="10" customHeight="1" outlineLevel="2" x14ac:dyDescent="0.15">
      <c r="B20" s="1" t="s">
        <v>168</v>
      </c>
      <c r="C20" s="5">
        <v>252.399</v>
      </c>
      <c r="D20" s="5">
        <v>192.16900000000001</v>
      </c>
      <c r="E20" s="5">
        <v>207.166</v>
      </c>
      <c r="F20" s="5">
        <v>2595.8159999999998</v>
      </c>
      <c r="G20" s="5">
        <v>219.60300000000001</v>
      </c>
      <c r="H20" s="5">
        <v>223.44300000000001</v>
      </c>
    </row>
    <row r="21" spans="1:9" ht="10" customHeight="1" outlineLevel="2" x14ac:dyDescent="0.15">
      <c r="B21" s="1" t="s">
        <v>169</v>
      </c>
      <c r="C21" s="5">
        <v>1046.83</v>
      </c>
      <c r="D21" s="5">
        <v>1083.115</v>
      </c>
      <c r="E21" s="5">
        <v>1121.47</v>
      </c>
      <c r="F21" s="5">
        <v>1004.95</v>
      </c>
      <c r="G21" s="5">
        <v>1035.07</v>
      </c>
      <c r="H21" s="5">
        <v>1273.0899999999999</v>
      </c>
    </row>
    <row r="22" spans="1:9" ht="10" customHeight="1" outlineLevel="2" x14ac:dyDescent="0.15">
      <c r="B22" s="1" t="s">
        <v>170</v>
      </c>
      <c r="C22" s="5">
        <v>540.53599999999994</v>
      </c>
      <c r="D22" s="5">
        <v>551.346</v>
      </c>
      <c r="E22" s="5">
        <v>562.37199999999996</v>
      </c>
      <c r="F22" s="5">
        <v>313.26400000000001</v>
      </c>
      <c r="G22" s="5">
        <v>598.51499999999999</v>
      </c>
      <c r="H22" s="5">
        <v>624.89800000000002</v>
      </c>
    </row>
    <row r="23" spans="1:9" ht="10" customHeight="1" outlineLevel="2" x14ac:dyDescent="0.15">
      <c r="B23" s="1" t="s">
        <v>171</v>
      </c>
      <c r="C23" s="5">
        <v>139.29300000000001</v>
      </c>
      <c r="D23" s="5">
        <v>141.566</v>
      </c>
      <c r="E23" s="5">
        <v>144.18899999999999</v>
      </c>
      <c r="F23" s="5">
        <v>98.936999999999998</v>
      </c>
      <c r="G23" s="5">
        <v>150.01499999999999</v>
      </c>
      <c r="H23" s="5">
        <v>153.01599999999999</v>
      </c>
    </row>
    <row r="24" spans="1:9" ht="10" customHeight="1" outlineLevel="2" x14ac:dyDescent="0.15">
      <c r="B24" s="1" t="s">
        <v>172</v>
      </c>
      <c r="C24" s="5"/>
      <c r="D24" s="5"/>
      <c r="E24" s="5"/>
      <c r="F24" s="5"/>
      <c r="G24" s="5"/>
      <c r="H24" s="5"/>
    </row>
    <row r="25" spans="1:9" ht="10" customHeight="1" outlineLevel="2" x14ac:dyDescent="0.15">
      <c r="B25" s="1" t="s">
        <v>173</v>
      </c>
      <c r="C25" s="5">
        <v>67.805999999999997</v>
      </c>
      <c r="D25" s="5">
        <v>69.162000000000006</v>
      </c>
      <c r="E25" s="5">
        <v>70.546000000000006</v>
      </c>
      <c r="F25" s="5">
        <v>35.978000000000002</v>
      </c>
      <c r="G25" s="5">
        <v>73.394999999999996</v>
      </c>
      <c r="H25" s="5">
        <v>74.863</v>
      </c>
    </row>
    <row r="26" spans="1:9" ht="10" customHeight="1" outlineLevel="2" x14ac:dyDescent="0.15">
      <c r="B26" s="1" t="s">
        <v>174</v>
      </c>
      <c r="C26" s="5">
        <v>15.398</v>
      </c>
      <c r="D26" s="5">
        <v>15.706</v>
      </c>
      <c r="E26" s="5">
        <v>16.02</v>
      </c>
      <c r="F26" s="5">
        <v>16.34</v>
      </c>
      <c r="G26" s="5">
        <v>16.667000000000002</v>
      </c>
      <c r="H26" s="5">
        <v>17.001000000000001</v>
      </c>
    </row>
    <row r="27" spans="1:9" ht="10" customHeight="1" outlineLevel="2" x14ac:dyDescent="0.15">
      <c r="B27" s="1" t="s">
        <v>175</v>
      </c>
      <c r="C27" s="5">
        <v>1587.366</v>
      </c>
      <c r="D27" s="5">
        <v>1634.461</v>
      </c>
      <c r="E27" s="5">
        <v>1683.8420000000001</v>
      </c>
      <c r="F27" s="5">
        <v>1318.2139999999999</v>
      </c>
      <c r="G27" s="5">
        <v>1633.585</v>
      </c>
      <c r="H27" s="5">
        <v>1897.9880000000001</v>
      </c>
    </row>
    <row r="28" spans="1:9" ht="10" customHeight="1" outlineLevel="2" x14ac:dyDescent="0.15">
      <c r="B28" s="1" t="s">
        <v>176</v>
      </c>
      <c r="C28" s="5">
        <v>95.212000000000003</v>
      </c>
      <c r="D28" s="5">
        <v>102.06699999999999</v>
      </c>
      <c r="E28" s="5">
        <v>185.11799999999999</v>
      </c>
      <c r="F28" s="5">
        <v>108.705</v>
      </c>
      <c r="G28" s="5">
        <v>159.05199999999999</v>
      </c>
      <c r="H28" s="5">
        <v>181.41499999999999</v>
      </c>
    </row>
    <row r="29" spans="1:9" ht="10" customHeight="1" outlineLevel="2" x14ac:dyDescent="0.15">
      <c r="B29" s="1" t="s">
        <v>177</v>
      </c>
      <c r="C29" s="5">
        <v>4758.2830000000004</v>
      </c>
      <c r="D29" s="5">
        <v>5095.4480000000003</v>
      </c>
      <c r="E29" s="5">
        <v>9070.7620000000006</v>
      </c>
      <c r="F29" s="5">
        <v>5326.5439999999999</v>
      </c>
      <c r="G29" s="5">
        <v>3136.7919999999999</v>
      </c>
      <c r="H29" s="5">
        <v>8889.31</v>
      </c>
    </row>
    <row r="30" spans="1:9" ht="10" customHeight="1" outlineLevel="2" x14ac:dyDescent="0.15"/>
    <row r="31" spans="1:9" ht="10" customHeight="1" outlineLevel="2" x14ac:dyDescent="0.15">
      <c r="A31" t="s">
        <v>0</v>
      </c>
      <c r="B31" s="10" t="s">
        <v>178</v>
      </c>
      <c r="C31" s="10"/>
      <c r="D31" s="10"/>
      <c r="E31" s="10"/>
      <c r="F31" s="10"/>
      <c r="G31" s="10"/>
      <c r="H31" s="10"/>
      <c r="I31" s="10"/>
    </row>
    <row r="32" spans="1:9" ht="10" customHeight="1" outlineLevel="3" x14ac:dyDescent="0.15"/>
    <row r="33" spans="1:9" ht="10" customHeight="1" outlineLevel="3" x14ac:dyDescent="0.15">
      <c r="B33" s="2" t="s">
        <v>179</v>
      </c>
      <c r="C33" s="15" t="s">
        <v>14</v>
      </c>
      <c r="D33" s="15" t="s">
        <v>15</v>
      </c>
      <c r="E33" s="15" t="s">
        <v>16</v>
      </c>
      <c r="F33" s="15" t="s">
        <v>17</v>
      </c>
      <c r="G33" s="15" t="s">
        <v>113</v>
      </c>
      <c r="H33" s="15" t="s">
        <v>114</v>
      </c>
    </row>
    <row r="34" spans="1:9" ht="10" customHeight="1" outlineLevel="3" x14ac:dyDescent="0.15">
      <c r="B34" s="1" t="s">
        <v>180</v>
      </c>
      <c r="C34" s="6">
        <f t="shared" ref="C34:H34" si="0">IF(C19=0,"",C29/C19)</f>
        <v>0.68803501915986931</v>
      </c>
      <c r="D34" s="6">
        <f t="shared" si="0"/>
        <v>0.70276428958294235</v>
      </c>
      <c r="E34" s="6">
        <f t="shared" si="0"/>
        <v>0.79724438532655673</v>
      </c>
      <c r="F34" s="6">
        <f t="shared" si="0"/>
        <v>0.56065732726181494</v>
      </c>
      <c r="G34" s="6">
        <f t="shared" si="0"/>
        <v>0.58206133889665246</v>
      </c>
      <c r="H34" s="6">
        <f t="shared" si="0"/>
        <v>0.77723896296208206</v>
      </c>
    </row>
    <row r="35" spans="1:9" ht="10" customHeight="1" outlineLevel="3" x14ac:dyDescent="0.15">
      <c r="B35" s="1" t="s">
        <v>181</v>
      </c>
      <c r="C35" s="6">
        <f t="shared" ref="C35:H35" si="1">IF(C19=0,"",C27/C19)</f>
        <v>0.22952888599180105</v>
      </c>
      <c r="D35" s="6">
        <f t="shared" si="1"/>
        <v>0.22542489365332066</v>
      </c>
      <c r="E35" s="6">
        <f t="shared" si="1"/>
        <v>0.14799567889412596</v>
      </c>
      <c r="F35" s="6">
        <f t="shared" si="1"/>
        <v>0.13875156912232511</v>
      </c>
      <c r="G35" s="6">
        <f t="shared" si="1"/>
        <v>0.3031271032001765</v>
      </c>
      <c r="H35" s="6">
        <f t="shared" si="1"/>
        <v>0.16595103836343614</v>
      </c>
    </row>
    <row r="36" spans="1:9" ht="10" customHeight="1" outlineLevel="3" x14ac:dyDescent="0.15"/>
    <row r="37" spans="1:9" ht="10" customHeight="1" outlineLevel="2" x14ac:dyDescent="0.15">
      <c r="A37" t="s">
        <v>0</v>
      </c>
      <c r="B37" s="10" t="s">
        <v>182</v>
      </c>
      <c r="C37" s="10"/>
      <c r="D37" s="10"/>
      <c r="E37" s="10"/>
      <c r="F37" s="10"/>
      <c r="G37" s="10"/>
      <c r="H37" s="10"/>
      <c r="I37" s="10"/>
    </row>
    <row r="38" spans="1:9" ht="10" customHeight="1" outlineLevel="3" x14ac:dyDescent="0.15"/>
    <row r="39" spans="1:9" ht="10" customHeight="1" outlineLevel="3" x14ac:dyDescent="0.15">
      <c r="B39" s="2" t="s">
        <v>112</v>
      </c>
      <c r="C39" s="15" t="s">
        <v>14</v>
      </c>
      <c r="D39" s="15" t="s">
        <v>15</v>
      </c>
      <c r="E39" s="15" t="s">
        <v>16</v>
      </c>
      <c r="F39" s="15" t="s">
        <v>17</v>
      </c>
      <c r="G39" s="15" t="s">
        <v>113</v>
      </c>
      <c r="H39" s="15" t="s">
        <v>114</v>
      </c>
    </row>
    <row r="40" spans="1:9" ht="10" customHeight="1" outlineLevel="3" x14ac:dyDescent="0.15">
      <c r="B40" s="1" t="s">
        <v>167</v>
      </c>
      <c r="C40" s="4">
        <f t="shared" ref="C40:H50" si="2">C19*C$13</f>
        <v>7607.3326999999999</v>
      </c>
      <c r="D40" s="4">
        <f t="shared" si="2"/>
        <v>7758.1195299999999</v>
      </c>
      <c r="E40" s="4">
        <f t="shared" si="2"/>
        <v>11832.74872</v>
      </c>
      <c r="F40" s="4">
        <f t="shared" si="2"/>
        <v>9690.5446799999991</v>
      </c>
      <c r="G40" s="4">
        <f t="shared" si="2"/>
        <v>5389.1090000000004</v>
      </c>
      <c r="H40" s="4">
        <f t="shared" si="2"/>
        <v>11208.29528</v>
      </c>
    </row>
    <row r="41" spans="1:9" ht="10" customHeight="1" outlineLevel="3" x14ac:dyDescent="0.15">
      <c r="B41" s="1" t="s">
        <v>168</v>
      </c>
      <c r="C41" s="4">
        <f t="shared" si="2"/>
        <v>277.63890000000004</v>
      </c>
      <c r="D41" s="4">
        <f t="shared" si="2"/>
        <v>205.62083000000001</v>
      </c>
      <c r="E41" s="4">
        <f t="shared" si="2"/>
        <v>215.45264</v>
      </c>
      <c r="F41" s="4">
        <f t="shared" si="2"/>
        <v>2647.7323200000001</v>
      </c>
      <c r="G41" s="4">
        <f t="shared" si="2"/>
        <v>219.60300000000001</v>
      </c>
      <c r="H41" s="4">
        <f t="shared" si="2"/>
        <v>218.97414000000001</v>
      </c>
    </row>
    <row r="42" spans="1:9" ht="10" customHeight="1" outlineLevel="3" x14ac:dyDescent="0.15">
      <c r="B42" s="1" t="s">
        <v>169</v>
      </c>
      <c r="C42" s="4">
        <f t="shared" si="2"/>
        <v>1151.5129999999999</v>
      </c>
      <c r="D42" s="4">
        <f t="shared" si="2"/>
        <v>1158.9330500000001</v>
      </c>
      <c r="E42" s="4">
        <f t="shared" si="2"/>
        <v>1166.3288</v>
      </c>
      <c r="F42" s="4">
        <f t="shared" si="2"/>
        <v>1025.049</v>
      </c>
      <c r="G42" s="4">
        <f t="shared" si="2"/>
        <v>1035.07</v>
      </c>
      <c r="H42" s="4">
        <f t="shared" si="2"/>
        <v>1247.6281999999999</v>
      </c>
    </row>
    <row r="43" spans="1:9" ht="10" customHeight="1" outlineLevel="3" x14ac:dyDescent="0.15">
      <c r="B43" s="1" t="s">
        <v>170</v>
      </c>
      <c r="C43" s="4">
        <f t="shared" si="2"/>
        <v>594.58960000000002</v>
      </c>
      <c r="D43" s="4">
        <f t="shared" si="2"/>
        <v>589.94022000000007</v>
      </c>
      <c r="E43" s="4">
        <f t="shared" si="2"/>
        <v>584.86687999999992</v>
      </c>
      <c r="F43" s="4">
        <f t="shared" si="2"/>
        <v>319.52928000000003</v>
      </c>
      <c r="G43" s="4">
        <f t="shared" si="2"/>
        <v>598.51499999999999</v>
      </c>
      <c r="H43" s="4">
        <f t="shared" si="2"/>
        <v>612.40003999999999</v>
      </c>
    </row>
    <row r="44" spans="1:9" ht="10" customHeight="1" outlineLevel="3" x14ac:dyDescent="0.15">
      <c r="B44" s="1" t="s">
        <v>171</v>
      </c>
      <c r="C44" s="4">
        <f t="shared" si="2"/>
        <v>153.22230000000002</v>
      </c>
      <c r="D44" s="4">
        <f t="shared" si="2"/>
        <v>151.47562000000002</v>
      </c>
      <c r="E44" s="4">
        <f t="shared" si="2"/>
        <v>149.95656</v>
      </c>
      <c r="F44" s="4">
        <f t="shared" si="2"/>
        <v>100.91574</v>
      </c>
      <c r="G44" s="4">
        <f t="shared" si="2"/>
        <v>150.01499999999999</v>
      </c>
      <c r="H44" s="4">
        <f t="shared" si="2"/>
        <v>149.95568</v>
      </c>
    </row>
    <row r="45" spans="1:9" ht="10" customHeight="1" outlineLevel="3" x14ac:dyDescent="0.15">
      <c r="B45" s="1" t="s">
        <v>172</v>
      </c>
      <c r="C45" s="4">
        <f t="shared" si="2"/>
        <v>0</v>
      </c>
      <c r="D45" s="4">
        <f t="shared" si="2"/>
        <v>0</v>
      </c>
      <c r="E45" s="4">
        <f t="shared" si="2"/>
        <v>0</v>
      </c>
      <c r="F45" s="4">
        <f t="shared" si="2"/>
        <v>0</v>
      </c>
      <c r="G45" s="4">
        <f t="shared" si="2"/>
        <v>0</v>
      </c>
      <c r="H45" s="4">
        <f t="shared" si="2"/>
        <v>0</v>
      </c>
    </row>
    <row r="46" spans="1:9" ht="10" customHeight="1" outlineLevel="3" x14ac:dyDescent="0.15">
      <c r="B46" s="1" t="s">
        <v>173</v>
      </c>
      <c r="C46" s="4">
        <f t="shared" si="2"/>
        <v>74.586600000000004</v>
      </c>
      <c r="D46" s="4">
        <f t="shared" si="2"/>
        <v>74.003340000000009</v>
      </c>
      <c r="E46" s="4">
        <f t="shared" si="2"/>
        <v>73.367840000000015</v>
      </c>
      <c r="F46" s="4">
        <f t="shared" si="2"/>
        <v>36.697560000000003</v>
      </c>
      <c r="G46" s="4">
        <f t="shared" si="2"/>
        <v>73.394999999999996</v>
      </c>
      <c r="H46" s="4">
        <f t="shared" si="2"/>
        <v>73.365740000000002</v>
      </c>
    </row>
    <row r="47" spans="1:9" ht="10" customHeight="1" outlineLevel="3" x14ac:dyDescent="0.15">
      <c r="B47" s="1" t="s">
        <v>174</v>
      </c>
      <c r="C47" s="4">
        <f t="shared" si="2"/>
        <v>16.937799999999999</v>
      </c>
      <c r="D47" s="4">
        <f t="shared" si="2"/>
        <v>16.805420000000002</v>
      </c>
      <c r="E47" s="4">
        <f t="shared" si="2"/>
        <v>16.660800000000002</v>
      </c>
      <c r="F47" s="4">
        <f t="shared" si="2"/>
        <v>16.666799999999999</v>
      </c>
      <c r="G47" s="4">
        <f t="shared" si="2"/>
        <v>16.667000000000002</v>
      </c>
      <c r="H47" s="4">
        <f t="shared" si="2"/>
        <v>16.660980000000002</v>
      </c>
    </row>
    <row r="48" spans="1:9" ht="10" customHeight="1" outlineLevel="3" x14ac:dyDescent="0.15">
      <c r="B48" s="1" t="s">
        <v>175</v>
      </c>
      <c r="C48" s="4">
        <f t="shared" si="2"/>
        <v>1746.1026000000002</v>
      </c>
      <c r="D48" s="4">
        <f t="shared" si="2"/>
        <v>1748.87327</v>
      </c>
      <c r="E48" s="4">
        <f t="shared" si="2"/>
        <v>1751.1956800000003</v>
      </c>
      <c r="F48" s="4">
        <f t="shared" si="2"/>
        <v>1344.5782799999999</v>
      </c>
      <c r="G48" s="4">
        <f t="shared" si="2"/>
        <v>1633.585</v>
      </c>
      <c r="H48" s="4">
        <f t="shared" si="2"/>
        <v>1860.0282400000001</v>
      </c>
    </row>
    <row r="49" spans="1:9" ht="10" customHeight="1" outlineLevel="3" x14ac:dyDescent="0.15">
      <c r="B49" s="1" t="s">
        <v>176</v>
      </c>
      <c r="C49" s="4">
        <f t="shared" si="2"/>
        <v>104.73320000000001</v>
      </c>
      <c r="D49" s="4">
        <f t="shared" si="2"/>
        <v>109.21169</v>
      </c>
      <c r="E49" s="4">
        <f t="shared" si="2"/>
        <v>192.52271999999999</v>
      </c>
      <c r="F49" s="4">
        <f t="shared" si="2"/>
        <v>110.87909999999999</v>
      </c>
      <c r="G49" s="4">
        <f t="shared" si="2"/>
        <v>159.05199999999999</v>
      </c>
      <c r="H49" s="4">
        <f t="shared" si="2"/>
        <v>177.7867</v>
      </c>
    </row>
    <row r="50" spans="1:9" ht="10" customHeight="1" outlineLevel="3" x14ac:dyDescent="0.15">
      <c r="B50" s="1" t="s">
        <v>177</v>
      </c>
      <c r="C50" s="4">
        <f t="shared" si="2"/>
        <v>5234.1113000000005</v>
      </c>
      <c r="D50" s="4">
        <f t="shared" si="2"/>
        <v>5452.1293600000008</v>
      </c>
      <c r="E50" s="4">
        <f t="shared" si="2"/>
        <v>9433.5924800000012</v>
      </c>
      <c r="F50" s="4">
        <f t="shared" si="2"/>
        <v>5433.0748800000001</v>
      </c>
      <c r="G50" s="4">
        <f t="shared" si="2"/>
        <v>3136.7919999999999</v>
      </c>
      <c r="H50" s="4">
        <f t="shared" si="2"/>
        <v>8711.523799999999</v>
      </c>
    </row>
    <row r="51" spans="1:9" ht="10" customHeight="1" outlineLevel="3" x14ac:dyDescent="0.15"/>
    <row r="52" spans="1:9" ht="10" customHeight="1" outlineLevel="3" x14ac:dyDescent="0.15"/>
    <row r="53" spans="1:9" ht="10" customHeight="1" outlineLevel="1" x14ac:dyDescent="0.15">
      <c r="A53" t="s">
        <v>0</v>
      </c>
      <c r="B53" s="9" t="s">
        <v>183</v>
      </c>
      <c r="C53" s="9"/>
      <c r="D53" s="9"/>
      <c r="E53" s="9"/>
      <c r="F53" s="9"/>
      <c r="G53" s="9"/>
      <c r="H53" s="9"/>
      <c r="I53" s="9"/>
    </row>
    <row r="54" spans="1:9" ht="10" customHeight="1" outlineLevel="2" x14ac:dyDescent="0.15"/>
    <row r="55" spans="1:9" ht="10" customHeight="1" outlineLevel="2" x14ac:dyDescent="0.15">
      <c r="B55" s="2" t="s">
        <v>112</v>
      </c>
      <c r="C55" s="15" t="s">
        <v>14</v>
      </c>
      <c r="D55" s="15" t="s">
        <v>15</v>
      </c>
      <c r="E55" s="15" t="s">
        <v>16</v>
      </c>
      <c r="F55" s="15" t="s">
        <v>17</v>
      </c>
      <c r="G55" s="15" t="s">
        <v>113</v>
      </c>
      <c r="H55" s="15" t="s">
        <v>114</v>
      </c>
    </row>
    <row r="56" spans="1:9" ht="10" customHeight="1" outlineLevel="2" x14ac:dyDescent="0.15">
      <c r="B56" s="1" t="s">
        <v>167</v>
      </c>
      <c r="C56" s="5"/>
      <c r="D56" s="5"/>
      <c r="E56" s="5">
        <v>10688.811</v>
      </c>
      <c r="F56" s="5"/>
      <c r="G56" s="5">
        <v>10744.316999999999</v>
      </c>
      <c r="H56" s="5">
        <v>10486.369000000001</v>
      </c>
    </row>
    <row r="57" spans="1:9" ht="10" customHeight="1" outlineLevel="2" x14ac:dyDescent="0.15">
      <c r="B57" s="1" t="s">
        <v>168</v>
      </c>
      <c r="C57" s="5"/>
      <c r="D57" s="5"/>
      <c r="E57" s="5">
        <v>1443.3</v>
      </c>
      <c r="F57" s="5"/>
      <c r="G57" s="5">
        <v>1095.7729999999999</v>
      </c>
      <c r="H57" s="5">
        <v>861.52700000000004</v>
      </c>
    </row>
    <row r="58" spans="1:9" ht="10" customHeight="1" outlineLevel="2" x14ac:dyDescent="0.15">
      <c r="B58" s="1" t="s">
        <v>169</v>
      </c>
      <c r="C58" s="5"/>
      <c r="D58" s="5"/>
      <c r="E58" s="5">
        <v>1613.999</v>
      </c>
      <c r="F58" s="5"/>
      <c r="G58" s="5">
        <v>1294.8779999999999</v>
      </c>
      <c r="H58" s="5">
        <v>1541.973</v>
      </c>
    </row>
    <row r="59" spans="1:9" ht="10" customHeight="1" outlineLevel="2" x14ac:dyDescent="0.15">
      <c r="B59" s="1" t="s">
        <v>170</v>
      </c>
      <c r="C59" s="5"/>
      <c r="D59" s="5"/>
      <c r="E59" s="5">
        <v>349.70100000000002</v>
      </c>
      <c r="F59" s="5"/>
      <c r="G59" s="5">
        <v>361.28300000000002</v>
      </c>
      <c r="H59" s="5">
        <v>367.63400000000001</v>
      </c>
    </row>
    <row r="60" spans="1:9" ht="10" customHeight="1" outlineLevel="2" x14ac:dyDescent="0.15">
      <c r="B60" s="1" t="s">
        <v>171</v>
      </c>
      <c r="C60" s="5"/>
      <c r="D60" s="5"/>
      <c r="E60" s="5">
        <v>119.107</v>
      </c>
      <c r="F60" s="5"/>
      <c r="G60" s="5">
        <v>102.496</v>
      </c>
      <c r="H60" s="5">
        <v>101.71</v>
      </c>
    </row>
    <row r="61" spans="1:9" ht="10" customHeight="1" outlineLevel="2" x14ac:dyDescent="0.15">
      <c r="B61" s="1" t="s">
        <v>172</v>
      </c>
      <c r="C61" s="5"/>
      <c r="D61" s="5"/>
      <c r="E61" s="5">
        <v>596.75699999999995</v>
      </c>
      <c r="F61" s="5"/>
      <c r="G61" s="5">
        <v>468.84</v>
      </c>
      <c r="H61" s="5">
        <v>512.58500000000004</v>
      </c>
    </row>
    <row r="62" spans="1:9" ht="10" customHeight="1" outlineLevel="2" x14ac:dyDescent="0.15">
      <c r="B62" s="1" t="s">
        <v>173</v>
      </c>
      <c r="C62" s="5"/>
      <c r="D62" s="5"/>
      <c r="E62" s="5">
        <v>66.617999999999995</v>
      </c>
      <c r="F62" s="5"/>
      <c r="G62" s="5">
        <v>43.887</v>
      </c>
      <c r="H62" s="5">
        <v>40.078000000000003</v>
      </c>
    </row>
    <row r="63" spans="1:9" ht="10" customHeight="1" outlineLevel="2" x14ac:dyDescent="0.15">
      <c r="B63" s="1" t="s">
        <v>174</v>
      </c>
      <c r="C63" s="5"/>
      <c r="D63" s="5"/>
      <c r="E63" s="5"/>
      <c r="F63" s="5"/>
      <c r="G63" s="5"/>
      <c r="H63" s="5"/>
    </row>
    <row r="64" spans="1:9" ht="10" customHeight="1" outlineLevel="2" x14ac:dyDescent="0.15">
      <c r="B64" s="1" t="s">
        <v>175</v>
      </c>
      <c r="C64" s="5"/>
      <c r="D64" s="5"/>
      <c r="E64" s="5">
        <v>2560.4569999999999</v>
      </c>
      <c r="F64" s="5"/>
      <c r="G64" s="5">
        <v>2125.0010000000002</v>
      </c>
      <c r="H64" s="5">
        <v>2422.192</v>
      </c>
    </row>
    <row r="65" spans="1:9" ht="10" customHeight="1" outlineLevel="2" x14ac:dyDescent="0.15">
      <c r="B65" s="1" t="s">
        <v>176</v>
      </c>
      <c r="C65" s="5"/>
      <c r="D65" s="5"/>
      <c r="E65" s="5">
        <v>143.24199999999999</v>
      </c>
      <c r="F65" s="5"/>
      <c r="G65" s="5">
        <v>217.392</v>
      </c>
      <c r="H65" s="5">
        <v>207.12899999999999</v>
      </c>
    </row>
    <row r="66" spans="1:9" ht="10" customHeight="1" outlineLevel="2" x14ac:dyDescent="0.15">
      <c r="B66" s="1" t="s">
        <v>177</v>
      </c>
      <c r="C66" s="5"/>
      <c r="D66" s="5"/>
      <c r="E66" s="5">
        <v>6356.0870000000004</v>
      </c>
      <c r="F66" s="5"/>
      <c r="G66" s="5">
        <v>7159.768</v>
      </c>
      <c r="H66" s="5">
        <v>6853.7330000000002</v>
      </c>
    </row>
    <row r="67" spans="1:9" ht="10" customHeight="1" outlineLevel="2" x14ac:dyDescent="0.15"/>
    <row r="68" spans="1:9" ht="11" outlineLevel="2" x14ac:dyDescent="0.15">
      <c r="A68" t="s">
        <v>0</v>
      </c>
      <c r="B68" s="10" t="s">
        <v>184</v>
      </c>
      <c r="C68" s="10"/>
      <c r="D68" s="10"/>
      <c r="E68" s="10"/>
      <c r="F68" s="10"/>
      <c r="G68" s="10"/>
      <c r="H68" s="10"/>
      <c r="I68" s="10"/>
    </row>
    <row r="69" spans="1:9" ht="11" outlineLevel="3" x14ac:dyDescent="0.15"/>
    <row r="70" spans="1:9" ht="11" outlineLevel="3" x14ac:dyDescent="0.15">
      <c r="B70" s="2" t="s">
        <v>179</v>
      </c>
      <c r="C70" s="15" t="s">
        <v>14</v>
      </c>
      <c r="D70" s="15" t="s">
        <v>15</v>
      </c>
      <c r="E70" s="15" t="s">
        <v>16</v>
      </c>
      <c r="F70" s="15" t="s">
        <v>17</v>
      </c>
      <c r="G70" s="15" t="s">
        <v>113</v>
      </c>
      <c r="H70" s="15" t="s">
        <v>114</v>
      </c>
    </row>
    <row r="71" spans="1:9" ht="11" outlineLevel="3" x14ac:dyDescent="0.15">
      <c r="B71" s="1" t="s">
        <v>180</v>
      </c>
      <c r="C71" s="6" t="str">
        <f t="shared" ref="C71:H71" si="3">IF(C56=0,"",C66/C56)</f>
        <v/>
      </c>
      <c r="D71" s="6" t="str">
        <f t="shared" si="3"/>
        <v/>
      </c>
      <c r="E71" s="6">
        <f t="shared" si="3"/>
        <v>0.59464864707590026</v>
      </c>
      <c r="F71" s="6" t="str">
        <f t="shared" si="3"/>
        <v/>
      </c>
      <c r="G71" s="6">
        <f t="shared" si="3"/>
        <v>0.6663772113201798</v>
      </c>
      <c r="H71" s="6">
        <f t="shared" si="3"/>
        <v>0.65358495395307947</v>
      </c>
    </row>
    <row r="72" spans="1:9" ht="11" outlineLevel="3" x14ac:dyDescent="0.15">
      <c r="B72" s="1" t="s">
        <v>181</v>
      </c>
      <c r="C72" s="6" t="str">
        <f t="shared" ref="C72:H72" si="4">IF(C56=0,"",C64/C56)</f>
        <v/>
      </c>
      <c r="D72" s="6" t="str">
        <f t="shared" si="4"/>
        <v/>
      </c>
      <c r="E72" s="6">
        <f t="shared" si="4"/>
        <v>0.23954553972373541</v>
      </c>
      <c r="F72" s="6" t="str">
        <f t="shared" si="4"/>
        <v/>
      </c>
      <c r="G72" s="6">
        <f t="shared" si="4"/>
        <v>0.19777906776205509</v>
      </c>
      <c r="H72" s="6">
        <f t="shared" si="4"/>
        <v>0.23098481466749834</v>
      </c>
    </row>
    <row r="73" spans="1:9" ht="11" outlineLevel="3" x14ac:dyDescent="0.15"/>
    <row r="74" spans="1:9" ht="11" outlineLevel="2" x14ac:dyDescent="0.15">
      <c r="A74" t="s">
        <v>0</v>
      </c>
      <c r="B74" s="10" t="s">
        <v>185</v>
      </c>
      <c r="C74" s="10"/>
      <c r="D74" s="10"/>
      <c r="E74" s="10"/>
      <c r="F74" s="10"/>
      <c r="G74" s="10"/>
      <c r="H74" s="10"/>
      <c r="I74" s="10"/>
    </row>
    <row r="75" spans="1:9" ht="11" outlineLevel="3" x14ac:dyDescent="0.15"/>
    <row r="76" spans="1:9" ht="11" outlineLevel="3" x14ac:dyDescent="0.15">
      <c r="B76" s="2" t="s">
        <v>112</v>
      </c>
      <c r="C76" s="15" t="s">
        <v>14</v>
      </c>
      <c r="D76" s="15" t="s">
        <v>15</v>
      </c>
      <c r="E76" s="15" t="s">
        <v>16</v>
      </c>
      <c r="F76" s="15" t="s">
        <v>17</v>
      </c>
      <c r="G76" s="15" t="s">
        <v>113</v>
      </c>
      <c r="H76" s="15" t="s">
        <v>114</v>
      </c>
    </row>
    <row r="77" spans="1:9" ht="11" outlineLevel="3" x14ac:dyDescent="0.15">
      <c r="B77" s="1" t="s">
        <v>167</v>
      </c>
      <c r="C77" s="4">
        <f t="shared" ref="C77:H87" si="5">C56*C$13</f>
        <v>0</v>
      </c>
      <c r="D77" s="4">
        <f t="shared" si="5"/>
        <v>0</v>
      </c>
      <c r="E77" s="4">
        <f t="shared" si="5"/>
        <v>11116.363439999999</v>
      </c>
      <c r="F77" s="4">
        <f t="shared" si="5"/>
        <v>0</v>
      </c>
      <c r="G77" s="4">
        <f t="shared" si="5"/>
        <v>10744.316999999999</v>
      </c>
      <c r="H77" s="4">
        <f t="shared" si="5"/>
        <v>10276.64162</v>
      </c>
    </row>
    <row r="78" spans="1:9" ht="11" outlineLevel="3" x14ac:dyDescent="0.15">
      <c r="B78" s="1" t="s">
        <v>168</v>
      </c>
      <c r="C78" s="4">
        <f t="shared" si="5"/>
        <v>0</v>
      </c>
      <c r="D78" s="4">
        <f t="shared" si="5"/>
        <v>0</v>
      </c>
      <c r="E78" s="4">
        <f t="shared" si="5"/>
        <v>1501.0319999999999</v>
      </c>
      <c r="F78" s="4">
        <f t="shared" si="5"/>
        <v>0</v>
      </c>
      <c r="G78" s="4">
        <f t="shared" si="5"/>
        <v>1095.7729999999999</v>
      </c>
      <c r="H78" s="4">
        <f t="shared" si="5"/>
        <v>844.29646000000002</v>
      </c>
    </row>
    <row r="79" spans="1:9" ht="11" outlineLevel="3" x14ac:dyDescent="0.15">
      <c r="B79" s="1" t="s">
        <v>169</v>
      </c>
      <c r="C79" s="4">
        <f t="shared" si="5"/>
        <v>0</v>
      </c>
      <c r="D79" s="4">
        <f t="shared" si="5"/>
        <v>0</v>
      </c>
      <c r="E79" s="4">
        <f t="shared" si="5"/>
        <v>1678.5589600000001</v>
      </c>
      <c r="F79" s="4">
        <f t="shared" si="5"/>
        <v>0</v>
      </c>
      <c r="G79" s="4">
        <f t="shared" si="5"/>
        <v>1294.8779999999999</v>
      </c>
      <c r="H79" s="4">
        <f t="shared" si="5"/>
        <v>1511.13354</v>
      </c>
    </row>
    <row r="80" spans="1:9" ht="11" outlineLevel="3" x14ac:dyDescent="0.15">
      <c r="B80" s="1" t="s">
        <v>170</v>
      </c>
      <c r="C80" s="4">
        <f t="shared" si="5"/>
        <v>0</v>
      </c>
      <c r="D80" s="4">
        <f t="shared" si="5"/>
        <v>0</v>
      </c>
      <c r="E80" s="4">
        <f t="shared" si="5"/>
        <v>363.68904000000003</v>
      </c>
      <c r="F80" s="4">
        <f t="shared" si="5"/>
        <v>0</v>
      </c>
      <c r="G80" s="4">
        <f t="shared" si="5"/>
        <v>361.28300000000002</v>
      </c>
      <c r="H80" s="4">
        <f t="shared" si="5"/>
        <v>360.28131999999999</v>
      </c>
    </row>
    <row r="81" spans="1:9" ht="11" outlineLevel="3" x14ac:dyDescent="0.15">
      <c r="B81" s="1" t="s">
        <v>171</v>
      </c>
      <c r="C81" s="4">
        <f t="shared" si="5"/>
        <v>0</v>
      </c>
      <c r="D81" s="4">
        <f t="shared" si="5"/>
        <v>0</v>
      </c>
      <c r="E81" s="4">
        <f t="shared" si="5"/>
        <v>123.87128</v>
      </c>
      <c r="F81" s="4">
        <f t="shared" si="5"/>
        <v>0</v>
      </c>
      <c r="G81" s="4">
        <f t="shared" si="5"/>
        <v>102.496</v>
      </c>
      <c r="H81" s="4">
        <f t="shared" si="5"/>
        <v>99.675799999999995</v>
      </c>
    </row>
    <row r="82" spans="1:9" ht="11" outlineLevel="3" x14ac:dyDescent="0.15">
      <c r="B82" s="1" t="s">
        <v>172</v>
      </c>
      <c r="C82" s="4">
        <f t="shared" si="5"/>
        <v>0</v>
      </c>
      <c r="D82" s="4">
        <f t="shared" si="5"/>
        <v>0</v>
      </c>
      <c r="E82" s="4">
        <f t="shared" si="5"/>
        <v>620.62727999999993</v>
      </c>
      <c r="F82" s="4">
        <f t="shared" si="5"/>
        <v>0</v>
      </c>
      <c r="G82" s="4">
        <f t="shared" si="5"/>
        <v>468.84</v>
      </c>
      <c r="H82" s="4">
        <f t="shared" si="5"/>
        <v>502.33330000000001</v>
      </c>
    </row>
    <row r="83" spans="1:9" ht="11" outlineLevel="3" x14ac:dyDescent="0.15">
      <c r="B83" s="1" t="s">
        <v>173</v>
      </c>
      <c r="C83" s="4">
        <f t="shared" si="5"/>
        <v>0</v>
      </c>
      <c r="D83" s="4">
        <f t="shared" si="5"/>
        <v>0</v>
      </c>
      <c r="E83" s="4">
        <f t="shared" si="5"/>
        <v>69.282719999999998</v>
      </c>
      <c r="F83" s="4">
        <f t="shared" si="5"/>
        <v>0</v>
      </c>
      <c r="G83" s="4">
        <f t="shared" si="5"/>
        <v>43.887</v>
      </c>
      <c r="H83" s="4">
        <f t="shared" si="5"/>
        <v>39.276440000000001</v>
      </c>
    </row>
    <row r="84" spans="1:9" ht="11" outlineLevel="3" x14ac:dyDescent="0.15">
      <c r="B84" s="1" t="s">
        <v>174</v>
      </c>
      <c r="C84" s="4">
        <f t="shared" si="5"/>
        <v>0</v>
      </c>
      <c r="D84" s="4">
        <f t="shared" si="5"/>
        <v>0</v>
      </c>
      <c r="E84" s="4">
        <f t="shared" si="5"/>
        <v>0</v>
      </c>
      <c r="F84" s="4">
        <f t="shared" si="5"/>
        <v>0</v>
      </c>
      <c r="G84" s="4">
        <f t="shared" si="5"/>
        <v>0</v>
      </c>
      <c r="H84" s="4">
        <f t="shared" si="5"/>
        <v>0</v>
      </c>
    </row>
    <row r="85" spans="1:9" ht="11" outlineLevel="3" x14ac:dyDescent="0.15">
      <c r="B85" s="1" t="s">
        <v>175</v>
      </c>
      <c r="C85" s="4">
        <f t="shared" si="5"/>
        <v>0</v>
      </c>
      <c r="D85" s="4">
        <f t="shared" si="5"/>
        <v>0</v>
      </c>
      <c r="E85" s="4">
        <f t="shared" si="5"/>
        <v>2662.8752799999997</v>
      </c>
      <c r="F85" s="4">
        <f t="shared" si="5"/>
        <v>0</v>
      </c>
      <c r="G85" s="4">
        <f t="shared" si="5"/>
        <v>2125.0010000000002</v>
      </c>
      <c r="H85" s="4">
        <f t="shared" si="5"/>
        <v>2373.7481600000001</v>
      </c>
    </row>
    <row r="86" spans="1:9" ht="11" outlineLevel="3" x14ac:dyDescent="0.15">
      <c r="B86" s="1" t="s">
        <v>176</v>
      </c>
      <c r="C86" s="4">
        <f t="shared" si="5"/>
        <v>0</v>
      </c>
      <c r="D86" s="4">
        <f t="shared" si="5"/>
        <v>0</v>
      </c>
      <c r="E86" s="4">
        <f t="shared" si="5"/>
        <v>148.97167999999999</v>
      </c>
      <c r="F86" s="4">
        <f t="shared" si="5"/>
        <v>0</v>
      </c>
      <c r="G86" s="4">
        <f t="shared" si="5"/>
        <v>217.392</v>
      </c>
      <c r="H86" s="4">
        <f t="shared" si="5"/>
        <v>202.98641999999998</v>
      </c>
    </row>
    <row r="87" spans="1:9" ht="11" outlineLevel="3" x14ac:dyDescent="0.15">
      <c r="B87" s="1" t="s">
        <v>177</v>
      </c>
      <c r="C87" s="4">
        <f t="shared" si="5"/>
        <v>0</v>
      </c>
      <c r="D87" s="4">
        <f t="shared" si="5"/>
        <v>0</v>
      </c>
      <c r="E87" s="4">
        <f t="shared" si="5"/>
        <v>6610.3304800000005</v>
      </c>
      <c r="F87" s="4">
        <f t="shared" si="5"/>
        <v>0</v>
      </c>
      <c r="G87" s="4">
        <f t="shared" si="5"/>
        <v>7159.768</v>
      </c>
      <c r="H87" s="4">
        <f t="shared" si="5"/>
        <v>6716.65834</v>
      </c>
    </row>
    <row r="88" spans="1:9" ht="11" outlineLevel="3" x14ac:dyDescent="0.15"/>
    <row r="89" spans="1:9" ht="11" outlineLevel="3" x14ac:dyDescent="0.15"/>
    <row r="90" spans="1:9" ht="11" outlineLevel="1" x14ac:dyDescent="0.15">
      <c r="A90" t="s">
        <v>0</v>
      </c>
      <c r="B90" s="9" t="s">
        <v>186</v>
      </c>
      <c r="C90" s="9"/>
      <c r="D90" s="9"/>
      <c r="E90" s="9"/>
      <c r="F90" s="9"/>
      <c r="G90" s="9"/>
      <c r="H90" s="9"/>
      <c r="I90" s="9"/>
    </row>
    <row r="91" spans="1:9" ht="11" outlineLevel="2" x14ac:dyDescent="0.15"/>
    <row r="92" spans="1:9" ht="11" outlineLevel="2" x14ac:dyDescent="0.15">
      <c r="B92" s="2" t="s">
        <v>112</v>
      </c>
      <c r="C92" s="15" t="s">
        <v>14</v>
      </c>
      <c r="D92" s="15" t="s">
        <v>15</v>
      </c>
      <c r="E92" s="15" t="s">
        <v>16</v>
      </c>
      <c r="F92" s="15" t="s">
        <v>17</v>
      </c>
      <c r="G92" s="15" t="s">
        <v>113</v>
      </c>
      <c r="H92" s="15" t="s">
        <v>114</v>
      </c>
    </row>
    <row r="93" spans="1:9" ht="11" outlineLevel="2" x14ac:dyDescent="0.15">
      <c r="B93" s="1" t="s">
        <v>167</v>
      </c>
      <c r="C93" s="5">
        <v>4072.8820000000001</v>
      </c>
      <c r="D93" s="5">
        <v>7949.54</v>
      </c>
      <c r="E93" s="5">
        <v>5492.33</v>
      </c>
      <c r="F93" s="5">
        <v>7858.8140000000003</v>
      </c>
      <c r="G93" s="5">
        <v>306.125</v>
      </c>
      <c r="H93" s="5">
        <v>4256.9139999999998</v>
      </c>
    </row>
    <row r="94" spans="1:9" ht="11" outlineLevel="2" x14ac:dyDescent="0.15">
      <c r="B94" s="1" t="s">
        <v>168</v>
      </c>
      <c r="C94" s="5">
        <v>86.682000000000002</v>
      </c>
      <c r="D94" s="5">
        <v>92.152000000000001</v>
      </c>
      <c r="E94" s="5">
        <v>82.697000000000003</v>
      </c>
      <c r="F94" s="5">
        <v>83.596000000000004</v>
      </c>
      <c r="G94" s="5"/>
      <c r="H94" s="5">
        <v>87.927000000000007</v>
      </c>
    </row>
    <row r="95" spans="1:9" ht="11" outlineLevel="2" x14ac:dyDescent="0.15">
      <c r="B95" s="1" t="s">
        <v>170</v>
      </c>
      <c r="C95" s="5">
        <v>546.096</v>
      </c>
      <c r="D95" s="5">
        <v>949.05100000000004</v>
      </c>
      <c r="E95" s="5">
        <v>619.81100000000004</v>
      </c>
      <c r="F95" s="5">
        <v>950.971</v>
      </c>
      <c r="G95" s="5">
        <v>23.521000000000001</v>
      </c>
      <c r="H95" s="5">
        <v>414.74099999999999</v>
      </c>
    </row>
    <row r="96" spans="1:9" ht="11" outlineLevel="2" x14ac:dyDescent="0.15">
      <c r="B96" s="1" t="s">
        <v>172</v>
      </c>
      <c r="C96" s="5">
        <v>1161.682</v>
      </c>
      <c r="D96" s="5">
        <v>1835.479</v>
      </c>
      <c r="E96" s="5">
        <v>1187.4549999999999</v>
      </c>
      <c r="F96" s="5">
        <v>1816.6410000000001</v>
      </c>
      <c r="G96" s="5"/>
      <c r="H96" s="5">
        <v>784.48599999999999</v>
      </c>
    </row>
    <row r="97" spans="1:9" ht="11" outlineLevel="2" x14ac:dyDescent="0.15">
      <c r="B97" s="1" t="s">
        <v>171</v>
      </c>
      <c r="C97" s="5">
        <v>164.03</v>
      </c>
      <c r="D97" s="5">
        <v>295.73200000000003</v>
      </c>
      <c r="E97" s="5">
        <v>100.673</v>
      </c>
      <c r="F97" s="5">
        <v>154.029</v>
      </c>
      <c r="G97" s="5"/>
      <c r="H97" s="5">
        <v>66.009</v>
      </c>
    </row>
    <row r="98" spans="1:9" ht="11" outlineLevel="2" x14ac:dyDescent="0.15">
      <c r="B98" s="1" t="s">
        <v>173</v>
      </c>
      <c r="C98" s="5">
        <v>76.984999999999999</v>
      </c>
      <c r="D98" s="5">
        <v>82.195999999999998</v>
      </c>
      <c r="E98" s="5">
        <v>87.683999999999997</v>
      </c>
      <c r="F98" s="5">
        <v>88.492000000000004</v>
      </c>
      <c r="G98" s="5"/>
      <c r="H98" s="5">
        <v>89.974000000000004</v>
      </c>
    </row>
    <row r="99" spans="1:9" ht="11" outlineLevel="2" x14ac:dyDescent="0.15">
      <c r="B99" s="1" t="s">
        <v>175</v>
      </c>
      <c r="C99" s="5">
        <v>1707.778</v>
      </c>
      <c r="D99" s="5">
        <v>2784.53</v>
      </c>
      <c r="E99" s="5">
        <v>1807.2660000000001</v>
      </c>
      <c r="F99" s="5">
        <v>2767.6120000000001</v>
      </c>
      <c r="G99" s="5">
        <v>23.521000000000001</v>
      </c>
      <c r="H99" s="5">
        <v>1199.2270000000001</v>
      </c>
    </row>
    <row r="100" spans="1:9" ht="11" outlineLevel="2" x14ac:dyDescent="0.15">
      <c r="B100" s="1" t="s">
        <v>176</v>
      </c>
      <c r="C100" s="5">
        <v>77.417000000000002</v>
      </c>
      <c r="D100" s="5">
        <v>136.767</v>
      </c>
      <c r="E100" s="5">
        <v>91.552000000000007</v>
      </c>
      <c r="F100" s="5">
        <v>136.87200000000001</v>
      </c>
      <c r="G100" s="5"/>
      <c r="H100" s="5">
        <v>94.221999999999994</v>
      </c>
    </row>
    <row r="101" spans="1:9" ht="11" outlineLevel="2" x14ac:dyDescent="0.15">
      <c r="B101" s="1" t="s">
        <v>177</v>
      </c>
      <c r="C101" s="5">
        <v>1959.99</v>
      </c>
      <c r="D101" s="5">
        <v>4558.1629999999996</v>
      </c>
      <c r="E101" s="5">
        <v>3322.4580000000001</v>
      </c>
      <c r="F101" s="5">
        <v>4628.2129999999997</v>
      </c>
      <c r="G101" s="5">
        <v>282.60399999999998</v>
      </c>
      <c r="H101" s="5">
        <v>2719.5549999999998</v>
      </c>
    </row>
    <row r="102" spans="1:9" ht="11" outlineLevel="2" x14ac:dyDescent="0.15"/>
    <row r="103" spans="1:9" ht="11" outlineLevel="2" x14ac:dyDescent="0.15">
      <c r="A103" t="s">
        <v>0</v>
      </c>
      <c r="B103" s="10" t="s">
        <v>187</v>
      </c>
      <c r="C103" s="10"/>
      <c r="D103" s="10"/>
      <c r="E103" s="10"/>
      <c r="F103" s="10"/>
      <c r="G103" s="10"/>
      <c r="H103" s="10"/>
      <c r="I103" s="10"/>
    </row>
    <row r="104" spans="1:9" ht="11" outlineLevel="3" x14ac:dyDescent="0.15"/>
    <row r="105" spans="1:9" ht="11" outlineLevel="3" x14ac:dyDescent="0.15">
      <c r="B105" s="2" t="s">
        <v>179</v>
      </c>
      <c r="C105" s="15" t="s">
        <v>14</v>
      </c>
      <c r="D105" s="15" t="s">
        <v>15</v>
      </c>
      <c r="E105" s="15" t="s">
        <v>16</v>
      </c>
      <c r="F105" s="15" t="s">
        <v>17</v>
      </c>
      <c r="G105" s="15" t="s">
        <v>113</v>
      </c>
      <c r="H105" s="15" t="s">
        <v>114</v>
      </c>
    </row>
    <row r="106" spans="1:9" ht="11" outlineLevel="3" x14ac:dyDescent="0.15">
      <c r="B106" s="1" t="s">
        <v>180</v>
      </c>
      <c r="C106" s="6">
        <f t="shared" ref="C106:H106" si="6">IF(C93=0,"",C101/C93)</f>
        <v>0.48122926222758233</v>
      </c>
      <c r="D106" s="6">
        <f t="shared" si="6"/>
        <v>0.57338701358820754</v>
      </c>
      <c r="E106" s="6">
        <f t="shared" si="6"/>
        <v>0.6049268707452029</v>
      </c>
      <c r="F106" s="6">
        <f t="shared" si="6"/>
        <v>0.58892003297189621</v>
      </c>
      <c r="G106" s="6">
        <f t="shared" si="6"/>
        <v>0.92316537362188644</v>
      </c>
      <c r="H106" s="6">
        <f t="shared" si="6"/>
        <v>0.63885598816419598</v>
      </c>
    </row>
    <row r="107" spans="1:9" ht="11" outlineLevel="3" x14ac:dyDescent="0.15">
      <c r="B107" s="1" t="s">
        <v>181</v>
      </c>
      <c r="C107" s="6">
        <f t="shared" ref="C107:H107" si="7">IF(C93=0,"",C99/C93)</f>
        <v>0.41930456124189208</v>
      </c>
      <c r="D107" s="6">
        <f t="shared" si="7"/>
        <v>0.35027561343172059</v>
      </c>
      <c r="E107" s="6">
        <f t="shared" si="7"/>
        <v>0.32905269712489965</v>
      </c>
      <c r="F107" s="6">
        <f t="shared" si="7"/>
        <v>0.35216662463318255</v>
      </c>
      <c r="G107" s="6">
        <f t="shared" si="7"/>
        <v>7.6834626378113516E-2</v>
      </c>
      <c r="H107" s="6">
        <f t="shared" si="7"/>
        <v>0.28171276187397731</v>
      </c>
    </row>
    <row r="108" spans="1:9" ht="11" outlineLevel="3" x14ac:dyDescent="0.15"/>
    <row r="109" spans="1:9" ht="11" outlineLevel="2" x14ac:dyDescent="0.15">
      <c r="A109" t="s">
        <v>0</v>
      </c>
      <c r="B109" s="10" t="s">
        <v>188</v>
      </c>
      <c r="C109" s="10"/>
      <c r="D109" s="10"/>
      <c r="E109" s="10"/>
      <c r="F109" s="10"/>
      <c r="G109" s="10"/>
      <c r="H109" s="10"/>
      <c r="I109" s="10"/>
    </row>
    <row r="110" spans="1:9" ht="11" outlineLevel="3" x14ac:dyDescent="0.15"/>
    <row r="111" spans="1:9" ht="11" outlineLevel="3" x14ac:dyDescent="0.15">
      <c r="B111" s="2" t="s">
        <v>112</v>
      </c>
      <c r="C111" s="15" t="s">
        <v>14</v>
      </c>
      <c r="D111" s="15" t="s">
        <v>15</v>
      </c>
      <c r="E111" s="15" t="s">
        <v>16</v>
      </c>
      <c r="F111" s="15" t="s">
        <v>17</v>
      </c>
      <c r="G111" s="15" t="s">
        <v>113</v>
      </c>
      <c r="H111" s="15" t="s">
        <v>114</v>
      </c>
    </row>
    <row r="112" spans="1:9" ht="11" outlineLevel="3" x14ac:dyDescent="0.15">
      <c r="B112" s="1" t="s">
        <v>167</v>
      </c>
      <c r="C112" s="4">
        <f t="shared" ref="C112:H120" si="8">C93*C$13</f>
        <v>4480.1702000000005</v>
      </c>
      <c r="D112" s="4">
        <f t="shared" si="8"/>
        <v>8506.0078000000012</v>
      </c>
      <c r="E112" s="4">
        <f t="shared" si="8"/>
        <v>5712.0232000000005</v>
      </c>
      <c r="F112" s="4">
        <f t="shared" si="8"/>
        <v>8015.9902800000009</v>
      </c>
      <c r="G112" s="4">
        <f t="shared" si="8"/>
        <v>306.125</v>
      </c>
      <c r="H112" s="4">
        <f t="shared" si="8"/>
        <v>4171.7757199999996</v>
      </c>
    </row>
    <row r="113" spans="1:9" ht="11" outlineLevel="3" x14ac:dyDescent="0.15">
      <c r="B113" s="1" t="s">
        <v>168</v>
      </c>
      <c r="C113" s="4">
        <f t="shared" si="8"/>
        <v>95.350200000000015</v>
      </c>
      <c r="D113" s="4">
        <f t="shared" si="8"/>
        <v>98.602640000000008</v>
      </c>
      <c r="E113" s="4">
        <f t="shared" si="8"/>
        <v>86.00488</v>
      </c>
      <c r="F113" s="4">
        <f t="shared" si="8"/>
        <v>85.267920000000004</v>
      </c>
      <c r="G113" s="4">
        <f t="shared" si="8"/>
        <v>0</v>
      </c>
      <c r="H113" s="4">
        <f t="shared" si="8"/>
        <v>86.16846000000001</v>
      </c>
    </row>
    <row r="114" spans="1:9" ht="11" outlineLevel="3" x14ac:dyDescent="0.15">
      <c r="B114" s="1" t="s">
        <v>170</v>
      </c>
      <c r="C114" s="4">
        <f t="shared" si="8"/>
        <v>600.7056</v>
      </c>
      <c r="D114" s="4">
        <f t="shared" si="8"/>
        <v>1015.4845700000001</v>
      </c>
      <c r="E114" s="4">
        <f t="shared" si="8"/>
        <v>644.60344000000009</v>
      </c>
      <c r="F114" s="4">
        <f t="shared" si="8"/>
        <v>969.99041999999997</v>
      </c>
      <c r="G114" s="4">
        <f t="shared" si="8"/>
        <v>23.521000000000001</v>
      </c>
      <c r="H114" s="4">
        <f t="shared" si="8"/>
        <v>406.44617999999997</v>
      </c>
    </row>
    <row r="115" spans="1:9" ht="11" outlineLevel="3" x14ac:dyDescent="0.15">
      <c r="B115" s="1" t="s">
        <v>172</v>
      </c>
      <c r="C115" s="4">
        <f t="shared" si="8"/>
        <v>1277.8502000000001</v>
      </c>
      <c r="D115" s="4">
        <f t="shared" si="8"/>
        <v>1963.9625300000002</v>
      </c>
      <c r="E115" s="4">
        <f t="shared" si="8"/>
        <v>1234.9531999999999</v>
      </c>
      <c r="F115" s="4">
        <f t="shared" si="8"/>
        <v>1852.9738200000002</v>
      </c>
      <c r="G115" s="4">
        <f t="shared" si="8"/>
        <v>0</v>
      </c>
      <c r="H115" s="4">
        <f t="shared" si="8"/>
        <v>768.79628000000002</v>
      </c>
    </row>
    <row r="116" spans="1:9" ht="11" outlineLevel="3" x14ac:dyDescent="0.15">
      <c r="B116" s="1" t="s">
        <v>171</v>
      </c>
      <c r="C116" s="4">
        <f t="shared" si="8"/>
        <v>180.43300000000002</v>
      </c>
      <c r="D116" s="4">
        <f t="shared" si="8"/>
        <v>316.43324000000007</v>
      </c>
      <c r="E116" s="4">
        <f t="shared" si="8"/>
        <v>104.69992000000001</v>
      </c>
      <c r="F116" s="4">
        <f t="shared" si="8"/>
        <v>157.10957999999999</v>
      </c>
      <c r="G116" s="4">
        <f t="shared" si="8"/>
        <v>0</v>
      </c>
      <c r="H116" s="4">
        <f t="shared" si="8"/>
        <v>64.688819999999993</v>
      </c>
    </row>
    <row r="117" spans="1:9" ht="11" outlineLevel="3" x14ac:dyDescent="0.15">
      <c r="B117" s="1" t="s">
        <v>173</v>
      </c>
      <c r="C117" s="4">
        <f t="shared" si="8"/>
        <v>84.683500000000009</v>
      </c>
      <c r="D117" s="4">
        <f t="shared" si="8"/>
        <v>87.949719999999999</v>
      </c>
      <c r="E117" s="4">
        <f t="shared" si="8"/>
        <v>91.191360000000003</v>
      </c>
      <c r="F117" s="4">
        <f t="shared" si="8"/>
        <v>90.261840000000007</v>
      </c>
      <c r="G117" s="4">
        <f t="shared" si="8"/>
        <v>0</v>
      </c>
      <c r="H117" s="4">
        <f t="shared" si="8"/>
        <v>88.174520000000001</v>
      </c>
    </row>
    <row r="118" spans="1:9" ht="11" outlineLevel="3" x14ac:dyDescent="0.15">
      <c r="B118" s="1" t="s">
        <v>175</v>
      </c>
      <c r="C118" s="4">
        <f t="shared" si="8"/>
        <v>1878.5558000000001</v>
      </c>
      <c r="D118" s="4">
        <f t="shared" si="8"/>
        <v>2979.4471000000003</v>
      </c>
      <c r="E118" s="4">
        <f t="shared" si="8"/>
        <v>1879.5566400000002</v>
      </c>
      <c r="F118" s="4">
        <f t="shared" si="8"/>
        <v>2822.9642400000002</v>
      </c>
      <c r="G118" s="4">
        <f t="shared" si="8"/>
        <v>23.521000000000001</v>
      </c>
      <c r="H118" s="4">
        <f t="shared" si="8"/>
        <v>1175.2424600000002</v>
      </c>
    </row>
    <row r="119" spans="1:9" ht="11" outlineLevel="3" x14ac:dyDescent="0.15">
      <c r="B119" s="1" t="s">
        <v>176</v>
      </c>
      <c r="C119" s="4">
        <f t="shared" si="8"/>
        <v>85.15870000000001</v>
      </c>
      <c r="D119" s="4">
        <f t="shared" si="8"/>
        <v>146.34069</v>
      </c>
      <c r="E119" s="4">
        <f t="shared" si="8"/>
        <v>95.21408000000001</v>
      </c>
      <c r="F119" s="4">
        <f t="shared" si="8"/>
        <v>139.60944000000001</v>
      </c>
      <c r="G119" s="4">
        <f t="shared" si="8"/>
        <v>0</v>
      </c>
      <c r="H119" s="4">
        <f t="shared" si="8"/>
        <v>92.337559999999996</v>
      </c>
    </row>
    <row r="120" spans="1:9" ht="11" outlineLevel="3" x14ac:dyDescent="0.15">
      <c r="B120" s="1" t="s">
        <v>177</v>
      </c>
      <c r="C120" s="4">
        <f t="shared" si="8"/>
        <v>2155.989</v>
      </c>
      <c r="D120" s="4">
        <f t="shared" si="8"/>
        <v>4877.23441</v>
      </c>
      <c r="E120" s="4">
        <f t="shared" si="8"/>
        <v>3455.3563200000003</v>
      </c>
      <c r="F120" s="4">
        <f t="shared" si="8"/>
        <v>4720.7772599999998</v>
      </c>
      <c r="G120" s="4">
        <f t="shared" si="8"/>
        <v>282.60399999999998</v>
      </c>
      <c r="H120" s="4">
        <f t="shared" si="8"/>
        <v>2665.1639</v>
      </c>
    </row>
    <row r="121" spans="1:9" ht="11" outlineLevel="3" x14ac:dyDescent="0.15"/>
    <row r="122" spans="1:9" ht="11" outlineLevel="3" x14ac:dyDescent="0.15"/>
    <row r="123" spans="1:9" ht="11" outlineLevel="1" x14ac:dyDescent="0.15">
      <c r="A123" t="s">
        <v>0</v>
      </c>
      <c r="B123" s="9" t="s">
        <v>189</v>
      </c>
      <c r="C123" s="9"/>
      <c r="D123" s="9"/>
      <c r="E123" s="9"/>
      <c r="F123" s="9"/>
      <c r="G123" s="9"/>
      <c r="H123" s="9"/>
      <c r="I123" s="9"/>
    </row>
    <row r="124" spans="1:9" ht="11" outlineLevel="2" x14ac:dyDescent="0.15"/>
    <row r="125" spans="1:9" ht="11" outlineLevel="2" x14ac:dyDescent="0.15">
      <c r="B125" s="2" t="s">
        <v>112</v>
      </c>
      <c r="C125" s="15" t="s">
        <v>14</v>
      </c>
      <c r="D125" s="15" t="s">
        <v>15</v>
      </c>
      <c r="E125" s="15" t="s">
        <v>16</v>
      </c>
      <c r="F125" s="15" t="s">
        <v>17</v>
      </c>
      <c r="G125" s="15" t="s">
        <v>113</v>
      </c>
      <c r="H125" s="15" t="s">
        <v>114</v>
      </c>
    </row>
    <row r="126" spans="1:9" ht="11" outlineLevel="2" x14ac:dyDescent="0.15">
      <c r="B126" t="s">
        <v>190</v>
      </c>
      <c r="C126" s="5">
        <v>0</v>
      </c>
      <c r="D126" s="5">
        <v>0</v>
      </c>
      <c r="E126" s="5">
        <v>0</v>
      </c>
      <c r="F126" s="5">
        <v>83.224000000000004</v>
      </c>
      <c r="G126" s="5">
        <v>1750</v>
      </c>
      <c r="H126" s="5">
        <v>0</v>
      </c>
    </row>
    <row r="127" spans="1:9" ht="11" outlineLevel="2" x14ac:dyDescent="0.15">
      <c r="B127" s="1" t="s">
        <v>191</v>
      </c>
      <c r="C127" s="5">
        <v>0</v>
      </c>
      <c r="D127" s="5">
        <v>0</v>
      </c>
      <c r="E127" s="5">
        <v>0</v>
      </c>
      <c r="F127" s="5">
        <v>41.5</v>
      </c>
      <c r="G127" s="5">
        <v>1000</v>
      </c>
      <c r="H127" s="5">
        <v>0</v>
      </c>
    </row>
    <row r="128" spans="1:9" ht="11" outlineLevel="2" x14ac:dyDescent="0.15">
      <c r="B128" s="1" t="s">
        <v>192</v>
      </c>
      <c r="C128" s="4">
        <f t="shared" ref="C128:H128" si="9">C127*C$13</f>
        <v>0</v>
      </c>
      <c r="D128" s="4">
        <f t="shared" si="9"/>
        <v>0</v>
      </c>
      <c r="E128" s="4">
        <f t="shared" si="9"/>
        <v>0</v>
      </c>
      <c r="F128" s="4">
        <f t="shared" si="9"/>
        <v>42.33</v>
      </c>
      <c r="G128" s="4">
        <f t="shared" si="9"/>
        <v>1000</v>
      </c>
      <c r="H128" s="4">
        <f t="shared" si="9"/>
        <v>0</v>
      </c>
    </row>
    <row r="129" ht="11" outlineLevel="2" x14ac:dyDescent="0.15"/>
    <row r="130" ht="11" outlineLevel="2" x14ac:dyDescent="0.1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03864"/>
    <outlinePr summaryBelow="0"/>
  </sheetPr>
  <dimension ref="A2:O76"/>
  <sheetViews>
    <sheetView showGridLines="0" showOutlineSymbols="0" workbookViewId="0"/>
  </sheetViews>
  <sheetFormatPr baseColWidth="10" defaultColWidth="8.75" defaultRowHeight="10" customHeight="1" outlineLevelRow="3" x14ac:dyDescent="0.15"/>
  <cols>
    <col min="1" max="1" width="2.25" customWidth="1"/>
    <col min="2" max="2" width="20" customWidth="1"/>
    <col min="3" max="3" width="12" customWidth="1"/>
    <col min="4" max="4" width="18" customWidth="1"/>
    <col min="5" max="5" width="24" customWidth="1"/>
    <col min="6" max="6" width="18" customWidth="1"/>
    <col min="7" max="7" width="10" customWidth="1"/>
    <col min="8" max="8" width="8" customWidth="1"/>
    <col min="9" max="9" width="13" customWidth="1"/>
    <col min="10" max="10" width="12" customWidth="1"/>
    <col min="11" max="11" width="10" customWidth="1"/>
    <col min="12" max="12" width="11" customWidth="1"/>
    <col min="13" max="14" width="10" customWidth="1"/>
    <col min="15" max="15" width="52" customWidth="1"/>
  </cols>
  <sheetData>
    <row r="2" spans="1:15" ht="10" customHeight="1" x14ac:dyDescent="0.15">
      <c r="A2" t="s">
        <v>0</v>
      </c>
      <c r="B2" s="8" t="s">
        <v>193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3" spans="1:15" ht="10" customHeight="1" outlineLevel="1" x14ac:dyDescent="0.15">
      <c r="B3" s="18" t="s">
        <v>194</v>
      </c>
    </row>
    <row r="4" spans="1:15" ht="10" customHeight="1" outlineLevel="1" x14ac:dyDescent="0.15"/>
    <row r="5" spans="1:15" ht="10" customHeight="1" outlineLevel="1" x14ac:dyDescent="0.15"/>
    <row r="6" spans="1:15" ht="10" customHeight="1" outlineLevel="1" x14ac:dyDescent="0.15">
      <c r="A6" t="s">
        <v>0</v>
      </c>
      <c r="B6" s="9" t="s">
        <v>195</v>
      </c>
      <c r="C6" s="9"/>
      <c r="D6" s="9"/>
      <c r="E6" s="9"/>
      <c r="F6" s="9"/>
      <c r="G6" s="9"/>
      <c r="H6" s="9"/>
    </row>
    <row r="7" spans="1:15" ht="10" customHeight="1" outlineLevel="2" x14ac:dyDescent="0.15"/>
    <row r="8" spans="1:15" ht="10" customHeight="1" outlineLevel="2" x14ac:dyDescent="0.15">
      <c r="A8" t="s">
        <v>0</v>
      </c>
      <c r="B8" s="10" t="s">
        <v>196</v>
      </c>
      <c r="C8" s="10"/>
      <c r="D8" s="10"/>
      <c r="E8" s="10"/>
      <c r="F8" s="10"/>
      <c r="G8" s="10"/>
      <c r="H8" s="10"/>
    </row>
    <row r="9" spans="1:15" ht="10" customHeight="1" outlineLevel="3" x14ac:dyDescent="0.15"/>
    <row r="10" spans="1:15" ht="10" customHeight="1" outlineLevel="3" x14ac:dyDescent="0.15">
      <c r="B10" s="2" t="s">
        <v>46</v>
      </c>
      <c r="C10" s="15" t="s">
        <v>197</v>
      </c>
      <c r="D10" s="15" t="s">
        <v>198</v>
      </c>
      <c r="E10" s="15" t="s">
        <v>199</v>
      </c>
    </row>
    <row r="11" spans="1:15" ht="10" customHeight="1" outlineLevel="3" x14ac:dyDescent="0.15">
      <c r="B11" s="1" t="s">
        <v>200</v>
      </c>
      <c r="C11" s="4">
        <f>SUMPRODUCT(('Place of Performance'!B26:B76="Virginia")*('Place of Performance'!G26:G76="BC")*'Place of Performance'!J26:J76)</f>
        <v>22735.939089</v>
      </c>
      <c r="D11" s="4">
        <f>SUMPRODUCT(('Place of Performance'!B26:B76="Virginia")*('Place of Performance'!G26:G76="BC")*'Place of Performance'!J26:J76*('Place of Performance'!M26:M76+'Place of Performance'!N26:N76))</f>
        <v>7735.6036200000008</v>
      </c>
      <c r="E11" s="6">
        <f>IF(C11=0,"",D11/C11)</f>
        <v>0.34023682020429963</v>
      </c>
    </row>
    <row r="12" spans="1:15" ht="10" customHeight="1" outlineLevel="3" x14ac:dyDescent="0.15">
      <c r="B12" s="1" t="s">
        <v>201</v>
      </c>
      <c r="C12" s="4">
        <f>SUMPRODUCT(('Place of Performance'!B26:B76="Columbia")*('Place of Performance'!G26:G76="BC")*'Place of Performance'!J26:J76)</f>
        <v>9473.5110000000004</v>
      </c>
      <c r="D12" s="4">
        <f>SUMPRODUCT(('Place of Performance'!B26:B76="Columbia")*('Place of Performance'!G26:G76="BC")*'Place of Performance'!J26:J76*('Place of Performance'!M26:M76+'Place of Performance'!N26:N76))</f>
        <v>2084.1724200000003</v>
      </c>
      <c r="E12" s="6">
        <f>IF(C12=0,"",D12/C12)</f>
        <v>0.22000000000000003</v>
      </c>
    </row>
    <row r="13" spans="1:15" ht="10" customHeight="1" outlineLevel="3" x14ac:dyDescent="0.15">
      <c r="B13" s="1" t="s">
        <v>202</v>
      </c>
      <c r="C13" s="4">
        <f>SUMPRODUCT(('Place of Performance'!B26:B76="DDG-51")*('Place of Performance'!G26:G76="BC")*('Place of Performance'!I26:I76=0)*'Place of Performance'!J26:J76)</f>
        <v>15594.015676999999</v>
      </c>
      <c r="D13" s="4">
        <f>SUMPRODUCT(('Place of Performance'!B26:B76="DDG-51")*('Place of Performance'!G26:G76="BC")*('Place of Performance'!I26:I76=0)*'Place of Performance'!J26:J76*('Place of Performance'!M26:M76+'Place of Performance'!N26:N76))</f>
        <v>3944.2998595399995</v>
      </c>
      <c r="E13" s="6">
        <f>IF(C13=0,"",D13/C13)</f>
        <v>0.252936763771345</v>
      </c>
    </row>
    <row r="14" spans="1:15" ht="10" customHeight="1" outlineLevel="3" x14ac:dyDescent="0.15">
      <c r="B14" s="1" t="s">
        <v>203</v>
      </c>
      <c r="C14" s="4">
        <f>SUMPRODUCT(('Place of Performance'!B26:B76="DDG-51")*('Place of Performance'!G26:G76="BC")*('Place of Performance'!I26:I76=1)*'Place of Performance'!J26:J76)</f>
        <v>9009.4049999999988</v>
      </c>
      <c r="D14" s="4">
        <f>SUMPRODUCT(('Place of Performance'!B26:B76="DDG-51")*('Place of Performance'!G26:G76="BC")*('Place of Performance'!I26:I76=1)*'Place of Performance'!J26:J76*('Place of Performance'!M26:M76+'Place of Performance'!N26:N76))</f>
        <v>1982.2672500000001</v>
      </c>
      <c r="E14" s="6">
        <f>IF(C14=0,"",D14/C14)</f>
        <v>0.22002199368326769</v>
      </c>
    </row>
    <row r="15" spans="1:15" ht="10" customHeight="1" outlineLevel="3" x14ac:dyDescent="0.15"/>
    <row r="16" spans="1:15" ht="10" customHeight="1" outlineLevel="2" x14ac:dyDescent="0.15">
      <c r="A16" t="s">
        <v>0</v>
      </c>
      <c r="B16" s="10" t="s">
        <v>204</v>
      </c>
      <c r="C16" s="10"/>
      <c r="D16" s="10"/>
      <c r="E16" s="10"/>
      <c r="F16" s="10"/>
      <c r="G16" s="10"/>
      <c r="H16" s="10"/>
    </row>
    <row r="17" spans="1:15" ht="10" customHeight="1" outlineLevel="3" x14ac:dyDescent="0.15"/>
    <row r="18" spans="1:15" ht="10" customHeight="1" outlineLevel="3" x14ac:dyDescent="0.15">
      <c r="B18" s="2" t="s">
        <v>46</v>
      </c>
      <c r="C18" s="15" t="s">
        <v>197</v>
      </c>
      <c r="D18" s="15" t="s">
        <v>198</v>
      </c>
      <c r="E18" s="15" t="s">
        <v>199</v>
      </c>
    </row>
    <row r="19" spans="1:15" ht="10" customHeight="1" outlineLevel="3" x14ac:dyDescent="0.15">
      <c r="B19" t="s">
        <v>205</v>
      </c>
      <c r="C19" s="4">
        <f>SUMPRODUCT(('Place of Performance'!B26:B76="DDG-51")*('Place of Performance'!G26:G76="BC")*('Place of Performance'!I26:I76=0)*('Place of Performance'!H26:H76=0)*'Place of Performance'!J26:J76)</f>
        <v>1014.0156770000002</v>
      </c>
      <c r="D19" s="4">
        <f>SUMPRODUCT(('Place of Performance'!B26:B76="DDG-51")*('Place of Performance'!G26:G76="BC")*('Place of Performance'!I26:I76=0)*('Place of Performance'!H26:H76=0)*'Place of Performance'!J26:J76*('Place of Performance'!M26:M76+'Place of Performance'!N26:N76))</f>
        <v>78.899859540000008</v>
      </c>
      <c r="E19" s="6">
        <f>IF(C19=0,"",D19/C19)</f>
        <v>7.7809309391969089E-2</v>
      </c>
    </row>
    <row r="20" spans="1:15" ht="10" customHeight="1" outlineLevel="3" x14ac:dyDescent="0.15">
      <c r="B20" t="s">
        <v>206</v>
      </c>
      <c r="C20" s="4">
        <f>SUMPRODUCT((('Place of Performance'!B26:B76="Virginia")+('Place of Performance'!B26:B76="Columbia"))*('Place of Performance'!G26:G76="AP_LLTM")*'Place of Performance'!J26:J76)</f>
        <v>18802.931114000003</v>
      </c>
      <c r="D20" s="4">
        <f>SUMPRODUCT((('Place of Performance'!B26:B76="Virginia")+('Place of Performance'!B26:B76="Columbia"))*('Place of Performance'!G26:G76="AP_LLTM")*'Place of Performance'!J26:J76*('Place of Performance'!M26:M76+'Place of Performance'!N26:N76))</f>
        <v>9116.8070206400007</v>
      </c>
      <c r="E20" s="6">
        <f>IF(C20=0,"",D20/C20)</f>
        <v>0.48486094882578951</v>
      </c>
    </row>
    <row r="21" spans="1:15" ht="10" customHeight="1" outlineLevel="2" x14ac:dyDescent="0.15"/>
    <row r="22" spans="1:15" ht="10" customHeight="1" outlineLevel="2" x14ac:dyDescent="0.15"/>
    <row r="23" spans="1:15" ht="10" customHeight="1" outlineLevel="1" x14ac:dyDescent="0.15">
      <c r="A23" t="s">
        <v>0</v>
      </c>
      <c r="B23" s="9" t="s">
        <v>207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ht="10" customHeight="1" outlineLevel="2" x14ac:dyDescent="0.15"/>
    <row r="25" spans="1:15" ht="10" customHeight="1" outlineLevel="2" x14ac:dyDescent="0.15">
      <c r="B25" s="2" t="s">
        <v>13</v>
      </c>
      <c r="C25" s="2" t="s">
        <v>208</v>
      </c>
      <c r="D25" s="2" t="s">
        <v>209</v>
      </c>
      <c r="E25" s="2" t="s">
        <v>210</v>
      </c>
      <c r="F25" s="2" t="s">
        <v>211</v>
      </c>
      <c r="G25" s="2" t="s">
        <v>212</v>
      </c>
      <c r="H25" s="15" t="s">
        <v>213</v>
      </c>
      <c r="I25" s="15" t="s">
        <v>214</v>
      </c>
      <c r="J25" s="15" t="s">
        <v>215</v>
      </c>
      <c r="K25" s="15" t="s">
        <v>216</v>
      </c>
      <c r="L25" s="15" t="s">
        <v>217</v>
      </c>
      <c r="M25" s="15" t="s">
        <v>218</v>
      </c>
      <c r="N25" s="15" t="s">
        <v>219</v>
      </c>
      <c r="O25" s="2" t="s">
        <v>66</v>
      </c>
    </row>
    <row r="26" spans="1:15" ht="10" customHeight="1" outlineLevel="2" x14ac:dyDescent="0.15">
      <c r="B26" t="s">
        <v>21</v>
      </c>
      <c r="C26" t="s">
        <v>220</v>
      </c>
      <c r="D26" t="s">
        <v>221</v>
      </c>
      <c r="E26" t="s">
        <v>222</v>
      </c>
      <c r="F26" t="s">
        <v>223</v>
      </c>
      <c r="G26" t="s">
        <v>224</v>
      </c>
      <c r="H26" s="17">
        <v>1</v>
      </c>
      <c r="I26" s="17">
        <v>0</v>
      </c>
      <c r="J26" s="5">
        <v>22209.893</v>
      </c>
      <c r="K26" s="7">
        <v>0.41</v>
      </c>
      <c r="L26" s="7">
        <v>0.25</v>
      </c>
      <c r="M26" s="7">
        <v>0.33</v>
      </c>
      <c r="N26" s="7">
        <v>0.01</v>
      </c>
      <c r="O26" t="s">
        <v>225</v>
      </c>
    </row>
    <row r="27" spans="1:15" ht="10" customHeight="1" outlineLevel="2" x14ac:dyDescent="0.15">
      <c r="B27" t="s">
        <v>21</v>
      </c>
      <c r="C27" t="s">
        <v>226</v>
      </c>
      <c r="D27" t="s">
        <v>227</v>
      </c>
      <c r="E27" t="s">
        <v>227</v>
      </c>
      <c r="F27" t="s">
        <v>228</v>
      </c>
      <c r="G27" t="s">
        <v>229</v>
      </c>
      <c r="H27" s="17">
        <v>0</v>
      </c>
      <c r="I27" s="17">
        <v>0</v>
      </c>
      <c r="J27" s="5">
        <v>12418.145463000001</v>
      </c>
      <c r="K27" s="7">
        <v>0.4</v>
      </c>
      <c r="L27" s="7">
        <v>0.32</v>
      </c>
      <c r="M27" s="7">
        <v>0.28000000000000003</v>
      </c>
      <c r="N27" s="7">
        <v>0</v>
      </c>
      <c r="O27" t="s">
        <v>230</v>
      </c>
    </row>
    <row r="28" spans="1:15" ht="10" customHeight="1" outlineLevel="2" x14ac:dyDescent="0.15">
      <c r="B28" t="s">
        <v>21</v>
      </c>
      <c r="C28" t="s">
        <v>231</v>
      </c>
      <c r="D28" t="s">
        <v>232</v>
      </c>
      <c r="E28" t="s">
        <v>233</v>
      </c>
      <c r="F28" t="s">
        <v>228</v>
      </c>
      <c r="G28" t="s">
        <v>229</v>
      </c>
      <c r="H28" s="17">
        <v>0</v>
      </c>
      <c r="I28" s="17">
        <v>0</v>
      </c>
      <c r="J28" s="5">
        <v>2305.5300000000002</v>
      </c>
      <c r="K28" s="7">
        <v>0</v>
      </c>
      <c r="L28" s="7">
        <v>0.02</v>
      </c>
      <c r="M28" s="7">
        <v>0.98</v>
      </c>
      <c r="N28" s="7">
        <v>0</v>
      </c>
      <c r="O28" t="s">
        <v>234</v>
      </c>
    </row>
    <row r="29" spans="1:15" ht="10" customHeight="1" outlineLevel="2" x14ac:dyDescent="0.15">
      <c r="B29" t="s">
        <v>21</v>
      </c>
      <c r="C29" t="s">
        <v>235</v>
      </c>
      <c r="D29" t="s">
        <v>232</v>
      </c>
      <c r="E29" t="s">
        <v>227</v>
      </c>
      <c r="F29" t="s">
        <v>228</v>
      </c>
      <c r="G29" t="s">
        <v>229</v>
      </c>
      <c r="H29" s="17">
        <v>0</v>
      </c>
      <c r="I29" s="17">
        <v>0</v>
      </c>
      <c r="J29" s="5">
        <v>1851.0650000000001</v>
      </c>
      <c r="K29" s="7">
        <v>0</v>
      </c>
      <c r="L29" s="7">
        <v>0</v>
      </c>
      <c r="M29" s="7">
        <v>1</v>
      </c>
      <c r="N29" s="7">
        <v>0</v>
      </c>
      <c r="O29" t="s">
        <v>236</v>
      </c>
    </row>
    <row r="30" spans="1:15" ht="10" customHeight="1" outlineLevel="2" x14ac:dyDescent="0.15">
      <c r="B30" t="s">
        <v>21</v>
      </c>
      <c r="C30" t="s">
        <v>237</v>
      </c>
      <c r="D30" t="s">
        <v>232</v>
      </c>
      <c r="E30" t="s">
        <v>227</v>
      </c>
      <c r="F30" t="s">
        <v>228</v>
      </c>
      <c r="G30" t="s">
        <v>229</v>
      </c>
      <c r="H30" s="17">
        <v>0</v>
      </c>
      <c r="I30" s="17">
        <v>0</v>
      </c>
      <c r="J30" s="5">
        <v>1065.31</v>
      </c>
      <c r="K30" s="7">
        <v>0</v>
      </c>
      <c r="L30" s="7">
        <v>0</v>
      </c>
      <c r="M30" s="7">
        <v>1</v>
      </c>
      <c r="N30" s="7">
        <v>0</v>
      </c>
      <c r="O30" t="s">
        <v>238</v>
      </c>
    </row>
    <row r="31" spans="1:15" ht="10" customHeight="1" outlineLevel="2" x14ac:dyDescent="0.15">
      <c r="B31" t="s">
        <v>21</v>
      </c>
      <c r="C31" t="s">
        <v>239</v>
      </c>
      <c r="D31" t="s">
        <v>232</v>
      </c>
      <c r="E31" t="s">
        <v>233</v>
      </c>
      <c r="F31" t="s">
        <v>228</v>
      </c>
      <c r="G31" t="s">
        <v>229</v>
      </c>
      <c r="H31" s="17">
        <v>0</v>
      </c>
      <c r="I31" s="17">
        <v>0</v>
      </c>
      <c r="J31" s="5">
        <v>216.51</v>
      </c>
      <c r="K31" s="7">
        <v>0</v>
      </c>
      <c r="L31" s="7">
        <v>0</v>
      </c>
      <c r="M31" s="7">
        <v>1</v>
      </c>
      <c r="N31" s="7">
        <v>0</v>
      </c>
      <c r="O31" t="s">
        <v>240</v>
      </c>
    </row>
    <row r="32" spans="1:15" ht="10" customHeight="1" outlineLevel="2" x14ac:dyDescent="0.15">
      <c r="B32" t="s">
        <v>21</v>
      </c>
      <c r="C32" t="s">
        <v>241</v>
      </c>
      <c r="D32" t="s">
        <v>227</v>
      </c>
      <c r="E32" t="s">
        <v>227</v>
      </c>
      <c r="F32" t="s">
        <v>223</v>
      </c>
      <c r="G32" t="s">
        <v>224</v>
      </c>
      <c r="H32" s="17">
        <v>0</v>
      </c>
      <c r="I32" s="17">
        <v>0</v>
      </c>
      <c r="J32" s="5">
        <v>188</v>
      </c>
      <c r="K32" s="7">
        <v>0</v>
      </c>
      <c r="L32" s="7">
        <v>0.02</v>
      </c>
      <c r="M32" s="7">
        <v>0.98</v>
      </c>
      <c r="N32" s="7">
        <v>0</v>
      </c>
      <c r="O32" t="s">
        <v>242</v>
      </c>
    </row>
    <row r="33" spans="2:15" ht="10" customHeight="1" outlineLevel="2" x14ac:dyDescent="0.15">
      <c r="B33" t="s">
        <v>21</v>
      </c>
      <c r="C33" t="s">
        <v>243</v>
      </c>
      <c r="D33" t="s">
        <v>221</v>
      </c>
      <c r="E33" t="s">
        <v>233</v>
      </c>
      <c r="F33" t="s">
        <v>244</v>
      </c>
      <c r="G33" t="s">
        <v>224</v>
      </c>
      <c r="H33" s="17">
        <v>0</v>
      </c>
      <c r="I33" s="17">
        <v>0</v>
      </c>
      <c r="J33" s="5">
        <v>159.67574099999999</v>
      </c>
      <c r="K33" s="7">
        <v>0</v>
      </c>
      <c r="L33" s="7">
        <v>0</v>
      </c>
      <c r="M33" s="7">
        <v>0</v>
      </c>
      <c r="N33" s="7">
        <v>0</v>
      </c>
      <c r="O33" t="s">
        <v>245</v>
      </c>
    </row>
    <row r="34" spans="2:15" ht="10" customHeight="1" outlineLevel="2" x14ac:dyDescent="0.15">
      <c r="B34" t="s">
        <v>21</v>
      </c>
      <c r="C34" t="s">
        <v>246</v>
      </c>
      <c r="D34" t="s">
        <v>227</v>
      </c>
      <c r="E34" t="s">
        <v>233</v>
      </c>
      <c r="F34" t="s">
        <v>228</v>
      </c>
      <c r="G34" t="s">
        <v>229</v>
      </c>
      <c r="H34" s="17">
        <v>0</v>
      </c>
      <c r="I34" s="17">
        <v>0</v>
      </c>
      <c r="J34" s="5">
        <v>150.98400000000001</v>
      </c>
      <c r="K34" s="7">
        <v>0</v>
      </c>
      <c r="L34" s="7">
        <v>0</v>
      </c>
      <c r="M34" s="7">
        <v>1</v>
      </c>
      <c r="N34" s="7">
        <v>0</v>
      </c>
      <c r="O34" t="s">
        <v>247</v>
      </c>
    </row>
    <row r="35" spans="2:15" ht="10" customHeight="1" outlineLevel="2" x14ac:dyDescent="0.15">
      <c r="B35" t="s">
        <v>21</v>
      </c>
      <c r="C35" t="s">
        <v>248</v>
      </c>
      <c r="D35" t="s">
        <v>221</v>
      </c>
      <c r="E35" t="s">
        <v>233</v>
      </c>
      <c r="F35" t="s">
        <v>228</v>
      </c>
      <c r="G35" t="s">
        <v>229</v>
      </c>
      <c r="H35" s="17">
        <v>0</v>
      </c>
      <c r="I35" s="17">
        <v>0</v>
      </c>
      <c r="J35" s="5">
        <v>96.437890999999993</v>
      </c>
      <c r="K35" s="7">
        <v>0</v>
      </c>
      <c r="L35" s="7">
        <v>0</v>
      </c>
      <c r="M35" s="7">
        <v>1</v>
      </c>
      <c r="N35" s="7">
        <v>0</v>
      </c>
      <c r="O35" t="s">
        <v>249</v>
      </c>
    </row>
    <row r="36" spans="2:15" ht="10" customHeight="1" outlineLevel="2" x14ac:dyDescent="0.15">
      <c r="B36" t="s">
        <v>21</v>
      </c>
      <c r="C36" t="s">
        <v>250</v>
      </c>
      <c r="D36" t="s">
        <v>227</v>
      </c>
      <c r="E36" t="s">
        <v>227</v>
      </c>
      <c r="F36" t="s">
        <v>244</v>
      </c>
      <c r="G36" t="s">
        <v>224</v>
      </c>
      <c r="H36" s="17">
        <v>0</v>
      </c>
      <c r="I36" s="17">
        <v>0</v>
      </c>
      <c r="J36" s="5">
        <v>86</v>
      </c>
      <c r="K36" s="7">
        <v>0</v>
      </c>
      <c r="L36" s="7">
        <v>0</v>
      </c>
      <c r="M36" s="7">
        <v>0</v>
      </c>
      <c r="N36" s="7">
        <v>0</v>
      </c>
      <c r="O36" t="s">
        <v>251</v>
      </c>
    </row>
    <row r="37" spans="2:15" ht="10" customHeight="1" outlineLevel="2" x14ac:dyDescent="0.15">
      <c r="B37" t="s">
        <v>21</v>
      </c>
      <c r="C37" t="s">
        <v>252</v>
      </c>
      <c r="D37" t="s">
        <v>227</v>
      </c>
      <c r="E37" t="s">
        <v>253</v>
      </c>
      <c r="F37" t="s">
        <v>244</v>
      </c>
      <c r="G37" t="s">
        <v>224</v>
      </c>
      <c r="H37" s="17">
        <v>0</v>
      </c>
      <c r="I37" s="17">
        <v>0</v>
      </c>
      <c r="J37" s="5">
        <v>40</v>
      </c>
      <c r="K37" s="7">
        <v>0</v>
      </c>
      <c r="L37" s="7">
        <v>0</v>
      </c>
      <c r="M37" s="7">
        <v>0</v>
      </c>
      <c r="N37" s="7">
        <v>0</v>
      </c>
      <c r="O37" t="s">
        <v>254</v>
      </c>
    </row>
    <row r="38" spans="2:15" ht="10" customHeight="1" outlineLevel="2" x14ac:dyDescent="0.15">
      <c r="B38" t="s">
        <v>21</v>
      </c>
      <c r="C38" t="s">
        <v>255</v>
      </c>
      <c r="D38" t="s">
        <v>256</v>
      </c>
      <c r="E38" t="s">
        <v>227</v>
      </c>
      <c r="F38" t="s">
        <v>244</v>
      </c>
      <c r="G38" t="s">
        <v>224</v>
      </c>
      <c r="H38" s="17">
        <v>0</v>
      </c>
      <c r="I38" s="17">
        <v>0</v>
      </c>
      <c r="J38" s="5">
        <v>21.140532</v>
      </c>
      <c r="K38" s="7">
        <v>0</v>
      </c>
      <c r="L38" s="7">
        <v>0</v>
      </c>
      <c r="M38" s="7">
        <v>0</v>
      </c>
      <c r="N38" s="7">
        <v>0</v>
      </c>
      <c r="O38" t="s">
        <v>257</v>
      </c>
    </row>
    <row r="39" spans="2:15" ht="10" customHeight="1" outlineLevel="2" x14ac:dyDescent="0.15">
      <c r="B39" t="s">
        <v>21</v>
      </c>
      <c r="C39" t="s">
        <v>258</v>
      </c>
      <c r="D39" t="s">
        <v>227</v>
      </c>
      <c r="E39" t="s">
        <v>227</v>
      </c>
      <c r="F39" t="s">
        <v>244</v>
      </c>
      <c r="G39" t="s">
        <v>224</v>
      </c>
      <c r="H39" s="17">
        <v>0</v>
      </c>
      <c r="I39" s="17">
        <v>0</v>
      </c>
      <c r="J39" s="5">
        <v>11.105119999999999</v>
      </c>
      <c r="K39" s="7">
        <v>0</v>
      </c>
      <c r="L39" s="7">
        <v>0</v>
      </c>
      <c r="M39" s="7">
        <v>0</v>
      </c>
      <c r="N39" s="7">
        <v>0</v>
      </c>
      <c r="O39" t="s">
        <v>259</v>
      </c>
    </row>
    <row r="40" spans="2:15" ht="10" customHeight="1" outlineLevel="2" x14ac:dyDescent="0.15">
      <c r="B40" t="s">
        <v>21</v>
      </c>
      <c r="C40" t="s">
        <v>260</v>
      </c>
      <c r="D40" t="s">
        <v>227</v>
      </c>
      <c r="E40" t="s">
        <v>227</v>
      </c>
      <c r="F40" t="s">
        <v>244</v>
      </c>
      <c r="G40" t="s">
        <v>224</v>
      </c>
      <c r="H40" s="17">
        <v>0</v>
      </c>
      <c r="I40" s="17">
        <v>0</v>
      </c>
      <c r="J40" s="5">
        <v>10.246959</v>
      </c>
      <c r="K40" s="7">
        <v>0</v>
      </c>
      <c r="L40" s="7">
        <v>0</v>
      </c>
      <c r="M40" s="7">
        <v>0</v>
      </c>
      <c r="N40" s="7">
        <v>0</v>
      </c>
      <c r="O40" t="s">
        <v>261</v>
      </c>
    </row>
    <row r="41" spans="2:15" ht="10" customHeight="1" outlineLevel="2" x14ac:dyDescent="0.15">
      <c r="B41" t="s">
        <v>21</v>
      </c>
      <c r="C41" t="s">
        <v>262</v>
      </c>
      <c r="D41" t="s">
        <v>227</v>
      </c>
      <c r="E41" t="s">
        <v>263</v>
      </c>
      <c r="F41" t="s">
        <v>244</v>
      </c>
      <c r="G41" t="s">
        <v>224</v>
      </c>
      <c r="H41" s="17">
        <v>0</v>
      </c>
      <c r="I41" s="17">
        <v>0</v>
      </c>
      <c r="J41" s="5">
        <v>9.8777369999999998</v>
      </c>
      <c r="K41" s="7">
        <v>0</v>
      </c>
      <c r="L41" s="7">
        <v>0</v>
      </c>
      <c r="M41" s="7">
        <v>0</v>
      </c>
      <c r="N41" s="7">
        <v>0</v>
      </c>
      <c r="O41" t="s">
        <v>264</v>
      </c>
    </row>
    <row r="42" spans="2:15" ht="10" customHeight="1" outlineLevel="2" x14ac:dyDescent="0.15">
      <c r="B42" t="s">
        <v>22</v>
      </c>
      <c r="C42" t="s">
        <v>265</v>
      </c>
      <c r="D42" t="s">
        <v>266</v>
      </c>
      <c r="E42" t="s">
        <v>222</v>
      </c>
      <c r="F42" t="s">
        <v>223</v>
      </c>
      <c r="G42" t="s">
        <v>224</v>
      </c>
      <c r="H42" s="17">
        <v>1</v>
      </c>
      <c r="I42" s="17">
        <v>0</v>
      </c>
      <c r="J42" s="5">
        <v>9473.5110000000004</v>
      </c>
      <c r="K42" s="7">
        <v>0.53</v>
      </c>
      <c r="L42" s="7">
        <v>0.25</v>
      </c>
      <c r="M42" s="7">
        <v>0.22</v>
      </c>
      <c r="N42" s="7">
        <v>0</v>
      </c>
      <c r="O42" t="s">
        <v>267</v>
      </c>
    </row>
    <row r="43" spans="2:15" ht="10" customHeight="1" outlineLevel="2" x14ac:dyDescent="0.15">
      <c r="B43" t="s">
        <v>22</v>
      </c>
      <c r="C43" t="s">
        <v>268</v>
      </c>
      <c r="D43" t="s">
        <v>266</v>
      </c>
      <c r="E43" t="s">
        <v>233</v>
      </c>
      <c r="F43" t="s">
        <v>269</v>
      </c>
      <c r="G43" t="s">
        <v>229</v>
      </c>
      <c r="H43" s="17">
        <v>0</v>
      </c>
      <c r="I43" s="17">
        <v>0</v>
      </c>
      <c r="J43" s="5">
        <v>698.94875999999999</v>
      </c>
      <c r="K43" s="7">
        <v>0.85</v>
      </c>
      <c r="L43" s="7">
        <v>0.15</v>
      </c>
      <c r="M43" s="7">
        <v>0</v>
      </c>
      <c r="N43" s="7">
        <v>0</v>
      </c>
      <c r="O43" t="s">
        <v>270</v>
      </c>
    </row>
    <row r="44" spans="2:15" ht="10" customHeight="1" outlineLevel="2" x14ac:dyDescent="0.15">
      <c r="B44" t="s">
        <v>23</v>
      </c>
      <c r="C44" t="s">
        <v>271</v>
      </c>
      <c r="D44" t="s">
        <v>272</v>
      </c>
      <c r="E44" t="s">
        <v>273</v>
      </c>
      <c r="F44" t="s">
        <v>223</v>
      </c>
      <c r="G44" t="s">
        <v>224</v>
      </c>
      <c r="H44" s="17">
        <v>1</v>
      </c>
      <c r="I44" s="17">
        <v>0</v>
      </c>
      <c r="J44" s="5">
        <v>6400</v>
      </c>
      <c r="K44" s="7">
        <v>0.69</v>
      </c>
      <c r="L44" s="7">
        <v>0</v>
      </c>
      <c r="M44" s="7">
        <v>0.31</v>
      </c>
      <c r="N44" s="7">
        <v>0</v>
      </c>
      <c r="O44" t="s">
        <v>274</v>
      </c>
    </row>
    <row r="45" spans="2:15" ht="10" customHeight="1" outlineLevel="2" x14ac:dyDescent="0.15">
      <c r="B45" t="s">
        <v>23</v>
      </c>
      <c r="C45" t="s">
        <v>271</v>
      </c>
      <c r="D45" t="s">
        <v>275</v>
      </c>
      <c r="E45" t="s">
        <v>276</v>
      </c>
      <c r="F45" t="s">
        <v>223</v>
      </c>
      <c r="G45" t="s">
        <v>224</v>
      </c>
      <c r="H45" s="17">
        <v>1</v>
      </c>
      <c r="I45" s="17">
        <v>0</v>
      </c>
      <c r="J45" s="5">
        <v>8180</v>
      </c>
      <c r="K45" s="7">
        <v>0</v>
      </c>
      <c r="L45" s="7">
        <v>0.77</v>
      </c>
      <c r="M45" s="7">
        <v>0.23</v>
      </c>
      <c r="N45" s="7">
        <v>0</v>
      </c>
      <c r="O45" t="s">
        <v>274</v>
      </c>
    </row>
    <row r="46" spans="2:15" ht="10" customHeight="1" outlineLevel="2" x14ac:dyDescent="0.15">
      <c r="B46" t="s">
        <v>23</v>
      </c>
      <c r="C46" t="s">
        <v>277</v>
      </c>
      <c r="D46" t="s">
        <v>278</v>
      </c>
      <c r="E46" t="s">
        <v>227</v>
      </c>
      <c r="F46" t="s">
        <v>223</v>
      </c>
      <c r="G46" t="s">
        <v>224</v>
      </c>
      <c r="H46" s="17">
        <v>0</v>
      </c>
      <c r="I46" s="17">
        <v>0</v>
      </c>
      <c r="J46" s="5">
        <v>230.49511100000001</v>
      </c>
      <c r="K46" s="7">
        <v>1</v>
      </c>
      <c r="L46" s="7">
        <v>0</v>
      </c>
      <c r="M46" s="7">
        <v>0</v>
      </c>
      <c r="N46" s="7">
        <v>0</v>
      </c>
      <c r="O46" t="s">
        <v>279</v>
      </c>
    </row>
    <row r="47" spans="2:15" ht="10" customHeight="1" outlineLevel="2" x14ac:dyDescent="0.15">
      <c r="B47" t="s">
        <v>23</v>
      </c>
      <c r="C47" t="s">
        <v>280</v>
      </c>
      <c r="D47" t="s">
        <v>278</v>
      </c>
      <c r="E47" t="s">
        <v>227</v>
      </c>
      <c r="F47" t="s">
        <v>223</v>
      </c>
      <c r="G47" t="s">
        <v>224</v>
      </c>
      <c r="H47" s="17">
        <v>0</v>
      </c>
      <c r="I47" s="17">
        <v>0</v>
      </c>
      <c r="J47" s="5">
        <v>216.493753</v>
      </c>
      <c r="K47" s="7">
        <v>1</v>
      </c>
      <c r="L47" s="7">
        <v>0</v>
      </c>
      <c r="M47" s="7">
        <v>0</v>
      </c>
      <c r="N47" s="7">
        <v>0</v>
      </c>
      <c r="O47" t="s">
        <v>281</v>
      </c>
    </row>
    <row r="48" spans="2:15" ht="10" customHeight="1" outlineLevel="2" x14ac:dyDescent="0.15">
      <c r="B48" t="s">
        <v>23</v>
      </c>
      <c r="C48" t="s">
        <v>282</v>
      </c>
      <c r="D48" t="s">
        <v>278</v>
      </c>
      <c r="E48" t="s">
        <v>227</v>
      </c>
      <c r="F48" t="s">
        <v>223</v>
      </c>
      <c r="G48" t="s">
        <v>224</v>
      </c>
      <c r="H48" s="17">
        <v>0</v>
      </c>
      <c r="I48" s="17">
        <v>0</v>
      </c>
      <c r="J48" s="5">
        <v>202.73309</v>
      </c>
      <c r="K48" s="7">
        <v>1</v>
      </c>
      <c r="L48" s="7">
        <v>0</v>
      </c>
      <c r="M48" s="7">
        <v>0</v>
      </c>
      <c r="N48" s="7">
        <v>0</v>
      </c>
      <c r="O48" t="s">
        <v>283</v>
      </c>
    </row>
    <row r="49" spans="2:15" ht="10" customHeight="1" outlineLevel="2" x14ac:dyDescent="0.15">
      <c r="B49" t="s">
        <v>23</v>
      </c>
      <c r="C49" t="s">
        <v>284</v>
      </c>
      <c r="D49" t="s">
        <v>272</v>
      </c>
      <c r="E49" t="s">
        <v>227</v>
      </c>
      <c r="F49" t="s">
        <v>223</v>
      </c>
      <c r="G49" t="s">
        <v>224</v>
      </c>
      <c r="H49" s="17">
        <v>0</v>
      </c>
      <c r="I49" s="17">
        <v>0</v>
      </c>
      <c r="J49" s="5">
        <v>61.088450000000002</v>
      </c>
      <c r="K49" s="7">
        <v>0</v>
      </c>
      <c r="L49" s="7">
        <v>0</v>
      </c>
      <c r="M49" s="7">
        <v>0</v>
      </c>
      <c r="N49" s="7">
        <v>0</v>
      </c>
      <c r="O49" t="s">
        <v>285</v>
      </c>
    </row>
    <row r="50" spans="2:15" ht="10" customHeight="1" outlineLevel="2" x14ac:dyDescent="0.15">
      <c r="B50" t="s">
        <v>23</v>
      </c>
      <c r="C50" t="s">
        <v>286</v>
      </c>
      <c r="D50" t="s">
        <v>287</v>
      </c>
      <c r="E50" t="s">
        <v>227</v>
      </c>
      <c r="F50" t="s">
        <v>223</v>
      </c>
      <c r="G50" t="s">
        <v>224</v>
      </c>
      <c r="H50" s="17">
        <v>0</v>
      </c>
      <c r="I50" s="17">
        <v>0</v>
      </c>
      <c r="J50" s="5">
        <v>58.891505000000002</v>
      </c>
      <c r="K50" s="7">
        <v>0.99</v>
      </c>
      <c r="L50" s="7">
        <v>0</v>
      </c>
      <c r="M50" s="7">
        <v>0</v>
      </c>
      <c r="N50" s="7">
        <v>0</v>
      </c>
      <c r="O50" t="s">
        <v>288</v>
      </c>
    </row>
    <row r="51" spans="2:15" ht="10" customHeight="1" outlineLevel="2" x14ac:dyDescent="0.15">
      <c r="B51" t="s">
        <v>23</v>
      </c>
      <c r="C51" t="s">
        <v>289</v>
      </c>
      <c r="D51" t="s">
        <v>290</v>
      </c>
      <c r="E51" t="s">
        <v>291</v>
      </c>
      <c r="F51" t="s">
        <v>223</v>
      </c>
      <c r="G51" t="s">
        <v>224</v>
      </c>
      <c r="H51" s="17">
        <v>0</v>
      </c>
      <c r="I51" s="17">
        <v>0</v>
      </c>
      <c r="J51" s="5">
        <v>44.492212000000002</v>
      </c>
      <c r="K51" s="7">
        <v>1</v>
      </c>
      <c r="L51" s="7">
        <v>0</v>
      </c>
      <c r="M51" s="7">
        <v>0</v>
      </c>
      <c r="N51" s="7">
        <v>0</v>
      </c>
      <c r="O51" t="s">
        <v>292</v>
      </c>
    </row>
    <row r="52" spans="2:15" ht="10" customHeight="1" outlineLevel="2" x14ac:dyDescent="0.15">
      <c r="B52" t="s">
        <v>23</v>
      </c>
      <c r="C52" t="s">
        <v>293</v>
      </c>
      <c r="D52" t="s">
        <v>294</v>
      </c>
      <c r="E52" t="s">
        <v>295</v>
      </c>
      <c r="F52" t="s">
        <v>223</v>
      </c>
      <c r="G52" t="s">
        <v>224</v>
      </c>
      <c r="H52" s="17">
        <v>0</v>
      </c>
      <c r="I52" s="17">
        <v>0</v>
      </c>
      <c r="J52" s="5">
        <v>36.387610000000002</v>
      </c>
      <c r="K52" s="7">
        <v>0</v>
      </c>
      <c r="L52" s="7">
        <v>0.98</v>
      </c>
      <c r="M52" s="7">
        <v>0</v>
      </c>
      <c r="N52" s="7">
        <v>0</v>
      </c>
      <c r="O52" t="s">
        <v>296</v>
      </c>
    </row>
    <row r="53" spans="2:15" ht="10" customHeight="1" outlineLevel="2" x14ac:dyDescent="0.15">
      <c r="B53" t="s">
        <v>23</v>
      </c>
      <c r="C53" t="s">
        <v>286</v>
      </c>
      <c r="D53" t="s">
        <v>294</v>
      </c>
      <c r="E53" t="s">
        <v>295</v>
      </c>
      <c r="F53" t="s">
        <v>223</v>
      </c>
      <c r="G53" t="s">
        <v>224</v>
      </c>
      <c r="H53" s="17">
        <v>0</v>
      </c>
      <c r="I53" s="17">
        <v>0</v>
      </c>
      <c r="J53" s="5">
        <v>25.781609</v>
      </c>
      <c r="K53" s="7">
        <v>0</v>
      </c>
      <c r="L53" s="7">
        <v>0.98</v>
      </c>
      <c r="M53" s="7">
        <v>0</v>
      </c>
      <c r="N53" s="7">
        <v>0</v>
      </c>
      <c r="O53" t="s">
        <v>288</v>
      </c>
    </row>
    <row r="54" spans="2:15" ht="10" customHeight="1" outlineLevel="2" x14ac:dyDescent="0.15">
      <c r="B54" t="s">
        <v>23</v>
      </c>
      <c r="C54" t="s">
        <v>297</v>
      </c>
      <c r="D54" t="s">
        <v>298</v>
      </c>
      <c r="E54" t="s">
        <v>299</v>
      </c>
      <c r="F54" t="s">
        <v>223</v>
      </c>
      <c r="G54" t="s">
        <v>224</v>
      </c>
      <c r="H54" s="17">
        <v>0</v>
      </c>
      <c r="I54" s="17">
        <v>0</v>
      </c>
      <c r="J54" s="5">
        <v>23.802295999999998</v>
      </c>
      <c r="K54" s="7">
        <v>0</v>
      </c>
      <c r="L54" s="7">
        <v>0</v>
      </c>
      <c r="M54" s="7">
        <v>1</v>
      </c>
      <c r="N54" s="7">
        <v>0</v>
      </c>
      <c r="O54" t="s">
        <v>300</v>
      </c>
    </row>
    <row r="55" spans="2:15" ht="10" customHeight="1" outlineLevel="2" x14ac:dyDescent="0.15">
      <c r="B55" t="s">
        <v>23</v>
      </c>
      <c r="C55" t="s">
        <v>301</v>
      </c>
      <c r="D55" t="s">
        <v>302</v>
      </c>
      <c r="E55" t="s">
        <v>303</v>
      </c>
      <c r="F55" t="s">
        <v>223</v>
      </c>
      <c r="G55" t="s">
        <v>224</v>
      </c>
      <c r="H55" s="17">
        <v>0</v>
      </c>
      <c r="I55" s="17">
        <v>0</v>
      </c>
      <c r="J55" s="5">
        <v>13.820527</v>
      </c>
      <c r="K55" s="7">
        <v>0</v>
      </c>
      <c r="L55" s="7">
        <v>0</v>
      </c>
      <c r="M55" s="7">
        <v>1</v>
      </c>
      <c r="N55" s="7">
        <v>0</v>
      </c>
      <c r="O55" t="s">
        <v>304</v>
      </c>
    </row>
    <row r="56" spans="2:15" ht="10" customHeight="1" outlineLevel="2" x14ac:dyDescent="0.15">
      <c r="B56" t="s">
        <v>23</v>
      </c>
      <c r="C56" t="s">
        <v>305</v>
      </c>
      <c r="D56" t="s">
        <v>227</v>
      </c>
      <c r="E56" t="s">
        <v>227</v>
      </c>
      <c r="F56" t="s">
        <v>223</v>
      </c>
      <c r="G56" t="s">
        <v>224</v>
      </c>
      <c r="H56" s="17">
        <v>0</v>
      </c>
      <c r="I56" s="17">
        <v>0</v>
      </c>
      <c r="J56" s="5">
        <v>13.064780000000001</v>
      </c>
      <c r="K56" s="7">
        <v>0</v>
      </c>
      <c r="L56" s="7">
        <v>0</v>
      </c>
      <c r="M56" s="7">
        <v>0</v>
      </c>
      <c r="N56" s="7">
        <v>0</v>
      </c>
      <c r="O56" t="s">
        <v>306</v>
      </c>
    </row>
    <row r="57" spans="2:15" ht="10" customHeight="1" outlineLevel="2" x14ac:dyDescent="0.15">
      <c r="B57" t="s">
        <v>23</v>
      </c>
      <c r="C57" t="s">
        <v>307</v>
      </c>
      <c r="D57" t="s">
        <v>227</v>
      </c>
      <c r="E57" t="s">
        <v>308</v>
      </c>
      <c r="F57" t="s">
        <v>223</v>
      </c>
      <c r="G57" t="s">
        <v>224</v>
      </c>
      <c r="H57" s="17">
        <v>0</v>
      </c>
      <c r="I57" s="17">
        <v>0</v>
      </c>
      <c r="J57" s="5">
        <v>12.475982999999999</v>
      </c>
      <c r="K57" s="7">
        <v>0</v>
      </c>
      <c r="L57" s="7">
        <v>0</v>
      </c>
      <c r="M57" s="7">
        <v>0</v>
      </c>
      <c r="N57" s="7">
        <v>0</v>
      </c>
      <c r="O57" t="s">
        <v>309</v>
      </c>
    </row>
    <row r="58" spans="2:15" ht="10" customHeight="1" outlineLevel="2" x14ac:dyDescent="0.15">
      <c r="B58" t="s">
        <v>23</v>
      </c>
      <c r="C58" t="s">
        <v>310</v>
      </c>
      <c r="D58" t="s">
        <v>298</v>
      </c>
      <c r="E58" t="s">
        <v>311</v>
      </c>
      <c r="F58" t="s">
        <v>223</v>
      </c>
      <c r="G58" t="s">
        <v>224</v>
      </c>
      <c r="H58" s="17">
        <v>0</v>
      </c>
      <c r="I58" s="17">
        <v>0</v>
      </c>
      <c r="J58" s="5">
        <v>11.526652</v>
      </c>
      <c r="K58" s="7">
        <v>0</v>
      </c>
      <c r="L58" s="7">
        <v>0</v>
      </c>
      <c r="M58" s="7">
        <v>1</v>
      </c>
      <c r="N58" s="7">
        <v>0</v>
      </c>
      <c r="O58" t="s">
        <v>312</v>
      </c>
    </row>
    <row r="59" spans="2:15" ht="10" customHeight="1" outlineLevel="2" x14ac:dyDescent="0.15">
      <c r="B59" t="s">
        <v>23</v>
      </c>
      <c r="C59" t="s">
        <v>313</v>
      </c>
      <c r="D59" t="s">
        <v>227</v>
      </c>
      <c r="E59" t="s">
        <v>227</v>
      </c>
      <c r="F59" t="s">
        <v>223</v>
      </c>
      <c r="G59" t="s">
        <v>224</v>
      </c>
      <c r="H59" s="17">
        <v>0</v>
      </c>
      <c r="I59" s="17">
        <v>0</v>
      </c>
      <c r="J59" s="5">
        <v>10.214192000000001</v>
      </c>
      <c r="K59" s="7">
        <v>0.3</v>
      </c>
      <c r="L59" s="7">
        <v>0</v>
      </c>
      <c r="M59" s="7">
        <v>0.7</v>
      </c>
      <c r="N59" s="7">
        <v>0</v>
      </c>
      <c r="O59" t="s">
        <v>314</v>
      </c>
    </row>
    <row r="60" spans="2:15" ht="10" customHeight="1" outlineLevel="2" x14ac:dyDescent="0.15">
      <c r="B60" t="s">
        <v>23</v>
      </c>
      <c r="C60" t="s">
        <v>315</v>
      </c>
      <c r="D60" t="s">
        <v>316</v>
      </c>
      <c r="E60" t="s">
        <v>308</v>
      </c>
      <c r="F60" t="s">
        <v>223</v>
      </c>
      <c r="G60" t="s">
        <v>224</v>
      </c>
      <c r="H60" s="17">
        <v>0</v>
      </c>
      <c r="I60" s="17">
        <v>0</v>
      </c>
      <c r="J60" s="5">
        <v>10.132040999999999</v>
      </c>
      <c r="K60" s="7">
        <v>0</v>
      </c>
      <c r="L60" s="7">
        <v>0.7</v>
      </c>
      <c r="M60" s="7">
        <v>0.3</v>
      </c>
      <c r="N60" s="7">
        <v>0</v>
      </c>
      <c r="O60" t="s">
        <v>317</v>
      </c>
    </row>
    <row r="61" spans="2:15" ht="10" customHeight="1" outlineLevel="2" x14ac:dyDescent="0.15">
      <c r="B61" t="s">
        <v>23</v>
      </c>
      <c r="C61" t="s">
        <v>318</v>
      </c>
      <c r="D61" t="s">
        <v>319</v>
      </c>
      <c r="E61" t="s">
        <v>273</v>
      </c>
      <c r="F61" t="s">
        <v>223</v>
      </c>
      <c r="G61" t="s">
        <v>224</v>
      </c>
      <c r="H61" s="17">
        <v>0</v>
      </c>
      <c r="I61" s="17">
        <v>0</v>
      </c>
      <c r="J61" s="5">
        <v>9.6096330000000005</v>
      </c>
      <c r="K61" s="7">
        <v>0.99</v>
      </c>
      <c r="L61" s="7">
        <v>0</v>
      </c>
      <c r="M61" s="7">
        <v>0</v>
      </c>
      <c r="N61" s="7">
        <v>0</v>
      </c>
      <c r="O61" t="s">
        <v>320</v>
      </c>
    </row>
    <row r="62" spans="2:15" ht="10" customHeight="1" outlineLevel="2" x14ac:dyDescent="0.15">
      <c r="B62" t="s">
        <v>23</v>
      </c>
      <c r="C62" t="s">
        <v>321</v>
      </c>
      <c r="D62" t="s">
        <v>227</v>
      </c>
      <c r="E62" t="s">
        <v>227</v>
      </c>
      <c r="F62" t="s">
        <v>223</v>
      </c>
      <c r="G62" t="s">
        <v>224</v>
      </c>
      <c r="H62" s="17">
        <v>0</v>
      </c>
      <c r="I62" s="17">
        <v>0</v>
      </c>
      <c r="J62" s="5">
        <v>9.1651740000000004</v>
      </c>
      <c r="K62" s="7">
        <v>0.3</v>
      </c>
      <c r="L62" s="7">
        <v>0</v>
      </c>
      <c r="M62" s="7">
        <v>0.7</v>
      </c>
      <c r="N62" s="7">
        <v>0</v>
      </c>
      <c r="O62" t="s">
        <v>322</v>
      </c>
    </row>
    <row r="63" spans="2:15" ht="10" customHeight="1" outlineLevel="2" x14ac:dyDescent="0.15">
      <c r="B63" t="s">
        <v>23</v>
      </c>
      <c r="C63" t="s">
        <v>323</v>
      </c>
      <c r="D63" t="s">
        <v>324</v>
      </c>
      <c r="E63" t="s">
        <v>291</v>
      </c>
      <c r="F63" t="s">
        <v>223</v>
      </c>
      <c r="G63" t="s">
        <v>224</v>
      </c>
      <c r="H63" s="17">
        <v>0</v>
      </c>
      <c r="I63" s="17">
        <v>0</v>
      </c>
      <c r="J63" s="5">
        <v>8.0379860000000001</v>
      </c>
      <c r="K63" s="7">
        <v>0</v>
      </c>
      <c r="L63" s="7">
        <v>0</v>
      </c>
      <c r="M63" s="7">
        <v>0.64</v>
      </c>
      <c r="N63" s="7">
        <v>0</v>
      </c>
      <c r="O63" t="s">
        <v>325</v>
      </c>
    </row>
    <row r="64" spans="2:15" ht="10" customHeight="1" outlineLevel="2" x14ac:dyDescent="0.15">
      <c r="B64" t="s">
        <v>23</v>
      </c>
      <c r="C64" t="s">
        <v>326</v>
      </c>
      <c r="D64" t="s">
        <v>227</v>
      </c>
      <c r="E64" t="s">
        <v>227</v>
      </c>
      <c r="F64" t="s">
        <v>223</v>
      </c>
      <c r="G64" t="s">
        <v>224</v>
      </c>
      <c r="H64" s="17">
        <v>0</v>
      </c>
      <c r="I64" s="17">
        <v>0</v>
      </c>
      <c r="J64" s="5">
        <v>8.0009049999999995</v>
      </c>
      <c r="K64" s="7">
        <v>0</v>
      </c>
      <c r="L64" s="7">
        <v>0</v>
      </c>
      <c r="M64" s="7">
        <v>1</v>
      </c>
      <c r="N64" s="7">
        <v>0</v>
      </c>
      <c r="O64" t="s">
        <v>327</v>
      </c>
    </row>
    <row r="65" spans="2:15" ht="10" customHeight="1" outlineLevel="2" x14ac:dyDescent="0.15">
      <c r="B65" t="s">
        <v>23</v>
      </c>
      <c r="C65" t="s">
        <v>328</v>
      </c>
      <c r="D65" t="s">
        <v>319</v>
      </c>
      <c r="E65" t="s">
        <v>273</v>
      </c>
      <c r="F65" t="s">
        <v>223</v>
      </c>
      <c r="G65" t="s">
        <v>224</v>
      </c>
      <c r="H65" s="17">
        <v>0</v>
      </c>
      <c r="I65" s="17">
        <v>0</v>
      </c>
      <c r="J65" s="5">
        <v>7.802168</v>
      </c>
      <c r="K65" s="7">
        <v>0.99</v>
      </c>
      <c r="L65" s="7">
        <v>0</v>
      </c>
      <c r="M65" s="7">
        <v>0</v>
      </c>
      <c r="N65" s="7">
        <v>0</v>
      </c>
      <c r="O65" t="s">
        <v>329</v>
      </c>
    </row>
    <row r="66" spans="2:15" ht="10" customHeight="1" outlineLevel="2" x14ac:dyDescent="0.15">
      <c r="B66" t="s">
        <v>23</v>
      </c>
      <c r="C66" t="s">
        <v>330</v>
      </c>
      <c r="D66" t="s">
        <v>331</v>
      </c>
      <c r="E66" t="s">
        <v>227</v>
      </c>
      <c r="F66" t="s">
        <v>223</v>
      </c>
      <c r="G66" t="s">
        <v>224</v>
      </c>
      <c r="H66" s="17">
        <v>0</v>
      </c>
      <c r="I66" s="17">
        <v>0</v>
      </c>
      <c r="J66" s="5">
        <v>0</v>
      </c>
      <c r="K66" s="7">
        <v>0</v>
      </c>
      <c r="L66" s="7">
        <v>1</v>
      </c>
      <c r="M66" s="7">
        <v>0</v>
      </c>
      <c r="N66" s="7">
        <v>0</v>
      </c>
      <c r="O66" t="s">
        <v>332</v>
      </c>
    </row>
    <row r="67" spans="2:15" ht="10" customHeight="1" outlineLevel="2" x14ac:dyDescent="0.15">
      <c r="B67" t="s">
        <v>23</v>
      </c>
      <c r="C67" t="s">
        <v>333</v>
      </c>
      <c r="D67" t="s">
        <v>331</v>
      </c>
      <c r="E67" t="s">
        <v>227</v>
      </c>
      <c r="F67" t="s">
        <v>223</v>
      </c>
      <c r="G67" t="s">
        <v>224</v>
      </c>
      <c r="H67" s="17">
        <v>0</v>
      </c>
      <c r="I67" s="17">
        <v>0</v>
      </c>
      <c r="J67" s="5">
        <v>0</v>
      </c>
      <c r="K67" s="7">
        <v>0</v>
      </c>
      <c r="L67" s="7">
        <v>1</v>
      </c>
      <c r="M67" s="7">
        <v>0</v>
      </c>
      <c r="N67" s="7">
        <v>0</v>
      </c>
      <c r="O67" t="s">
        <v>334</v>
      </c>
    </row>
    <row r="68" spans="2:15" ht="11" outlineLevel="2" x14ac:dyDescent="0.15">
      <c r="B68" t="s">
        <v>23</v>
      </c>
      <c r="C68" t="s">
        <v>335</v>
      </c>
      <c r="D68" t="s">
        <v>272</v>
      </c>
      <c r="E68" t="s">
        <v>227</v>
      </c>
      <c r="F68" t="s">
        <v>223</v>
      </c>
      <c r="G68" t="s">
        <v>224</v>
      </c>
      <c r="H68" s="17">
        <v>0</v>
      </c>
      <c r="I68" s="17">
        <v>0</v>
      </c>
      <c r="J68" s="5">
        <v>0</v>
      </c>
      <c r="K68" s="7">
        <v>1</v>
      </c>
      <c r="L68" s="7">
        <v>0</v>
      </c>
      <c r="M68" s="7">
        <v>0</v>
      </c>
      <c r="N68" s="7">
        <v>0</v>
      </c>
      <c r="O68" t="s">
        <v>336</v>
      </c>
    </row>
    <row r="69" spans="2:15" ht="11" outlineLevel="2" x14ac:dyDescent="0.15">
      <c r="B69" t="s">
        <v>23</v>
      </c>
      <c r="C69" t="s">
        <v>337</v>
      </c>
      <c r="D69" t="s">
        <v>338</v>
      </c>
      <c r="E69" t="s">
        <v>227</v>
      </c>
      <c r="F69" t="s">
        <v>223</v>
      </c>
      <c r="G69" t="s">
        <v>224</v>
      </c>
      <c r="H69" s="17">
        <v>0</v>
      </c>
      <c r="I69" s="17">
        <v>0</v>
      </c>
      <c r="J69" s="5">
        <v>0</v>
      </c>
      <c r="K69" s="7">
        <v>0.99</v>
      </c>
      <c r="L69" s="7">
        <v>0.84</v>
      </c>
      <c r="M69" s="7">
        <v>0.17</v>
      </c>
      <c r="N69" s="7">
        <v>0</v>
      </c>
      <c r="O69" t="s">
        <v>339</v>
      </c>
    </row>
    <row r="70" spans="2:15" ht="11" outlineLevel="2" x14ac:dyDescent="0.15">
      <c r="B70" t="s">
        <v>23</v>
      </c>
      <c r="C70" t="s">
        <v>310</v>
      </c>
      <c r="D70" t="s">
        <v>272</v>
      </c>
      <c r="E70" t="s">
        <v>227</v>
      </c>
      <c r="F70" t="s">
        <v>223</v>
      </c>
      <c r="G70" t="s">
        <v>224</v>
      </c>
      <c r="H70" s="17">
        <v>0</v>
      </c>
      <c r="I70" s="17">
        <v>0</v>
      </c>
      <c r="J70" s="5">
        <v>0</v>
      </c>
      <c r="K70" s="7">
        <v>0.69</v>
      </c>
      <c r="L70" s="7">
        <v>0</v>
      </c>
      <c r="M70" s="7">
        <v>0.12</v>
      </c>
      <c r="N70" s="7">
        <v>0</v>
      </c>
      <c r="O70" t="s">
        <v>312</v>
      </c>
    </row>
    <row r="71" spans="2:15" ht="11" outlineLevel="2" x14ac:dyDescent="0.15">
      <c r="B71" t="s">
        <v>23</v>
      </c>
      <c r="C71" t="s">
        <v>340</v>
      </c>
      <c r="D71" t="s">
        <v>272</v>
      </c>
      <c r="E71" t="s">
        <v>273</v>
      </c>
      <c r="F71" t="s">
        <v>223</v>
      </c>
      <c r="G71" t="s">
        <v>224</v>
      </c>
      <c r="H71" s="17">
        <v>0</v>
      </c>
      <c r="I71" s="17">
        <v>0</v>
      </c>
      <c r="J71" s="5">
        <v>0</v>
      </c>
      <c r="K71" s="7">
        <v>0.69</v>
      </c>
      <c r="L71" s="7">
        <v>0</v>
      </c>
      <c r="M71" s="7">
        <v>0.1</v>
      </c>
      <c r="N71" s="7">
        <v>0</v>
      </c>
      <c r="O71" t="s">
        <v>341</v>
      </c>
    </row>
    <row r="72" spans="2:15" ht="11" outlineLevel="2" x14ac:dyDescent="0.15">
      <c r="B72" t="s">
        <v>23</v>
      </c>
      <c r="C72" t="s">
        <v>340</v>
      </c>
      <c r="D72" t="s">
        <v>275</v>
      </c>
      <c r="E72" t="s">
        <v>227</v>
      </c>
      <c r="F72" t="s">
        <v>223</v>
      </c>
      <c r="G72" t="s">
        <v>224</v>
      </c>
      <c r="H72" s="17">
        <v>0</v>
      </c>
      <c r="I72" s="17">
        <v>0</v>
      </c>
      <c r="J72" s="5">
        <v>0</v>
      </c>
      <c r="K72" s="7">
        <v>0</v>
      </c>
      <c r="L72" s="7">
        <v>0.77</v>
      </c>
      <c r="M72" s="7">
        <v>0</v>
      </c>
      <c r="N72" s="7">
        <v>0</v>
      </c>
      <c r="O72" t="s">
        <v>341</v>
      </c>
    </row>
    <row r="73" spans="2:15" ht="11" outlineLevel="2" x14ac:dyDescent="0.15">
      <c r="B73" t="s">
        <v>23</v>
      </c>
      <c r="C73" t="s">
        <v>342</v>
      </c>
      <c r="D73" t="s">
        <v>275</v>
      </c>
      <c r="E73" t="s">
        <v>295</v>
      </c>
      <c r="F73" t="s">
        <v>223</v>
      </c>
      <c r="G73" t="s">
        <v>224</v>
      </c>
      <c r="H73" s="17">
        <v>0</v>
      </c>
      <c r="I73" s="17">
        <v>0</v>
      </c>
      <c r="J73" s="5">
        <v>0</v>
      </c>
      <c r="K73" s="7">
        <v>0</v>
      </c>
      <c r="L73" s="7">
        <v>0.79</v>
      </c>
      <c r="M73" s="7">
        <v>0</v>
      </c>
      <c r="N73" s="7">
        <v>0</v>
      </c>
      <c r="O73" t="s">
        <v>343</v>
      </c>
    </row>
    <row r="74" spans="2:15" ht="11" outlineLevel="2" x14ac:dyDescent="0.15">
      <c r="B74" t="s">
        <v>23</v>
      </c>
      <c r="C74" t="s">
        <v>344</v>
      </c>
      <c r="D74" t="s">
        <v>338</v>
      </c>
      <c r="E74" t="s">
        <v>227</v>
      </c>
      <c r="F74" t="s">
        <v>223</v>
      </c>
      <c r="G74" t="s">
        <v>224</v>
      </c>
      <c r="H74" s="17">
        <v>0</v>
      </c>
      <c r="I74" s="17">
        <v>0</v>
      </c>
      <c r="J74" s="5">
        <v>0</v>
      </c>
      <c r="K74" s="7">
        <v>0.99</v>
      </c>
      <c r="L74" s="7">
        <v>0.84</v>
      </c>
      <c r="M74" s="7">
        <v>0.17</v>
      </c>
      <c r="N74" s="7">
        <v>0</v>
      </c>
      <c r="O74" t="s">
        <v>345</v>
      </c>
    </row>
    <row r="75" spans="2:15" ht="11" outlineLevel="2" x14ac:dyDescent="0.15">
      <c r="B75" t="s">
        <v>23</v>
      </c>
      <c r="C75" t="s">
        <v>346</v>
      </c>
      <c r="D75" t="s">
        <v>347</v>
      </c>
      <c r="E75" t="s">
        <v>273</v>
      </c>
      <c r="F75" t="s">
        <v>223</v>
      </c>
      <c r="G75" t="s">
        <v>224</v>
      </c>
      <c r="H75" s="17">
        <v>1</v>
      </c>
      <c r="I75" s="17">
        <v>1</v>
      </c>
      <c r="J75" s="5">
        <v>3904.7359999999999</v>
      </c>
      <c r="K75" s="7">
        <v>0.61</v>
      </c>
      <c r="L75" s="7">
        <v>0</v>
      </c>
      <c r="M75" s="7">
        <v>0.39</v>
      </c>
      <c r="N75" s="7">
        <v>0</v>
      </c>
      <c r="O75" t="s">
        <v>348</v>
      </c>
    </row>
    <row r="76" spans="2:15" ht="11" outlineLevel="2" x14ac:dyDescent="0.15">
      <c r="B76" t="s">
        <v>23</v>
      </c>
      <c r="C76" t="s">
        <v>346</v>
      </c>
      <c r="D76" t="s">
        <v>349</v>
      </c>
      <c r="E76" t="s">
        <v>276</v>
      </c>
      <c r="F76" t="s">
        <v>223</v>
      </c>
      <c r="G76" t="s">
        <v>224</v>
      </c>
      <c r="H76" s="17">
        <v>1</v>
      </c>
      <c r="I76" s="17">
        <v>1</v>
      </c>
      <c r="J76" s="5">
        <v>5104.6689999999999</v>
      </c>
      <c r="K76" s="7">
        <v>0</v>
      </c>
      <c r="L76" s="7">
        <v>0.91</v>
      </c>
      <c r="M76" s="7">
        <v>0.09</v>
      </c>
      <c r="N76" s="7">
        <v>0</v>
      </c>
      <c r="O76" t="s">
        <v>348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03864"/>
    <outlinePr summaryBelow="0"/>
  </sheetPr>
  <dimension ref="A2:H40"/>
  <sheetViews>
    <sheetView showGridLines="0" showOutlineSymbols="0" workbookViewId="0"/>
  </sheetViews>
  <sheetFormatPr baseColWidth="10" defaultColWidth="8.75" defaultRowHeight="10" customHeight="1" outlineLevelRow="3" x14ac:dyDescent="0.15"/>
  <cols>
    <col min="1" max="1" width="2.25" customWidth="1"/>
    <col min="2" max="2" width="44" customWidth="1"/>
    <col min="3" max="8" width="12" customWidth="1"/>
  </cols>
  <sheetData>
    <row r="2" spans="1:8" ht="10" customHeight="1" x14ac:dyDescent="0.15">
      <c r="A2" t="s">
        <v>0</v>
      </c>
      <c r="B2" s="8" t="s">
        <v>350</v>
      </c>
      <c r="C2" s="8"/>
      <c r="D2" s="8"/>
      <c r="E2" s="8"/>
      <c r="F2" s="8"/>
      <c r="G2" s="8"/>
      <c r="H2" s="8"/>
    </row>
    <row r="3" spans="1:8" ht="10" customHeight="1" outlineLevel="1" x14ac:dyDescent="0.15">
      <c r="B3" s="18" t="s">
        <v>351</v>
      </c>
    </row>
    <row r="4" spans="1:8" ht="10" customHeight="1" outlineLevel="1" x14ac:dyDescent="0.15"/>
    <row r="5" spans="1:8" ht="10" customHeight="1" outlineLevel="1" x14ac:dyDescent="0.15"/>
    <row r="6" spans="1:8" ht="10" customHeight="1" outlineLevel="1" x14ac:dyDescent="0.15">
      <c r="A6" t="s">
        <v>0</v>
      </c>
      <c r="B6" s="9" t="s">
        <v>352</v>
      </c>
      <c r="C6" s="9"/>
      <c r="D6" s="9"/>
      <c r="E6" s="9"/>
      <c r="F6" s="9"/>
      <c r="G6" s="9"/>
      <c r="H6" s="9"/>
    </row>
    <row r="7" spans="1:8" ht="10" customHeight="1" outlineLevel="2" x14ac:dyDescent="0.15"/>
    <row r="8" spans="1:8" ht="10" customHeight="1" outlineLevel="2" x14ac:dyDescent="0.15">
      <c r="B8" s="2" t="s">
        <v>353</v>
      </c>
      <c r="C8" s="2" t="s">
        <v>354</v>
      </c>
      <c r="D8" s="15" t="s">
        <v>355</v>
      </c>
    </row>
    <row r="9" spans="1:8" ht="10" customHeight="1" outlineLevel="2" x14ac:dyDescent="0.15">
      <c r="B9" s="1" t="s">
        <v>356</v>
      </c>
      <c r="C9" t="s">
        <v>357</v>
      </c>
      <c r="D9" s="5">
        <v>4600</v>
      </c>
    </row>
    <row r="10" spans="1:8" ht="10" customHeight="1" outlineLevel="2" x14ac:dyDescent="0.15">
      <c r="B10" s="1" t="s">
        <v>358</v>
      </c>
      <c r="C10" t="s">
        <v>359</v>
      </c>
      <c r="D10" s="5">
        <v>5400</v>
      </c>
    </row>
    <row r="11" spans="1:8" ht="10" customHeight="1" outlineLevel="2" x14ac:dyDescent="0.15"/>
    <row r="12" spans="1:8" ht="10" customHeight="1" outlineLevel="2" x14ac:dyDescent="0.15"/>
    <row r="13" spans="1:8" ht="10" customHeight="1" outlineLevel="1" x14ac:dyDescent="0.15">
      <c r="A13" t="s">
        <v>0</v>
      </c>
      <c r="B13" s="9" t="s">
        <v>360</v>
      </c>
      <c r="C13" s="9"/>
      <c r="D13" s="9"/>
      <c r="E13" s="9"/>
      <c r="F13" s="9"/>
      <c r="G13" s="9"/>
      <c r="H13" s="9"/>
    </row>
    <row r="14" spans="1:8" ht="10" customHeight="1" outlineLevel="2" x14ac:dyDescent="0.15"/>
    <row r="15" spans="1:8" ht="10" customHeight="1" outlineLevel="2" x14ac:dyDescent="0.15">
      <c r="B15" s="2" t="s">
        <v>112</v>
      </c>
      <c r="C15" s="15" t="s">
        <v>14</v>
      </c>
      <c r="D15" s="15" t="s">
        <v>15</v>
      </c>
      <c r="E15" s="15" t="s">
        <v>16</v>
      </c>
      <c r="F15" s="15" t="s">
        <v>17</v>
      </c>
      <c r="G15" s="15" t="s">
        <v>113</v>
      </c>
      <c r="H15" s="15" t="s">
        <v>114</v>
      </c>
    </row>
    <row r="16" spans="1:8" ht="10" customHeight="1" outlineLevel="2" x14ac:dyDescent="0.15">
      <c r="B16" s="1" t="s">
        <v>361</v>
      </c>
      <c r="C16" s="5">
        <v>0</v>
      </c>
      <c r="D16" s="5">
        <v>0</v>
      </c>
      <c r="E16" s="5">
        <v>0</v>
      </c>
      <c r="F16" s="5">
        <v>0</v>
      </c>
      <c r="G16" s="5">
        <v>4600</v>
      </c>
      <c r="H16" s="5">
        <v>0</v>
      </c>
    </row>
    <row r="17" spans="1:8" ht="10" customHeight="1" outlineLevel="2" x14ac:dyDescent="0.15">
      <c r="B17" t="s">
        <v>362</v>
      </c>
      <c r="C17" s="4">
        <f>C16*Deflators!D9</f>
        <v>0</v>
      </c>
      <c r="D17" s="4">
        <f>D16*Deflators!D10</f>
        <v>0</v>
      </c>
      <c r="E17" s="4">
        <f>E16*Deflators!D11</f>
        <v>0</v>
      </c>
      <c r="F17" s="4">
        <f>F16*Deflators!D12</f>
        <v>0</v>
      </c>
      <c r="G17" s="4">
        <f>G16*Deflators!D13</f>
        <v>4600</v>
      </c>
      <c r="H17" s="4">
        <f>H16*Deflators!D14</f>
        <v>0</v>
      </c>
    </row>
    <row r="18" spans="1:8" ht="10" customHeight="1" outlineLevel="2" x14ac:dyDescent="0.15">
      <c r="B18" t="s">
        <v>363</v>
      </c>
      <c r="C18" s="4">
        <v>0</v>
      </c>
      <c r="D18" s="4">
        <v>0</v>
      </c>
      <c r="E18" s="4">
        <v>0</v>
      </c>
      <c r="F18" s="4">
        <v>0</v>
      </c>
      <c r="G18" s="4">
        <f>G16*(1-Assumptions!C18)*Deflators!D13</f>
        <v>4600</v>
      </c>
      <c r="H18" s="4">
        <f>G16*Assumptions!C18*Deflators!D14</f>
        <v>0</v>
      </c>
    </row>
    <row r="19" spans="1:8" ht="10" customHeight="1" outlineLevel="2" x14ac:dyDescent="0.15"/>
    <row r="20" spans="1:8" ht="10" customHeight="1" outlineLevel="2" x14ac:dyDescent="0.15">
      <c r="A20" t="s">
        <v>0</v>
      </c>
      <c r="B20" s="10" t="s">
        <v>364</v>
      </c>
      <c r="C20" s="10"/>
      <c r="D20" s="10"/>
      <c r="E20" s="10"/>
      <c r="F20" s="10"/>
      <c r="G20" s="10"/>
      <c r="H20" s="10"/>
    </row>
    <row r="21" spans="1:8" ht="10" customHeight="1" outlineLevel="3" x14ac:dyDescent="0.15"/>
    <row r="22" spans="1:8" ht="10" customHeight="1" outlineLevel="3" x14ac:dyDescent="0.15">
      <c r="B22" s="2" t="s">
        <v>112</v>
      </c>
      <c r="C22" s="15" t="s">
        <v>14</v>
      </c>
      <c r="D22" s="15" t="s">
        <v>15</v>
      </c>
      <c r="E22" s="15" t="s">
        <v>16</v>
      </c>
      <c r="F22" s="15" t="s">
        <v>17</v>
      </c>
      <c r="G22" s="15" t="s">
        <v>113</v>
      </c>
      <c r="H22" s="15" t="s">
        <v>114</v>
      </c>
    </row>
    <row r="23" spans="1:8" ht="10" customHeight="1" outlineLevel="3" x14ac:dyDescent="0.15">
      <c r="B23" t="s">
        <v>365</v>
      </c>
      <c r="C23" s="4">
        <f>C16*Assumptions!E15</f>
        <v>0</v>
      </c>
      <c r="D23" s="4">
        <f>D16*Assumptions!E15</f>
        <v>0</v>
      </c>
      <c r="E23" s="4">
        <f>E16*Assumptions!E15</f>
        <v>0</v>
      </c>
      <c r="F23" s="4">
        <f>F16*Assumptions!E15</f>
        <v>0</v>
      </c>
      <c r="G23" s="4">
        <f>G16*Assumptions!E15*(1-Assumptions!C18)</f>
        <v>2677.4821589246012</v>
      </c>
      <c r="H23" s="4">
        <f>H16*Assumptions!E15+G16*Assumptions!E15*Assumptions!C18</f>
        <v>0</v>
      </c>
    </row>
    <row r="24" spans="1:8" ht="10" customHeight="1" outlineLevel="3" x14ac:dyDescent="0.15">
      <c r="B24" s="1" t="s">
        <v>366</v>
      </c>
      <c r="C24" s="4">
        <f>C23*Deflators!D9</f>
        <v>0</v>
      </c>
      <c r="D24" s="4">
        <f>D23*Deflators!D10</f>
        <v>0</v>
      </c>
      <c r="E24" s="4">
        <f>E23*Deflators!D11</f>
        <v>0</v>
      </c>
      <c r="F24" s="4">
        <f>F23*Deflators!D12</f>
        <v>0</v>
      </c>
      <c r="G24" s="4">
        <f>G23*Deflators!D13</f>
        <v>2677.4821589246012</v>
      </c>
      <c r="H24" s="4">
        <f>H23*Deflators!D14</f>
        <v>0</v>
      </c>
    </row>
    <row r="25" spans="1:8" ht="10" customHeight="1" outlineLevel="3" x14ac:dyDescent="0.15">
      <c r="B25" t="s">
        <v>367</v>
      </c>
      <c r="C25" s="4">
        <f t="shared" ref="C25:H25" si="0">C17-C24</f>
        <v>0</v>
      </c>
      <c r="D25" s="4">
        <f t="shared" si="0"/>
        <v>0</v>
      </c>
      <c r="E25" s="4">
        <f t="shared" si="0"/>
        <v>0</v>
      </c>
      <c r="F25" s="4">
        <f t="shared" si="0"/>
        <v>0</v>
      </c>
      <c r="G25" s="4">
        <f t="shared" si="0"/>
        <v>1922.5178410753988</v>
      </c>
      <c r="H25" s="4">
        <f t="shared" si="0"/>
        <v>0</v>
      </c>
    </row>
    <row r="26" spans="1:8" ht="10" customHeight="1" outlineLevel="3" x14ac:dyDescent="0.15"/>
    <row r="27" spans="1:8" ht="10" customHeight="1" outlineLevel="3" x14ac:dyDescent="0.15"/>
    <row r="28" spans="1:8" ht="10" customHeight="1" outlineLevel="1" x14ac:dyDescent="0.15">
      <c r="A28" t="s">
        <v>0</v>
      </c>
      <c r="B28" s="9" t="s">
        <v>368</v>
      </c>
      <c r="C28" s="9"/>
      <c r="D28" s="9"/>
      <c r="E28" s="9"/>
      <c r="F28" s="9"/>
      <c r="G28" s="9"/>
      <c r="H28" s="9"/>
    </row>
    <row r="29" spans="1:8" ht="10" customHeight="1" outlineLevel="2" x14ac:dyDescent="0.15"/>
    <row r="30" spans="1:8" ht="10" customHeight="1" outlineLevel="2" x14ac:dyDescent="0.15">
      <c r="B30" s="2" t="s">
        <v>112</v>
      </c>
      <c r="C30" s="15" t="s">
        <v>14</v>
      </c>
      <c r="D30" s="15" t="s">
        <v>15</v>
      </c>
      <c r="E30" s="15" t="s">
        <v>16</v>
      </c>
      <c r="F30" s="15" t="s">
        <v>17</v>
      </c>
      <c r="G30" s="15" t="s">
        <v>113</v>
      </c>
      <c r="H30" s="15" t="s">
        <v>114</v>
      </c>
    </row>
    <row r="31" spans="1:8" ht="10" customHeight="1" outlineLevel="2" x14ac:dyDescent="0.15">
      <c r="B31" s="1" t="s">
        <v>369</v>
      </c>
      <c r="C31" s="5">
        <v>0</v>
      </c>
      <c r="D31" s="5">
        <v>0</v>
      </c>
      <c r="E31" s="5">
        <v>0</v>
      </c>
      <c r="F31" s="5">
        <v>0</v>
      </c>
      <c r="G31" s="5">
        <v>5400</v>
      </c>
      <c r="H31" s="5">
        <v>0</v>
      </c>
    </row>
    <row r="32" spans="1:8" ht="10" customHeight="1" outlineLevel="2" x14ac:dyDescent="0.15">
      <c r="B32" t="s">
        <v>362</v>
      </c>
      <c r="C32" s="4">
        <f>C31*Deflators!D9</f>
        <v>0</v>
      </c>
      <c r="D32" s="4">
        <f>D31*Deflators!D10</f>
        <v>0</v>
      </c>
      <c r="E32" s="4">
        <f>E31*Deflators!D11</f>
        <v>0</v>
      </c>
      <c r="F32" s="4">
        <f>F31*Deflators!D12</f>
        <v>0</v>
      </c>
      <c r="G32" s="4">
        <f>G31*Deflators!D13</f>
        <v>5400</v>
      </c>
      <c r="H32" s="4">
        <f>H31*Deflators!D14</f>
        <v>0</v>
      </c>
    </row>
    <row r="33" spans="1:8" ht="10" customHeight="1" outlineLevel="2" x14ac:dyDescent="0.15"/>
    <row r="34" spans="1:8" ht="10" customHeight="1" outlineLevel="2" x14ac:dyDescent="0.15">
      <c r="A34" t="s">
        <v>0</v>
      </c>
      <c r="B34" s="10" t="s">
        <v>370</v>
      </c>
      <c r="C34" s="10"/>
      <c r="D34" s="10"/>
      <c r="E34" s="10"/>
      <c r="F34" s="10"/>
      <c r="G34" s="10"/>
      <c r="H34" s="10"/>
    </row>
    <row r="35" spans="1:8" ht="10" customHeight="1" outlineLevel="3" x14ac:dyDescent="0.15"/>
    <row r="36" spans="1:8" ht="10" customHeight="1" outlineLevel="3" x14ac:dyDescent="0.15">
      <c r="B36" s="2" t="s">
        <v>112</v>
      </c>
      <c r="C36" s="15" t="s">
        <v>14</v>
      </c>
      <c r="D36" s="15" t="s">
        <v>15</v>
      </c>
      <c r="E36" s="15" t="s">
        <v>16</v>
      </c>
      <c r="F36" s="15" t="s">
        <v>17</v>
      </c>
      <c r="G36" s="15" t="s">
        <v>113</v>
      </c>
      <c r="H36" s="15" t="s">
        <v>114</v>
      </c>
    </row>
    <row r="37" spans="1:8" ht="10" customHeight="1" outlineLevel="3" x14ac:dyDescent="0.15">
      <c r="B37" s="1" t="s">
        <v>366</v>
      </c>
      <c r="C37" s="4">
        <f>C32*Assumptions!E16</f>
        <v>0</v>
      </c>
      <c r="D37" s="4">
        <f>D32*Assumptions!E16</f>
        <v>0</v>
      </c>
      <c r="E37" s="4">
        <f>E32*Assumptions!E16</f>
        <v>0</v>
      </c>
      <c r="F37" s="4">
        <f>F32*Assumptions!E16</f>
        <v>0</v>
      </c>
      <c r="G37" s="4">
        <f>G32*Assumptions!E16</f>
        <v>3391.2</v>
      </c>
      <c r="H37" s="4">
        <f>H32*Assumptions!E16</f>
        <v>0</v>
      </c>
    </row>
    <row r="38" spans="1:8" ht="10" customHeight="1" outlineLevel="3" x14ac:dyDescent="0.15">
      <c r="B38" t="s">
        <v>367</v>
      </c>
      <c r="C38" s="4">
        <f t="shared" ref="C38:H38" si="1">C32-C37</f>
        <v>0</v>
      </c>
      <c r="D38" s="4">
        <f t="shared" si="1"/>
        <v>0</v>
      </c>
      <c r="E38" s="4">
        <f t="shared" si="1"/>
        <v>0</v>
      </c>
      <c r="F38" s="4">
        <f t="shared" si="1"/>
        <v>0</v>
      </c>
      <c r="G38" s="4">
        <f t="shared" si="1"/>
        <v>2008.8000000000002</v>
      </c>
      <c r="H38" s="4">
        <f t="shared" si="1"/>
        <v>0</v>
      </c>
    </row>
    <row r="39" spans="1:8" ht="10" customHeight="1" outlineLevel="3" x14ac:dyDescent="0.15"/>
    <row r="40" spans="1:8" ht="10" customHeight="1" outlineLevel="3" x14ac:dyDescent="0.15"/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03864"/>
    <outlinePr summaryBelow="0"/>
  </sheetPr>
  <dimension ref="A2:I45"/>
  <sheetViews>
    <sheetView showGridLines="0" showOutlineSymbols="0" workbookViewId="0"/>
  </sheetViews>
  <sheetFormatPr baseColWidth="10" defaultColWidth="8.75" defaultRowHeight="10" customHeight="1" outlineLevelRow="3" x14ac:dyDescent="0.15"/>
  <cols>
    <col min="1" max="1" width="2.25" customWidth="1"/>
    <col min="2" max="2" width="48" customWidth="1"/>
    <col min="3" max="9" width="12" customWidth="1"/>
  </cols>
  <sheetData>
    <row r="2" spans="1:9" ht="10" customHeight="1" x14ac:dyDescent="0.15">
      <c r="A2" t="s">
        <v>0</v>
      </c>
      <c r="B2" s="8" t="s">
        <v>371</v>
      </c>
      <c r="C2" s="8"/>
      <c r="D2" s="8"/>
      <c r="E2" s="8"/>
      <c r="F2" s="8"/>
      <c r="G2" s="8"/>
      <c r="H2" s="8"/>
      <c r="I2" s="8"/>
    </row>
    <row r="3" spans="1:9" ht="10" customHeight="1" outlineLevel="1" x14ac:dyDescent="0.15">
      <c r="B3" s="18" t="s">
        <v>372</v>
      </c>
    </row>
    <row r="4" spans="1:9" ht="10" customHeight="1" outlineLevel="1" x14ac:dyDescent="0.15"/>
    <row r="5" spans="1:9" ht="10" customHeight="1" outlineLevel="1" x14ac:dyDescent="0.15"/>
    <row r="6" spans="1:9" ht="10" customHeight="1" outlineLevel="1" x14ac:dyDescent="0.15">
      <c r="A6" t="s">
        <v>0</v>
      </c>
      <c r="B6" s="9" t="s">
        <v>373</v>
      </c>
      <c r="C6" s="9"/>
      <c r="D6" s="9"/>
      <c r="E6" s="9"/>
      <c r="F6" s="9"/>
      <c r="G6" s="9"/>
      <c r="H6" s="9"/>
      <c r="I6" s="9"/>
    </row>
    <row r="7" spans="1:9" ht="10" customHeight="1" outlineLevel="2" x14ac:dyDescent="0.15"/>
    <row r="8" spans="1:9" ht="10" customHeight="1" outlineLevel="2" x14ac:dyDescent="0.15">
      <c r="B8" s="2" t="s">
        <v>374</v>
      </c>
      <c r="C8" s="2" t="s">
        <v>88</v>
      </c>
    </row>
    <row r="9" spans="1:9" ht="10" customHeight="1" outlineLevel="2" x14ac:dyDescent="0.15">
      <c r="B9" t="s">
        <v>375</v>
      </c>
      <c r="C9" t="s">
        <v>376</v>
      </c>
    </row>
    <row r="10" spans="1:9" ht="10" customHeight="1" outlineLevel="2" x14ac:dyDescent="0.15">
      <c r="B10" t="s">
        <v>377</v>
      </c>
      <c r="C10" t="s">
        <v>378</v>
      </c>
    </row>
    <row r="11" spans="1:9" ht="10" customHeight="1" outlineLevel="2" x14ac:dyDescent="0.15"/>
    <row r="12" spans="1:9" ht="10" customHeight="1" outlineLevel="2" x14ac:dyDescent="0.15"/>
    <row r="13" spans="1:9" ht="10" customHeight="1" outlineLevel="2" x14ac:dyDescent="0.15">
      <c r="A13" t="s">
        <v>0</v>
      </c>
      <c r="B13" s="10" t="s">
        <v>379</v>
      </c>
      <c r="C13" s="10"/>
      <c r="D13" s="10"/>
      <c r="E13" s="10"/>
      <c r="F13" s="10"/>
      <c r="G13" s="10"/>
      <c r="H13" s="10"/>
      <c r="I13" s="10"/>
    </row>
    <row r="14" spans="1:9" ht="10" customHeight="1" outlineLevel="3" x14ac:dyDescent="0.15"/>
    <row r="15" spans="1:9" ht="10" customHeight="1" outlineLevel="3" x14ac:dyDescent="0.15">
      <c r="B15" s="2" t="s">
        <v>112</v>
      </c>
      <c r="C15" s="15" t="s">
        <v>17</v>
      </c>
      <c r="D15" s="15" t="s">
        <v>113</v>
      </c>
      <c r="E15" s="15" t="s">
        <v>114</v>
      </c>
      <c r="F15" s="15" t="s">
        <v>135</v>
      </c>
      <c r="G15" s="15" t="s">
        <v>136</v>
      </c>
      <c r="H15" s="15" t="s">
        <v>137</v>
      </c>
      <c r="I15" s="15" t="s">
        <v>138</v>
      </c>
    </row>
    <row r="16" spans="1:9" ht="10" customHeight="1" outlineLevel="3" x14ac:dyDescent="0.15">
      <c r="B16" s="1" t="s">
        <v>380</v>
      </c>
      <c r="C16" s="5">
        <v>9500.5339999999997</v>
      </c>
      <c r="D16" s="5">
        <v>5389.1090000000004</v>
      </c>
      <c r="E16" s="5">
        <v>11437.036</v>
      </c>
      <c r="F16" s="5">
        <v>11284.824000000001</v>
      </c>
      <c r="G16" s="5">
        <v>11098.425999999999</v>
      </c>
      <c r="H16" s="5">
        <v>10196.612999999999</v>
      </c>
      <c r="I16" s="5">
        <v>10594.23</v>
      </c>
    </row>
    <row r="17" spans="1:9" ht="10" customHeight="1" outlineLevel="3" x14ac:dyDescent="0.15">
      <c r="B17" t="s">
        <v>381</v>
      </c>
      <c r="C17" s="17">
        <v>1</v>
      </c>
      <c r="D17" s="17">
        <v>1</v>
      </c>
      <c r="E17" s="17">
        <v>2</v>
      </c>
      <c r="F17" s="17">
        <v>2</v>
      </c>
      <c r="G17" s="17">
        <v>2</v>
      </c>
      <c r="H17" s="17">
        <v>2</v>
      </c>
      <c r="I17" s="17">
        <v>2</v>
      </c>
    </row>
    <row r="18" spans="1:9" ht="10" customHeight="1" outlineLevel="3" x14ac:dyDescent="0.15">
      <c r="B18" t="s">
        <v>382</v>
      </c>
      <c r="C18" s="5">
        <v>7356.9040000000005</v>
      </c>
      <c r="D18" s="5">
        <v>2740.3049999999998</v>
      </c>
      <c r="E18" s="5">
        <v>8402.3160000000007</v>
      </c>
      <c r="F18" s="5">
        <v>8149.0649999999996</v>
      </c>
      <c r="G18" s="5">
        <v>7876.4660000000003</v>
      </c>
      <c r="H18" s="5">
        <v>7283.37</v>
      </c>
      <c r="I18" s="5">
        <v>7423.0789999999997</v>
      </c>
    </row>
    <row r="19" spans="1:9" ht="10" customHeight="1" outlineLevel="3" x14ac:dyDescent="0.15">
      <c r="B19" t="s">
        <v>383</v>
      </c>
      <c r="C19" s="5">
        <v>13320.210999999999</v>
      </c>
      <c r="D19" s="5">
        <v>6377.5360000000001</v>
      </c>
      <c r="E19" s="5">
        <v>13151.308999999999</v>
      </c>
      <c r="F19" s="5">
        <v>13011.118</v>
      </c>
      <c r="G19" s="5">
        <v>14686.814</v>
      </c>
      <c r="H19" s="5">
        <v>12268.710999999999</v>
      </c>
      <c r="I19" s="5">
        <v>12016.800999999999</v>
      </c>
    </row>
    <row r="20" spans="1:9" ht="10" customHeight="1" outlineLevel="3" x14ac:dyDescent="0.15"/>
    <row r="21" spans="1:9" ht="10" customHeight="1" outlineLevel="2" x14ac:dyDescent="0.15">
      <c r="A21" t="s">
        <v>0</v>
      </c>
      <c r="B21" s="10" t="s">
        <v>384</v>
      </c>
      <c r="C21" s="10"/>
      <c r="D21" s="10"/>
      <c r="E21" s="10"/>
      <c r="F21" s="10"/>
      <c r="G21" s="10"/>
      <c r="H21" s="10"/>
      <c r="I21" s="10"/>
    </row>
    <row r="22" spans="1:9" ht="10" customHeight="1" outlineLevel="3" x14ac:dyDescent="0.15"/>
    <row r="23" spans="1:9" ht="10" customHeight="1" outlineLevel="3" x14ac:dyDescent="0.15">
      <c r="B23" s="2" t="s">
        <v>112</v>
      </c>
      <c r="C23" s="15" t="s">
        <v>17</v>
      </c>
      <c r="D23" s="15" t="s">
        <v>113</v>
      </c>
      <c r="E23" s="15" t="s">
        <v>114</v>
      </c>
      <c r="F23" s="15" t="s">
        <v>135</v>
      </c>
      <c r="G23" s="15" t="s">
        <v>136</v>
      </c>
      <c r="H23" s="15" t="s">
        <v>137</v>
      </c>
      <c r="I23" s="15" t="s">
        <v>138</v>
      </c>
    </row>
    <row r="24" spans="1:9" ht="10" customHeight="1" outlineLevel="3" x14ac:dyDescent="0.15">
      <c r="B24" s="1" t="s">
        <v>380</v>
      </c>
      <c r="C24" s="5">
        <v>0</v>
      </c>
      <c r="D24" s="5">
        <v>10744.316999999999</v>
      </c>
      <c r="E24" s="5">
        <v>10486.369000000001</v>
      </c>
      <c r="F24" s="5">
        <v>10137.078</v>
      </c>
      <c r="G24" s="5">
        <v>10360.998</v>
      </c>
      <c r="H24" s="5">
        <v>10441.001</v>
      </c>
      <c r="I24" s="5">
        <v>10693.082</v>
      </c>
    </row>
    <row r="25" spans="1:9" ht="10" customHeight="1" outlineLevel="3" x14ac:dyDescent="0.15">
      <c r="B25" t="s">
        <v>381</v>
      </c>
      <c r="C25" s="17"/>
      <c r="D25" s="17">
        <v>1</v>
      </c>
      <c r="E25" s="17">
        <v>1</v>
      </c>
      <c r="F25" s="17">
        <v>1</v>
      </c>
      <c r="G25" s="17">
        <v>1</v>
      </c>
      <c r="H25" s="17">
        <v>1</v>
      </c>
      <c r="I25" s="17">
        <v>1</v>
      </c>
    </row>
    <row r="26" spans="1:9" ht="10" customHeight="1" outlineLevel="3" x14ac:dyDescent="0.15">
      <c r="B26" t="s">
        <v>382</v>
      </c>
      <c r="C26" s="5">
        <v>0</v>
      </c>
      <c r="D26" s="5">
        <v>3928.828</v>
      </c>
      <c r="E26" s="5">
        <v>6904.7849999999999</v>
      </c>
      <c r="F26" s="5">
        <v>6379.0219999999999</v>
      </c>
      <c r="G26" s="5">
        <v>6057.8190000000004</v>
      </c>
      <c r="H26" s="5">
        <v>6011.6450000000004</v>
      </c>
      <c r="I26" s="5">
        <v>6303.4009999999998</v>
      </c>
    </row>
    <row r="27" spans="1:9" ht="10" customHeight="1" outlineLevel="3" x14ac:dyDescent="0.15">
      <c r="B27" t="s">
        <v>383</v>
      </c>
      <c r="C27" s="5">
        <v>9580.7739999999994</v>
      </c>
      <c r="D27" s="5">
        <v>9279.5939999999991</v>
      </c>
      <c r="E27" s="5">
        <v>15583.102000000001</v>
      </c>
      <c r="F27" s="5">
        <v>12834.862999999999</v>
      </c>
      <c r="G27" s="5">
        <v>11351.481</v>
      </c>
      <c r="H27" s="5">
        <v>12359.708000000001</v>
      </c>
      <c r="I27" s="5">
        <v>12020.144</v>
      </c>
    </row>
    <row r="28" spans="1:9" ht="10" customHeight="1" outlineLevel="3" x14ac:dyDescent="0.15"/>
    <row r="29" spans="1:9" ht="10" customHeight="1" outlineLevel="2" x14ac:dyDescent="0.15">
      <c r="A29" t="s">
        <v>0</v>
      </c>
      <c r="B29" s="10" t="s">
        <v>385</v>
      </c>
      <c r="C29" s="10"/>
      <c r="D29" s="10"/>
      <c r="E29" s="10"/>
      <c r="F29" s="10"/>
      <c r="G29" s="10"/>
      <c r="H29" s="10"/>
      <c r="I29" s="10"/>
    </row>
    <row r="30" spans="1:9" ht="10" customHeight="1" outlineLevel="3" x14ac:dyDescent="0.15"/>
    <row r="31" spans="1:9" ht="10" customHeight="1" outlineLevel="3" x14ac:dyDescent="0.15">
      <c r="B31" s="2" t="s">
        <v>112</v>
      </c>
      <c r="C31" s="15" t="s">
        <v>17</v>
      </c>
      <c r="D31" s="15" t="s">
        <v>113</v>
      </c>
      <c r="E31" s="15" t="s">
        <v>114</v>
      </c>
      <c r="F31" s="15" t="s">
        <v>135</v>
      </c>
      <c r="G31" s="15" t="s">
        <v>136</v>
      </c>
      <c r="H31" s="15" t="s">
        <v>137</v>
      </c>
      <c r="I31" s="15" t="s">
        <v>138</v>
      </c>
    </row>
    <row r="32" spans="1:9" ht="10" customHeight="1" outlineLevel="3" x14ac:dyDescent="0.15">
      <c r="B32" s="1" t="s">
        <v>380</v>
      </c>
      <c r="C32" s="5">
        <v>7858.8140000000003</v>
      </c>
      <c r="D32" s="5">
        <v>306.125</v>
      </c>
      <c r="E32" s="5">
        <v>4256.9139999999998</v>
      </c>
      <c r="F32" s="5">
        <v>4026.201</v>
      </c>
      <c r="G32" s="5">
        <v>4209.4399999999996</v>
      </c>
      <c r="H32" s="5">
        <v>6613.1509999999998</v>
      </c>
      <c r="I32" s="5">
        <v>6964.2179999999998</v>
      </c>
    </row>
    <row r="33" spans="1:9" ht="10" customHeight="1" outlineLevel="3" x14ac:dyDescent="0.15">
      <c r="B33" t="s">
        <v>381</v>
      </c>
      <c r="C33" s="17">
        <v>3</v>
      </c>
      <c r="D33" s="17"/>
      <c r="E33" s="17">
        <v>1</v>
      </c>
      <c r="F33" s="17">
        <v>1</v>
      </c>
      <c r="G33" s="17">
        <v>1</v>
      </c>
      <c r="H33" s="17">
        <v>2</v>
      </c>
      <c r="I33" s="17">
        <v>2</v>
      </c>
    </row>
    <row r="34" spans="1:9" ht="10" customHeight="1" outlineLevel="3" x14ac:dyDescent="0.15">
      <c r="B34" t="s">
        <v>382</v>
      </c>
      <c r="C34" s="5">
        <v>6268.5190000000002</v>
      </c>
      <c r="D34" s="5">
        <v>10.773</v>
      </c>
      <c r="E34" s="5">
        <v>2954.2379999999998</v>
      </c>
      <c r="F34" s="5">
        <v>4026.201</v>
      </c>
      <c r="G34" s="5">
        <v>3707.1689999999999</v>
      </c>
      <c r="H34" s="5">
        <v>6110.88</v>
      </c>
      <c r="I34" s="5">
        <v>6461.9129999999996</v>
      </c>
    </row>
    <row r="35" spans="1:9" ht="10" customHeight="1" outlineLevel="3" x14ac:dyDescent="0.15">
      <c r="B35" t="s">
        <v>383</v>
      </c>
      <c r="C35" s="5">
        <v>8268.6280000000006</v>
      </c>
      <c r="D35" s="5">
        <v>1942.268</v>
      </c>
      <c r="E35" s="5">
        <v>3132.462</v>
      </c>
      <c r="F35" s="5">
        <v>6124.3249999999998</v>
      </c>
      <c r="G35" s="5">
        <v>3993.5439999999999</v>
      </c>
      <c r="H35" s="5">
        <v>6375.6289999999999</v>
      </c>
      <c r="I35" s="5">
        <v>6565.7049999999999</v>
      </c>
    </row>
    <row r="36" spans="1:9" ht="10" customHeight="1" outlineLevel="3" x14ac:dyDescent="0.15"/>
    <row r="37" spans="1:9" ht="10" customHeight="1" outlineLevel="3" x14ac:dyDescent="0.15"/>
    <row r="38" spans="1:9" ht="10" customHeight="1" outlineLevel="1" x14ac:dyDescent="0.15">
      <c r="A38" t="s">
        <v>0</v>
      </c>
      <c r="B38" s="9" t="s">
        <v>386</v>
      </c>
      <c r="C38" s="9"/>
      <c r="D38" s="9"/>
      <c r="E38" s="9"/>
      <c r="F38" s="9"/>
      <c r="G38" s="9"/>
      <c r="H38" s="9"/>
      <c r="I38" s="9"/>
    </row>
    <row r="39" spans="1:9" ht="10" customHeight="1" outlineLevel="2" x14ac:dyDescent="0.15"/>
    <row r="40" spans="1:9" ht="10" customHeight="1" outlineLevel="2" x14ac:dyDescent="0.15">
      <c r="B40" s="2" t="s">
        <v>387</v>
      </c>
      <c r="C40" s="15" t="s">
        <v>17</v>
      </c>
      <c r="D40" s="15" t="s">
        <v>113</v>
      </c>
      <c r="E40" s="15" t="s">
        <v>114</v>
      </c>
      <c r="F40" s="15" t="s">
        <v>135</v>
      </c>
      <c r="G40" s="15" t="s">
        <v>136</v>
      </c>
      <c r="H40" s="15" t="s">
        <v>137</v>
      </c>
      <c r="I40" s="15" t="s">
        <v>138</v>
      </c>
    </row>
    <row r="41" spans="1:9" ht="10" customHeight="1" outlineLevel="2" x14ac:dyDescent="0.15">
      <c r="B41" s="1" t="s">
        <v>165</v>
      </c>
      <c r="C41" s="19">
        <f>Deflators!D12</f>
        <v>1.02</v>
      </c>
      <c r="D41" s="19">
        <f>Deflators!D13</f>
        <v>1</v>
      </c>
      <c r="E41" s="19">
        <f>Deflators!D14</f>
        <v>0.98</v>
      </c>
      <c r="F41" s="19">
        <f>Deflators!D15</f>
        <v>0.96</v>
      </c>
      <c r="G41" s="19">
        <f>Deflators!D16</f>
        <v>0.94</v>
      </c>
      <c r="H41" s="19">
        <f>Deflators!D17</f>
        <v>0.92</v>
      </c>
      <c r="I41" s="19">
        <f>Deflators!D18</f>
        <v>0.9</v>
      </c>
    </row>
    <row r="42" spans="1:9" ht="10" customHeight="1" outlineLevel="2" x14ac:dyDescent="0.15">
      <c r="B42" s="1" t="s">
        <v>356</v>
      </c>
      <c r="C42" s="4">
        <f t="shared" ref="C42:I42" si="0">C16*C$41</f>
        <v>9690.5446799999991</v>
      </c>
      <c r="D42" s="4">
        <f t="shared" si="0"/>
        <v>5389.1090000000004</v>
      </c>
      <c r="E42" s="4">
        <f t="shared" si="0"/>
        <v>11208.29528</v>
      </c>
      <c r="F42" s="4">
        <f t="shared" si="0"/>
        <v>10833.431039999999</v>
      </c>
      <c r="G42" s="4">
        <f t="shared" si="0"/>
        <v>10432.520439999998</v>
      </c>
      <c r="H42" s="4">
        <f t="shared" si="0"/>
        <v>9380.8839599999992</v>
      </c>
      <c r="I42" s="4">
        <f t="shared" si="0"/>
        <v>9534.8070000000007</v>
      </c>
    </row>
    <row r="43" spans="1:9" ht="10" customHeight="1" outlineLevel="2" x14ac:dyDescent="0.15">
      <c r="B43" s="1" t="s">
        <v>388</v>
      </c>
      <c r="C43" s="4">
        <f t="shared" ref="C43:I43" si="1">C24*C$41</f>
        <v>0</v>
      </c>
      <c r="D43" s="4">
        <f t="shared" si="1"/>
        <v>10744.316999999999</v>
      </c>
      <c r="E43" s="4">
        <f t="shared" si="1"/>
        <v>10276.64162</v>
      </c>
      <c r="F43" s="4">
        <f t="shared" si="1"/>
        <v>9731.5948799999987</v>
      </c>
      <c r="G43" s="4">
        <f t="shared" si="1"/>
        <v>9739.3381199999985</v>
      </c>
      <c r="H43" s="4">
        <f t="shared" si="1"/>
        <v>9605.7209199999998</v>
      </c>
      <c r="I43" s="4">
        <f t="shared" si="1"/>
        <v>9623.7738000000008</v>
      </c>
    </row>
    <row r="44" spans="1:9" ht="10" customHeight="1" outlineLevel="2" x14ac:dyDescent="0.15">
      <c r="B44" s="1" t="s">
        <v>358</v>
      </c>
      <c r="C44" s="4">
        <f t="shared" ref="C44:I44" si="2">C32*C$41</f>
        <v>8015.9902800000009</v>
      </c>
      <c r="D44" s="4">
        <f t="shared" si="2"/>
        <v>306.125</v>
      </c>
      <c r="E44" s="4">
        <f t="shared" si="2"/>
        <v>4171.7757199999996</v>
      </c>
      <c r="F44" s="4">
        <f t="shared" si="2"/>
        <v>3865.1529599999999</v>
      </c>
      <c r="G44" s="4">
        <f t="shared" si="2"/>
        <v>3956.8735999999994</v>
      </c>
      <c r="H44" s="4">
        <f t="shared" si="2"/>
        <v>6084.0989200000004</v>
      </c>
      <c r="I44" s="4">
        <f t="shared" si="2"/>
        <v>6267.7961999999998</v>
      </c>
    </row>
    <row r="45" spans="1:9" ht="10" customHeight="1" outlineLevel="2" x14ac:dyDescent="0.15">
      <c r="B45" s="3" t="s">
        <v>389</v>
      </c>
      <c r="C45" s="13">
        <f t="shared" ref="C45:I45" si="3">N(C42)+N(C43)</f>
        <v>9690.5446799999991</v>
      </c>
      <c r="D45" s="13">
        <f t="shared" si="3"/>
        <v>16133.425999999999</v>
      </c>
      <c r="E45" s="13">
        <f t="shared" si="3"/>
        <v>21484.936900000001</v>
      </c>
      <c r="F45" s="13">
        <f t="shared" si="3"/>
        <v>20565.02592</v>
      </c>
      <c r="G45" s="13">
        <f t="shared" si="3"/>
        <v>20171.858559999997</v>
      </c>
      <c r="H45" s="13">
        <f t="shared" si="3"/>
        <v>18986.604879999999</v>
      </c>
      <c r="I45" s="13">
        <f t="shared" si="3"/>
        <v>19158.580800000003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03864"/>
    <outlinePr summaryBelow="0"/>
  </sheetPr>
  <dimension ref="A2:E25"/>
  <sheetViews>
    <sheetView showGridLines="0" showOutlineSymbols="0" workbookViewId="0"/>
  </sheetViews>
  <sheetFormatPr baseColWidth="10" defaultColWidth="8.75" defaultRowHeight="10" customHeight="1" outlineLevelRow="2" x14ac:dyDescent="0.15"/>
  <cols>
    <col min="1" max="1" width="2.25" customWidth="1"/>
    <col min="2" max="2" width="10" customWidth="1"/>
    <col min="3" max="3" width="46" customWidth="1"/>
    <col min="4" max="4" width="30" customWidth="1"/>
    <col min="5" max="5" width="28" customWidth="1"/>
  </cols>
  <sheetData>
    <row r="2" spans="1:5" ht="10" customHeight="1" x14ac:dyDescent="0.15">
      <c r="A2" t="s">
        <v>0</v>
      </c>
      <c r="B2" s="8" t="s">
        <v>390</v>
      </c>
      <c r="C2" s="8"/>
      <c r="D2" s="8"/>
      <c r="E2" s="8"/>
    </row>
    <row r="3" spans="1:5" ht="10" customHeight="1" outlineLevel="1" x14ac:dyDescent="0.15">
      <c r="B3" s="18" t="s">
        <v>391</v>
      </c>
    </row>
    <row r="4" spans="1:5" ht="10" customHeight="1" outlineLevel="1" x14ac:dyDescent="0.15"/>
    <row r="5" spans="1:5" ht="10" customHeight="1" outlineLevel="1" x14ac:dyDescent="0.15"/>
    <row r="6" spans="1:5" ht="10" customHeight="1" outlineLevel="1" x14ac:dyDescent="0.15">
      <c r="A6" t="s">
        <v>0</v>
      </c>
      <c r="B6" s="9" t="s">
        <v>392</v>
      </c>
      <c r="C6" s="9"/>
      <c r="D6" s="9"/>
      <c r="E6" s="9"/>
    </row>
    <row r="7" spans="1:5" ht="10" customHeight="1" outlineLevel="2" x14ac:dyDescent="0.15"/>
    <row r="8" spans="1:5" ht="10" customHeight="1" outlineLevel="2" x14ac:dyDescent="0.15">
      <c r="B8" s="2" t="s">
        <v>393</v>
      </c>
      <c r="C8" s="15" t="s">
        <v>394</v>
      </c>
      <c r="D8" s="15" t="s">
        <v>395</v>
      </c>
      <c r="E8" s="2" t="s">
        <v>46</v>
      </c>
    </row>
    <row r="9" spans="1:5" ht="10" customHeight="1" outlineLevel="2" x14ac:dyDescent="0.15">
      <c r="B9" s="1" t="s">
        <v>14</v>
      </c>
      <c r="C9" s="5">
        <v>93.13</v>
      </c>
      <c r="D9" s="19">
        <v>1.1000000000000001</v>
      </c>
      <c r="E9" t="s">
        <v>82</v>
      </c>
    </row>
    <row r="10" spans="1:5" ht="10" customHeight="1" outlineLevel="2" x14ac:dyDescent="0.15">
      <c r="B10" s="1" t="s">
        <v>15</v>
      </c>
      <c r="C10" s="5">
        <v>95.77</v>
      </c>
      <c r="D10" s="19">
        <v>1.07</v>
      </c>
      <c r="E10" t="s">
        <v>82</v>
      </c>
    </row>
    <row r="11" spans="1:5" ht="10" customHeight="1" outlineLevel="2" x14ac:dyDescent="0.15">
      <c r="B11" s="1" t="s">
        <v>16</v>
      </c>
      <c r="C11" s="5">
        <v>97.92</v>
      </c>
      <c r="D11" s="19">
        <v>1.04</v>
      </c>
      <c r="E11" t="s">
        <v>82</v>
      </c>
    </row>
    <row r="12" spans="1:5" ht="10" customHeight="1" outlineLevel="2" x14ac:dyDescent="0.15">
      <c r="B12" s="1" t="s">
        <v>17</v>
      </c>
      <c r="C12" s="5">
        <v>100</v>
      </c>
      <c r="D12" s="19">
        <v>1.02</v>
      </c>
      <c r="E12" t="s">
        <v>82</v>
      </c>
    </row>
    <row r="13" spans="1:5" ht="10" customHeight="1" outlineLevel="2" x14ac:dyDescent="0.15">
      <c r="B13" s="1" t="s">
        <v>113</v>
      </c>
      <c r="C13" s="5">
        <v>102.1</v>
      </c>
      <c r="D13" s="19">
        <v>1</v>
      </c>
      <c r="E13" t="s">
        <v>82</v>
      </c>
    </row>
    <row r="14" spans="1:5" ht="10" customHeight="1" outlineLevel="2" x14ac:dyDescent="0.15">
      <c r="B14" s="1" t="s">
        <v>114</v>
      </c>
      <c r="C14" s="5">
        <v>104.24</v>
      </c>
      <c r="D14" s="19">
        <v>0.98</v>
      </c>
      <c r="E14" t="s">
        <v>82</v>
      </c>
    </row>
    <row r="15" spans="1:5" ht="10" customHeight="1" outlineLevel="2" x14ac:dyDescent="0.15">
      <c r="B15" s="1" t="s">
        <v>135</v>
      </c>
      <c r="C15" s="5">
        <v>106.43</v>
      </c>
      <c r="D15" s="19">
        <v>0.96</v>
      </c>
      <c r="E15" t="s">
        <v>82</v>
      </c>
    </row>
    <row r="16" spans="1:5" ht="10" customHeight="1" outlineLevel="2" x14ac:dyDescent="0.15">
      <c r="B16" s="1" t="s">
        <v>136</v>
      </c>
      <c r="C16" s="5">
        <v>108.67</v>
      </c>
      <c r="D16" s="19">
        <v>0.94</v>
      </c>
      <c r="E16" t="s">
        <v>82</v>
      </c>
    </row>
    <row r="17" spans="1:5" ht="10" customHeight="1" outlineLevel="2" x14ac:dyDescent="0.15">
      <c r="B17" s="1" t="s">
        <v>137</v>
      </c>
      <c r="C17" s="5">
        <v>110.95</v>
      </c>
      <c r="D17" s="19">
        <v>0.92</v>
      </c>
      <c r="E17" t="s">
        <v>396</v>
      </c>
    </row>
    <row r="18" spans="1:5" ht="10" customHeight="1" outlineLevel="2" x14ac:dyDescent="0.15">
      <c r="B18" s="1" t="s">
        <v>138</v>
      </c>
      <c r="C18" s="5">
        <v>113.28</v>
      </c>
      <c r="D18" s="19">
        <v>0.9</v>
      </c>
      <c r="E18" t="s">
        <v>396</v>
      </c>
    </row>
    <row r="19" spans="1:5" ht="10" customHeight="1" outlineLevel="2" x14ac:dyDescent="0.15"/>
    <row r="20" spans="1:5" ht="10" customHeight="1" outlineLevel="2" x14ac:dyDescent="0.15"/>
    <row r="21" spans="1:5" ht="10" customHeight="1" outlineLevel="1" x14ac:dyDescent="0.15">
      <c r="A21" t="s">
        <v>0</v>
      </c>
      <c r="B21" s="9" t="s">
        <v>397</v>
      </c>
      <c r="C21" s="9"/>
      <c r="D21" s="9"/>
      <c r="E21" s="9"/>
    </row>
    <row r="22" spans="1:5" ht="10" customHeight="1" outlineLevel="2" x14ac:dyDescent="0.15"/>
    <row r="23" spans="1:5" ht="10" customHeight="1" outlineLevel="2" x14ac:dyDescent="0.15">
      <c r="B23" s="2" t="s">
        <v>398</v>
      </c>
      <c r="C23" s="2" t="s">
        <v>66</v>
      </c>
    </row>
    <row r="24" spans="1:5" ht="10" customHeight="1" outlineLevel="2" x14ac:dyDescent="0.15">
      <c r="B24" s="1" t="s">
        <v>399</v>
      </c>
      <c r="C24" t="s">
        <v>400</v>
      </c>
    </row>
    <row r="25" spans="1:5" ht="10" customHeight="1" outlineLevel="2" x14ac:dyDescent="0.15">
      <c r="B25" s="1" t="s">
        <v>401</v>
      </c>
      <c r="C25" t="s">
        <v>402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595959"/>
    <outlinePr summaryBelow="0"/>
  </sheetPr>
  <dimension ref="A2:D33"/>
  <sheetViews>
    <sheetView showGridLines="0" showOutlineSymbols="0" workbookViewId="0"/>
  </sheetViews>
  <sheetFormatPr baseColWidth="10" defaultColWidth="8.75" defaultRowHeight="10" customHeight="1" outlineLevelRow="2" x14ac:dyDescent="0.15"/>
  <cols>
    <col min="1" max="1" width="2.25" customWidth="1"/>
    <col min="2" max="2" width="52" customWidth="1"/>
    <col min="3" max="3" width="14" customWidth="1"/>
    <col min="4" max="4" width="16" customWidth="1"/>
  </cols>
  <sheetData>
    <row r="2" spans="1:4" ht="10" customHeight="1" x14ac:dyDescent="0.15">
      <c r="A2" t="s">
        <v>0</v>
      </c>
      <c r="B2" s="8" t="s">
        <v>403</v>
      </c>
      <c r="C2" s="8"/>
      <c r="D2" s="8"/>
    </row>
    <row r="3" spans="1:4" ht="10" customHeight="1" outlineLevel="1" x14ac:dyDescent="0.15">
      <c r="B3" s="18" t="s">
        <v>404</v>
      </c>
    </row>
    <row r="4" spans="1:4" ht="10" customHeight="1" outlineLevel="1" x14ac:dyDescent="0.15"/>
    <row r="5" spans="1:4" ht="10" customHeight="1" outlineLevel="1" x14ac:dyDescent="0.15"/>
    <row r="6" spans="1:4" ht="10" customHeight="1" outlineLevel="1" x14ac:dyDescent="0.15">
      <c r="A6" t="s">
        <v>0</v>
      </c>
      <c r="B6" s="9" t="s">
        <v>405</v>
      </c>
      <c r="C6" s="9"/>
      <c r="D6" s="9"/>
    </row>
    <row r="7" spans="1:4" ht="10" customHeight="1" outlineLevel="2" x14ac:dyDescent="0.15"/>
    <row r="8" spans="1:4" ht="10" customHeight="1" outlineLevel="2" x14ac:dyDescent="0.15">
      <c r="B8" s="2" t="s">
        <v>406</v>
      </c>
      <c r="C8" s="15" t="s">
        <v>88</v>
      </c>
      <c r="D8" s="15" t="s">
        <v>407</v>
      </c>
    </row>
    <row r="9" spans="1:4" ht="10" customHeight="1" outlineLevel="2" x14ac:dyDescent="0.15">
      <c r="B9" t="s">
        <v>408</v>
      </c>
      <c r="C9" s="12">
        <f>'Virginia TAM'!C34</f>
        <v>0.34023682020429963</v>
      </c>
      <c r="D9" t="str">
        <f>IF(AND(C9&gt;0,C9&lt;=1),"OK","FAIL")</f>
        <v>OK</v>
      </c>
    </row>
    <row r="10" spans="1:4" ht="10" customHeight="1" outlineLevel="2" x14ac:dyDescent="0.15">
      <c r="B10" t="s">
        <v>409</v>
      </c>
      <c r="C10" s="12">
        <f>'Columbia TAM'!C30</f>
        <v>0.22000000000000003</v>
      </c>
      <c r="D10" t="str">
        <f>IF(AND(C10&gt;0,C10&lt;=1),"OK","FAIL")</f>
        <v>OK</v>
      </c>
    </row>
    <row r="11" spans="1:4" ht="10" customHeight="1" outlineLevel="2" x14ac:dyDescent="0.15">
      <c r="B11" t="s">
        <v>410</v>
      </c>
      <c r="C11" s="12">
        <f>'DDG-51 TAM'!C38</f>
        <v>0.252936763771345</v>
      </c>
      <c r="D11" t="str">
        <f>IF(AND(C11&gt;0,C11&lt;=1),"OK","FAIL")</f>
        <v>OK</v>
      </c>
    </row>
    <row r="12" spans="1:4" ht="10" customHeight="1" outlineLevel="2" x14ac:dyDescent="0.15">
      <c r="B12" t="s">
        <v>411</v>
      </c>
      <c r="C12" s="12">
        <f>Assumptions!E15</f>
        <v>0.58206133889665246</v>
      </c>
      <c r="D12" t="str">
        <f>IF(AND(C12&gt;=0,C12&lt;=1),"OK","FAIL")</f>
        <v>OK</v>
      </c>
    </row>
    <row r="13" spans="1:4" ht="10" customHeight="1" outlineLevel="2" x14ac:dyDescent="0.15">
      <c r="B13" t="s">
        <v>412</v>
      </c>
      <c r="C13" s="12">
        <f>Assumptions!E16</f>
        <v>0.628</v>
      </c>
      <c r="D13" t="str">
        <f>IF(AND(C13&gt;=0,C13&lt;=1),"OK","FAIL")</f>
        <v>OK</v>
      </c>
    </row>
    <row r="14" spans="1:4" ht="10" customHeight="1" outlineLevel="2" x14ac:dyDescent="0.15">
      <c r="B14" t="s">
        <v>413</v>
      </c>
      <c r="C14" s="12">
        <f>Assumptions!C9</f>
        <v>1</v>
      </c>
      <c r="D14" t="str">
        <f>IF(AND(C14&gt;=0,C14&lt;=1),"OK","FAIL")</f>
        <v>OK</v>
      </c>
    </row>
    <row r="15" spans="1:4" ht="10" customHeight="1" outlineLevel="2" x14ac:dyDescent="0.15"/>
    <row r="16" spans="1:4" ht="10" customHeight="1" outlineLevel="2" x14ac:dyDescent="0.15"/>
    <row r="17" spans="1:4" ht="10" customHeight="1" outlineLevel="1" x14ac:dyDescent="0.15">
      <c r="A17" t="s">
        <v>0</v>
      </c>
      <c r="B17" s="9" t="s">
        <v>414</v>
      </c>
      <c r="C17" s="9"/>
      <c r="D17" s="9"/>
    </row>
    <row r="18" spans="1:4" ht="10" customHeight="1" outlineLevel="2" x14ac:dyDescent="0.15"/>
    <row r="19" spans="1:4" ht="10" customHeight="1" outlineLevel="2" x14ac:dyDescent="0.15">
      <c r="B19" s="2" t="s">
        <v>406</v>
      </c>
      <c r="C19" s="15" t="s">
        <v>415</v>
      </c>
      <c r="D19" s="15" t="s">
        <v>407</v>
      </c>
    </row>
    <row r="20" spans="1:4" ht="10" customHeight="1" outlineLevel="2" x14ac:dyDescent="0.15">
      <c r="B20" t="s">
        <v>416</v>
      </c>
      <c r="C20" s="4">
        <f>MIN('Virginia TAM'!C57-'Virginia TAM'!C56,'Virginia TAM'!D57-'Virginia TAM'!D56,'Virginia TAM'!E57-'Virginia TAM'!E56,'Virginia TAM'!F57-'Virginia TAM'!F56)</f>
        <v>173.0849213183642</v>
      </c>
      <c r="D20" t="str">
        <f>IF(C20&gt;=-0.001,"OK","FAIL")</f>
        <v>OK</v>
      </c>
    </row>
    <row r="21" spans="1:4" ht="10" customHeight="1" outlineLevel="2" x14ac:dyDescent="0.15">
      <c r="B21" t="s">
        <v>417</v>
      </c>
      <c r="C21" s="4">
        <f>MIN('Columbia TAM'!C52-'Columbia TAM'!C51,'Columbia TAM'!D52-'Columbia TAM'!D51,'Columbia TAM'!E52-'Columbia TAM'!E51,'Columbia TAM'!F52-'Columbia TAM'!F51)</f>
        <v>86.304331733557547</v>
      </c>
      <c r="D21" t="str">
        <f>IF(C21&gt;=-0.001,"OK","FAIL")</f>
        <v>OK</v>
      </c>
    </row>
    <row r="22" spans="1:4" ht="10" customHeight="1" outlineLevel="2" x14ac:dyDescent="0.15">
      <c r="B22" t="s">
        <v>418</v>
      </c>
      <c r="C22" s="4">
        <f>MIN('DDG-51 TAM'!C63-'DDG-51 TAM'!C62,'DDG-51 TAM'!D63-'DDG-51 TAM'!D62,'DDG-51 TAM'!E63-'DDG-51 TAM'!E62,'DDG-51 TAM'!F63-'DDG-51 TAM'!F62)</f>
        <v>20.752747812473785</v>
      </c>
      <c r="D22" t="str">
        <f>IF(C22&gt;=-0.001,"OK","FAIL")</f>
        <v>OK</v>
      </c>
    </row>
    <row r="23" spans="1:4" ht="10" customHeight="1" outlineLevel="2" x14ac:dyDescent="0.15"/>
    <row r="24" spans="1:4" ht="10" customHeight="1" outlineLevel="2" x14ac:dyDescent="0.15"/>
    <row r="25" spans="1:4" ht="10" customHeight="1" outlineLevel="1" x14ac:dyDescent="0.15">
      <c r="A25" t="s">
        <v>0</v>
      </c>
      <c r="B25" s="9" t="s">
        <v>419</v>
      </c>
      <c r="C25" s="9"/>
      <c r="D25" s="9"/>
    </row>
    <row r="26" spans="1:4" ht="10" customHeight="1" outlineLevel="2" x14ac:dyDescent="0.15"/>
    <row r="27" spans="1:4" ht="10" customHeight="1" outlineLevel="2" x14ac:dyDescent="0.15">
      <c r="B27" s="2" t="s">
        <v>406</v>
      </c>
      <c r="C27" s="15" t="s">
        <v>420</v>
      </c>
      <c r="D27" s="15" t="s">
        <v>407</v>
      </c>
    </row>
    <row r="28" spans="1:4" ht="10" customHeight="1" outlineLevel="2" x14ac:dyDescent="0.15">
      <c r="B28" t="s">
        <v>421</v>
      </c>
      <c r="C28" s="16">
        <f>COUNT(Assumptions!C9,Assumptions!C18,Assumptions!C24,Assumptions!C25,Assumptions!E15,Assumptions!E16)</f>
        <v>6</v>
      </c>
      <c r="D28" t="str">
        <f>IF(C28=6,"OK","FAIL")</f>
        <v>OK</v>
      </c>
    </row>
    <row r="29" spans="1:4" ht="10" customHeight="1" outlineLevel="2" x14ac:dyDescent="0.15"/>
    <row r="30" spans="1:4" ht="10" customHeight="1" outlineLevel="2" x14ac:dyDescent="0.15"/>
    <row r="31" spans="1:4" ht="10" customHeight="1" outlineLevel="1" x14ac:dyDescent="0.15">
      <c r="A31" t="s">
        <v>0</v>
      </c>
      <c r="B31" s="9" t="s">
        <v>422</v>
      </c>
      <c r="C31" s="9"/>
      <c r="D31" s="9"/>
    </row>
    <row r="32" spans="1:4" ht="10" customHeight="1" outlineLevel="2" x14ac:dyDescent="0.15"/>
    <row r="33" spans="2:4" ht="10" customHeight="1" outlineLevel="2" x14ac:dyDescent="0.15">
      <c r="B33" s="1" t="s">
        <v>423</v>
      </c>
      <c r="C33" s="16">
        <f>COUNTIF(D9:D28,"FAIL")</f>
        <v>0</v>
      </c>
      <c r="D33" s="1" t="str">
        <f>IF(C33=0,"OK","CHECK FAILED")</f>
        <v>OK</v>
      </c>
    </row>
  </sheetData>
  <conditionalFormatting sqref="D9:D28 D33">
    <cfRule type="cellIs" dxfId="1" priority="1" operator="equal">
      <formula>"FAIL"</formula>
    </cfRule>
    <cfRule type="cellIs" dxfId="0" priority="2" operator="equal">
      <formula>"CHECK FAILED"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Executive Summary</vt:lpstr>
      <vt:lpstr>Methodology</vt:lpstr>
      <vt:lpstr>Assumptions</vt:lpstr>
      <vt:lpstr>Virginia TAM</vt:lpstr>
      <vt:lpstr>Columbia TAM</vt:lpstr>
      <vt:lpstr>DDG-51 TAM</vt:lpstr>
      <vt:lpstr>SCN Budget</vt:lpstr>
      <vt:lpstr>Place of Performance</vt:lpstr>
      <vt:lpstr>OBBBA Mandatory</vt:lpstr>
      <vt:lpstr>FYDP Outyears</vt:lpstr>
      <vt:lpstr>Deflators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Distributed Shipbuilding - Master TAM (Virginia / Columbia / DDG-51)</dc:title>
  <dc:creator>workbook_master_tam build_workbook.py</dc:creator>
  <cp:lastModifiedBy>Brendan Toole</cp:lastModifiedBy>
  <dcterms:created xsi:type="dcterms:W3CDTF">2026-06-26T01:50:29Z</dcterms:created>
  <dcterms:modified xsi:type="dcterms:W3CDTF">2026-06-28T03:19:26Z</dcterms:modified>
</cp:coreProperties>
</file>