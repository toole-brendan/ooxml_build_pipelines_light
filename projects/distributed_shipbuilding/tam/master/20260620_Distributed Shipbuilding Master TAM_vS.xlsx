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styles.xml" ContentType="application/vnd.openxmlformats-officedocument.spreadsheetml.styles+xml"/>
  <Override PartName="/xl/metadata.xml" ContentType="application/vnd.openxmlformats-officedocument.spreadsheetml.sheetMetadata+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42.xml" ContentType="application/vnd.openxmlformats-officedocument.spreadsheetml.comment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workbookPr defaultThemeVersion="166925"/>
  <bookViews>
    <workbookView xWindow="0" yWindow="0" windowWidth="28800" windowHeight="16800"/>
  </bookViews>
  <sheets>
    <sheet name="Portfolio Summary" sheetId="1" r:id="rId1"/>
    <sheet name="Sub Executive Summary" sheetId="2" r:id="rId2"/>
    <sheet name="DDG Executive Summary" sheetId="3" r:id="rId3"/>
    <sheet name="Ceiling Overview" sheetId="4" r:id="rId4"/>
    <sheet name="Sub Methodology" sheetId="5" r:id="rId5"/>
    <sheet name="DDG Methodology" sheetId="6" r:id="rId6"/>
    <sheet name="Sub Assumptions" sheetId="7" r:id="rId7"/>
    <sheet name="DDG Assumptions" sheetId="8" r:id="rId8"/>
    <sheet name="Ceiling Assumptions" sheetId="9" r:id="rId9"/>
    <sheet name="Sub TAM Build" sheetId="10" r:id="rId10"/>
    <sheet name="Sub Outlook" sheetId="11" r:id="rId11"/>
    <sheet name="DDG TAM Build" sheetId="12" r:id="rId12"/>
    <sheet name="DDG Outlook" sheetId="13" r:id="rId13"/>
    <sheet name="Ceiling Model" sheetId="14" r:id="rId14"/>
    <sheet name="Conversion Bridge" sheetId="15" r:id="rId15"/>
    <sheet name="Headroom" sheetId="16" r:id="rId16"/>
    <sheet name="Deflators" sheetId="17" r:id="rId17"/>
    <sheet name="Sub SCN Budget" sheetId="18" r:id="rId18"/>
    <sheet name="Sub OBBBA Mandatory" sheetId="19" r:id="rId19"/>
    <sheet name="Sub AP Bridge" sheetId="20" r:id="rId20"/>
    <sheet name="Sub FYDP Outyears" sheetId="21" r:id="rId21"/>
    <sheet name="Sub POP Corpus" sheetId="22" r:id="rId22"/>
    <sheet name="DDG SCN Budget" sheetId="23" r:id="rId23"/>
    <sheet name="DDG OBBBA Mandatory" sheetId="24" r:id="rId24"/>
    <sheet name="DDG Production Schedule" sheetId="25" r:id="rId25"/>
    <sheet name="DDG AP Bridge" sheetId="26" r:id="rId26"/>
    <sheet name="DDG FYDP Outyears" sheetId="27" r:id="rId27"/>
    <sheet name="DDG POP Corpus" sheetId="28" r:id="rId28"/>
    <sheet name="Cost Base" sheetId="29" r:id="rId29"/>
    <sheet name="Sub SIB Excluded" sheetId="30" r:id="rId30"/>
    <sheet name="Sub Sensitivity" sheetId="31" r:id="rId31"/>
    <sheet name="Sub POP Source Audit" sheetId="32" r:id="rId32"/>
    <sheet name="DDG Sensitivity" sheetId="33" r:id="rId33"/>
    <sheet name="DDG Scope Exclusions" sheetId="34" r:id="rId34"/>
    <sheet name="DDG POP Source Audit" sheetId="35" r:id="rId35"/>
    <sheet name="Ceiling Sensitivity" sheetId="36" r:id="rId36"/>
    <sheet name="Tie-Outs" sheetId="37" state="hidden" r:id="rId37"/>
    <sheet name="Sub Source Index" sheetId="38" r:id="rId38"/>
    <sheet name="Sub References" sheetId="39" r:id="rId39"/>
    <sheet name="DDG Source Index" sheetId="40" r:id="rId40"/>
    <sheet name="DDG References" sheetId="41" r:id="rId41"/>
    <sheet name="Sources" sheetId="42" r:id="rId42"/>
  </sheets>
  <calcPr calcId="191029" fullCalcOnLoad="1" forceFullCalc="1"/>
</workbook>
</file>

<file path=xl/comments5.xml><?xml version="1.0" encoding="utf-8"?>
<comments xmlns="http://schemas.openxmlformats.org/spreadsheetml/2006/main">
  <authors>
    <author>Model</author>
  </authors>
  <commentList>
    <comment ref="D7" authorId="0">
      <text>
        <r>
          <rPr>
            <sz val="8"/>
            <color indexed="81"/>
            <rFont val="Arial"/>
            <family val="2"/>
          </rPr>
          <t xml:space="preserve">Opportunity ceiling, not a forecast: per-class BC base x its funding construction master's announced-POP coefficient (Virginia 34.0% Block V, Columbia 22.0% Build I).</t>
        </r>
      </text>
    </comment>
    <comment ref="D9" authorId="0">
      <text>
        <r>
          <rPr>
            <sz val="8"/>
            <color indexed="81"/>
            <rFont val="Arial"/>
            <family val="2"/>
          </rPr>
          <t xml:space="preserve">Held at $0: supplier LLTM already sits inside Basic Construction, so adding the ~$44.7B P-10 gross would double-count. Reference only.</t>
        </r>
      </text>
    </comment>
    <comment ref="D12" authorId="0">
      <text>
        <r>
          <rPr>
            <sz val="8"/>
            <color indexed="81"/>
            <rFont val="Arial"/>
            <family val="2"/>
          </rPr>
          <t xml:space="preserve">~$4,252M of SIB capacity / workforce / R&amp;D pass-throughs (mostly BlueForge) - future capacity, not component manufacture. Role, not size, decides. (SIB = MIB in earlier files.)</t>
        </r>
      </text>
    </comment>
    <comment ref="D10" authorId="0">
      <text>
        <r>
          <rPr>
            <sz val="8"/>
            <color indexed="81"/>
            <rFont val="Arial"/>
            <family val="2"/>
          </rPr>
          <t xml:space="preserve">PL 119-21 Title II, Sec. 20002 (FY 2026 Mandatory Funding Allocation Plan): $29.2B shipbuilding, all FY2026 budget authority. Only item 16 (second FY26 Virginia boat, $4.6B) is new-construction procurement and feeds TAM; capacity / workforce lines are memo-excluded like SIB. FY27 receives dollars only via the spillover control.</t>
        </r>
      </text>
    </comment>
  </commentList>
</comments>
</file>

<file path=xl/comments6.xml><?xml version="1.0" encoding="utf-8"?>
<comments xmlns="http://schemas.openxmlformats.org/spreadsheetml/2006/main">
  <authors>
    <author>Model</author>
  </authors>
  <commentList>
    <comment ref="D7" authorId="0">
      <text>
        <r>
          <rPr>
            <sz val="8"/>
            <color indexed="81"/>
            <rFont val="Arial"/>
            <family val="2"/>
          </rPr>
          <t xml:space="preserve">Opportunity ceiling, not a forecast: non-GFE, non-MIB new-construction supplier $ away from BIW / Ingalls / GFE sites. ~$1,070M/yr (BC ~$897M + AP/LLTM ~$174M).</t>
        </r>
      </text>
    </comment>
    <comment ref="D9" authorId="0">
      <text>
        <r>
          <rPr>
            <sz val="8"/>
            <color indexed="81"/>
            <rFont val="Arial"/>
            <family val="2"/>
          </rPr>
          <t xml:space="preserve">Additive stream: the P-10 'Ship Construction EOQ' line (FY25 $41.5M + FY26 $1,000.0M then-year; PB2027 P-10, LI 2122) at a 1.00 supplier coefficient (EOQ = procurements of material items) = ~$1.04B (~$174M/yr). Congressional adds (shipyard infrastructure, wages) and terminal GFE excluded at the line level; haircuts on Sensitivity.</t>
        </r>
      </text>
    </comment>
    <comment ref="D14" authorId="0">
      <text>
        <r>
          <rPr>
            <sz val="8"/>
            <color indexed="81"/>
            <rFont val="Arial"/>
            <family val="2"/>
          </rPr>
          <t xml:space="preserve">Applied BC coefficient = 25.3% over the non-GFE BC corpus. Keep distinct: ~87% disclosed (an artifact - $-redacted MYP masters drop out), ~42% MYP-corrected outside-yards, 25.3% applied.</t>
        </r>
      </text>
    </comment>
  </commentList>
</comments>
</file>

<file path=xl/comments7.xml><?xml version="1.0" encoding="utf-8"?>
<comments xmlns="http://schemas.openxmlformats.org/spreadsheetml/2006/main">
  <authors>
    <author>Model</author>
  </authors>
  <commentList>
    <comment ref="B25" authorId="0">
      <text>
        <r>
          <rPr>
            <sz val="8"/>
            <color indexed="81"/>
            <rFont val="Arial"/>
            <family val="2"/>
          </rPr>
          <t xml:space="preserve">Held at 0: P-10 supplier LLTM already sits inside P-5c BC (an additive base would double-count). The AP/LLTM coefficient is corpus-measured (~48.5%) but reference-only - see TAM Build §3a and AP Bridge.</t>
        </r>
      </text>
    </comment>
    <comment ref="B54" authorId="0">
      <text>
        <r>
          <rPr>
            <sz val="8"/>
            <color indexed="81"/>
            <rFont val="Arial"/>
            <family val="2"/>
          </rPr>
          <t xml:space="preserve">Announced POP of the construction contracts funding the in-window boats. Virginia Block V (DoD announcement 2019-12-02, article 2030017, $22,209.9M, nine boats FY19-23): 'Newport News (25%); Quonset Point (21%); Groton (20%); Sunnyvale (8%); named cities 3%; other US below 1% (22%); outside US below 1% (1%)'. Columbia Build I (2020-11-05, article 2406922, $9,473.5M, SSBN 826 + 827): 'Groton (36%); Newport News (25%); Quonset Point (17%); other US sites each less than 1% (22%)'. Below-1% aggregates count as other-US (corpus parse convention). Each class coefficient = other-US + foreign of its own master (TAM Build §3a). Block VI construction is unawarded; restate the Virginia row on its announcement.</t>
        </r>
      </text>
    </comment>
    <comment ref="C61" authorId="0">
      <text>
        <r>
          <rPr>
            <sz val="8"/>
            <color indexed="81"/>
            <rFont val="Arial"/>
            <family val="2"/>
          </rPr>
          <t xml:space="preserve">Outlook upper bound = each class's FY22-25 average penetration x (1 + this uplift). Basis: stated industry intent to grow outsourced manhours ~30% (HII statement; citation pending - swap in the source when confirmed).</t>
        </r>
      </text>
    </comment>
  </commentList>
</comments>
</file>

<file path=xl/comments8.xml><?xml version="1.0" encoding="utf-8"?>
<comments xmlns="http://schemas.openxmlformats.org/spreadsheetml/2006/main">
  <authors>
    <author>Model</author>
  </authors>
  <commentList>
    <comment ref="B25" authorId="0">
      <text>
        <r>
          <rPr>
            <sz val="8"/>
            <color indexed="81"/>
            <rFont val="Arial"/>
            <family val="2"/>
          </rPr>
          <t xml:space="preserve">PB2027 SCN justification, Exhibit P-10 (Advance Procurement Requirements Analysis), LI 2122 DDG-51, Vol 1 p.243: FY2026 $1,750.0M = Ship Construction EOQ $1,000.0M + congressional adds excluded ($450.0M shipyard infrastructure, $300.0M wage enhancements); FY2025 $83.224M = EOQ $41.5M + NMT terminal GFE $41.7M excluded (PB2026 Vol 1 p.235).</t>
        </r>
      </text>
    </comment>
    <comment ref="B34" authorId="0">
      <text>
        <r>
          <rPr>
            <sz val="8"/>
            <color indexed="81"/>
            <rFont val="Arial"/>
            <family val="2"/>
          </rPr>
          <t xml:space="preserve">DoD announcement 2018-09-27 (defense.gov article 1647166, Wayback 20180928083950): BIW $3,904.7M, 4 ships FY19-22, 'Bath, Maine (61%)... other locations below 1% (collectively totaling 20%)'; Ingalls $5,104.7M, 6 ships FY18-22, 'Pascagoula, Mississippi (91%); Erie, Pennsylvania (1%); other locations below 1% (8%)'. Feeds the FY2022-vintage BC coefficient only; predates the POP-corpus window.</t>
        </r>
      </text>
    </comment>
    <comment ref="C41" authorId="0">
      <text>
        <r>
          <rPr>
            <sz val="8"/>
            <color indexed="81"/>
            <rFont val="Arial"/>
            <family val="2"/>
          </rPr>
          <t xml:space="preserve">1.00 by P-10 classification: the base is the 'Ship Construction EOQ' line only, which the exhibit defines as Economic Order Quantity procurements of material items (vendor-purchased); AWS EOQ, terminal GFE, and congressional adds are already excluded at the line level. Haircut cases at Sensitivity §4.</t>
        </r>
      </text>
    </comment>
    <comment ref="C48" authorId="0">
      <text>
        <r>
          <rPr>
            <sz val="8"/>
            <color indexed="81"/>
            <rFont val="Arial"/>
            <family val="2"/>
          </rPr>
          <t xml:space="preserve">Outlook upper bound = FY22-25 average penetration x (1 + this uplift). Basis: stated industry intent to grow outsourced manhours ~30% (HII statement; citation pending - swap in the source when confirmed).</t>
        </r>
      </text>
    </comment>
  </commentList>
</comments>
</file>

<file path=xl/comments9.xml><?xml version="1.0" encoding="utf-8"?>
<comments xmlns="http://schemas.openxmlformats.org/spreadsheetml/2006/main">
  <authors>
    <author>Model</author>
  </authors>
  <commentList>
    <comment ref="C16" authorId="0">
      <text>
        <r>
          <rPr>
            <sz val="8"/>
            <color indexed="81"/>
            <rFont val="Arial"/>
            <family val="2"/>
          </rPr>
          <t xml:space="preserve">Virginia/Columbia h=0.50: RADM Jon Rucker (PEO Attack Submarines), Defense News 2022-10-21 - EB+NNS outsourced hours grow 2M-&gt;5M = 'half the work to build a Virginia submarine'. Labor-hours basis; a forward capacity-relief target, not a measured make/buy split. See Sources A1.</t>
        </r>
      </text>
    </comment>
    <comment ref="E16" authorId="0">
      <text>
        <r>
          <rPr>
            <sz val="8"/>
            <color indexed="81"/>
            <rFont val="Arial"/>
            <family val="2"/>
          </rPr>
          <t xml:space="preserve">DDG-51 h=0.55 (analyst assumption, not the Rucker submarine figure): no reactor, larger separable GFE, and more amenable to distributed block builds -&gt; a higher outsourceable-hour ceiling than the nuclear submarines. Carrier (CVN-80) ~20% of structural units outsourced and rising is the nearest non-nuclear datapoint.</t>
        </r>
      </text>
    </comment>
    <comment ref="C17" authorId="0">
      <text>
        <r>
          <rPr>
            <sz val="8"/>
            <color indexed="81"/>
            <rFont val="Arial"/>
            <family val="2"/>
          </rPr>
          <t xml:space="preserve">L=0.50 of BC: O'Rourke (CRS, 2025-03-11) 'shipyard labor ~40% of a military ship's total procurement cost'; since BC excludes most GFE, labor's share of BC is higher than 40%. CBO Shipbuilding Composite Index (2024) puts shipbuilder labor at 39-48%. See Sources A2/A3.</t>
        </r>
      </text>
    </comment>
    <comment ref="E17" authorId="0">
      <text>
        <r>
          <rPr>
            <sz val="8"/>
            <color indexed="81"/>
            <rFont val="Arial"/>
            <family val="2"/>
          </rPr>
          <t xml:space="preserve">DDG-51 L=0.45 (analyst assumption): non-nuclear mix with a larger separable GFE layer, so labor is a somewhat smaller share of BC than on the nuclear boats. Sensitivity tab sweeps L.</t>
        </r>
      </text>
    </comment>
    <comment ref="C20" authorId="0">
      <text>
        <r>
          <rPr>
            <sz val="8"/>
            <color indexed="81"/>
            <rFont val="Arial"/>
            <family val="2"/>
          </rPr>
          <t xml:space="preserve">p = share of an outsourced package's material that travels with it (a tier-2 fabricator buys/installs its own steel, pipe, components). Bridge: outsourced $ = h*L*BC + p*(1-L)*BC. p=0 labor-only (~25% of BC); p=1 material-inclusive (~75%). For a supplier-opportunity TAM, p is high.</t>
        </r>
      </text>
    </comment>
    <comment ref="C32" authorId="0">
      <text>
        <r>
          <rPr>
            <sz val="8"/>
            <color indexed="81"/>
            <rFont val="Arial"/>
            <family val="2"/>
          </rPr>
          <t xml:space="preserve">Current off-team share of construction work (announced place of performance): Virginia 34% (Block V, DoD 2019-12-02) / Columbia 22% (Build I, 2020-11-05) / DDG-51 ~13% (production-weighted blend: BIW ~20% off-Bath + Ingalls ~9% off-Pascagoula). The applied current-state floor the ceiling sits above. See Sources A5/A6/A7.</t>
        </r>
      </text>
    </comment>
    <comment ref="D32" authorId="0">
      <text>
        <r>
          <rPr>
            <sz val="8"/>
            <color indexed="81"/>
            <rFont val="Arial"/>
            <family val="2"/>
          </rPr>
          <t xml:space="preserve">Current off-team share of construction work (announced place of performance): Virginia 34% (Block V, DoD 2019-12-02) / Columbia 22% (Build I, 2020-11-05) / DDG-51 ~13% (production-weighted blend: BIW ~20% off-Bath + Ingalls ~9% off-Pascagoula). The applied current-state floor the ceiling sits above. See Sources A5/A6/A7.</t>
        </r>
      </text>
    </comment>
    <comment ref="E32" authorId="0">
      <text>
        <r>
          <rPr>
            <sz val="8"/>
            <color indexed="81"/>
            <rFont val="Arial"/>
            <family val="2"/>
          </rPr>
          <t xml:space="preserve">Current off-team share of construction work (announced place of performance): Virginia 34% (Block V, DoD 2019-12-02) / Columbia 22% (Build I, 2020-11-05) / DDG-51 ~13% (production-weighted blend: BIW ~20% off-Bath + Ingalls ~9% off-Pascagoula). The applied current-state floor the ceiling sits above. See Sources A5/A6/A7.</t>
        </r>
      </text>
    </comment>
  </commentList>
</comments>
</file>

<file path=xl/comments42.xml><?xml version="1.0" encoding="utf-8"?>
<comments xmlns="http://schemas.openxmlformats.org/spreadsheetml/2006/main">
  <authors>
    <author>Model</author>
  </authors>
  <commentList>
    <comment ref="E7" authorId="0">
      <text>
        <r>
          <rPr>
            <sz val="8"/>
            <color indexed="81"/>
            <rFont val="Arial"/>
            <family val="2"/>
          </rPr>
          <t xml:space="preserve">https://www.defensenews.com/industry/2022/10/21/defense-firms-outsource-sub-carrier-construction-amid-labor-woes/</t>
        </r>
      </text>
    </comment>
    <comment ref="E8" authorId="0">
      <text>
        <r>
          <rPr>
            <sz val="8"/>
            <color indexed="81"/>
            <rFont val="Arial"/>
            <family val="2"/>
          </rPr>
          <t xml:space="preserve">https://armedservices.house.gov/uploadedfiles/03.11.25_spf_state_of_shipbuilding_orourke_statement.pdf</t>
        </r>
      </text>
    </comment>
    <comment ref="E9" authorId="0">
      <text>
        <r>
          <rPr>
            <sz val="8"/>
            <color indexed="81"/>
            <rFont val="Arial"/>
            <family val="2"/>
          </rPr>
          <t xml:space="preserve">https://www.cbo.gov/publication/60206</t>
        </r>
      </text>
    </comment>
    <comment ref="E10" authorId="0">
      <text>
        <r>
          <rPr>
            <sz val="8"/>
            <color indexed="81"/>
            <rFont val="Arial"/>
            <family val="2"/>
          </rPr>
          <t xml:space="preserve">https://comptroller.defense.gov/Portals/45/documents/fmr/current/02b/02b_04.pdf</t>
        </r>
      </text>
    </comment>
    <comment ref="E11" authorId="0">
      <text>
        <r>
          <rPr>
            <sz val="8"/>
            <color indexed="81"/>
            <rFont val="Arial"/>
            <family val="2"/>
          </rPr>
          <t xml:space="preserve">https://www.defense.gov/News/Contracts/Contract/Article/2030017/</t>
        </r>
      </text>
    </comment>
    <comment ref="E12" authorId="0">
      <text>
        <r>
          <rPr>
            <sz val="8"/>
            <color indexed="81"/>
            <rFont val="Arial"/>
            <family val="2"/>
          </rPr>
          <t xml:space="preserve">https://www.defense.gov/Newsroom/Contracts/Contract/Article/2406922/</t>
        </r>
      </text>
    </comment>
    <comment ref="E13" authorId="0">
      <text>
        <r>
          <rPr>
            <sz val="8"/>
            <color indexed="81"/>
            <rFont val="Arial"/>
            <family val="2"/>
          </rPr>
          <t xml:space="preserve">https://www.defense.gov/News/Contracts/Contract/Article/3479250/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0.0;-#,##0.0;&quot;-&quot;"/>
    <numFmt numFmtId="165" formatCode="0.0%;-0.0%;&quot;-&quot;"/>
    <numFmt numFmtId="166" formatCode="&quot;$&quot;#,##0&quot;M&quot;"/>
    <numFmt numFmtId="167" formatCode="&quot;$&quot;0.0&quot;B&quot;"/>
    <numFmt numFmtId="168" formatCode="#,##0;-#,##0;&quot;-&quot;"/>
    <numFmt numFmtId="169" formatCode="yyyy\-mm\-dd"/>
  </numFmts>
  <fonts count="10">
    <font>
      <sz val="8"/>
      <name val="Arial"/>
      <color rgb="FF000000"/>
    </font>
    <font>
      <sz val="8"/>
      <name val="Arial"/>
      <b/>
      <color rgb="FF000000"/>
    </font>
    <font>
      <sz val="8"/>
      <name val="Arial"/>
      <b/>
      <color rgb="FFFFFFFF"/>
    </font>
    <font>
      <sz val="8"/>
      <name val="Arial"/>
      <color rgb="FF0000FF"/>
    </font>
    <font>
      <sz val="8"/>
      <name val="Arial"/>
      <color rgb="FF008000"/>
    </font>
    <font>
      <sz val="8"/>
      <name val="Arial"/>
      <i/>
      <color rgb="FF000000"/>
    </font>
    <font>
      <sz val="8"/>
      <name val="Arial"/>
      <i/>
      <color rgb="FF0000FF"/>
    </font>
    <font>
      <sz val="8"/>
      <name val="Arial"/>
      <i/>
      <color rgb="FF008000"/>
    </font>
    <font>
      <sz val="8"/>
      <name val="Arial"/>
      <b/>
      <i/>
      <color rgb="FF000000"/>
    </font>
    <font>
      <sz val="8"/>
      <name val="Arial"/>
      <i/>
      <color rgb="FF808080"/>
    </font>
  </fonts>
  <fills count="6">
    <fill>
      <patternFill patternType="none"/>
    </fill>
    <fill>
      <patternFill patternType="gray125"/>
    </fill>
    <fill>
      <patternFill patternType="solid">
        <fgColor rgb="FF000000"/>
      </patternFill>
    </fill>
    <fill>
      <patternFill patternType="solid">
        <fgColor rgb="FF808080"/>
      </patternFill>
    </fill>
    <fill>
      <patternFill patternType="solid">
        <fgColor rgb="FFF2F2F2"/>
      </patternFill>
    </fill>
    <fill>
      <patternFill patternType="solid">
        <fgColor rgb="FFFFFACD"/>
      </patternFill>
    </fill>
  </fills>
  <borders count="10">
    <border>
      <left/>
      <right/>
      <top/>
      <bottom/>
    </border>
    <border>
      <left/>
      <right/>
      <top/>
      <bottom style="thin">
        <color rgb="FF000000"/>
      </bottom>
    </border>
    <border>
      <left/>
      <right/>
      <top style="medium">
        <color rgb="FF000000"/>
      </top>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s>
  <cellStyleXfs count="1">
    <xf numFmtId="0" fontId="0" fillId="0" borderId="0"/>
  </cellStyleXfs>
  <cellXfs count="56">
    <xf numFmtId="0" fontId="0" fillId="0" borderId="0" xfId="0"/>
    <xf numFmtId="0" fontId="1" fillId="0" borderId="0" xfId="0" applyFont="1"/>
    <xf numFmtId="0" fontId="1" fillId="0" borderId="1" xfId="0" applyFont="1" applyBorder="1" applyAlignment="1">
      <alignment horizontal="left" vertical="center"/>
    </xf>
    <xf numFmtId="0" fontId="1" fillId="0" borderId="2" xfId="0" applyFont="1" applyBorder="1"/>
    <xf numFmtId="164" fontId="0" fillId="0" borderId="0" xfId="0" applyNumberFormat="1"/>
    <xf numFmtId="164" fontId="3" fillId="0" borderId="0" xfId="0" applyNumberFormat="1" applyFont="1"/>
    <xf numFmtId="165" fontId="5" fillId="0" borderId="0" xfId="0" applyNumberFormat="1" applyFont="1"/>
    <xf numFmtId="165" fontId="6" fillId="0" borderId="0" xfId="0" applyNumberFormat="1" applyFont="1"/>
    <xf numFmtId="0" fontId="2" fillId="2" borderId="0" xfId="0" applyFont="1" applyFill="1" applyAlignment="1">
      <alignment horizontal="left" vertical="center"/>
    </xf>
    <xf numFmtId="0" fontId="2" fillId="3" borderId="0" xfId="0" applyFont="1" applyFill="1" applyAlignment="1">
      <alignment horizontal="left" vertical="center"/>
    </xf>
    <xf numFmtId="0" fontId="1" fillId="4" borderId="0" xfId="0" applyFont="1" applyFill="1" applyAlignment="1">
      <alignment horizontal="left" vertical="center"/>
    </xf>
    <xf numFmtId="164" fontId="4" fillId="0" borderId="0" xfId="0" applyNumberFormat="1" applyFont="1"/>
    <xf numFmtId="165" fontId="7" fillId="0" borderId="0" xfId="0" applyNumberFormat="1" applyFont="1"/>
    <xf numFmtId="164" fontId="1" fillId="0" borderId="2" xfId="0" applyNumberFormat="1" applyFont="1" applyBorder="1"/>
    <xf numFmtId="165" fontId="8" fillId="0" borderId="2" xfId="0" applyNumberFormat="1" applyFont="1" applyBorder="1"/>
    <xf numFmtId="164" fontId="3" fillId="0" borderId="2" xfId="0" applyNumberFormat="1" applyFont="1" applyBorder="1"/>
    <xf numFmtId="0" fontId="0" fillId="0" borderId="2" xfId="0" applyBorder="1"/>
    <xf numFmtId="165" fontId="6" fillId="0" borderId="2" xfId="0" applyNumberFormat="1" applyFont="1" applyBorder="1"/>
    <xf numFmtId="164" fontId="4" fillId="0" borderId="2" xfId="0" applyNumberFormat="1" applyFont="1" applyBorder="1"/>
    <xf numFmtId="165" fontId="7" fillId="0" borderId="2" xfId="0" applyNumberFormat="1" applyFont="1" applyBorder="1"/>
    <xf numFmtId="0" fontId="0" fillId="0" borderId="0" xfId="0" applyAlignment="1">
      <alignment horizontal="left" vertical="center" indent="1"/>
    </xf>
    <xf numFmtId="0" fontId="0" fillId="0" borderId="0" xfId="0" applyAlignment="1">
      <alignment horizontal="left" vertical="center" indent="2"/>
    </xf>
    <xf numFmtId="0" fontId="1" fillId="0" borderId="1" xfId="0" applyFont="1" applyBorder="1" applyAlignment="1">
      <alignment horizontal="center" vertical="center"/>
    </xf>
    <xf numFmtId="0" fontId="1" fillId="5" borderId="3" xfId="0" applyFont="1" applyFill="1" applyBorder="1" applyAlignment="1">
      <alignment horizontal="center" vertical="center"/>
    </xf>
    <xf numFmtId="0" fontId="1" fillId="5" borderId="4" xfId="0" applyFont="1" applyFill="1" applyBorder="1" applyAlignment="1">
      <alignment horizontal="center" vertical="center"/>
    </xf>
    <xf numFmtId="0" fontId="1" fillId="5" borderId="5" xfId="0" applyFont="1" applyFill="1" applyBorder="1" applyAlignment="1">
      <alignment horizontal="center" vertical="center"/>
    </xf>
    <xf numFmtId="0" fontId="0" fillId="5" borderId="8" xfId="0" applyFill="1" applyBorder="1" applyAlignment="1">
      <alignment horizontal="left" vertical="center"/>
    </xf>
    <xf numFmtId="0" fontId="0" fillId="5" borderId="6" xfId="0" applyFill="1" applyBorder="1" applyAlignment="1">
      <alignment horizontal="left" vertical="center"/>
    </xf>
    <xf numFmtId="166" fontId="0" fillId="5" borderId="6" xfId="0" applyNumberFormat="1" applyFill="1" applyBorder="1"/>
    <xf numFmtId="166" fontId="0" fillId="5" borderId="1" xfId="0" applyNumberFormat="1" applyFill="1" applyBorder="1"/>
    <xf numFmtId="166" fontId="0" fillId="5" borderId="7" xfId="0" applyNumberFormat="1" applyFill="1" applyBorder="1"/>
    <xf numFmtId="166" fontId="0" fillId="5" borderId="9" xfId="0" applyNumberFormat="1" applyFill="1" applyBorder="1"/>
    <xf numFmtId="166" fontId="0" fillId="5" borderId="0" xfId="0" applyNumberFormat="1" applyFill="1"/>
    <xf numFmtId="167" fontId="0" fillId="5" borderId="6" xfId="0" applyNumberFormat="1" applyFill="1" applyBorder="1"/>
    <xf numFmtId="167" fontId="0" fillId="5" borderId="1" xfId="0" applyNumberFormat="1" applyFill="1" applyBorder="1"/>
    <xf numFmtId="167" fontId="0" fillId="5" borderId="7" xfId="0" applyNumberFormat="1" applyFill="1" applyBorder="1"/>
    <xf numFmtId="167" fontId="0" fillId="5" borderId="9" xfId="0" applyNumberFormat="1" applyFill="1" applyBorder="1"/>
    <xf numFmtId="167" fontId="0" fillId="5" borderId="0" xfId="0" applyNumberFormat="1" applyFill="1"/>
    <xf numFmtId="165" fontId="0" fillId="5" borderId="6" xfId="0" applyNumberFormat="1" applyFill="1" applyBorder="1"/>
    <xf numFmtId="165" fontId="0" fillId="5" borderId="1" xfId="0" applyNumberFormat="1" applyFill="1" applyBorder="1"/>
    <xf numFmtId="165" fontId="0" fillId="5" borderId="7" xfId="0" applyNumberFormat="1" applyFill="1" applyBorder="1"/>
    <xf numFmtId="165" fontId="0" fillId="5" borderId="9" xfId="0" applyNumberFormat="1" applyFill="1" applyBorder="1"/>
    <xf numFmtId="165" fontId="0" fillId="5" borderId="0" xfId="0" applyNumberFormat="1" applyFill="1"/>
    <xf numFmtId="0" fontId="9" fillId="0" borderId="0" xfId="0" applyFont="1" applyAlignment="1">
      <alignment horizontal="left" vertical="center"/>
    </xf>
    <xf numFmtId="168" fontId="0" fillId="0" borderId="0" xfId="0" applyNumberFormat="1"/>
    <xf numFmtId="168" fontId="3" fillId="0" borderId="0" xfId="0" applyNumberFormat="1" applyFont="1"/>
    <xf numFmtId="168" fontId="4" fillId="0" borderId="0" xfId="0" applyNumberFormat="1" applyFont="1"/>
    <xf numFmtId="168" fontId="1" fillId="0" borderId="2" xfId="0" applyNumberFormat="1" applyFont="1" applyBorder="1"/>
    <xf numFmtId="168" fontId="3" fillId="0" borderId="2" xfId="0" applyNumberFormat="1" applyFont="1" applyBorder="1"/>
    <xf numFmtId="168" fontId="4" fillId="0" borderId="2" xfId="0" applyNumberFormat="1" applyFont="1" applyBorder="1"/>
    <xf numFmtId="169" fontId="3" fillId="0" borderId="0" xfId="0" applyNumberFormat="1" applyFont="1"/>
    <xf numFmtId="169" fontId="3" fillId="0" borderId="2" xfId="0" applyNumberFormat="1" applyFont="1" applyBorder="1"/>
    <xf numFmtId="169" fontId="4" fillId="0" borderId="0" xfId="0" applyNumberFormat="1" applyFont="1"/>
    <xf numFmtId="169" fontId="4" fillId="0" borderId="2" xfId="0" applyNumberFormat="1" applyFont="1" applyBorder="1"/>
    <xf numFmtId="169" fontId="0" fillId="0" borderId="0" xfId="0" applyNumberFormat="1"/>
    <xf numFmtId="169" fontId="1" fillId="0" borderId="2" xfId="0" applyNumberFormat="1" applyFont="1" applyBorder="1"/>
  </cellXfs>
  <cellStyles count="1">
    <cellStyle name="Normal" xfId="0" builtinId="0"/>
  </cellStyles>
  <dxfs count="1">
    <dxf/>
  </dxfs>
  <tableStyles count="1" defaultTableStyle="WorkbookCore_NoFormatTable" defaultPivotStyle="PivotStyleLight16">
    <tableStyle name="WorkbookCore_NoFormatTable" pivot="0" table="1" count="13">
      <tableStyleElement type="wholeTable" dxfId="0"/>
      <tableStyleElement type="headerRow" dxfId="0"/>
      <tableStyleElement type="totalRow" dxfId="0"/>
      <tableStyleElement type="firstColumn" dxfId="0"/>
      <tableStyleElement type="lastColumn" dxfId="0"/>
      <tableStyleElement type="firstHeaderCell" dxfId="0"/>
      <tableStyleElement type="lastHeaderCell" dxfId="0"/>
      <tableStyleElement type="firstTotalCell" dxfId="0"/>
      <tableStyleElement type="lastTotalCell" dxfId="0"/>
      <tableStyleElement type="firstRowStripe" dxfId="0" size="1"/>
      <tableStyleElement type="secondRowStripe" dxfId="0" size="1"/>
      <tableStyleElement type="firstColumnStripe" dxfId="0" size="1"/>
      <tableStyleElement type="secondColumnStripe" dxfId="0" size="1"/>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styles" Target="styles.xml"/><Relationship Id="rId44" Type="http://schemas.openxmlformats.org/officeDocument/2006/relationships/sheetMetadata" Target="metadata.xml"/></Relationships>
</file>

<file path=xl/tables/table1.xml><?xml version="1.0" encoding="utf-8"?>
<table xmlns="http://schemas.openxmlformats.org/spreadsheetml/2006/main" id="1" name="tbl_sub_pop_parse" displayName="tbl_sub_pop_parse" ref="B16:O674" totalsRowShown="0">
  <autoFilter ref="B16:O674"/>
  <tableColumns count="14">
    <tableColumn id="1" name="Date"/>
    <tableColumn id="2" name="PIID"/>
    <tableColumn id="3" name="Program"/>
    <tableColumn id="4" name="Work Type"/>
    <tableColumn id="5" name="Scope Class"/>
    <tableColumn id="6" name="Stream"/>
    <tableColumn id="7" name="Gate"/>
    <tableColumn id="8" name="GFE/Excl"/>
    <tableColumn id="9" name="Confirmed"/>
    <tableColumn id="10" name="$M"/>
    <tableColumn id="11" name="EB %"/>
    <tableColumn id="12" name="HII %"/>
    <tableColumn id="13" name="Other US %"/>
    <tableColumn id="14" name="Foreign %"/>
  </tableColumns>
  <tableStyleInfo name="WorkbookCore_NoFormatTable" showFirstColumn="0" showLastColumn="0" showRowStripes="0" showColumnStripes="0"/>
</table>
</file>

<file path=xl/tables/table2.xml><?xml version="1.0" encoding="utf-8"?>
<table xmlns="http://schemas.openxmlformats.org/spreadsheetml/2006/main" id="2" name="tbl_ddg_production" displayName="tbl_ddg_production" ref="B6:G36" totalsRowShown="0">
  <autoFilter ref="B6:G36"/>
  <tableColumns count="6">
    <tableColumn id="1" name="Ship"/>
    <tableColumn id="2" name="Shipbuilder"/>
    <tableColumn id="3" name="FY"/>
    <tableColumn id="4" name="Contract award"/>
    <tableColumn id="5" name="Start construction"/>
    <tableColumn id="6" name="Delivery"/>
  </tableColumns>
  <tableStyleInfo name="WorkbookCore_NoFormatTable" showFirstColumn="0" showLastColumn="0" showRowStripes="0" showColumnStripes="0"/>
</table>
</file>

<file path=xl/tables/table3.xml><?xml version="1.0" encoding="utf-8"?>
<table xmlns="http://schemas.openxmlformats.org/spreadsheetml/2006/main" id="3" name="tbl_ddg_pop_parse" displayName="tbl_ddg_pop_parse" ref="B6:Q160" totalsRowShown="0">
  <autoFilter ref="B6:Q160"/>
  <tableColumns count="16">
    <tableColumn id="1" name="Date"/>
    <tableColumn id="2" name="PIID"/>
    <tableColumn id="3" name="Prime"/>
    <tableColumn id="4" name="Program"/>
    <tableColumn id="5" name="Work Type"/>
    <tableColumn id="6" name="Scope Class"/>
    <tableColumn id="7" name="Stream"/>
    <tableColumn id="8" name="Gate"/>
    <tableColumn id="9" name="GFE/Excl"/>
    <tableColumn id="10" name="Confirmed"/>
    <tableColumn id="11" name="MYP master"/>
    <tableColumn id="12" name="$M"/>
    <tableColumn id="13" name="BIW %"/>
    <tableColumn id="14" name="Ingalls %"/>
    <tableColumn id="15" name="Other US %"/>
    <tableColumn id="16" name="Foreign %"/>
  </tableColumns>
  <tableStyleInfo name="WorkbookCore_NoFormatTable" showFirstColumn="0" showLastColumn="0" showRowStripes="0" showColumnStripes="0"/>
</table>
</file>

<file path=xl/tables/table4.xml><?xml version="1.0" encoding="utf-8"?>
<table xmlns="http://schemas.openxmlformats.org/spreadsheetml/2006/main" id="4" name="CostBase" displayName="CostBase" ref="B6:I21" totalsRowShown="0">
  <autoFilter ref="B6:I21"/>
  <tableColumns count="8">
    <tableColumn id="1" name="Program"/>
    <tableColumn id="2" name="FY"/>
    <tableColumn id="3" name="BC"/>
    <tableColumn id="4" name="GFE"/>
    <tableColumn id="5" name="Total"/>
    <tableColumn id="6" name="Plans+Other"/>
    <tableColumn id="7" name="BC %"/>
    <tableColumn id="8" name="FFATA"/>
  </tableColumns>
  <tableStyleInfo name="WorkbookCore_NoFormatTable" showFirstColumn="0" showLastColumn="0" showRowStripes="0" showColumnStripes="0"/>
</table>
</file>

<file path=xl/tables/table5.xml><?xml version="1.0" encoding="utf-8"?>
<table xmlns="http://schemas.openxmlformats.org/spreadsheetml/2006/main" id="5" name="tbl_sub_source_index_data" displayName="tbl_sub_source_index_data" ref="B6:D13" totalsRowShown="0">
  <autoFilter ref="B6:D13"/>
  <tableColumns count="3">
    <tableColumn id="1" name="Source"/>
    <tableColumn id="2" name="Retrieved"/>
    <tableColumn id="3" name="Location"/>
  </tableColumns>
  <tableStyleInfo name="WorkbookCore_NoFormatTable" showFirstColumn="0" showLastColumn="0" showRowStripes="0" showColumnStripes="0"/>
</table>
</file>

<file path=xl/tables/table6.xml><?xml version="1.0" encoding="utf-8"?>
<table xmlns="http://schemas.openxmlformats.org/spreadsheetml/2006/main" id="6" name="tbl_sub_source_index_budget" displayName="tbl_sub_source_index_budget" ref="B18:D23" totalsRowShown="0">
  <autoFilter ref="B18:D23"/>
  <tableColumns count="3">
    <tableColumn id="1" name="Source"/>
    <tableColumn id="2" name="Retrieved"/>
    <tableColumn id="3" name="Location"/>
  </tableColumns>
  <tableStyleInfo name="WorkbookCore_NoFormatTable" showFirstColumn="0" showLastColumn="0" showRowStripes="0" showColumnStripes="0"/>
</table>
</file>

<file path=xl/tables/table7.xml><?xml version="1.0" encoding="utf-8"?>
<table xmlns="http://schemas.openxmlformats.org/spreadsheetml/2006/main" id="7" name="tbl_sub_source_index_docs" displayName="tbl_sub_source_index_docs" ref="B28:D32" totalsRowShown="0">
  <autoFilter ref="B28:D32"/>
  <tableColumns count="3">
    <tableColumn id="1" name="Source"/>
    <tableColumn id="2" name="Retrieved"/>
    <tableColumn id="3" name="Location"/>
  </tableColumns>
  <tableStyleInfo name="WorkbookCore_NoFormatTable" showFirstColumn="0" showLastColumn="0" showRowStripes="0" showColumnStripes="0"/>
</table>
</file>

<file path=xl/tables/table8.xml><?xml version="1.0" encoding="utf-8"?>
<table xmlns="http://schemas.openxmlformats.org/spreadsheetml/2006/main" id="8" name="tbl_sub_references_claims" displayName="tbl_sub_references_claims" ref="B6:J40" totalsRowShown="0">
  <autoFilter ref="B6:J40"/>
  <tableColumns count="9">
    <tableColumn id="1" name="Claim ID"/>
    <tableColumn id="2" name="Label"/>
    <tableColumn id="3" name="Value"/>
    <tableColumn id="4" name="Unit"/>
    <tableColumn id="5" name="Source ID"/>
    <tableColumn id="6" name="Date"/>
    <tableColumn id="7" name="Source title"/>
    <tableColumn id="8" name="Source URL"/>
    <tableColumn id="9" name="Quoted text"/>
  </tableColumns>
  <tableStyleInfo name="WorkbookCore_NoFormatTable" showFirstColumn="0" showLastColumn="0" showRowStripes="0" showColumnStripes="0"/>
</table>
</file>

<file path=xl/tables/table9.xml><?xml version="1.0" encoding="utf-8"?>
<table xmlns="http://schemas.openxmlformats.org/spreadsheetml/2006/main" id="9" name="tbl_sub_references_exec" displayName="tbl_sub_references_exec" ref="B45:I66" totalsRowShown="0">
  <autoFilter ref="B45:I66"/>
  <tableColumns count="8">
    <tableColumn id="1" name="Quote ID"/>
    <tableColumn id="2" name="Date"/>
    <tableColumn id="3" name="Speaker"/>
    <tableColumn id="4" name="Role"/>
    <tableColumn id="5" name="Company"/>
    <tableColumn id="6" name="Topic"/>
    <tableColumn id="7" name="Quote"/>
    <tableColumn id="8" name="Source URL"/>
  </tableColumns>
  <tableStyleInfo name="WorkbookCore_NoFormatTable" showFirstColumn="0" showLastColumn="0" showRowStripes="0" showColumnStripes="0"/>
</table>
</file>

<file path=xl/tables/table10.xml><?xml version="1.0" encoding="utf-8"?>
<table xmlns="http://schemas.openxmlformats.org/spreadsheetml/2006/main" id="10" name="tbl_ddg_source_index" displayName="tbl_ddg_source_index" ref="B6:F24" totalsRowShown="0">
  <autoFilter ref="B6:F24"/>
  <tableColumns count="5">
    <tableColumn id="1" name="Dataset (extracted/)"/>
    <tableColumn id="2" name="Rows"/>
    <tableColumn id="3" name="Key fields"/>
    <tableColumn id="4" name="Consumed by (tab)"/>
    <tableColumn id="5" name="Retrieval"/>
  </tableColumns>
  <tableStyleInfo name="WorkbookCore_NoFormatTable" showFirstColumn="0" showLastColumn="0" showRowStripes="0" showColumnStripes="0"/>
</table>
</file>

<file path=xl/tables/table11.xml><?xml version="1.0" encoding="utf-8"?>
<table xmlns="http://schemas.openxmlformats.org/spreadsheetml/2006/main" id="11" name="tbl_ddg_references_primary" displayName="tbl_ddg_references_primary" ref="B6:G21" totalsRowShown="0">
  <autoFilter ref="B6:G21"/>
  <tableColumns count="6">
    <tableColumn id="1" name="Source ID"/>
    <tableColumn id="2" name="Document / dataset"/>
    <tableColumn id="3" name="Type"/>
    <tableColumn id="4" name="Date"/>
    <tableColumn id="5" name="Location / reference"/>
    <tableColumn id="6" name="Context note"/>
  </tableColumns>
  <tableStyleInfo name="WorkbookCore_NoFormatTable" showFirstColumn="0" showLastColumn="0" showRowStripes="0" showColumnStripes="0"/>
</table>
</file>

<file path=xl/tables/table12.xml><?xml version="1.0" encoding="utf-8"?>
<table xmlns="http://schemas.openxmlformats.org/spreadsheetml/2006/main" id="12" name="tbl_ddg_references_citations" displayName="tbl_ddg_references_citations" ref="B26:G36" totalsRowShown="0">
  <autoFilter ref="B26:G36"/>
  <tableColumns count="6">
    <tableColumn id="1" name="Source ID"/>
    <tableColumn id="2" name="Document / dataset"/>
    <tableColumn id="3" name="Type"/>
    <tableColumn id="4" name="Date"/>
    <tableColumn id="5" name="Location / reference"/>
    <tableColumn id="6" name="Context note"/>
  </tableColumns>
  <tableStyleInfo name="WorkbookCore_NoFormatTable" showFirstColumn="0" showLastColumn="0" showRowStripes="0" showColumnStripes="0"/>
</table>
</file>

<file path=xl/tables/table13.xml><?xml version="1.0" encoding="utf-8"?>
<table xmlns="http://schemas.openxmlformats.org/spreadsheetml/2006/main" id="13" name="Anchors" displayName="Anchors" ref="B6:F13" totalsRowShown="0">
  <autoFilter ref="B6:F13"/>
  <tableColumns count="5">
    <tableColumn id="1" name="Parameter"/>
    <tableColumn id="2" name="Value"/>
    <tableColumn id="3" name="Basis"/>
    <tableColumn id="4" name="Source"/>
    <tableColumn id="5" name="ID"/>
  </tableColumns>
  <tableStyleInfo name="WorkbookCore_NoFormatTable" showFirstColumn="0" showLastColumn="0" showRowStripes="0" showColumnStripes="0"/>
</table>
</file>

<file path=xl/worksheets/_rels/sheet5.xml.rels><?xml version="1.0" encoding="UTF-8" standalone="yes"?><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22.xml.rels><?xml version="1.0" encoding="UTF-8" standalone="yes"?><Relationships xmlns="http://schemas.openxmlformats.org/package/2006/relationships"><Relationship Id="rId1" Type="http://schemas.openxmlformats.org/officeDocument/2006/relationships/table" Target="../tables/table1.xml"/></Relationships>
</file>

<file path=xl/worksheets/_rels/sheet25.xml.rels><?xml version="1.0" encoding="UTF-8" standalone="yes"?><Relationships xmlns="http://schemas.openxmlformats.org/package/2006/relationships"><Relationship Id="rId1" Type="http://schemas.openxmlformats.org/officeDocument/2006/relationships/table" Target="../tables/table2.xml"/></Relationships>
</file>

<file path=xl/worksheets/_rels/sheet28.xml.rels><?xml version="1.0" encoding="UTF-8" standalone="yes"?><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Relationships xmlns="http://schemas.openxmlformats.org/package/2006/relationships"><Relationship Id="rId1" Type="http://schemas.openxmlformats.org/officeDocument/2006/relationships/table" Target="../tables/table5.xml"/><Relationship Id="rId2" Type="http://schemas.openxmlformats.org/officeDocument/2006/relationships/table" Target="../tables/table6.xml"/><Relationship Id="rId3" Type="http://schemas.openxmlformats.org/officeDocument/2006/relationships/table" Target="../tables/table7.xml"/></Relationships>
</file>

<file path=xl/worksheets/_rels/sheet39.xml.rels><?xml version="1.0" encoding="UTF-8" standalone="yes"?><Relationships xmlns="http://schemas.openxmlformats.org/package/2006/relationships"><Relationship Id="rId1" Type="http://schemas.openxmlformats.org/officeDocument/2006/relationships/table" Target="../tables/table8.xml"/><Relationship Id="rId2" Type="http://schemas.openxmlformats.org/officeDocument/2006/relationships/table" Target="../tables/table9.xml"/></Relationships>
</file>

<file path=xl/worksheets/_rels/sheet40.xml.rels><?xml version="1.0" encoding="UTF-8" standalone="yes"?><Relationships xmlns="http://schemas.openxmlformats.org/package/2006/relationships"><Relationship Id="rId1" Type="http://schemas.openxmlformats.org/officeDocument/2006/relationships/table" Target="../tables/table10.xml"/></Relationships>
</file>

<file path=xl/worksheets/_rels/sheet41.xml.rels><?xml version="1.0" encoding="UTF-8" standalone="yes"?><Relationships xmlns="http://schemas.openxmlformats.org/package/2006/relationships"><Relationship Id="rId1" Type="http://schemas.openxmlformats.org/officeDocument/2006/relationships/table" Target="../tables/table11.xml"/><Relationship Id="rId2" Type="http://schemas.openxmlformats.org/officeDocument/2006/relationships/table" Target="../tables/table12.xml"/></Relationships>
</file>

<file path=xl/worksheets/_rels/sheet42.xml.rels><?xml version="1.0" encoding="UTF-8" standalone="yes"?><Relationships xmlns="http://schemas.openxmlformats.org/package/2006/relationships"><Relationship Id="rId1" Type="http://schemas.openxmlformats.org/officeDocument/2006/relationships/table" Target="../tables/table13.xml"/><Relationship Id="rId2" Type="http://schemas.openxmlformats.org/officeDocument/2006/relationships/comments" Target="../comments42.xml"/><Relationship Id="rId3" Type="http://schemas.openxmlformats.org/officeDocument/2006/relationships/vmlDrawing" Target="../drawings/vmlDrawing42.vml"/></Relationships>
</file>

<file path=xl/worksheets/sheet1.xml><?xml version="1.0" encoding="utf-8"?>
<worksheet xmlns="http://schemas.openxmlformats.org/spreadsheetml/2006/main" xmlns:r="http://schemas.openxmlformats.org/officeDocument/2006/relationships">
  <sheetPr>
    <tabColor rgb="FF6A4C93"/>
    <outlinePr summaryBelow="0"/>
  </sheetPr>
  <sheetViews>
    <sheetView showGridLines="0" workbookViewId="0" showOutlineSymbols="0"/>
  </sheetViews>
  <sheetFormatPr defaultRowHeight="10" customHeight="1"/>
  <cols>
    <col min="1" max="1" width="2.2109375" customWidth="1"/>
    <col min="2" max="2" width="46" customWidth="1"/>
    <col min="3" max="3" width="13" customWidth="1"/>
    <col min="4" max="4" width="13" customWidth="1"/>
    <col min="5" max="5" width="13" customWidth="1"/>
    <col min="6" max="6" width="13" customWidth="1"/>
  </cols>
  <sheetData>
    <row r="1"/>
    <row r="2">
      <c r="B2" s="8" t="inlineStr">
        <is>
          <t xml:space="preserve">Portfolio Summary</t>
        </is>
      </c>
      <c r="C2" s="8"/>
      <c r="D2" s="8"/>
      <c r="E2" s="8"/>
      <c r="F2" s="8"/>
    </row>
    <row r="4">
      <c r="A4" s="0" t="inlineStr">
        <is>
          <t xml:space="preserve">x</t>
        </is>
      </c>
      <c r="B4" s="9" t="inlineStr">
        <is>
          <t xml:space="preserve">§1 - Scope</t>
        </is>
      </c>
      <c r="C4" s="9"/>
      <c r="D4" s="9"/>
      <c r="E4" s="9"/>
      <c r="F4" s="9"/>
    </row>
    <row r="6" outlineLevel="1">
      <c r="B6" s="0" t="inlineStr">
        <is>
          <t xml:space="preserve">Question</t>
        </is>
      </c>
      <c r="C6" s="0" t="inlineStr">
        <is>
          <t xml:space="preserve">Outsourced new-construction TAM across the portfolio</t>
        </is>
      </c>
    </row>
    <row r="7" outlineLevel="1">
      <c r="B7" s="0" t="inlineStr">
        <is>
          <t xml:space="preserve">Programs</t>
        </is>
      </c>
      <c r="C7" s="0" t="inlineStr">
        <is>
          <t xml:space="preserve">Virginia + Columbia (submarines) and DDG-51; Total = sum</t>
        </is>
      </c>
    </row>
    <row r="8" outlineLevel="1">
      <c r="B8" s="0" t="inlineStr">
        <is>
          <t xml:space="preserve">Window / units</t>
        </is>
      </c>
      <c r="C8" s="0" t="inlineStr">
        <is>
          <t xml:space="preserve">FY2022-2027 - then-year $M; ceiling ratios unit-invariant</t>
        </is>
      </c>
    </row>
    <row r="9" outlineLevel="1">
      <c r="B9" s="0" t="inlineStr">
        <is>
          <t xml:space="preserve">Per-program detail</t>
        </is>
      </c>
      <c r="C9" s="0" t="inlineStr">
        <is>
          <t xml:space="preserve">see Sub/DDG TAM Build &amp; Outlook; Ceiling Model / Headroom</t>
        </is>
      </c>
    </row>
    <row r="12">
      <c r="A12" s="0" t="inlineStr">
        <is>
          <t xml:space="preserve">x</t>
        </is>
      </c>
      <c r="B12" s="9" t="inlineStr">
        <is>
          <t xml:space="preserve">§2 - Outsourced TAM</t>
        </is>
      </c>
      <c r="C12" s="9"/>
      <c r="D12" s="9"/>
      <c r="E12" s="9"/>
      <c r="F12" s="9"/>
    </row>
    <row r="14">
      <c r="B14" s="2" t="inlineStr">
        <is>
          <t xml:space="preserve">Measure</t>
        </is>
      </c>
      <c r="C14" s="22" t="inlineStr">
        <is>
          <t xml:space="preserve">Virginia</t>
        </is>
      </c>
      <c r="D14" s="22" t="inlineStr">
        <is>
          <t xml:space="preserve">Columbia</t>
        </is>
      </c>
      <c r="E14" s="22" t="inlineStr">
        <is>
          <t xml:space="preserve">DDG-51</t>
        </is>
      </c>
      <c r="F14" s="22" t="inlineStr">
        <is>
          <t xml:space="preserve">Total</t>
        </is>
      </c>
    </row>
    <row r="15" outlineLevel="1">
      <c r="B15" s="0" t="inlineStr">
        <is>
          <t xml:space="preserve">Outsourced TAM, FY22-27 cumulative $M</t>
        </is>
      </c>
      <c r="C15" s="11">
        <f>(N('Sub TAM Build'!C116)+N('Sub TAM Build'!D116)+N('Sub TAM Build'!E116)+N('Sub TAM Build'!F116)+N('Sub TAM Build'!G116)+N('Sub TAM Build'!H116))</f>
      </c>
      <c r="D15" s="11">
        <f>(N('Sub TAM Build'!C127)+N('Sub TAM Build'!D127)+N('Sub TAM Build'!E127)+N('Sub TAM Build'!F127)+N('Sub TAM Build'!G127)+N('Sub TAM Build'!H127))</f>
      </c>
      <c r="E15" s="11">
        <f>'DDG TAM Build'!I117</f>
      </c>
      <c r="F15" s="11">
        <f>SUM(C15:E15)</f>
      </c>
    </row>
    <row r="16" outlineLevel="1">
      <c r="B16" s="0" t="inlineStr">
        <is>
          <t xml:space="preserve">Outsourced TAM, avg annual $M/yr</t>
        </is>
      </c>
      <c r="C16" s="11">
        <f>(N('Sub TAM Build'!C116)+N('Sub TAM Build'!D116)+N('Sub TAM Build'!E116)+N('Sub TAM Build'!F116)+N('Sub TAM Build'!G116)+N('Sub TAM Build'!H116))/'Sub TAM Build'!C142</f>
      </c>
      <c r="D16" s="11">
        <f>(N('Sub TAM Build'!C127)+N('Sub TAM Build'!D127)+N('Sub TAM Build'!E127)+N('Sub TAM Build'!F127)+N('Sub TAM Build'!G127)+N('Sub TAM Build'!H127))/'Sub TAM Build'!C142</f>
      </c>
      <c r="E16" s="11">
        <f>'DDG TAM Build'!C137</f>
      </c>
      <c r="F16" s="11">
        <f>SUM(C16:E16)</f>
      </c>
    </row>
    <row r="19">
      <c r="A19" s="0" t="inlineStr">
        <is>
          <t xml:space="preserve">x</t>
        </is>
      </c>
      <c r="B19" s="9" t="inlineStr">
        <is>
          <t xml:space="preserve">§3 - Structural outsourcing ceiling (share of Basic Construction)</t>
        </is>
      </c>
      <c r="C19" s="9"/>
      <c r="D19" s="9"/>
      <c r="E19" s="9"/>
      <c r="F19" s="9"/>
    </row>
    <row r="21">
      <c r="B21" s="2" t="inlineStr">
        <is>
          <t xml:space="preserve">Measure</t>
        </is>
      </c>
      <c r="C21" s="22" t="inlineStr">
        <is>
          <t xml:space="preserve">Virginia</t>
        </is>
      </c>
      <c r="D21" s="22" t="inlineStr">
        <is>
          <t xml:space="preserve">Columbia</t>
        </is>
      </c>
      <c r="E21" s="22" t="inlineStr">
        <is>
          <t xml:space="preserve">DDG-51</t>
        </is>
      </c>
      <c r="F21" s="22" t="inlineStr">
        <is>
          <t xml:space="preserve">Total</t>
        </is>
      </c>
    </row>
    <row r="22" outlineLevel="1">
      <c r="B22" s="0" t="inlineStr">
        <is>
          <t xml:space="preserve">Irreducible core %</t>
        </is>
      </c>
      <c r="C22" s="12">
        <f>'Ceiling Model'!C10</f>
      </c>
      <c r="D22" s="12">
        <f>'Ceiling Model'!D10</f>
      </c>
      <c r="E22" s="12">
        <f>'Ceiling Model'!E10</f>
      </c>
      <c r="F22" s="12">
        <f>'Ceiling Model'!F10</f>
      </c>
    </row>
    <row r="23" outlineLevel="1">
      <c r="B23" s="0" t="inlineStr">
        <is>
          <t xml:space="preserve">Structural ceiling % (p=1 upper bound)</t>
        </is>
      </c>
      <c r="C23" s="12">
        <f>'Ceiling Model'!C11</f>
      </c>
      <c r="D23" s="12">
        <f>'Ceiling Model'!D11</f>
      </c>
      <c r="E23" s="12">
        <f>'Ceiling Model'!E11</f>
      </c>
      <c r="F23" s="12">
        <f>'Ceiling Model'!F11</f>
      </c>
    </row>
    <row r="24" outlineLevel="1">
      <c r="B24" s="0" t="inlineStr">
        <is>
          <t xml:space="preserve">Ceiling $M (FY22-27)</t>
        </is>
      </c>
      <c r="C24" s="11">
        <f>'Ceiling Model'!C13</f>
      </c>
      <c r="D24" s="11">
        <f>'Ceiling Model'!D13</f>
      </c>
      <c r="E24" s="11">
        <f>'Ceiling Model'!E13</f>
      </c>
      <c r="F24" s="11">
        <f>'Ceiling Model'!F13</f>
      </c>
    </row>
    <row r="25" outlineLevel="1">
      <c r="B25" s="0" t="inlineStr">
        <is>
          <t xml:space="preserve">Headroom x vs current outsourcing</t>
        </is>
      </c>
      <c r="C25" s="11">
        <f>'Headroom'!C10</f>
      </c>
      <c r="D25" s="11">
        <f>'Headroom'!D10</f>
      </c>
      <c r="E25" s="11">
        <f>'Headroom'!E10</f>
      </c>
      <c r="F25" s="11">
        <f>'Headroom'!F10</f>
      </c>
    </row>
    <row r="28">
      <c r="A28" s="0" t="inlineStr">
        <is>
          <t xml:space="preserve">x</t>
        </is>
      </c>
      <c r="B28" s="9" t="inlineStr">
        <is>
          <t xml:space="preserve">§4 - Tie-out</t>
        </is>
      </c>
      <c r="C28" s="9"/>
      <c r="D28" s="9"/>
      <c r="E28" s="9"/>
      <c r="F28" s="9"/>
    </row>
    <row r="30" outlineLevel="1">
      <c r="B30" s="0" t="inlineStr">
        <is>
          <t xml:space="preserve">Va + Col cumulative TAM = Sub TAM Build portfolio TAM</t>
        </is>
      </c>
      <c r="C30" s="0">
        <f>IF(ABS(((N('Sub TAM Build'!C116)+N('Sub TAM Build'!D116)+N('Sub TAM Build'!E116)+N('Sub TAM Build'!F116)+N('Sub TAM Build'!G116)+N('Sub TAM Build'!H116))+(N('Sub TAM Build'!C127)+N('Sub TAM Build'!D127)+N('Sub TAM Build'!E127)+N('Sub TAM Build'!F127)+N('Sub TAM Build'!G127)+N('Sub TAM Build'!H127)))-'Sub TAM Build'!C141)&lt;0.5,"OK","FAIL")</f>
      </c>
    </row>
  </sheetData>
</worksheet>
</file>

<file path=xl/worksheets/sheet2.xml><?xml version="1.0" encoding="utf-8"?>
<worksheet xmlns="http://schemas.openxmlformats.org/spreadsheetml/2006/main" xmlns:r="http://schemas.openxmlformats.org/officeDocument/2006/relationships">
  <sheetPr>
    <tabColor rgb="FF6A4C93"/>
    <outlinePr summaryBelow="0"/>
  </sheetPr>
  <sheetViews>
    <sheetView showGridLines="0" workbookViewId="0" showOutlineSymbols="0"/>
  </sheetViews>
  <sheetFormatPr defaultRowHeight="10" customHeight="1"/>
  <cols>
    <col min="1" max="1" width="2.2109375" customWidth="1"/>
    <col min="2" max="2" width="40" customWidth="1"/>
    <col min="3" max="3" width="18" customWidth="1"/>
    <col min="4" max="4" width="18" customWidth="1"/>
    <col min="5" max="5" width="18" customWidth="1"/>
    <col min="6" max="6" width="30" customWidth="1"/>
  </cols>
  <sheetData>
    <row r="1"/>
    <row r="2">
      <c r="B2" s="8" t="inlineStr">
        <is>
          <t xml:space="preserve">Executive Summary</t>
        </is>
      </c>
      <c r="C2" s="8"/>
      <c r="D2" s="8"/>
      <c r="E2" s="8"/>
      <c r="F2" s="8"/>
    </row>
    <row r="4">
      <c r="A4" s="0" t="inlineStr">
        <is>
          <t xml:space="preserve">x</t>
        </is>
      </c>
      <c r="B4" s="9" t="inlineStr">
        <is>
          <t xml:space="preserve">§1 - Key takeaways</t>
        </is>
      </c>
      <c r="C4" s="9"/>
      <c r="D4" s="9"/>
      <c r="E4" s="9"/>
      <c r="F4" s="9"/>
    </row>
    <row r="6">
      <c r="B6" s="2" t="inlineStr">
        <is>
          <t xml:space="preserve">Metric</t>
        </is>
      </c>
      <c r="C6" s="22" t="inlineStr">
        <is>
          <t xml:space="preserve">Value</t>
        </is>
      </c>
      <c r="D6" s="2" t="inlineStr">
        <is>
          <t xml:space="preserve">Source</t>
        </is>
      </c>
    </row>
    <row r="7" outlineLevel="1">
      <c r="B7" s="1" t="inlineStr">
        <is>
          <t xml:space="preserve">Average annual portfolio TAM $M</t>
        </is>
      </c>
      <c r="C7" s="11">
        <f>'Sub TAM Build'!C143</f>
      </c>
      <c r="D7" s="0" t="inlineStr">
        <is>
          <t xml:space="preserve">TAM Build</t>
        </is>
      </c>
    </row>
    <row r="8" outlineLevel="1">
      <c r="B8" s="1" t="inlineStr">
        <is>
          <t xml:space="preserve">FY22-FY27 cumulative portfolio TAM $M</t>
        </is>
      </c>
      <c r="C8" s="11">
        <f>'Sub TAM Build'!C141</f>
      </c>
      <c r="D8" s="0" t="inlineStr">
        <is>
          <t xml:space="preserve">TAM Build</t>
        </is>
      </c>
    </row>
    <row r="9" outlineLevel="1">
      <c r="B9" s="0" t="inlineStr">
        <is>
          <t xml:space="preserve">incl. OBBBA mandatory TAM $M (Sec. 20002(16), 1 boat)</t>
        </is>
      </c>
      <c r="C9" s="11">
        <f>'Sub TAM Build'!C146</f>
      </c>
      <c r="D9" s="0" t="inlineStr">
        <is>
          <t xml:space="preserve">TAM Build</t>
        </is>
      </c>
    </row>
    <row r="10" outlineLevel="1">
      <c r="B10" s="0" t="inlineStr">
        <is>
          <t xml:space="preserve">Virginia BC coefficient (Block V announced POP)</t>
        </is>
      </c>
      <c r="C10" s="12">
        <f>'Sub TAM Build'!C62</f>
      </c>
      <c r="D10" s="0" t="inlineStr">
        <is>
          <t xml:space="preserve">TAM Build</t>
        </is>
      </c>
    </row>
    <row r="11" outlineLevel="1">
      <c r="B11" s="0" t="inlineStr">
        <is>
          <t xml:space="preserve">Columbia BC coefficient (Build I announced POP)</t>
        </is>
      </c>
      <c r="C11" s="12">
        <f>'Sub TAM Build'!C63</f>
      </c>
      <c r="D11" s="0" t="inlineStr">
        <is>
          <t xml:space="preserve">TAM Build</t>
        </is>
      </c>
    </row>
    <row r="12" outlineLevel="1">
      <c r="B12" s="0" t="inlineStr">
        <is>
          <t xml:space="preserve">AP/LLTM additive base $M</t>
        </is>
      </c>
      <c r="C12" s="11">
        <f>'Sub AP Bridge'!C66</f>
      </c>
      <c r="D12" s="0" t="inlineStr">
        <is>
          <t xml:space="preserve">AP Bridge</t>
        </is>
      </c>
    </row>
    <row r="13" outlineLevel="1">
      <c r="B13" s="0" t="inlineStr">
        <is>
          <t xml:space="preserve">Outsourced BC penetration, FY22-27</t>
        </is>
      </c>
      <c r="C13" s="12">
        <f>'Sub Outlook'!C36</f>
      </c>
      <c r="D13" s="0" t="inlineStr">
        <is>
          <t xml:space="preserve">Outlook</t>
        </is>
      </c>
    </row>
    <row r="14" outlineLevel="1">
      <c r="B14" s="0" t="inlineStr">
        <is>
          <t xml:space="preserve">Implied outyear Outsourced BC, low $M/yr</t>
        </is>
      </c>
      <c r="C14" s="11">
        <f>'Sub Outlook'!C60</f>
      </c>
      <c r="D14" s="0" t="inlineStr">
        <is>
          <t xml:space="preserve">Outlook</t>
        </is>
      </c>
    </row>
    <row r="15" outlineLevel="1">
      <c r="B15" s="0" t="inlineStr">
        <is>
          <t xml:space="preserve">Implied outyear Outsourced BC, high $M/yr</t>
        </is>
      </c>
      <c r="C15" s="11">
        <f>'Sub Outlook'!C61</f>
      </c>
      <c r="D15" s="0" t="inlineStr">
        <is>
          <t xml:space="preserve">Outlook</t>
        </is>
      </c>
    </row>
    <row r="16" outlineLevel="1">
      <c r="B16" s="0" t="inlineStr">
        <is>
          <t xml:space="preserve">FY22-25 average annual TAM $M/yr</t>
        </is>
      </c>
      <c r="C16" s="11">
        <f>'Sub Outlook'!C69</f>
      </c>
      <c r="D16" s="0" t="inlineStr">
        <is>
          <t xml:space="preserve">Outlook</t>
        </is>
      </c>
    </row>
    <row r="19">
      <c r="A19" s="0" t="inlineStr">
        <is>
          <t xml:space="preserve">x</t>
        </is>
      </c>
      <c r="B19" s="9" t="inlineStr">
        <is>
          <t xml:space="preserve">§2 - TAM bridge</t>
        </is>
      </c>
      <c r="C19" s="9"/>
      <c r="D19" s="9"/>
      <c r="E19" s="9"/>
      <c r="F19" s="9"/>
    </row>
    <row r="21">
      <c r="A21" s="0" t="inlineStr">
        <is>
          <t xml:space="preserve">x</t>
        </is>
      </c>
      <c r="B21" s="10" t="inlineStr">
        <is>
          <t xml:space="preserve">§2a - BC stream</t>
        </is>
      </c>
      <c r="C21" s="10"/>
      <c r="D21" s="10"/>
      <c r="E21" s="10"/>
      <c r="F21" s="10"/>
    </row>
    <row r="23">
      <c r="B23" s="2" t="inlineStr">
        <is>
          <t xml:space="preserve">Step</t>
        </is>
      </c>
      <c r="C23" s="22" t="inlineStr">
        <is>
          <t xml:space="preserve">$M / %</t>
        </is>
      </c>
      <c r="D23" s="2" t="inlineStr">
        <is>
          <t xml:space="preserve">Source</t>
        </is>
      </c>
    </row>
    <row r="24" outlineLevel="1">
      <c r="B24" s="0" t="inlineStr">
        <is>
          <t xml:space="preserve">BC construction base (FY22-27)</t>
        </is>
      </c>
      <c r="C24" s="11">
        <f>'Sub TAM Build'!C144</f>
      </c>
      <c r="D24" s="0" t="inlineStr">
        <is>
          <t xml:space="preserve">TAM Build</t>
        </is>
      </c>
    </row>
    <row r="25" outlineLevel="1">
      <c r="B25" s="0" t="inlineStr">
        <is>
          <t xml:space="preserve">x Virginia BC coefficient (Block V announced POP)</t>
        </is>
      </c>
      <c r="C25" s="12">
        <f>'Sub TAM Build'!C62</f>
      </c>
      <c r="D25" s="0" t="inlineStr">
        <is>
          <t xml:space="preserve">TAM Build</t>
        </is>
      </c>
    </row>
    <row r="26" outlineLevel="1">
      <c r="B26" s="0" t="inlineStr">
        <is>
          <t xml:space="preserve">x Columbia BC coefficient (Build I announced POP)</t>
        </is>
      </c>
      <c r="C26" s="12">
        <f>'Sub TAM Build'!C63</f>
      </c>
      <c r="D26" s="0" t="inlineStr">
        <is>
          <t xml:space="preserve">TAM Build</t>
        </is>
      </c>
    </row>
    <row r="27" outlineLevel="1">
      <c r="B27" s="1" t="inlineStr">
        <is>
          <t xml:space="preserve">BC-stream supplier TAM (per-class coeff x per-class base)</t>
        </is>
      </c>
      <c r="C27" s="4">
        <f>N('Sub TAM Build'!C132)+N('Sub TAM Build'!D132)+N('Sub TAM Build'!E132)+N('Sub TAM Build'!F132)+N('Sub TAM Build'!G132)+N('Sub TAM Build'!H132)</f>
      </c>
      <c r="D27" s="0" t="inlineStr">
        <is>
          <t xml:space="preserve">TAM Build</t>
        </is>
      </c>
    </row>
    <row r="29">
      <c r="A29" s="0" t="inlineStr">
        <is>
          <t xml:space="preserve">x</t>
        </is>
      </c>
      <c r="B29" s="10" t="inlineStr">
        <is>
          <t xml:space="preserve">§2b - AP/LLTM stream</t>
        </is>
      </c>
      <c r="C29" s="10"/>
      <c r="D29" s="10"/>
      <c r="E29" s="10"/>
      <c r="F29" s="10"/>
    </row>
    <row r="31">
      <c r="B31" s="2" t="inlineStr">
        <is>
          <t xml:space="preserve">Step</t>
        </is>
      </c>
      <c r="C31" s="22" t="inlineStr">
        <is>
          <t xml:space="preserve">$M / %</t>
        </is>
      </c>
      <c r="D31" s="2" t="inlineStr">
        <is>
          <t xml:space="preserve">Source</t>
        </is>
      </c>
    </row>
    <row r="32" outlineLevel="1">
      <c r="B32" s="1" t="inlineStr">
        <is>
          <t xml:space="preserve">P-10 gross AP top-line</t>
        </is>
      </c>
      <c r="C32" s="11">
        <f>'Sub AP Bridge'!C62</f>
      </c>
      <c r="D32" s="0" t="inlineStr">
        <is>
          <t xml:space="preserve">AP Bridge</t>
        </is>
      </c>
    </row>
    <row r="33" outlineLevel="1">
      <c r="B33" s="20" t="inlineStr">
        <is>
          <t xml:space="preserve">less GFE / design / weapons</t>
        </is>
      </c>
      <c r="C33" s="11">
        <f>'Sub AP Bridge'!C63</f>
      </c>
      <c r="D33" s="0" t="inlineStr">
        <is>
          <t xml:space="preserve">AP Bridge</t>
        </is>
      </c>
    </row>
    <row r="34" outlineLevel="1">
      <c r="B34" s="20" t="inlineStr">
        <is>
          <t xml:space="preserve">less already inside P-5c BC</t>
        </is>
      </c>
      <c r="C34" s="11">
        <f>'Sub AP Bridge'!C64</f>
      </c>
      <c r="D34" s="0" t="inlineStr">
        <is>
          <t xml:space="preserve">AP Bridge</t>
        </is>
      </c>
    </row>
    <row r="35" outlineLevel="1">
      <c r="B35" s="20" t="inlineStr">
        <is>
          <t xml:space="preserve">less un-itemized overlap</t>
        </is>
      </c>
      <c r="C35" s="11">
        <f>'Sub AP Bridge'!C65</f>
      </c>
      <c r="D35" s="0" t="inlineStr">
        <is>
          <t xml:space="preserve">AP Bridge</t>
        </is>
      </c>
    </row>
    <row r="36" outlineLevel="1">
      <c r="B36" s="1" t="inlineStr">
        <is>
          <t xml:space="preserve">AP/LLTM additive base</t>
        </is>
      </c>
      <c r="C36" s="11">
        <f>'Sub AP Bridge'!C66</f>
      </c>
      <c r="D36" s="0" t="inlineStr">
        <is>
          <t xml:space="preserve">AP Bridge</t>
        </is>
      </c>
    </row>
    <row r="37" outlineLevel="1">
      <c r="B37" s="0" t="inlineStr">
        <is>
          <t xml:space="preserve">AP/LLTM reference coefficient</t>
        </is>
      </c>
      <c r="C37" s="12">
        <f>'Sub TAM Build'!C65</f>
      </c>
      <c r="D37" s="0" t="inlineStr">
        <is>
          <t xml:space="preserve">TAM Build</t>
        </is>
      </c>
    </row>
    <row r="38" outlineLevel="1">
      <c r="B38" s="0" t="inlineStr">
        <is>
          <t xml:space="preserve">AP/LLTM-stream supplier TAM</t>
        </is>
      </c>
      <c r="C38" s="4">
        <f>N('Sub TAM Build'!C133)+N('Sub TAM Build'!D133)+N('Sub TAM Build'!E133)+N('Sub TAM Build'!F133)+N('Sub TAM Build'!G133)+N('Sub TAM Build'!H133)</f>
      </c>
      <c r="D38" s="0" t="inlineStr">
        <is>
          <t xml:space="preserve">TAM Build</t>
        </is>
      </c>
    </row>
    <row r="40">
      <c r="A40" s="0" t="inlineStr">
        <is>
          <t xml:space="preserve">x</t>
        </is>
      </c>
      <c r="B40" s="10" t="inlineStr">
        <is>
          <t xml:space="preserve">§2c - OBBBA mandatory (Sec. 20002(16))</t>
        </is>
      </c>
      <c r="C40" s="10"/>
      <c r="D40" s="10"/>
      <c r="E40" s="10"/>
      <c r="F40" s="10"/>
    </row>
    <row r="42">
      <c r="B42" s="2" t="inlineStr">
        <is>
          <t xml:space="preserve">Step</t>
        </is>
      </c>
      <c r="C42" s="22" t="inlineStr">
        <is>
          <t xml:space="preserve">$M / %</t>
        </is>
      </c>
      <c r="D42" s="2" t="inlineStr">
        <is>
          <t xml:space="preserve">Source</t>
        </is>
      </c>
    </row>
    <row r="43" outlineLevel="1">
      <c r="B43" s="1" t="inlineStr">
        <is>
          <t xml:space="preserve">Gross award (Sec. 20002(16), 2nd FY26 Virginia boat)</t>
        </is>
      </c>
      <c r="C43" s="11">
        <f>'Sub OBBBA Mandatory'!I28</f>
      </c>
      <c r="D43" s="0" t="inlineStr">
        <is>
          <t xml:space="preserve">OBBBA Mandatory</t>
        </is>
      </c>
    </row>
    <row r="44" outlineLevel="1">
      <c r="B44" s="0" t="inlineStr">
        <is>
          <t xml:space="preserve">OBBBA BC share of award</t>
        </is>
      </c>
      <c r="C44" s="12">
        <f>'Sub Assumptions'!E48</f>
      </c>
      <c r="D44" s="0" t="inlineStr">
        <is>
          <t xml:space="preserve">Assumptions</t>
        </is>
      </c>
    </row>
    <row r="45" outlineLevel="1">
      <c r="B45" s="0" t="inlineStr">
        <is>
          <t xml:space="preserve">OBBBA mandatory BC base (FY22-27)</t>
        </is>
      </c>
      <c r="C45" s="11">
        <f>'Sub TAM Build'!C145</f>
      </c>
      <c r="D45" s="0" t="inlineStr">
        <is>
          <t xml:space="preserve">TAM Build</t>
        </is>
      </c>
    </row>
    <row r="46" outlineLevel="1">
      <c r="B46" s="0" t="inlineStr">
        <is>
          <t xml:space="preserve">x Virginia BC coefficient (the OBBBA boat is a Virginia)</t>
        </is>
      </c>
      <c r="C46" s="12">
        <f>'Sub TAM Build'!C62</f>
      </c>
      <c r="D46" s="0" t="inlineStr">
        <is>
          <t xml:space="preserve">TAM Build</t>
        </is>
      </c>
    </row>
    <row r="47" outlineLevel="1">
      <c r="B47" s="1" t="inlineStr">
        <is>
          <t xml:space="preserve">OBBBA mandatory supplier TAM</t>
        </is>
      </c>
      <c r="C47" s="11">
        <f>'Sub TAM Build'!C146</f>
      </c>
      <c r="D47" s="0" t="inlineStr">
        <is>
          <t xml:space="preserve">TAM Build</t>
        </is>
      </c>
    </row>
    <row r="48" outlineLevel="1">
      <c r="B48" s="0" t="inlineStr">
        <is>
          <t xml:space="preserve">FY2027 execution spillover assumption</t>
        </is>
      </c>
      <c r="C48" s="12">
        <f>'Sub Assumptions'!C45</f>
      </c>
      <c r="D48" s="0" t="inlineStr">
        <is>
          <t xml:space="preserve">Assumptions</t>
        </is>
      </c>
    </row>
    <row r="50">
      <c r="A50" s="0" t="inlineStr">
        <is>
          <t xml:space="preserve">x</t>
        </is>
      </c>
      <c r="B50" s="10" t="inlineStr">
        <is>
          <t xml:space="preserve">§2d - Portfolio TAM</t>
        </is>
      </c>
      <c r="C50" s="10"/>
      <c r="D50" s="10"/>
      <c r="E50" s="10"/>
      <c r="F50" s="10"/>
    </row>
    <row r="52">
      <c r="B52" s="2" t="inlineStr">
        <is>
          <t xml:space="preserve">Step</t>
        </is>
      </c>
      <c r="C52" s="22" t="inlineStr">
        <is>
          <t xml:space="preserve">$M</t>
        </is>
      </c>
      <c r="D52" s="2" t="inlineStr">
        <is>
          <t xml:space="preserve">Source</t>
        </is>
      </c>
    </row>
    <row r="53" outlineLevel="1">
      <c r="B53" s="0" t="inlineStr">
        <is>
          <t xml:space="preserve">BC-stream supplier TAM</t>
        </is>
      </c>
      <c r="C53" s="4">
        <f>N('Sub TAM Build'!C132)+N('Sub TAM Build'!D132)+N('Sub TAM Build'!E132)+N('Sub TAM Build'!F132)+N('Sub TAM Build'!G132)+N('Sub TAM Build'!H132)</f>
      </c>
      <c r="D53" s="0" t="inlineStr">
        <is>
          <t xml:space="preserve">TAM Build</t>
        </is>
      </c>
    </row>
    <row r="54" outlineLevel="1">
      <c r="B54" s="0" t="inlineStr">
        <is>
          <t xml:space="preserve">AP/LLTM-stream supplier TAM</t>
        </is>
      </c>
      <c r="C54" s="4">
        <f>N('Sub TAM Build'!C133)+N('Sub TAM Build'!D133)+N('Sub TAM Build'!E133)+N('Sub TAM Build'!F133)+N('Sub TAM Build'!G133)+N('Sub TAM Build'!H133)</f>
      </c>
      <c r="D54" s="0" t="inlineStr">
        <is>
          <t xml:space="preserve">TAM Build</t>
        </is>
      </c>
    </row>
    <row r="55" outlineLevel="1">
      <c r="B55" s="0" t="inlineStr">
        <is>
          <t xml:space="preserve">OBBBA mandatory supplier TAM</t>
        </is>
      </c>
      <c r="C55" s="11">
        <f>'Sub TAM Build'!C146</f>
      </c>
      <c r="D55" s="0" t="inlineStr">
        <is>
          <t xml:space="preserve">TAM Build</t>
        </is>
      </c>
    </row>
    <row r="56" outlineLevel="1">
      <c r="B56" s="1" t="inlineStr">
        <is>
          <t xml:space="preserve">Total portfolio TAM</t>
        </is>
      </c>
      <c r="C56" s="11">
        <f>'Sub TAM Build'!C141</f>
      </c>
      <c r="D56" s="0" t="inlineStr">
        <is>
          <t xml:space="preserve">TAM Build</t>
        </is>
      </c>
    </row>
    <row r="59">
      <c r="A59" s="0" t="inlineStr">
        <is>
          <t xml:space="preserve">x</t>
        </is>
      </c>
      <c r="B59" s="9" t="inlineStr">
        <is>
          <t xml:space="preserve">§3 - TAM by fiscal year</t>
        </is>
      </c>
      <c r="C59" s="9"/>
      <c r="D59" s="9"/>
      <c r="E59" s="9"/>
      <c r="F59" s="9"/>
    </row>
    <row r="61">
      <c r="B61" s="2" t="inlineStr">
        <is>
          <t xml:space="preserve">Fiscal year</t>
        </is>
      </c>
      <c r="C61" s="22" t="inlineStr">
        <is>
          <t xml:space="preserve">BC-stream TAM $M</t>
        </is>
      </c>
      <c r="D61" s="22" t="inlineStr">
        <is>
          <t xml:space="preserve">AP/LLTM-stream TAM $M</t>
        </is>
      </c>
      <c r="E61" s="22" t="inlineStr">
        <is>
          <t xml:space="preserve">OBBBA mandatory TAM $M</t>
        </is>
      </c>
      <c r="F61" s="22" t="inlineStr">
        <is>
          <t xml:space="preserve">Portfolio TAM $M</t>
        </is>
      </c>
    </row>
    <row r="62" outlineLevel="1">
      <c r="B62" s="0" t="inlineStr">
        <is>
          <t xml:space="preserve">FY2022</t>
        </is>
      </c>
      <c r="C62" s="11">
        <f>'Sub TAM Build'!C132</f>
      </c>
      <c r="D62" s="11">
        <f>'Sub TAM Build'!C133</f>
      </c>
      <c r="E62" s="11">
        <f>'Sub TAM Build'!C134</f>
      </c>
      <c r="F62" s="11">
        <f>'Sub TAM Build'!C135</f>
      </c>
    </row>
    <row r="63" outlineLevel="1">
      <c r="B63" s="0" t="inlineStr">
        <is>
          <t xml:space="preserve">FY2023</t>
        </is>
      </c>
      <c r="C63" s="11">
        <f>'Sub TAM Build'!D132</f>
      </c>
      <c r="D63" s="11">
        <f>'Sub TAM Build'!D133</f>
      </c>
      <c r="E63" s="11">
        <f>'Sub TAM Build'!D134</f>
      </c>
      <c r="F63" s="11">
        <f>'Sub TAM Build'!D135</f>
      </c>
    </row>
    <row r="64" outlineLevel="1">
      <c r="B64" s="0" t="inlineStr">
        <is>
          <t xml:space="preserve">FY2024</t>
        </is>
      </c>
      <c r="C64" s="11">
        <f>'Sub TAM Build'!E132</f>
      </c>
      <c r="D64" s="11">
        <f>'Sub TAM Build'!E133</f>
      </c>
      <c r="E64" s="11">
        <f>'Sub TAM Build'!E134</f>
      </c>
      <c r="F64" s="11">
        <f>'Sub TAM Build'!E135</f>
      </c>
    </row>
    <row r="65" outlineLevel="1">
      <c r="B65" s="0" t="inlineStr">
        <is>
          <t xml:space="preserve">FY2025</t>
        </is>
      </c>
      <c r="C65" s="11">
        <f>'Sub TAM Build'!F132</f>
      </c>
      <c r="D65" s="11">
        <f>'Sub TAM Build'!F133</f>
      </c>
      <c r="E65" s="11">
        <f>'Sub TAM Build'!F134</f>
      </c>
      <c r="F65" s="11">
        <f>'Sub TAM Build'!F135</f>
      </c>
    </row>
    <row r="66" outlineLevel="1">
      <c r="B66" s="0" t="inlineStr">
        <is>
          <t xml:space="preserve">FY2026</t>
        </is>
      </c>
      <c r="C66" s="11">
        <f>'Sub TAM Build'!G132</f>
      </c>
      <c r="D66" s="11">
        <f>'Sub TAM Build'!G133</f>
      </c>
      <c r="E66" s="11">
        <f>'Sub TAM Build'!G134</f>
      </c>
      <c r="F66" s="11">
        <f>'Sub TAM Build'!G135</f>
      </c>
    </row>
    <row r="67" outlineLevel="1">
      <c r="B67" s="0" t="inlineStr">
        <is>
          <t xml:space="preserve">FY2027</t>
        </is>
      </c>
      <c r="C67" s="11">
        <f>'Sub TAM Build'!H132</f>
      </c>
      <c r="D67" s="11">
        <f>'Sub TAM Build'!H133</f>
      </c>
      <c r="E67" s="11">
        <f>'Sub TAM Build'!H134</f>
      </c>
      <c r="F67" s="11">
        <f>'Sub TAM Build'!H135</f>
      </c>
    </row>
    <row r="68">
      <c r="B68" s="3" t="inlineStr">
        <is>
          <t xml:space="preserve">Total (FY22-27)</t>
        </is>
      </c>
      <c r="C68" s="13">
        <f>N('Sub TAM Build'!C132)+N('Sub TAM Build'!D132)+N('Sub TAM Build'!E132)+N('Sub TAM Build'!F132)+N('Sub TAM Build'!G132)+N('Sub TAM Build'!H132)</f>
      </c>
      <c r="D68" s="13">
        <f>N('Sub TAM Build'!C133)+N('Sub TAM Build'!D133)+N('Sub TAM Build'!E133)+N('Sub TAM Build'!F133)+N('Sub TAM Build'!G133)+N('Sub TAM Build'!H133)</f>
      </c>
      <c r="E68" s="18">
        <f>'Sub TAM Build'!C146</f>
      </c>
      <c r="F68" s="18">
        <f>'Sub TAM Build'!C141</f>
      </c>
    </row>
  </sheetData>
</worksheet>
</file>

<file path=xl/worksheets/sheet3.xml><?xml version="1.0" encoding="utf-8"?>
<worksheet xmlns="http://schemas.openxmlformats.org/spreadsheetml/2006/main" xmlns:r="http://schemas.openxmlformats.org/officeDocument/2006/relationships">
  <sheetPr>
    <tabColor rgb="FF6A4C93"/>
    <outlinePr summaryBelow="0"/>
  </sheetPr>
  <sheetViews>
    <sheetView showGridLines="0" workbookViewId="0" showOutlineSymbols="0"/>
  </sheetViews>
  <sheetFormatPr defaultRowHeight="10" customHeight="1"/>
  <cols>
    <col min="1" max="1" width="2.2109375" customWidth="1"/>
    <col min="2" max="2" width="44" customWidth="1"/>
    <col min="3" max="3" width="18" customWidth="1"/>
    <col min="4" max="4" width="14" customWidth="1"/>
    <col min="5" max="5" width="20" customWidth="1"/>
    <col min="6" max="6" width="30" customWidth="1"/>
  </cols>
  <sheetData>
    <row r="1"/>
    <row r="2">
      <c r="B2" s="8" t="inlineStr">
        <is>
          <t xml:space="preserve">DDG Executive Summary</t>
        </is>
      </c>
      <c r="C2" s="8"/>
      <c r="D2" s="8"/>
      <c r="E2" s="8"/>
      <c r="F2" s="8"/>
    </row>
    <row r="4">
      <c r="A4" s="0" t="inlineStr">
        <is>
          <t xml:space="preserve">x</t>
        </is>
      </c>
      <c r="B4" s="9" t="inlineStr">
        <is>
          <t xml:space="preserve">§1 - Key takeaways</t>
        </is>
      </c>
      <c r="C4" s="9"/>
      <c r="D4" s="9"/>
      <c r="E4" s="9"/>
      <c r="F4" s="9"/>
    </row>
    <row r="6">
      <c r="B6" s="2" t="inlineStr">
        <is>
          <t xml:space="preserve">Metric</t>
        </is>
      </c>
      <c r="C6" s="22" t="inlineStr">
        <is>
          <t xml:space="preserve">Value</t>
        </is>
      </c>
      <c r="D6" s="2" t="inlineStr">
        <is>
          <t xml:space="preserve">Source</t>
        </is>
      </c>
    </row>
    <row r="7" outlineLevel="1">
      <c r="B7" s="1" t="inlineStr">
        <is>
          <t xml:space="preserve">Average annual TAM $M/yr</t>
        </is>
      </c>
      <c r="C7" s="11">
        <f>'DDG TAM Build'!C137</f>
      </c>
      <c r="D7" s="0" t="inlineStr">
        <is>
          <t xml:space="preserve">TAM Build</t>
        </is>
      </c>
    </row>
    <row r="8" outlineLevel="1">
      <c r="B8" s="0" t="inlineStr">
        <is>
          <t xml:space="preserve">Portfolio TAM $M</t>
        </is>
      </c>
      <c r="C8" s="11">
        <f>'DDG TAM Build'!I117</f>
      </c>
      <c r="D8" s="0" t="inlineStr">
        <is>
          <t xml:space="preserve">TAM Build</t>
        </is>
      </c>
    </row>
    <row r="9" outlineLevel="1">
      <c r="B9" s="0" t="inlineStr">
        <is>
          <t xml:space="preserve">BC-stream TAM $M</t>
        </is>
      </c>
      <c r="C9" s="11">
        <f>'DDG TAM Build'!I115</f>
      </c>
      <c r="D9" s="0" t="inlineStr">
        <is>
          <t xml:space="preserve">TAM Build</t>
        </is>
      </c>
    </row>
    <row r="10" outlineLevel="1">
      <c r="B10" s="0" t="inlineStr">
        <is>
          <t xml:space="preserve">AP/LLTM-stream TAM $M</t>
        </is>
      </c>
      <c r="C10" s="11">
        <f>'DDG TAM Build'!I116</f>
      </c>
      <c r="D10" s="0" t="inlineStr">
        <is>
          <t xml:space="preserve">TAM Build</t>
        </is>
      </c>
    </row>
    <row r="11" outlineLevel="1">
      <c r="B11" s="0" t="inlineStr">
        <is>
          <t xml:space="preserve">BC supplier coefficient (FY23-27)</t>
        </is>
      </c>
      <c r="C11" s="12">
        <f>'DDG TAM Build'!C44</f>
      </c>
      <c r="D11" s="0" t="inlineStr">
        <is>
          <t xml:space="preserve">TAM Build</t>
        </is>
      </c>
    </row>
    <row r="12" outlineLevel="1">
      <c r="B12" s="0" t="inlineStr">
        <is>
          <t xml:space="preserve">MYP-corrected outside-yards POP</t>
        </is>
      </c>
      <c r="C12" s="12">
        <f>'DDG TAM Build'!C55</f>
      </c>
      <c r="D12" s="0" t="inlineStr">
        <is>
          <t xml:space="preserve">TAM Build</t>
        </is>
      </c>
    </row>
    <row r="13" outlineLevel="1">
      <c r="B13" s="0" t="inlineStr">
        <is>
          <t xml:space="preserve">Outsourced BC penetration, FY22-27</t>
        </is>
      </c>
      <c r="C13" s="12">
        <f>'DDG Outlook'!C28</f>
      </c>
      <c r="D13" s="0" t="inlineStr">
        <is>
          <t xml:space="preserve">Outlook</t>
        </is>
      </c>
    </row>
    <row r="14" outlineLevel="1">
      <c r="B14" s="0" t="inlineStr">
        <is>
          <t xml:space="preserve">Implied outyear Outsourced BC, low $M/yr</t>
        </is>
      </c>
      <c r="C14" s="11">
        <f>'DDG Outlook'!C44</f>
      </c>
      <c r="D14" s="0" t="inlineStr">
        <is>
          <t xml:space="preserve">Outlook</t>
        </is>
      </c>
    </row>
    <row r="15" outlineLevel="1">
      <c r="B15" s="0" t="inlineStr">
        <is>
          <t xml:space="preserve">Implied outyear Outsourced BC, high $M/yr</t>
        </is>
      </c>
      <c r="C15" s="11">
        <f>'DDG Outlook'!C45</f>
      </c>
      <c r="D15" s="0" t="inlineStr">
        <is>
          <t xml:space="preserve">Outlook</t>
        </is>
      </c>
    </row>
    <row r="16" outlineLevel="1">
      <c r="B16" s="0" t="inlineStr">
        <is>
          <t xml:space="preserve">FY22-25 average annual TAM $M/yr</t>
        </is>
      </c>
      <c r="C16" s="11">
        <f>'DDG Outlook'!C51</f>
      </c>
      <c r="D16" s="0" t="inlineStr">
        <is>
          <t xml:space="preserve">Outlook</t>
        </is>
      </c>
    </row>
    <row r="19">
      <c r="A19" s="0" t="inlineStr">
        <is>
          <t xml:space="preserve">x</t>
        </is>
      </c>
      <c r="B19" s="9" t="inlineStr">
        <is>
          <t xml:space="preserve">§2 - TAM bridge</t>
        </is>
      </c>
      <c r="C19" s="9"/>
      <c r="D19" s="9"/>
      <c r="E19" s="9"/>
      <c r="F19" s="9"/>
    </row>
    <row r="21">
      <c r="B21" s="2" t="inlineStr">
        <is>
          <t xml:space="preserve">Step</t>
        </is>
      </c>
      <c r="C21" s="22" t="inlineStr">
        <is>
          <t xml:space="preserve">$M / %</t>
        </is>
      </c>
      <c r="D21" s="2" t="inlineStr">
        <is>
          <t xml:space="preserve">Source</t>
        </is>
      </c>
    </row>
    <row r="22" outlineLevel="1">
      <c r="B22" s="0" t="inlineStr">
        <is>
          <t xml:space="preserve">BC construction base (FY22-27)</t>
        </is>
      </c>
      <c r="C22" s="11">
        <f>'DDG TAM Build'!C145</f>
      </c>
      <c r="D22" s="0" t="inlineStr">
        <is>
          <t xml:space="preserve">TAM Build</t>
        </is>
      </c>
    </row>
    <row r="23" outlineLevel="1">
      <c r="B23" s="0" t="inlineStr">
        <is>
          <t xml:space="preserve">incl. OBBBA mandatory BC, FY26 (Sec. 20002(17), 2 ships)</t>
        </is>
      </c>
      <c r="C23" s="11">
        <f>'DDG OBBBA Mandatory'!G29</f>
      </c>
      <c r="D23" s="0" t="inlineStr">
        <is>
          <t xml:space="preserve">OBBBA Mandatory</t>
        </is>
      </c>
    </row>
    <row r="24" outlineLevel="1">
      <c r="B24" s="0" t="inlineStr">
        <is>
          <t xml:space="preserve">x BC supplier coefficient</t>
        </is>
      </c>
      <c r="C24" s="12">
        <f>'DDG TAM Build'!C44</f>
      </c>
      <c r="D24" s="0" t="inlineStr">
        <is>
          <t xml:space="preserve">TAM Build</t>
        </is>
      </c>
    </row>
    <row r="25" outlineLevel="1">
      <c r="B25" s="1" t="inlineStr">
        <is>
          <t xml:space="preserve">= BC-stream TAM</t>
        </is>
      </c>
      <c r="C25" s="11">
        <f>'DDG TAM Build'!I115</f>
      </c>
      <c r="D25" s="0" t="inlineStr">
        <is>
          <t xml:space="preserve">TAM Build</t>
        </is>
      </c>
    </row>
    <row r="26" outlineLevel="1">
      <c r="B26" s="0" t="inlineStr">
        <is>
          <t xml:space="preserve">+ AP/LLTM-stream TAM</t>
        </is>
      </c>
      <c r="C26" s="11">
        <f>'DDG TAM Build'!I116</f>
      </c>
      <c r="D26" s="0" t="inlineStr">
        <is>
          <t xml:space="preserve">TAM Build</t>
        </is>
      </c>
    </row>
    <row r="27" outlineLevel="1">
      <c r="B27" s="1" t="inlineStr">
        <is>
          <t xml:space="preserve">= Portfolio TAM</t>
        </is>
      </c>
      <c r="C27" s="11">
        <f>'DDG TAM Build'!I117</f>
      </c>
      <c r="D27" s="0" t="inlineStr">
        <is>
          <t xml:space="preserve">TAM Build</t>
        </is>
      </c>
    </row>
  </sheetData>
</worksheet>
</file>

<file path=xl/worksheets/sheet4.xml><?xml version="1.0" encoding="utf-8"?>
<worksheet xmlns="http://schemas.openxmlformats.org/spreadsheetml/2006/main" xmlns:r="http://schemas.openxmlformats.org/officeDocument/2006/relationships">
  <sheetPr>
    <tabColor rgb="FF6A4C93"/>
    <outlinePr summaryBelow="0"/>
  </sheetPr>
  <sheetViews>
    <sheetView showGridLines="0" workbookViewId="0" showOutlineSymbols="0"/>
  </sheetViews>
  <sheetFormatPr defaultRowHeight="10" customHeight="1"/>
  <cols>
    <col min="1" max="1" width="2.2109375" customWidth="1"/>
    <col min="2" max="2" width="42" customWidth="1"/>
    <col min="3" max="3" width="12" customWidth="1"/>
    <col min="4" max="4" width="12" customWidth="1"/>
    <col min="5" max="5" width="12" customWidth="1"/>
    <col min="6" max="6" width="12" customWidth="1"/>
  </cols>
  <sheetData>
    <row r="1"/>
    <row r="2">
      <c r="B2" s="8" t="inlineStr">
        <is>
          <t xml:space="preserve">Ceiling Overview</t>
        </is>
      </c>
      <c r="C2" s="8"/>
      <c r="D2" s="8"/>
      <c r="E2" s="8"/>
      <c r="F2" s="8"/>
    </row>
    <row r="4">
      <c r="A4" s="0" t="inlineStr">
        <is>
          <t xml:space="preserve">x</t>
        </is>
      </c>
      <c r="B4" s="9" t="inlineStr">
        <is>
          <t xml:space="preserve">§1 - Scope</t>
        </is>
      </c>
      <c r="C4" s="9"/>
      <c r="D4" s="9"/>
      <c r="E4" s="9"/>
      <c r="F4" s="9"/>
    </row>
    <row r="6" outlineLevel="1">
      <c r="B6" s="0" t="inlineStr">
        <is>
          <t xml:space="preserve">Question</t>
        </is>
      </c>
      <c r="C6" s="0" t="inlineStr">
        <is>
          <t xml:space="preserve">Theoretical ceiling on new-construction outsourcing $ (and the irreducible core)</t>
        </is>
      </c>
    </row>
    <row r="7" outlineLevel="1">
      <c r="B7" s="0" t="inlineStr">
        <is>
          <t xml:space="preserve">Programs</t>
        </is>
      </c>
      <c r="C7" s="0" t="inlineStr">
        <is>
          <t xml:space="preserve">Virginia, Columbia, DDG-51</t>
        </is>
      </c>
    </row>
    <row r="8" outlineLevel="1">
      <c r="B8" s="0" t="inlineStr">
        <is>
          <t xml:space="preserve">Window / units</t>
        </is>
      </c>
      <c r="C8" s="0" t="inlineStr">
        <is>
          <t xml:space="preserve">FY2022-2027 - then-year $M (P-5c); ratios unit-invariant</t>
        </is>
      </c>
    </row>
    <row r="9" outlineLevel="1">
      <c r="B9" s="0" t="inlineStr">
        <is>
          <t xml:space="preserve">Frame</t>
        </is>
      </c>
      <c r="C9" s="0" t="inlineStr">
        <is>
          <t xml:space="preserve">POP / distributed leads; make/buy = reference (Headroom)</t>
        </is>
      </c>
    </row>
    <row r="12">
      <c r="A12" s="0" t="inlineStr">
        <is>
          <t xml:space="preserve">x</t>
        </is>
      </c>
      <c r="B12" s="9" t="inlineStr">
        <is>
          <t xml:space="preserve">§2 - Headline (share of Basic Construction)</t>
        </is>
      </c>
      <c r="C12" s="9"/>
      <c r="D12" s="9"/>
      <c r="E12" s="9"/>
      <c r="F12" s="9"/>
    </row>
    <row r="14">
      <c r="B14" s="2" t="inlineStr">
        <is>
          <t xml:space="preserve">Measure</t>
        </is>
      </c>
      <c r="C14" s="22" t="inlineStr">
        <is>
          <t xml:space="preserve">Virginia</t>
        </is>
      </c>
      <c r="D14" s="22" t="inlineStr">
        <is>
          <t xml:space="preserve">Columbia</t>
        </is>
      </c>
      <c r="E14" s="22" t="inlineStr">
        <is>
          <t xml:space="preserve">DDG-51</t>
        </is>
      </c>
      <c r="F14" s="22" t="inlineStr">
        <is>
          <t xml:space="preserve">Portfolio</t>
        </is>
      </c>
    </row>
    <row r="15" outlineLevel="1">
      <c r="B15" s="0" t="inlineStr">
        <is>
          <t xml:space="preserve">Irreducible core %</t>
        </is>
      </c>
      <c r="C15" s="12">
        <f>'Ceiling Model'!C10</f>
      </c>
      <c r="D15" s="12">
        <f>'Ceiling Model'!D10</f>
      </c>
      <c r="E15" s="12">
        <f>'Ceiling Model'!E10</f>
      </c>
      <c r="F15" s="12">
        <f>'Ceiling Model'!F10</f>
      </c>
    </row>
    <row r="16" outlineLevel="1">
      <c r="B16" s="0" t="inlineStr">
        <is>
          <t xml:space="preserve">Structural ceiling % (p=1 upper bound)</t>
        </is>
      </c>
      <c r="C16" s="12">
        <f>'Ceiling Model'!C11</f>
      </c>
      <c r="D16" s="12">
        <f>'Ceiling Model'!D11</f>
      </c>
      <c r="E16" s="12">
        <f>'Ceiling Model'!E11</f>
      </c>
      <c r="F16" s="12">
        <f>'Ceiling Model'!F11</f>
      </c>
    </row>
    <row r="17" outlineLevel="1">
      <c r="B17" s="0" t="inlineStr">
        <is>
          <t xml:space="preserve">Selected pass-through case % (p=50%)</t>
        </is>
      </c>
      <c r="C17" s="12">
        <f>'Conversion Bridge'!C13</f>
      </c>
      <c r="D17" s="12">
        <f>'Conversion Bridge'!D13</f>
      </c>
      <c r="E17" s="12">
        <f>'Conversion Bridge'!E13</f>
      </c>
      <c r="F17" s="12">
        <f>'Conversion Bridge'!F13</f>
      </c>
    </row>
    <row r="18" outlineLevel="1">
      <c r="B18" s="0" t="inlineStr">
        <is>
          <t xml:space="preserve">Ceiling $M (FY22-27)</t>
        </is>
      </c>
      <c r="C18" s="11">
        <f>'Ceiling Model'!C13</f>
      </c>
      <c r="D18" s="11">
        <f>'Ceiling Model'!D13</f>
      </c>
      <c r="E18" s="11">
        <f>'Ceiling Model'!E13</f>
      </c>
      <c r="F18" s="11">
        <f>'Ceiling Model'!F13</f>
      </c>
    </row>
    <row r="19" outlineLevel="1">
      <c r="B19" s="0" t="inlineStr">
        <is>
          <t xml:space="preserve">Headroom x vs current outsourcing</t>
        </is>
      </c>
      <c r="C19" s="11">
        <f>'Headroom'!C10</f>
      </c>
      <c r="D19" s="11">
        <f>'Headroom'!D10</f>
      </c>
      <c r="E19" s="11">
        <f>'Headroom'!E10</f>
      </c>
      <c r="F19" s="11">
        <f>'Headroom'!F10</f>
      </c>
    </row>
  </sheetData>
</worksheet>
</file>

<file path=xl/worksheets/sheet5.xml><?xml version="1.0" encoding="utf-8"?>
<worksheet xmlns="http://schemas.openxmlformats.org/spreadsheetml/2006/main" xmlns:r="http://schemas.openxmlformats.org/officeDocument/2006/relationships">
  <sheetPr>
    <tabColor rgb="FF2C6E6E"/>
    <outlinePr summaryBelow="0"/>
  </sheetPr>
  <sheetViews>
    <sheetView showGridLines="0" workbookViewId="0" showOutlineSymbols="0"/>
  </sheetViews>
  <sheetFormatPr defaultRowHeight="10" customHeight="1"/>
  <cols>
    <col min="1" max="1" width="2.2109375" customWidth="1"/>
    <col min="2" max="2" width="24" customWidth="1"/>
    <col min="3" max="3" width="42" customWidth="1"/>
    <col min="4" max="4" width="38" customWidth="1"/>
    <col min="5" max="5" width="22" customWidth="1"/>
  </cols>
  <sheetData>
    <row r="1"/>
    <row r="2">
      <c r="B2" s="8" t="inlineStr">
        <is>
          <t xml:space="preserve">Methodology</t>
        </is>
      </c>
      <c r="C2" s="8"/>
      <c r="D2" s="8"/>
      <c r="E2" s="8"/>
    </row>
    <row r="4">
      <c r="A4" s="0" t="inlineStr">
        <is>
          <t xml:space="preserve">x</t>
        </is>
      </c>
      <c r="B4" s="9" t="inlineStr">
        <is>
          <t xml:space="preserve">§1 - Definitions</t>
        </is>
      </c>
      <c r="C4" s="9"/>
      <c r="D4" s="9"/>
      <c r="E4" s="9"/>
    </row>
    <row r="6">
      <c r="B6" s="2" t="inlineStr">
        <is>
          <t xml:space="preserve">Term</t>
        </is>
      </c>
      <c r="C6" s="2" t="inlineStr">
        <is>
          <t xml:space="preserve">Definition</t>
        </is>
      </c>
      <c r="D6" s="2" t="inlineStr">
        <is>
          <t xml:space="preserve">Treatment</t>
        </is>
      </c>
    </row>
    <row r="7" outlineLevel="1">
      <c r="B7" s="1" t="inlineStr">
        <is>
          <t xml:space="preserve">TAM</t>
        </is>
      </c>
      <c r="C7" s="0" t="inlineStr">
        <is>
          <t xml:space="preserve">non-GFE/SIB new-construction supplier opportunity</t>
        </is>
      </c>
      <c r="D7" s="0" t="inlineStr">
        <is>
          <t xml:space="preserve">BC base x coeff + AP/LLTM base x coeff</t>
        </is>
      </c>
    </row>
    <row r="8" outlineLevel="1">
      <c r="B8" s="1" t="inlineStr">
        <is>
          <t xml:space="preserve">BC</t>
        </is>
      </c>
      <c r="C8" s="0" t="inlineStr">
        <is>
          <t xml:space="preserve">Basic Construction (P-5c, GFE-free)</t>
        </is>
      </c>
      <c r="D8" s="0" t="inlineStr">
        <is>
          <t xml:space="preserve">the headline TAM stream</t>
        </is>
      </c>
    </row>
    <row r="9" outlineLevel="1">
      <c r="B9" s="1" t="inlineStr">
        <is>
          <t xml:space="preserve">AP/LLTM</t>
        </is>
      </c>
      <c r="C9" s="0" t="inlineStr">
        <is>
          <t xml:space="preserve">advance procurement / long-lead material</t>
        </is>
      </c>
      <c r="D9" s="0" t="inlineStr">
        <is>
          <t xml:space="preserve">reference stream; additive base = 0</t>
        </is>
      </c>
    </row>
    <row r="10" outlineLevel="1">
      <c r="B10" s="1" t="inlineStr">
        <is>
          <t xml:space="preserve">OBBBA mandatory</t>
        </is>
      </c>
      <c r="C10" s="0" t="inlineStr">
        <is>
          <t xml:space="preserve">Sec. 20002 mandatory new-construction funding</t>
        </is>
      </c>
      <c r="D10" s="0" t="inlineStr">
        <is>
          <t xml:space="preserve">gross x BC share x BC coeff; FY26 BA (spillover lever to FY27)</t>
        </is>
      </c>
    </row>
    <row r="11" outlineLevel="1">
      <c r="B11" s="1" t="inlineStr">
        <is>
          <t xml:space="preserve">GFE</t>
        </is>
      </c>
      <c r="C11" s="0" t="inlineStr">
        <is>
          <t xml:space="preserve">government-furnished equipment / weapons</t>
        </is>
      </c>
      <c r="D11" s="0" t="inlineStr">
        <is>
          <t xml:space="preserve">excluded from TAM</t>
        </is>
      </c>
    </row>
    <row r="12" outlineLevel="1">
      <c r="B12" s="1" t="inlineStr">
        <is>
          <t xml:space="preserve">SIB</t>
        </is>
      </c>
      <c r="C12" s="0" t="inlineStr">
        <is>
          <t xml:space="preserve">submarine industrial base / capacity grants</t>
        </is>
      </c>
      <c r="D12" s="0" t="inlineStr">
        <is>
          <t xml:space="preserve">excluded from TAM</t>
        </is>
      </c>
    </row>
    <row r="13" outlineLevel="1">
      <c r="B13" s="1" t="inlineStr">
        <is>
          <t xml:space="preserve">POP</t>
        </is>
      </c>
      <c r="C13" s="0" t="inlineStr">
        <is>
          <t xml:space="preserve">place of performance</t>
        </is>
      </c>
      <c r="D13" s="0" t="inlineStr">
        <is>
          <t xml:space="preserve">drives the supplier coefficient</t>
        </is>
      </c>
    </row>
    <row r="14" outlineLevel="1">
      <c r="B14" s="1" t="inlineStr">
        <is>
          <t xml:space="preserve">Supplier coefficient</t>
        </is>
      </c>
      <c r="C14" s="0" t="inlineStr">
        <is>
          <t xml:space="preserve">$-weighted supplier+foreign POP share</t>
        </is>
      </c>
      <c r="D14" s="0" t="inlineStr">
        <is>
          <t xml:space="preserve">applied to each stream base</t>
        </is>
      </c>
    </row>
    <row r="17">
      <c r="A17" s="0" t="inlineStr">
        <is>
          <t xml:space="preserve">x</t>
        </is>
      </c>
      <c r="B17" s="9" t="inlineStr">
        <is>
          <t xml:space="preserve">§2 - Formula framework</t>
        </is>
      </c>
      <c r="C17" s="9"/>
      <c r="D17" s="9"/>
      <c r="E17" s="9"/>
    </row>
    <row r="19">
      <c r="A19" s="0" t="inlineStr">
        <is>
          <t xml:space="preserve">x</t>
        </is>
      </c>
      <c r="B19" s="10" t="inlineStr">
        <is>
          <t xml:space="preserve">§2a - TAM framework</t>
        </is>
      </c>
      <c r="C19" s="10"/>
      <c r="D19" s="10"/>
      <c r="E19" s="10"/>
    </row>
    <row r="21">
      <c r="B21" s="0" t="inlineStr">
        <is>
          <t xml:space="preserve">TAM = BC base x class-vintage BC supplier coefficient + AP/LLTM base x AP/LLTM supplier coefficient</t>
        </is>
      </c>
    </row>
    <row r="22">
      <c r="B22" s="0" t="inlineStr">
        <is>
          <t xml:space="preserve">Applied: per-class BC base x its funding construction master's announced-POP coefficient + $0 AP/LLTM base x AP/LLTM reference coeff</t>
        </is>
      </c>
    </row>
    <row r="23">
      <c r="B23" s="2" t="inlineStr">
        <is>
          <t xml:space="preserve">Coefficient (live)</t>
        </is>
      </c>
      <c r="C23" s="22" t="inlineStr">
        <is>
          <t xml:space="preserve">Value</t>
        </is>
      </c>
    </row>
    <row r="24" outlineLevel="1">
      <c r="B24" s="0" t="inlineStr">
        <is>
          <t xml:space="preserve">Virginia BC coefficient (Block V announced POP)</t>
        </is>
      </c>
      <c r="C24" s="12">
        <f>'Sub TAM Build'!C62</f>
      </c>
    </row>
    <row r="25" outlineLevel="1">
      <c r="B25" s="0" t="inlineStr">
        <is>
          <t xml:space="preserve">Columbia BC coefficient (Build I announced POP)</t>
        </is>
      </c>
      <c r="C25" s="12">
        <f>'Sub TAM Build'!C63</f>
      </c>
    </row>
    <row r="26" outlineLevel="1">
      <c r="B26" s="0" t="inlineStr">
        <is>
          <t xml:space="preserve">AP/LLTM reference coefficient</t>
        </is>
      </c>
      <c r="C26" s="12">
        <f>'Sub TAM Build'!C65</f>
      </c>
    </row>
    <row r="28">
      <c r="A28" s="0" t="inlineStr">
        <is>
          <t xml:space="preserve">x</t>
        </is>
      </c>
      <c r="B28" s="10" t="inlineStr">
        <is>
          <t xml:space="preserve">§2b - Penetration &amp; outyear outlook</t>
        </is>
      </c>
      <c r="C28" s="10"/>
      <c r="D28" s="10"/>
      <c r="E28" s="10"/>
    </row>
    <row r="30">
      <c r="B30" s="0" t="inlineStr">
        <is>
          <t xml:space="preserve">Penetration = Outsourced BC TAM (all streams) / total ship spend (Va + Col Total Ship Estimate + OBBBA gross), constant FY2026 $, measured per class.</t>
        </is>
      </c>
    </row>
    <row r="31">
      <c r="B31" s="0" t="inlineStr">
        <is>
          <t xml:space="preserve">Window averages are ratios of sums; implied FY28-31 Outsourced BC = each class's PB2027 FYDP gross x its penetration assumption, low = class FY22-25 average, high = low x (1 + stated outsourcing-intent uplift, Assumptions §9); portfolio = Virginia + Columbia.</t>
        </is>
      </c>
    </row>
    <row r="32">
      <c r="B32" s="0" t="inlineStr">
        <is>
          <t xml:space="preserve">FYDP outyears are the PB2027 request, not appropriation; FY2030-FY2031 deflators are extrapolated (Deflators tab).</t>
        </is>
      </c>
    </row>
    <row r="35">
      <c r="A35" s="0" t="inlineStr">
        <is>
          <t xml:space="preserve">x</t>
        </is>
      </c>
      <c r="B35" s="10" t="inlineStr">
        <is>
          <t xml:space="preserve">§2c - Evidence basis by fiscal year</t>
        </is>
      </c>
      <c r="C35" s="10"/>
      <c r="D35" s="10"/>
      <c r="E35" s="10"/>
    </row>
    <row r="37">
      <c r="B37" s="2" t="inlineStr">
        <is>
          <t xml:space="preserve">FY</t>
        </is>
      </c>
      <c r="C37" s="2" t="inlineStr">
        <is>
          <t xml:space="preserve">Dollar basis</t>
        </is>
      </c>
      <c r="D37" s="2" t="inlineStr">
        <is>
          <t xml:space="preserve">Outsourced % basis</t>
        </is>
      </c>
    </row>
    <row r="38" outlineLevel="1">
      <c r="B38" s="0" t="inlineStr">
        <is>
          <t xml:space="preserve">2022-2025</t>
        </is>
      </c>
      <c r="C38" s="0" t="inlineStr">
        <is>
          <t xml:space="preserve">Settled actuals (PB &gt;= FY+2 vintage rule)</t>
        </is>
      </c>
      <c r="D38" s="0" t="inlineStr">
        <is>
          <t xml:space="preserve">Class-vintage announced POP of the funding construction masters: Virginia 34% (Block V, 2019-12-02 bulletin), Columbia 22% (Build I, 2020-11-05 bulletin)</t>
        </is>
      </c>
    </row>
    <row r="39" outlineLevel="1">
      <c r="B39" s="0" t="inlineStr">
        <is>
          <t xml:space="preserve">2026</t>
        </is>
      </c>
      <c r="C39" s="0" t="inlineStr">
        <is>
          <t xml:space="preserve">Enacted: PB2027 P-5c + OBBBA PL 119-21 Sec. 20002(16) mandatory</t>
        </is>
      </c>
      <c r="D39" s="0" t="inlineStr">
        <is>
          <t xml:space="preserve">Same class coefficients (OBBBA boat is a Virginia -&gt; 34%); the OBBBA BC share (observed Virginia FY26 P-5c ratio, ~58.2%) is the one assumption layer</t>
        </is>
      </c>
    </row>
    <row r="40" outlineLevel="1">
      <c r="B40" s="0" t="inlineStr">
        <is>
          <t xml:space="preserve">2027</t>
        </is>
      </c>
      <c r="C40" s="0" t="inlineStr">
        <is>
          <t xml:space="preserve">PB2027 request - not yet appropriated</t>
        </is>
      </c>
      <c r="D40" s="0" t="inlineStr">
        <is>
          <t xml:space="preserve">Same class coefficients; OBBBA FY27 execution spillover defaults to 0 - estimate until appropriation</t>
        </is>
      </c>
    </row>
    <row r="41" outlineLevel="1">
      <c r="B41" s="0" t="inlineStr">
        <is>
          <t xml:space="preserve">2028-2031</t>
        </is>
      </c>
      <c r="C41" s="0" t="inlineStr">
        <is>
          <t xml:space="preserve">PB2027 FYDP request (Outlook only; outside TAM)</t>
        </is>
      </c>
      <c r="D41" s="0" t="inlineStr">
        <is>
          <t xml:space="preserve">Penetration assumption, not announcement POP - styled as an estimate</t>
        </is>
      </c>
    </row>
    <row r="42">
      <c r="B42" s="0" t="inlineStr">
        <is>
          <t xml:space="preserve">Announced POP is the contract-level planned distribution ('Work will be performed in...'), not realized per-FY actuals.</t>
        </is>
      </c>
    </row>
    <row r="43">
      <c r="B43" s="0" t="inlineStr">
        <is>
          <t xml:space="preserve">The pooled 2022-2026 corpus coefficient (35.0%) is retained on TAM Build §3a as a reference; Block VI construction is unawarded, so the Virginia row restates on its announcement.</t>
        </is>
      </c>
    </row>
    <row r="44">
      <c r="B44" s="0" t="inlineStr">
        <is>
          <t xml:space="preserve">The AP/LLTM additive base is 0 (P-10 supplier LLTM already sits inside P-5c BC); no AP coefficient is applied.</t>
        </is>
      </c>
    </row>
    <row r="47">
      <c r="A47" s="0" t="inlineStr">
        <is>
          <t xml:space="preserve">x</t>
        </is>
      </c>
      <c r="B47" s="9" t="inlineStr">
        <is>
          <t xml:space="preserve">§3 - Market-sizing flow</t>
        </is>
      </c>
      <c r="C47" s="9"/>
      <c r="D47" s="9"/>
      <c r="E47" s="9"/>
    </row>
    <row r="49">
      <c r="B49" s="2" t="inlineStr">
        <is>
          <t xml:space="preserve">Step</t>
        </is>
      </c>
      <c r="C49" s="2" t="inlineStr">
        <is>
          <t xml:space="preserve">Input</t>
        </is>
      </c>
      <c r="D49" s="2" t="inlineStr">
        <is>
          <t xml:space="preserve">Method</t>
        </is>
      </c>
      <c r="E49" s="2" t="inlineStr">
        <is>
          <t xml:space="preserve">Output tab</t>
        </is>
      </c>
    </row>
    <row r="50" outlineLevel="1">
      <c r="B50" s="0" t="inlineStr">
        <is>
          <t xml:space="preserve">Budget base</t>
        </is>
      </c>
      <c r="C50" s="0" t="inlineStr">
        <is>
          <t xml:space="preserve">SCN P-5c + P-10</t>
        </is>
      </c>
      <c r="D50" s="0" t="inlineStr">
        <is>
          <t xml:space="preserve">extract per class/FY</t>
        </is>
      </c>
      <c r="E50" s="0" t="inlineStr">
        <is>
          <t xml:space="preserve">SCN Annual / LLTM AP</t>
        </is>
      </c>
    </row>
    <row r="51" outlineLevel="1">
      <c r="B51" s="0" t="inlineStr">
        <is>
          <t xml:space="preserve">Add OBBBA mandatory BC (Sec. 20002(16))</t>
        </is>
      </c>
      <c r="C51" s="0" t="inlineStr">
        <is>
          <t xml:space="preserve">mandatory allocation plan</t>
        </is>
      </c>
      <c r="D51" s="0" t="inlineStr">
        <is>
          <t xml:space="preserve">gross x BC share</t>
        </is>
      </c>
      <c r="E51" s="0" t="inlineStr">
        <is>
          <t xml:space="preserve">OBBBA Mandatory</t>
        </is>
      </c>
    </row>
    <row r="52" outlineLevel="1">
      <c r="B52" s="0" t="inlineStr">
        <is>
          <t xml:space="preserve">Remove GFE / non-addressable / dup AP</t>
        </is>
      </c>
      <c r="C52" s="0" t="inlineStr">
        <is>
          <t xml:space="preserve">budget base</t>
        </is>
      </c>
      <c r="D52" s="0" t="inlineStr">
        <is>
          <t xml:space="preserve">exclusion rules</t>
        </is>
      </c>
      <c r="E52" s="0" t="inlineStr">
        <is>
          <t xml:space="preserve">TAM Build</t>
        </is>
      </c>
    </row>
    <row r="53" outlineLevel="1">
      <c r="B53" s="0" t="inlineStr">
        <is>
          <t xml:space="preserve">Apply POP supplier coefficient</t>
        </is>
      </c>
      <c r="C53" s="0" t="inlineStr">
        <is>
          <t xml:space="preserve">in-scope base</t>
        </is>
      </c>
      <c r="D53" s="0" t="inlineStr">
        <is>
          <t xml:space="preserve">POP $-weighted share</t>
        </is>
      </c>
      <c r="E53" s="0" t="inlineStr">
        <is>
          <t xml:space="preserve">TAM Build</t>
        </is>
      </c>
    </row>
    <row r="54" outlineLevel="1">
      <c r="B54" s="0" t="inlineStr">
        <is>
          <t xml:space="preserve">Portfolio TAM</t>
        </is>
      </c>
      <c r="C54" s="0" t="inlineStr">
        <is>
          <t xml:space="preserve">BC + AP/LLTM + OBBBA streams</t>
        </is>
      </c>
      <c r="D54" s="0" t="inlineStr">
        <is>
          <t xml:space="preserve">base x coefficient</t>
        </is>
      </c>
      <c r="E54" s="0" t="inlineStr">
        <is>
          <t xml:space="preserve">TAM Build</t>
        </is>
      </c>
    </row>
    <row r="55" outlineLevel="1">
      <c r="B55" s="0" t="inlineStr">
        <is>
          <t xml:space="preserve">Penetration &amp; outyear outlook</t>
        </is>
      </c>
      <c r="C55" s="0" t="inlineStr">
        <is>
          <t xml:space="preserve">TAM + ship spend + PB2027 FYDP gross</t>
        </is>
      </c>
      <c r="D55" s="0" t="inlineStr">
        <is>
          <t xml:space="preserve">TAM / spend; FYDP x penetration range</t>
        </is>
      </c>
      <c r="E55" s="0" t="inlineStr">
        <is>
          <t xml:space="preserve">Outlook</t>
        </is>
      </c>
    </row>
    <row r="58">
      <c r="A58" s="0" t="inlineStr">
        <is>
          <t xml:space="preserve">x</t>
        </is>
      </c>
      <c r="B58" s="9" t="inlineStr">
        <is>
          <t xml:space="preserve">§4 - Scope boundary</t>
        </is>
      </c>
      <c r="C58" s="9"/>
      <c r="D58" s="9"/>
      <c r="E58" s="9"/>
    </row>
    <row r="60">
      <c r="A60" s="0" t="inlineStr">
        <is>
          <t xml:space="preserve">x</t>
        </is>
      </c>
      <c r="B60" s="10" t="inlineStr">
        <is>
          <t xml:space="preserve">§4a - In TAM</t>
        </is>
      </c>
      <c r="C60" s="10"/>
      <c r="D60" s="10"/>
      <c r="E60" s="10"/>
    </row>
    <row r="62" outlineLevel="1">
      <c r="B62" s="0" t="inlineStr">
        <is>
          <t xml:space="preserve">Basic Construction, non-GFE</t>
        </is>
      </c>
    </row>
    <row r="63" outlineLevel="1">
      <c r="B63" s="0" t="inlineStr">
        <is>
          <t xml:space="preserve">Supplier-addressable component procurement</t>
        </is>
      </c>
    </row>
    <row r="64" outlineLevel="1">
      <c r="B64" s="0" t="inlineStr">
        <is>
          <t xml:space="preserve">Work away from prime / co-prime / GFE sites</t>
        </is>
      </c>
    </row>
    <row r="65" outlineLevel="1">
      <c r="B65" s="0" t="inlineStr">
        <is>
          <t xml:space="preserve">Eligible AP/LLTM/EOQ only if additive</t>
        </is>
      </c>
    </row>
    <row r="66" outlineLevel="1">
      <c r="B66" s="0" t="inlineStr">
        <is>
          <t xml:space="preserve">OBBBA mandatory BC share (Sec. 20002(16): one FY2026 Virginia boat)</t>
        </is>
      </c>
    </row>
    <row r="68">
      <c r="A68" s="0" t="inlineStr">
        <is>
          <t xml:space="preserve">x</t>
        </is>
      </c>
      <c r="B68" s="10" t="inlineStr">
        <is>
          <t xml:space="preserve">§4b - Out of TAM</t>
        </is>
      </c>
      <c r="C68" s="10"/>
      <c r="D68" s="10"/>
      <c r="E68" s="10"/>
    </row>
    <row r="70" outlineLevel="1">
      <c r="B70" s="0" t="inlineStr">
        <is>
          <t xml:space="preserve">GFE / weapons / sensors / ordnance</t>
        </is>
      </c>
    </row>
    <row r="71" outlineLevel="1">
      <c r="B71" s="0" t="inlineStr">
        <is>
          <t xml:space="preserve">SIB / industrial-base capacity grants</t>
        </is>
      </c>
    </row>
    <row r="72" outlineLevel="1">
      <c r="B72" s="0" t="inlineStr">
        <is>
          <t xml:space="preserve">Sustainment / depot / design-only work</t>
        </is>
      </c>
    </row>
    <row r="73" outlineLevel="1">
      <c r="B73" s="0" t="inlineStr">
        <is>
          <t xml:space="preserve">Prime / co-prime final-assembly yard work</t>
        </is>
      </c>
    </row>
    <row r="74" outlineLevel="1">
      <c r="B74" s="0" t="inlineStr">
        <is>
          <t xml:space="preserve">AP/LLTM already inside BC</t>
        </is>
      </c>
    </row>
    <row r="75" outlineLevel="1">
      <c r="B75" s="0" t="inlineStr">
        <is>
          <t xml:space="preserve">OBBBA capacity / workforce / repair / nuclear lines (memo on OBBBA Mandatory)</t>
        </is>
      </c>
    </row>
    <row r="78">
      <c r="A78" s="0" t="inlineStr">
        <is>
          <t xml:space="preserve">x</t>
        </is>
      </c>
      <c r="B78" s="9" t="inlineStr">
        <is>
          <t xml:space="preserve">§5 - Exclusion rules</t>
        </is>
      </c>
      <c r="C78" s="9"/>
      <c r="D78" s="9"/>
      <c r="E78" s="9"/>
    </row>
    <row r="80">
      <c r="B80" s="2" t="inlineStr">
        <is>
          <t xml:space="preserve">Exclusion category</t>
        </is>
      </c>
      <c r="C80" s="2" t="inlineStr">
        <is>
          <t xml:space="preserve">Treatment</t>
        </is>
      </c>
      <c r="D80" s="2" t="inlineStr">
        <is>
          <t xml:space="preserve">Rationale</t>
        </is>
      </c>
      <c r="E80" s="2" t="inlineStr">
        <is>
          <t xml:space="preserve">Evidence tab</t>
        </is>
      </c>
    </row>
    <row r="81" outlineLevel="1">
      <c r="B81" s="0" t="inlineStr">
        <is>
          <t xml:space="preserve">Mission systems</t>
        </is>
      </c>
      <c r="C81" s="0" t="inlineStr">
        <is>
          <t xml:space="preserve">exclude</t>
        </is>
      </c>
      <c r="D81" s="0" t="inlineStr">
        <is>
          <t xml:space="preserve">combat/electronics (sonar, EW, fire-control) - different market</t>
        </is>
      </c>
      <c r="E81" s="0" t="inlineStr">
        <is>
          <t xml:space="preserve">Entity Master</t>
        </is>
      </c>
    </row>
    <row r="82" outlineLevel="1">
      <c r="B82" s="0" t="inlineStr">
        <is>
          <t xml:space="preserve">GFE</t>
        </is>
      </c>
      <c r="C82" s="0" t="inlineStr">
        <is>
          <t xml:space="preserve">exclude</t>
        </is>
      </c>
      <c r="D82" s="0" t="inlineStr">
        <is>
          <t xml:space="preserve">Navy-furnished equipment / weapons</t>
        </is>
      </c>
      <c r="E82" s="0" t="inlineStr">
        <is>
          <t xml:space="preserve">SCN Annual</t>
        </is>
      </c>
    </row>
    <row r="83" outlineLevel="1">
      <c r="B83" s="0" t="inlineStr">
        <is>
          <t xml:space="preserve">SIB</t>
        </is>
      </c>
      <c r="C83" s="0" t="inlineStr">
        <is>
          <t xml:space="preserve">exclude</t>
        </is>
      </c>
      <c r="D83" s="0" t="inlineStr">
        <is>
          <t xml:space="preserve">capacity grants, not construction</t>
        </is>
      </c>
      <c r="E83" s="0" t="inlineStr">
        <is>
          <t xml:space="preserve">SIB Excluded</t>
        </is>
      </c>
    </row>
    <row r="84" outlineLevel="1">
      <c r="B84" s="0" t="inlineStr">
        <is>
          <t xml:space="preserve">OBBBA capacity lines</t>
        </is>
      </c>
      <c r="C84" s="0" t="inlineStr">
        <is>
          <t xml:space="preserve">exclude</t>
        </is>
      </c>
      <c r="D84" s="0" t="inlineStr">
        <is>
          <t xml:space="preserve">capacity / workforce grants, not construction</t>
        </is>
      </c>
      <c r="E84" s="0" t="inlineStr">
        <is>
          <t xml:space="preserve">OBBBA Mandatory</t>
        </is>
      </c>
    </row>
    <row r="85" outlineLevel="1">
      <c r="B85" s="0" t="inlineStr">
        <is>
          <t xml:space="preserve">BPMI / naval nuclear</t>
        </is>
      </c>
      <c r="C85" s="0" t="inlineStr">
        <is>
          <t xml:space="preserve">exclude</t>
        </is>
      </c>
      <c r="D85" s="0" t="inlineStr">
        <is>
          <t xml:space="preserve">GFE reactor line; out of BC corpus</t>
        </is>
      </c>
      <c r="E85" s="0" t="inlineStr">
        <is>
          <t xml:space="preserve">Sensitivity</t>
        </is>
      </c>
    </row>
    <row r="86" outlineLevel="1">
      <c r="B86" s="0" t="inlineStr">
        <is>
          <t xml:space="preserve">Prime yard</t>
        </is>
      </c>
      <c r="C86" s="0" t="inlineStr">
        <is>
          <t xml:space="preserve">exclude</t>
        </is>
      </c>
      <c r="D86" s="0" t="inlineStr">
        <is>
          <t xml:space="preserve">final-assembly work, not addressable</t>
        </is>
      </c>
      <c r="E86" s="0" t="inlineStr">
        <is>
          <t xml:space="preserve">POP Location Parse</t>
        </is>
      </c>
    </row>
    <row r="87" outlineLevel="1">
      <c r="B87" s="0" t="inlineStr">
        <is>
          <t xml:space="preserve">Co-prime yard</t>
        </is>
      </c>
      <c r="C87" s="0" t="inlineStr">
        <is>
          <t xml:space="preserve">exclude</t>
        </is>
      </c>
      <c r="D87" s="0" t="inlineStr">
        <is>
          <t xml:space="preserve">co-prime site work, not addressable</t>
        </is>
      </c>
      <c r="E87" s="0" t="inlineStr">
        <is>
          <t xml:space="preserve">POP Location Parse</t>
        </is>
      </c>
    </row>
    <row r="88" outlineLevel="1">
      <c r="B88" s="0" t="inlineStr">
        <is>
          <t xml:space="preserve">Foreign / FMS</t>
        </is>
      </c>
      <c r="C88" s="0" t="inlineStr">
        <is>
          <t xml:space="preserve">exclude</t>
        </is>
      </c>
      <c r="D88" s="0" t="inlineStr">
        <is>
          <t xml:space="preserve">foreign supplier / FMS, not US yard-side</t>
        </is>
      </c>
      <c r="E88" s="0" t="inlineStr">
        <is>
          <t xml:space="preserve">Entity Master</t>
        </is>
      </c>
    </row>
    <row r="89" outlineLevel="1">
      <c r="B89" s="0" t="inlineStr">
        <is>
          <t xml:space="preserve">Holding / IT / services</t>
        </is>
      </c>
      <c r="C89" s="0" t="inlineStr">
        <is>
          <t xml:space="preserve">exclude</t>
        </is>
      </c>
      <c r="D89" s="0" t="inlineStr">
        <is>
          <t xml:space="preserve">holding co (5511), IT resellers, eng services</t>
        </is>
      </c>
      <c r="E89" s="0" t="inlineStr">
        <is>
          <t xml:space="preserve">Entity Master</t>
        </is>
      </c>
    </row>
    <row r="90" outlineLevel="1">
      <c r="B90" s="0" t="inlineStr">
        <is>
          <t xml:space="preserve">Design-only</t>
        </is>
      </c>
      <c r="C90" s="0" t="inlineStr">
        <is>
          <t xml:space="preserve">exclude</t>
        </is>
      </c>
      <c r="D90" s="0" t="inlineStr">
        <is>
          <t xml:space="preserve">lead-yard design (Plan Costs)</t>
        </is>
      </c>
      <c r="E90" s="0" t="inlineStr">
        <is>
          <t xml:space="preserve">LLTM AP</t>
        </is>
      </c>
    </row>
    <row r="91" outlineLevel="1">
      <c r="B91" s="0" t="inlineStr">
        <is>
          <t xml:space="preserve">AP/LLTM already in BC</t>
        </is>
      </c>
      <c r="C91" s="0" t="inlineStr">
        <is>
          <t xml:space="preserve">exclude</t>
        </is>
      </c>
      <c r="D91" s="0" t="inlineStr">
        <is>
          <t xml:space="preserve">supplier LLTM booked inside BC</t>
        </is>
      </c>
      <c r="E91" s="0" t="inlineStr">
        <is>
          <t xml:space="preserve">LLTM AP</t>
        </is>
      </c>
    </row>
    <row r="92" outlineLevel="1">
      <c r="B92" s="0" t="inlineStr">
        <is>
          <t xml:space="preserve">Service / non-component</t>
        </is>
      </c>
      <c r="C92" s="0" t="inlineStr">
        <is>
          <t xml:space="preserve">exclude</t>
        </is>
      </c>
      <c r="D92" s="0" t="inlineStr">
        <is>
          <t xml:space="preserve">service NAICS, not manufacturing</t>
        </is>
      </c>
      <c r="E92" s="0" t="inlineStr">
        <is>
          <t xml:space="preserve">Entity Master</t>
        </is>
      </c>
    </row>
    <row r="94">
      <c r="A94" s="0" t="inlineStr">
        <is>
          <t xml:space="preserve">x</t>
        </is>
      </c>
      <c r="B94" s="10" t="inlineStr">
        <is>
          <t xml:space="preserve">§5a - Effect on the corpus (live)</t>
        </is>
      </c>
      <c r="C94" s="10"/>
      <c r="D94" s="10"/>
      <c r="E94" s="10"/>
    </row>
    <row r="96">
      <c r="B96" s="2" t="inlineStr">
        <is>
          <t xml:space="preserve">Measure</t>
        </is>
      </c>
      <c r="C96" s="22" t="inlineStr">
        <is>
          <t xml:space="preserve">$M</t>
        </is>
      </c>
    </row>
    <row r="97" outlineLevel="1">
      <c r="B97" s="0" t="inlineStr">
        <is>
          <t xml:space="preserve">Gated TAM corpus</t>
        </is>
      </c>
      <c r="C97" s="11">
        <f>'Sub POP Source Audit'!D18</f>
      </c>
    </row>
    <row r="98" outlineLevel="1">
      <c r="B98" s="0" t="inlineStr">
        <is>
          <t xml:space="preserve">less: GFE / excluded scope</t>
        </is>
      </c>
      <c r="C98" s="11">
        <f>'Sub POP Source Audit'!D19</f>
      </c>
    </row>
    <row r="99" outlineLevel="1">
      <c r="B99" s="0" t="inlineStr">
        <is>
          <t xml:space="preserve">SIB exclusion (subaward-level)</t>
        </is>
      </c>
      <c r="C99" s="11">
        <f>'Sub SIB Excluded'!D17</f>
      </c>
    </row>
  </sheetData>
  <legacyDrawing r:id="rId2"/>
</worksheet>
</file>

<file path=xl/worksheets/sheet6.xml><?xml version="1.0" encoding="utf-8"?>
<worksheet xmlns="http://schemas.openxmlformats.org/spreadsheetml/2006/main" xmlns:r="http://schemas.openxmlformats.org/officeDocument/2006/relationships">
  <sheetPr>
    <tabColor rgb="FF2C6E6E"/>
    <outlinePr summaryBelow="0"/>
  </sheetPr>
  <sheetViews>
    <sheetView showGridLines="0" workbookViewId="0" showOutlineSymbols="0"/>
  </sheetViews>
  <sheetFormatPr defaultRowHeight="10" customHeight="1"/>
  <cols>
    <col min="1" max="1" width="2.2109375" customWidth="1"/>
    <col min="2" max="2" width="24" customWidth="1"/>
    <col min="3" max="3" width="44" customWidth="1"/>
    <col min="4" max="4" width="40" customWidth="1"/>
    <col min="5" max="5" width="22" customWidth="1"/>
  </cols>
  <sheetData>
    <row r="1"/>
    <row r="2">
      <c r="B2" s="8" t="inlineStr">
        <is>
          <t xml:space="preserve">DDG Methodology</t>
        </is>
      </c>
      <c r="C2" s="8"/>
      <c r="D2" s="8"/>
      <c r="E2" s="8"/>
    </row>
    <row r="4">
      <c r="A4" s="0" t="inlineStr">
        <is>
          <t xml:space="preserve">x</t>
        </is>
      </c>
      <c r="B4" s="9" t="inlineStr">
        <is>
          <t xml:space="preserve">§1 - Definitions</t>
        </is>
      </c>
      <c r="C4" s="9"/>
      <c r="D4" s="9"/>
      <c r="E4" s="9"/>
    </row>
    <row r="6">
      <c r="B6" s="2" t="inlineStr">
        <is>
          <t xml:space="preserve">Term</t>
        </is>
      </c>
      <c r="C6" s="2" t="inlineStr">
        <is>
          <t xml:space="preserve">Definition</t>
        </is>
      </c>
      <c r="D6" s="2" t="inlineStr">
        <is>
          <t xml:space="preserve">Treatment</t>
        </is>
      </c>
    </row>
    <row r="7" outlineLevel="1">
      <c r="B7" s="1" t="inlineStr">
        <is>
          <t xml:space="preserve">TAM</t>
        </is>
      </c>
      <c r="C7" s="0" t="inlineStr">
        <is>
          <t xml:space="preserve">non-GFE, non-MIB new-construction supplier opportunity</t>
        </is>
      </c>
      <c r="D7" s="0" t="inlineStr">
        <is>
          <t xml:space="preserve">BC base x coeff + AP/LLTM base x coeff</t>
        </is>
      </c>
    </row>
    <row r="8" outlineLevel="1">
      <c r="B8" s="1" t="inlineStr">
        <is>
          <t xml:space="preserve">BC</t>
        </is>
      </c>
      <c r="C8" s="0" t="inlineStr">
        <is>
          <t xml:space="preserve">Basic Construction (P-5c)</t>
        </is>
      </c>
      <c r="D8" s="0" t="inlineStr">
        <is>
          <t xml:space="preserve">the headline TAM stream</t>
        </is>
      </c>
    </row>
    <row r="9" outlineLevel="1">
      <c r="B9" s="1" t="inlineStr">
        <is>
          <t xml:space="preserve">AP/LLTM/EOQ</t>
        </is>
      </c>
      <c r="C9" s="0" t="inlineStr">
        <is>
          <t xml:space="preserve">advance procurement / long-lead material / EOQ</t>
        </is>
      </c>
      <c r="D9" s="0" t="inlineStr">
        <is>
          <t xml:space="preserve">additive stream, supplier-addressable portion</t>
        </is>
      </c>
    </row>
    <row r="10" outlineLevel="1">
      <c r="B10" s="1" t="inlineStr">
        <is>
          <t xml:space="preserve">GFE</t>
        </is>
      </c>
      <c r="C10" s="0" t="inlineStr">
        <is>
          <t xml:space="preserve">government-furnished equipment / weapons</t>
        </is>
      </c>
      <c r="D10" s="0" t="inlineStr">
        <is>
          <t xml:space="preserve">excluded from TAM</t>
        </is>
      </c>
    </row>
    <row r="11" outlineLevel="1">
      <c r="B11" s="1" t="inlineStr">
        <is>
          <t xml:space="preserve">MIB</t>
        </is>
      </c>
      <c r="C11" s="0" t="inlineStr">
        <is>
          <t xml:space="preserve">maritime industrial base / capacity</t>
        </is>
      </c>
      <c r="D11" s="0" t="inlineStr">
        <is>
          <t xml:space="preserve">excluded</t>
        </is>
      </c>
    </row>
    <row r="12" outlineLevel="1">
      <c r="B12" s="1" t="inlineStr">
        <is>
          <t xml:space="preserve">POP</t>
        </is>
      </c>
      <c r="C12" s="0" t="inlineStr">
        <is>
          <t xml:space="preserve">place of performance</t>
        </is>
      </c>
      <c r="D12" s="0" t="inlineStr">
        <is>
          <t xml:space="preserve">drives the supplier coefficient</t>
        </is>
      </c>
    </row>
    <row r="13" outlineLevel="1">
      <c r="B13" s="1" t="inlineStr">
        <is>
          <t xml:space="preserve">Supplier coefficient</t>
        </is>
      </c>
      <c r="C13" s="0" t="inlineStr">
        <is>
          <t xml:space="preserve">$-weighted supplier+foreign POP share</t>
        </is>
      </c>
      <c r="D13" s="0" t="inlineStr">
        <is>
          <t xml:space="preserve">applied to each stream base</t>
        </is>
      </c>
    </row>
    <row r="14" outlineLevel="1">
      <c r="B14" s="1" t="inlineStr">
        <is>
          <t xml:space="preserve">MYP correction</t>
        </is>
      </c>
      <c r="C14" s="0" t="inlineStr">
        <is>
          <t xml:space="preserve">redacted MYP masters folded back at reconstructed POP</t>
        </is>
      </c>
      <c r="D14" s="0" t="inlineStr">
        <is>
          <t xml:space="preserve">corrects the BC coefficient</t>
        </is>
      </c>
    </row>
    <row r="17">
      <c r="A17" s="0" t="inlineStr">
        <is>
          <t xml:space="preserve">x</t>
        </is>
      </c>
      <c r="B17" s="9" t="inlineStr">
        <is>
          <t xml:space="preserve">§2 - Formula framework</t>
        </is>
      </c>
      <c r="C17" s="9"/>
      <c r="D17" s="9"/>
      <c r="E17" s="9"/>
    </row>
    <row r="19">
      <c r="A19" s="0" t="inlineStr">
        <is>
          <t xml:space="preserve">x</t>
        </is>
      </c>
      <c r="B19" s="10" t="inlineStr">
        <is>
          <t xml:space="preserve">§2a - TAM framework</t>
        </is>
      </c>
      <c r="C19" s="10"/>
      <c r="D19" s="10"/>
      <c r="E19" s="10"/>
    </row>
    <row r="21">
      <c r="B21" s="0" t="inlineStr">
        <is>
          <t xml:space="preserve">TAM = BC base x BC supplier coefficient + AP/LLTM base x AP/LLTM supplier coefficient</t>
        </is>
      </c>
    </row>
    <row r="22">
      <c r="B22" s="0" t="inlineStr">
        <is>
          <t xml:space="preserve">Both streams contribute; the BC coefficient is MYP-corrected (see §2c).</t>
        </is>
      </c>
    </row>
    <row r="23">
      <c r="B23" s="2" t="inlineStr">
        <is>
          <t xml:space="preserve">Coefficient (live)</t>
        </is>
      </c>
      <c r="C23" s="22" t="inlineStr">
        <is>
          <t xml:space="preserve">Value</t>
        </is>
      </c>
    </row>
    <row r="24" outlineLevel="1">
      <c r="B24" s="0" t="inlineStr">
        <is>
          <t xml:space="preserve">Applied BC supplier coefficient</t>
        </is>
      </c>
      <c r="C24" s="12">
        <f>'DDG TAM Build'!C44</f>
      </c>
    </row>
    <row r="25" outlineLevel="1">
      <c r="B25" s="0" t="inlineStr">
        <is>
          <t xml:space="preserve">AP/LLTM supplier coefficient</t>
        </is>
      </c>
      <c r="C25" s="12">
        <f>'DDG TAM Build'!C46</f>
      </c>
    </row>
    <row r="27">
      <c r="A27" s="0" t="inlineStr">
        <is>
          <t xml:space="preserve">x</t>
        </is>
      </c>
      <c r="B27" s="10" t="inlineStr">
        <is>
          <t xml:space="preserve">§2b - MYP correction</t>
        </is>
      </c>
      <c r="C27" s="10"/>
      <c r="D27" s="10"/>
      <c r="E27" s="10"/>
    </row>
    <row r="29">
      <c r="B29" s="0" t="inlineStr">
        <is>
          <t xml:space="preserve">BC coefficient is measured on the non-GFE BC corpus, with the two $-redacted MYP masters folded back at their announced POP ($ reconstructed from FPDS + trade press).</t>
        </is>
      </c>
    </row>
    <row r="30">
      <c r="B30" s="2" t="inlineStr">
        <is>
          <t xml:space="preserve">POP figure</t>
        </is>
      </c>
      <c r="C30" s="2" t="inlineStr">
        <is>
          <t xml:space="preserve">Meaning</t>
        </is>
      </c>
    </row>
    <row r="31" outlineLevel="1">
      <c r="B31" s="0" t="inlineStr">
        <is>
          <t xml:space="preserve">~87% disclosed outside-yards</t>
        </is>
      </c>
      <c r="C31" s="0" t="inlineStr">
        <is>
          <t xml:space="preserve">redaction artifact; the $-redacted masters drop out of the denominator</t>
        </is>
      </c>
    </row>
    <row r="32" outlineLevel="1">
      <c r="B32" s="0" t="inlineStr">
        <is>
          <t xml:space="preserve">~42% MYP-corrected outside-yards</t>
        </is>
      </c>
      <c r="C32" s="0" t="inlineStr">
        <is>
          <t xml:space="preserve">the 0.42 anchor, with the masters folded back</t>
        </is>
      </c>
    </row>
    <row r="33" outlineLevel="1">
      <c r="B33" s="0" t="inlineStr">
        <is>
          <t xml:space="preserve">25.3% applied BC coefficient (FY23-27)</t>
        </is>
      </c>
      <c r="C33" s="0" t="inlineStr">
        <is>
          <t xml:space="preserve">over the non-GFE BC corpus - the value actually used</t>
        </is>
      </c>
    </row>
    <row r="34" outlineLevel="1">
      <c r="B34" s="0" t="inlineStr">
        <is>
          <t xml:space="preserve">22.0% FY2022-vintage BC coefficient</t>
        </is>
      </c>
      <c r="C34" s="0" t="inlineStr">
        <is>
          <t xml:space="preserve">FY18-22 masters' announced POP (2018-09-27 bulletin); applied to FY2022 only</t>
        </is>
      </c>
    </row>
    <row r="36">
      <c r="A36" s="0" t="inlineStr">
        <is>
          <t xml:space="preserve">x</t>
        </is>
      </c>
      <c r="B36" s="10" t="inlineStr">
        <is>
          <t xml:space="preserve">§2c - Penetration &amp; outyear outlook</t>
        </is>
      </c>
      <c r="C36" s="10"/>
      <c r="D36" s="10"/>
      <c r="E36" s="10"/>
    </row>
    <row r="38">
      <c r="B38" s="0" t="inlineStr">
        <is>
          <t xml:space="preserve">Penetration = Outsourced BC TAM (both streams) / total ship spend (P-5c Total Ship Estimate + OBBBA gross), constant FY2026 $.</t>
        </is>
      </c>
    </row>
    <row r="39">
      <c r="B39" s="0" t="inlineStr">
        <is>
          <t xml:space="preserve">Window averages are ratios of sums; implied FY28-31 Outsourced BC = PB2027 FYDP gross x penetration, low = FY22-25 average, high = low x (1 + stated outsourcing-intent uplift, Assumptions §7).</t>
        </is>
      </c>
    </row>
    <row r="40">
      <c r="B40" s="0" t="inlineStr">
        <is>
          <t xml:space="preserve">FYDP outyears are the PB2027 request, not appropriation; FY2030-FY2031 deflators are extrapolated (Deflators tab).</t>
        </is>
      </c>
    </row>
    <row r="43">
      <c r="A43" s="0" t="inlineStr">
        <is>
          <t xml:space="preserve">x</t>
        </is>
      </c>
      <c r="B43" s="10" t="inlineStr">
        <is>
          <t xml:space="preserve">§2d - Evidence basis by fiscal year</t>
        </is>
      </c>
      <c r="C43" s="10"/>
      <c r="D43" s="10"/>
      <c r="E43" s="10"/>
    </row>
    <row r="45">
      <c r="B45" s="2" t="inlineStr">
        <is>
          <t xml:space="preserve">FY</t>
        </is>
      </c>
      <c r="C45" s="2" t="inlineStr">
        <is>
          <t xml:space="preserve">Dollar basis</t>
        </is>
      </c>
      <c r="D45" s="2" t="inlineStr">
        <is>
          <t xml:space="preserve">Outsourced % basis</t>
        </is>
      </c>
    </row>
    <row r="46" outlineLevel="1">
      <c r="B46" s="0" t="inlineStr">
        <is>
          <t xml:space="preserve">2022</t>
        </is>
      </c>
      <c r="C46" s="0" t="inlineStr">
        <is>
          <t xml:space="preserve">Settled actuals (PB &gt;= FY+2 vintage rule)</t>
        </is>
      </c>
      <c r="D46" s="0" t="inlineStr">
        <is>
          <t xml:space="preserve">Announced POP of the FY18-22 MYP masters funding the FY22 ships (22.0%; CITE-10)</t>
        </is>
      </c>
    </row>
    <row r="47" outlineLevel="1">
      <c r="B47" s="0" t="inlineStr">
        <is>
          <t xml:space="preserve">2023-2025</t>
        </is>
      </c>
      <c r="C47" s="0" t="inlineStr">
        <is>
          <t xml:space="preserve">Settled actuals</t>
        </is>
      </c>
      <c r="D47" s="0" t="inlineStr">
        <is>
          <t xml:space="preserve">Announced POP of the FY23-27 MYP masters funding those ships (25.3% corpus coefficient; CITE-01)</t>
        </is>
      </c>
    </row>
    <row r="48" outlineLevel="1">
      <c r="B48" s="0" t="inlineStr">
        <is>
          <t xml:space="preserve">2026</t>
        </is>
      </c>
      <c r="C48" s="0" t="inlineStr">
        <is>
          <t xml:space="preserve">Enacted: PB2027 P-5c + OBBBA PL 119-21 mandatory</t>
        </is>
      </c>
      <c r="D48" s="0" t="inlineStr">
        <is>
          <t xml:space="preserve">Same 25.3% (FY26 ships are options under the FY23-27 masters); the OBBBA BC/GFE split (62.8%) is the one assumption layer</t>
        </is>
      </c>
    </row>
    <row r="49" outlineLevel="1">
      <c r="B49" s="0" t="inlineStr">
        <is>
          <t xml:space="preserve">2027</t>
        </is>
      </c>
      <c r="C49" s="0" t="inlineStr">
        <is>
          <t xml:space="preserve">PB2027 request - not yet appropriated</t>
        </is>
      </c>
      <c r="D49" s="0" t="inlineStr">
        <is>
          <t xml:space="preserve">Same 25.3% (the Ingalls master covers the FY27 ship); estimate until appropriation</t>
        </is>
      </c>
    </row>
    <row r="50" outlineLevel="1">
      <c r="B50" s="0" t="inlineStr">
        <is>
          <t xml:space="preserve">2028-2031</t>
        </is>
      </c>
      <c r="C50" s="0" t="inlineStr">
        <is>
          <t xml:space="preserve">PB2027 FYDP request (Outlook only; outside TAM)</t>
        </is>
      </c>
      <c r="D50" s="0" t="inlineStr">
        <is>
          <t xml:space="preserve">Penetration assumption, not announcement POP - styled as an estimate</t>
        </is>
      </c>
    </row>
    <row r="51">
      <c r="B51" s="0" t="inlineStr">
        <is>
          <t xml:space="preserve">Announced POP is the contract-level planned distribution ('Work will be performed in...'), not realized per-FY actuals.</t>
        </is>
      </c>
    </row>
    <row r="52">
      <c r="B52" s="0" t="inlineStr">
        <is>
          <t xml:space="preserve">The AP/LLTM stream (FY25-26 only) is budget-exhibit classification (P-10 Ship Construction EOQ, CITE-09), not announcement POP.</t>
        </is>
      </c>
    </row>
    <row r="55">
      <c r="A55" s="0" t="inlineStr">
        <is>
          <t xml:space="preserve">x</t>
        </is>
      </c>
      <c r="B55" s="9" t="inlineStr">
        <is>
          <t xml:space="preserve">§3 - Market-sizing flow</t>
        </is>
      </c>
      <c r="C55" s="9"/>
      <c r="D55" s="9"/>
      <c r="E55" s="9"/>
    </row>
    <row r="57">
      <c r="B57" s="2" t="inlineStr">
        <is>
          <t xml:space="preserve">Step</t>
        </is>
      </c>
      <c r="C57" s="2" t="inlineStr">
        <is>
          <t xml:space="preserve">Input</t>
        </is>
      </c>
      <c r="D57" s="2" t="inlineStr">
        <is>
          <t xml:space="preserve">Method</t>
        </is>
      </c>
      <c r="E57" s="2" t="inlineStr">
        <is>
          <t xml:space="preserve">Output tab</t>
        </is>
      </c>
    </row>
    <row r="58" outlineLevel="1">
      <c r="B58" s="0" t="inlineStr">
        <is>
          <t xml:space="preserve">Budget base</t>
        </is>
      </c>
      <c r="C58" s="0" t="inlineStr">
        <is>
          <t xml:space="preserve">SCN P-5c + P-10</t>
        </is>
      </c>
      <c r="D58" s="0" t="inlineStr">
        <is>
          <t xml:space="preserve">extract per class/FY</t>
        </is>
      </c>
      <c r="E58" s="0" t="inlineStr">
        <is>
          <t xml:space="preserve">SCN Budget / AP Bridge</t>
        </is>
      </c>
    </row>
    <row r="59" outlineLevel="1">
      <c r="B59" s="0" t="inlineStr">
        <is>
          <t xml:space="preserve">Add OBBBA mandatory BC (Sec. 20002(17))</t>
        </is>
      </c>
      <c r="C59" s="0" t="inlineStr">
        <is>
          <t xml:space="preserve">mandatory allocation plan</t>
        </is>
      </c>
      <c r="D59" s="0" t="inlineStr">
        <is>
          <t xml:space="preserve">gross x BC share</t>
        </is>
      </c>
      <c r="E59" s="0" t="inlineStr">
        <is>
          <t xml:space="preserve">OBBBA Mandatory</t>
        </is>
      </c>
    </row>
    <row r="60" outlineLevel="1">
      <c r="B60" s="0" t="inlineStr">
        <is>
          <t xml:space="preserve">Remove GFE / non-addressable / dup AP</t>
        </is>
      </c>
      <c r="C60" s="0" t="inlineStr">
        <is>
          <t xml:space="preserve">budget base</t>
        </is>
      </c>
      <c r="D60" s="0" t="inlineStr">
        <is>
          <t xml:space="preserve">exclusion rules</t>
        </is>
      </c>
      <c r="E60" s="0" t="inlineStr">
        <is>
          <t xml:space="preserve">TAM Build</t>
        </is>
      </c>
    </row>
    <row r="61" outlineLevel="1">
      <c r="B61" s="0" t="inlineStr">
        <is>
          <t xml:space="preserve">Apply POP supplier coefficient</t>
        </is>
      </c>
      <c r="C61" s="0" t="inlineStr">
        <is>
          <t xml:space="preserve">in-scope base</t>
        </is>
      </c>
      <c r="D61" s="0" t="inlineStr">
        <is>
          <t xml:space="preserve">POP $-weighted share</t>
        </is>
      </c>
      <c r="E61" s="0" t="inlineStr">
        <is>
          <t xml:space="preserve">TAM Build</t>
        </is>
      </c>
    </row>
    <row r="62" outlineLevel="1">
      <c r="B62" s="0" t="inlineStr">
        <is>
          <t xml:space="preserve">Portfolio TAM</t>
        </is>
      </c>
      <c r="C62" s="0" t="inlineStr">
        <is>
          <t xml:space="preserve">BC + AP/LLTM streams</t>
        </is>
      </c>
      <c r="D62" s="0" t="inlineStr">
        <is>
          <t xml:space="preserve">base x coefficient</t>
        </is>
      </c>
      <c r="E62" s="0" t="inlineStr">
        <is>
          <t xml:space="preserve">TAM Build</t>
        </is>
      </c>
    </row>
    <row r="63" outlineLevel="1">
      <c r="B63" s="0" t="inlineStr">
        <is>
          <t xml:space="preserve">Penetration &amp; outyear outlook</t>
        </is>
      </c>
      <c r="C63" s="0" t="inlineStr">
        <is>
          <t xml:space="preserve">TAM + ship spend + PB2027 FYDP gross</t>
        </is>
      </c>
      <c r="D63" s="0" t="inlineStr">
        <is>
          <t xml:space="preserve">TAM / spend; FYDP x penetration range</t>
        </is>
      </c>
      <c r="E63" s="0" t="inlineStr">
        <is>
          <t xml:space="preserve">Outlook</t>
        </is>
      </c>
    </row>
    <row r="66">
      <c r="A66" s="0" t="inlineStr">
        <is>
          <t xml:space="preserve">x</t>
        </is>
      </c>
      <c r="B66" s="9" t="inlineStr">
        <is>
          <t xml:space="preserve">§4 - Scope boundary</t>
        </is>
      </c>
      <c r="C66" s="9"/>
      <c r="D66" s="9"/>
      <c r="E66" s="9"/>
    </row>
    <row r="68">
      <c r="A68" s="0" t="inlineStr">
        <is>
          <t xml:space="preserve">x</t>
        </is>
      </c>
      <c r="B68" s="10" t="inlineStr">
        <is>
          <t xml:space="preserve">§4a - In TAM</t>
        </is>
      </c>
      <c r="C68" s="10"/>
      <c r="D68" s="10"/>
      <c r="E68" s="10"/>
    </row>
    <row r="70" outlineLevel="1">
      <c r="B70" s="0" t="inlineStr">
        <is>
          <t xml:space="preserve">Basic Construction, non-GFE</t>
        </is>
      </c>
    </row>
    <row r="71" outlineLevel="1">
      <c r="B71" s="0" t="inlineStr">
        <is>
          <t xml:space="preserve">Supplier-addressable component work, per award description</t>
        </is>
      </c>
    </row>
    <row r="72" outlineLevel="1">
      <c r="B72" s="0" t="inlineStr">
        <is>
          <t xml:space="preserve">Work away from prime / co-prime / GFE sites</t>
        </is>
      </c>
    </row>
    <row r="73" outlineLevel="1">
      <c r="B73" s="0" t="inlineStr">
        <is>
          <t xml:space="preserve">Eligible AP / LLTM / EOQ (additive only)</t>
        </is>
      </c>
    </row>
    <row r="74" outlineLevel="1">
      <c r="B74" s="0" t="inlineStr">
        <is>
          <t xml:space="preserve">OBBBA mandatory BC share (Sec. 20002(17): two FY2026 ships, DDG 147/149)</t>
        </is>
      </c>
    </row>
    <row r="76">
      <c r="A76" s="0" t="inlineStr">
        <is>
          <t xml:space="preserve">x</t>
        </is>
      </c>
      <c r="B76" s="10" t="inlineStr">
        <is>
          <t xml:space="preserve">§4b - Out of TAM</t>
        </is>
      </c>
      <c r="C76" s="10"/>
      <c r="D76" s="10"/>
      <c r="E76" s="10"/>
    </row>
    <row r="78" outlineLevel="1">
      <c r="B78" s="0" t="inlineStr">
        <is>
          <t xml:space="preserve">GFE / Aegis / SPY-6 / VLS / weapons / ordnance</t>
        </is>
      </c>
    </row>
    <row r="79" outlineLevel="1">
      <c r="B79" s="0" t="inlineStr">
        <is>
          <t xml:space="preserve">MIB / industrial-base capacity (incl. the other OBBBA Sec. 20002 lines)</t>
        </is>
      </c>
    </row>
    <row r="80" outlineLevel="1">
      <c r="B80" s="0" t="inlineStr">
        <is>
          <t xml:space="preserve">Sustainment / depot / design-only work</t>
        </is>
      </c>
    </row>
    <row r="81" outlineLevel="1">
      <c r="B81" s="0" t="inlineStr">
        <is>
          <t xml:space="preserve">Prime / co-prime final-assembly yard work (BIW, Ingalls)</t>
        </is>
      </c>
    </row>
    <row r="82" outlineLevel="1">
      <c r="B82" s="0" t="inlineStr">
        <is>
          <t xml:space="preserve">AP/LLTM already inside BC</t>
        </is>
      </c>
    </row>
    <row r="84">
      <c r="A84" s="0" t="inlineStr">
        <is>
          <t xml:space="preserve">x</t>
        </is>
      </c>
      <c r="B84" s="10" t="inlineStr">
        <is>
          <t xml:space="preserve">§4c - Mandatory (OBBBA) funding treatment</t>
        </is>
      </c>
      <c r="C84" s="10"/>
      <c r="D84" s="10"/>
      <c r="E84" s="10"/>
    </row>
    <row r="86" outlineLevel="1">
      <c r="B86" s="0" t="inlineStr">
        <is>
          <t xml:space="preserve">OBBBA Sec. 20002(17): $5.4B FY2026 mandatory funding for two DDG-51 destroyers (DDG 147/149) under the current MYP; the FY27 PB P-1 carries zero FY2026 discretionary quantity.</t>
        </is>
      </c>
    </row>
    <row r="87" outlineLevel="1">
      <c r="B87" s="0" t="inlineStr">
        <is>
          <t xml:space="preserve">The award covers basic construction and GFE with no breakout; the BC portion uses the P-5c BC/GFE cost structure (Assumptions knob) and the GFE share is excluded from TAM.</t>
        </is>
      </c>
    </row>
    <row r="88" outlineLevel="1">
      <c r="B88" s="0" t="inlineStr">
        <is>
          <t xml:space="preserve">Booked in FY2026 on budget-year basis (awards from Q2 FY2026; obligation authority through 2029-09-30); FY2027 is discretionary-only.</t>
        </is>
      </c>
    </row>
    <row r="91">
      <c r="A91" s="0" t="inlineStr">
        <is>
          <t xml:space="preserve">x</t>
        </is>
      </c>
      <c r="B91" s="9" t="inlineStr">
        <is>
          <t xml:space="preserve">§5 - Exclusion rules</t>
        </is>
      </c>
      <c r="C91" s="9"/>
      <c r="D91" s="9"/>
      <c r="E91" s="9"/>
    </row>
    <row r="93">
      <c r="B93" s="2" t="inlineStr">
        <is>
          <t xml:space="preserve">Exclusion category</t>
        </is>
      </c>
      <c r="C93" s="2" t="inlineStr">
        <is>
          <t xml:space="preserve">Treatment</t>
        </is>
      </c>
      <c r="D93" s="2" t="inlineStr">
        <is>
          <t xml:space="preserve">Rationale</t>
        </is>
      </c>
      <c r="E93" s="2" t="inlineStr">
        <is>
          <t xml:space="preserve">Evidence tab</t>
        </is>
      </c>
    </row>
    <row r="94" outlineLevel="1">
      <c r="B94" s="0" t="inlineStr">
        <is>
          <t xml:space="preserve">Mission systems</t>
        </is>
      </c>
      <c r="C94" s="0" t="inlineStr">
        <is>
          <t xml:space="preserve">exclude</t>
        </is>
      </c>
      <c r="D94" s="0" t="inlineStr">
        <is>
          <t xml:space="preserve">combat/electronics (VLS launch-control, radar, EW) - different market</t>
        </is>
      </c>
      <c r="E94" s="0" t="inlineStr">
        <is>
          <t xml:space="preserve">Entity Master</t>
        </is>
      </c>
    </row>
    <row r="95" outlineLevel="1">
      <c r="B95" s="0" t="inlineStr">
        <is>
          <t xml:space="preserve">GFE</t>
        </is>
      </c>
      <c r="C95" s="0" t="inlineStr">
        <is>
          <t xml:space="preserve">exclude</t>
        </is>
      </c>
      <c r="D95" s="0" t="inlineStr">
        <is>
          <t xml:space="preserve">Navy-directed equipment / weapons</t>
        </is>
      </c>
      <c r="E95" s="0" t="inlineStr">
        <is>
          <t xml:space="preserve">SCN Budget</t>
        </is>
      </c>
    </row>
    <row r="96" outlineLevel="1">
      <c r="B96" s="0" t="inlineStr">
        <is>
          <t xml:space="preserve">MIB</t>
        </is>
      </c>
      <c r="C96" s="0" t="inlineStr">
        <is>
          <t xml:space="preserve">exclude</t>
        </is>
      </c>
      <c r="D96" s="0" t="inlineStr">
        <is>
          <t xml:space="preserve">industrial-base capacity, not construction</t>
        </is>
      </c>
      <c r="E96" s="0" t="inlineStr">
        <is>
          <t xml:space="preserve">Scope Exclusions</t>
        </is>
      </c>
    </row>
    <row r="97" outlineLevel="1">
      <c r="B97" s="0" t="inlineStr">
        <is>
          <t xml:space="preserve">Prime yard</t>
        </is>
      </c>
      <c r="C97" s="0" t="inlineStr">
        <is>
          <t xml:space="preserve">exclude</t>
        </is>
      </c>
      <c r="D97" s="0" t="inlineStr">
        <is>
          <t xml:space="preserve">BIW final-assembly work, not addressable</t>
        </is>
      </c>
      <c r="E97" s="0" t="inlineStr">
        <is>
          <t xml:space="preserve">POP Corpus</t>
        </is>
      </c>
    </row>
    <row r="98" outlineLevel="1">
      <c r="B98" s="0" t="inlineStr">
        <is>
          <t xml:space="preserve">Co-prime yard</t>
        </is>
      </c>
      <c r="C98" s="0" t="inlineStr">
        <is>
          <t xml:space="preserve">exclude</t>
        </is>
      </c>
      <c r="D98" s="0" t="inlineStr">
        <is>
          <t xml:space="preserve">Ingalls site work, not addressable</t>
        </is>
      </c>
      <c r="E98" s="0" t="inlineStr">
        <is>
          <t xml:space="preserve">POP Corpus</t>
        </is>
      </c>
    </row>
    <row r="99" outlineLevel="1">
      <c r="B99" s="0" t="inlineStr">
        <is>
          <t xml:space="preserve">Foreign / FMS</t>
        </is>
      </c>
      <c r="C99" s="0" t="inlineStr">
        <is>
          <t xml:space="preserve">exclude</t>
        </is>
      </c>
      <c r="D99" s="0" t="inlineStr">
        <is>
          <t xml:space="preserve">foreign supplier / FMS, not US yard-side</t>
        </is>
      </c>
      <c r="E99" s="0" t="inlineStr">
        <is>
          <t xml:space="preserve">Entity Master</t>
        </is>
      </c>
    </row>
    <row r="100" outlineLevel="1">
      <c r="B100" s="0" t="inlineStr">
        <is>
          <t xml:space="preserve">Holding / IT / services</t>
        </is>
      </c>
      <c r="C100" s="0" t="inlineStr">
        <is>
          <t xml:space="preserve">exclude</t>
        </is>
      </c>
      <c r="D100" s="0" t="inlineStr">
        <is>
          <t xml:space="preserve">holding co (5511), IT resellers, eng services</t>
        </is>
      </c>
      <c r="E100" s="0" t="inlineStr">
        <is>
          <t xml:space="preserve">Entity Master</t>
        </is>
      </c>
    </row>
    <row r="101" outlineLevel="1">
      <c r="B101" s="0" t="inlineStr">
        <is>
          <t xml:space="preserve">Sustainment / depot</t>
        </is>
      </c>
      <c r="C101" s="0" t="inlineStr">
        <is>
          <t xml:space="preserve">exclude</t>
        </is>
      </c>
      <c r="D101" s="0" t="inlineStr">
        <is>
          <t xml:space="preserve">in-service, not new construction</t>
        </is>
      </c>
      <c r="E101" s="0" t="inlineStr">
        <is>
          <t xml:space="preserve">Scope Exclusions</t>
        </is>
      </c>
    </row>
    <row r="102" outlineLevel="1">
      <c r="B102" s="0" t="inlineStr">
        <is>
          <t xml:space="preserve">Design-only</t>
        </is>
      </c>
      <c r="C102" s="0" t="inlineStr">
        <is>
          <t xml:space="preserve">exclude</t>
        </is>
      </c>
      <c r="D102" s="0" t="inlineStr">
        <is>
          <t xml:space="preserve">engineering only, no hardware</t>
        </is>
      </c>
      <c r="E102" s="0" t="inlineStr">
        <is>
          <t xml:space="preserve">POP Corpus</t>
        </is>
      </c>
    </row>
    <row r="103" outlineLevel="1">
      <c r="B103" s="0" t="inlineStr">
        <is>
          <t xml:space="preserve">AP/LLTM already in BC</t>
        </is>
      </c>
      <c r="C103" s="0" t="inlineStr">
        <is>
          <t xml:space="preserve">exclude</t>
        </is>
      </c>
      <c r="D103" s="0" t="inlineStr">
        <is>
          <t xml:space="preserve">booked inside BC; no double-count</t>
        </is>
      </c>
      <c r="E103" s="0" t="inlineStr">
        <is>
          <t xml:space="preserve">AP Bridge</t>
        </is>
      </c>
    </row>
    <row r="104" outlineLevel="1">
      <c r="B104" s="0" t="inlineStr">
        <is>
          <t xml:space="preserve">Service / non-component</t>
        </is>
      </c>
      <c r="C104" s="0" t="inlineStr">
        <is>
          <t xml:space="preserve">exclude</t>
        </is>
      </c>
      <c r="D104" s="0" t="inlineStr">
        <is>
          <t xml:space="preserve">service NAICS, not manufacturing</t>
        </is>
      </c>
      <c r="E104" s="0" t="inlineStr">
        <is>
          <t xml:space="preserve">Entity Master</t>
        </is>
      </c>
    </row>
    <row r="106">
      <c r="A106" s="0" t="inlineStr">
        <is>
          <t xml:space="preserve">x</t>
        </is>
      </c>
      <c r="B106" s="10" t="inlineStr">
        <is>
          <t xml:space="preserve">§5a - Effect on the corpus (live)</t>
        </is>
      </c>
      <c r="C106" s="10"/>
      <c r="D106" s="10"/>
      <c r="E106" s="10"/>
    </row>
    <row r="108">
      <c r="B108" s="2" t="inlineStr">
        <is>
          <t xml:space="preserve">Measure</t>
        </is>
      </c>
      <c r="C108" s="22" t="inlineStr">
        <is>
          <t xml:space="preserve">$M</t>
        </is>
      </c>
    </row>
    <row r="109" outlineLevel="1">
      <c r="B109" s="0" t="inlineStr">
        <is>
          <t xml:space="preserve">Gated TAM corpus</t>
        </is>
      </c>
      <c r="C109" s="11">
        <f>'DDG POP Source Audit'!D15</f>
      </c>
    </row>
    <row r="110" outlineLevel="1">
      <c r="B110" s="0" t="inlineStr">
        <is>
          <t xml:space="preserve">less: GFE / excluded scope</t>
        </is>
      </c>
      <c r="C110" s="11">
        <f>'DDG POP Source Audit'!D16</f>
      </c>
    </row>
    <row r="112">
      <c r="A112" s="0" t="inlineStr">
        <is>
          <t xml:space="preserve">x</t>
        </is>
      </c>
      <c r="B112" s="10" t="inlineStr">
        <is>
          <t xml:space="preserve">§5b - Named contaminants</t>
        </is>
      </c>
      <c r="C112" s="10"/>
      <c r="D112" s="10"/>
      <c r="E112" s="10"/>
    </row>
    <row r="114">
      <c r="B114" s="2" t="inlineStr">
        <is>
          <t xml:space="preserve">Item</t>
        </is>
      </c>
      <c r="C114" s="2" t="inlineStr">
        <is>
          <t xml:space="preserve">Identifier</t>
        </is>
      </c>
      <c r="D114" s="2" t="inlineStr">
        <is>
          <t xml:space="preserve">Why excluded</t>
        </is>
      </c>
    </row>
    <row r="115" outlineLevel="1">
      <c r="B115" s="1" t="inlineStr">
        <is>
          <t xml:space="preserve">IVECO Mk110 gun</t>
        </is>
      </c>
      <c r="C115" s="0" t="inlineStr">
        <is>
          <t xml:space="preserve">M6785416C0006</t>
        </is>
      </c>
      <c r="D115" s="0" t="inlineStr">
        <is>
          <t xml:space="preserve">Marine Corps gun, not DDG (~$707M dropped)</t>
        </is>
      </c>
    </row>
    <row r="116" outlineLevel="1">
      <c r="B116" s="1" t="inlineStr">
        <is>
          <t xml:space="preserve">DDG-1000 / Zumwalt</t>
        </is>
      </c>
      <c r="C116" s="0" t="inlineStr">
        <is>
          <t xml:space="preserve">LI 2119</t>
        </is>
      </c>
      <c r="D116" s="0" t="inlineStr">
        <is>
          <t xml:space="preserve">out of class; closed, OPN modernization only</t>
        </is>
      </c>
    </row>
    <row r="117" outlineLevel="1">
      <c r="B117" s="1" t="inlineStr">
        <is>
          <t xml:space="preserve">Thales ESSM</t>
        </is>
      </c>
      <c r="C117" s="0" t="inlineStr">
        <is>
          <t xml:space="preserve">N0002415C5420</t>
        </is>
      </c>
      <c r="D117" s="0" t="inlineStr">
        <is>
          <t xml:space="preserve">NATO cost-share on a Raytheon PIID; WPN-funded (~$4.2B dropped)</t>
        </is>
      </c>
    </row>
    <row r="118" outlineLevel="1">
      <c r="B118" s="1" t="inlineStr">
        <is>
          <t xml:space="preserve">WPN/OPN weapons</t>
        </is>
      </c>
      <c r="C118" s="0" t="inlineStr">
        <is>
          <t xml:space="preserve">SM / ESSM / Tomahawk / CIWS</t>
        </is>
      </c>
      <c r="D118" s="0" t="inlineStr">
        <is>
          <t xml:space="preserve">different appropriation, not SCN</t>
        </is>
      </c>
    </row>
  </sheetData>
  <legacyDrawing r:id="rId2"/>
</worksheet>
</file>

<file path=xl/worksheets/sheet7.xml><?xml version="1.0" encoding="utf-8"?>
<worksheet xmlns="http://schemas.openxmlformats.org/spreadsheetml/2006/main" xmlns:r="http://schemas.openxmlformats.org/officeDocument/2006/relationships">
  <sheetPr>
    <tabColor rgb="FFB8860B"/>
    <outlinePr summaryBelow="0"/>
  </sheetPr>
  <sheetViews>
    <sheetView showGridLines="0" workbookViewId="0" showOutlineSymbols="0"/>
  </sheetViews>
  <sheetFormatPr defaultRowHeight="10" customHeight="1"/>
  <cols>
    <col min="1" max="1" width="2.2109375" customWidth="1"/>
    <col min="2" max="2" width="40" customWidth="1"/>
    <col min="3" max="3" width="16" customWidth="1"/>
    <col min="4" max="4" width="12" customWidth="1"/>
    <col min="5" max="5" width="14" customWidth="1"/>
    <col min="6" max="6" width="14" customWidth="1"/>
    <col min="7" max="7" width="12" customWidth="1"/>
    <col min="8" max="8" width="12" customWidth="1"/>
  </cols>
  <sheetData>
    <row r="1"/>
    <row r="2">
      <c r="B2" s="8" t="inlineStr">
        <is>
          <t xml:space="preserve">Sub Assumptions</t>
        </is>
      </c>
      <c r="C2" s="8"/>
      <c r="D2" s="8"/>
      <c r="E2" s="8"/>
      <c r="F2" s="8"/>
      <c r="G2" s="8"/>
      <c r="H2" s="8"/>
    </row>
    <row r="4">
      <c r="A4" s="0" t="inlineStr">
        <is>
          <t xml:space="preserve">x</t>
        </is>
      </c>
      <c r="B4" s="9" t="inlineStr">
        <is>
          <t xml:space="preserve">§1 - Run settings</t>
        </is>
      </c>
      <c r="C4" s="9"/>
      <c r="D4" s="9"/>
      <c r="E4" s="9"/>
      <c r="F4" s="9"/>
      <c r="G4" s="9"/>
      <c r="H4" s="9"/>
    </row>
    <row r="6">
      <c r="B6" s="2" t="inlineStr">
        <is>
          <t xml:space="preserve">Setting</t>
        </is>
      </c>
      <c r="C6" s="2" t="inlineStr">
        <is>
          <t xml:space="preserve">Value</t>
        </is>
      </c>
    </row>
    <row r="7" outlineLevel="1">
      <c r="B7" s="0" t="inlineStr">
        <is>
          <t xml:space="preserve">Program</t>
        </is>
      </c>
      <c r="C7" s="0" t="inlineStr">
        <is>
          <t xml:space="preserve">Submarine</t>
        </is>
      </c>
    </row>
    <row r="8" outlineLevel="1">
      <c r="B8" s="0" t="inlineStr">
        <is>
          <t xml:space="preserve">FY range start</t>
        </is>
      </c>
      <c r="C8" s="0">
        <v>2022</v>
      </c>
    </row>
    <row r="9" outlineLevel="1">
      <c r="B9" s="0" t="inlineStr">
        <is>
          <t xml:space="preserve">FY range end</t>
        </is>
      </c>
      <c r="C9" s="0">
        <v>2027</v>
      </c>
    </row>
    <row r="10" outlineLevel="1">
      <c r="B10" s="0" t="inlineStr">
        <is>
          <t xml:space="preserve">Units</t>
        </is>
      </c>
      <c r="C10" s="0" t="inlineStr">
        <is>
          <t xml:space="preserve">Constant FY2026 $M (then-year source retained)</t>
        </is>
      </c>
    </row>
    <row r="13">
      <c r="A13" s="0" t="inlineStr">
        <is>
          <t xml:space="preserve">x</t>
        </is>
      </c>
      <c r="B13" s="9" t="inlineStr">
        <is>
          <t xml:space="preserve">§2 - Stream controls</t>
        </is>
      </c>
      <c r="C13" s="9"/>
      <c r="D13" s="9"/>
      <c r="E13" s="9"/>
      <c r="F13" s="9"/>
      <c r="G13" s="9"/>
      <c r="H13" s="9"/>
    </row>
    <row r="15">
      <c r="B15" s="2" t="inlineStr">
        <is>
          <t xml:space="preserve">Control</t>
        </is>
      </c>
      <c r="C15" s="2" t="inlineStr">
        <is>
          <t xml:space="preserve">Value</t>
        </is>
      </c>
    </row>
    <row r="16" outlineLevel="1">
      <c r="B16" s="0" t="inlineStr">
        <is>
          <t xml:space="preserve">Include BC stream</t>
        </is>
      </c>
      <c r="C16" s="5">
        <v>1</v>
      </c>
    </row>
    <row r="17" outlineLevel="1">
      <c r="B17" s="0" t="inlineStr">
        <is>
          <t xml:space="preserve">Include AP/LLTM stream</t>
        </is>
      </c>
      <c r="C17" s="5">
        <v>1</v>
      </c>
    </row>
    <row r="18" outlineLevel="1">
      <c r="B18" s="0" t="inlineStr">
        <is>
          <t xml:space="preserve">Include OBBBA mandatory (Sec. 20002(16)) stream</t>
        </is>
      </c>
      <c r="C18" s="5">
        <v>1</v>
      </c>
    </row>
    <row r="19" outlineLevel="1">
      <c r="B19" s="0" t="inlineStr">
        <is>
          <t xml:space="preserve">Prior-year AP credit treatment</t>
        </is>
      </c>
      <c r="C19" s="0" t="inlineStr">
        <is>
          <t xml:space="preserve">none (credits = 0)</t>
        </is>
      </c>
    </row>
    <row r="22">
      <c r="A22" s="0" t="inlineStr">
        <is>
          <t xml:space="preserve">x</t>
        </is>
      </c>
      <c r="B22" s="9" t="inlineStr">
        <is>
          <t xml:space="preserve">§3 - AP/LLTM additive base ($M, confirmed 0)</t>
        </is>
      </c>
      <c r="C22" s="9"/>
      <c r="D22" s="9"/>
      <c r="E22" s="9"/>
      <c r="F22" s="9"/>
      <c r="G22" s="9"/>
      <c r="H22" s="9"/>
    </row>
    <row r="24">
      <c r="B24" s="2" t="inlineStr">
        <is>
          <t xml:space="preserve">Class</t>
        </is>
      </c>
      <c r="C24" s="22">
        <v>2022</v>
      </c>
      <c r="D24" s="22">
        <v>2023</v>
      </c>
      <c r="E24" s="22">
        <v>2024</v>
      </c>
      <c r="F24" s="22">
        <v>2025</v>
      </c>
      <c r="G24" s="22">
        <v>2026</v>
      </c>
      <c r="H24" s="22">
        <v>2027</v>
      </c>
    </row>
    <row r="25" outlineLevel="1">
      <c r="B25" s="1" t="inlineStr">
        <is>
          <t xml:space="preserve">Virginia (LI 2013)</t>
        </is>
      </c>
      <c r="C25" s="5">
        <v>0</v>
      </c>
      <c r="D25" s="5">
        <v>0</v>
      </c>
      <c r="E25" s="5">
        <v>0</v>
      </c>
      <c r="F25" s="5">
        <v>0</v>
      </c>
      <c r="G25" s="5">
        <v>0</v>
      </c>
      <c r="H25" s="5">
        <v>0</v>
      </c>
    </row>
    <row r="26" outlineLevel="1">
      <c r="B26" s="1" t="inlineStr">
        <is>
          <t xml:space="preserve">Columbia (LI 1045)</t>
        </is>
      </c>
      <c r="C26" s="5">
        <v>0</v>
      </c>
      <c r="D26" s="5">
        <v>0</v>
      </c>
      <c r="E26" s="5">
        <v>0</v>
      </c>
      <c r="F26" s="5">
        <v>0</v>
      </c>
      <c r="G26" s="5">
        <v>0</v>
      </c>
      <c r="H26" s="5">
        <v>0</v>
      </c>
    </row>
    <row r="27">
      <c r="B27" s="3" t="inlineStr">
        <is>
          <t xml:space="preserve">Total (Va + Col)</t>
        </is>
      </c>
      <c r="C27" s="13">
        <f>N(C25)+N(C26)</f>
      </c>
      <c r="D27" s="13">
        <f>N(D25)+N(D26)</f>
      </c>
      <c r="E27" s="13">
        <f>N(E25)+N(E26)</f>
      </c>
      <c r="F27" s="13">
        <f>N(F25)+N(F26)</f>
      </c>
      <c r="G27" s="13">
        <f>N(G25)+N(G26)</f>
      </c>
      <c r="H27" s="13">
        <f>N(H25)+N(H26)</f>
      </c>
    </row>
    <row r="29">
      <c r="A29" s="0" t="inlineStr">
        <is>
          <t xml:space="preserve">x</t>
        </is>
      </c>
      <c r="B29" s="10" t="inlineStr">
        <is>
          <t xml:space="preserve">§3b - Constant FY2026 $M (then-year x deflator)</t>
        </is>
      </c>
      <c r="C29" s="10"/>
      <c r="D29" s="10"/>
      <c r="E29" s="10"/>
      <c r="F29" s="10"/>
      <c r="G29" s="10"/>
      <c r="H29" s="10"/>
    </row>
    <row r="31">
      <c r="B31" s="2" t="inlineStr">
        <is>
          <t xml:space="preserve">Class</t>
        </is>
      </c>
      <c r="C31" s="22">
        <v>2022</v>
      </c>
      <c r="D31" s="22">
        <v>2023</v>
      </c>
      <c r="E31" s="22">
        <v>2024</v>
      </c>
      <c r="F31" s="22">
        <v>2025</v>
      </c>
      <c r="G31" s="22">
        <v>2026</v>
      </c>
      <c r="H31" s="22">
        <v>2027</v>
      </c>
    </row>
    <row r="32" outlineLevel="1">
      <c r="B32" s="1" t="inlineStr">
        <is>
          <t xml:space="preserve">Virginia (LI 2013)</t>
        </is>
      </c>
      <c r="C32" s="11">
        <f>C25*'Deflators'!D7</f>
      </c>
      <c r="D32" s="11">
        <f>D25*'Deflators'!D8</f>
      </c>
      <c r="E32" s="11">
        <f>E25*'Deflators'!D9</f>
      </c>
      <c r="F32" s="11">
        <f>F25*'Deflators'!D10</f>
      </c>
      <c r="G32" s="11">
        <f>G25*'Deflators'!D11</f>
      </c>
      <c r="H32" s="11">
        <f>H25*'Deflators'!D12</f>
      </c>
    </row>
    <row r="33" outlineLevel="1">
      <c r="B33" s="1" t="inlineStr">
        <is>
          <t xml:space="preserve">Columbia (LI 1045)</t>
        </is>
      </c>
      <c r="C33" s="11">
        <f>C26*'Deflators'!D7</f>
      </c>
      <c r="D33" s="11">
        <f>D26*'Deflators'!D8</f>
      </c>
      <c r="E33" s="11">
        <f>E26*'Deflators'!D9</f>
      </c>
      <c r="F33" s="11">
        <f>F26*'Deflators'!D10</f>
      </c>
      <c r="G33" s="11">
        <f>G26*'Deflators'!D11</f>
      </c>
      <c r="H33" s="11">
        <f>H26*'Deflators'!D12</f>
      </c>
    </row>
    <row r="35">
      <c r="A35" s="0" t="inlineStr">
        <is>
          <t xml:space="preserve">x</t>
        </is>
      </c>
      <c r="B35" s="10" t="inlineStr">
        <is>
          <t xml:space="preserve">§3a - P-10 gross AP reference ($M, overlaps BC)</t>
        </is>
      </c>
      <c r="C35" s="10"/>
      <c r="D35" s="10"/>
      <c r="E35" s="10"/>
      <c r="F35" s="10"/>
      <c r="G35" s="10"/>
      <c r="H35" s="10"/>
    </row>
    <row r="37">
      <c r="B37" s="2" t="inlineStr">
        <is>
          <t xml:space="preserve">Class</t>
        </is>
      </c>
      <c r="C37" s="22">
        <v>2022</v>
      </c>
      <c r="D37" s="22">
        <v>2023</v>
      </c>
      <c r="E37" s="22">
        <v>2024</v>
      </c>
      <c r="F37" s="22">
        <v>2025</v>
      </c>
      <c r="G37" s="22">
        <v>2026</v>
      </c>
      <c r="H37" s="22">
        <v>2027</v>
      </c>
    </row>
    <row r="38" outlineLevel="1">
      <c r="B38" s="1" t="inlineStr">
        <is>
          <t xml:space="preserve">Virginia (LI 2013)</t>
        </is>
      </c>
      <c r="C38" s="5">
        <v>2105.407</v>
      </c>
      <c r="D38" s="5">
        <v>2025.651</v>
      </c>
      <c r="E38" s="5">
        <v>3358.782</v>
      </c>
      <c r="F38" s="5">
        <v>3720.303</v>
      </c>
      <c r="G38" s="5">
        <v>3126.816</v>
      </c>
      <c r="H38" s="5">
        <v>4143.618</v>
      </c>
    </row>
    <row r="39" outlineLevel="1">
      <c r="B39" s="1" t="inlineStr">
        <is>
          <t xml:space="preserve">Columbia (LI 1045)</t>
        </is>
      </c>
      <c r="C39" s="5">
        <v>1773.98</v>
      </c>
      <c r="D39" s="5">
        <v>2778.553</v>
      </c>
      <c r="E39" s="5">
        <v>5345.734</v>
      </c>
      <c r="F39" s="5">
        <v>6215.939</v>
      </c>
      <c r="G39" s="5">
        <v>5350.766</v>
      </c>
      <c r="H39" s="5">
        <v>4763.342</v>
      </c>
    </row>
    <row r="42">
      <c r="A42" s="0" t="inlineStr">
        <is>
          <t xml:space="preserve">x</t>
        </is>
      </c>
      <c r="B42" s="9" t="inlineStr">
        <is>
          <t xml:space="preserve">§4 - OBBBA mandatory controls (Sec. 20002(16))</t>
        </is>
      </c>
      <c r="C42" s="9"/>
      <c r="D42" s="9"/>
      <c r="E42" s="9"/>
      <c r="F42" s="9"/>
      <c r="G42" s="9"/>
      <c r="H42" s="9"/>
    </row>
    <row r="44">
      <c r="B44" s="2" t="inlineStr">
        <is>
          <t xml:space="preserve">Control</t>
        </is>
      </c>
      <c r="C44" s="2" t="inlineStr">
        <is>
          <t xml:space="preserve">Value</t>
        </is>
      </c>
    </row>
    <row r="45" outlineLevel="1">
      <c r="B45" s="0" t="inlineStr">
        <is>
          <t xml:space="preserve">FY2027 execution spillover (share of FY26 award)</t>
        </is>
      </c>
      <c r="C45" s="7">
        <v>0</v>
      </c>
    </row>
    <row r="47">
      <c r="B47" s="2" t="inlineStr">
        <is>
          <t xml:space="preserve">Measure</t>
        </is>
      </c>
      <c r="C47" s="22" t="inlineStr">
        <is>
          <t xml:space="preserve">Observed</t>
        </is>
      </c>
      <c r="D47" s="22" t="inlineStr">
        <is>
          <t xml:space="preserve">Adjustment</t>
        </is>
      </c>
      <c r="E47" s="22" t="inlineStr">
        <is>
          <t xml:space="preserve">Modeled</t>
        </is>
      </c>
    </row>
    <row r="48" outlineLevel="1">
      <c r="B48" s="0" t="inlineStr">
        <is>
          <t xml:space="preserve">OBBBA BC share of award (Virginia FY26 P-5c)</t>
        </is>
      </c>
      <c r="C48" s="11">
        <f>'Sub SCN Budget'!G38</f>
      </c>
      <c r="D48" s="7">
        <v>0</v>
      </c>
      <c r="E48" s="6">
        <f>C48+D48</f>
      </c>
    </row>
    <row r="51">
      <c r="A51" s="0" t="inlineStr">
        <is>
          <t xml:space="preserve">x</t>
        </is>
      </c>
      <c r="B51" s="9" t="inlineStr">
        <is>
          <t xml:space="preserve">§5 - Construction-master announced POP (class-vintage BC coefficients)</t>
        </is>
      </c>
      <c r="C51" s="9"/>
      <c r="D51" s="9"/>
      <c r="E51" s="9"/>
      <c r="F51" s="9"/>
      <c r="G51" s="9"/>
      <c r="H51" s="9"/>
    </row>
    <row r="53">
      <c r="B53" s="2" t="inlineStr">
        <is>
          <t xml:space="preserve">Master</t>
        </is>
      </c>
      <c r="C53" s="2" t="inlineStr">
        <is>
          <t xml:space="preserve">PIID</t>
        </is>
      </c>
      <c r="D53" s="22" t="inlineStr">
        <is>
          <t xml:space="preserve">$M</t>
        </is>
      </c>
      <c r="E53" s="22" t="inlineStr">
        <is>
          <t xml:space="preserve">EB %</t>
        </is>
      </c>
      <c r="F53" s="22" t="inlineStr">
        <is>
          <t xml:space="preserve">HII %</t>
        </is>
      </c>
      <c r="G53" s="22" t="inlineStr">
        <is>
          <t xml:space="preserve">Other-US %</t>
        </is>
      </c>
      <c r="H53" s="22" t="inlineStr">
        <is>
          <t xml:space="preserve">Foreign %</t>
        </is>
      </c>
    </row>
    <row r="54" outlineLevel="1">
      <c r="B54" s="1" t="inlineStr">
        <is>
          <t xml:space="preserve">Virginia Block V (FY19-23 boats)</t>
        </is>
      </c>
      <c r="C54" s="0" t="inlineStr">
        <is>
          <t xml:space="preserve">N00024-17-C-2100</t>
        </is>
      </c>
      <c r="D54" s="5">
        <v>22209.893</v>
      </c>
      <c r="E54" s="7">
        <v>0.41</v>
      </c>
      <c r="F54" s="7">
        <v>0.25</v>
      </c>
      <c r="G54" s="7">
        <v>0.33</v>
      </c>
      <c r="H54" s="7">
        <v>0.01</v>
      </c>
    </row>
    <row r="55" outlineLevel="1">
      <c r="B55" s="1" t="inlineStr">
        <is>
          <t xml:space="preserve">Columbia Build I (SSBN 826 + 827)</t>
        </is>
      </c>
      <c r="C55" s="0" t="inlineStr">
        <is>
          <t xml:space="preserve">N00024-17-C-2117</t>
        </is>
      </c>
      <c r="D55" s="5">
        <v>9473.511</v>
      </c>
      <c r="E55" s="7">
        <v>0.53</v>
      </c>
      <c r="F55" s="7">
        <v>0.25</v>
      </c>
      <c r="G55" s="7">
        <v>0.22</v>
      </c>
      <c r="H55" s="7">
        <v>0.0</v>
      </c>
    </row>
    <row r="58">
      <c r="A58" s="0" t="inlineStr">
        <is>
          <t xml:space="preserve">x</t>
        </is>
      </c>
      <c r="B58" s="9" t="inlineStr">
        <is>
          <t xml:space="preserve">§6 - Outlook outyear penetration bounds</t>
        </is>
      </c>
      <c r="C58" s="9"/>
      <c r="D58" s="9"/>
      <c r="E58" s="9"/>
      <c r="F58" s="9"/>
      <c r="G58" s="9"/>
      <c r="H58" s="9"/>
    </row>
    <row r="60">
      <c r="B60" s="2" t="inlineStr">
        <is>
          <t xml:space="preserve">Knob</t>
        </is>
      </c>
      <c r="C60" s="22" t="inlineStr">
        <is>
          <t xml:space="preserve">Value</t>
        </is>
      </c>
    </row>
    <row r="61" outlineLevel="1">
      <c r="B61" s="0" t="inlineStr">
        <is>
          <t xml:space="preserve">Outsourcing intent uplift vs FY22-25 average</t>
        </is>
      </c>
      <c r="C61" s="7">
        <v>0.3</v>
      </c>
    </row>
  </sheetData>
  <dataValidations count="5">
    <dataValidation type="list" allowBlank="1" showInputMessage="1" showErrorMessage="1" sqref="C16">
      <formula1>"0,1"</formula1>
    </dataValidation>
    <dataValidation type="list" allowBlank="1" showInputMessage="1" showErrorMessage="1" sqref="C17">
      <formula1>"0,1"</formula1>
    </dataValidation>
    <dataValidation type="list" allowBlank="1" showInputMessage="1" showErrorMessage="1" sqref="C18">
      <formula1>"0,1"</formula1>
    </dataValidation>
    <dataValidation type="decimal" operator="between" allowBlank="1" showErrorMessage="1" sqref="E54:H55">
      <formula1>0</formula1>
      <formula2>1</formula2>
    </dataValidation>
    <dataValidation type="decimal" operator="between" allowBlank="1" showErrorMessage="1" sqref="C61">
      <formula1>0</formula1>
      <formula2>1</formula2>
    </dataValidation>
  </dataValidations>
  <legacyDrawing r:id="rId2"/>
</worksheet>
</file>

<file path=xl/worksheets/sheet8.xml><?xml version="1.0" encoding="utf-8"?>
<worksheet xmlns="http://schemas.openxmlformats.org/spreadsheetml/2006/main" xmlns:r="http://schemas.openxmlformats.org/officeDocument/2006/relationships">
  <sheetPr>
    <tabColor rgb="FFB8860B"/>
    <outlinePr summaryBelow="0"/>
  </sheetPr>
  <sheetViews>
    <sheetView showGridLines="0" workbookViewId="0" showOutlineSymbols="0"/>
  </sheetViews>
  <sheetFormatPr defaultRowHeight="10" customHeight="1"/>
  <cols>
    <col min="1" max="1" width="2.2109375" customWidth="1"/>
    <col min="2" max="2" width="32" customWidth="1"/>
    <col min="3" max="3" width="18" customWidth="1"/>
    <col min="4" max="4" width="30" customWidth="1"/>
    <col min="5" max="5" width="13" customWidth="1"/>
    <col min="6" max="6" width="13" customWidth="1"/>
    <col min="7" max="7" width="13" customWidth="1"/>
    <col min="8" max="8" width="13" customWidth="1"/>
  </cols>
  <sheetData>
    <row r="1"/>
    <row r="2">
      <c r="B2" s="8" t="inlineStr">
        <is>
          <t xml:space="preserve">DDG Assumptions</t>
        </is>
      </c>
      <c r="C2" s="8"/>
      <c r="D2" s="8"/>
      <c r="E2" s="8"/>
      <c r="F2" s="8"/>
      <c r="G2" s="8"/>
      <c r="H2" s="8"/>
    </row>
    <row r="4">
      <c r="A4" s="0" t="inlineStr">
        <is>
          <t xml:space="preserve">x</t>
        </is>
      </c>
      <c r="B4" s="9" t="inlineStr">
        <is>
          <t xml:space="preserve">§1 - Run settings</t>
        </is>
      </c>
      <c r="C4" s="9"/>
      <c r="D4" s="9"/>
      <c r="E4" s="9"/>
      <c r="F4" s="9"/>
      <c r="G4" s="9"/>
      <c r="H4" s="9"/>
    </row>
    <row r="6">
      <c r="B6" s="2" t="inlineStr">
        <is>
          <t xml:space="preserve">Setting</t>
        </is>
      </c>
      <c r="C6" s="2" t="inlineStr">
        <is>
          <t xml:space="preserve">Value</t>
        </is>
      </c>
    </row>
    <row r="7" outlineLevel="1">
      <c r="B7" s="0" t="inlineStr">
        <is>
          <t xml:space="preserve">Program</t>
        </is>
      </c>
      <c r="C7" s="0" t="inlineStr">
        <is>
          <t xml:space="preserve">DDG-51 Flight III</t>
        </is>
      </c>
    </row>
    <row r="8" outlineLevel="1">
      <c r="B8" s="0" t="inlineStr">
        <is>
          <t xml:space="preserve">FY range start</t>
        </is>
      </c>
      <c r="C8" s="0">
        <v>2022</v>
      </c>
    </row>
    <row r="9" outlineLevel="1">
      <c r="B9" s="0" t="inlineStr">
        <is>
          <t xml:space="preserve">FY range end</t>
        </is>
      </c>
      <c r="C9" s="0">
        <v>2027</v>
      </c>
    </row>
    <row r="10" outlineLevel="1">
      <c r="B10" s="0" t="inlineStr">
        <is>
          <t xml:space="preserve">Units</t>
        </is>
      </c>
      <c r="C10" s="0" t="inlineStr">
        <is>
          <t xml:space="preserve">Constant FY2026 $M (then-year source retained)</t>
        </is>
      </c>
    </row>
    <row r="13">
      <c r="A13" s="0" t="inlineStr">
        <is>
          <t xml:space="preserve">x</t>
        </is>
      </c>
      <c r="B13" s="9" t="inlineStr">
        <is>
          <t xml:space="preserve">§2 - Stream toggles</t>
        </is>
      </c>
      <c r="C13" s="9"/>
      <c r="D13" s="9"/>
      <c r="E13" s="9"/>
      <c r="F13" s="9"/>
      <c r="G13" s="9"/>
      <c r="H13" s="9"/>
    </row>
    <row r="15">
      <c r="B15" s="2" t="inlineStr">
        <is>
          <t xml:space="preserve">Toggle</t>
        </is>
      </c>
      <c r="C15" s="22" t="inlineStr">
        <is>
          <t xml:space="preserve">Value</t>
        </is>
      </c>
    </row>
    <row r="16" outlineLevel="1">
      <c r="B16" s="0" t="inlineStr">
        <is>
          <t xml:space="preserve">Include BC stream</t>
        </is>
      </c>
      <c r="C16" s="5">
        <v>1</v>
      </c>
    </row>
    <row r="17" outlineLevel="1">
      <c r="B17" s="0" t="inlineStr">
        <is>
          <t xml:space="preserve">Include AP/LLTM stream</t>
        </is>
      </c>
      <c r="C17" s="5">
        <v>1</v>
      </c>
    </row>
    <row r="18" outlineLevel="1">
      <c r="B18" s="0" t="inlineStr">
        <is>
          <t xml:space="preserve">Include OBBBA mandatory (Sec. 20002(17)) in BC stream</t>
        </is>
      </c>
      <c r="C18" s="5">
        <v>1</v>
      </c>
    </row>
    <row r="21">
      <c r="A21" s="0" t="inlineStr">
        <is>
          <t xml:space="preserve">x</t>
        </is>
      </c>
      <c r="B21" s="9" t="inlineStr">
        <is>
          <t xml:space="preserve">§3 - AP/LLTM stream ($M, CY advance procurement)</t>
        </is>
      </c>
      <c r="C21" s="9"/>
      <c r="D21" s="9"/>
      <c r="E21" s="9"/>
      <c r="F21" s="9"/>
      <c r="G21" s="9"/>
      <c r="H21" s="9"/>
    </row>
    <row r="23">
      <c r="B23" s="2" t="inlineStr">
        <is>
          <t xml:space="preserve">Class</t>
        </is>
      </c>
      <c r="C23" s="22">
        <v>2022</v>
      </c>
      <c r="D23" s="22">
        <v>2023</v>
      </c>
      <c r="E23" s="22">
        <v>2024</v>
      </c>
      <c r="F23" s="22">
        <v>2025</v>
      </c>
      <c r="G23" s="22">
        <v>2026</v>
      </c>
      <c r="H23" s="22">
        <v>2027</v>
      </c>
    </row>
    <row r="24" outlineLevel="1">
      <c r="B24" s="1" t="inlineStr">
        <is>
          <t xml:space="preserve">DDG-51 (LI 2122), CY AP gross then-year $ (P-1)</t>
        </is>
      </c>
      <c r="C24" s="5">
        <v>0</v>
      </c>
      <c r="D24" s="5">
        <v>0</v>
      </c>
      <c r="E24" s="5">
        <v>0</v>
      </c>
      <c r="F24" s="5">
        <v>83.224</v>
      </c>
      <c r="G24" s="5">
        <v>1750.0</v>
      </c>
      <c r="H24" s="5">
        <v>0</v>
      </c>
    </row>
    <row r="25" outlineLevel="1">
      <c r="B25" s="0" t="inlineStr">
        <is>
          <t xml:space="preserve">of which Ship Construction EOQ, then-year $ (P-10)</t>
        </is>
      </c>
      <c r="C25" s="5">
        <v>0</v>
      </c>
      <c r="D25" s="5">
        <v>0</v>
      </c>
      <c r="E25" s="5">
        <v>0</v>
      </c>
      <c r="F25" s="5">
        <v>41.5</v>
      </c>
      <c r="G25" s="5">
        <v>1000.0</v>
      </c>
      <c r="H25" s="5">
        <v>0</v>
      </c>
    </row>
    <row r="26" outlineLevel="1">
      <c r="B26" s="1" t="inlineStr">
        <is>
          <t xml:space="preserve">Ship Construction EOQ, constant FY2026 $</t>
        </is>
      </c>
      <c r="C26" s="11">
        <f>C25*'Deflators'!D7</f>
      </c>
      <c r="D26" s="11">
        <f>D25*'Deflators'!D8</f>
      </c>
      <c r="E26" s="11">
        <f>E25*'Deflators'!D9</f>
      </c>
      <c r="F26" s="11">
        <f>F25*'Deflators'!D10</f>
      </c>
      <c r="G26" s="11">
        <f>G25*'Deflators'!D11</f>
      </c>
      <c r="H26" s="11">
        <f>H25*'Deflators'!D12</f>
      </c>
    </row>
    <row r="29">
      <c r="A29" s="0" t="inlineStr">
        <is>
          <t xml:space="preserve">x</t>
        </is>
      </c>
      <c r="B29" s="9" t="inlineStr">
        <is>
          <t xml:space="preserve">§4 - MYP masters (POP % as announced; FY23-27 $ reconstructed, FY18-22 $ as announced)</t>
        </is>
      </c>
      <c r="C29" s="9"/>
      <c r="D29" s="9"/>
      <c r="E29" s="9"/>
      <c r="F29" s="9"/>
      <c r="G29" s="9"/>
      <c r="H29" s="9"/>
    </row>
    <row r="31">
      <c r="B31" s="2" t="inlineStr">
        <is>
          <t xml:space="preserve">Master</t>
        </is>
      </c>
      <c r="C31" s="2" t="inlineStr">
        <is>
          <t xml:space="preserve">PIID</t>
        </is>
      </c>
      <c r="D31" s="22" t="inlineStr">
        <is>
          <t xml:space="preserve">Master $M</t>
        </is>
      </c>
      <c r="E31" s="22" t="inlineStr">
        <is>
          <t xml:space="preserve">BIW %</t>
        </is>
      </c>
      <c r="F31" s="22" t="inlineStr">
        <is>
          <t xml:space="preserve">Ingalls %</t>
        </is>
      </c>
      <c r="G31" s="22" t="inlineStr">
        <is>
          <t xml:space="preserve">Other-US %</t>
        </is>
      </c>
      <c r="H31" s="22" t="inlineStr">
        <is>
          <t xml:space="preserve">Foreign %</t>
        </is>
      </c>
    </row>
    <row r="32" outlineLevel="1">
      <c r="B32" s="1" t="inlineStr">
        <is>
          <t xml:space="preserve">BIW FY23-27 MYP master</t>
        </is>
      </c>
      <c r="C32" s="0" t="inlineStr">
        <is>
          <t xml:space="preserve">N00024-23-C-2305</t>
        </is>
      </c>
      <c r="D32" s="5">
        <v>6400</v>
      </c>
      <c r="E32" s="7">
        <v>0.69</v>
      </c>
      <c r="F32" s="7">
        <v>0.0</v>
      </c>
      <c r="G32" s="7">
        <v>0.31</v>
      </c>
      <c r="H32" s="7">
        <v>0.0</v>
      </c>
    </row>
    <row r="33" outlineLevel="1">
      <c r="B33" s="1" t="inlineStr">
        <is>
          <t xml:space="preserve">Ingalls FY23-27 MYP master</t>
        </is>
      </c>
      <c r="C33" s="0" t="inlineStr">
        <is>
          <t xml:space="preserve">N00024-23-C-2307</t>
        </is>
      </c>
      <c r="D33" s="5">
        <v>8180</v>
      </c>
      <c r="E33" s="7">
        <v>0.0</v>
      </c>
      <c r="F33" s="7">
        <v>0.77</v>
      </c>
      <c r="G33" s="7">
        <v>0.23</v>
      </c>
      <c r="H33" s="7">
        <v>0.0</v>
      </c>
    </row>
    <row r="34" outlineLevel="1">
      <c r="B34" s="1" t="inlineStr">
        <is>
          <t xml:space="preserve">BIW FY18-22 MYP master</t>
        </is>
      </c>
      <c r="C34" s="0" t="inlineStr">
        <is>
          <t xml:space="preserve">N00024-18-C-2305</t>
        </is>
      </c>
      <c r="D34" s="5">
        <v>3904.736</v>
      </c>
      <c r="E34" s="7">
        <v>0.61</v>
      </c>
      <c r="F34" s="7">
        <v>0.0</v>
      </c>
      <c r="G34" s="7">
        <v>0.39</v>
      </c>
      <c r="H34" s="7">
        <v>0.0</v>
      </c>
    </row>
    <row r="35" outlineLevel="1">
      <c r="B35" s="1" t="inlineStr">
        <is>
          <t xml:space="preserve">Ingalls FY18-22 MYP master</t>
        </is>
      </c>
      <c r="C35" s="0" t="inlineStr">
        <is>
          <t xml:space="preserve">N00024-18-C-2307</t>
        </is>
      </c>
      <c r="D35" s="5">
        <v>5104.669</v>
      </c>
      <c r="E35" s="7">
        <v>0.0</v>
      </c>
      <c r="F35" s="7">
        <v>0.91</v>
      </c>
      <c r="G35" s="7">
        <v>0.09</v>
      </c>
      <c r="H35" s="7">
        <v>0.0</v>
      </c>
    </row>
    <row r="38">
      <c r="A38" s="0" t="inlineStr">
        <is>
          <t xml:space="preserve">x</t>
        </is>
      </c>
      <c r="B38" s="9" t="inlineStr">
        <is>
          <t xml:space="preserve">§5 - AP/LLTM classification knobs</t>
        </is>
      </c>
      <c r="C38" s="9"/>
      <c r="D38" s="9"/>
      <c r="E38" s="9"/>
      <c r="F38" s="9"/>
      <c r="G38" s="9"/>
      <c r="H38" s="9"/>
    </row>
    <row r="40">
      <c r="B40" s="2" t="inlineStr">
        <is>
          <t xml:space="preserve">Knob</t>
        </is>
      </c>
      <c r="C40" s="22" t="inlineStr">
        <is>
          <t xml:space="preserve">Value</t>
        </is>
      </c>
    </row>
    <row r="41" outlineLevel="1">
      <c r="B41" s="0" t="inlineStr">
        <is>
          <t xml:space="preserve">AP/LLTM supplier coefficient</t>
        </is>
      </c>
      <c r="C41" s="7">
        <v>1.0</v>
      </c>
    </row>
    <row r="42" outlineLevel="1">
      <c r="B42" s="0" t="inlineStr">
        <is>
          <t xml:space="preserve">OBBBA BC share of award (BC vs GFE)</t>
        </is>
      </c>
      <c r="C42" s="7">
        <v>0.628</v>
      </c>
    </row>
    <row r="45">
      <c r="A45" s="0" t="inlineStr">
        <is>
          <t xml:space="preserve">x</t>
        </is>
      </c>
      <c r="B45" s="9" t="inlineStr">
        <is>
          <t xml:space="preserve">§6 - Outlook outyear penetration bounds</t>
        </is>
      </c>
      <c r="C45" s="9"/>
      <c r="D45" s="9"/>
      <c r="E45" s="9"/>
      <c r="F45" s="9"/>
      <c r="G45" s="9"/>
      <c r="H45" s="9"/>
    </row>
    <row r="47">
      <c r="B47" s="2" t="inlineStr">
        <is>
          <t xml:space="preserve">Knob</t>
        </is>
      </c>
      <c r="C47" s="22" t="inlineStr">
        <is>
          <t xml:space="preserve">Value</t>
        </is>
      </c>
    </row>
    <row r="48" outlineLevel="1">
      <c r="B48" s="0" t="inlineStr">
        <is>
          <t xml:space="preserve">Outsourcing intent uplift vs FY22-25 average</t>
        </is>
      </c>
      <c r="C48" s="7">
        <v>0.3</v>
      </c>
    </row>
  </sheetData>
  <dataValidations count="4">
    <dataValidation type="whole" operator="between" allowBlank="1" showErrorMessage="1" sqref="C16:C18">
      <formula1>0</formula1>
      <formula2>1</formula2>
    </dataValidation>
    <dataValidation type="decimal" operator="between" allowBlank="1" showErrorMessage="1" sqref="E32:H35">
      <formula1>0</formula1>
      <formula2>1</formula2>
    </dataValidation>
    <dataValidation type="decimal" operator="between" allowBlank="1" showErrorMessage="1" sqref="C41:C42">
      <formula1>0</formula1>
      <formula2>1</formula2>
    </dataValidation>
    <dataValidation type="decimal" operator="between" allowBlank="1" showErrorMessage="1" sqref="C48">
      <formula1>0</formula1>
      <formula2>1</formula2>
    </dataValidation>
  </dataValidations>
  <legacyDrawing r:id="rId2"/>
</worksheet>
</file>

<file path=xl/worksheets/sheet9.xml><?xml version="1.0" encoding="utf-8"?>
<worksheet xmlns="http://schemas.openxmlformats.org/spreadsheetml/2006/main" xmlns:r="http://schemas.openxmlformats.org/officeDocument/2006/relationships">
  <sheetPr>
    <tabColor rgb="FFB8860B"/>
    <outlinePr summaryBelow="0"/>
  </sheetPr>
  <sheetViews>
    <sheetView showGridLines="0" workbookViewId="0" showOutlineSymbols="0"/>
  </sheetViews>
  <sheetFormatPr defaultRowHeight="10" customHeight="1"/>
  <cols>
    <col min="1" max="1" width="2.2109375" customWidth="1"/>
    <col min="2" max="2" width="52" customWidth="1"/>
    <col min="3" max="3" width="13" customWidth="1"/>
    <col min="4" max="4" width="13" customWidth="1"/>
    <col min="5" max="5" width="13" customWidth="1"/>
  </cols>
  <sheetData>
    <row r="1"/>
    <row r="2">
      <c r="B2" s="8" t="inlineStr">
        <is>
          <t xml:space="preserve">Ceiling Assumptions</t>
        </is>
      </c>
      <c r="C2" s="8"/>
      <c r="D2" s="8"/>
      <c r="E2" s="8"/>
    </row>
    <row r="4">
      <c r="A4" s="0" t="inlineStr">
        <is>
          <t xml:space="preserve">x</t>
        </is>
      </c>
      <c r="B4" s="9" t="inlineStr">
        <is>
          <t xml:space="preserve">§1 - Run settings</t>
        </is>
      </c>
      <c r="C4" s="9"/>
      <c r="D4" s="9"/>
      <c r="E4" s="9"/>
    </row>
    <row r="6">
      <c r="B6" s="2" t="inlineStr">
        <is>
          <t xml:space="preserve">Setting</t>
        </is>
      </c>
      <c r="C6" s="2" t="inlineStr">
        <is>
          <t xml:space="preserve">Value</t>
        </is>
      </c>
    </row>
    <row r="7" outlineLevel="1">
      <c r="B7" s="0" t="inlineStr">
        <is>
          <t xml:space="preserve">Program scope</t>
        </is>
      </c>
      <c r="C7" s="0" t="inlineStr">
        <is>
          <t xml:space="preserve">Virginia, Columbia, DDG-51</t>
        </is>
      </c>
    </row>
    <row r="8" outlineLevel="1">
      <c r="B8" s="0" t="inlineStr">
        <is>
          <t xml:space="preserve">FY window</t>
        </is>
      </c>
      <c r="C8" s="0" t="inlineStr">
        <is>
          <t xml:space="preserve">FY2022-2027</t>
        </is>
      </c>
    </row>
    <row r="9" outlineLevel="1">
      <c r="B9" s="0" t="inlineStr">
        <is>
          <t xml:space="preserve">Units</t>
        </is>
      </c>
      <c r="C9" s="0" t="inlineStr">
        <is>
          <t xml:space="preserve">Then-year $M (P-5c as reported); ratios unit-invariant</t>
        </is>
      </c>
    </row>
    <row r="10" outlineLevel="1">
      <c r="B10" s="0" t="inlineStr">
        <is>
          <t xml:space="preserve">Lead frame</t>
        </is>
      </c>
      <c r="C10" s="0" t="inlineStr">
        <is>
          <t xml:space="preserve">POP / distributed (make/buy = reference footnote)</t>
        </is>
      </c>
    </row>
    <row r="13">
      <c r="A13" s="0" t="inlineStr">
        <is>
          <t xml:space="preserve">x</t>
        </is>
      </c>
      <c r="B13" s="9" t="inlineStr">
        <is>
          <t xml:space="preserve">§2 - Core parameters (share of Basic Construction)</t>
        </is>
      </c>
      <c r="C13" s="9"/>
      <c r="D13" s="9"/>
      <c r="E13" s="9"/>
    </row>
    <row r="15">
      <c r="B15" s="2" t="inlineStr">
        <is>
          <t xml:space="preserve">Parameter</t>
        </is>
      </c>
      <c r="C15" s="22" t="inlineStr">
        <is>
          <t xml:space="preserve">Virginia</t>
        </is>
      </c>
      <c r="D15" s="22" t="inlineStr">
        <is>
          <t xml:space="preserve">Columbia</t>
        </is>
      </c>
      <c r="E15" s="22" t="inlineStr">
        <is>
          <t xml:space="preserve">DDG-51</t>
        </is>
      </c>
    </row>
    <row r="16" outlineLevel="1">
      <c r="B16" s="0" t="inlineStr">
        <is>
          <t xml:space="preserve">h - outsourceable labor-hour share</t>
        </is>
      </c>
      <c r="C16" s="7">
        <v>0.5</v>
      </c>
      <c r="D16" s="7">
        <v>0.5</v>
      </c>
      <c r="E16" s="7">
        <v>0.55</v>
      </c>
    </row>
    <row r="17" outlineLevel="1">
      <c r="B17" s="0" t="inlineStr">
        <is>
          <t xml:space="preserve">L - shipyard labor share of BC</t>
        </is>
      </c>
      <c r="C17" s="7">
        <v>0.5</v>
      </c>
      <c r="D17" s="7">
        <v>0.5</v>
      </c>
      <c r="E17" s="7">
        <v>0.45</v>
      </c>
    </row>
    <row r="19">
      <c r="B19" s="2" t="inlineStr">
        <is>
          <t xml:space="preserve">Selected material pass-through</t>
        </is>
      </c>
      <c r="C19" s="22" t="inlineStr">
        <is>
          <t xml:space="preserve">Value</t>
        </is>
      </c>
    </row>
    <row r="20" outlineLevel="1">
      <c r="B20" s="0" t="inlineStr">
        <is>
          <t xml:space="preserve">p - pass-through material in outsourced packages</t>
        </is>
      </c>
      <c r="C20" s="7">
        <v>0.5</v>
      </c>
    </row>
    <row r="22">
      <c r="B22" s="2" t="inlineStr">
        <is>
          <t xml:space="preserve">L rebase: 40% of total cost to share of BC</t>
        </is>
      </c>
      <c r="C22" s="22" t="inlineStr">
        <is>
          <t xml:space="preserve">Value</t>
        </is>
      </c>
    </row>
    <row r="23" outlineLevel="1">
      <c r="B23" s="0" t="inlineStr">
        <is>
          <t xml:space="preserve">Labor share of total ship cost (CRS/CBO, A2/A3)</t>
        </is>
      </c>
      <c r="C23" s="6">
        <v>0.4</v>
      </c>
    </row>
    <row r="24" outlineLevel="1">
      <c r="B24" s="0" t="inlineStr">
        <is>
          <t xml:space="preserve">Portfolio BC / total ship cost (Cost Base)</t>
        </is>
      </c>
      <c r="C24" s="6">
        <f>(SUMIF('Cost Base'!$B$7:$B$21,"Virginia",'Cost Base'!$D$7:$D$21)+SUMIF('Cost Base'!$B$7:$B$21,"Columbia",'Cost Base'!$D$7:$D$21)+SUMIF('Cost Base'!$B$7:$B$21,"DDG-51",'Cost Base'!$D$7:$D$21))/(SUMIF('Cost Base'!$B$7:$B$21,"Virginia",'Cost Base'!$F$7:$F$21)+SUMIF('Cost Base'!$B$7:$B$21,"Columbia",'Cost Base'!$F$7:$F$21)+SUMIF('Cost Base'!$B$7:$B$21,"DDG-51",'Cost Base'!$F$7:$F$21))</f>
      </c>
    </row>
    <row r="25" outlineLevel="1">
      <c r="B25" s="0" t="inlineStr">
        <is>
          <t xml:space="preserve">Implied L of BC if all labor sat in BC</t>
        </is>
      </c>
      <c r="C25" s="6">
        <f>C23/C24</f>
      </c>
    </row>
    <row r="26" outlineLevel="1">
      <c r="B26" s="0" t="inlineStr">
        <is>
          <t xml:space="preserve">Selected L of BC: subs 50% / DDG 45% (see L above)</t>
        </is>
      </c>
    </row>
    <row r="29">
      <c r="A29" s="0" t="inlineStr">
        <is>
          <t xml:space="preserve">x</t>
        </is>
      </c>
      <c r="B29" s="9" t="inlineStr">
        <is>
          <t xml:space="preserve">§3 - Current-state anchors (reference)</t>
        </is>
      </c>
      <c r="C29" s="9"/>
      <c r="D29" s="9"/>
      <c r="E29" s="9"/>
    </row>
    <row r="31">
      <c r="B31" s="2" t="inlineStr">
        <is>
          <t xml:space="preserve">Anchor</t>
        </is>
      </c>
      <c r="C31" s="22" t="inlineStr">
        <is>
          <t xml:space="preserve">Virginia</t>
        </is>
      </c>
      <c r="D31" s="22" t="inlineStr">
        <is>
          <t xml:space="preserve">Columbia</t>
        </is>
      </c>
      <c r="E31" s="22" t="inlineStr">
        <is>
          <t xml:space="preserve">DDG-51</t>
        </is>
      </c>
    </row>
    <row r="32" outlineLevel="1">
      <c r="B32" s="0" t="inlineStr">
        <is>
          <t xml:space="preserve">Current off-team work (announced POP)</t>
        </is>
      </c>
      <c r="C32" s="7">
        <v>0.34</v>
      </c>
      <c r="D32" s="7">
        <v>0.22</v>
      </c>
      <c r="E32" s="7">
        <v>0.13</v>
      </c>
    </row>
    <row r="34">
      <c r="B34" s="2" t="inlineStr">
        <is>
          <t xml:space="preserve">Make/buy bought-out band (share of BC, all classes)</t>
        </is>
      </c>
      <c r="C34" s="22" t="inlineStr">
        <is>
          <t xml:space="preserve">Value</t>
        </is>
      </c>
    </row>
    <row r="35" outlineLevel="1">
      <c r="B35" s="0" t="inlineStr">
        <is>
          <t xml:space="preserve">Low</t>
        </is>
      </c>
      <c r="C35" s="7">
        <v>0.5</v>
      </c>
    </row>
    <row r="36" outlineLevel="1">
      <c r="B36" s="0" t="inlineStr">
        <is>
          <t xml:space="preserve">Mid</t>
        </is>
      </c>
      <c r="C36" s="7">
        <v>0.6</v>
      </c>
    </row>
    <row r="37" outlineLevel="1">
      <c r="B37" s="0" t="inlineStr">
        <is>
          <t xml:space="preserve">High</t>
        </is>
      </c>
      <c r="C37" s="7">
        <v>0.65</v>
      </c>
    </row>
  </sheetData>
  <dataValidations count="4">
    <dataValidation type="decimal" operator="between" allowBlank="1" showErrorMessage="1" sqref="C16:E17">
      <formula1>0</formula1>
      <formula2>1</formula2>
    </dataValidation>
    <dataValidation type="decimal" operator="between" allowBlank="1" showErrorMessage="1" sqref="C20">
      <formula1>0</formula1>
      <formula2>1</formula2>
    </dataValidation>
    <dataValidation type="decimal" operator="between" allowBlank="1" showErrorMessage="1" sqref="C32:E32">
      <formula1>0</formula1>
      <formula2>1</formula2>
    </dataValidation>
    <dataValidation type="decimal" operator="between" allowBlank="1" showErrorMessage="1" sqref="C35:C37">
      <formula1>0</formula1>
      <formula2>1</formula2>
    </dataValidation>
  </dataValidations>
  <legacyDrawing r:id="rId2"/>
</worksheet>
</file>

<file path=xl/worksheets/sheet10.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0" customWidth="1"/>
    <col min="3" max="3" width="12" customWidth="1"/>
    <col min="4" max="4" width="14" customWidth="1"/>
    <col min="5" max="5" width="12" customWidth="1"/>
    <col min="6" max="6" width="12" customWidth="1"/>
    <col min="7" max="7" width="12" customWidth="1"/>
    <col min="8" max="8" width="12" customWidth="1"/>
  </cols>
  <sheetData>
    <row r="1"/>
    <row r="2">
      <c r="B2" s="8" t="inlineStr">
        <is>
          <t xml:space="preserve">TAM Build</t>
        </is>
      </c>
      <c r="C2" s="8"/>
      <c r="D2" s="8"/>
      <c r="E2" s="8"/>
      <c r="F2" s="8"/>
      <c r="G2" s="8"/>
      <c r="H2" s="8"/>
    </row>
    <row r="4">
      <c r="B4" s="9" t="inlineStr">
        <is>
          <t xml:space="preserve">§1 - Headline TAM</t>
        </is>
      </c>
      <c r="C4" s="9"/>
      <c r="D4" s="9"/>
      <c r="E4" s="9"/>
      <c r="F4" s="9"/>
      <c r="G4" s="9"/>
      <c r="H4" s="9"/>
    </row>
    <row r="6">
      <c r="B6" s="2" t="inlineStr">
        <is>
          <t xml:space="preserve">Measure</t>
        </is>
      </c>
      <c r="C6" s="22" t="inlineStr">
        <is>
          <t xml:space="preserve">Value</t>
        </is>
      </c>
    </row>
    <row r="7">
      <c r="B7" s="1" t="inlineStr">
        <is>
          <t xml:space="preserve">Cumulative portfolio TAM (FY22-27)</t>
        </is>
      </c>
      <c r="C7" s="4">
        <f>'Sub TAM Build'!C141</f>
      </c>
    </row>
    <row r="8">
      <c r="B8" s="1" t="inlineStr">
        <is>
          <t xml:space="preserve">Average annual portfolio TAM</t>
        </is>
      </c>
      <c r="C8" s="4">
        <f>'Sub TAM Build'!C143</f>
      </c>
    </row>
    <row r="9">
      <c r="B9" s="0" t="inlineStr">
        <is>
          <t xml:space="preserve">incl. OBBBA mandatory TAM (Sec. 20002(16))</t>
        </is>
      </c>
      <c r="C9" s="4">
        <f>'Sub TAM Build'!C146</f>
      </c>
    </row>
    <row r="10">
      <c r="B10" s="0" t="inlineStr">
        <is>
          <t xml:space="preserve">Virginia BC coefficient (Block V announced POP)</t>
        </is>
      </c>
      <c r="C10" s="6">
        <f>'Sub TAM Build'!C62</f>
      </c>
    </row>
    <row r="11">
      <c r="B11" s="0" t="inlineStr">
        <is>
          <t xml:space="preserve">Columbia BC coefficient (Build I announced POP)</t>
        </is>
      </c>
      <c r="C11" s="6">
        <f>'Sub TAM Build'!C63</f>
      </c>
    </row>
    <row r="12">
      <c r="B12" s="0" t="inlineStr">
        <is>
          <t xml:space="preserve">AP/LLTM reference coefficient</t>
        </is>
      </c>
      <c r="C12" s="6">
        <f>'Sub TAM Build'!C65</f>
      </c>
    </row>
    <row r="15">
      <c r="A15" s="0" t="inlineStr">
        <is>
          <t xml:space="preserve">x</t>
        </is>
      </c>
      <c r="B15" s="9" t="inlineStr">
        <is>
          <t xml:space="preserve">§2 - Budget normalized (TAM stream bases per class/FY)</t>
        </is>
      </c>
      <c r="C15" s="9"/>
      <c r="D15" s="9"/>
      <c r="E15" s="9"/>
      <c r="F15" s="9"/>
      <c r="G15" s="9"/>
      <c r="H15" s="9"/>
    </row>
    <row r="17">
      <c r="A17" s="0" t="inlineStr">
        <is>
          <t xml:space="preserve">x</t>
        </is>
      </c>
      <c r="B17" s="10" t="inlineStr">
        <is>
          <t xml:space="preserve">§2a - Applied stream toggles (1 = include)</t>
        </is>
      </c>
      <c r="C17" s="10"/>
      <c r="D17" s="10"/>
      <c r="E17" s="10"/>
      <c r="F17" s="10"/>
      <c r="G17" s="10"/>
      <c r="H17" s="10"/>
    </row>
    <row r="19">
      <c r="B19" s="2" t="inlineStr">
        <is>
          <t xml:space="preserve">Toggle</t>
        </is>
      </c>
      <c r="C19" s="22" t="inlineStr">
        <is>
          <t xml:space="preserve">Value</t>
        </is>
      </c>
    </row>
    <row r="20" outlineLevel="1">
      <c r="B20" s="0" t="inlineStr">
        <is>
          <t xml:space="preserve">Include BC stream</t>
        </is>
      </c>
      <c r="C20" s="11">
        <f>'Sub Assumptions'!C16</f>
      </c>
    </row>
    <row r="21" outlineLevel="1">
      <c r="B21" s="0" t="inlineStr">
        <is>
          <t xml:space="preserve">Include AP/LLTM stream</t>
        </is>
      </c>
      <c r="C21" s="11">
        <f>'Sub Assumptions'!C17</f>
      </c>
    </row>
    <row r="22" outlineLevel="1">
      <c r="B22" s="0" t="inlineStr">
        <is>
          <t xml:space="preserve">Include OBBBA mandatory (Sec. 20002(16))</t>
        </is>
      </c>
      <c r="C22" s="11">
        <f>'Sub Assumptions'!C18</f>
      </c>
    </row>
    <row r="24">
      <c r="A24" s="0" t="inlineStr">
        <is>
          <t xml:space="preserve">x</t>
        </is>
      </c>
      <c r="B24" s="10" t="inlineStr">
        <is>
          <t xml:space="preserve">§2b - Virginia (LI 2013) stream bases ($M, FY22-27)</t>
        </is>
      </c>
      <c r="C24" s="10"/>
      <c r="D24" s="10"/>
      <c r="E24" s="10"/>
      <c r="F24" s="10"/>
      <c r="G24" s="10"/>
      <c r="H24" s="10"/>
    </row>
    <row r="26">
      <c r="B26" s="2" t="inlineStr">
        <is>
          <t xml:space="preserve">Metric</t>
        </is>
      </c>
      <c r="C26" s="22">
        <v>2022</v>
      </c>
      <c r="D26" s="22">
        <v>2023</v>
      </c>
      <c r="E26" s="22">
        <v>2024</v>
      </c>
      <c r="F26" s="22">
        <v>2025</v>
      </c>
      <c r="G26" s="22">
        <v>2026</v>
      </c>
      <c r="H26" s="22">
        <v>2027</v>
      </c>
    </row>
    <row r="27" outlineLevel="1">
      <c r="B27" s="1" t="inlineStr">
        <is>
          <t xml:space="preserve">BC base (P-5c Basic Construction)</t>
        </is>
      </c>
      <c r="C27" s="11">
        <f>'Sub SCN Budget'!C54</f>
      </c>
      <c r="D27" s="11">
        <f>'Sub SCN Budget'!D54</f>
      </c>
      <c r="E27" s="11">
        <f>'Sub SCN Budget'!E54</f>
      </c>
      <c r="F27" s="11">
        <f>'Sub SCN Budget'!F54</f>
      </c>
      <c r="G27" s="11">
        <f>'Sub SCN Budget'!G54</f>
      </c>
      <c r="H27" s="11">
        <f>'Sub SCN Budget'!H54</f>
      </c>
    </row>
    <row r="28" outlineLevel="1">
      <c r="B28" s="1" t="inlineStr">
        <is>
          <t xml:space="preserve">AP/LLTM base (P-10, confirmed 0)</t>
        </is>
      </c>
      <c r="C28" s="11">
        <f>'Sub Assumptions'!C32</f>
      </c>
      <c r="D28" s="11">
        <f>'Sub Assumptions'!D32</f>
      </c>
      <c r="E28" s="11">
        <f>'Sub Assumptions'!E32</f>
      </c>
      <c r="F28" s="11">
        <f>'Sub Assumptions'!F32</f>
      </c>
      <c r="G28" s="11">
        <f>'Sub Assumptions'!G32</f>
      </c>
      <c r="H28" s="11">
        <f>'Sub Assumptions'!H32</f>
      </c>
    </row>
    <row r="29" outlineLevel="1">
      <c r="B29" s="0" t="inlineStr">
        <is>
          <t xml:space="preserve">Less: prior-yr AP credit</t>
        </is>
      </c>
      <c r="C29" s="5">
        <v>0</v>
      </c>
      <c r="D29" s="5">
        <v>0</v>
      </c>
      <c r="E29" s="5">
        <v>0</v>
      </c>
      <c r="F29" s="5">
        <v>0</v>
      </c>
      <c r="G29" s="5">
        <v>0</v>
      </c>
      <c r="H29" s="5">
        <v>0</v>
      </c>
    </row>
    <row r="30" outlineLevel="1">
      <c r="B30" s="1" t="inlineStr">
        <is>
          <t xml:space="preserve">OBBBA mandatory BC base (Sec. 20002(16))</t>
        </is>
      </c>
      <c r="C30" s="11">
        <f>'Sub OBBBA Mandatory'!C43</f>
      </c>
      <c r="D30" s="11">
        <f>'Sub OBBBA Mandatory'!D43</f>
      </c>
      <c r="E30" s="11">
        <f>'Sub OBBBA Mandatory'!E43</f>
      </c>
      <c r="F30" s="11">
        <f>'Sub OBBBA Mandatory'!F43</f>
      </c>
      <c r="G30" s="11">
        <f>'Sub OBBBA Mandatory'!G43</f>
      </c>
      <c r="H30" s="11">
        <f>'Sub OBBBA Mandatory'!H43</f>
      </c>
    </row>
    <row r="31" outlineLevel="1">
      <c r="B31" s="0" t="inlineStr">
        <is>
          <t xml:space="preserve">BC base in TAM</t>
        </is>
      </c>
      <c r="C31" s="4">
        <f>IF(C27=0,"",'Sub Assumptions'!C16*C27)</f>
      </c>
      <c r="D31" s="4">
        <f>IF(D27=0,"",'Sub Assumptions'!C16*D27)</f>
      </c>
      <c r="E31" s="4">
        <f>IF(E27=0,"",'Sub Assumptions'!C16*E27)</f>
      </c>
      <c r="F31" s="4">
        <f>IF(F27=0,"",'Sub Assumptions'!C16*F27)</f>
      </c>
      <c r="G31" s="4">
        <f>IF(G27=0,"",'Sub Assumptions'!C16*G27)</f>
      </c>
      <c r="H31" s="4">
        <f>IF(H27=0,"",'Sub Assumptions'!C16*H27)</f>
      </c>
    </row>
    <row r="32" outlineLevel="1">
      <c r="B32" s="0" t="inlineStr">
        <is>
          <t xml:space="preserve">AP/LLTM base in TAM</t>
        </is>
      </c>
      <c r="C32" s="4">
        <f>IF(C28=0,"",'Sub Assumptions'!C17*(C28-C29))</f>
      </c>
      <c r="D32" s="4">
        <f>IF(D28=0,"",'Sub Assumptions'!C17*(D28-D29))</f>
      </c>
      <c r="E32" s="4">
        <f>IF(E28=0,"",'Sub Assumptions'!C17*(E28-E29))</f>
      </c>
      <c r="F32" s="4">
        <f>IF(F28=0,"",'Sub Assumptions'!C17*(F28-F29))</f>
      </c>
      <c r="G32" s="4">
        <f>IF(G28=0,"",'Sub Assumptions'!C17*(G28-G29))</f>
      </c>
      <c r="H32" s="4">
        <f>IF(H28=0,"",'Sub Assumptions'!C17*(H28-H29))</f>
      </c>
    </row>
    <row r="33" outlineLevel="1">
      <c r="B33" s="0" t="inlineStr">
        <is>
          <t xml:space="preserve">OBBBA base in TAM</t>
        </is>
      </c>
      <c r="C33" s="4">
        <f>IF(N(C30)=0,"",'Sub Assumptions'!C18*C30)</f>
      </c>
      <c r="D33" s="4">
        <f>IF(N(D30)=0,"",'Sub Assumptions'!C18*D30)</f>
      </c>
      <c r="E33" s="4">
        <f>IF(N(E30)=0,"",'Sub Assumptions'!C18*E30)</f>
      </c>
      <c r="F33" s="4">
        <f>IF(N(F30)=0,"",'Sub Assumptions'!C18*F30)</f>
      </c>
      <c r="G33" s="4">
        <f>IF(N(G30)=0,"",'Sub Assumptions'!C18*G30)</f>
      </c>
      <c r="H33" s="4">
        <f>IF(N(H30)=0,"",'Sub Assumptions'!C18*H30)</f>
      </c>
    </row>
    <row r="34" outlineLevel="1">
      <c r="B34" s="1" t="inlineStr">
        <is>
          <t xml:space="preserve">TAM base (BC + AP/LLTM + OBBBA)</t>
        </is>
      </c>
      <c r="C34" s="4">
        <f>N(C31)+N(C32)+N(C33)</f>
      </c>
      <c r="D34" s="4">
        <f>N(D31)+N(D32)+N(D33)</f>
      </c>
      <c r="E34" s="4">
        <f>N(E31)+N(E32)+N(E33)</f>
      </c>
      <c r="F34" s="4">
        <f>N(F31)+N(F32)+N(F33)</f>
      </c>
      <c r="G34" s="4">
        <f>N(G31)+N(G32)+N(G33)</f>
      </c>
      <c r="H34" s="4">
        <f>N(H31)+N(H32)+N(H33)</f>
      </c>
    </row>
    <row r="36">
      <c r="A36" s="0" t="inlineStr">
        <is>
          <t xml:space="preserve">x</t>
        </is>
      </c>
      <c r="B36" s="10" t="inlineStr">
        <is>
          <t xml:space="preserve">§2c - Columbia (LI 1045) stream bases ($M, FY22-27)</t>
        </is>
      </c>
      <c r="C36" s="10"/>
      <c r="D36" s="10"/>
      <c r="E36" s="10"/>
      <c r="F36" s="10"/>
      <c r="G36" s="10"/>
      <c r="H36" s="10"/>
    </row>
    <row r="38">
      <c r="B38" s="2" t="inlineStr">
        <is>
          <t xml:space="preserve">Metric</t>
        </is>
      </c>
      <c r="C38" s="22">
        <v>2022</v>
      </c>
      <c r="D38" s="22">
        <v>2023</v>
      </c>
      <c r="E38" s="22">
        <v>2024</v>
      </c>
      <c r="F38" s="22">
        <v>2025</v>
      </c>
      <c r="G38" s="22">
        <v>2026</v>
      </c>
      <c r="H38" s="22">
        <v>2027</v>
      </c>
    </row>
    <row r="39" outlineLevel="1">
      <c r="B39" s="1" t="inlineStr">
        <is>
          <t xml:space="preserve">BC base (P-5c Basic Construction)</t>
        </is>
      </c>
      <c r="C39" s="11">
        <f>'Sub SCN Budget'!C96</f>
      </c>
      <c r="D39" s="11">
        <f>'Sub SCN Budget'!D96</f>
      </c>
      <c r="E39" s="11">
        <f>'Sub SCN Budget'!E96</f>
      </c>
      <c r="F39" s="11">
        <f>'Sub SCN Budget'!F96</f>
      </c>
      <c r="G39" s="11">
        <f>'Sub SCN Budget'!G96</f>
      </c>
      <c r="H39" s="11">
        <f>'Sub SCN Budget'!H96</f>
      </c>
    </row>
    <row r="40" outlineLevel="1">
      <c r="B40" s="1" t="inlineStr">
        <is>
          <t xml:space="preserve">AP/LLTM base (P-10, confirmed 0)</t>
        </is>
      </c>
      <c r="C40" s="11">
        <f>'Sub Assumptions'!C33</f>
      </c>
      <c r="D40" s="11">
        <f>'Sub Assumptions'!D33</f>
      </c>
      <c r="E40" s="11">
        <f>'Sub Assumptions'!E33</f>
      </c>
      <c r="F40" s="11">
        <f>'Sub Assumptions'!F33</f>
      </c>
      <c r="G40" s="11">
        <f>'Sub Assumptions'!G33</f>
      </c>
      <c r="H40" s="11">
        <f>'Sub Assumptions'!H33</f>
      </c>
    </row>
    <row r="41" outlineLevel="1">
      <c r="B41" s="0" t="inlineStr">
        <is>
          <t xml:space="preserve">Less: prior-yr AP credit</t>
        </is>
      </c>
      <c r="C41" s="5">
        <v>0</v>
      </c>
      <c r="D41" s="5">
        <v>0</v>
      </c>
      <c r="E41" s="5">
        <v>0</v>
      </c>
      <c r="F41" s="5">
        <v>0</v>
      </c>
      <c r="G41" s="5">
        <v>0</v>
      </c>
      <c r="H41" s="5">
        <v>0</v>
      </c>
    </row>
    <row r="42" outlineLevel="1">
      <c r="B42" s="1" t="inlineStr">
        <is>
          <t xml:space="preserve">OBBBA mandatory BC base (Sec. 20002(16))</t>
        </is>
      </c>
      <c r="C42" s="11">
        <f>'Sub OBBBA Mandatory'!C44</f>
      </c>
      <c r="D42" s="11">
        <f>'Sub OBBBA Mandatory'!D44</f>
      </c>
      <c r="E42" s="11">
        <f>'Sub OBBBA Mandatory'!E44</f>
      </c>
      <c r="F42" s="11">
        <f>'Sub OBBBA Mandatory'!F44</f>
      </c>
      <c r="G42" s="11">
        <f>'Sub OBBBA Mandatory'!G44</f>
      </c>
      <c r="H42" s="11">
        <f>'Sub OBBBA Mandatory'!H44</f>
      </c>
    </row>
    <row r="43" outlineLevel="1">
      <c r="B43" s="0" t="inlineStr">
        <is>
          <t xml:space="preserve">BC base in TAM</t>
        </is>
      </c>
      <c r="C43" s="4">
        <f>IF(C39=0,"",'Sub Assumptions'!C16*C39)</f>
      </c>
      <c r="D43" s="4">
        <f>IF(D39=0,"",'Sub Assumptions'!C16*D39)</f>
      </c>
      <c r="E43" s="4">
        <f>IF(E39=0,"",'Sub Assumptions'!C16*E39)</f>
      </c>
      <c r="F43" s="4">
        <f>IF(F39=0,"",'Sub Assumptions'!C16*F39)</f>
      </c>
      <c r="G43" s="4">
        <f>IF(G39=0,"",'Sub Assumptions'!C16*G39)</f>
      </c>
      <c r="H43" s="4">
        <f>IF(H39=0,"",'Sub Assumptions'!C16*H39)</f>
      </c>
    </row>
    <row r="44" outlineLevel="1">
      <c r="B44" s="0" t="inlineStr">
        <is>
          <t xml:space="preserve">AP/LLTM base in TAM</t>
        </is>
      </c>
      <c r="C44" s="4">
        <f>IF(C40=0,"",'Sub Assumptions'!C17*(C40-C41))</f>
      </c>
      <c r="D44" s="4">
        <f>IF(D40=0,"",'Sub Assumptions'!C17*(D40-D41))</f>
      </c>
      <c r="E44" s="4">
        <f>IF(E40=0,"",'Sub Assumptions'!C17*(E40-E41))</f>
      </c>
      <c r="F44" s="4">
        <f>IF(F40=0,"",'Sub Assumptions'!C17*(F40-F41))</f>
      </c>
      <c r="G44" s="4">
        <f>IF(G40=0,"",'Sub Assumptions'!C17*(G40-G41))</f>
      </c>
      <c r="H44" s="4">
        <f>IF(H40=0,"",'Sub Assumptions'!C17*(H40-H41))</f>
      </c>
    </row>
    <row r="45" outlineLevel="1">
      <c r="B45" s="0" t="inlineStr">
        <is>
          <t xml:space="preserve">OBBBA base in TAM</t>
        </is>
      </c>
      <c r="C45" s="4">
        <f>IF(N(C42)=0,"",'Sub Assumptions'!C18*C42)</f>
      </c>
      <c r="D45" s="4">
        <f>IF(N(D42)=0,"",'Sub Assumptions'!C18*D42)</f>
      </c>
      <c r="E45" s="4">
        <f>IF(N(E42)=0,"",'Sub Assumptions'!C18*E42)</f>
      </c>
      <c r="F45" s="4">
        <f>IF(N(F42)=0,"",'Sub Assumptions'!C18*F42)</f>
      </c>
      <c r="G45" s="4">
        <f>IF(N(G42)=0,"",'Sub Assumptions'!C18*G42)</f>
      </c>
      <c r="H45" s="4">
        <f>IF(N(H42)=0,"",'Sub Assumptions'!C18*H42)</f>
      </c>
    </row>
    <row r="46" outlineLevel="1">
      <c r="B46" s="1" t="inlineStr">
        <is>
          <t xml:space="preserve">TAM base (BC + AP/LLTM + OBBBA)</t>
        </is>
      </c>
      <c r="C46" s="4">
        <f>N(C43)+N(C44)+N(C45)</f>
      </c>
      <c r="D46" s="4">
        <f>N(D43)+N(D44)+N(D45)</f>
      </c>
      <c r="E46" s="4">
        <f>N(E43)+N(E44)+N(E45)</f>
      </c>
      <c r="F46" s="4">
        <f>N(F43)+N(F44)+N(F45)</f>
      </c>
      <c r="G46" s="4">
        <f>N(G43)+N(G44)+N(G45)</f>
      </c>
      <c r="H46" s="4">
        <f>N(H43)+N(H44)+N(H45)</f>
      </c>
    </row>
    <row r="48">
      <c r="A48" s="0" t="inlineStr">
        <is>
          <t xml:space="preserve">x</t>
        </is>
      </c>
      <c r="B48" s="10" t="inlineStr">
        <is>
          <t xml:space="preserve">§2d - Portfolio stream-base totals (Va + Col)</t>
        </is>
      </c>
      <c r="C48" s="10"/>
      <c r="D48" s="10"/>
      <c r="E48" s="10"/>
      <c r="F48" s="10"/>
      <c r="G48" s="10"/>
      <c r="H48" s="10"/>
    </row>
    <row r="50">
      <c r="B50" s="2" t="inlineStr">
        <is>
          <t xml:space="preserve">Metric</t>
        </is>
      </c>
      <c r="C50" s="22">
        <v>2022</v>
      </c>
      <c r="D50" s="22">
        <v>2023</v>
      </c>
      <c r="E50" s="22">
        <v>2024</v>
      </c>
      <c r="F50" s="22">
        <v>2025</v>
      </c>
      <c r="G50" s="22">
        <v>2026</v>
      </c>
      <c r="H50" s="22">
        <v>2027</v>
      </c>
    </row>
    <row r="51" outlineLevel="1">
      <c r="B51" s="0" t="inlineStr">
        <is>
          <t xml:space="preserve">BC base in TAM</t>
        </is>
      </c>
      <c r="C51" s="4">
        <f>N(C31)+N(C43)</f>
      </c>
      <c r="D51" s="4">
        <f>N(D31)+N(D43)</f>
      </c>
      <c r="E51" s="4">
        <f>N(E31)+N(E43)</f>
      </c>
      <c r="F51" s="4">
        <f>N(F31)+N(F43)</f>
      </c>
      <c r="G51" s="4">
        <f>N(G31)+N(G43)</f>
      </c>
      <c r="H51" s="4">
        <f>N(H31)+N(H43)</f>
      </c>
    </row>
    <row r="52" outlineLevel="1">
      <c r="B52" s="0" t="inlineStr">
        <is>
          <t xml:space="preserve">AP/LLTM base in TAM</t>
        </is>
      </c>
      <c r="C52" s="4">
        <f>N(C32)+N(C44)</f>
      </c>
      <c r="D52" s="4">
        <f>N(D32)+N(D44)</f>
      </c>
      <c r="E52" s="4">
        <f>N(E32)+N(E44)</f>
      </c>
      <c r="F52" s="4">
        <f>N(F32)+N(F44)</f>
      </c>
      <c r="G52" s="4">
        <f>N(G32)+N(G44)</f>
      </c>
      <c r="H52" s="4">
        <f>N(H32)+N(H44)</f>
      </c>
    </row>
    <row r="53" outlineLevel="1">
      <c r="B53" s="0" t="inlineStr">
        <is>
          <t xml:space="preserve">OBBBA base in TAM</t>
        </is>
      </c>
      <c r="C53" s="4">
        <f>N(C33)+N(C45)</f>
      </c>
      <c r="D53" s="4">
        <f>N(D33)+N(D45)</f>
      </c>
      <c r="E53" s="4">
        <f>N(E33)+N(E45)</f>
      </c>
      <c r="F53" s="4">
        <f>N(F33)+N(F45)</f>
      </c>
      <c r="G53" s="4">
        <f>N(G33)+N(G45)</f>
      </c>
      <c r="H53" s="4">
        <f>N(H33)+N(H45)</f>
      </c>
    </row>
    <row r="54" outlineLevel="1">
      <c r="B54" s="1" t="inlineStr">
        <is>
          <t xml:space="preserve">TAM base</t>
        </is>
      </c>
      <c r="C54" s="4">
        <f>N(C34)+N(C46)</f>
      </c>
      <c r="D54" s="4">
        <f>N(D34)+N(D46)</f>
      </c>
      <c r="E54" s="4">
        <f>N(E34)+N(E46)</f>
      </c>
      <c r="F54" s="4">
        <f>N(F34)+N(F46)</f>
      </c>
      <c r="G54" s="4">
        <f>N(G34)+N(G46)</f>
      </c>
      <c r="H54" s="4">
        <f>N(H34)+N(H46)</f>
      </c>
    </row>
    <row r="57">
      <c r="A57" s="0" t="inlineStr">
        <is>
          <t xml:space="preserve">x</t>
        </is>
      </c>
      <c r="B57" s="9" t="inlineStr">
        <is>
          <t xml:space="preserve">§3 - POP coefficients (per-stream TAM supplier coefficients)</t>
        </is>
      </c>
      <c r="C57" s="9"/>
      <c r="D57" s="9"/>
      <c r="E57" s="9"/>
      <c r="F57" s="9"/>
      <c r="G57" s="9"/>
      <c r="H57" s="9"/>
    </row>
    <row r="59">
      <c r="A59" s="0" t="inlineStr">
        <is>
          <t xml:space="preserve">x</t>
        </is>
      </c>
      <c r="B59" s="10" t="inlineStr">
        <is>
          <t xml:space="preserve">§3a - Supplier coefficients (class-vintage applied; corpus measures reference)</t>
        </is>
      </c>
      <c r="C59" s="10"/>
      <c r="D59" s="10"/>
      <c r="E59" s="10"/>
      <c r="F59" s="10"/>
      <c r="G59" s="10"/>
      <c r="H59" s="10"/>
    </row>
    <row r="61">
      <c r="B61" s="2" t="inlineStr">
        <is>
          <t xml:space="preserve">Coefficient</t>
        </is>
      </c>
      <c r="C61" s="22" t="inlineStr">
        <is>
          <t xml:space="preserve">Value</t>
        </is>
      </c>
    </row>
    <row r="62" outlineLevel="1">
      <c r="B62" s="1" t="inlineStr">
        <is>
          <t xml:space="preserve">Virginia BC coefficient (Block V announced POP; applied)</t>
        </is>
      </c>
      <c r="C62" s="6">
        <f>N('Sub Assumptions'!G54)+N('Sub Assumptions'!H54)</f>
      </c>
    </row>
    <row r="63" outlineLevel="1">
      <c r="B63" s="1" t="inlineStr">
        <is>
          <t xml:space="preserve">Columbia BC coefficient (Build I announced POP; applied)</t>
        </is>
      </c>
      <c r="C63" s="6">
        <f>N('Sub Assumptions'!G55)+N('Sub Assumptions'!H55)</f>
      </c>
    </row>
    <row r="64" outlineLevel="1">
      <c r="B64" s="0" t="inlineStr">
        <is>
          <t xml:space="preserve">Pooled corpus BC coefficient (reference; not applied)</t>
        </is>
      </c>
      <c r="C64" s="6">
        <f>IF(SUMPRODUCT('Sub POP Corpus'!H17:H674*(1-'Sub POP Corpus'!I17:I674)*'Sub POP Corpus'!J17:J674*('Sub POP Corpus'!G17:G674="BC")*'Sub POP Corpus'!K17:K674)=0,"",SUMPRODUCT('Sub POP Corpus'!H17:H674*(1-'Sub POP Corpus'!I17:I674)*'Sub POP Corpus'!J17:J674*('Sub POP Corpus'!G17:G674="BC")*'Sub POP Corpus'!K17:K674*('Sub POP Corpus'!N17:N674+'Sub POP Corpus'!O17:O674))/SUMPRODUCT('Sub POP Corpus'!H17:H674*(1-'Sub POP Corpus'!I17:I674)*'Sub POP Corpus'!J17:J674*('Sub POP Corpus'!G17:G674="BC")*'Sub POP Corpus'!K17:K674))</f>
      </c>
    </row>
    <row r="65" outlineLevel="1">
      <c r="B65" s="1" t="inlineStr">
        <is>
          <t xml:space="preserve">AP/LLTM coefficient (reference; base = 0)</t>
        </is>
      </c>
      <c r="C65" s="6">
        <f>IF(SUMPRODUCT('Sub POP Corpus'!H17:H674*(1-'Sub POP Corpus'!I17:I674)*'Sub POP Corpus'!J17:J674*('Sub POP Corpus'!G17:G674="AP_LLTM")*'Sub POP Corpus'!K17:K674)=0,"",SUMPRODUCT('Sub POP Corpus'!H17:H674*(1-'Sub POP Corpus'!I17:I674)*'Sub POP Corpus'!J17:J674*('Sub POP Corpus'!G17:G674="AP_LLTM")*'Sub POP Corpus'!K17:K674*('Sub POP Corpus'!N17:N674+'Sub POP Corpus'!O17:O674))/SUMPRODUCT('Sub POP Corpus'!H17:H674*(1-'Sub POP Corpus'!I17:I674)*'Sub POP Corpus'!J17:J674*('Sub POP Corpus'!G17:G674="AP_LLTM")*'Sub POP Corpus'!K17:K674))</f>
      </c>
    </row>
    <row r="66" outlineLevel="1">
      <c r="B66" s="0" t="inlineStr">
        <is>
          <t xml:space="preserve">Total weighted (corpus, display)</t>
        </is>
      </c>
      <c r="C66" s="6">
        <f>IF(SUMPRODUCT('Sub POP Corpus'!H17:H674*(1-'Sub POP Corpus'!I17:I674)*'Sub POP Corpus'!J17:J674*'Sub POP Corpus'!K17:K674)=0,"",SUMPRODUCT('Sub POP Corpus'!H17:H674*(1-'Sub POP Corpus'!I17:I674)*'Sub POP Corpus'!J17:J674*'Sub POP Corpus'!K17:K674*('Sub POP Corpus'!N17:N674+'Sub POP Corpus'!O17:O674))/SUMPRODUCT('Sub POP Corpus'!H17:H674*(1-'Sub POP Corpus'!I17:I674)*'Sub POP Corpus'!J17:J674*'Sub POP Corpus'!K17:K674))</f>
      </c>
    </row>
    <row r="68">
      <c r="A68" s="0" t="inlineStr">
        <is>
          <t xml:space="preserve">x</t>
        </is>
      </c>
      <c r="B68" s="10" t="inlineStr">
        <is>
          <t xml:space="preserve">§3b - All-gated POP shares (dollar-weighted building blocks)</t>
        </is>
      </c>
      <c r="C68" s="10"/>
      <c r="D68" s="10"/>
      <c r="E68" s="10"/>
      <c r="F68" s="10"/>
      <c r="G68" s="10"/>
      <c r="H68" s="10"/>
    </row>
    <row r="70">
      <c r="B70" s="2" t="inlineStr">
        <is>
          <t xml:space="preserve">POP class</t>
        </is>
      </c>
      <c r="C70" s="22" t="inlineStr">
        <is>
          <t xml:space="preserve">Share</t>
        </is>
      </c>
    </row>
    <row r="71" outlineLevel="1">
      <c r="B71" s="0" t="inlineStr">
        <is>
          <t xml:space="preserve">EB site %</t>
        </is>
      </c>
      <c r="C71" s="6">
        <f>IF(SUMPRODUCT('Sub POP Corpus'!H17:H674*'Sub POP Corpus'!K17:K674)=0,"",SUMPRODUCT('Sub POP Corpus'!H17:H674*'Sub POP Corpus'!K17:K674*'Sub POP Corpus'!L17:L674)/SUMPRODUCT('Sub POP Corpus'!H17:H674*'Sub POP Corpus'!K17:K674))</f>
      </c>
    </row>
    <row r="72" outlineLevel="1">
      <c r="B72" s="0" t="inlineStr">
        <is>
          <t xml:space="preserve">HII site %</t>
        </is>
      </c>
      <c r="C72" s="6">
        <f>IF(SUMPRODUCT('Sub POP Corpus'!H17:H674*'Sub POP Corpus'!K17:K674)=0,"",SUMPRODUCT('Sub POP Corpus'!H17:H674*'Sub POP Corpus'!K17:K674*'Sub POP Corpus'!M17:M674)/SUMPRODUCT('Sub POP Corpus'!H17:H674*'Sub POP Corpus'!K17:K674))</f>
      </c>
    </row>
    <row r="73" outlineLevel="1">
      <c r="B73" s="0" t="inlineStr">
        <is>
          <t xml:space="preserve">Other-US supplier %</t>
        </is>
      </c>
      <c r="C73" s="6">
        <f>IF(SUMPRODUCT('Sub POP Corpus'!H17:H674*'Sub POP Corpus'!K17:K674)=0,"",SUMPRODUCT('Sub POP Corpus'!H17:H674*'Sub POP Corpus'!K17:K674*'Sub POP Corpus'!N17:N674)/SUMPRODUCT('Sub POP Corpus'!H17:H674*'Sub POP Corpus'!K17:K674))</f>
      </c>
    </row>
    <row r="74" outlineLevel="1">
      <c r="B74" s="0" t="inlineStr">
        <is>
          <t xml:space="preserve">Foreign %</t>
        </is>
      </c>
      <c r="C74" s="6">
        <f>IF(SUMPRODUCT('Sub POP Corpus'!H17:H674*'Sub POP Corpus'!K17:K674)=0,"",SUMPRODUCT('Sub POP Corpus'!H17:H674*'Sub POP Corpus'!K17:K674*'Sub POP Corpus'!O17:O674)/SUMPRODUCT('Sub POP Corpus'!H17:H674*'Sub POP Corpus'!K17:K674))</f>
      </c>
    </row>
    <row r="75" outlineLevel="1">
      <c r="B75" s="0" t="inlineStr">
        <is>
          <t xml:space="preserve">Unparsed %</t>
        </is>
      </c>
      <c r="C75" s="6">
        <f>1-C71-C72-C73-C74</f>
      </c>
    </row>
    <row r="77">
      <c r="A77" s="0" t="inlineStr">
        <is>
          <t xml:space="preserve">x</t>
        </is>
      </c>
      <c r="B77" s="10" t="inlineStr">
        <is>
          <t xml:space="preserve">§3c - Distributed-production view (appendix; broader than commercial TAM)</t>
        </is>
      </c>
      <c r="C77" s="10"/>
      <c r="D77" s="10"/>
      <c r="E77" s="10"/>
      <c r="F77" s="10"/>
      <c r="G77" s="10"/>
      <c r="H77" s="10"/>
    </row>
    <row r="79">
      <c r="B79" s="2" t="inlineStr">
        <is>
          <t xml:space="preserve">Coefficient</t>
        </is>
      </c>
      <c r="C79" s="22" t="inlineStr">
        <is>
          <t xml:space="preserve">Value</t>
        </is>
      </c>
    </row>
    <row r="80" outlineLevel="1">
      <c r="B80" s="1" t="inlineStr">
        <is>
          <t xml:space="preserve">Distributed (confirmed)</t>
        </is>
      </c>
      <c r="C80" s="6">
        <f>C72+C73+C74</f>
      </c>
    </row>
    <row r="81" outlineLevel="1">
      <c r="B81" s="1" t="inlineStr">
        <is>
          <t xml:space="preserve">Distributed (incl-unparsed)</t>
        </is>
      </c>
      <c r="C81" s="6">
        <f>1-C71</f>
      </c>
    </row>
    <row r="83">
      <c r="A83" s="0" t="inlineStr">
        <is>
          <t xml:space="preserve">x</t>
        </is>
      </c>
      <c r="B83" s="10" t="inlineStr">
        <is>
          <t xml:space="preserve">§3d - Reconciliation &amp; scope variants (reference; not applied to TAM)</t>
        </is>
      </c>
      <c r="C83" s="10"/>
      <c r="D83" s="10"/>
      <c r="E83" s="10"/>
      <c r="F83" s="10"/>
      <c r="G83" s="10"/>
      <c r="H83" s="10"/>
    </row>
    <row r="85">
      <c r="B85" s="2" t="inlineStr">
        <is>
          <t xml:space="preserve">Variant</t>
        </is>
      </c>
      <c r="C85" s="22" t="inlineStr">
        <is>
          <t xml:space="preserve">Value</t>
        </is>
      </c>
    </row>
    <row r="86" outlineLevel="1">
      <c r="B86" s="0" t="inlineStr">
        <is>
          <t xml:space="preserve">BC stream incl-GFE (handoff ref)</t>
        </is>
      </c>
      <c r="C86" s="6">
        <f>IF(SUMPRODUCT('Sub POP Corpus'!H17:H674*('Sub POP Corpus'!G17:G674="BC")*'Sub POP Corpus'!K17:K674)=0,"",SUMPRODUCT('Sub POP Corpus'!H17:H674*('Sub POP Corpus'!G17:G674="BC")*'Sub POP Corpus'!K17:K674*('Sub POP Corpus'!N17:N674+'Sub POP Corpus'!O17:O674))/SUMPRODUCT('Sub POP Corpus'!H17:H674*('Sub POP Corpus'!G17:G674="BC")*'Sub POP Corpus'!K17:K674))</f>
      </c>
    </row>
    <row r="87" outlineLevel="1">
      <c r="B87" s="0" t="inlineStr">
        <is>
          <t xml:space="preserve">All-gated, GFE-excluded</t>
        </is>
      </c>
      <c r="C87" s="6">
        <f>IF(SUMPRODUCT('Sub POP Corpus'!H17:H674*(1-'Sub POP Corpus'!I17:I674)*'Sub POP Corpus'!K17:K674)=0,"",SUMPRODUCT('Sub POP Corpus'!H17:H674*(1-'Sub POP Corpus'!I17:I674)*'Sub POP Corpus'!K17:K674*('Sub POP Corpus'!N17:N674+'Sub POP Corpus'!O17:O674))/SUMPRODUCT('Sub POP Corpus'!H17:H674*(1-'Sub POP Corpus'!I17:I674)*'Sub POP Corpus'!K17:K674))</f>
      </c>
    </row>
    <row r="89">
      <c r="A89" s="0" t="inlineStr">
        <is>
          <t xml:space="preserve">x</t>
        </is>
      </c>
      <c r="B89" s="10" t="inlineStr">
        <is>
          <t xml:space="preserve">§3e - Anchor regression</t>
        </is>
      </c>
      <c r="C89" s="10"/>
      <c r="D89" s="10"/>
      <c r="E89" s="10"/>
      <c r="F89" s="10"/>
      <c r="G89" s="10"/>
      <c r="H89" s="10"/>
    </row>
    <row r="91">
      <c r="B91" s="2" t="inlineStr">
        <is>
          <t xml:space="preserve">Check</t>
        </is>
      </c>
      <c r="C91" s="22" t="inlineStr">
        <is>
          <t xml:space="preserve">Value</t>
        </is>
      </c>
    </row>
    <row r="92" outlineLevel="1">
      <c r="B92" s="0" t="inlineStr">
        <is>
          <t xml:space="preserve">Published anchor</t>
        </is>
      </c>
      <c r="C92" s="7">
        <v>0.518</v>
      </c>
    </row>
    <row r="93" outlineLevel="1">
      <c r="B93" s="0" t="inlineStr">
        <is>
          <t xml:space="preserve">Computed all-gated primary</t>
        </is>
      </c>
      <c r="C93" s="6">
        <f>IF(SUMPRODUCT('Sub POP Corpus'!H17:H674*'Sub POP Corpus'!K17:K674)=0,"",SUMPRODUCT('Sub POP Corpus'!H17:H674*'Sub POP Corpus'!K17:K674*('Sub POP Corpus'!N17:N674+'Sub POP Corpus'!O17:O674))/SUMPRODUCT('Sub POP Corpus'!H17:H674*'Sub POP Corpus'!K17:K674))</f>
      </c>
    </row>
    <row r="94" outlineLevel="1">
      <c r="B94" s="0" t="inlineStr">
        <is>
          <t xml:space="preserve">Delta</t>
        </is>
      </c>
      <c r="C94" s="6">
        <f>C93-C92</f>
      </c>
    </row>
    <row r="95" outlineLevel="1">
      <c r="B95" s="0" t="inlineStr">
        <is>
          <t xml:space="preserve">Anchor OK?</t>
        </is>
      </c>
      <c r="C95" s="0">
        <f>IF(ABS(C94)&lt;0.01,"OK","FAIL")</f>
      </c>
    </row>
    <row r="98">
      <c r="A98" s="0" t="inlineStr">
        <is>
          <t xml:space="preserve">x</t>
        </is>
      </c>
      <c r="B98" s="9" t="inlineStr">
        <is>
          <t xml:space="preserve">§4 - TAM bridge</t>
        </is>
      </c>
      <c r="C98" s="9"/>
      <c r="D98" s="9"/>
      <c r="E98" s="9"/>
      <c r="F98" s="9"/>
      <c r="G98" s="9"/>
      <c r="H98" s="9"/>
    </row>
    <row r="100">
      <c r="A100" s="0" t="inlineStr">
        <is>
          <t xml:space="preserve">x</t>
        </is>
      </c>
      <c r="B100" s="10" t="inlineStr">
        <is>
          <t xml:space="preserve">§4a - Applied per-stream supplier coefficients (class-vintage)</t>
        </is>
      </c>
      <c r="C100" s="10"/>
      <c r="D100" s="10"/>
      <c r="E100" s="10"/>
      <c r="F100" s="10"/>
      <c r="G100" s="10"/>
      <c r="H100" s="10"/>
    </row>
    <row r="102">
      <c r="B102" s="2" t="inlineStr">
        <is>
          <t xml:space="preserve">Coefficient</t>
        </is>
      </c>
      <c r="C102" s="22" t="inlineStr">
        <is>
          <t xml:space="preserve">Value</t>
        </is>
      </c>
    </row>
    <row r="103" outlineLevel="1">
      <c r="B103" s="1" t="inlineStr">
        <is>
          <t xml:space="preserve">Virginia BC coefficient (Block V announced POP)</t>
        </is>
      </c>
      <c r="C103" s="6">
        <f>'Sub TAM Build'!C62</f>
      </c>
    </row>
    <row r="104" outlineLevel="1">
      <c r="B104" s="1" t="inlineStr">
        <is>
          <t xml:space="preserve">Columbia BC coefficient (Build I announced POP)</t>
        </is>
      </c>
      <c r="C104" s="6">
        <f>'Sub TAM Build'!C63</f>
      </c>
    </row>
    <row r="105" outlineLevel="1">
      <c r="B105" s="1" t="inlineStr">
        <is>
          <t xml:space="preserve">AP/LLTM coefficient (reference; base = 0)</t>
        </is>
      </c>
      <c r="C105" s="6">
        <f>'Sub TAM Build'!C65</f>
      </c>
    </row>
    <row r="107">
      <c r="A107" s="0" t="inlineStr">
        <is>
          <t xml:space="preserve">x</t>
        </is>
      </c>
      <c r="B107" s="10" t="inlineStr">
        <is>
          <t xml:space="preserve">§4b - Virginia (LI 2013) TAM ($M, FY22-27)</t>
        </is>
      </c>
      <c r="C107" s="10"/>
      <c r="D107" s="10"/>
      <c r="E107" s="10"/>
      <c r="F107" s="10"/>
      <c r="G107" s="10"/>
      <c r="H107" s="10"/>
    </row>
    <row r="109">
      <c r="B109" s="2" t="inlineStr">
        <is>
          <t xml:space="preserve">Metric</t>
        </is>
      </c>
      <c r="C109" s="22">
        <v>2022</v>
      </c>
      <c r="D109" s="22">
        <v>2023</v>
      </c>
      <c r="E109" s="22">
        <v>2024</v>
      </c>
      <c r="F109" s="22">
        <v>2025</v>
      </c>
      <c r="G109" s="22">
        <v>2026</v>
      </c>
      <c r="H109" s="22">
        <v>2027</v>
      </c>
    </row>
    <row r="110" outlineLevel="1">
      <c r="B110" s="0" t="inlineStr">
        <is>
          <t xml:space="preserve">BC base</t>
        </is>
      </c>
      <c r="C110" s="4">
        <f>'Sub TAM Build'!C31</f>
      </c>
      <c r="D110" s="4">
        <f>'Sub TAM Build'!D31</f>
      </c>
      <c r="E110" s="4">
        <f>'Sub TAM Build'!E31</f>
      </c>
      <c r="F110" s="4">
        <f>'Sub TAM Build'!F31</f>
      </c>
      <c r="G110" s="4">
        <f>'Sub TAM Build'!G31</f>
      </c>
      <c r="H110" s="4">
        <f>'Sub TAM Build'!H31</f>
      </c>
    </row>
    <row r="111" outlineLevel="1">
      <c r="B111" s="0" t="inlineStr">
        <is>
          <t xml:space="preserve">TAM - BC stream (class coeff)</t>
        </is>
      </c>
      <c r="C111" s="4">
        <f>IF(N(C110)=0,"",N(C110)*$C$103)</f>
      </c>
      <c r="D111" s="4">
        <f>IF(N(D110)=0,"",N(D110)*$C$103)</f>
      </c>
      <c r="E111" s="4">
        <f>IF(N(E110)=0,"",N(E110)*$C$103)</f>
      </c>
      <c r="F111" s="4">
        <f>IF(N(F110)=0,"",N(F110)*$C$103)</f>
      </c>
      <c r="G111" s="4">
        <f>IF(N(G110)=0,"",N(G110)*$C$103)</f>
      </c>
      <c r="H111" s="4">
        <f>IF(N(H110)=0,"",N(H110)*$C$103)</f>
      </c>
    </row>
    <row r="112" outlineLevel="1">
      <c r="B112" s="0" t="inlineStr">
        <is>
          <t xml:space="preserve">AP/LLTM base</t>
        </is>
      </c>
      <c r="C112" s="4">
        <f>'Sub TAM Build'!C32</f>
      </c>
      <c r="D112" s="4">
        <f>'Sub TAM Build'!D32</f>
      </c>
      <c r="E112" s="4">
        <f>'Sub TAM Build'!E32</f>
      </c>
      <c r="F112" s="4">
        <f>'Sub TAM Build'!F32</f>
      </c>
      <c r="G112" s="4">
        <f>'Sub TAM Build'!G32</f>
      </c>
      <c r="H112" s="4">
        <f>'Sub TAM Build'!H32</f>
      </c>
    </row>
    <row r="113" outlineLevel="1">
      <c r="B113" s="0" t="inlineStr">
        <is>
          <t xml:space="preserve">TAM - AP/LLTM stream</t>
        </is>
      </c>
      <c r="C113" s="4">
        <f>IF(N(C112)=0,"",N(C112)*$C$105)</f>
      </c>
      <c r="D113" s="4">
        <f>IF(N(D112)=0,"",N(D112)*$C$105)</f>
      </c>
      <c r="E113" s="4">
        <f>IF(N(E112)=0,"",N(E112)*$C$105)</f>
      </c>
      <c r="F113" s="4">
        <f>IF(N(F112)=0,"",N(F112)*$C$105)</f>
      </c>
      <c r="G113" s="4">
        <f>IF(N(G112)=0,"",N(G112)*$C$105)</f>
      </c>
      <c r="H113" s="4">
        <f>IF(N(H112)=0,"",N(H112)*$C$105)</f>
      </c>
    </row>
    <row r="114" outlineLevel="1">
      <c r="B114" s="0" t="inlineStr">
        <is>
          <t xml:space="preserve">OBBBA base</t>
        </is>
      </c>
      <c r="C114" s="4">
        <f>'Sub TAM Build'!C33</f>
      </c>
      <c r="D114" s="4">
        <f>'Sub TAM Build'!D33</f>
      </c>
      <c r="E114" s="4">
        <f>'Sub TAM Build'!E33</f>
      </c>
      <c r="F114" s="4">
        <f>'Sub TAM Build'!F33</f>
      </c>
      <c r="G114" s="4">
        <f>'Sub TAM Build'!G33</f>
      </c>
      <c r="H114" s="4">
        <f>'Sub TAM Build'!H33</f>
      </c>
    </row>
    <row r="115" outlineLevel="1">
      <c r="B115" s="0" t="inlineStr">
        <is>
          <t xml:space="preserve">TAM - OBBBA mandatory (class BC coeff)</t>
        </is>
      </c>
      <c r="C115" s="4">
        <f>IF(N(C114)=0,"",N(C114)*$C$103)</f>
      </c>
      <c r="D115" s="4">
        <f>IF(N(D114)=0,"",N(D114)*$C$103)</f>
      </c>
      <c r="E115" s="4">
        <f>IF(N(E114)=0,"",N(E114)*$C$103)</f>
      </c>
      <c r="F115" s="4">
        <f>IF(N(F114)=0,"",N(F114)*$C$103)</f>
      </c>
      <c r="G115" s="4">
        <f>IF(N(G114)=0,"",N(G114)*$C$103)</f>
      </c>
      <c r="H115" s="4">
        <f>IF(N(H114)=0,"",N(H114)*$C$103)</f>
      </c>
    </row>
    <row r="116" outlineLevel="1">
      <c r="B116" s="1" t="inlineStr">
        <is>
          <t xml:space="preserve">TAM (all streams)</t>
        </is>
      </c>
      <c r="C116" s="4">
        <f>N(C111)+N(C113)+N(C115)</f>
      </c>
      <c r="D116" s="4">
        <f>N(D111)+N(D113)+N(D115)</f>
      </c>
      <c r="E116" s="4">
        <f>N(E111)+N(E113)+N(E115)</f>
      </c>
      <c r="F116" s="4">
        <f>N(F111)+N(F113)+N(F115)</f>
      </c>
      <c r="G116" s="4">
        <f>N(G111)+N(G113)+N(G115)</f>
      </c>
      <c r="H116" s="4">
        <f>N(H111)+N(H113)+N(H115)</f>
      </c>
    </row>
    <row r="118">
      <c r="A118" s="0" t="inlineStr">
        <is>
          <t xml:space="preserve">x</t>
        </is>
      </c>
      <c r="B118" s="10" t="inlineStr">
        <is>
          <t xml:space="preserve">§4c - Columbia (LI 1045) TAM ($M, FY22-27)</t>
        </is>
      </c>
      <c r="C118" s="10"/>
      <c r="D118" s="10"/>
      <c r="E118" s="10"/>
      <c r="F118" s="10"/>
      <c r="G118" s="10"/>
      <c r="H118" s="10"/>
    </row>
    <row r="120">
      <c r="B120" s="2" t="inlineStr">
        <is>
          <t xml:space="preserve">Metric</t>
        </is>
      </c>
      <c r="C120" s="22">
        <v>2022</v>
      </c>
      <c r="D120" s="22">
        <v>2023</v>
      </c>
      <c r="E120" s="22">
        <v>2024</v>
      </c>
      <c r="F120" s="22">
        <v>2025</v>
      </c>
      <c r="G120" s="22">
        <v>2026</v>
      </c>
      <c r="H120" s="22">
        <v>2027</v>
      </c>
    </row>
    <row r="121" outlineLevel="1">
      <c r="B121" s="0" t="inlineStr">
        <is>
          <t xml:space="preserve">BC base</t>
        </is>
      </c>
      <c r="C121" s="4">
        <f>'Sub TAM Build'!C43</f>
      </c>
      <c r="D121" s="4">
        <f>'Sub TAM Build'!D43</f>
      </c>
      <c r="E121" s="4">
        <f>'Sub TAM Build'!E43</f>
      </c>
      <c r="F121" s="4">
        <f>'Sub TAM Build'!F43</f>
      </c>
      <c r="G121" s="4">
        <f>'Sub TAM Build'!G43</f>
      </c>
      <c r="H121" s="4">
        <f>'Sub TAM Build'!H43</f>
      </c>
    </row>
    <row r="122" outlineLevel="1">
      <c r="B122" s="0" t="inlineStr">
        <is>
          <t xml:space="preserve">TAM - BC stream (class coeff)</t>
        </is>
      </c>
      <c r="C122" s="4">
        <f>IF(N(C121)=0,"",N(C121)*$C$104)</f>
      </c>
      <c r="D122" s="4">
        <f>IF(N(D121)=0,"",N(D121)*$C$104)</f>
      </c>
      <c r="E122" s="4">
        <f>IF(N(E121)=0,"",N(E121)*$C$104)</f>
      </c>
      <c r="F122" s="4">
        <f>IF(N(F121)=0,"",N(F121)*$C$104)</f>
      </c>
      <c r="G122" s="4">
        <f>IF(N(G121)=0,"",N(G121)*$C$104)</f>
      </c>
      <c r="H122" s="4">
        <f>IF(N(H121)=0,"",N(H121)*$C$104)</f>
      </c>
    </row>
    <row r="123" outlineLevel="1">
      <c r="B123" s="0" t="inlineStr">
        <is>
          <t xml:space="preserve">AP/LLTM base</t>
        </is>
      </c>
      <c r="C123" s="4">
        <f>'Sub TAM Build'!C44</f>
      </c>
      <c r="D123" s="4">
        <f>'Sub TAM Build'!D44</f>
      </c>
      <c r="E123" s="4">
        <f>'Sub TAM Build'!E44</f>
      </c>
      <c r="F123" s="4">
        <f>'Sub TAM Build'!F44</f>
      </c>
      <c r="G123" s="4">
        <f>'Sub TAM Build'!G44</f>
      </c>
      <c r="H123" s="4">
        <f>'Sub TAM Build'!H44</f>
      </c>
    </row>
    <row r="124" outlineLevel="1">
      <c r="B124" s="0" t="inlineStr">
        <is>
          <t xml:space="preserve">TAM - AP/LLTM stream</t>
        </is>
      </c>
      <c r="C124" s="4">
        <f>IF(N(C123)=0,"",N(C123)*$C$105)</f>
      </c>
      <c r="D124" s="4">
        <f>IF(N(D123)=0,"",N(D123)*$C$105)</f>
      </c>
      <c r="E124" s="4">
        <f>IF(N(E123)=0,"",N(E123)*$C$105)</f>
      </c>
      <c r="F124" s="4">
        <f>IF(N(F123)=0,"",N(F123)*$C$105)</f>
      </c>
      <c r="G124" s="4">
        <f>IF(N(G123)=0,"",N(G123)*$C$105)</f>
      </c>
      <c r="H124" s="4">
        <f>IF(N(H123)=0,"",N(H123)*$C$105)</f>
      </c>
    </row>
    <row r="125" outlineLevel="1">
      <c r="B125" s="0" t="inlineStr">
        <is>
          <t xml:space="preserve">OBBBA base</t>
        </is>
      </c>
      <c r="C125" s="4">
        <f>'Sub TAM Build'!C45</f>
      </c>
      <c r="D125" s="4">
        <f>'Sub TAM Build'!D45</f>
      </c>
      <c r="E125" s="4">
        <f>'Sub TAM Build'!E45</f>
      </c>
      <c r="F125" s="4">
        <f>'Sub TAM Build'!F45</f>
      </c>
      <c r="G125" s="4">
        <f>'Sub TAM Build'!G45</f>
      </c>
      <c r="H125" s="4">
        <f>'Sub TAM Build'!H45</f>
      </c>
    </row>
    <row r="126" outlineLevel="1">
      <c r="B126" s="0" t="inlineStr">
        <is>
          <t xml:space="preserve">TAM - OBBBA mandatory (class BC coeff)</t>
        </is>
      </c>
      <c r="C126" s="4">
        <f>IF(N(C125)=0,"",N(C125)*$C$104)</f>
      </c>
      <c r="D126" s="4">
        <f>IF(N(D125)=0,"",N(D125)*$C$104)</f>
      </c>
      <c r="E126" s="4">
        <f>IF(N(E125)=0,"",N(E125)*$C$104)</f>
      </c>
      <c r="F126" s="4">
        <f>IF(N(F125)=0,"",N(F125)*$C$104)</f>
      </c>
      <c r="G126" s="4">
        <f>IF(N(G125)=0,"",N(G125)*$C$104)</f>
      </c>
      <c r="H126" s="4">
        <f>IF(N(H125)=0,"",N(H125)*$C$104)</f>
      </c>
    </row>
    <row r="127" outlineLevel="1">
      <c r="B127" s="1" t="inlineStr">
        <is>
          <t xml:space="preserve">TAM (all streams)</t>
        </is>
      </c>
      <c r="C127" s="4">
        <f>N(C122)+N(C124)+N(C126)</f>
      </c>
      <c r="D127" s="4">
        <f>N(D122)+N(D124)+N(D126)</f>
      </c>
      <c r="E127" s="4">
        <f>N(E122)+N(E124)+N(E126)</f>
      </c>
      <c r="F127" s="4">
        <f>N(F122)+N(F124)+N(F126)</f>
      </c>
      <c r="G127" s="4">
        <f>N(G122)+N(G124)+N(G126)</f>
      </c>
      <c r="H127" s="4">
        <f>N(H122)+N(H124)+N(H126)</f>
      </c>
    </row>
    <row r="129">
      <c r="A129" s="0" t="inlineStr">
        <is>
          <t xml:space="preserve">x</t>
        </is>
      </c>
      <c r="B129" s="10" t="inlineStr">
        <is>
          <t xml:space="preserve">§4d - Portfolio TAM + stream bridge (Virginia + Columbia)</t>
        </is>
      </c>
      <c r="C129" s="10"/>
      <c r="D129" s="10"/>
      <c r="E129" s="10"/>
      <c r="F129" s="10"/>
      <c r="G129" s="10"/>
      <c r="H129" s="10"/>
    </row>
    <row r="131">
      <c r="B131" s="2" t="inlineStr">
        <is>
          <t xml:space="preserve">Metric</t>
        </is>
      </c>
      <c r="C131" s="22">
        <v>2022</v>
      </c>
      <c r="D131" s="22">
        <v>2023</v>
      </c>
      <c r="E131" s="22">
        <v>2024</v>
      </c>
      <c r="F131" s="22">
        <v>2025</v>
      </c>
      <c r="G131" s="22">
        <v>2026</v>
      </c>
      <c r="H131" s="22">
        <v>2027</v>
      </c>
    </row>
    <row r="132" outlineLevel="1">
      <c r="B132" s="0" t="inlineStr">
        <is>
          <t xml:space="preserve">BC stream TAM</t>
        </is>
      </c>
      <c r="C132" s="4">
        <f>N(C111)+N(C122)</f>
      </c>
      <c r="D132" s="4">
        <f>N(D111)+N(D122)</f>
      </c>
      <c r="E132" s="4">
        <f>N(E111)+N(E122)</f>
      </c>
      <c r="F132" s="4">
        <f>N(F111)+N(F122)</f>
      </c>
      <c r="G132" s="4">
        <f>N(G111)+N(G122)</f>
      </c>
      <c r="H132" s="4">
        <f>N(H111)+N(H122)</f>
      </c>
    </row>
    <row r="133" outlineLevel="1">
      <c r="B133" s="0" t="inlineStr">
        <is>
          <t xml:space="preserve">AP/LLTM stream TAM</t>
        </is>
      </c>
      <c r="C133" s="4">
        <f>N(C113)+N(C124)</f>
      </c>
      <c r="D133" s="4">
        <f>N(D113)+N(D124)</f>
      </c>
      <c r="E133" s="4">
        <f>N(E113)+N(E124)</f>
      </c>
      <c r="F133" s="4">
        <f>N(F113)+N(F124)</f>
      </c>
      <c r="G133" s="4">
        <f>N(G113)+N(G124)</f>
      </c>
      <c r="H133" s="4">
        <f>N(H113)+N(H124)</f>
      </c>
    </row>
    <row r="134" outlineLevel="1">
      <c r="B134" s="0" t="inlineStr">
        <is>
          <t xml:space="preserve">OBBBA mandatory TAM</t>
        </is>
      </c>
      <c r="C134" s="4">
        <f>N(C115)+N(C126)</f>
      </c>
      <c r="D134" s="4">
        <f>N(D115)+N(D126)</f>
      </c>
      <c r="E134" s="4">
        <f>N(E115)+N(E126)</f>
      </c>
      <c r="F134" s="4">
        <f>N(F115)+N(F126)</f>
      </c>
      <c r="G134" s="4">
        <f>N(G115)+N(G126)</f>
      </c>
      <c r="H134" s="4">
        <f>N(H115)+N(H126)</f>
      </c>
    </row>
    <row r="135" outlineLevel="1">
      <c r="B135" s="1" t="inlineStr">
        <is>
          <t xml:space="preserve">TAM (portfolio)</t>
        </is>
      </c>
      <c r="C135" s="4">
        <f>N(C116)+N(C127)</f>
      </c>
      <c r="D135" s="4">
        <f>N(D116)+N(D127)</f>
      </c>
      <c r="E135" s="4">
        <f>N(E116)+N(E127)</f>
      </c>
      <c r="F135" s="4">
        <f>N(F116)+N(F127)</f>
      </c>
      <c r="G135" s="4">
        <f>N(G116)+N(G127)</f>
      </c>
      <c r="H135" s="4">
        <f>N(H116)+N(H127)</f>
      </c>
    </row>
    <row r="136" outlineLevel="1">
      <c r="B136" s="1" t="inlineStr">
        <is>
          <t xml:space="preserve">Total weighted coefficient (TAM / TAM base, all FY)</t>
        </is>
      </c>
      <c r="C136" s="6">
        <f>IF((SUM(C110:H110)+SUM(C112:H112)+SUM(C114:H114)+SUM(C121:H121)+SUM(C123:H123)+SUM(C125:H125))=0,"",SUM(C135:H135)/(SUM(C110:H110)+SUM(C112:H112)+SUM(C114:H114)+SUM(C121:H121)+SUM(C123:H123)+SUM(C125:H125)))</f>
      </c>
    </row>
    <row r="138">
      <c r="A138" s="0" t="inlineStr">
        <is>
          <t xml:space="preserve">x</t>
        </is>
      </c>
      <c r="B138" s="10" t="inlineStr">
        <is>
          <t xml:space="preserve">§4e - Annualization + deck-bridge figures (FY22-27)</t>
        </is>
      </c>
      <c r="C138" s="10"/>
      <c r="D138" s="10"/>
      <c r="E138" s="10"/>
      <c r="F138" s="10"/>
      <c r="G138" s="10"/>
      <c r="H138" s="10"/>
    </row>
    <row r="140">
      <c r="B140" s="2" t="inlineStr">
        <is>
          <t xml:space="preserve">Measure</t>
        </is>
      </c>
      <c r="C140" s="22" t="inlineStr">
        <is>
          <t xml:space="preserve">Value</t>
        </is>
      </c>
    </row>
    <row r="141" outlineLevel="1">
      <c r="B141" s="1" t="inlineStr">
        <is>
          <t xml:space="preserve">Cumulative portfolio TAM (FY22-27)</t>
        </is>
      </c>
      <c r="C141" s="4">
        <f>SUM(C135:H135)</f>
      </c>
    </row>
    <row r="142" outlineLevel="1">
      <c r="B142" s="0" t="inlineStr">
        <is>
          <t xml:space="preserve">Number of fiscal years</t>
        </is>
      </c>
      <c r="C142" s="4">
        <f>'Sub Assumptions'!C9-'Sub Assumptions'!C8+1</f>
      </c>
    </row>
    <row r="143" outlineLevel="1">
      <c r="B143" s="1" t="inlineStr">
        <is>
          <t xml:space="preserve">Average annual portfolio TAM</t>
        </is>
      </c>
      <c r="C143" s="4">
        <f>C141/C142</f>
      </c>
    </row>
    <row r="144" outlineLevel="1">
      <c r="B144" s="0" t="inlineStr">
        <is>
          <t xml:space="preserve">Cumulative BC construction base (FY22-27)</t>
        </is>
      </c>
      <c r="C144" s="4">
        <f>N('Sub TAM Build'!C51)+N('Sub TAM Build'!D51)+N('Sub TAM Build'!E51)+N('Sub TAM Build'!F51)+N('Sub TAM Build'!G51)+N('Sub TAM Build'!H51)</f>
      </c>
    </row>
    <row r="145" outlineLevel="1">
      <c r="B145" s="0" t="inlineStr">
        <is>
          <t xml:space="preserve">Cumulative OBBBA mandatory BC base (FY22-27)</t>
        </is>
      </c>
      <c r="C145" s="4">
        <f>N('Sub TAM Build'!C53)+N('Sub TAM Build'!D53)+N('Sub TAM Build'!E53)+N('Sub TAM Build'!F53)+N('Sub TAM Build'!G53)+N('Sub TAM Build'!H53)</f>
      </c>
    </row>
    <row r="146" outlineLevel="1">
      <c r="B146" s="0" t="inlineStr">
        <is>
          <t xml:space="preserve">Cumulative OBBBA mandatory TAM (FY22-27)</t>
        </is>
      </c>
      <c r="C146" s="4">
        <f>SUM(C134:H134)</f>
      </c>
    </row>
    <row r="147" outlineLevel="1">
      <c r="B147" s="0" t="inlineStr">
        <is>
          <t xml:space="preserve">Removed by POP (prime / co-prime / GFE)</t>
        </is>
      </c>
      <c r="C147" s="4">
        <f>C144+C145-C141</f>
      </c>
    </row>
    <row r="150">
      <c r="A150" s="0" t="inlineStr">
        <is>
          <t xml:space="preserve">x</t>
        </is>
      </c>
      <c r="B150" s="9" t="inlineStr">
        <is>
          <t xml:space="preserve">§5 - TAM checks</t>
        </is>
      </c>
      <c r="C150" s="9"/>
      <c r="D150" s="9"/>
      <c r="E150" s="9"/>
      <c r="F150" s="9"/>
      <c r="G150" s="9"/>
      <c r="H150" s="9"/>
    </row>
    <row r="152">
      <c r="B152" s="2" t="inlineStr">
        <is>
          <t xml:space="preserve">Check</t>
        </is>
      </c>
      <c r="C152" s="2" t="inlineStr">
        <is>
          <t xml:space="preserve">Status</t>
        </is>
      </c>
    </row>
    <row r="153" outlineLevel="1">
      <c r="B153" s="0" t="inlineStr">
        <is>
          <t xml:space="preserve">Portfolio TAM = BC TAM + AP/LLTM TAM + OBBBA TAM</t>
        </is>
      </c>
      <c r="C153" s="0">
        <f>IF(ABS(('Sub TAM Build'!C141)-((N('Sub TAM Build'!C132)+N('Sub TAM Build'!D132)+N('Sub TAM Build'!E132)+N('Sub TAM Build'!F132)+N('Sub TAM Build'!G132)+N('Sub TAM Build'!H132))+(N('Sub TAM Build'!C133)+N('Sub TAM Build'!D133)+N('Sub TAM Build'!E133)+N('Sub TAM Build'!F133)+N('Sub TAM Build'!G133)+N('Sub TAM Build'!H133))+(N('Sub TAM Build'!C134)+N('Sub TAM Build'!D134)+N('Sub TAM Build'!E134)+N('Sub TAM Build'!F134)+N('Sub TAM Build'!G134)+N('Sub TAM Build'!H134))))&lt;0.5,"OK","FAIL")</f>
      </c>
    </row>
    <row r="154" outlineLevel="1">
      <c r="B154" s="0" t="inlineStr">
        <is>
          <t xml:space="preserve">Average annual = cumulative / fiscal years</t>
        </is>
      </c>
      <c r="C154" s="0">
        <f>IF(ABS(('Sub TAM Build'!C143)*('Sub TAM Build'!C142)-('Sub TAM Build'!C141))&lt;0.5,"OK","FAIL")</f>
      </c>
    </row>
    <row r="155" outlineLevel="1">
      <c r="B155" s="0" t="inlineStr">
        <is>
          <t xml:space="preserve">Anchor regression holds</t>
        </is>
      </c>
      <c r="C155" s="0">
        <f>'Sub TAM Build'!C95</f>
      </c>
    </row>
    <row r="156" outlineLevel="1">
      <c r="B156" s="0" t="inlineStr">
        <is>
          <t xml:space="preserve">Virginia FY26 ship estimate ties to PB2027</t>
        </is>
      </c>
      <c r="C156" s="0">
        <f>IF(ABS('Sub SCN Budget'!G44-5389.109)&lt;1,"OK","FAIL")</f>
      </c>
    </row>
  </sheetData>
</worksheet>
</file>

<file path=xl/worksheets/sheet11.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6" customWidth="1"/>
    <col min="3" max="3" width="13" customWidth="1"/>
    <col min="4" max="4" width="13" customWidth="1"/>
    <col min="5" max="5" width="13" customWidth="1"/>
    <col min="6" max="6" width="13" customWidth="1"/>
    <col min="7" max="7" width="13" customWidth="1"/>
    <col min="8" max="8" width="13" customWidth="1"/>
  </cols>
  <sheetData>
    <row r="1"/>
    <row r="2">
      <c r="B2" s="8" t="inlineStr">
        <is>
          <t xml:space="preserve">Sub Outlook</t>
        </is>
      </c>
      <c r="C2" s="8"/>
      <c r="D2" s="8"/>
      <c r="E2" s="8"/>
      <c r="F2" s="8"/>
      <c r="G2" s="8"/>
      <c r="H2" s="8"/>
    </row>
    <row r="4">
      <c r="B4" s="9" t="inlineStr">
        <is>
          <t xml:space="preserve">§1 - Penetration &amp; outyear outlook</t>
        </is>
      </c>
      <c r="C4" s="9"/>
      <c r="D4" s="9"/>
      <c r="E4" s="9"/>
      <c r="F4" s="9"/>
      <c r="G4" s="9"/>
      <c r="H4" s="9"/>
    </row>
    <row r="6">
      <c r="B6" s="2" t="inlineStr">
        <is>
          <t xml:space="preserve">Measure</t>
        </is>
      </c>
      <c r="C6" s="22" t="inlineStr">
        <is>
          <t xml:space="preserve">Value</t>
        </is>
      </c>
    </row>
    <row r="7">
      <c r="B7" s="1" t="inlineStr">
        <is>
          <t xml:space="preserve">Virginia outsourced penetration, FY22-25 (outyear low)</t>
        </is>
      </c>
      <c r="C7" s="6">
        <f>C33</f>
      </c>
    </row>
    <row r="8">
      <c r="B8" s="1" t="inlineStr">
        <is>
          <t xml:space="preserve">Columbia outsourced penetration, FY22-25 (outyear low)</t>
        </is>
      </c>
      <c r="C8" s="6">
        <f>C34</f>
      </c>
    </row>
    <row r="9">
      <c r="B9" s="0" t="inlineStr">
        <is>
          <t xml:space="preserve">Implied outyear Outsourced BC, low $M/yr</t>
        </is>
      </c>
      <c r="C9" s="4">
        <f>C60</f>
      </c>
    </row>
    <row r="10">
      <c r="B10" s="0" t="inlineStr">
        <is>
          <t xml:space="preserve">Implied outyear Outsourced BC, high $M/yr</t>
        </is>
      </c>
      <c r="C10" s="4">
        <f>C61</f>
      </c>
    </row>
    <row r="11">
      <c r="B11" s="0" t="inlineStr">
        <is>
          <t xml:space="preserve">FY22-25 average annual TAM $M/yr</t>
        </is>
      </c>
      <c r="C11" s="4">
        <f>C69</f>
      </c>
    </row>
    <row r="14">
      <c r="A14" s="0" t="inlineStr">
        <is>
          <t xml:space="preserve">x</t>
        </is>
      </c>
      <c r="B14" s="9" t="inlineStr">
        <is>
          <t xml:space="preserve">§2 - Outsourced BC penetration by FY (constant FY2026 $, per class)</t>
        </is>
      </c>
      <c r="C14" s="9"/>
      <c r="D14" s="9"/>
      <c r="E14" s="9"/>
      <c r="F14" s="9"/>
      <c r="G14" s="9"/>
      <c r="H14" s="9"/>
    </row>
    <row r="16">
      <c r="B16" s="2" t="inlineStr">
        <is>
          <t xml:space="preserve">Metric</t>
        </is>
      </c>
      <c r="C16" s="22">
        <v>2022</v>
      </c>
      <c r="D16" s="22">
        <v>2023</v>
      </c>
      <c r="E16" s="22">
        <v>2024</v>
      </c>
      <c r="F16" s="22">
        <v>2025</v>
      </c>
      <c r="G16" s="22">
        <v>2026</v>
      </c>
      <c r="H16" s="22">
        <v>2027</v>
      </c>
    </row>
    <row r="17" outlineLevel="1">
      <c r="B17" s="0" t="inlineStr">
        <is>
          <t xml:space="preserve">Virginia Outsourced BC TAM incl. OBBBA stream ($M)</t>
        </is>
      </c>
      <c r="C17" s="11">
        <f>N('Sub TAM Build'!C116)</f>
      </c>
      <c r="D17" s="11">
        <f>N('Sub TAM Build'!D116)</f>
      </c>
      <c r="E17" s="11">
        <f>N('Sub TAM Build'!E116)</f>
      </c>
      <c r="F17" s="11">
        <f>N('Sub TAM Build'!F116)</f>
      </c>
      <c r="G17" s="11">
        <f>N('Sub TAM Build'!G116)</f>
      </c>
      <c r="H17" s="11">
        <f>N('Sub TAM Build'!H116)</f>
      </c>
    </row>
    <row r="18" outlineLevel="1">
      <c r="B18" s="0" t="inlineStr">
        <is>
          <t xml:space="preserve">Columbia Outsourced BC TAM ($M)</t>
        </is>
      </c>
      <c r="C18" s="11">
        <f>N('Sub TAM Build'!C127)</f>
      </c>
      <c r="D18" s="11">
        <f>N('Sub TAM Build'!D127)</f>
      </c>
      <c r="E18" s="11">
        <f>N('Sub TAM Build'!E127)</f>
      </c>
      <c r="F18" s="11">
        <f>N('Sub TAM Build'!F127)</f>
      </c>
      <c r="G18" s="11">
        <f>N('Sub TAM Build'!G127)</f>
      </c>
      <c r="H18" s="11">
        <f>N('Sub TAM Build'!H127)</f>
      </c>
    </row>
    <row r="19" outlineLevel="1">
      <c r="B19" s="1" t="inlineStr">
        <is>
          <t xml:space="preserve">Outsourced BC TAM, all streams (portfolio $M)</t>
        </is>
      </c>
      <c r="C19" s="11">
        <f>N('Sub TAM Build'!C135)</f>
      </c>
      <c r="D19" s="11">
        <f>N('Sub TAM Build'!D135)</f>
      </c>
      <c r="E19" s="11">
        <f>N('Sub TAM Build'!E135)</f>
      </c>
      <c r="F19" s="11">
        <f>N('Sub TAM Build'!F135)</f>
      </c>
      <c r="G19" s="11">
        <f>N('Sub TAM Build'!G135)</f>
      </c>
      <c r="H19" s="11">
        <f>N('Sub TAM Build'!H135)</f>
      </c>
    </row>
    <row r="20" outlineLevel="1">
      <c r="B20" s="0" t="inlineStr">
        <is>
          <t xml:space="preserve">Virginia P-5c Total Ship Estimate ($M)</t>
        </is>
      </c>
      <c r="C20" s="11">
        <f>'Sub SCN Budget'!C44</f>
      </c>
      <c r="D20" s="11">
        <f>'Sub SCN Budget'!D44</f>
      </c>
      <c r="E20" s="11">
        <f>'Sub SCN Budget'!E44</f>
      </c>
      <c r="F20" s="11">
        <f>'Sub SCN Budget'!F44</f>
      </c>
      <c r="G20" s="11">
        <f>'Sub SCN Budget'!G44</f>
      </c>
      <c r="H20" s="11">
        <f>'Sub SCN Budget'!H44</f>
      </c>
    </row>
    <row r="21" outlineLevel="1">
      <c r="B21" s="0" t="inlineStr">
        <is>
          <t xml:space="preserve">plus OBBBA gross award ($M; rides Virginia, toggle-gated, FY27 via spillover)</t>
        </is>
      </c>
      <c r="C21" s="4">
        <v>0</v>
      </c>
      <c r="D21" s="4">
        <v>0</v>
      </c>
      <c r="E21" s="4">
        <v>0</v>
      </c>
      <c r="F21" s="4">
        <v>0</v>
      </c>
      <c r="G21" s="11">
        <f>(N('Sub OBBBA Mandatory'!G26)+N('Sub OBBBA Mandatory'!G27))*(1-'Sub Assumptions'!C45)*'Deflators'!D11*'Sub Assumptions'!C18</f>
      </c>
      <c r="H21" s="11">
        <f>(N('Sub OBBBA Mandatory'!G26)+N('Sub OBBBA Mandatory'!G27))*'Sub Assumptions'!C45*'Deflators'!D12*'Sub Assumptions'!C18</f>
      </c>
    </row>
    <row r="22" outlineLevel="1">
      <c r="B22" s="1" t="inlineStr">
        <is>
          <t xml:space="preserve">Virginia total spend incl. OBBBA ($M)</t>
        </is>
      </c>
      <c r="C22" s="4">
        <f>C20+N(C21)</f>
      </c>
      <c r="D22" s="4">
        <f>D20+N(D21)</f>
      </c>
      <c r="E22" s="4">
        <f>E20+N(E21)</f>
      </c>
      <c r="F22" s="4">
        <f>F20+N(F21)</f>
      </c>
      <c r="G22" s="4">
        <f>G20+N(G21)</f>
      </c>
      <c r="H22" s="4">
        <f>H20+N(H21)</f>
      </c>
    </row>
    <row r="23" outlineLevel="1">
      <c r="B23" s="1" t="inlineStr">
        <is>
          <t xml:space="preserve">Columbia total spend: P-5c Total Ship Estimate ($M)</t>
        </is>
      </c>
      <c r="C23" s="11">
        <f>'Sub SCN Budget'!C86</f>
      </c>
      <c r="D23" s="11">
        <f>'Sub SCN Budget'!D86</f>
      </c>
      <c r="E23" s="11">
        <f>'Sub SCN Budget'!E86</f>
      </c>
      <c r="F23" s="11">
        <f>'Sub SCN Budget'!F86</f>
      </c>
      <c r="G23" s="11">
        <f>'Sub SCN Budget'!G86</f>
      </c>
      <c r="H23" s="11">
        <f>'Sub SCN Budget'!H86</f>
      </c>
    </row>
    <row r="24">
      <c r="B24" s="3" t="inlineStr">
        <is>
          <t xml:space="preserve">Total ship spend incl. OBBBA (portfolio $M)</t>
        </is>
      </c>
      <c r="C24" s="13">
        <f>C22+C23</f>
      </c>
      <c r="D24" s="13">
        <f>D22+D23</f>
      </c>
      <c r="E24" s="13">
        <f>E22+E23</f>
      </c>
      <c r="F24" s="13">
        <f>F22+F23</f>
      </c>
      <c r="G24" s="13">
        <f>G22+G23</f>
      </c>
      <c r="H24" s="13">
        <f>H22+H23</f>
      </c>
    </row>
    <row r="25" outlineLevel="1">
      <c r="B25" s="0" t="inlineStr">
        <is>
          <t xml:space="preserve">Virginia penetration: TAM / total spend</t>
        </is>
      </c>
      <c r="C25" s="6">
        <f>IF(C22=0,"",C17/C22)</f>
      </c>
      <c r="D25" s="6">
        <f>IF(D22=0,"",D17/D22)</f>
      </c>
      <c r="E25" s="6">
        <f>IF(E22=0,"",E17/E22)</f>
      </c>
      <c r="F25" s="6">
        <f>IF(F22=0,"",F17/F22)</f>
      </c>
      <c r="G25" s="6">
        <f>IF(G22=0,"",G17/G22)</f>
      </c>
      <c r="H25" s="6">
        <f>IF(H22=0,"",H17/H22)</f>
      </c>
    </row>
    <row r="26" outlineLevel="1">
      <c r="B26" s="0" t="inlineStr">
        <is>
          <t xml:space="preserve">Columbia penetration: TAM / total spend</t>
        </is>
      </c>
      <c r="C26" s="6">
        <f>IF(C23=0,"",C18/C23)</f>
      </c>
      <c r="D26" s="6">
        <f>IF(D23=0,"",D18/D23)</f>
      </c>
      <c r="E26" s="6">
        <f>IF(E23=0,"",E18/E23)</f>
      </c>
      <c r="F26" s="6">
        <f>IF(F23=0,"",F18/F23)</f>
      </c>
      <c r="G26" s="6">
        <f>IF(G23=0,"",G18/G23)</f>
      </c>
      <c r="H26" s="6">
        <f>IF(H23=0,"",H18/H23)</f>
      </c>
    </row>
    <row r="27" outlineLevel="1">
      <c r="B27" s="1" t="inlineStr">
        <is>
          <t xml:space="preserve">Portfolio penetration: TAM / total ship spend</t>
        </is>
      </c>
      <c r="C27" s="6">
        <f>IF(C24=0,"",C19/C24)</f>
      </c>
      <c r="D27" s="6">
        <f>IF(D24=0,"",D19/D24)</f>
      </c>
      <c r="E27" s="6">
        <f>IF(E24=0,"",E19/E24)</f>
      </c>
      <c r="F27" s="6">
        <f>IF(F24=0,"",F19/F24)</f>
      </c>
      <c r="G27" s="6">
        <f>IF(G24=0,"",G19/G24)</f>
      </c>
      <c r="H27" s="6">
        <f>IF(H24=0,"",H19/H24)</f>
      </c>
    </row>
    <row r="30">
      <c r="A30" s="0" t="inlineStr">
        <is>
          <t xml:space="preserve">x</t>
        </is>
      </c>
      <c r="B30" s="9" t="inlineStr">
        <is>
          <t xml:space="preserve">§3 - Window-average penetration (ratio of sums) + outyear assumptions</t>
        </is>
      </c>
      <c r="C30" s="9"/>
      <c r="D30" s="9"/>
      <c r="E30" s="9"/>
      <c r="F30" s="9"/>
      <c r="G30" s="9"/>
      <c r="H30" s="9"/>
    </row>
    <row r="32">
      <c r="B32" s="2" t="inlineStr">
        <is>
          <t xml:space="preserve">Measure</t>
        </is>
      </c>
      <c r="C32" s="22" t="inlineStr">
        <is>
          <t xml:space="preserve">Value</t>
        </is>
      </c>
    </row>
    <row r="33" outlineLevel="1">
      <c r="B33" s="1" t="inlineStr">
        <is>
          <t xml:space="preserve">Virginia FY22-25 average (sum TAM / sum spend; complete historical years)</t>
        </is>
      </c>
      <c r="C33" s="6">
        <f>SUM(C17:F17)/SUM(C22:F22)</f>
      </c>
    </row>
    <row r="34" outlineLevel="1">
      <c r="B34" s="1" t="inlineStr">
        <is>
          <t xml:space="preserve">Columbia FY22-25 average (sum TAM / sum spend; complete historical years)</t>
        </is>
      </c>
      <c r="C34" s="6">
        <f>SUM(C18:F18)/SUM(C23:F23)</f>
      </c>
    </row>
    <row r="35" outlineLevel="1">
      <c r="B35" s="0" t="inlineStr">
        <is>
          <t xml:space="preserve">Portfolio FY22-25 average (sum TAM / sum spend; memo)</t>
        </is>
      </c>
      <c r="C35" s="6">
        <f>SUM(C19:F19)/SUM(C24:F24)</f>
      </c>
    </row>
    <row r="36" outlineLevel="1">
      <c r="B36" s="0" t="inlineStr">
        <is>
          <t xml:space="preserve">Portfolio FY22-27 average (sum TAM / sum spend; memo)</t>
        </is>
      </c>
      <c r="C36" s="6">
        <f>SUM(C19:H19)/SUM(C24:H24)</f>
      </c>
    </row>
    <row r="37" outlineLevel="1">
      <c r="B37" s="0" t="inlineStr">
        <is>
          <t xml:space="preserve">Portfolio FY26-27 average (sum TAM / sum spend; memo)</t>
        </is>
      </c>
      <c r="C37" s="6">
        <f>SUM(G19:H19)/SUM(G24:H24)</f>
      </c>
    </row>
    <row r="38" outlineLevel="1">
      <c r="B38" s="0" t="inlineStr">
        <is>
          <t xml:space="preserve">Outsourcing intent uplift (Assumptions §9)</t>
        </is>
      </c>
      <c r="C38" s="12">
        <f>'Sub Assumptions'!C61</f>
      </c>
    </row>
    <row r="39" outlineLevel="1">
      <c r="B39" s="1" t="inlineStr">
        <is>
          <t xml:space="preserve">Virginia assumption, low (= class FY22-25 average)</t>
        </is>
      </c>
      <c r="C39" s="6">
        <f>C33</f>
      </c>
    </row>
    <row r="40" outlineLevel="1">
      <c r="B40" s="1" t="inlineStr">
        <is>
          <t xml:space="preserve">Virginia assumption, high (= low x (1 + intent uplift))</t>
        </is>
      </c>
      <c r="C40" s="6">
        <f>C39*(1+C38)</f>
      </c>
    </row>
    <row r="41" outlineLevel="1">
      <c r="B41" s="1" t="inlineStr">
        <is>
          <t xml:space="preserve">Columbia assumption, low (= class FY22-25 average)</t>
        </is>
      </c>
      <c r="C41" s="6">
        <f>C34</f>
      </c>
    </row>
    <row r="42" outlineLevel="1">
      <c r="B42" s="1" t="inlineStr">
        <is>
          <t xml:space="preserve">Columbia assumption, high (= low x (1 + intent uplift))</t>
        </is>
      </c>
      <c r="C42" s="6">
        <f>C41*(1+C38)</f>
      </c>
    </row>
    <row r="43" outlineLevel="1">
      <c r="B43" s="0" t="inlineStr">
        <is>
          <t xml:space="preserve">Window average = sum of TAM / sum of spend over the window, not the mean of annual ratios.</t>
        </is>
      </c>
    </row>
    <row r="46">
      <c r="A46" s="0" t="inlineStr">
        <is>
          <t xml:space="preserve">x</t>
        </is>
      </c>
      <c r="B46" s="9" t="inlineStr">
        <is>
          <t xml:space="preserve">§4 - Implied outyear Outsourced BC (FY2028-FY2031, per class)</t>
        </is>
      </c>
      <c r="C46" s="9"/>
      <c r="D46" s="9"/>
      <c r="E46" s="9"/>
      <c r="F46" s="9"/>
      <c r="G46" s="9"/>
      <c r="H46" s="9"/>
    </row>
    <row r="48">
      <c r="B48" s="2" t="inlineStr">
        <is>
          <t xml:space="preserve">Metric</t>
        </is>
      </c>
      <c r="C48" s="22">
        <v>2028</v>
      </c>
      <c r="D48" s="22">
        <v>2029</v>
      </c>
      <c r="E48" s="22">
        <v>2030</v>
      </c>
      <c r="F48" s="22">
        <v>2031</v>
      </c>
    </row>
    <row r="49" outlineLevel="1">
      <c r="B49" s="0" t="inlineStr">
        <is>
          <t xml:space="preserve">Virginia FYDP gross, constant FY2026 $M</t>
        </is>
      </c>
      <c r="C49" s="11">
        <f>'Sub FYDP Outyears'!F33</f>
      </c>
      <c r="D49" s="11">
        <f>'Sub FYDP Outyears'!G33</f>
      </c>
      <c r="E49" s="11">
        <f>'Sub FYDP Outyears'!H33</f>
      </c>
      <c r="F49" s="11">
        <f>'Sub FYDP Outyears'!I33</f>
      </c>
    </row>
    <row r="50" outlineLevel="1">
      <c r="B50" s="0" t="inlineStr">
        <is>
          <t xml:space="preserve">Columbia FYDP gross, constant FY2026 $M</t>
        </is>
      </c>
      <c r="C50" s="11">
        <f>'Sub FYDP Outyears'!F34</f>
      </c>
      <c r="D50" s="11">
        <f>'Sub FYDP Outyears'!G34</f>
      </c>
      <c r="E50" s="11">
        <f>'Sub FYDP Outyears'!H34</f>
      </c>
      <c r="F50" s="11">
        <f>'Sub FYDP Outyears'!I34</f>
      </c>
    </row>
    <row r="51" outlineLevel="1">
      <c r="B51" s="1" t="inlineStr">
        <is>
          <t xml:space="preserve">Portfolio FYDP gross (PB2027 request), constant FY2026 $M</t>
        </is>
      </c>
      <c r="C51" s="11">
        <f>'Sub FYDP Outyears'!F35</f>
      </c>
      <c r="D51" s="11">
        <f>'Sub FYDP Outyears'!G35</f>
      </c>
      <c r="E51" s="11">
        <f>'Sub FYDP Outyears'!H35</f>
      </c>
      <c r="F51" s="11">
        <f>'Sub FYDP Outyears'!I35</f>
      </c>
    </row>
    <row r="52" outlineLevel="1">
      <c r="B52" s="0" t="inlineStr">
        <is>
          <t xml:space="preserve">Virginia implied Outsourced BC, low ($M)</t>
        </is>
      </c>
      <c r="C52" s="4">
        <f>C49*$C$39</f>
      </c>
      <c r="D52" s="4">
        <f>D49*$C$39</f>
      </c>
      <c r="E52" s="4">
        <f>E49*$C$39</f>
      </c>
      <c r="F52" s="4">
        <f>F49*$C$39</f>
      </c>
    </row>
    <row r="53" outlineLevel="1">
      <c r="B53" s="0" t="inlineStr">
        <is>
          <t xml:space="preserve">Virginia implied Outsourced BC, high ($M)</t>
        </is>
      </c>
      <c r="C53" s="4">
        <f>C49*$C$40</f>
      </c>
      <c r="D53" s="4">
        <f>D49*$C$40</f>
      </c>
      <c r="E53" s="4">
        <f>E49*$C$40</f>
      </c>
      <c r="F53" s="4">
        <f>F49*$C$40</f>
      </c>
    </row>
    <row r="54" outlineLevel="1">
      <c r="B54" s="0" t="inlineStr">
        <is>
          <t xml:space="preserve">Columbia implied Outsourced BC, low ($M)</t>
        </is>
      </c>
      <c r="C54" s="4">
        <f>C50*$C$41</f>
      </c>
      <c r="D54" s="4">
        <f>D50*$C$41</f>
      </c>
      <c r="E54" s="4">
        <f>E50*$C$41</f>
      </c>
      <c r="F54" s="4">
        <f>F50*$C$41</f>
      </c>
    </row>
    <row r="55" outlineLevel="1">
      <c r="B55" s="0" t="inlineStr">
        <is>
          <t xml:space="preserve">Columbia implied Outsourced BC, high ($M)</t>
        </is>
      </c>
      <c r="C55" s="4">
        <f>C50*$C$42</f>
      </c>
      <c r="D55" s="4">
        <f>D50*$C$42</f>
      </c>
      <c r="E55" s="4">
        <f>E50*$C$42</f>
      </c>
      <c r="F55" s="4">
        <f>F50*$C$42</f>
      </c>
    </row>
    <row r="56" outlineLevel="1">
      <c r="B56" s="1" t="inlineStr">
        <is>
          <t xml:space="preserve">Portfolio implied Outsourced BC, low ($M)</t>
        </is>
      </c>
      <c r="C56" s="4">
        <f>C52+C54</f>
      </c>
      <c r="D56" s="4">
        <f>D52+D54</f>
      </c>
      <c r="E56" s="4">
        <f>E52+E54</f>
      </c>
      <c r="F56" s="4">
        <f>F52+F54</f>
      </c>
    </row>
    <row r="57" outlineLevel="1">
      <c r="B57" s="1" t="inlineStr">
        <is>
          <t xml:space="preserve">Portfolio implied Outsourced BC, high ($M)</t>
        </is>
      </c>
      <c r="C57" s="4">
        <f>C53+C55</f>
      </c>
      <c r="D57" s="4">
        <f>D53+D55</f>
      </c>
      <c r="E57" s="4">
        <f>E53+E55</f>
      </c>
      <c r="F57" s="4">
        <f>F53+F55</f>
      </c>
    </row>
    <row r="58" outlineLevel="1">
      <c r="B58" s="0" t="inlineStr">
        <is>
          <t xml:space="preserve">Range, high - low ($M)</t>
        </is>
      </c>
      <c r="C58" s="4">
        <f>C57-C56</f>
      </c>
      <c r="D58" s="4">
        <f>D57-D56</f>
      </c>
      <c r="E58" s="4">
        <f>E57-E56</f>
      </c>
      <c r="F58" s="4">
        <f>F57-F56</f>
      </c>
    </row>
    <row r="60" outlineLevel="1">
      <c r="B60" s="0" t="inlineStr">
        <is>
          <t xml:space="preserve">Portfolio implied low, FY28-31 average ($M/yr)</t>
        </is>
      </c>
      <c r="C60" s="4">
        <f>SUM(C56:F56)/4</f>
      </c>
    </row>
    <row r="61" outlineLevel="1">
      <c r="B61" s="0" t="inlineStr">
        <is>
          <t xml:space="preserve">Portfolio implied high, FY28-31 average ($M/yr)</t>
        </is>
      </c>
      <c r="C61" s="4">
        <f>SUM(C57:F57)/4</f>
      </c>
    </row>
    <row r="62" outlineLevel="1">
      <c r="B62" s="0" t="inlineStr">
        <is>
          <t xml:space="preserve">Effective blended assumption, low (portfolio implied / FYDP gross)</t>
        </is>
      </c>
      <c r="C62" s="6">
        <f>SUM(C56:F56)/SUM(C51:F51)</f>
      </c>
    </row>
    <row r="63" outlineLevel="1">
      <c r="B63" s="0" t="inlineStr">
        <is>
          <t xml:space="preserve">Effective blended assumption, high (portfolio implied / FYDP gross)</t>
        </is>
      </c>
      <c r="C63" s="6">
        <f>SUM(C57:F57)/SUM(C51:F51)</f>
      </c>
    </row>
    <row r="66">
      <c r="A66" s="0" t="inlineStr">
        <is>
          <t xml:space="preserve">x</t>
        </is>
      </c>
      <c r="B66" s="9" t="inlineStr">
        <is>
          <t xml:space="preserve">§5 - FY22-25 average annual TAM</t>
        </is>
      </c>
      <c r="C66" s="9"/>
      <c r="D66" s="9"/>
      <c r="E66" s="9"/>
      <c r="F66" s="9"/>
      <c r="G66" s="9"/>
      <c r="H66" s="9"/>
    </row>
    <row r="68">
      <c r="B68" s="2" t="inlineStr">
        <is>
          <t xml:space="preserve">Measure</t>
        </is>
      </c>
      <c r="C68" s="22" t="inlineStr">
        <is>
          <t xml:space="preserve">Value</t>
        </is>
      </c>
    </row>
    <row r="69" outlineLevel="1">
      <c r="B69" s="1" t="inlineStr">
        <is>
          <t xml:space="preserve">Average annual TAM, FY22-25 (portfolio $M/yr)</t>
        </is>
      </c>
      <c r="C69" s="4">
        <f>(N('Sub TAM Build'!C135)+N('Sub TAM Build'!D135)+N('Sub TAM Build'!E135)+N('Sub TAM Build'!F135))/4</f>
      </c>
    </row>
    <row r="70" outlineLevel="1">
      <c r="B70" s="0" t="inlineStr">
        <is>
          <t xml:space="preserve">Virginia average annual TAM, FY22-25 ($M/yr)</t>
        </is>
      </c>
      <c r="C70" s="4">
        <f>SUM(C17:F17)/4</f>
      </c>
    </row>
    <row r="71" outlineLevel="1">
      <c r="B71" s="0" t="inlineStr">
        <is>
          <t xml:space="preserve">Columbia average annual TAM, FY22-25 ($M/yr)</t>
        </is>
      </c>
      <c r="C71" s="4">
        <f>SUM(C18:F18)/4</f>
      </c>
    </row>
    <row r="74">
      <c r="A74" s="0" t="inlineStr">
        <is>
          <t xml:space="preserve">x</t>
        </is>
      </c>
      <c r="B74" s="9" t="inlineStr">
        <is>
          <t xml:space="preserve">§6 - Checks</t>
        </is>
      </c>
      <c r="C74" s="9"/>
      <c r="D74" s="9"/>
      <c r="E74" s="9"/>
      <c r="F74" s="9"/>
      <c r="G74" s="9"/>
      <c r="H74" s="9"/>
    </row>
    <row r="76">
      <c r="B76" s="2" t="inlineStr">
        <is>
          <t xml:space="preserve">Check</t>
        </is>
      </c>
      <c r="C76" s="2" t="inlineStr">
        <is>
          <t xml:space="preserve">Status</t>
        </is>
      </c>
    </row>
    <row r="77" outlineLevel="1">
      <c r="B77" s="0" t="inlineStr">
        <is>
          <t xml:space="preserve">Virginia FY27 FYDP gross ties to SCN Budget FY27 TSE (constant)</t>
        </is>
      </c>
      <c r="C77" s="0">
        <f>IF(ABS(N('Sub FYDP Outyears'!E33)-N('Sub SCN Budget'!H44))&lt;1,"OK","FAIL")</f>
      </c>
    </row>
    <row r="78" outlineLevel="1">
      <c r="B78" s="0" t="inlineStr">
        <is>
          <t xml:space="preserve">Columbia FY27 FYDP gross ties to SCN Budget FY27 TSE (constant)</t>
        </is>
      </c>
      <c r="C78" s="0">
        <f>IF(ABS(N('Sub FYDP Outyears'!E34)-N('Sub SCN Budget'!H86))&lt;1,"OK","FAIL")</f>
      </c>
    </row>
    <row r="79" outlineLevel="1">
      <c r="B79" s="0" t="inlineStr">
        <is>
          <t xml:space="preserve">Virginia FY26 FYDP gross ties to PB2027 ($5,389.1M, one boat)</t>
        </is>
      </c>
      <c r="C79" s="0">
        <f>IF(ABS(N('Sub FYDP Outyears'!D16)-5389.109)&lt;1,"OK","FAIL")</f>
      </c>
    </row>
    <row r="80" outlineLevel="1">
      <c r="B80" s="0" t="inlineStr">
        <is>
          <t xml:space="preserve">Va + Col class TAM sums to portfolio TAM each FY</t>
        </is>
      </c>
      <c r="C80" s="0">
        <f>IF(SUMPRODUCT(ABS(C17:H17+C18:H18-C19:H19))&lt;0.5,"OK","FAIL")</f>
      </c>
    </row>
    <row r="81" outlineLevel="1">
      <c r="B81" s="0" t="inlineStr">
        <is>
          <t xml:space="preserve">Penetration at or below 100% each FY (portfolio)</t>
        </is>
      </c>
      <c r="C81" s="0">
        <f>IF(COUNTIF(C27:H27,"&gt;1")=0,"OK","REVIEW")</f>
      </c>
    </row>
    <row r="82" outlineLevel="1">
      <c r="B82" s="0" t="inlineStr">
        <is>
          <t xml:space="preserve">Class penetration at or below 100% each FY</t>
        </is>
      </c>
      <c r="C82" s="0">
        <f>IF(COUNTIF(C25:H25,"&gt;1")+COUNTIF(C26:H26,"&gt;1")=0,"OK","REVIEW")</f>
      </c>
    </row>
    <row r="83" outlineLevel="1">
      <c r="B83" s="0" t="inlineStr">
        <is>
          <t xml:space="preserve">Low assumption at or below high (each class)</t>
        </is>
      </c>
      <c r="C83" s="0">
        <f>IF(AND(C39&lt;=C40,C41&lt;=C42),"OK","FAIL")</f>
      </c>
    </row>
  </sheetData>
</worksheet>
</file>

<file path=xl/worksheets/sheet12.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38" customWidth="1"/>
    <col min="3" max="3" width="14" customWidth="1"/>
    <col min="4" max="4" width="14" customWidth="1"/>
    <col min="5" max="5" width="14" customWidth="1"/>
    <col min="6" max="6" width="14" customWidth="1"/>
    <col min="7" max="7" width="14" customWidth="1"/>
    <col min="8" max="8" width="14" customWidth="1"/>
    <col min="9" max="9" width="14" customWidth="1"/>
  </cols>
  <sheetData>
    <row r="1"/>
    <row r="2">
      <c r="B2" s="8" t="inlineStr">
        <is>
          <t xml:space="preserve">DDG TAM Build</t>
        </is>
      </c>
      <c r="C2" s="8"/>
      <c r="D2" s="8"/>
      <c r="E2" s="8"/>
      <c r="F2" s="8"/>
      <c r="G2" s="8"/>
      <c r="H2" s="8"/>
      <c r="I2" s="8"/>
    </row>
    <row r="4">
      <c r="B4" s="9" t="inlineStr">
        <is>
          <t xml:space="preserve">§1 - Headline TAM</t>
        </is>
      </c>
      <c r="C4" s="9"/>
      <c r="D4" s="9"/>
      <c r="E4" s="9"/>
      <c r="F4" s="9"/>
      <c r="G4" s="9"/>
      <c r="H4" s="9"/>
      <c r="I4" s="9"/>
    </row>
    <row r="6">
      <c r="B6" s="2" t="inlineStr">
        <is>
          <t xml:space="preserve">Measure</t>
        </is>
      </c>
      <c r="C6" s="22" t="inlineStr">
        <is>
          <t xml:space="preserve">Value</t>
        </is>
      </c>
    </row>
    <row r="7">
      <c r="B7" s="1" t="inlineStr">
        <is>
          <t xml:space="preserve">Portfolio TAM (FY22-27, both streams) $M</t>
        </is>
      </c>
      <c r="C7" s="4">
        <f>'DDG TAM Build'!I117</f>
      </c>
    </row>
    <row r="8">
      <c r="B8" s="0" t="inlineStr">
        <is>
          <t xml:space="preserve">BC-stream TAM $M</t>
        </is>
      </c>
      <c r="C8" s="4">
        <f>'DDG TAM Build'!I115</f>
      </c>
    </row>
    <row r="9">
      <c r="B9" s="0" t="inlineStr">
        <is>
          <t xml:space="preserve">AP/LLTM-stream TAM $M</t>
        </is>
      </c>
      <c r="C9" s="4">
        <f>'DDG TAM Build'!I116</f>
      </c>
    </row>
    <row r="10">
      <c r="B10" s="1" t="inlineStr">
        <is>
          <t xml:space="preserve">Average annual TAM $M/yr</t>
        </is>
      </c>
      <c r="C10" s="4">
        <f>'DDG TAM Build'!C137</f>
      </c>
    </row>
    <row r="11">
      <c r="B11" s="0" t="inlineStr">
        <is>
          <t xml:space="preserve">Supplier TAM per in-window hull $M</t>
        </is>
      </c>
      <c r="C11" s="4">
        <f>'DDG TAM Build'!C139</f>
      </c>
    </row>
    <row r="12">
      <c r="B12" s="0" t="inlineStr">
        <is>
          <t xml:space="preserve">BC TAM per in-window hull $M</t>
        </is>
      </c>
      <c r="C12" s="4">
        <f>'DDG TAM Build'!C140</f>
      </c>
    </row>
    <row r="13">
      <c r="B13" s="0" t="inlineStr">
        <is>
          <t xml:space="preserve">Applied BC supplier coefficient (FY23-27)</t>
        </is>
      </c>
      <c r="C13" s="6">
        <f>'DDG TAM Build'!C44</f>
      </c>
    </row>
    <row r="14">
      <c r="B14" s="0" t="inlineStr">
        <is>
          <t xml:space="preserve">AP/LLTM supplier coefficient</t>
        </is>
      </c>
      <c r="C14" s="6">
        <f>'DDG TAM Build'!C46</f>
      </c>
    </row>
    <row r="17">
      <c r="A17" s="0" t="inlineStr">
        <is>
          <t xml:space="preserve">x</t>
        </is>
      </c>
      <c r="B17" s="9" t="inlineStr">
        <is>
          <t xml:space="preserve">§2 - Normalized budget (stream bases)</t>
        </is>
      </c>
      <c r="C17" s="9"/>
      <c r="D17" s="9"/>
      <c r="E17" s="9"/>
      <c r="F17" s="9"/>
      <c r="G17" s="9"/>
      <c r="H17" s="9"/>
      <c r="I17" s="9"/>
    </row>
    <row r="19">
      <c r="A19" s="0" t="inlineStr">
        <is>
          <t xml:space="preserve">x</t>
        </is>
      </c>
      <c r="B19" s="10" t="inlineStr">
        <is>
          <t xml:space="preserve">§2a - Stream include-in-TAM toggles (1 = include)</t>
        </is>
      </c>
      <c r="C19" s="10"/>
      <c r="D19" s="10"/>
      <c r="E19" s="10"/>
      <c r="F19" s="10"/>
      <c r="G19" s="10"/>
      <c r="H19" s="10"/>
      <c r="I19" s="10"/>
    </row>
    <row r="21">
      <c r="B21" s="2" t="inlineStr">
        <is>
          <t xml:space="preserve">Toggle</t>
        </is>
      </c>
      <c r="C21" s="22" t="inlineStr">
        <is>
          <t xml:space="preserve">Value</t>
        </is>
      </c>
    </row>
    <row r="22" outlineLevel="1">
      <c r="B22" s="0" t="inlineStr">
        <is>
          <t xml:space="preserve">Include BC stream</t>
        </is>
      </c>
      <c r="C22" s="11">
        <f>'DDG Assumptions'!C16</f>
      </c>
    </row>
    <row r="23" outlineLevel="1">
      <c r="B23" s="0" t="inlineStr">
        <is>
          <t xml:space="preserve">Include AP/LLTM stream</t>
        </is>
      </c>
      <c r="C23" s="11">
        <f>'DDG Assumptions'!C17</f>
      </c>
    </row>
    <row r="24" outlineLevel="1">
      <c r="B24" s="0" t="inlineStr">
        <is>
          <t xml:space="preserve">Include OBBBA mandatory (Sec. 20002(17))</t>
        </is>
      </c>
      <c r="C24" s="11">
        <f>'DDG Assumptions'!C18</f>
      </c>
    </row>
    <row r="27">
      <c r="A27" s="0" t="inlineStr">
        <is>
          <t xml:space="preserve">x</t>
        </is>
      </c>
      <c r="B27" s="10" t="inlineStr">
        <is>
          <t xml:space="preserve">§2b - DDG-51 (LI 2122) stream bases ($M, FY22-FY27)</t>
        </is>
      </c>
      <c r="C27" s="10"/>
      <c r="D27" s="10"/>
      <c r="E27" s="10"/>
      <c r="F27" s="10"/>
      <c r="G27" s="10"/>
      <c r="H27" s="10"/>
      <c r="I27" s="10"/>
    </row>
    <row r="29">
      <c r="B29" s="2" t="inlineStr">
        <is>
          <t xml:space="preserve">Metric</t>
        </is>
      </c>
      <c r="C29" s="22">
        <v>2022</v>
      </c>
      <c r="D29" s="22">
        <v>2023</v>
      </c>
      <c r="E29" s="22">
        <v>2024</v>
      </c>
      <c r="F29" s="22">
        <v>2025</v>
      </c>
      <c r="G29" s="22">
        <v>2026</v>
      </c>
      <c r="H29" s="22">
        <v>2027</v>
      </c>
    </row>
    <row r="30" outlineLevel="1">
      <c r="B30" s="1" t="inlineStr">
        <is>
          <t xml:space="preserve">BC base (P-5c Basic Construction)</t>
        </is>
      </c>
      <c r="C30" s="11">
        <f>'DDG SCN Budget'!C30</f>
      </c>
      <c r="D30" s="11">
        <f>'DDG SCN Budget'!D30</f>
      </c>
      <c r="E30" s="11">
        <f>'DDG SCN Budget'!E30</f>
      </c>
      <c r="F30" s="11">
        <f>'DDG SCN Budget'!F30</f>
      </c>
      <c r="G30" s="11">
        <f>'DDG SCN Budget'!G30</f>
      </c>
      <c r="H30" s="11">
        <f>'DDG SCN Budget'!H30</f>
      </c>
    </row>
    <row r="31" outlineLevel="1">
      <c r="B31" s="1" t="inlineStr">
        <is>
          <t xml:space="preserve">OBBBA mandatory BC base (Sec. 20002(17))</t>
        </is>
      </c>
      <c r="C31" s="11">
        <f>'DDG OBBBA Mandatory'!C29</f>
      </c>
      <c r="D31" s="11">
        <f>'DDG OBBBA Mandatory'!D29</f>
      </c>
      <c r="E31" s="11">
        <f>'DDG OBBBA Mandatory'!E29</f>
      </c>
      <c r="F31" s="11">
        <f>'DDG OBBBA Mandatory'!F29</f>
      </c>
      <c r="G31" s="11">
        <f>'DDG OBBBA Mandatory'!G29</f>
      </c>
      <c r="H31" s="11">
        <f>'DDG OBBBA Mandatory'!H29</f>
      </c>
    </row>
    <row r="32" outlineLevel="1">
      <c r="B32" s="1" t="inlineStr">
        <is>
          <t xml:space="preserve">AP/LLTM base (P-10 Ship Construction EOQ)</t>
        </is>
      </c>
      <c r="C32" s="11">
        <f>'DDG Assumptions'!C26</f>
      </c>
      <c r="D32" s="11">
        <f>'DDG Assumptions'!D26</f>
      </c>
      <c r="E32" s="11">
        <f>'DDG Assumptions'!E26</f>
      </c>
      <c r="F32" s="11">
        <f>'DDG Assumptions'!F26</f>
      </c>
      <c r="G32" s="11">
        <f>'DDG Assumptions'!G26</f>
      </c>
      <c r="H32" s="11">
        <f>'DDG Assumptions'!H26</f>
      </c>
    </row>
    <row r="33" outlineLevel="1">
      <c r="B33" s="0" t="inlineStr">
        <is>
          <t xml:space="preserve">Less: prior-yr AP credit</t>
        </is>
      </c>
      <c r="C33" s="5">
        <v>0</v>
      </c>
      <c r="D33" s="5">
        <v>0</v>
      </c>
      <c r="E33" s="5">
        <v>0</v>
      </c>
      <c r="F33" s="5">
        <v>0</v>
      </c>
      <c r="G33" s="5">
        <v>0</v>
      </c>
      <c r="H33" s="5">
        <v>0</v>
      </c>
    </row>
    <row r="34" outlineLevel="1">
      <c r="B34" s="0" t="inlineStr">
        <is>
          <t xml:space="preserve">BC base in TAM (P-5c + OBBBA mandatory)</t>
        </is>
      </c>
      <c r="C34" s="4">
        <f>IF(N(C30)+N(C31)=0,"",'DDG Assumptions'!C16*N(C30)+'DDG Assumptions'!C18*N(C31))</f>
      </c>
      <c r="D34" s="4">
        <f>IF(N(D30)+N(D31)=0,"",'DDG Assumptions'!C16*N(D30)+'DDG Assumptions'!C18*N(D31))</f>
      </c>
      <c r="E34" s="4">
        <f>IF(N(E30)+N(E31)=0,"",'DDG Assumptions'!C16*N(E30)+'DDG Assumptions'!C18*N(E31))</f>
      </c>
      <c r="F34" s="4">
        <f>IF(N(F30)+N(F31)=0,"",'DDG Assumptions'!C16*N(F30)+'DDG Assumptions'!C18*N(F31))</f>
      </c>
      <c r="G34" s="4">
        <f>IF(N(G30)+N(G31)=0,"",'DDG Assumptions'!C16*N(G30)+'DDG Assumptions'!C18*N(G31))</f>
      </c>
      <c r="H34" s="4">
        <f>IF(N(H30)+N(H31)=0,"",'DDG Assumptions'!C16*N(H30)+'DDG Assumptions'!C18*N(H31))</f>
      </c>
    </row>
    <row r="35" outlineLevel="1">
      <c r="B35" s="0" t="inlineStr">
        <is>
          <t xml:space="preserve">AP/LLTM base in TAM (EOQ less PY credit)</t>
        </is>
      </c>
      <c r="C35" s="4">
        <f>IF(C32=0,"",'DDG Assumptions'!C17*(C32-C33))</f>
      </c>
      <c r="D35" s="4">
        <f>IF(D32=0,"",'DDG Assumptions'!C17*(D32-D33))</f>
      </c>
      <c r="E35" s="4">
        <f>IF(E32=0,"",'DDG Assumptions'!C17*(E32-E33))</f>
      </c>
      <c r="F35" s="4">
        <f>IF(F32=0,"",'DDG Assumptions'!C17*(F32-F33))</f>
      </c>
      <c r="G35" s="4">
        <f>IF(G32=0,"",'DDG Assumptions'!C17*(G32-G33))</f>
      </c>
      <c r="H35" s="4">
        <f>IF(H32=0,"",'DDG Assumptions'!C17*(H32-H33))</f>
      </c>
    </row>
    <row r="36" outlineLevel="1">
      <c r="B36" s="1" t="inlineStr">
        <is>
          <t xml:space="preserve">TAM base (BC + AP/LLTM)</t>
        </is>
      </c>
      <c r="C36" s="4">
        <f>N(C34)+N(C35)</f>
      </c>
      <c r="D36" s="4">
        <f>N(D34)+N(D35)</f>
      </c>
      <c r="E36" s="4">
        <f>N(E34)+N(E35)</f>
      </c>
      <c r="F36" s="4">
        <f>N(F34)+N(F35)</f>
      </c>
      <c r="G36" s="4">
        <f>N(G34)+N(G35)</f>
      </c>
      <c r="H36" s="4">
        <f>N(H34)+N(H35)</f>
      </c>
    </row>
    <row r="39">
      <c r="A39" s="0" t="inlineStr">
        <is>
          <t xml:space="preserve">x</t>
        </is>
      </c>
      <c r="B39" s="9" t="inlineStr">
        <is>
          <t xml:space="preserve">§3 - Supplier coefficients</t>
        </is>
      </c>
      <c r="C39" s="9"/>
      <c r="D39" s="9"/>
      <c r="E39" s="9"/>
      <c r="F39" s="9"/>
      <c r="G39" s="9"/>
      <c r="H39" s="9"/>
      <c r="I39" s="9"/>
    </row>
    <row r="41">
      <c r="A41" s="0" t="inlineStr">
        <is>
          <t xml:space="preserve">x</t>
        </is>
      </c>
      <c r="B41" s="10" t="inlineStr">
        <is>
          <t xml:space="preserve">§3a - Per-stream supplier coefficients (feed TAM; $-weighted, gated, non-GFE)</t>
        </is>
      </c>
      <c r="C41" s="10"/>
      <c r="D41" s="10"/>
      <c r="E41" s="10"/>
      <c r="F41" s="10"/>
      <c r="G41" s="10"/>
      <c r="H41" s="10"/>
      <c r="I41" s="10"/>
    </row>
    <row r="43">
      <c r="B43" s="2" t="inlineStr">
        <is>
          <t xml:space="preserve">Coefficient</t>
        </is>
      </c>
      <c r="C43" s="22" t="inlineStr">
        <is>
          <t xml:space="preserve">Value</t>
        </is>
      </c>
    </row>
    <row r="44" outlineLevel="1">
      <c r="B44" s="1" t="inlineStr">
        <is>
          <t xml:space="preserve">BC stream coefficient (MYP-corrected; applied FY23-27)</t>
        </is>
      </c>
      <c r="C44" s="6">
        <f>IF(SUMPRODUCT('DDG POP Corpus'!I7:I160*(1-'DDG POP Corpus'!J7:J160)*'DDG POP Corpus'!K7:K160*('DDG POP Corpus'!H7:H160="BC")*'DDG POP Corpus'!M7:M160)=0,"",SUMPRODUCT('DDG POP Corpus'!I7:I160*(1-'DDG POP Corpus'!J7:J160)*'DDG POP Corpus'!K7:K160*('DDG POP Corpus'!H7:H160="BC")*'DDG POP Corpus'!M7:M160*('DDG POP Corpus'!P7:P160+'DDG POP Corpus'!Q7:Q160))/SUMPRODUCT('DDG POP Corpus'!I7:I160*(1-'DDG POP Corpus'!J7:J160)*'DDG POP Corpus'!K7:K160*('DDG POP Corpus'!H7:H160="BC")*'DDG POP Corpus'!M7:M160))</f>
      </c>
    </row>
    <row r="45" outlineLevel="1">
      <c r="B45" s="1" t="inlineStr">
        <is>
          <t xml:space="preserve">BC coefficient, FY2022 vintage (FY18-22 masters)</t>
        </is>
      </c>
      <c r="C45" s="6">
        <f>(N('DDG Assumptions'!D34)*(N('DDG Assumptions'!G34)+N('DDG Assumptions'!H34))+N('DDG Assumptions'!D35)*(N('DDG Assumptions'!G35)+N('DDG Assumptions'!H35)))/(N('DDG Assumptions'!D34)+N('DDG Assumptions'!D35))</f>
      </c>
    </row>
    <row r="46" outlineLevel="1">
      <c r="B46" s="1" t="inlineStr">
        <is>
          <t xml:space="preserve">AP/LLTM stream coefficient (assumption)</t>
        </is>
      </c>
      <c r="C46" s="12">
        <f>'DDG Assumptions'!C41</f>
      </c>
    </row>
    <row r="47" outlineLevel="1">
      <c r="B47" s="0" t="inlineStr">
        <is>
          <t xml:space="preserve">Total weighted (corpus, display)</t>
        </is>
      </c>
      <c r="C47" s="6">
        <f>IF(SUMPRODUCT('DDG POP Corpus'!I7:I160*(1-'DDG POP Corpus'!J7:J160)*'DDG POP Corpus'!K7:K160*'DDG POP Corpus'!M7:M160)=0,"",SUMPRODUCT('DDG POP Corpus'!I7:I160*(1-'DDG POP Corpus'!J7:J160)*'DDG POP Corpus'!K7:K160*'DDG POP Corpus'!M7:M160*('DDG POP Corpus'!P7:P160+'DDG POP Corpus'!Q7:Q160))/SUMPRODUCT('DDG POP Corpus'!I7:I160*(1-'DDG POP Corpus'!J7:J160)*'DDG POP Corpus'!K7:K160*'DDG POP Corpus'!M7:M160))</f>
      </c>
    </row>
    <row r="48" outlineLevel="1">
      <c r="B48" s="0" t="inlineStr">
        <is>
          <t xml:space="preserve">BC stream, disclosed-only (masters excluded)</t>
        </is>
      </c>
      <c r="C48" s="6">
        <f>IF(SUMPRODUCT('DDG POP Corpus'!I7:I160*(1-'DDG POP Corpus'!J7:J160)*'DDG POP Corpus'!K7:K160*('DDG POP Corpus'!H7:H160="BC")*(1-'DDG POP Corpus'!L7:L160)*'DDG POP Corpus'!M7:M160)=0,"",SUMPRODUCT('DDG POP Corpus'!I7:I160*(1-'DDG POP Corpus'!J7:J160)*'DDG POP Corpus'!K7:K160*('DDG POP Corpus'!H7:H160="BC")*(1-'DDG POP Corpus'!L7:L160)*'DDG POP Corpus'!M7:M160*('DDG POP Corpus'!P7:P160+'DDG POP Corpus'!Q7:Q160))/SUMPRODUCT('DDG POP Corpus'!I7:I160*(1-'DDG POP Corpus'!J7:J160)*'DDG POP Corpus'!K7:K160*('DDG POP Corpus'!H7:H160="BC")*(1-'DDG POP Corpus'!L7:L160)*'DDG POP Corpus'!M7:M160))</f>
      </c>
    </row>
    <row r="51">
      <c r="A51" s="0" t="inlineStr">
        <is>
          <t xml:space="preserve">x</t>
        </is>
      </c>
      <c r="B51" s="10" t="inlineStr">
        <is>
          <t xml:space="preserve">§3b - MYP correction - outside-yards POP</t>
        </is>
      </c>
      <c r="C51" s="10"/>
      <c r="D51" s="10"/>
      <c r="E51" s="10"/>
      <c r="F51" s="10"/>
      <c r="G51" s="10"/>
      <c r="H51" s="10"/>
      <c r="I51" s="10"/>
    </row>
    <row r="53">
      <c r="B53" s="2" t="inlineStr">
        <is>
          <t xml:space="preserve">Measure</t>
        </is>
      </c>
      <c r="C53" s="22" t="inlineStr">
        <is>
          <t xml:space="preserve">Value</t>
        </is>
      </c>
    </row>
    <row r="54" outlineLevel="1">
      <c r="B54" s="1" t="inlineStr">
        <is>
          <t xml:space="preserve">Outside-yards, disclosed-only (artifact)</t>
        </is>
      </c>
      <c r="C54" s="6">
        <f>IF(SUMPRODUCT('DDG POP Corpus'!I7:I160*(1-'DDG POP Corpus'!L7:L160)*'DDG POP Corpus'!M7:M160)=0,"",SUMPRODUCT('DDG POP Corpus'!I7:I160*(1-'DDG POP Corpus'!L7:L160)*'DDG POP Corpus'!M7:M160*('DDG POP Corpus'!P7:P160+'DDG POP Corpus'!Q7:Q160))/SUMPRODUCT('DDG POP Corpus'!I7:I160*(1-'DDG POP Corpus'!L7:L160)*'DDG POP Corpus'!M7:M160))</f>
      </c>
    </row>
    <row r="55" outlineLevel="1">
      <c r="B55" s="1" t="inlineStr">
        <is>
          <t xml:space="preserve">Outside-yards, MYP-corrected</t>
        </is>
      </c>
      <c r="C55" s="6">
        <f>IF(SUMPRODUCT('DDG POP Corpus'!I7:I160*'DDG POP Corpus'!M7:M160)=0,"",SUMPRODUCT('DDG POP Corpus'!I7:I160*'DDG POP Corpus'!M7:M160*('DDG POP Corpus'!P7:P160+'DDG POP Corpus'!Q7:Q160))/SUMPRODUCT('DDG POP Corpus'!I7:I160*'DDG POP Corpus'!M7:M160))</f>
      </c>
    </row>
    <row r="56" outlineLevel="1">
      <c r="B56" s="0" t="inlineStr">
        <is>
          <t xml:space="preserve">Swing (disclosed - corrected)</t>
        </is>
      </c>
      <c r="C56" s="6">
        <f>C54-C55</f>
      </c>
    </row>
    <row r="59">
      <c r="A59" s="0" t="inlineStr">
        <is>
          <t xml:space="preserve">x</t>
        </is>
      </c>
      <c r="B59" s="10" t="inlineStr">
        <is>
          <t xml:space="preserve">§3c - All-gated POP shares (dollar-weighted, MYP-corrected)</t>
        </is>
      </c>
      <c r="C59" s="10"/>
      <c r="D59" s="10"/>
      <c r="E59" s="10"/>
      <c r="F59" s="10"/>
      <c r="G59" s="10"/>
      <c r="H59" s="10"/>
      <c r="I59" s="10"/>
    </row>
    <row r="61">
      <c r="B61" s="2" t="inlineStr">
        <is>
          <t xml:space="preserve">POP class</t>
        </is>
      </c>
      <c r="C61" s="22" t="inlineStr">
        <is>
          <t xml:space="preserve">Share</t>
        </is>
      </c>
    </row>
    <row r="62" outlineLevel="1">
      <c r="B62" s="0" t="inlineStr">
        <is>
          <t xml:space="preserve">BIW site %</t>
        </is>
      </c>
      <c r="C62" s="6">
        <f>IF(SUMPRODUCT('DDG POP Corpus'!I7:I160*'DDG POP Corpus'!M7:M160)=0,"",SUMPRODUCT('DDG POP Corpus'!I7:I160*'DDG POP Corpus'!M7:M160*'DDG POP Corpus'!N7:N160)/SUMPRODUCT('DDG POP Corpus'!I7:I160*'DDG POP Corpus'!M7:M160))</f>
      </c>
    </row>
    <row r="63" outlineLevel="1">
      <c r="B63" s="0" t="inlineStr">
        <is>
          <t xml:space="preserve">Ingalls site %</t>
        </is>
      </c>
      <c r="C63" s="6">
        <f>IF(SUMPRODUCT('DDG POP Corpus'!I7:I160*'DDG POP Corpus'!M7:M160)=0,"",SUMPRODUCT('DDG POP Corpus'!I7:I160*'DDG POP Corpus'!M7:M160*'DDG POP Corpus'!O7:O160)/SUMPRODUCT('DDG POP Corpus'!I7:I160*'DDG POP Corpus'!M7:M160))</f>
      </c>
    </row>
    <row r="64" outlineLevel="1">
      <c r="B64" s="0" t="inlineStr">
        <is>
          <t xml:space="preserve">Other-US supplier %</t>
        </is>
      </c>
      <c r="C64" s="6">
        <f>IF(SUMPRODUCT('DDG POP Corpus'!I7:I160*'DDG POP Corpus'!M7:M160)=0,"",SUMPRODUCT('DDG POP Corpus'!I7:I160*'DDG POP Corpus'!M7:M160*'DDG POP Corpus'!P7:P160)/SUMPRODUCT('DDG POP Corpus'!I7:I160*'DDG POP Corpus'!M7:M160))</f>
      </c>
    </row>
    <row r="65" outlineLevel="1">
      <c r="B65" s="0" t="inlineStr">
        <is>
          <t xml:space="preserve">Foreign %</t>
        </is>
      </c>
      <c r="C65" s="6">
        <f>IF(SUMPRODUCT('DDG POP Corpus'!I7:I160*'DDG POP Corpus'!M7:M160)=0,"",SUMPRODUCT('DDG POP Corpus'!I7:I160*'DDG POP Corpus'!M7:M160*'DDG POP Corpus'!Q7:Q160)/SUMPRODUCT('DDG POP Corpus'!I7:I160*'DDG POP Corpus'!M7:M160))</f>
      </c>
    </row>
    <row r="66" outlineLevel="1">
      <c r="B66" s="0" t="inlineStr">
        <is>
          <t xml:space="preserve">Unparsed %</t>
        </is>
      </c>
      <c r="C66" s="6">
        <f>1-C62-C63-C64-C65</f>
      </c>
    </row>
    <row r="69">
      <c r="A69" s="0" t="inlineStr">
        <is>
          <t xml:space="preserve">x</t>
        </is>
      </c>
      <c r="B69" s="10" t="inlineStr">
        <is>
          <t xml:space="preserve">§3d - Distributed-production view (appendix - broader than commercial TAM)</t>
        </is>
      </c>
      <c r="C69" s="10"/>
      <c r="D69" s="10"/>
      <c r="E69" s="10"/>
      <c r="F69" s="10"/>
      <c r="G69" s="10"/>
      <c r="H69" s="10"/>
      <c r="I69" s="10"/>
    </row>
    <row r="71">
      <c r="B71" s="2" t="inlineStr">
        <is>
          <t xml:space="preserve">Coefficient</t>
        </is>
      </c>
      <c r="C71" s="22" t="inlineStr">
        <is>
          <t xml:space="preserve">Value</t>
        </is>
      </c>
    </row>
    <row r="72" outlineLevel="1">
      <c r="B72" s="1" t="inlineStr">
        <is>
          <t xml:space="preserve">Distributed (away from BIW)</t>
        </is>
      </c>
      <c r="C72" s="6">
        <f>C63+C64+C65</f>
      </c>
    </row>
    <row r="73" outlineLevel="1">
      <c r="B73" s="1" t="inlineStr">
        <is>
          <t xml:space="preserve">Outside both yards (other + foreign)</t>
        </is>
      </c>
      <c r="C73" s="6">
        <f>C64+C65</f>
      </c>
    </row>
    <row r="76">
      <c r="A76" s="0" t="inlineStr">
        <is>
          <t xml:space="preserve">x</t>
        </is>
      </c>
      <c r="B76" s="10" t="inlineStr">
        <is>
          <t xml:space="preserve">§3e - Anchor regression - MYP-corrected outside-yards near ~42%</t>
        </is>
      </c>
      <c r="C76" s="10"/>
      <c r="D76" s="10"/>
      <c r="E76" s="10"/>
      <c r="F76" s="10"/>
      <c r="G76" s="10"/>
      <c r="H76" s="10"/>
      <c r="I76" s="10"/>
    </row>
    <row r="78">
      <c r="B78" s="2" t="inlineStr">
        <is>
          <t xml:space="preserve">Check</t>
        </is>
      </c>
      <c r="C78" s="22" t="inlineStr">
        <is>
          <t xml:space="preserve">Value</t>
        </is>
      </c>
    </row>
    <row r="79" outlineLevel="1">
      <c r="B79" s="0" t="inlineStr">
        <is>
          <t xml:space="preserve">Target (methodology)</t>
        </is>
      </c>
      <c r="C79" s="7">
        <v>0.42</v>
      </c>
    </row>
    <row r="80" outlineLevel="1">
      <c r="B80" s="0" t="inlineStr">
        <is>
          <t xml:space="preserve">Computed corrected outside-yards</t>
        </is>
      </c>
      <c r="C80" s="6">
        <f>C55</f>
      </c>
    </row>
    <row r="81" outlineLevel="1">
      <c r="B81" s="0" t="inlineStr">
        <is>
          <t xml:space="preserve">Delta</t>
        </is>
      </c>
      <c r="C81" s="6">
        <f>C80-C79</f>
      </c>
    </row>
    <row r="82" outlineLevel="1">
      <c r="B82" s="0" t="inlineStr">
        <is>
          <t xml:space="preserve">Anchor OK?</t>
        </is>
      </c>
      <c r="C82" s="0">
        <f>IF(ABS(C81)&lt;0.05,"OK","REVIEW")</f>
      </c>
    </row>
    <row r="85">
      <c r="A85" s="0" t="inlineStr">
        <is>
          <t xml:space="preserve">x</t>
        </is>
      </c>
      <c r="B85" s="9" t="inlineStr">
        <is>
          <t xml:space="preserve">§4 - MYP correction</t>
        </is>
      </c>
      <c r="C85" s="9"/>
      <c r="D85" s="9"/>
      <c r="E85" s="9"/>
      <c r="F85" s="9"/>
      <c r="G85" s="9"/>
      <c r="H85" s="9"/>
      <c r="I85" s="9"/>
    </row>
    <row r="87">
      <c r="A87" s="0" t="inlineStr">
        <is>
          <t xml:space="preserve">x</t>
        </is>
      </c>
      <c r="B87" s="10" t="inlineStr">
        <is>
          <t xml:space="preserve">§4a - MYP master awards ($-redacted; announced POP)</t>
        </is>
      </c>
      <c r="C87" s="10"/>
      <c r="D87" s="10"/>
      <c r="E87" s="10"/>
      <c r="F87" s="10"/>
      <c r="G87" s="10"/>
      <c r="H87" s="10"/>
      <c r="I87" s="10"/>
    </row>
    <row r="89">
      <c r="B89" s="2" t="inlineStr">
        <is>
          <t xml:space="preserve">Master</t>
        </is>
      </c>
      <c r="C89" s="2" t="inlineStr">
        <is>
          <t xml:space="preserve">PIID</t>
        </is>
      </c>
      <c r="D89" s="22" t="inlineStr">
        <is>
          <t xml:space="preserve">Master $M</t>
        </is>
      </c>
      <c r="E89" s="22" t="inlineStr">
        <is>
          <t xml:space="preserve">BIW %</t>
        </is>
      </c>
      <c r="F89" s="22" t="inlineStr">
        <is>
          <t xml:space="preserve">Ingalls %</t>
        </is>
      </c>
      <c r="G89" s="22" t="inlineStr">
        <is>
          <t xml:space="preserve">Other-US + Foreign %</t>
        </is>
      </c>
    </row>
    <row r="90" outlineLevel="1">
      <c r="B90" s="1" t="inlineStr">
        <is>
          <t xml:space="preserve">BIW MYP</t>
        </is>
      </c>
      <c r="C90" s="0" t="inlineStr">
        <is>
          <t xml:space="preserve">N00024-23-C-2305</t>
        </is>
      </c>
      <c r="D90" s="11">
        <f>'DDG Assumptions'!D32</f>
      </c>
      <c r="E90" s="12">
        <f>'DDG Assumptions'!E32</f>
      </c>
      <c r="F90" s="12">
        <f>'DDG Assumptions'!F32</f>
      </c>
      <c r="G90" s="6">
        <f>N('DDG Assumptions'!G32)+N('DDG Assumptions'!H32)</f>
      </c>
    </row>
    <row r="91" outlineLevel="1">
      <c r="B91" s="1" t="inlineStr">
        <is>
          <t xml:space="preserve">Ingalls MYP</t>
        </is>
      </c>
      <c r="C91" s="0" t="inlineStr">
        <is>
          <t xml:space="preserve">N00024-23-C-2307</t>
        </is>
      </c>
      <c r="D91" s="11">
        <f>'DDG Assumptions'!D33</f>
      </c>
      <c r="E91" s="12">
        <f>'DDG Assumptions'!E33</f>
      </c>
      <c r="F91" s="12">
        <f>'DDG Assumptions'!F33</f>
      </c>
      <c r="G91" s="6">
        <f>N('DDG Assumptions'!G33)+N('DDG Assumptions'!H33)</f>
      </c>
    </row>
    <row r="92" outlineLevel="1">
      <c r="B92" s="1" t="inlineStr">
        <is>
          <t xml:space="preserve">Combined master $M</t>
        </is>
      </c>
      <c r="D92" s="4">
        <f>N('DDG Assumptions'!D32)+N('DDG Assumptions'!D33)</f>
      </c>
    </row>
    <row r="95">
      <c r="A95" s="0" t="inlineStr">
        <is>
          <t xml:space="preserve">x</t>
        </is>
      </c>
      <c r="B95" s="10" t="inlineStr">
        <is>
          <t xml:space="preserve">§4b - Outside-yards POP - disclosed artifact vs MYP-corrected</t>
        </is>
      </c>
      <c r="C95" s="10"/>
      <c r="D95" s="10"/>
      <c r="E95" s="10"/>
      <c r="F95" s="10"/>
      <c r="G95" s="10"/>
      <c r="H95" s="10"/>
      <c r="I95" s="10"/>
    </row>
    <row r="97">
      <c r="B97" s="2" t="inlineStr">
        <is>
          <t xml:space="preserve">Measure</t>
        </is>
      </c>
      <c r="C97" s="22" t="inlineStr">
        <is>
          <t xml:space="preserve">Value</t>
        </is>
      </c>
    </row>
    <row r="98" outlineLevel="1">
      <c r="B98" s="1" t="inlineStr">
        <is>
          <t xml:space="preserve">Disclosed-only (artifact)</t>
        </is>
      </c>
      <c r="C98" s="6">
        <f>'DDG TAM Build'!C54</f>
      </c>
    </row>
    <row r="99" outlineLevel="1">
      <c r="B99" s="1" t="inlineStr">
        <is>
          <t xml:space="preserve">MYP-corrected</t>
        </is>
      </c>
      <c r="C99" s="6">
        <f>'DDG TAM Build'!C55</f>
      </c>
    </row>
    <row r="100" outlineLevel="1">
      <c r="B100" s="0" t="inlineStr">
        <is>
          <t xml:space="preserve">Swing (artifact - corrected)</t>
        </is>
      </c>
      <c r="C100" s="6">
        <f>C98-C99</f>
      </c>
    </row>
    <row r="103">
      <c r="A103" s="0" t="inlineStr">
        <is>
          <t xml:space="preserve">x</t>
        </is>
      </c>
      <c r="B103" s="10" t="inlineStr">
        <is>
          <t xml:space="preserve">§4c - Guardrail</t>
        </is>
      </c>
      <c r="C103" s="10"/>
      <c r="D103" s="10"/>
      <c r="E103" s="10"/>
      <c r="F103" s="10"/>
      <c r="G103" s="10"/>
      <c r="H103" s="10"/>
      <c r="I103" s="10"/>
    </row>
    <row r="105" outlineLevel="1">
      <c r="B105" s="0" t="inlineStr">
        <is>
          <t xml:space="preserve">Travel the POP-coefficient numbers together: disclosed artifact -&gt; MYP-corrected outside-yards -&gt; applied BC coefficient.</t>
        </is>
      </c>
    </row>
    <row r="106" outlineLevel="1">
      <c r="B106" s="0" t="inlineStr">
        <is>
          <t xml:space="preserve">Recovery basis: FPDS obligatedAmount + trade-press totals (USNI / Defense Daily).</t>
        </is>
      </c>
    </row>
    <row r="107" outlineLevel="1">
      <c r="B107" s="0" t="inlineStr">
        <is>
          <t xml:space="preserve">Per-hull allocation within a master PIID is not disclosed; the masters carry the bulletins' announced contract-level POP split.</t>
        </is>
      </c>
    </row>
    <row r="110">
      <c r="A110" s="0" t="inlineStr">
        <is>
          <t xml:space="preserve">x</t>
        </is>
      </c>
      <c r="B110" s="9" t="inlineStr">
        <is>
          <t xml:space="preserve">§5 - TAM by fiscal year</t>
        </is>
      </c>
      <c r="C110" s="9"/>
      <c r="D110" s="9"/>
      <c r="E110" s="9"/>
      <c r="F110" s="9"/>
      <c r="G110" s="9"/>
      <c r="H110" s="9"/>
      <c r="I110" s="9"/>
    </row>
    <row r="112">
      <c r="A112" s="0" t="inlineStr">
        <is>
          <t xml:space="preserve">x</t>
        </is>
      </c>
      <c r="B112" s="10" t="inlineStr">
        <is>
          <t xml:space="preserve">§5a - TAM by FY ($M)</t>
        </is>
      </c>
      <c r="C112" s="10"/>
      <c r="D112" s="10"/>
      <c r="E112" s="10"/>
      <c r="F112" s="10"/>
      <c r="G112" s="10"/>
      <c r="H112" s="10"/>
      <c r="I112" s="10"/>
    </row>
    <row r="114">
      <c r="B114" s="2" t="inlineStr">
        <is>
          <t xml:space="preserve">Stream</t>
        </is>
      </c>
      <c r="C114" s="22">
        <v>2022</v>
      </c>
      <c r="D114" s="22">
        <v>2023</v>
      </c>
      <c r="E114" s="22">
        <v>2024</v>
      </c>
      <c r="F114" s="22">
        <v>2025</v>
      </c>
      <c r="G114" s="22">
        <v>2026</v>
      </c>
      <c r="H114" s="22">
        <v>2027</v>
      </c>
      <c r="I114" s="22" t="inlineStr">
        <is>
          <t xml:space="preserve">FY22-27</t>
        </is>
      </c>
    </row>
    <row r="115" outlineLevel="1">
      <c r="B115" s="20" t="inlineStr">
        <is>
          <t xml:space="preserve">BC stream (vintage-matched MYP-corrected coeff)</t>
        </is>
      </c>
      <c r="C115" s="4">
        <f>IF(N('DDG TAM Build'!C34)=0,"",N('DDG TAM Build'!C34)*N('DDG TAM Build'!C45))</f>
      </c>
      <c r="D115" s="4">
        <f>IF(N('DDG TAM Build'!D34)=0,"",N('DDG TAM Build'!D34)*N('DDG TAM Build'!C44))</f>
      </c>
      <c r="E115" s="4">
        <f>IF(N('DDG TAM Build'!E34)=0,"",N('DDG TAM Build'!E34)*N('DDG TAM Build'!C44))</f>
      </c>
      <c r="F115" s="4">
        <f>IF(N('DDG TAM Build'!F34)=0,"",N('DDG TAM Build'!F34)*N('DDG TAM Build'!C44))</f>
      </c>
      <c r="G115" s="4">
        <f>IF(N('DDG TAM Build'!G34)=0,"",N('DDG TAM Build'!G34)*N('DDG TAM Build'!C44))</f>
      </c>
      <c r="H115" s="4">
        <f>IF(N('DDG TAM Build'!H34)=0,"",N('DDG TAM Build'!H34)*N('DDG TAM Build'!C44))</f>
      </c>
      <c r="I115" s="4">
        <f>SUM(C115:H115)</f>
      </c>
    </row>
    <row r="116" outlineLevel="1">
      <c r="B116" s="20" t="inlineStr">
        <is>
          <t xml:space="preserve">AP/LLTM stream (P-10 EOQ x coeff)</t>
        </is>
      </c>
      <c r="C116" s="4">
        <f>IF(N('DDG TAM Build'!C35)=0,"",N('DDG TAM Build'!C35)*N('DDG TAM Build'!C46))</f>
      </c>
      <c r="D116" s="4">
        <f>IF(N('DDG TAM Build'!D35)=0,"",N('DDG TAM Build'!D35)*N('DDG TAM Build'!C46))</f>
      </c>
      <c r="E116" s="4">
        <f>IF(N('DDG TAM Build'!E35)=0,"",N('DDG TAM Build'!E35)*N('DDG TAM Build'!C46))</f>
      </c>
      <c r="F116" s="4">
        <f>IF(N('DDG TAM Build'!F35)=0,"",N('DDG TAM Build'!F35)*N('DDG TAM Build'!C46))</f>
      </c>
      <c r="G116" s="4">
        <f>IF(N('DDG TAM Build'!G35)=0,"",N('DDG TAM Build'!G35)*N('DDG TAM Build'!C46))</f>
      </c>
      <c r="H116" s="4">
        <f>IF(N('DDG TAM Build'!H35)=0,"",N('DDG TAM Build'!H35)*N('DDG TAM Build'!C46))</f>
      </c>
      <c r="I116" s="4">
        <f>SUM(C116:H116)</f>
      </c>
    </row>
    <row r="117">
      <c r="B117" s="3" t="inlineStr">
        <is>
          <t xml:space="preserve">TAM (BC + AP/LLTM)</t>
        </is>
      </c>
      <c r="C117" s="13">
        <f>N(C115)+N(C116)</f>
      </c>
      <c r="D117" s="13">
        <f>N(D115)+N(D116)</f>
      </c>
      <c r="E117" s="13">
        <f>N(E115)+N(E116)</f>
      </c>
      <c r="F117" s="13">
        <f>N(F115)+N(F116)</f>
      </c>
      <c r="G117" s="13">
        <f>N(G115)+N(G116)</f>
      </c>
      <c r="H117" s="13">
        <f>N(H115)+N(H116)</f>
      </c>
      <c r="I117" s="13">
        <f>SUM(C117:H117)</f>
      </c>
    </row>
    <row r="120">
      <c r="A120" s="0" t="inlineStr">
        <is>
          <t xml:space="preserve">x</t>
        </is>
      </c>
      <c r="B120" s="10" t="inlineStr">
        <is>
          <t xml:space="preserve">§5b - Coefficients applied (live links to §3)</t>
        </is>
      </c>
      <c r="C120" s="10"/>
      <c r="D120" s="10"/>
      <c r="E120" s="10"/>
      <c r="F120" s="10"/>
      <c r="G120" s="10"/>
      <c r="H120" s="10"/>
      <c r="I120" s="10"/>
    </row>
    <row r="122">
      <c r="B122" s="2" t="inlineStr">
        <is>
          <t xml:space="preserve">Coefficient</t>
        </is>
      </c>
      <c r="C122" s="22" t="inlineStr">
        <is>
          <t xml:space="preserve">Value</t>
        </is>
      </c>
    </row>
    <row r="123" outlineLevel="1">
      <c r="B123" s="0" t="inlineStr">
        <is>
          <t xml:space="preserve">BC supplier coefficient (FY23-27)</t>
        </is>
      </c>
      <c r="C123" s="6">
        <f>'DDG TAM Build'!C44</f>
      </c>
    </row>
    <row r="124" outlineLevel="1">
      <c r="B124" s="0" t="inlineStr">
        <is>
          <t xml:space="preserve">BC supplier coefficient, FY2022 vintage</t>
        </is>
      </c>
      <c r="C124" s="6">
        <f>'DDG TAM Build'!C45</f>
      </c>
    </row>
    <row r="125" outlineLevel="1">
      <c r="B125" s="0" t="inlineStr">
        <is>
          <t xml:space="preserve">AP/LLTM supplier coefficient</t>
        </is>
      </c>
      <c r="C125" s="6">
        <f>'DDG TAM Build'!C46</f>
      </c>
    </row>
    <row r="128">
      <c r="B128" s="10" t="inlineStr">
        <is>
          <t xml:space="preserve">§5c - Portfolio TAM (DDG-51, FY22-FY27)</t>
        </is>
      </c>
      <c r="C128" s="10"/>
      <c r="D128" s="10"/>
      <c r="E128" s="10"/>
      <c r="F128" s="10"/>
      <c r="G128" s="10"/>
      <c r="H128" s="10"/>
      <c r="I128" s="10"/>
    </row>
    <row r="130">
      <c r="B130" s="3" t="inlineStr">
        <is>
          <t xml:space="preserve">Portfolio TAM ($M)</t>
        </is>
      </c>
      <c r="C130" s="13">
        <f>I117</f>
      </c>
    </row>
    <row r="133">
      <c r="A133" s="0" t="inlineStr">
        <is>
          <t xml:space="preserve">x</t>
        </is>
      </c>
      <c r="B133" s="10" t="inlineStr">
        <is>
          <t xml:space="preserve">§5d - Average-annual and per-hull views (FY22-FY27)</t>
        </is>
      </c>
      <c r="C133" s="10"/>
      <c r="D133" s="10"/>
      <c r="E133" s="10"/>
      <c r="F133" s="10"/>
      <c r="G133" s="10"/>
      <c r="H133" s="10"/>
      <c r="I133" s="10"/>
    </row>
    <row r="135">
      <c r="B135" s="2" t="inlineStr">
        <is>
          <t xml:space="preserve">View</t>
        </is>
      </c>
      <c r="C135" s="22" t="inlineStr">
        <is>
          <t xml:space="preserve">Value</t>
        </is>
      </c>
    </row>
    <row r="136" outlineLevel="1">
      <c r="B136" s="0" t="inlineStr">
        <is>
          <t xml:space="preserve">Years in window (n)</t>
        </is>
      </c>
      <c r="C136" s="0">
        <v>6</v>
      </c>
    </row>
    <row r="137" outlineLevel="1">
      <c r="B137" s="1" t="inlineStr">
        <is>
          <t xml:space="preserve">Average annual TAM ($M/yr)</t>
        </is>
      </c>
      <c r="C137" s="4">
        <f>I117/C136</f>
      </c>
    </row>
    <row r="138" outlineLevel="1">
      <c r="B138" s="0" t="inlineStr">
        <is>
          <t xml:space="preserve">In-window hulls (award FY22-27)</t>
        </is>
      </c>
      <c r="C138" s="0">
        <v>13</v>
      </c>
    </row>
    <row r="139" outlineLevel="1">
      <c r="B139" s="1" t="inlineStr">
        <is>
          <t xml:space="preserve">Supplier TAM per hull ($M)</t>
        </is>
      </c>
      <c r="C139" s="4">
        <f>I117/C138</f>
      </c>
    </row>
    <row r="140" outlineLevel="1">
      <c r="B140" s="0" t="inlineStr">
        <is>
          <t xml:space="preserve">BC TAM per hull ($M)</t>
        </is>
      </c>
      <c r="C140" s="4">
        <f>I115/C138</f>
      </c>
    </row>
    <row r="143">
      <c r="A143" s="0" t="inlineStr">
        <is>
          <t xml:space="preserve">x</t>
        </is>
      </c>
      <c r="B143" s="10" t="inlineStr">
        <is>
          <t xml:space="preserve">§5e - TAM bridge components (BC base to supplier TAM)</t>
        </is>
      </c>
      <c r="C143" s="10"/>
      <c r="D143" s="10"/>
      <c r="E143" s="10"/>
      <c r="F143" s="10"/>
      <c r="G143" s="10"/>
      <c r="H143" s="10"/>
      <c r="I143" s="10"/>
    </row>
    <row r="145" outlineLevel="1">
      <c r="B145" s="1" t="inlineStr">
        <is>
          <t xml:space="preserve">BC construction base ($M)</t>
        </is>
      </c>
      <c r="C145" s="4">
        <f>N('DDG TAM Build'!C34)+N('DDG TAM Build'!D34)+N('DDG TAM Build'!E34)+N('DDG TAM Build'!F34)+N('DDG TAM Build'!G34)+N('DDG TAM Build'!H34)</f>
      </c>
    </row>
    <row r="146" outlineLevel="1">
      <c r="B146" s="0" t="inlineStr">
        <is>
          <t xml:space="preserve">POP removal: prime, co-prime, GFE ($M)</t>
        </is>
      </c>
      <c r="C146" s="4">
        <f>C145-I115</f>
      </c>
    </row>
  </sheetData>
</worksheet>
</file>

<file path=xl/worksheets/sheet13.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6" customWidth="1"/>
    <col min="3" max="3" width="13" customWidth="1"/>
    <col min="4" max="4" width="13" customWidth="1"/>
    <col min="5" max="5" width="13" customWidth="1"/>
    <col min="6" max="6" width="13" customWidth="1"/>
    <col min="7" max="7" width="13" customWidth="1"/>
    <col min="8" max="8" width="13" customWidth="1"/>
  </cols>
  <sheetData>
    <row r="1"/>
    <row r="2">
      <c r="B2" s="8" t="inlineStr">
        <is>
          <t xml:space="preserve">DDG Outlook</t>
        </is>
      </c>
      <c r="C2" s="8"/>
      <c r="D2" s="8"/>
      <c r="E2" s="8"/>
      <c r="F2" s="8"/>
      <c r="G2" s="8"/>
      <c r="H2" s="8"/>
    </row>
    <row r="4">
      <c r="B4" s="9" t="inlineStr">
        <is>
          <t xml:space="preserve">§1 - Penetration &amp; outyear outlook</t>
        </is>
      </c>
      <c r="C4" s="9"/>
      <c r="D4" s="9"/>
      <c r="E4" s="9"/>
      <c r="F4" s="9"/>
      <c r="G4" s="9"/>
      <c r="H4" s="9"/>
    </row>
    <row r="6">
      <c r="B6" s="2" t="inlineStr">
        <is>
          <t xml:space="preserve">Measure</t>
        </is>
      </c>
      <c r="C6" s="22" t="inlineStr">
        <is>
          <t xml:space="preserve">Value</t>
        </is>
      </c>
    </row>
    <row r="7">
      <c r="B7" s="1" t="inlineStr">
        <is>
          <t xml:space="preserve">Outsourced BC penetration, FY22-25 (outyear low)</t>
        </is>
      </c>
      <c r="C7" s="6">
        <f>C27</f>
      </c>
    </row>
    <row r="8">
      <c r="B8" s="1" t="inlineStr">
        <is>
          <t xml:space="preserve">Outsourced BC penetration, FY22-27</t>
        </is>
      </c>
      <c r="C8" s="6">
        <f>C28</f>
      </c>
    </row>
    <row r="9">
      <c r="B9" s="0" t="inlineStr">
        <is>
          <t xml:space="preserve">Implied outyear Outsourced BC, low $M/yr</t>
        </is>
      </c>
      <c r="C9" s="4">
        <f>C44</f>
      </c>
    </row>
    <row r="10">
      <c r="B10" s="0" t="inlineStr">
        <is>
          <t xml:space="preserve">Implied outyear Outsourced BC, high $M/yr</t>
        </is>
      </c>
      <c r="C10" s="4">
        <f>C45</f>
      </c>
    </row>
    <row r="11">
      <c r="B11" s="0" t="inlineStr">
        <is>
          <t xml:space="preserve">FY22-25 average annual TAM $M/yr</t>
        </is>
      </c>
      <c r="C11" s="4">
        <f>C51</f>
      </c>
    </row>
    <row r="14">
      <c r="A14" s="0" t="inlineStr">
        <is>
          <t xml:space="preserve">x</t>
        </is>
      </c>
      <c r="B14" s="9" t="inlineStr">
        <is>
          <t xml:space="preserve">§2 - Outsourced BC penetration by FY (constant FY2026 $)</t>
        </is>
      </c>
      <c r="C14" s="9"/>
      <c r="D14" s="9"/>
      <c r="E14" s="9"/>
      <c r="F14" s="9"/>
      <c r="G14" s="9"/>
      <c r="H14" s="9"/>
    </row>
    <row r="16">
      <c r="B16" s="2" t="inlineStr">
        <is>
          <t xml:space="preserve">Metric</t>
        </is>
      </c>
      <c r="C16" s="22">
        <v>2022</v>
      </c>
      <c r="D16" s="22">
        <v>2023</v>
      </c>
      <c r="E16" s="22">
        <v>2024</v>
      </c>
      <c r="F16" s="22">
        <v>2025</v>
      </c>
      <c r="G16" s="22">
        <v>2026</v>
      </c>
      <c r="H16" s="22">
        <v>2027</v>
      </c>
    </row>
    <row r="17" outlineLevel="1">
      <c r="B17" s="1" t="inlineStr">
        <is>
          <t xml:space="preserve">Outsourced BC TAM, all streams ($M)</t>
        </is>
      </c>
      <c r="C17" s="11">
        <f>N('DDG TAM Build'!C117)</f>
      </c>
      <c r="D17" s="11">
        <f>N('DDG TAM Build'!D117)</f>
      </c>
      <c r="E17" s="11">
        <f>N('DDG TAM Build'!E117)</f>
      </c>
      <c r="F17" s="11">
        <f>N('DDG TAM Build'!F117)</f>
      </c>
      <c r="G17" s="11">
        <f>N('DDG TAM Build'!G117)</f>
      </c>
      <c r="H17" s="11">
        <f>N('DDG TAM Build'!H117)</f>
      </c>
    </row>
    <row r="18" outlineLevel="1">
      <c r="B18" s="0" t="inlineStr">
        <is>
          <t xml:space="preserve">Total ship spend: P-5c Total Ship Estimate ($M)</t>
        </is>
      </c>
      <c r="C18" s="11">
        <f>'DDG SCN Budget'!C22</f>
      </c>
      <c r="D18" s="11">
        <f>'DDG SCN Budget'!D22</f>
      </c>
      <c r="E18" s="11">
        <f>'DDG SCN Budget'!E22</f>
      </c>
      <c r="F18" s="11">
        <f>'DDG SCN Budget'!F22</f>
      </c>
      <c r="G18" s="11">
        <f>'DDG SCN Budget'!G22</f>
      </c>
      <c r="H18" s="11">
        <f>'DDG SCN Budget'!H22</f>
      </c>
    </row>
    <row r="19" outlineLevel="1">
      <c r="B19" s="0" t="inlineStr">
        <is>
          <t xml:space="preserve">plus OBBBA gross award ($M; toggle-gated)</t>
        </is>
      </c>
      <c r="C19" s="11">
        <f>N('DDG OBBBA Mandatory'!C23)*'DDG Assumptions'!C18</f>
      </c>
      <c r="D19" s="11">
        <f>N('DDG OBBBA Mandatory'!D23)*'DDG Assumptions'!C18</f>
      </c>
      <c r="E19" s="11">
        <f>N('DDG OBBBA Mandatory'!E23)*'DDG Assumptions'!C18</f>
      </c>
      <c r="F19" s="11">
        <f>N('DDG OBBBA Mandatory'!F23)*'DDG Assumptions'!C18</f>
      </c>
      <c r="G19" s="11">
        <f>N('DDG OBBBA Mandatory'!G23)*'DDG Assumptions'!C18</f>
      </c>
      <c r="H19" s="11">
        <f>N('DDG OBBBA Mandatory'!H23)*'DDG Assumptions'!C18</f>
      </c>
    </row>
    <row r="20">
      <c r="B20" s="3" t="inlineStr">
        <is>
          <t xml:space="preserve">Total ship spend incl. OBBBA ($M)</t>
        </is>
      </c>
      <c r="C20" s="13">
        <f>C18+N(C19)</f>
      </c>
      <c r="D20" s="13">
        <f>D18+N(D19)</f>
      </c>
      <c r="E20" s="13">
        <f>E18+N(E19)</f>
      </c>
      <c r="F20" s="13">
        <f>F18+N(F19)</f>
      </c>
      <c r="G20" s="13">
        <f>G18+N(G19)</f>
      </c>
      <c r="H20" s="13">
        <f>H18+N(H19)</f>
      </c>
    </row>
    <row r="21" outlineLevel="1">
      <c r="B21" s="1" t="inlineStr">
        <is>
          <t xml:space="preserve">Penetration: TAM / total ship spend</t>
        </is>
      </c>
      <c r="C21" s="6">
        <f>IF(C20=0,"",C17/C20)</f>
      </c>
      <c r="D21" s="6">
        <f>IF(D20=0,"",D17/D20)</f>
      </c>
      <c r="E21" s="6">
        <f>IF(E20=0,"",E17/E20)</f>
      </c>
      <c r="F21" s="6">
        <f>IF(F20=0,"",F17/F20)</f>
      </c>
      <c r="G21" s="6">
        <f>IF(G20=0,"",G17/G20)</f>
      </c>
      <c r="H21" s="6">
        <f>IF(H20=0,"",H17/H20)</f>
      </c>
    </row>
    <row r="24">
      <c r="A24" s="0" t="inlineStr">
        <is>
          <t xml:space="preserve">x</t>
        </is>
      </c>
      <c r="B24" s="9" t="inlineStr">
        <is>
          <t xml:space="preserve">§3 - Window-average penetration (ratio of sums) + outyear assumptions</t>
        </is>
      </c>
      <c r="C24" s="9"/>
      <c r="D24" s="9"/>
      <c r="E24" s="9"/>
      <c r="F24" s="9"/>
      <c r="G24" s="9"/>
      <c r="H24" s="9"/>
    </row>
    <row r="26">
      <c r="B26" s="2" t="inlineStr">
        <is>
          <t xml:space="preserve">Measure</t>
        </is>
      </c>
      <c r="C26" s="22" t="inlineStr">
        <is>
          <t xml:space="preserve">Value</t>
        </is>
      </c>
    </row>
    <row r="27" outlineLevel="1">
      <c r="B27" s="1" t="inlineStr">
        <is>
          <t xml:space="preserve">FY22-25 average (sum TAM / sum spend; complete historical years)</t>
        </is>
      </c>
      <c r="C27" s="6">
        <f>SUM(C17:F17)/SUM(C20:F20)</f>
      </c>
    </row>
    <row r="28" outlineLevel="1">
      <c r="B28" s="0" t="inlineStr">
        <is>
          <t xml:space="preserve">FY22-27 average (sum TAM / sum spend; memo)</t>
        </is>
      </c>
      <c r="C28" s="6">
        <f>SUM(C17:H17)/SUM(C20:H20)</f>
      </c>
    </row>
    <row r="29" outlineLevel="1">
      <c r="B29" s="0" t="inlineStr">
        <is>
          <t xml:space="preserve">FY26-27 average (sum TAM / sum spend; memo)</t>
        </is>
      </c>
      <c r="C29" s="6">
        <f>SUM(G17:H17)/SUM(G20:H20)</f>
      </c>
    </row>
    <row r="30" outlineLevel="1">
      <c r="B30" s="0" t="inlineStr">
        <is>
          <t xml:space="preserve">Outsourcing intent uplift (Assumptions §7)</t>
        </is>
      </c>
      <c r="C30" s="12">
        <f>'DDG Assumptions'!C48</f>
      </c>
    </row>
    <row r="31" outlineLevel="1">
      <c r="B31" s="1" t="inlineStr">
        <is>
          <t xml:space="preserve">Outyear assumption, low (= FY22-25 average)</t>
        </is>
      </c>
      <c r="C31" s="6">
        <f>C27</f>
      </c>
    </row>
    <row r="32" outlineLevel="1">
      <c r="B32" s="1" t="inlineStr">
        <is>
          <t xml:space="preserve">Outyear assumption, high (= low x (1 + intent uplift))</t>
        </is>
      </c>
      <c r="C32" s="6">
        <f>C31*(1+C30)</f>
      </c>
    </row>
    <row r="33" outlineLevel="1">
      <c r="B33" s="0" t="inlineStr">
        <is>
          <t xml:space="preserve">Window average = sum of TAM / sum of spend over the window, not the mean of annual ratios.</t>
        </is>
      </c>
    </row>
    <row r="36">
      <c r="A36" s="0" t="inlineStr">
        <is>
          <t xml:space="preserve">x</t>
        </is>
      </c>
      <c r="B36" s="9" t="inlineStr">
        <is>
          <t xml:space="preserve">§4 - Implied outyear Outsourced BC (FY2028-FY2031)</t>
        </is>
      </c>
      <c r="C36" s="9"/>
      <c r="D36" s="9"/>
      <c r="E36" s="9"/>
      <c r="F36" s="9"/>
      <c r="G36" s="9"/>
      <c r="H36" s="9"/>
    </row>
    <row r="38">
      <c r="B38" s="2" t="inlineStr">
        <is>
          <t xml:space="preserve">Metric</t>
        </is>
      </c>
      <c r="C38" s="22">
        <v>2028</v>
      </c>
      <c r="D38" s="22">
        <v>2029</v>
      </c>
      <c r="E38" s="22">
        <v>2030</v>
      </c>
      <c r="F38" s="22">
        <v>2031</v>
      </c>
    </row>
    <row r="39" outlineLevel="1">
      <c r="B39" s="1" t="inlineStr">
        <is>
          <t xml:space="preserve">FYDP gross (PB2027 request), constant FY2026 $M</t>
        </is>
      </c>
      <c r="C39" s="11">
        <f>'DDG FYDP Outyears'!F23</f>
      </c>
      <c r="D39" s="11">
        <f>'DDG FYDP Outyears'!G23</f>
      </c>
      <c r="E39" s="11">
        <f>'DDG FYDP Outyears'!H23</f>
      </c>
      <c r="F39" s="11">
        <f>'DDG FYDP Outyears'!I23</f>
      </c>
    </row>
    <row r="40" outlineLevel="1">
      <c r="B40" s="1" t="inlineStr">
        <is>
          <t xml:space="preserve">Implied Outsourced BC, low ($M)</t>
        </is>
      </c>
      <c r="C40" s="4">
        <f>C39*$C$31</f>
      </c>
      <c r="D40" s="4">
        <f>D39*$C$31</f>
      </c>
      <c r="E40" s="4">
        <f>E39*$C$31</f>
      </c>
      <c r="F40" s="4">
        <f>F39*$C$31</f>
      </c>
    </row>
    <row r="41" outlineLevel="1">
      <c r="B41" s="1" t="inlineStr">
        <is>
          <t xml:space="preserve">Implied Outsourced BC, high ($M)</t>
        </is>
      </c>
      <c r="C41" s="4">
        <f>C39*$C$32</f>
      </c>
      <c r="D41" s="4">
        <f>D39*$C$32</f>
      </c>
      <c r="E41" s="4">
        <f>E39*$C$32</f>
      </c>
      <c r="F41" s="4">
        <f>F39*$C$32</f>
      </c>
    </row>
    <row r="42" outlineLevel="1">
      <c r="B42" s="0" t="inlineStr">
        <is>
          <t xml:space="preserve">Range, high - low ($M)</t>
        </is>
      </c>
      <c r="C42" s="4">
        <f>C41-C40</f>
      </c>
      <c r="D42" s="4">
        <f>D41-D40</f>
      </c>
      <c r="E42" s="4">
        <f>E41-E40</f>
      </c>
      <c r="F42" s="4">
        <f>F41-F40</f>
      </c>
    </row>
    <row r="44" outlineLevel="1">
      <c r="B44" s="0" t="inlineStr">
        <is>
          <t xml:space="preserve">Implied low, FY28-31 average ($M/yr)</t>
        </is>
      </c>
      <c r="C44" s="4">
        <f>SUM(C40:F40)/4</f>
      </c>
    </row>
    <row r="45" outlineLevel="1">
      <c r="B45" s="0" t="inlineStr">
        <is>
          <t xml:space="preserve">Implied high, FY28-31 average ($M/yr)</t>
        </is>
      </c>
      <c r="C45" s="4">
        <f>SUM(C41:F41)/4</f>
      </c>
    </row>
    <row r="48">
      <c r="A48" s="0" t="inlineStr">
        <is>
          <t xml:space="preserve">x</t>
        </is>
      </c>
      <c r="B48" s="9" t="inlineStr">
        <is>
          <t xml:space="preserve">§5 - FY22-25 average annual TAM</t>
        </is>
      </c>
      <c r="C48" s="9"/>
      <c r="D48" s="9"/>
      <c r="E48" s="9"/>
      <c r="F48" s="9"/>
      <c r="G48" s="9"/>
      <c r="H48" s="9"/>
    </row>
    <row r="50">
      <c r="B50" s="2" t="inlineStr">
        <is>
          <t xml:space="preserve">Measure</t>
        </is>
      </c>
      <c r="C50" s="22" t="inlineStr">
        <is>
          <t xml:space="preserve">Value</t>
        </is>
      </c>
    </row>
    <row r="51" outlineLevel="1">
      <c r="B51" s="1" t="inlineStr">
        <is>
          <t xml:space="preserve">Average annual TAM, FY22-25 ($M/yr)</t>
        </is>
      </c>
      <c r="C51" s="4">
        <f>(N('DDG TAM Build'!C117)+N('DDG TAM Build'!D117)+N('DDG TAM Build'!E117)+N('DDG TAM Build'!F117))/4</f>
      </c>
    </row>
    <row r="54">
      <c r="A54" s="0" t="inlineStr">
        <is>
          <t xml:space="preserve">x</t>
        </is>
      </c>
      <c r="B54" s="9" t="inlineStr">
        <is>
          <t xml:space="preserve">§6 - Checks</t>
        </is>
      </c>
      <c r="C54" s="9"/>
      <c r="D54" s="9"/>
      <c r="E54" s="9"/>
      <c r="F54" s="9"/>
      <c r="G54" s="9"/>
      <c r="H54" s="9"/>
    </row>
    <row r="56">
      <c r="B56" s="2" t="inlineStr">
        <is>
          <t xml:space="preserve">Check</t>
        </is>
      </c>
      <c r="C56" s="2" t="inlineStr">
        <is>
          <t xml:space="preserve">Status</t>
        </is>
      </c>
    </row>
    <row r="57" outlineLevel="1">
      <c r="B57" s="0" t="inlineStr">
        <is>
          <t xml:space="preserve">FY27 FYDP gross ties to SCN Budget FY27 TSE (constant)</t>
        </is>
      </c>
      <c r="C57" s="0">
        <f>IF(ABS(N('DDG FYDP Outyears'!E23)-N('DDG SCN Budget'!H22))&lt;1,"OK","FAIL")</f>
      </c>
    </row>
    <row r="58" outlineLevel="1">
      <c r="B58" s="0" t="inlineStr">
        <is>
          <t xml:space="preserve">Penetration at or below 100% each FY</t>
        </is>
      </c>
      <c r="C58" s="0">
        <f>IF(COUNTIF(C21:H21,"&gt;1")=0,"OK","REVIEW")</f>
      </c>
    </row>
    <row r="59" outlineLevel="1">
      <c r="B59" s="0" t="inlineStr">
        <is>
          <t xml:space="preserve">Low assumption at or below high</t>
        </is>
      </c>
      <c r="C59" s="0">
        <f>IF(C31&lt;=C32,"OK","FAIL")</f>
      </c>
    </row>
    <row r="60" outlineLevel="1">
      <c r="B60" s="0" t="inlineStr">
        <is>
          <t xml:space="preserve">FY2026 reads above 100% only with the OBBBA stream toggled off (AP/LLTM TAM over the ~$306M discretionary-only TSE).</t>
        </is>
      </c>
    </row>
  </sheetData>
</worksheet>
</file>

<file path=xl/worksheets/sheet14.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0" customWidth="1"/>
    <col min="3" max="3" width="12" customWidth="1"/>
    <col min="4" max="4" width="12" customWidth="1"/>
    <col min="5" max="5" width="12" customWidth="1"/>
    <col min="6" max="6" width="12" customWidth="1"/>
  </cols>
  <sheetData>
    <row r="1"/>
    <row r="2">
      <c r="B2" s="8" t="inlineStr">
        <is>
          <t xml:space="preserve">Ceiling Model</t>
        </is>
      </c>
      <c r="C2" s="8"/>
      <c r="D2" s="8"/>
      <c r="E2" s="8"/>
      <c r="F2" s="8"/>
    </row>
    <row r="4">
      <c r="A4" s="0" t="inlineStr">
        <is>
          <t xml:space="preserve">x</t>
        </is>
      </c>
      <c r="B4" s="9" t="inlineStr">
        <is>
          <t xml:space="preserve">§1 - Outsourcing ceiling (share of Basic Construction)</t>
        </is>
      </c>
      <c r="C4" s="9"/>
      <c r="D4" s="9"/>
      <c r="E4" s="9"/>
      <c r="F4" s="9"/>
    </row>
    <row r="6">
      <c r="B6" s="2" t="inlineStr">
        <is>
          <t xml:space="preserve">Measure</t>
        </is>
      </c>
      <c r="C6" s="22" t="inlineStr">
        <is>
          <t xml:space="preserve">Virginia</t>
        </is>
      </c>
      <c r="D6" s="22" t="inlineStr">
        <is>
          <t xml:space="preserve">Columbia</t>
        </is>
      </c>
      <c r="E6" s="22" t="inlineStr">
        <is>
          <t xml:space="preserve">DDG-51</t>
        </is>
      </c>
      <c r="F6" s="22" t="inlineStr">
        <is>
          <t xml:space="preserve">Portfolio</t>
        </is>
      </c>
    </row>
    <row r="7" outlineLevel="1">
      <c r="B7" s="0" t="inlineStr">
        <is>
          <t xml:space="preserve">BC base (cumulative FY22-27, $M)</t>
        </is>
      </c>
      <c r="C7" s="11">
        <f>SUMIF('Cost Base'!$B$7:$B$21,"Virginia",'Cost Base'!$D$7:$D$21)</f>
      </c>
      <c r="D7" s="11">
        <f>SUMIF('Cost Base'!$B$7:$B$21,"Columbia",'Cost Base'!$D$7:$D$21)</f>
      </c>
      <c r="E7" s="11">
        <f>SUMIF('Cost Base'!$B$7:$B$21,"DDG-51",'Cost Base'!$D$7:$D$21)</f>
      </c>
      <c r="F7" s="4">
        <f>SUM(C7:E7)</f>
      </c>
    </row>
    <row r="8" outlineLevel="1">
      <c r="B8" s="0" t="inlineStr">
        <is>
          <t xml:space="preserve">L - shipyard labor share of BC</t>
        </is>
      </c>
      <c r="C8" s="12">
        <f>'Ceiling Assumptions'!C17</f>
      </c>
      <c r="D8" s="12">
        <f>'Ceiling Assumptions'!D17</f>
      </c>
      <c r="E8" s="12">
        <f>'Ceiling Assumptions'!E17</f>
      </c>
    </row>
    <row r="9" outlineLevel="1">
      <c r="B9" s="0" t="inlineStr">
        <is>
          <t xml:space="preserve">h - outsourceable labor-hour share</t>
        </is>
      </c>
      <c r="C9" s="12">
        <f>'Ceiling Assumptions'!C16</f>
      </c>
      <c r="D9" s="12">
        <f>'Ceiling Assumptions'!D16</f>
      </c>
      <c r="E9" s="12">
        <f>'Ceiling Assumptions'!E16</f>
      </c>
    </row>
    <row r="10" outlineLevel="1">
      <c r="B10" s="1" t="inlineStr">
        <is>
          <t xml:space="preserve">Core % = L x (1 - h)</t>
        </is>
      </c>
      <c r="C10" s="6">
        <f>C8*(1-C9)</f>
      </c>
      <c r="D10" s="6">
        <f>D8*(1-D9)</f>
      </c>
      <c r="E10" s="6">
        <f>E8*(1-E9)</f>
      </c>
      <c r="F10" s="6">
        <f>IF(F7=0,0,F12/F7)</f>
      </c>
    </row>
    <row r="11" outlineLevel="1">
      <c r="B11" s="1" t="inlineStr">
        <is>
          <t xml:space="preserve">Ceiling % = 1 - core</t>
        </is>
      </c>
      <c r="C11" s="6">
        <f>1-C10</f>
      </c>
      <c r="D11" s="6">
        <f>1-D10</f>
      </c>
      <c r="E11" s="6">
        <f>1-E10</f>
      </c>
      <c r="F11" s="6">
        <f>1-F10</f>
      </c>
    </row>
    <row r="12" outlineLevel="1">
      <c r="B12" s="0" t="inlineStr">
        <is>
          <t xml:space="preserve">Core $M (never-outsourced)</t>
        </is>
      </c>
      <c r="C12" s="4">
        <f>C10*C7</f>
      </c>
      <c r="D12" s="4">
        <f>D10*D7</f>
      </c>
      <c r="E12" s="4">
        <f>E10*E7</f>
      </c>
      <c r="F12" s="4">
        <f>SUM(C12:E12)</f>
      </c>
    </row>
    <row r="13" outlineLevel="1">
      <c r="B13" s="1" t="inlineStr">
        <is>
          <t xml:space="preserve">Ceiling $M (outsourceable)</t>
        </is>
      </c>
      <c r="C13" s="4">
        <f>C11*C7</f>
      </c>
      <c r="D13" s="4">
        <f>D11*D7</f>
      </c>
      <c r="E13" s="4">
        <f>E11*E7</f>
      </c>
      <c r="F13" s="4">
        <f>SUM(C13:E13)</f>
      </c>
    </row>
  </sheetData>
</worksheet>
</file>

<file path=xl/worksheets/sheet15.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8" customWidth="1"/>
    <col min="3" max="3" width="12" customWidth="1"/>
    <col min="4" max="4" width="12" customWidth="1"/>
    <col min="5" max="5" width="12" customWidth="1"/>
    <col min="6" max="6" width="12" customWidth="1"/>
  </cols>
  <sheetData>
    <row r="1"/>
    <row r="2">
      <c r="B2" s="8" t="inlineStr">
        <is>
          <t xml:space="preserve">Conversion Bridge</t>
        </is>
      </c>
      <c r="C2" s="8"/>
      <c r="D2" s="8"/>
      <c r="E2" s="8"/>
      <c r="F2" s="8"/>
    </row>
    <row r="4">
      <c r="A4" s="0" t="inlineStr">
        <is>
          <t xml:space="preserve">x</t>
        </is>
      </c>
      <c r="B4" s="9" t="inlineStr">
        <is>
          <t xml:space="preserve">§1 - Hours-to-dollars bridge (outsourced share of BC)</t>
        </is>
      </c>
      <c r="C4" s="9"/>
      <c r="D4" s="9"/>
      <c r="E4" s="9"/>
      <c r="F4" s="9"/>
    </row>
    <row r="6">
      <c r="B6" s="2" t="inlineStr">
        <is>
          <t xml:space="preserve">Measure</t>
        </is>
      </c>
      <c r="C6" s="22" t="inlineStr">
        <is>
          <t xml:space="preserve">Virginia</t>
        </is>
      </c>
      <c r="D6" s="22" t="inlineStr">
        <is>
          <t xml:space="preserve">Columbia</t>
        </is>
      </c>
      <c r="E6" s="22" t="inlineStr">
        <is>
          <t xml:space="preserve">DDG-51</t>
        </is>
      </c>
      <c r="F6" s="22" t="inlineStr">
        <is>
          <t xml:space="preserve">Portfolio</t>
        </is>
      </c>
    </row>
    <row r="7" outlineLevel="1">
      <c r="B7" s="0" t="inlineStr">
        <is>
          <t xml:space="preserve">BC base (cumulative FY22-27, $M)</t>
        </is>
      </c>
      <c r="C7" s="11">
        <f>'Ceiling Model'!C7</f>
      </c>
      <c r="D7" s="11">
        <f>'Ceiling Model'!D7</f>
      </c>
      <c r="E7" s="11">
        <f>'Ceiling Model'!E7</f>
      </c>
      <c r="F7" s="4">
        <f>SUM(C7:E7)</f>
      </c>
    </row>
    <row r="8" outlineLevel="1">
      <c r="B8" s="0" t="inlineStr">
        <is>
          <t xml:space="preserve">L - shipyard labor share of BC</t>
        </is>
      </c>
      <c r="C8" s="12">
        <f>'Ceiling Assumptions'!C17</f>
      </c>
      <c r="D8" s="12">
        <f>'Ceiling Assumptions'!D17</f>
      </c>
      <c r="E8" s="12">
        <f>'Ceiling Assumptions'!E17</f>
      </c>
    </row>
    <row r="9" outlineLevel="1">
      <c r="B9" s="0" t="inlineStr">
        <is>
          <t xml:space="preserve">h - outsourceable labor-hour share</t>
        </is>
      </c>
      <c r="C9" s="12">
        <f>'Ceiling Assumptions'!C16</f>
      </c>
      <c r="D9" s="12">
        <f>'Ceiling Assumptions'!D16</f>
      </c>
      <c r="E9" s="12">
        <f>'Ceiling Assumptions'!E16</f>
      </c>
    </row>
    <row r="10" outlineLevel="1">
      <c r="B10" s="0" t="inlineStr">
        <is>
          <t xml:space="preserve">p - pass-through material (active)</t>
        </is>
      </c>
      <c r="C10" s="12">
        <f>'Ceiling Assumptions'!C20</f>
      </c>
    </row>
    <row r="11" outlineLevel="1">
      <c r="B11" s="0" t="inlineStr">
        <is>
          <t xml:space="preserve">Material share M = 1 - L</t>
        </is>
      </c>
      <c r="C11" s="6">
        <f>1-C8</f>
      </c>
      <c r="D11" s="6">
        <f>1-D8</f>
      </c>
      <c r="E11" s="6">
        <f>1-E8</f>
      </c>
    </row>
    <row r="12" outlineLevel="1">
      <c r="B12" s="0" t="inlineStr">
        <is>
          <t xml:space="preserve">Outsourced share, labor-only (p=0) = h x L</t>
        </is>
      </c>
      <c r="C12" s="6">
        <f>C9*C8</f>
      </c>
      <c r="D12" s="6">
        <f>D9*D8</f>
      </c>
      <c r="E12" s="6">
        <f>E9*E8</f>
      </c>
      <c r="F12" s="6">
        <f>IF(F7=0,0,SUMPRODUCT(C12:E12,C7:E7)/F7)</f>
      </c>
    </row>
    <row r="13" outlineLevel="1">
      <c r="B13" s="1" t="inlineStr">
        <is>
          <t xml:space="preserve">Outsourced share, active p = hL + pM</t>
        </is>
      </c>
      <c r="C13" s="6">
        <f>C9*C8+'Ceiling Assumptions'!C20*C11</f>
      </c>
      <c r="D13" s="6">
        <f>D9*D8+'Ceiling Assumptions'!C20*D11</f>
      </c>
      <c r="E13" s="6">
        <f>E9*E8+'Ceiling Assumptions'!C20*E11</f>
      </c>
      <c r="F13" s="6">
        <f>IF(F7=0,0,F15/F7)</f>
      </c>
    </row>
    <row r="14" outlineLevel="1">
      <c r="B14" s="0" t="inlineStr">
        <is>
          <t xml:space="preserve">Outsourced share, material-incl (p=1) = hL + M</t>
        </is>
      </c>
      <c r="C14" s="6">
        <f>C9*C8+C11</f>
      </c>
      <c r="D14" s="6">
        <f>D9*D8+D11</f>
      </c>
      <c r="E14" s="6">
        <f>E9*E8+E11</f>
      </c>
      <c r="F14" s="6">
        <f>IF(F7=0,0,SUMPRODUCT(C14:E14,C7:E7)/F7)</f>
      </c>
    </row>
    <row r="15" outlineLevel="1">
      <c r="B15" s="1" t="inlineStr">
        <is>
          <t xml:space="preserve">Outsourced $M (active p)</t>
        </is>
      </c>
      <c r="C15" s="4">
        <f>C13*C7</f>
      </c>
      <c r="D15" s="4">
        <f>D13*D7</f>
      </c>
      <c r="E15" s="4">
        <f>E13*E7</f>
      </c>
      <c r="F15" s="4">
        <f>SUM(C15:E15)</f>
      </c>
    </row>
  </sheetData>
</worksheet>
</file>

<file path=xl/worksheets/sheet16.xml><?xml version="1.0" encoding="utf-8"?>
<worksheet xmlns="http://schemas.openxmlformats.org/spreadsheetml/2006/main" xmlns:r="http://schemas.openxmlformats.org/officeDocument/2006/relationships">
  <sheetPr>
    <tabColor rgb="FF34406B"/>
    <outlinePr summaryBelow="0"/>
  </sheetPr>
  <sheetViews>
    <sheetView showGridLines="0" workbookViewId="0" showOutlineSymbols="0"/>
  </sheetViews>
  <sheetFormatPr defaultRowHeight="10" customHeight="1"/>
  <cols>
    <col min="1" max="1" width="2.2109375" customWidth="1"/>
    <col min="2" max="2" width="46" customWidth="1"/>
    <col min="3" max="3" width="12" customWidth="1"/>
    <col min="4" max="4" width="12" customWidth="1"/>
    <col min="5" max="5" width="12" customWidth="1"/>
    <col min="6" max="6" width="12" customWidth="1"/>
  </cols>
  <sheetData>
    <row r="1"/>
    <row r="2">
      <c r="B2" s="8" t="inlineStr">
        <is>
          <t xml:space="preserve">Headroom</t>
        </is>
      </c>
      <c r="C2" s="8"/>
      <c r="D2" s="8"/>
      <c r="E2" s="8"/>
      <c r="F2" s="8"/>
    </row>
    <row r="4">
      <c r="A4" s="0" t="inlineStr">
        <is>
          <t xml:space="preserve">x</t>
        </is>
      </c>
      <c r="B4" s="9" t="inlineStr">
        <is>
          <t xml:space="preserve">§1 - Headroom over current outsourcing (POP frame; $M, x)</t>
        </is>
      </c>
      <c r="C4" s="9"/>
      <c r="D4" s="9"/>
      <c r="E4" s="9"/>
      <c r="F4" s="9"/>
    </row>
    <row r="6">
      <c r="B6" s="2" t="inlineStr">
        <is>
          <t xml:space="preserve">Measure</t>
        </is>
      </c>
      <c r="C6" s="22" t="inlineStr">
        <is>
          <t xml:space="preserve">Virginia</t>
        </is>
      </c>
      <c r="D6" s="22" t="inlineStr">
        <is>
          <t xml:space="preserve">Columbia</t>
        </is>
      </c>
      <c r="E6" s="22" t="inlineStr">
        <is>
          <t xml:space="preserve">DDG-51</t>
        </is>
      </c>
      <c r="F6" s="22" t="inlineStr">
        <is>
          <t xml:space="preserve">Portfolio</t>
        </is>
      </c>
    </row>
    <row r="7" outlineLevel="1">
      <c r="B7" s="0" t="inlineStr">
        <is>
          <t xml:space="preserve">BC base (cumulative FY22-27, $M)</t>
        </is>
      </c>
      <c r="C7" s="11">
        <f>'Ceiling Model'!C7</f>
      </c>
      <c r="D7" s="11">
        <f>'Ceiling Model'!D7</f>
      </c>
      <c r="E7" s="11">
        <f>'Ceiling Model'!E7</f>
      </c>
      <c r="F7" s="4">
        <f>SUM(C7:E7)</f>
      </c>
    </row>
    <row r="8" outlineLevel="1">
      <c r="B8" s="0" t="inlineStr">
        <is>
          <t xml:space="preserve">Current off-team work (POP)</t>
        </is>
      </c>
      <c r="C8" s="12">
        <f>'Ceiling Assumptions'!C32</f>
      </c>
      <c r="D8" s="12">
        <f>'Ceiling Assumptions'!D32</f>
      </c>
      <c r="E8" s="12">
        <f>'Ceiling Assumptions'!E32</f>
      </c>
      <c r="F8" s="6">
        <f>IF(F7=0,0,F11/F7)</f>
      </c>
    </row>
    <row r="9" outlineLevel="1">
      <c r="B9" s="0" t="inlineStr">
        <is>
          <t xml:space="preserve">Ceiling %</t>
        </is>
      </c>
      <c r="C9" s="12">
        <f>'Ceiling Model'!C11</f>
      </c>
      <c r="D9" s="12">
        <f>'Ceiling Model'!D11</f>
      </c>
      <c r="E9" s="12">
        <f>'Ceiling Model'!E11</f>
      </c>
      <c r="F9" s="6">
        <f>IF(F7=0,0,F12/F7)</f>
      </c>
    </row>
    <row r="10" outlineLevel="1">
      <c r="B10" s="1" t="inlineStr">
        <is>
          <t xml:space="preserve">Headroom x = ceiling / current</t>
        </is>
      </c>
      <c r="C10" s="4">
        <f>IF(C8=0,0,C9/C8)</f>
      </c>
      <c r="D10" s="4">
        <f>IF(D8=0,0,D9/D8)</f>
      </c>
      <c r="E10" s="4">
        <f>IF(E8=0,0,E9/E8)</f>
      </c>
      <c r="F10" s="4">
        <f>IF(F8=0,0,F9/F8)</f>
      </c>
    </row>
    <row r="11" outlineLevel="1">
      <c r="B11" s="0" t="inlineStr">
        <is>
          <t xml:space="preserve">Current outsourced $M = POP x BC</t>
        </is>
      </c>
      <c r="C11" s="4">
        <f>C8*C7</f>
      </c>
      <c r="D11" s="4">
        <f>D8*D7</f>
      </c>
      <c r="E11" s="4">
        <f>E8*E7</f>
      </c>
      <c r="F11" s="4">
        <f>SUM(C11:E11)</f>
      </c>
    </row>
    <row r="12" outlineLevel="1">
      <c r="B12" s="1" t="inlineStr">
        <is>
          <t xml:space="preserve">Ceiling $M (outsourceable)</t>
        </is>
      </c>
      <c r="C12" s="11">
        <f>'Ceiling Model'!C13</f>
      </c>
      <c r="D12" s="11">
        <f>'Ceiling Model'!D13</f>
      </c>
      <c r="E12" s="11">
        <f>'Ceiling Model'!E13</f>
      </c>
      <c r="F12" s="4">
        <f>SUM(C12:E12)</f>
      </c>
    </row>
    <row r="13" outlineLevel="1">
      <c r="B13" s="0" t="inlineStr">
        <is>
          <t xml:space="preserve">FFATA-visible subawards $M (observed floor)</t>
        </is>
      </c>
      <c r="C13" s="11">
        <f>SUMIF('Cost Base'!$B$7:$B$21,"Virginia",'Cost Base'!$I$7:$I$21)</f>
      </c>
      <c r="D13" s="11">
        <f>SUMIF('Cost Base'!$B$7:$B$21,"Columbia",'Cost Base'!$I$7:$I$21)</f>
      </c>
      <c r="E13" s="11">
        <f>SUMIF('Cost Base'!$B$7:$B$21,"DDG-51",'Cost Base'!$I$7:$I$21)</f>
      </c>
      <c r="F13" s="4">
        <f>SUM(C13:E13)</f>
      </c>
    </row>
    <row r="14" outlineLevel="1">
      <c r="B14" s="0" t="inlineStr">
        <is>
          <t xml:space="preserve">Make/buy reference $M (mid band, footnote)</t>
        </is>
      </c>
      <c r="C14" s="4">
        <f>'Ceiling Assumptions'!C36*C7</f>
      </c>
      <c r="D14" s="4">
        <f>'Ceiling Assumptions'!C36*D7</f>
      </c>
      <c r="E14" s="4">
        <f>'Ceiling Assumptions'!C36*E7</f>
      </c>
      <c r="F14" s="4">
        <f>SUM(C14:E14)</f>
      </c>
    </row>
  </sheetData>
</worksheet>
</file>

<file path=xl/worksheets/sheet17.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10" customWidth="1"/>
    <col min="3" max="3" width="44" customWidth="1"/>
    <col min="4" max="4" width="30" customWidth="1"/>
    <col min="5" max="5" width="28" customWidth="1"/>
  </cols>
  <sheetData>
    <row r="1"/>
    <row r="2">
      <c r="B2" s="8" t="inlineStr">
        <is>
          <t xml:space="preserve">Deflators</t>
        </is>
      </c>
      <c r="C2" s="8"/>
      <c r="D2" s="8"/>
      <c r="E2" s="8"/>
    </row>
    <row r="4">
      <c r="A4" s="0" t="inlineStr">
        <is>
          <t xml:space="preserve">x</t>
        </is>
      </c>
      <c r="B4" s="9" t="inlineStr">
        <is>
          <t xml:space="preserve">§1 - DoD price deflators (Green Book Procurement TOA, rebased FY2026)</t>
        </is>
      </c>
      <c r="C4" s="9"/>
      <c r="D4" s="9"/>
      <c r="E4" s="9"/>
    </row>
    <row r="6">
      <c r="B6" s="2" t="inlineStr">
        <is>
          <t xml:space="preserve">FY</t>
        </is>
      </c>
      <c r="C6" s="22" t="inlineStr">
        <is>
          <t xml:space="preserve">Procurement deflator (FY2025=100)</t>
        </is>
      </c>
      <c r="D6" s="22" t="inlineStr">
        <is>
          <t xml:space="preserve">Factor to constant FY2026 $</t>
        </is>
      </c>
      <c r="E6" s="2" t="inlineStr">
        <is>
          <t xml:space="preserve">Basis</t>
        </is>
      </c>
    </row>
    <row r="7" outlineLevel="1">
      <c r="B7" s="1" t="inlineStr">
        <is>
          <t xml:space="preserve">FY2022</t>
        </is>
      </c>
      <c r="C7" s="5">
        <v>93.13</v>
      </c>
      <c r="D7" s="4" t="inlineStr">
        <is>
          <t xml:space="preserve">1.10</t>
        </is>
      </c>
      <c r="E7" s="0" t="inlineStr">
        <is>
          <t xml:space="preserve">Green Book Table 5-4</t>
        </is>
      </c>
    </row>
    <row r="8" outlineLevel="1">
      <c r="B8" s="1" t="inlineStr">
        <is>
          <t xml:space="preserve">FY2023</t>
        </is>
      </c>
      <c r="C8" s="5">
        <v>95.77</v>
      </c>
      <c r="D8" s="4" t="inlineStr">
        <is>
          <t xml:space="preserve">1.07</t>
        </is>
      </c>
      <c r="E8" s="0" t="inlineStr">
        <is>
          <t xml:space="preserve">Green Book Table 5-4</t>
        </is>
      </c>
    </row>
    <row r="9" outlineLevel="1">
      <c r="B9" s="1" t="inlineStr">
        <is>
          <t xml:space="preserve">FY2024</t>
        </is>
      </c>
      <c r="C9" s="5">
        <v>97.92</v>
      </c>
      <c r="D9" s="4" t="inlineStr">
        <is>
          <t xml:space="preserve">1.04</t>
        </is>
      </c>
      <c r="E9" s="0" t="inlineStr">
        <is>
          <t xml:space="preserve">Green Book Table 5-4</t>
        </is>
      </c>
    </row>
    <row r="10" outlineLevel="1">
      <c r="B10" s="1" t="inlineStr">
        <is>
          <t xml:space="preserve">FY2025</t>
        </is>
      </c>
      <c r="C10" s="5">
        <v>100.0</v>
      </c>
      <c r="D10" s="4" t="inlineStr">
        <is>
          <t xml:space="preserve">1.02</t>
        </is>
      </c>
      <c r="E10" s="0" t="inlineStr">
        <is>
          <t xml:space="preserve">Green Book Table 5-4</t>
        </is>
      </c>
    </row>
    <row r="11" outlineLevel="1">
      <c r="B11" s="1" t="inlineStr">
        <is>
          <t xml:space="preserve">FY2026</t>
        </is>
      </c>
      <c r="C11" s="5">
        <v>102.1</v>
      </c>
      <c r="D11" s="4" t="inlineStr">
        <is>
          <t xml:space="preserve">1.00</t>
        </is>
      </c>
      <c r="E11" s="0" t="inlineStr">
        <is>
          <t xml:space="preserve">Green Book Table 5-4</t>
        </is>
      </c>
    </row>
    <row r="12" outlineLevel="1">
      <c r="B12" s="1" t="inlineStr">
        <is>
          <t xml:space="preserve">FY2027</t>
        </is>
      </c>
      <c r="C12" s="5">
        <v>104.24</v>
      </c>
      <c r="D12" s="4" t="inlineStr">
        <is>
          <t xml:space="preserve">0.98</t>
        </is>
      </c>
      <c r="E12" s="0" t="inlineStr">
        <is>
          <t xml:space="preserve">Green Book Table 5-4</t>
        </is>
      </c>
    </row>
    <row r="13" outlineLevel="1">
      <c r="B13" s="1" t="inlineStr">
        <is>
          <t xml:space="preserve">FY2028</t>
        </is>
      </c>
      <c r="C13" s="5">
        <v>106.43</v>
      </c>
      <c r="D13" s="4" t="inlineStr">
        <is>
          <t xml:space="preserve">0.96</t>
        </is>
      </c>
      <c r="E13" s="0" t="inlineStr">
        <is>
          <t xml:space="preserve">Green Book Table 5-4</t>
        </is>
      </c>
    </row>
    <row r="14" outlineLevel="1">
      <c r="B14" s="1" t="inlineStr">
        <is>
          <t xml:space="preserve">FY2029</t>
        </is>
      </c>
      <c r="C14" s="5">
        <v>108.67</v>
      </c>
      <c r="D14" s="4" t="inlineStr">
        <is>
          <t xml:space="preserve">0.94</t>
        </is>
      </c>
      <c r="E14" s="0" t="inlineStr">
        <is>
          <t xml:space="preserve">Green Book Table 5-4</t>
        </is>
      </c>
    </row>
    <row r="15" outlineLevel="1">
      <c r="B15" s="1" t="inlineStr">
        <is>
          <t xml:space="preserve">FY2030</t>
        </is>
      </c>
      <c r="C15" s="5">
        <v>110.95</v>
      </c>
      <c r="D15" s="4" t="inlineStr">
        <is>
          <t xml:space="preserve">0.92</t>
        </is>
      </c>
      <c r="E15" s="0" t="inlineStr">
        <is>
          <t xml:space="preserve">Extrapolated @ 2.1%/yr</t>
        </is>
      </c>
    </row>
    <row r="16" outlineLevel="1">
      <c r="B16" s="1" t="inlineStr">
        <is>
          <t xml:space="preserve">FY2031</t>
        </is>
      </c>
      <c r="C16" s="5">
        <v>113.28</v>
      </c>
      <c r="D16" s="4" t="inlineStr">
        <is>
          <t xml:space="preserve">0.90</t>
        </is>
      </c>
      <c r="E16" s="0" t="inlineStr">
        <is>
          <t xml:space="preserve">Extrapolated @ 2.1%/yr</t>
        </is>
      </c>
    </row>
    <row r="19">
      <c r="A19" s="0" t="inlineStr">
        <is>
          <t xml:space="preserve">x</t>
        </is>
      </c>
      <c r="B19" s="9" t="inlineStr">
        <is>
          <t xml:space="preserve">§2 - Sources</t>
        </is>
      </c>
      <c r="C19" s="9"/>
      <c r="D19" s="9"/>
      <c r="E19" s="9"/>
    </row>
    <row r="21">
      <c r="B21" s="2" t="inlineStr">
        <is>
          <t xml:space="preserve">Series</t>
        </is>
      </c>
      <c r="C21" s="2" t="inlineStr">
        <is>
          <t xml:space="preserve">Source</t>
        </is>
      </c>
    </row>
    <row r="22" outlineLevel="1">
      <c r="B22" s="1" t="inlineStr">
        <is>
          <t xml:space="preserve">Green Book Procurement TOA</t>
        </is>
      </c>
      <c r="C22" s="0" t="inlineStr">
        <is>
          <t xml:space="preserve">OSD National Defense Budget Estimates for FY2025 (Green Book), Table 5-4 Procurement TOA, FY2025=100 (pp. 58-59 / PDF pp. 65-66); rebased to FY2026=1.000</t>
        </is>
      </c>
    </row>
    <row r="23" outlineLevel="1">
      <c r="B23" s="1" t="inlineStr">
        <is>
          <t xml:space="preserve">FY2030-FY2031 outyears</t>
        </is>
      </c>
      <c r="C23" s="0" t="inlineStr">
        <is>
          <t xml:space="preserve">FY2030-FY2031 extrapolated at 2.1%/yr (Green Book Table 5-3 steady-state purchases inflation); Table 5-4 ends at FY2029</t>
        </is>
      </c>
    </row>
  </sheetData>
</worksheet>
</file>

<file path=xl/worksheets/sheet18.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34" customWidth="1"/>
    <col min="3" max="3" width="9" customWidth="1"/>
    <col min="4" max="4" width="9" customWidth="1"/>
    <col min="5" max="5" width="9" customWidth="1"/>
    <col min="6" max="6" width="9" customWidth="1"/>
    <col min="7" max="7" width="9" customWidth="1"/>
    <col min="8" max="8" width="9" customWidth="1"/>
    <col min="9" max="9" width="12" customWidth="1"/>
  </cols>
  <sheetData>
    <row r="1"/>
    <row r="2">
      <c r="B2" s="8" t="inlineStr">
        <is>
          <t xml:space="preserve">SCN Budget</t>
        </is>
      </c>
      <c r="C2" s="8"/>
      <c r="D2" s="8"/>
      <c r="E2" s="8"/>
      <c r="F2" s="8"/>
      <c r="G2" s="8"/>
      <c r="H2" s="8"/>
      <c r="I2" s="8"/>
    </row>
    <row r="4">
      <c r="B4" s="9" t="inlineStr">
        <is>
          <t xml:space="preserve">§1 - Basic Construction &amp; GFE by FY ($M)</t>
        </is>
      </c>
      <c r="C4" s="9"/>
      <c r="D4" s="9"/>
      <c r="E4" s="9"/>
      <c r="F4" s="9"/>
      <c r="G4" s="9"/>
      <c r="H4" s="9"/>
      <c r="I4" s="9"/>
    </row>
    <row r="6">
      <c r="B6" s="2" t="inlineStr">
        <is>
          <t xml:space="preserve">Measure</t>
        </is>
      </c>
      <c r="C6" s="22">
        <v>2022</v>
      </c>
      <c r="D6" s="22">
        <v>2023</v>
      </c>
      <c r="E6" s="22">
        <v>2024</v>
      </c>
      <c r="F6" s="22">
        <v>2025</v>
      </c>
      <c r="G6" s="22">
        <v>2026</v>
      </c>
      <c r="H6" s="22">
        <v>2027</v>
      </c>
      <c r="I6" s="22" t="inlineStr">
        <is>
          <t xml:space="preserve">Total</t>
        </is>
      </c>
    </row>
    <row r="7">
      <c r="B7" s="1" t="inlineStr">
        <is>
          <t xml:space="preserve">Virginia Basic Construction</t>
        </is>
      </c>
      <c r="C7" s="4">
        <f>'Sub SCN Budget'!C54</f>
      </c>
      <c r="D7" s="4">
        <f>'Sub SCN Budget'!D54</f>
      </c>
      <c r="E7" s="4">
        <f>'Sub SCN Budget'!E54</f>
      </c>
      <c r="F7" s="4">
        <f>'Sub SCN Budget'!F54</f>
      </c>
      <c r="G7" s="4">
        <f>'Sub SCN Budget'!G54</f>
      </c>
      <c r="H7" s="4">
        <f>'Sub SCN Budget'!H54</f>
      </c>
      <c r="I7" s="4">
        <f>SUM(C7:H7)</f>
      </c>
    </row>
    <row r="8">
      <c r="B8" s="1" t="inlineStr">
        <is>
          <t xml:space="preserve">Columbia Basic Construction</t>
        </is>
      </c>
      <c r="C8" s="4">
        <f>'Sub SCN Budget'!C96</f>
      </c>
      <c r="D8" s="4">
        <f>'Sub SCN Budget'!D96</f>
      </c>
      <c r="E8" s="4">
        <f>'Sub SCN Budget'!E96</f>
      </c>
      <c r="F8" s="4">
        <f>'Sub SCN Budget'!F96</f>
      </c>
      <c r="G8" s="4">
        <f>'Sub SCN Budget'!G96</f>
      </c>
      <c r="H8" s="4">
        <f>'Sub SCN Budget'!H96</f>
      </c>
      <c r="I8" s="4">
        <f>SUM(C8:H8)</f>
      </c>
    </row>
    <row r="9">
      <c r="B9" s="1" t="inlineStr">
        <is>
          <t xml:space="preserve">Portfolio Basic Construction</t>
        </is>
      </c>
      <c r="C9" s="4">
        <f>N('Sub SCN Budget'!C54)+N('Sub SCN Budget'!C96)</f>
      </c>
      <c r="D9" s="4">
        <f>N('Sub SCN Budget'!D54)+N('Sub SCN Budget'!D96)</f>
      </c>
      <c r="E9" s="4">
        <f>N('Sub SCN Budget'!E54)+N('Sub SCN Budget'!E96)</f>
      </c>
      <c r="F9" s="4">
        <f>N('Sub SCN Budget'!F54)+N('Sub SCN Budget'!F96)</f>
      </c>
      <c r="G9" s="4">
        <f>N('Sub SCN Budget'!G54)+N('Sub SCN Budget'!G96)</f>
      </c>
      <c r="H9" s="4">
        <f>N('Sub SCN Budget'!H54)+N('Sub SCN Budget'!H96)</f>
      </c>
      <c r="I9" s="4">
        <f>SUM(C9:H9)</f>
      </c>
    </row>
    <row r="10">
      <c r="B10" s="0" t="inlineStr">
        <is>
          <t xml:space="preserve">Virginia GFE sum</t>
        </is>
      </c>
      <c r="C10" s="4">
        <f>'Sub SCN Budget'!C52</f>
      </c>
      <c r="D10" s="4">
        <f>'Sub SCN Budget'!D52</f>
      </c>
      <c r="E10" s="4">
        <f>'Sub SCN Budget'!E52</f>
      </c>
      <c r="F10" s="4">
        <f>'Sub SCN Budget'!F52</f>
      </c>
      <c r="G10" s="4">
        <f>'Sub SCN Budget'!G52</f>
      </c>
      <c r="H10" s="4">
        <f>'Sub SCN Budget'!H52</f>
      </c>
      <c r="I10" s="4">
        <f>SUM(C10:H10)</f>
      </c>
    </row>
    <row r="11">
      <c r="B11" s="0" t="inlineStr">
        <is>
          <t xml:space="preserve">Columbia GFE sum</t>
        </is>
      </c>
      <c r="C11" s="4">
        <f>'Sub SCN Budget'!C94</f>
      </c>
      <c r="D11" s="4">
        <f>'Sub SCN Budget'!D94</f>
      </c>
      <c r="E11" s="4">
        <f>'Sub SCN Budget'!E94</f>
      </c>
      <c r="F11" s="4">
        <f>'Sub SCN Budget'!F94</f>
      </c>
      <c r="G11" s="4">
        <f>'Sub SCN Budget'!G94</f>
      </c>
      <c r="H11" s="4">
        <f>'Sub SCN Budget'!H94</f>
      </c>
      <c r="I11" s="4">
        <f>SUM(C11:H11)</f>
      </c>
    </row>
    <row r="12">
      <c r="B12" s="0" t="inlineStr">
        <is>
          <t xml:space="preserve">Portfolio GFE sum</t>
        </is>
      </c>
      <c r="C12" s="4">
        <f>N('Sub SCN Budget'!C52)+N('Sub SCN Budget'!C94)</f>
      </c>
      <c r="D12" s="4">
        <f>N('Sub SCN Budget'!D52)+N('Sub SCN Budget'!D94)</f>
      </c>
      <c r="E12" s="4">
        <f>N('Sub SCN Budget'!E52)+N('Sub SCN Budget'!E94)</f>
      </c>
      <c r="F12" s="4">
        <f>N('Sub SCN Budget'!F52)+N('Sub SCN Budget'!F94)</f>
      </c>
      <c r="G12" s="4">
        <f>N('Sub SCN Budget'!G52)+N('Sub SCN Budget'!G94)</f>
      </c>
      <c r="H12" s="4">
        <f>N('Sub SCN Budget'!H52)+N('Sub SCN Budget'!H94)</f>
      </c>
      <c r="I12" s="4">
        <f>SUM(C12:H12)</f>
      </c>
    </row>
    <row r="15">
      <c r="A15" s="0" t="inlineStr">
        <is>
          <t xml:space="preserve">x</t>
        </is>
      </c>
      <c r="B15" s="9" t="inlineStr">
        <is>
          <t xml:space="preserve">§2 - Virginia (LI 2013) SCN P-5c per FY ($M)</t>
        </is>
      </c>
      <c r="C15" s="9"/>
      <c r="D15" s="9"/>
      <c r="E15" s="9"/>
      <c r="F15" s="9"/>
      <c r="G15" s="9"/>
      <c r="H15" s="9"/>
      <c r="I15" s="9"/>
    </row>
    <row r="17">
      <c r="B17" s="2" t="inlineStr">
        <is>
          <t xml:space="preserve">Metric</t>
        </is>
      </c>
      <c r="C17" s="22">
        <v>2022</v>
      </c>
      <c r="D17" s="22">
        <v>2023</v>
      </c>
      <c r="E17" s="22">
        <v>2024</v>
      </c>
      <c r="F17" s="22">
        <v>2025</v>
      </c>
      <c r="G17" s="22">
        <v>2026</v>
      </c>
      <c r="H17" s="22">
        <v>2027</v>
      </c>
    </row>
    <row r="18" outlineLevel="1">
      <c r="B18" s="1" t="inlineStr">
        <is>
          <t xml:space="preserve">Total Ship Estimate</t>
        </is>
      </c>
      <c r="C18" s="5">
        <v>6915.757</v>
      </c>
      <c r="D18" s="5">
        <v>7250.579</v>
      </c>
      <c r="E18" s="5">
        <v>11377.643</v>
      </c>
      <c r="F18" s="5">
        <v>9500.534</v>
      </c>
      <c r="G18" s="5">
        <v>5389.109</v>
      </c>
      <c r="H18" s="5">
        <v>11437.036</v>
      </c>
    </row>
    <row r="19" outlineLevel="1">
      <c r="B19" s="1" t="inlineStr">
        <is>
          <t xml:space="preserve">Plans Costs</t>
        </is>
      </c>
      <c r="C19" s="5">
        <v>252.399</v>
      </c>
      <c r="D19" s="5">
        <v>192.169</v>
      </c>
      <c r="E19" s="5">
        <v>207.166</v>
      </c>
      <c r="F19" s="5">
        <v>2595.816</v>
      </c>
      <c r="G19" s="5">
        <v>219.603</v>
      </c>
      <c r="H19" s="5">
        <v>223.443</v>
      </c>
    </row>
    <row r="21">
      <c r="A21" s="0" t="inlineStr">
        <is>
          <t xml:space="preserve">x</t>
        </is>
      </c>
      <c r="B21" s="10" t="inlineStr">
        <is>
          <t xml:space="preserve">§2a - GFE components</t>
        </is>
      </c>
      <c r="C21" s="10"/>
      <c r="D21" s="10"/>
      <c r="E21" s="10"/>
      <c r="F21" s="10"/>
      <c r="G21" s="10"/>
      <c r="H21" s="10"/>
      <c r="I21" s="10"/>
    </row>
    <row r="23" outlineLevel="1">
      <c r="B23" s="1" t="inlineStr">
        <is>
          <t xml:space="preserve">Propulsion Equipment</t>
        </is>
      </c>
      <c r="C23" s="5">
        <v>1046.83</v>
      </c>
      <c r="D23" s="5">
        <v>1083.115</v>
      </c>
      <c r="E23" s="5">
        <v>1121.47</v>
      </c>
      <c r="F23" s="5">
        <v>1004.95</v>
      </c>
      <c r="G23" s="5">
        <v>1035.07</v>
      </c>
      <c r="H23" s="5">
        <v>1273.09</v>
      </c>
    </row>
    <row r="24" outlineLevel="1">
      <c r="B24" s="1" t="inlineStr">
        <is>
          <t xml:space="preserve">Electronics</t>
        </is>
      </c>
      <c r="C24" s="5">
        <v>540.536</v>
      </c>
      <c r="D24" s="5">
        <v>551.346</v>
      </c>
      <c r="E24" s="5">
        <v>562.372</v>
      </c>
      <c r="F24" s="5">
        <v>313.264</v>
      </c>
      <c r="G24" s="5">
        <v>598.515</v>
      </c>
      <c r="H24" s="5">
        <v>624.898</v>
      </c>
    </row>
    <row r="25" outlineLevel="1">
      <c r="B25" s="1" t="inlineStr">
        <is>
          <t xml:space="preserve">Hull, Mechanical, Electrical (HM&amp;E)</t>
        </is>
      </c>
      <c r="C25" s="5">
        <v>139.293</v>
      </c>
      <c r="D25" s="5">
        <v>141.566</v>
      </c>
      <c r="E25" s="5">
        <v>144.189</v>
      </c>
      <c r="F25" s="5">
        <v>98.937</v>
      </c>
      <c r="G25" s="5">
        <v>150.015</v>
      </c>
      <c r="H25" s="5">
        <v>153.016</v>
      </c>
    </row>
    <row r="26" outlineLevel="1">
      <c r="B26" s="1" t="inlineStr">
        <is>
          <t xml:space="preserve">Ordnance</t>
        </is>
      </c>
      <c r="C26" s="5"/>
      <c r="D26" s="5"/>
      <c r="E26" s="5"/>
      <c r="F26" s="5"/>
      <c r="G26" s="5"/>
      <c r="H26" s="5"/>
    </row>
    <row r="27" outlineLevel="1">
      <c r="B27" s="1" t="inlineStr">
        <is>
          <t xml:space="preserve">Other Cost</t>
        </is>
      </c>
      <c r="C27" s="5">
        <v>67.806</v>
      </c>
      <c r="D27" s="5">
        <v>69.162</v>
      </c>
      <c r="E27" s="5">
        <v>70.546</v>
      </c>
      <c r="F27" s="5">
        <v>35.978</v>
      </c>
      <c r="G27" s="5">
        <v>73.395</v>
      </c>
      <c r="H27" s="5">
        <v>74.863</v>
      </c>
    </row>
    <row r="28" outlineLevel="1">
      <c r="B28" s="1" t="inlineStr">
        <is>
          <t xml:space="preserve">Technology Insertion</t>
        </is>
      </c>
      <c r="C28" s="5">
        <v>15.398</v>
      </c>
      <c r="D28" s="5">
        <v>15.706</v>
      </c>
      <c r="E28" s="5">
        <v>16.02</v>
      </c>
      <c r="F28" s="5">
        <v>16.34</v>
      </c>
      <c r="G28" s="5">
        <v>16.667</v>
      </c>
      <c r="H28" s="5">
        <v>17.001</v>
      </c>
    </row>
    <row r="29" outlineLevel="1">
      <c r="B29" s="1" t="inlineStr">
        <is>
          <t xml:space="preserve">GFE Sum</t>
        </is>
      </c>
      <c r="C29" s="5">
        <v>1587.366</v>
      </c>
      <c r="D29" s="5">
        <v>1634.461</v>
      </c>
      <c r="E29" s="5">
        <v>1683.842</v>
      </c>
      <c r="F29" s="5">
        <v>1318.214</v>
      </c>
      <c r="G29" s="5">
        <v>1633.585</v>
      </c>
      <c r="H29" s="5">
        <v>1897.988</v>
      </c>
    </row>
    <row r="31">
      <c r="A31" s="0" t="inlineStr">
        <is>
          <t xml:space="preserve">x</t>
        </is>
      </c>
      <c r="B31" s="10" t="inlineStr">
        <is>
          <t xml:space="preserve">§2b - Construction</t>
        </is>
      </c>
      <c r="C31" s="10"/>
      <c r="D31" s="10"/>
      <c r="E31" s="10"/>
      <c r="F31" s="10"/>
      <c r="G31" s="10"/>
      <c r="H31" s="10"/>
      <c r="I31" s="10"/>
    </row>
    <row r="33" outlineLevel="1">
      <c r="B33" s="1" t="inlineStr">
        <is>
          <t xml:space="preserve">Change Orders</t>
        </is>
      </c>
      <c r="C33" s="5">
        <v>95.212</v>
      </c>
      <c r="D33" s="5">
        <v>102.067</v>
      </c>
      <c r="E33" s="5">
        <v>185.118</v>
      </c>
      <c r="F33" s="5">
        <v>108.705</v>
      </c>
      <c r="G33" s="5">
        <v>159.052</v>
      </c>
      <c r="H33" s="5">
        <v>181.415</v>
      </c>
    </row>
    <row r="34" outlineLevel="1">
      <c r="B34" s="1" t="inlineStr">
        <is>
          <t xml:space="preserve">Basic Construction</t>
        </is>
      </c>
      <c r="C34" s="5">
        <v>4758.283</v>
      </c>
      <c r="D34" s="5">
        <v>5095.448</v>
      </c>
      <c r="E34" s="5">
        <v>9070.762</v>
      </c>
      <c r="F34" s="5">
        <v>5326.544</v>
      </c>
      <c r="G34" s="5">
        <v>3136.792</v>
      </c>
      <c r="H34" s="5">
        <v>8889.31</v>
      </c>
    </row>
    <row r="36">
      <c r="A36" s="0" t="inlineStr">
        <is>
          <t xml:space="preserve">x</t>
        </is>
      </c>
      <c r="B36" s="10" t="inlineStr">
        <is>
          <t xml:space="preserve">§2c - Derived ratios</t>
        </is>
      </c>
      <c r="C36" s="10"/>
      <c r="D36" s="10"/>
      <c r="E36" s="10"/>
      <c r="F36" s="10"/>
      <c r="G36" s="10"/>
      <c r="H36" s="10"/>
      <c r="I36" s="10"/>
    </row>
    <row r="38" outlineLevel="1">
      <c r="B38" s="1" t="inlineStr">
        <is>
          <t xml:space="preserve">BC % of Total</t>
        </is>
      </c>
      <c r="C38" s="6">
        <f>IF(C18=0,"",C34/C18)</f>
      </c>
      <c r="D38" s="6">
        <f>IF(D18=0,"",D34/D18)</f>
      </c>
      <c r="E38" s="6">
        <f>IF(E18=0,"",E34/E18)</f>
      </c>
      <c r="F38" s="6">
        <f>IF(F18=0,"",F34/F18)</f>
      </c>
      <c r="G38" s="6">
        <f>IF(G18=0,"",G34/G18)</f>
      </c>
      <c r="H38" s="6">
        <f>IF(H18=0,"",H34/H18)</f>
      </c>
    </row>
    <row r="39" outlineLevel="1">
      <c r="B39" s="1" t="inlineStr">
        <is>
          <t xml:space="preserve">GFE % of Total</t>
        </is>
      </c>
      <c r="C39" s="6">
        <f>IF(C18=0,"",C29/C18)</f>
      </c>
      <c r="D39" s="6">
        <f>IF(D18=0,"",D29/D18)</f>
      </c>
      <c r="E39" s="6">
        <f>IF(E18=0,"",E29/E18)</f>
      </c>
      <c r="F39" s="6">
        <f>IF(F18=0,"",F29/F18)</f>
      </c>
      <c r="G39" s="6">
        <f>IF(G18=0,"",G29/G18)</f>
      </c>
      <c r="H39" s="6">
        <f>IF(H18=0,"",H29/H18)</f>
      </c>
    </row>
    <row r="41">
      <c r="A41" s="0" t="inlineStr">
        <is>
          <t xml:space="preserve">x</t>
        </is>
      </c>
      <c r="B41" s="10" t="inlineStr">
        <is>
          <t xml:space="preserve">§2d - Constant FY2026 $M (then-year x deflator)</t>
        </is>
      </c>
      <c r="C41" s="10"/>
      <c r="D41" s="10"/>
      <c r="E41" s="10"/>
      <c r="F41" s="10"/>
      <c r="G41" s="10"/>
      <c r="H41" s="10"/>
      <c r="I41" s="10"/>
    </row>
    <row r="43">
      <c r="B43" s="2" t="inlineStr">
        <is>
          <t xml:space="preserve">Metric</t>
        </is>
      </c>
      <c r="C43" s="22">
        <v>2022</v>
      </c>
      <c r="D43" s="22">
        <v>2023</v>
      </c>
      <c r="E43" s="22">
        <v>2024</v>
      </c>
      <c r="F43" s="22">
        <v>2025</v>
      </c>
      <c r="G43" s="22">
        <v>2026</v>
      </c>
      <c r="H43" s="22">
        <v>2027</v>
      </c>
    </row>
    <row r="44" outlineLevel="1">
      <c r="B44" s="1" t="inlineStr">
        <is>
          <t xml:space="preserve">Total Ship Estimate</t>
        </is>
      </c>
      <c r="C44" s="11">
        <f>C18*'Deflators'!D7</f>
      </c>
      <c r="D44" s="11">
        <f>D18*'Deflators'!D8</f>
      </c>
      <c r="E44" s="11">
        <f>E18*'Deflators'!D9</f>
      </c>
      <c r="F44" s="11">
        <f>F18*'Deflators'!D10</f>
      </c>
      <c r="G44" s="11">
        <f>G18*'Deflators'!D11</f>
      </c>
      <c r="H44" s="11">
        <f>H18*'Deflators'!D12</f>
      </c>
    </row>
    <row r="45" outlineLevel="1">
      <c r="B45" s="1" t="inlineStr">
        <is>
          <t xml:space="preserve">Plans Costs</t>
        </is>
      </c>
      <c r="C45" s="11">
        <f>C19*'Deflators'!D7</f>
      </c>
      <c r="D45" s="11">
        <f>D19*'Deflators'!D8</f>
      </c>
      <c r="E45" s="11">
        <f>E19*'Deflators'!D9</f>
      </c>
      <c r="F45" s="11">
        <f>F19*'Deflators'!D10</f>
      </c>
      <c r="G45" s="11">
        <f>G19*'Deflators'!D11</f>
      </c>
      <c r="H45" s="11">
        <f>H19*'Deflators'!D12</f>
      </c>
    </row>
    <row r="46" outlineLevel="1">
      <c r="B46" s="1" t="inlineStr">
        <is>
          <t xml:space="preserve">Propulsion Equipment</t>
        </is>
      </c>
      <c r="C46" s="11">
        <f>C23*'Deflators'!D7</f>
      </c>
      <c r="D46" s="11">
        <f>D23*'Deflators'!D8</f>
      </c>
      <c r="E46" s="11">
        <f>E23*'Deflators'!D9</f>
      </c>
      <c r="F46" s="11">
        <f>F23*'Deflators'!D10</f>
      </c>
      <c r="G46" s="11">
        <f>G23*'Deflators'!D11</f>
      </c>
      <c r="H46" s="11">
        <f>H23*'Deflators'!D12</f>
      </c>
    </row>
    <row r="47" outlineLevel="1">
      <c r="B47" s="1" t="inlineStr">
        <is>
          <t xml:space="preserve">Electronics</t>
        </is>
      </c>
      <c r="C47" s="11">
        <f>C24*'Deflators'!D7</f>
      </c>
      <c r="D47" s="11">
        <f>D24*'Deflators'!D8</f>
      </c>
      <c r="E47" s="11">
        <f>E24*'Deflators'!D9</f>
      </c>
      <c r="F47" s="11">
        <f>F24*'Deflators'!D10</f>
      </c>
      <c r="G47" s="11">
        <f>G24*'Deflators'!D11</f>
      </c>
      <c r="H47" s="11">
        <f>H24*'Deflators'!D12</f>
      </c>
    </row>
    <row r="48" outlineLevel="1">
      <c r="B48" s="1" t="inlineStr">
        <is>
          <t xml:space="preserve">Hull, Mechanical, Electrical (HM&amp;E)</t>
        </is>
      </c>
      <c r="C48" s="11">
        <f>C25*'Deflators'!D7</f>
      </c>
      <c r="D48" s="11">
        <f>D25*'Deflators'!D8</f>
      </c>
      <c r="E48" s="11">
        <f>E25*'Deflators'!D9</f>
      </c>
      <c r="F48" s="11">
        <f>F25*'Deflators'!D10</f>
      </c>
      <c r="G48" s="11">
        <f>G25*'Deflators'!D11</f>
      </c>
      <c r="H48" s="11">
        <f>H25*'Deflators'!D12</f>
      </c>
    </row>
    <row r="49" outlineLevel="1">
      <c r="B49" s="1" t="inlineStr">
        <is>
          <t xml:space="preserve">Ordnance</t>
        </is>
      </c>
      <c r="C49" s="11">
        <f>C26*'Deflators'!D7</f>
      </c>
      <c r="D49" s="11">
        <f>D26*'Deflators'!D8</f>
      </c>
      <c r="E49" s="11">
        <f>E26*'Deflators'!D9</f>
      </c>
      <c r="F49" s="11">
        <f>F26*'Deflators'!D10</f>
      </c>
      <c r="G49" s="11">
        <f>G26*'Deflators'!D11</f>
      </c>
      <c r="H49" s="11">
        <f>H26*'Deflators'!D12</f>
      </c>
    </row>
    <row r="50" outlineLevel="1">
      <c r="B50" s="1" t="inlineStr">
        <is>
          <t xml:space="preserve">Other Cost</t>
        </is>
      </c>
      <c r="C50" s="11">
        <f>C27*'Deflators'!D7</f>
      </c>
      <c r="D50" s="11">
        <f>D27*'Deflators'!D8</f>
      </c>
      <c r="E50" s="11">
        <f>E27*'Deflators'!D9</f>
      </c>
      <c r="F50" s="11">
        <f>F27*'Deflators'!D10</f>
      </c>
      <c r="G50" s="11">
        <f>G27*'Deflators'!D11</f>
      </c>
      <c r="H50" s="11">
        <f>H27*'Deflators'!D12</f>
      </c>
    </row>
    <row r="51" outlineLevel="1">
      <c r="B51" s="1" t="inlineStr">
        <is>
          <t xml:space="preserve">Technology Insertion</t>
        </is>
      </c>
      <c r="C51" s="11">
        <f>C28*'Deflators'!D7</f>
      </c>
      <c r="D51" s="11">
        <f>D28*'Deflators'!D8</f>
      </c>
      <c r="E51" s="11">
        <f>E28*'Deflators'!D9</f>
      </c>
      <c r="F51" s="11">
        <f>F28*'Deflators'!D10</f>
      </c>
      <c r="G51" s="11">
        <f>G28*'Deflators'!D11</f>
      </c>
      <c r="H51" s="11">
        <f>H28*'Deflators'!D12</f>
      </c>
    </row>
    <row r="52" outlineLevel="1">
      <c r="B52" s="1" t="inlineStr">
        <is>
          <t xml:space="preserve">GFE Sum</t>
        </is>
      </c>
      <c r="C52" s="11">
        <f>C29*'Deflators'!D7</f>
      </c>
      <c r="D52" s="11">
        <f>D29*'Deflators'!D8</f>
      </c>
      <c r="E52" s="11">
        <f>E29*'Deflators'!D9</f>
      </c>
      <c r="F52" s="11">
        <f>F29*'Deflators'!D10</f>
      </c>
      <c r="G52" s="11">
        <f>G29*'Deflators'!D11</f>
      </c>
      <c r="H52" s="11">
        <f>H29*'Deflators'!D12</f>
      </c>
    </row>
    <row r="53" outlineLevel="1">
      <c r="B53" s="1" t="inlineStr">
        <is>
          <t xml:space="preserve">Change Orders</t>
        </is>
      </c>
      <c r="C53" s="11">
        <f>C33*'Deflators'!D7</f>
      </c>
      <c r="D53" s="11">
        <f>D33*'Deflators'!D8</f>
      </c>
      <c r="E53" s="11">
        <f>E33*'Deflators'!D9</f>
      </c>
      <c r="F53" s="11">
        <f>F33*'Deflators'!D10</f>
      </c>
      <c r="G53" s="11">
        <f>G33*'Deflators'!D11</f>
      </c>
      <c r="H53" s="11">
        <f>H33*'Deflators'!D12</f>
      </c>
    </row>
    <row r="54" outlineLevel="1">
      <c r="B54" s="1" t="inlineStr">
        <is>
          <t xml:space="preserve">Basic Construction</t>
        </is>
      </c>
      <c r="C54" s="11">
        <f>C34*'Deflators'!D7</f>
      </c>
      <c r="D54" s="11">
        <f>D34*'Deflators'!D8</f>
      </c>
      <c r="E54" s="11">
        <f>E34*'Deflators'!D9</f>
      </c>
      <c r="F54" s="11">
        <f>F34*'Deflators'!D10</f>
      </c>
      <c r="G54" s="11">
        <f>G34*'Deflators'!D11</f>
      </c>
      <c r="H54" s="11">
        <f>H34*'Deflators'!D12</f>
      </c>
    </row>
    <row r="57">
      <c r="A57" s="0" t="inlineStr">
        <is>
          <t xml:space="preserve">x</t>
        </is>
      </c>
      <c r="B57" s="9" t="inlineStr">
        <is>
          <t xml:space="preserve">§3 - Columbia (LI 1045) SCN P-5c per FY ($M)</t>
        </is>
      </c>
      <c r="C57" s="9"/>
      <c r="D57" s="9"/>
      <c r="E57" s="9"/>
      <c r="F57" s="9"/>
      <c r="G57" s="9"/>
      <c r="H57" s="9"/>
      <c r="I57" s="9"/>
    </row>
    <row r="59">
      <c r="B59" s="2" t="inlineStr">
        <is>
          <t xml:space="preserve">Metric</t>
        </is>
      </c>
      <c r="C59" s="22">
        <v>2022</v>
      </c>
      <c r="D59" s="22">
        <v>2023</v>
      </c>
      <c r="E59" s="22">
        <v>2024</v>
      </c>
      <c r="F59" s="22">
        <v>2025</v>
      </c>
      <c r="G59" s="22">
        <v>2026</v>
      </c>
      <c r="H59" s="22">
        <v>2027</v>
      </c>
    </row>
    <row r="60" outlineLevel="1">
      <c r="B60" s="1" t="inlineStr">
        <is>
          <t xml:space="preserve">Total Ship Estimate</t>
        </is>
      </c>
      <c r="C60" s="5"/>
      <c r="D60" s="5"/>
      <c r="E60" s="5">
        <v>10688.811</v>
      </c>
      <c r="F60" s="5"/>
      <c r="G60" s="5">
        <v>10744.317</v>
      </c>
      <c r="H60" s="5">
        <v>10486.369</v>
      </c>
    </row>
    <row r="61" outlineLevel="1">
      <c r="B61" s="1" t="inlineStr">
        <is>
          <t xml:space="preserve">Plans Costs</t>
        </is>
      </c>
      <c r="C61" s="5"/>
      <c r="D61" s="5"/>
      <c r="E61" s="5">
        <v>1443.3</v>
      </c>
      <c r="F61" s="5"/>
      <c r="G61" s="5">
        <v>1095.773</v>
      </c>
      <c r="H61" s="5">
        <v>861.527</v>
      </c>
    </row>
    <row r="63">
      <c r="A63" s="0" t="inlineStr">
        <is>
          <t xml:space="preserve">x</t>
        </is>
      </c>
      <c r="B63" s="10" t="inlineStr">
        <is>
          <t xml:space="preserve">§3a - GFE components</t>
        </is>
      </c>
      <c r="C63" s="10"/>
      <c r="D63" s="10"/>
      <c r="E63" s="10"/>
      <c r="F63" s="10"/>
      <c r="G63" s="10"/>
      <c r="H63" s="10"/>
      <c r="I63" s="10"/>
    </row>
    <row r="65" outlineLevel="1">
      <c r="B65" s="1" t="inlineStr">
        <is>
          <t xml:space="preserve">Propulsion Equipment</t>
        </is>
      </c>
      <c r="C65" s="5"/>
      <c r="D65" s="5"/>
      <c r="E65" s="5">
        <v>1613.999</v>
      </c>
      <c r="F65" s="5"/>
      <c r="G65" s="5">
        <v>1294.878</v>
      </c>
      <c r="H65" s="5">
        <v>1541.973</v>
      </c>
    </row>
    <row r="66" outlineLevel="1">
      <c r="B66" s="1" t="inlineStr">
        <is>
          <t xml:space="preserve">Electronics</t>
        </is>
      </c>
      <c r="C66" s="5"/>
      <c r="D66" s="5"/>
      <c r="E66" s="5">
        <v>349.701</v>
      </c>
      <c r="F66" s="5"/>
      <c r="G66" s="5">
        <v>361.283</v>
      </c>
      <c r="H66" s="5">
        <v>367.634</v>
      </c>
    </row>
    <row r="67" outlineLevel="1">
      <c r="B67" s="1" t="inlineStr">
        <is>
          <t xml:space="preserve">Hull, Mechanical, Electrical (HM&amp;E)</t>
        </is>
      </c>
      <c r="C67" s="5"/>
      <c r="D67" s="5"/>
      <c r="E67" s="5">
        <v>119.107</v>
      </c>
      <c r="F67" s="5"/>
      <c r="G67" s="5">
        <v>102.496</v>
      </c>
      <c r="H67" s="5">
        <v>101.71</v>
      </c>
    </row>
    <row r="68" outlineLevel="1">
      <c r="B68" s="1" t="inlineStr">
        <is>
          <t xml:space="preserve">Ordnance</t>
        </is>
      </c>
      <c r="C68" s="5"/>
      <c r="D68" s="5"/>
      <c r="E68" s="5">
        <v>596.757</v>
      </c>
      <c r="F68" s="5"/>
      <c r="G68" s="5">
        <v>468.84</v>
      </c>
      <c r="H68" s="5">
        <v>512.585</v>
      </c>
    </row>
    <row r="69" outlineLevel="1">
      <c r="B69" s="1" t="inlineStr">
        <is>
          <t xml:space="preserve">Other Cost</t>
        </is>
      </c>
      <c r="C69" s="5"/>
      <c r="D69" s="5"/>
      <c r="E69" s="5">
        <v>66.618</v>
      </c>
      <c r="F69" s="5"/>
      <c r="G69" s="5">
        <v>43.887</v>
      </c>
      <c r="H69" s="5">
        <v>40.078</v>
      </c>
    </row>
    <row r="70" outlineLevel="1">
      <c r="B70" s="1" t="inlineStr">
        <is>
          <t xml:space="preserve">Technology Insertion</t>
        </is>
      </c>
      <c r="C70" s="5"/>
      <c r="D70" s="5"/>
      <c r="E70" s="5"/>
      <c r="F70" s="5"/>
      <c r="G70" s="5"/>
      <c r="H70" s="5"/>
    </row>
    <row r="71" outlineLevel="1">
      <c r="B71" s="1" t="inlineStr">
        <is>
          <t xml:space="preserve">GFE Sum</t>
        </is>
      </c>
      <c r="C71" s="5"/>
      <c r="D71" s="5"/>
      <c r="E71" s="5">
        <v>2560.457</v>
      </c>
      <c r="F71" s="5"/>
      <c r="G71" s="5">
        <v>2125.001</v>
      </c>
      <c r="H71" s="5">
        <v>2422.192</v>
      </c>
    </row>
    <row r="73">
      <c r="A73" s="0" t="inlineStr">
        <is>
          <t xml:space="preserve">x</t>
        </is>
      </c>
      <c r="B73" s="10" t="inlineStr">
        <is>
          <t xml:space="preserve">§3b - Construction</t>
        </is>
      </c>
      <c r="C73" s="10"/>
      <c r="D73" s="10"/>
      <c r="E73" s="10"/>
      <c r="F73" s="10"/>
      <c r="G73" s="10"/>
      <c r="H73" s="10"/>
      <c r="I73" s="10"/>
    </row>
    <row r="75" outlineLevel="1">
      <c r="B75" s="1" t="inlineStr">
        <is>
          <t xml:space="preserve">Change Orders</t>
        </is>
      </c>
      <c r="C75" s="5"/>
      <c r="D75" s="5"/>
      <c r="E75" s="5">
        <v>143.242</v>
      </c>
      <c r="F75" s="5"/>
      <c r="G75" s="5">
        <v>217.392</v>
      </c>
      <c r="H75" s="5">
        <v>207.129</v>
      </c>
    </row>
    <row r="76" outlineLevel="1">
      <c r="B76" s="1" t="inlineStr">
        <is>
          <t xml:space="preserve">Basic Construction</t>
        </is>
      </c>
      <c r="C76" s="5"/>
      <c r="D76" s="5"/>
      <c r="E76" s="5">
        <v>6356.087</v>
      </c>
      <c r="F76" s="5"/>
      <c r="G76" s="5">
        <v>7159.768</v>
      </c>
      <c r="H76" s="5">
        <v>6853.733</v>
      </c>
    </row>
    <row r="78">
      <c r="A78" s="0" t="inlineStr">
        <is>
          <t xml:space="preserve">x</t>
        </is>
      </c>
      <c r="B78" s="10" t="inlineStr">
        <is>
          <t xml:space="preserve">§3c - Derived ratios</t>
        </is>
      </c>
      <c r="C78" s="10"/>
      <c r="D78" s="10"/>
      <c r="E78" s="10"/>
      <c r="F78" s="10"/>
      <c r="G78" s="10"/>
      <c r="H78" s="10"/>
      <c r="I78" s="10"/>
    </row>
    <row r="80" outlineLevel="1">
      <c r="B80" s="1" t="inlineStr">
        <is>
          <t xml:space="preserve">BC % of Total</t>
        </is>
      </c>
      <c r="C80" s="6">
        <f>IF(C60=0,"",C76/C60)</f>
      </c>
      <c r="D80" s="6">
        <f>IF(D60=0,"",D76/D60)</f>
      </c>
      <c r="E80" s="6">
        <f>IF(E60=0,"",E76/E60)</f>
      </c>
      <c r="F80" s="6">
        <f>IF(F60=0,"",F76/F60)</f>
      </c>
      <c r="G80" s="6">
        <f>IF(G60=0,"",G76/G60)</f>
      </c>
      <c r="H80" s="6">
        <f>IF(H60=0,"",H76/H60)</f>
      </c>
    </row>
    <row r="81" outlineLevel="1">
      <c r="B81" s="1" t="inlineStr">
        <is>
          <t xml:space="preserve">GFE % of Total</t>
        </is>
      </c>
      <c r="C81" s="6">
        <f>IF(C60=0,"",C71/C60)</f>
      </c>
      <c r="D81" s="6">
        <f>IF(D60=0,"",D71/D60)</f>
      </c>
      <c r="E81" s="6">
        <f>IF(E60=0,"",E71/E60)</f>
      </c>
      <c r="F81" s="6">
        <f>IF(F60=0,"",F71/F60)</f>
      </c>
      <c r="G81" s="6">
        <f>IF(G60=0,"",G71/G60)</f>
      </c>
      <c r="H81" s="6">
        <f>IF(H60=0,"",H71/H60)</f>
      </c>
    </row>
    <row r="83">
      <c r="A83" s="0" t="inlineStr">
        <is>
          <t xml:space="preserve">x</t>
        </is>
      </c>
      <c r="B83" s="10" t="inlineStr">
        <is>
          <t xml:space="preserve">§3d - Constant FY2026 $M (then-year x deflator)</t>
        </is>
      </c>
      <c r="C83" s="10"/>
      <c r="D83" s="10"/>
      <c r="E83" s="10"/>
      <c r="F83" s="10"/>
      <c r="G83" s="10"/>
      <c r="H83" s="10"/>
      <c r="I83" s="10"/>
    </row>
    <row r="85">
      <c r="B85" s="2" t="inlineStr">
        <is>
          <t xml:space="preserve">Metric</t>
        </is>
      </c>
      <c r="C85" s="22">
        <v>2022</v>
      </c>
      <c r="D85" s="22">
        <v>2023</v>
      </c>
      <c r="E85" s="22">
        <v>2024</v>
      </c>
      <c r="F85" s="22">
        <v>2025</v>
      </c>
      <c r="G85" s="22">
        <v>2026</v>
      </c>
      <c r="H85" s="22">
        <v>2027</v>
      </c>
    </row>
    <row r="86" outlineLevel="1">
      <c r="B86" s="1" t="inlineStr">
        <is>
          <t xml:space="preserve">Total Ship Estimate</t>
        </is>
      </c>
      <c r="C86" s="11">
        <f>C60*'Deflators'!D7</f>
      </c>
      <c r="D86" s="11">
        <f>D60*'Deflators'!D8</f>
      </c>
      <c r="E86" s="11">
        <f>E60*'Deflators'!D9</f>
      </c>
      <c r="F86" s="11">
        <f>F60*'Deflators'!D10</f>
      </c>
      <c r="G86" s="11">
        <f>G60*'Deflators'!D11</f>
      </c>
      <c r="H86" s="11">
        <f>H60*'Deflators'!D12</f>
      </c>
    </row>
    <row r="87" outlineLevel="1">
      <c r="B87" s="1" t="inlineStr">
        <is>
          <t xml:space="preserve">Plans Costs</t>
        </is>
      </c>
      <c r="C87" s="11">
        <f>C61*'Deflators'!D7</f>
      </c>
      <c r="D87" s="11">
        <f>D61*'Deflators'!D8</f>
      </c>
      <c r="E87" s="11">
        <f>E61*'Deflators'!D9</f>
      </c>
      <c r="F87" s="11">
        <f>F61*'Deflators'!D10</f>
      </c>
      <c r="G87" s="11">
        <f>G61*'Deflators'!D11</f>
      </c>
      <c r="H87" s="11">
        <f>H61*'Deflators'!D12</f>
      </c>
    </row>
    <row r="88" outlineLevel="1">
      <c r="B88" s="1" t="inlineStr">
        <is>
          <t xml:space="preserve">Propulsion Equipment</t>
        </is>
      </c>
      <c r="C88" s="11">
        <f>C65*'Deflators'!D7</f>
      </c>
      <c r="D88" s="11">
        <f>D65*'Deflators'!D8</f>
      </c>
      <c r="E88" s="11">
        <f>E65*'Deflators'!D9</f>
      </c>
      <c r="F88" s="11">
        <f>F65*'Deflators'!D10</f>
      </c>
      <c r="G88" s="11">
        <f>G65*'Deflators'!D11</f>
      </c>
      <c r="H88" s="11">
        <f>H65*'Deflators'!D12</f>
      </c>
    </row>
    <row r="89" outlineLevel="1">
      <c r="B89" s="1" t="inlineStr">
        <is>
          <t xml:space="preserve">Electronics</t>
        </is>
      </c>
      <c r="C89" s="11">
        <f>C66*'Deflators'!D7</f>
      </c>
      <c r="D89" s="11">
        <f>D66*'Deflators'!D8</f>
      </c>
      <c r="E89" s="11">
        <f>E66*'Deflators'!D9</f>
      </c>
      <c r="F89" s="11">
        <f>F66*'Deflators'!D10</f>
      </c>
      <c r="G89" s="11">
        <f>G66*'Deflators'!D11</f>
      </c>
      <c r="H89" s="11">
        <f>H66*'Deflators'!D12</f>
      </c>
    </row>
    <row r="90" outlineLevel="1">
      <c r="B90" s="1" t="inlineStr">
        <is>
          <t xml:space="preserve">Hull, Mechanical, Electrical (HM&amp;E)</t>
        </is>
      </c>
      <c r="C90" s="11">
        <f>C67*'Deflators'!D7</f>
      </c>
      <c r="D90" s="11">
        <f>D67*'Deflators'!D8</f>
      </c>
      <c r="E90" s="11">
        <f>E67*'Deflators'!D9</f>
      </c>
      <c r="F90" s="11">
        <f>F67*'Deflators'!D10</f>
      </c>
      <c r="G90" s="11">
        <f>G67*'Deflators'!D11</f>
      </c>
      <c r="H90" s="11">
        <f>H67*'Deflators'!D12</f>
      </c>
    </row>
    <row r="91" outlineLevel="1">
      <c r="B91" s="1" t="inlineStr">
        <is>
          <t xml:space="preserve">Ordnance</t>
        </is>
      </c>
      <c r="C91" s="11">
        <f>C68*'Deflators'!D7</f>
      </c>
      <c r="D91" s="11">
        <f>D68*'Deflators'!D8</f>
      </c>
      <c r="E91" s="11">
        <f>E68*'Deflators'!D9</f>
      </c>
      <c r="F91" s="11">
        <f>F68*'Deflators'!D10</f>
      </c>
      <c r="G91" s="11">
        <f>G68*'Deflators'!D11</f>
      </c>
      <c r="H91" s="11">
        <f>H68*'Deflators'!D12</f>
      </c>
    </row>
    <row r="92" outlineLevel="1">
      <c r="B92" s="1" t="inlineStr">
        <is>
          <t xml:space="preserve">Other Cost</t>
        </is>
      </c>
      <c r="C92" s="11">
        <f>C69*'Deflators'!D7</f>
      </c>
      <c r="D92" s="11">
        <f>D69*'Deflators'!D8</f>
      </c>
      <c r="E92" s="11">
        <f>E69*'Deflators'!D9</f>
      </c>
      <c r="F92" s="11">
        <f>F69*'Deflators'!D10</f>
      </c>
      <c r="G92" s="11">
        <f>G69*'Deflators'!D11</f>
      </c>
      <c r="H92" s="11">
        <f>H69*'Deflators'!D12</f>
      </c>
    </row>
    <row r="93" outlineLevel="1">
      <c r="B93" s="1" t="inlineStr">
        <is>
          <t xml:space="preserve">Technology Insertion</t>
        </is>
      </c>
      <c r="C93" s="11">
        <f>C70*'Deflators'!D7</f>
      </c>
      <c r="D93" s="11">
        <f>D70*'Deflators'!D8</f>
      </c>
      <c r="E93" s="11">
        <f>E70*'Deflators'!D9</f>
      </c>
      <c r="F93" s="11">
        <f>F70*'Deflators'!D10</f>
      </c>
      <c r="G93" s="11">
        <f>G70*'Deflators'!D11</f>
      </c>
      <c r="H93" s="11">
        <f>H70*'Deflators'!D12</f>
      </c>
    </row>
    <row r="94" outlineLevel="1">
      <c r="B94" s="1" t="inlineStr">
        <is>
          <t xml:space="preserve">GFE Sum</t>
        </is>
      </c>
      <c r="C94" s="11">
        <f>C71*'Deflators'!D7</f>
      </c>
      <c r="D94" s="11">
        <f>D71*'Deflators'!D8</f>
      </c>
      <c r="E94" s="11">
        <f>E71*'Deflators'!D9</f>
      </c>
      <c r="F94" s="11">
        <f>F71*'Deflators'!D10</f>
      </c>
      <c r="G94" s="11">
        <f>G71*'Deflators'!D11</f>
      </c>
      <c r="H94" s="11">
        <f>H71*'Deflators'!D12</f>
      </c>
    </row>
    <row r="95" outlineLevel="1">
      <c r="B95" s="1" t="inlineStr">
        <is>
          <t xml:space="preserve">Change Orders</t>
        </is>
      </c>
      <c r="C95" s="11">
        <f>C75*'Deflators'!D7</f>
      </c>
      <c r="D95" s="11">
        <f>D75*'Deflators'!D8</f>
      </c>
      <c r="E95" s="11">
        <f>E75*'Deflators'!D9</f>
      </c>
      <c r="F95" s="11">
        <f>F75*'Deflators'!D10</f>
      </c>
      <c r="G95" s="11">
        <f>G75*'Deflators'!D11</f>
      </c>
      <c r="H95" s="11">
        <f>H75*'Deflators'!D12</f>
      </c>
    </row>
    <row r="96" outlineLevel="1">
      <c r="B96" s="1" t="inlineStr">
        <is>
          <t xml:space="preserve">Basic Construction</t>
        </is>
      </c>
      <c r="C96" s="11">
        <f>C76*'Deflators'!D7</f>
      </c>
      <c r="D96" s="11">
        <f>D76*'Deflators'!D8</f>
      </c>
      <c r="E96" s="11">
        <f>E76*'Deflators'!D9</f>
      </c>
      <c r="F96" s="11">
        <f>F76*'Deflators'!D10</f>
      </c>
      <c r="G96" s="11">
        <f>G76*'Deflators'!D11</f>
      </c>
      <c r="H96" s="11">
        <f>H76*'Deflators'!D12</f>
      </c>
    </row>
    <row r="99">
      <c r="A99" s="0" t="inlineStr">
        <is>
          <t xml:space="preserve">x</t>
        </is>
      </c>
      <c r="B99" s="9" t="inlineStr">
        <is>
          <t xml:space="preserve">§4 - Portfolio rollup (Virginia + Columbia, $M by FY)</t>
        </is>
      </c>
      <c r="C99" s="9"/>
      <c r="D99" s="9"/>
      <c r="E99" s="9"/>
      <c r="F99" s="9"/>
      <c r="G99" s="9"/>
      <c r="H99" s="9"/>
      <c r="I99" s="9"/>
    </row>
    <row r="101">
      <c r="B101" s="2" t="inlineStr">
        <is>
          <t xml:space="preserve">Metric</t>
        </is>
      </c>
      <c r="C101" s="22">
        <v>2022</v>
      </c>
      <c r="D101" s="22">
        <v>2023</v>
      </c>
      <c r="E101" s="22">
        <v>2024</v>
      </c>
      <c r="F101" s="22">
        <v>2025</v>
      </c>
      <c r="G101" s="22">
        <v>2026</v>
      </c>
      <c r="H101" s="22">
        <v>2027</v>
      </c>
      <c r="I101" s="22" t="inlineStr">
        <is>
          <t xml:space="preserve">Total</t>
        </is>
      </c>
    </row>
    <row r="102" outlineLevel="1">
      <c r="B102" s="1" t="inlineStr">
        <is>
          <t xml:space="preserve">Total Ship Estimate</t>
        </is>
      </c>
      <c r="C102" s="4">
        <f>N('Sub SCN Budget'!C44)+N('Sub SCN Budget'!C86)</f>
      </c>
      <c r="D102" s="4">
        <f>N('Sub SCN Budget'!D44)+N('Sub SCN Budget'!D86)</f>
      </c>
      <c r="E102" s="4">
        <f>N('Sub SCN Budget'!E44)+N('Sub SCN Budget'!E86)</f>
      </c>
      <c r="F102" s="4">
        <f>N('Sub SCN Budget'!F44)+N('Sub SCN Budget'!F86)</f>
      </c>
      <c r="G102" s="4">
        <f>N('Sub SCN Budget'!G44)+N('Sub SCN Budget'!G86)</f>
      </c>
      <c r="H102" s="4">
        <f>N('Sub SCN Budget'!H44)+N('Sub SCN Budget'!H86)</f>
      </c>
      <c r="I102" s="4">
        <f>SUM(C102:H102)</f>
      </c>
    </row>
    <row r="103" outlineLevel="1">
      <c r="B103" s="1" t="inlineStr">
        <is>
          <t xml:space="preserve">GFE Sum</t>
        </is>
      </c>
      <c r="C103" s="4">
        <f>N('Sub SCN Budget'!C52)+N('Sub SCN Budget'!C94)</f>
      </c>
      <c r="D103" s="4">
        <f>N('Sub SCN Budget'!D52)+N('Sub SCN Budget'!D94)</f>
      </c>
      <c r="E103" s="4">
        <f>N('Sub SCN Budget'!E52)+N('Sub SCN Budget'!E94)</f>
      </c>
      <c r="F103" s="4">
        <f>N('Sub SCN Budget'!F52)+N('Sub SCN Budget'!F94)</f>
      </c>
      <c r="G103" s="4">
        <f>N('Sub SCN Budget'!G52)+N('Sub SCN Budget'!G94)</f>
      </c>
      <c r="H103" s="4">
        <f>N('Sub SCN Budget'!H52)+N('Sub SCN Budget'!H94)</f>
      </c>
      <c r="I103" s="4">
        <f>SUM(C103:H103)</f>
      </c>
    </row>
    <row r="104" outlineLevel="1">
      <c r="B104" s="1" t="inlineStr">
        <is>
          <t xml:space="preserve">Basic Construction</t>
        </is>
      </c>
      <c r="C104" s="4">
        <f>N('Sub SCN Budget'!C54)+N('Sub SCN Budget'!C96)</f>
      </c>
      <c r="D104" s="4">
        <f>N('Sub SCN Budget'!D54)+N('Sub SCN Budget'!D96)</f>
      </c>
      <c r="E104" s="4">
        <f>N('Sub SCN Budget'!E54)+N('Sub SCN Budget'!E96)</f>
      </c>
      <c r="F104" s="4">
        <f>N('Sub SCN Budget'!F54)+N('Sub SCN Budget'!F96)</f>
      </c>
      <c r="G104" s="4">
        <f>N('Sub SCN Budget'!G54)+N('Sub SCN Budget'!G96)</f>
      </c>
      <c r="H104" s="4">
        <f>N('Sub SCN Budget'!H54)+N('Sub SCN Budget'!H96)</f>
      </c>
      <c r="I104" s="4">
        <f>SUM(C104:H104)</f>
      </c>
    </row>
    <row r="105" outlineLevel="1">
      <c r="B105" s="1" t="inlineStr">
        <is>
          <t xml:space="preserve">BC % of Total</t>
        </is>
      </c>
      <c r="C105" s="6">
        <f>IF(C102=0,"",C104/C102)</f>
      </c>
      <c r="D105" s="6">
        <f>IF(D102=0,"",D104/D102)</f>
      </c>
      <c r="E105" s="6">
        <f>IF(E102=0,"",E104/E102)</f>
      </c>
      <c r="F105" s="6">
        <f>IF(F102=0,"",F104/F102)</f>
      </c>
      <c r="G105" s="6">
        <f>IF(G102=0,"",G104/G102)</f>
      </c>
      <c r="H105" s="6">
        <f>IF(H102=0,"",H104/H102)</f>
      </c>
      <c r="I105" s="6">
        <f>IF(I102=0,"",I104/I102)</f>
      </c>
    </row>
    <row r="106" outlineLevel="1">
      <c r="B106" s="1" t="inlineStr">
        <is>
          <t xml:space="preserve">GFE % of Total</t>
        </is>
      </c>
      <c r="C106" s="6">
        <f>IF(C102=0,"",C103/C102)</f>
      </c>
      <c r="D106" s="6">
        <f>IF(D102=0,"",D103/D102)</f>
      </c>
      <c r="E106" s="6">
        <f>IF(E102=0,"",E103/E102)</f>
      </c>
      <c r="F106" s="6">
        <f>IF(F102=0,"",F103/F102)</f>
      </c>
      <c r="G106" s="6">
        <f>IF(G102=0,"",G103/G102)</f>
      </c>
      <c r="H106" s="6">
        <f>IF(H102=0,"",H103/H102)</f>
      </c>
      <c r="I106" s="6">
        <f>IF(I102=0,"",I103/I102)</f>
      </c>
    </row>
    <row r="109">
      <c r="A109" s="0" t="inlineStr">
        <is>
          <t xml:space="preserve">x</t>
        </is>
      </c>
      <c r="B109" s="9" t="inlineStr">
        <is>
          <t xml:space="preserve">§5 - Sources</t>
        </is>
      </c>
      <c r="C109" s="9"/>
      <c r="D109" s="9"/>
      <c r="E109" s="9"/>
      <c r="F109" s="9"/>
      <c r="G109" s="9"/>
      <c r="H109" s="9"/>
      <c r="I109" s="9"/>
    </row>
    <row r="111">
      <c r="B111" s="2" t="inlineStr">
        <is>
          <t xml:space="preserve">Source family</t>
        </is>
      </c>
      <c r="C111" s="2" t="inlineStr">
        <is>
          <t xml:space="preserve">Source Index ID</t>
        </is>
      </c>
      <c r="D111" s="2" t="inlineStr">
        <is>
          <t xml:space="preserve">Refresh</t>
        </is>
      </c>
    </row>
    <row r="112" outlineLevel="1">
      <c r="B112" s="0" t="inlineStr">
        <is>
          <t xml:space="preserve">SCN P-5c (Basic Construction)</t>
        </is>
      </c>
      <c r="C112" s="0" t="inlineStr">
        <is>
          <t xml:space="preserve">Source Index §2</t>
        </is>
      </c>
      <c r="D112" s="0" t="inlineStr">
        <is>
          <t xml:space="preserve">FY22-27 PB</t>
        </is>
      </c>
    </row>
  </sheetData>
</worksheet>
</file>

<file path=xl/worksheets/sheet19.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0" customWidth="1"/>
    <col min="4" max="4" width="10" customWidth="1"/>
    <col min="5" max="5" width="10" customWidth="1"/>
    <col min="6" max="6" width="10" customWidth="1"/>
    <col min="7" max="7" width="10" customWidth="1"/>
    <col min="8" max="8" width="10" customWidth="1"/>
    <col min="9" max="9" width="12" customWidth="1"/>
  </cols>
  <sheetData>
    <row r="1"/>
    <row r="2">
      <c r="B2" s="8" t="inlineStr">
        <is>
          <t xml:space="preserve">Sub OBBBA Mandatory</t>
        </is>
      </c>
      <c r="C2" s="8"/>
      <c r="D2" s="8"/>
      <c r="E2" s="8"/>
      <c r="F2" s="8"/>
      <c r="G2" s="8"/>
      <c r="H2" s="8"/>
      <c r="I2" s="8"/>
    </row>
    <row r="4">
      <c r="B4" s="9" t="inlineStr">
        <is>
          <t xml:space="preserve">§1 - Mandatory funding ($M)</t>
        </is>
      </c>
      <c r="C4" s="9"/>
      <c r="D4" s="9"/>
      <c r="E4" s="9"/>
      <c r="F4" s="9"/>
      <c r="G4" s="9"/>
      <c r="H4" s="9"/>
      <c r="I4" s="9"/>
    </row>
    <row r="6">
      <c r="B6" s="2" t="inlineStr">
        <is>
          <t xml:space="preserve">Measure</t>
        </is>
      </c>
      <c r="C6" s="22" t="inlineStr">
        <is>
          <t xml:space="preserve">Value</t>
        </is>
      </c>
    </row>
    <row r="7">
      <c r="B7" s="1" t="inlineStr">
        <is>
          <t xml:space="preserve">Gross award (Sec. 20002(16)) $M</t>
        </is>
      </c>
      <c r="C7" s="4">
        <f>I28</f>
      </c>
    </row>
    <row r="8">
      <c r="B8" s="1" t="inlineStr">
        <is>
          <t xml:space="preserve">OBBBA BC base in TAM $M (constant FY2026)</t>
        </is>
      </c>
      <c r="C8" s="4">
        <f>I43+I44</f>
      </c>
    </row>
    <row r="9">
      <c r="B9" s="0" t="inlineStr">
        <is>
          <t xml:space="preserve">Full-gross sensitivity $M (reference; not applied)</t>
        </is>
      </c>
      <c r="C9" s="4">
        <f>I28*'Sub TAM Build'!C62</f>
      </c>
    </row>
    <row r="10">
      <c r="B10" s="0" t="inlineStr">
        <is>
          <t xml:space="preserve">Capacity / cadence memo $M (excluded)</t>
        </is>
      </c>
      <c r="C10" s="4">
        <f>D57</f>
      </c>
    </row>
    <row r="13">
      <c r="A13" s="0" t="inlineStr">
        <is>
          <t xml:space="preserve">x</t>
        </is>
      </c>
      <c r="B13" s="9" t="inlineStr">
        <is>
          <t xml:space="preserve">§2 - Source line (OBBBA Sec. 20002, line 16)</t>
        </is>
      </c>
      <c r="C13" s="9"/>
      <c r="D13" s="9"/>
      <c r="E13" s="9"/>
      <c r="F13" s="9"/>
      <c r="G13" s="9"/>
      <c r="H13" s="9"/>
      <c r="I13" s="9"/>
    </row>
    <row r="15">
      <c r="B15" s="2" t="inlineStr">
        <is>
          <t xml:space="preserve">Field</t>
        </is>
      </c>
      <c r="C15" s="2" t="inlineStr">
        <is>
          <t xml:space="preserve">Value</t>
        </is>
      </c>
    </row>
    <row r="16" outlineLevel="1">
      <c r="B16" s="0" t="inlineStr">
        <is>
          <t xml:space="preserve">Authority</t>
        </is>
      </c>
      <c r="C16" s="0" t="inlineStr">
        <is>
          <t xml:space="preserve">PL 119-21 Title II (OBBBA), Sec. 20002 Shipbuilding, line 16</t>
        </is>
      </c>
    </row>
    <row r="17" outlineLevel="1">
      <c r="B17" s="0" t="inlineStr">
        <is>
          <t xml:space="preserve">Title</t>
        </is>
      </c>
      <c r="C17" s="0" t="inlineStr">
        <is>
          <t xml:space="preserve">Second Virginia-class submarine in fiscal year 2026</t>
        </is>
      </c>
    </row>
    <row r="18" outlineLevel="1">
      <c r="B18" s="0" t="inlineStr">
        <is>
          <t xml:space="preserve">Program</t>
        </is>
      </c>
      <c r="C18" s="0" t="inlineStr">
        <is>
          <t xml:space="preserve">Virginia class (LI 2013) - one boat, additive to the FY26 discretionary request</t>
        </is>
      </c>
    </row>
    <row r="19" outlineLevel="1">
      <c r="B19" s="0" t="inlineStr">
        <is>
          <t xml:space="preserve">Funding type</t>
        </is>
      </c>
      <c r="C19" s="0" t="inlineStr">
        <is>
          <t xml:space="preserve">Mandatory appropriation (reconciliation)</t>
        </is>
      </c>
    </row>
    <row r="20" outlineLevel="1">
      <c r="B20" s="0" t="inlineStr">
        <is>
          <t xml:space="preserve">Scope</t>
        </is>
      </c>
      <c r="C20" s="0" t="inlineStr">
        <is>
          <t xml:space="preserve">Full ship procurement (no cost-category breakout)</t>
        </is>
      </c>
    </row>
    <row r="21" outlineLevel="1">
      <c r="B21" s="0" t="inlineStr">
        <is>
          <t xml:space="preserve">Award timing</t>
        </is>
      </c>
      <c r="C21" s="0" t="inlineStr">
        <is>
          <t xml:space="preserve">FY2026, alongside the discretionary FY26 boat</t>
        </is>
      </c>
    </row>
    <row r="22" outlineLevel="1">
      <c r="B22" s="0" t="inlineStr">
        <is>
          <t xml:space="preserve">Obligation availability</t>
        </is>
      </c>
      <c r="C22" s="0" t="inlineStr">
        <is>
          <t xml:space="preserve">Through 2029-09-30</t>
        </is>
      </c>
    </row>
    <row r="23" outlineLevel="1">
      <c r="B23" s="0" t="inlineStr">
        <is>
          <t xml:space="preserve">Booking basis</t>
        </is>
      </c>
      <c r="C23" s="0" t="inlineStr">
        <is>
          <t xml:space="preserve">Budget-year (all in FY2026)</t>
        </is>
      </c>
    </row>
    <row r="25">
      <c r="B25" s="2" t="inlineStr">
        <is>
          <t xml:space="preserve">Class</t>
        </is>
      </c>
      <c r="C25" s="22">
        <v>2022</v>
      </c>
      <c r="D25" s="22">
        <v>2023</v>
      </c>
      <c r="E25" s="22">
        <v>2024</v>
      </c>
      <c r="F25" s="22">
        <v>2025</v>
      </c>
      <c r="G25" s="22">
        <v>2026</v>
      </c>
      <c r="H25" s="22">
        <v>2027</v>
      </c>
      <c r="I25" s="22" t="inlineStr">
        <is>
          <t xml:space="preserve">Total</t>
        </is>
      </c>
    </row>
    <row r="26" outlineLevel="1">
      <c r="B26" s="1" t="inlineStr">
        <is>
          <t xml:space="preserve">Virginia (LI 2013)</t>
        </is>
      </c>
      <c r="C26" s="5">
        <v>0</v>
      </c>
      <c r="D26" s="5">
        <v>0</v>
      </c>
      <c r="E26" s="5">
        <v>0</v>
      </c>
      <c r="F26" s="5">
        <v>0</v>
      </c>
      <c r="G26" s="5">
        <v>4600.0</v>
      </c>
      <c r="H26" s="5">
        <v>0</v>
      </c>
      <c r="I26" s="4">
        <f>SUM(C26:H26)</f>
      </c>
    </row>
    <row r="27" outlineLevel="1">
      <c r="B27" s="1" t="inlineStr">
        <is>
          <t xml:space="preserve">Columbia (LI 1045)</t>
        </is>
      </c>
      <c r="C27" s="5">
        <v>0</v>
      </c>
      <c r="D27" s="5">
        <v>0</v>
      </c>
      <c r="E27" s="5">
        <v>0</v>
      </c>
      <c r="F27" s="5">
        <v>0</v>
      </c>
      <c r="G27" s="5">
        <v>0</v>
      </c>
      <c r="H27" s="5">
        <v>0</v>
      </c>
      <c r="I27" s="4">
        <f>SUM(C27:H27)</f>
      </c>
    </row>
    <row r="28">
      <c r="B28" s="3" t="inlineStr">
        <is>
          <t xml:space="preserve">Total (Va + Col)</t>
        </is>
      </c>
      <c r="C28" s="13">
        <f>N(C26)+N(C27)</f>
      </c>
      <c r="D28" s="13">
        <f>N(D26)+N(D27)</f>
      </c>
      <c r="E28" s="13">
        <f>N(E26)+N(E27)</f>
      </c>
      <c r="F28" s="13">
        <f>N(F26)+N(F27)</f>
      </c>
      <c r="G28" s="13">
        <f>N(G26)+N(G27)</f>
      </c>
      <c r="H28" s="13">
        <f>N(H26)+N(H27)</f>
      </c>
      <c r="I28" s="13">
        <f>SUM(C28:H28)</f>
      </c>
    </row>
    <row r="31">
      <c r="A31" s="0" t="inlineStr">
        <is>
          <t xml:space="preserve">x</t>
        </is>
      </c>
      <c r="B31" s="9" t="inlineStr">
        <is>
          <t xml:space="preserve">§3 - BC/GFE bridge (gross x BC share, Assumptions §4)</t>
        </is>
      </c>
      <c r="C31" s="9"/>
      <c r="D31" s="9"/>
      <c r="E31" s="9"/>
      <c r="F31" s="9"/>
      <c r="G31" s="9"/>
      <c r="H31" s="9"/>
      <c r="I31" s="9"/>
    </row>
    <row r="33">
      <c r="A33" s="0" t="inlineStr">
        <is>
          <t xml:space="preserve">x</t>
        </is>
      </c>
      <c r="B33" s="10" t="inlineStr">
        <is>
          <t xml:space="preserve">§3a - OBBBA BC base ($M then-year; FY27 = FY26 x spillover)</t>
        </is>
      </c>
      <c r="C33" s="10"/>
      <c r="D33" s="10"/>
      <c r="E33" s="10"/>
      <c r="F33" s="10"/>
      <c r="G33" s="10"/>
      <c r="H33" s="10"/>
      <c r="I33" s="10"/>
    </row>
    <row r="35">
      <c r="B35" s="2" t="inlineStr">
        <is>
          <t xml:space="preserve">Class</t>
        </is>
      </c>
      <c r="C35" s="22">
        <v>2022</v>
      </c>
      <c r="D35" s="22">
        <v>2023</v>
      </c>
      <c r="E35" s="22">
        <v>2024</v>
      </c>
      <c r="F35" s="22">
        <v>2025</v>
      </c>
      <c r="G35" s="22">
        <v>2026</v>
      </c>
      <c r="H35" s="22">
        <v>2027</v>
      </c>
      <c r="I35" s="22" t="inlineStr">
        <is>
          <t xml:space="preserve">Total</t>
        </is>
      </c>
    </row>
    <row r="36" outlineLevel="1">
      <c r="B36" s="1" t="inlineStr">
        <is>
          <t xml:space="preserve">Virginia (LI 2013)</t>
        </is>
      </c>
      <c r="C36" s="4">
        <f>C26*'Sub Assumptions'!E48</f>
      </c>
      <c r="D36" s="4">
        <f>D26*'Sub Assumptions'!E48</f>
      </c>
      <c r="E36" s="4">
        <f>E26*'Sub Assumptions'!E48</f>
      </c>
      <c r="F36" s="4">
        <f>F26*'Sub Assumptions'!E48</f>
      </c>
      <c r="G36" s="4">
        <f>G26*'Sub Assumptions'!E48*(1-'Sub Assumptions'!C45)</f>
      </c>
      <c r="H36" s="4">
        <f>H26*'Sub Assumptions'!E48+G26*'Sub Assumptions'!E48*'Sub Assumptions'!C45</f>
      </c>
      <c r="I36" s="4">
        <f>SUM(C36:H36)</f>
      </c>
    </row>
    <row r="37" outlineLevel="1">
      <c r="B37" s="1" t="inlineStr">
        <is>
          <t xml:space="preserve">Columbia (LI 1045)</t>
        </is>
      </c>
      <c r="C37" s="4">
        <f>C27*'Sub Assumptions'!E48</f>
      </c>
      <c r="D37" s="4">
        <f>D27*'Sub Assumptions'!E48</f>
      </c>
      <c r="E37" s="4">
        <f>E27*'Sub Assumptions'!E48</f>
      </c>
      <c r="F37" s="4">
        <f>F27*'Sub Assumptions'!E48</f>
      </c>
      <c r="G37" s="4">
        <f>G27*'Sub Assumptions'!E48*(1-'Sub Assumptions'!C45)</f>
      </c>
      <c r="H37" s="4">
        <f>H27*'Sub Assumptions'!E48+G27*'Sub Assumptions'!E48*'Sub Assumptions'!C45</f>
      </c>
      <c r="I37" s="4">
        <f>SUM(C37:H37)</f>
      </c>
    </row>
    <row r="38" outlineLevel="1">
      <c r="B38" s="0" t="inlineStr">
        <is>
          <t xml:space="preserve">GFE / non-BC remainder ($M; excluded from TAM)</t>
        </is>
      </c>
      <c r="C38" s="4">
        <f>N(C28)-N(C36)-N(C37)</f>
      </c>
      <c r="D38" s="4">
        <f>N(D28)-N(D36)-N(D37)</f>
      </c>
      <c r="E38" s="4">
        <f>N(E28)-N(E36)-N(E37)</f>
      </c>
      <c r="F38" s="4">
        <f>N(F28)-N(F36)-N(F37)</f>
      </c>
      <c r="G38" s="4">
        <f>N(G28)-N(G36)-N(G37)</f>
      </c>
      <c r="H38" s="4">
        <f>N(H28)-N(H36)-N(H37)</f>
      </c>
      <c r="I38" s="4">
        <f>SUM(C38:H38)</f>
      </c>
    </row>
    <row r="40">
      <c r="A40" s="0" t="inlineStr">
        <is>
          <t xml:space="preserve">x</t>
        </is>
      </c>
      <c r="B40" s="10" t="inlineStr">
        <is>
          <t xml:space="preserve">§3b - Constant FY2026 $M (then-year x deflator)</t>
        </is>
      </c>
      <c r="C40" s="10"/>
      <c r="D40" s="10"/>
      <c r="E40" s="10"/>
      <c r="F40" s="10"/>
      <c r="G40" s="10"/>
      <c r="H40" s="10"/>
      <c r="I40" s="10"/>
    </row>
    <row r="42">
      <c r="B42" s="2" t="inlineStr">
        <is>
          <t xml:space="preserve">Class</t>
        </is>
      </c>
      <c r="C42" s="22">
        <v>2022</v>
      </c>
      <c r="D42" s="22">
        <v>2023</v>
      </c>
      <c r="E42" s="22">
        <v>2024</v>
      </c>
      <c r="F42" s="22">
        <v>2025</v>
      </c>
      <c r="G42" s="22">
        <v>2026</v>
      </c>
      <c r="H42" s="22">
        <v>2027</v>
      </c>
      <c r="I42" s="22" t="inlineStr">
        <is>
          <t xml:space="preserve">Total</t>
        </is>
      </c>
    </row>
    <row r="43" outlineLevel="1">
      <c r="B43" s="1" t="inlineStr">
        <is>
          <t xml:space="preserve">Virginia (LI 2013)</t>
        </is>
      </c>
      <c r="C43" s="11">
        <f>C36*'Deflators'!D7</f>
      </c>
      <c r="D43" s="11">
        <f>D36*'Deflators'!D8</f>
      </c>
      <c r="E43" s="11">
        <f>E36*'Deflators'!D9</f>
      </c>
      <c r="F43" s="11">
        <f>F36*'Deflators'!D10</f>
      </c>
      <c r="G43" s="11">
        <f>G36*'Deflators'!D11</f>
      </c>
      <c r="H43" s="11">
        <f>H36*'Deflators'!D12</f>
      </c>
      <c r="I43" s="4">
        <f>SUM(C43:H43)</f>
      </c>
    </row>
    <row r="44" outlineLevel="1">
      <c r="B44" s="1" t="inlineStr">
        <is>
          <t xml:space="preserve">Columbia (LI 1045)</t>
        </is>
      </c>
      <c r="C44" s="11">
        <f>C37*'Deflators'!D7</f>
      </c>
      <c r="D44" s="11">
        <f>D37*'Deflators'!D8</f>
      </c>
      <c r="E44" s="11">
        <f>E37*'Deflators'!D9</f>
      </c>
      <c r="F44" s="11">
        <f>F37*'Deflators'!D10</f>
      </c>
      <c r="G44" s="11">
        <f>G37*'Deflators'!D11</f>
      </c>
      <c r="H44" s="11">
        <f>H37*'Deflators'!D12</f>
      </c>
      <c r="I44" s="4">
        <f>SUM(C44:H44)</f>
      </c>
    </row>
    <row r="47">
      <c r="A47" s="0" t="inlineStr">
        <is>
          <t xml:space="preserve">x</t>
        </is>
      </c>
      <c r="B47" s="9" t="inlineStr">
        <is>
          <t xml:space="preserve">§4 - Capacity / cadence evidence ($M; memo, excluded from TAM)</t>
        </is>
      </c>
      <c r="C47" s="9"/>
      <c r="D47" s="9"/>
      <c r="E47" s="9"/>
      <c r="F47" s="9"/>
      <c r="G47" s="9"/>
      <c r="H47" s="9"/>
      <c r="I47" s="9"/>
    </row>
    <row r="49">
      <c r="B49" s="2" t="inlineStr">
        <is>
          <t xml:space="preserve">Sec. 20002 item</t>
        </is>
      </c>
      <c r="C49" s="2" t="inlineStr">
        <is>
          <t xml:space="preserve">Description</t>
        </is>
      </c>
      <c r="D49" s="22" t="inlineStr">
        <is>
          <t xml:space="preserve">$M</t>
        </is>
      </c>
    </row>
    <row r="50" outlineLevel="1">
      <c r="B50" s="0" t="inlineStr">
        <is>
          <t xml:space="preserve">20002(1)</t>
        </is>
      </c>
      <c r="C50" s="0" t="inlineStr">
        <is>
          <t xml:space="preserve">Accelerated Training in Defense Mfg ($36.1M CLB + $213.9M VCS wage)</t>
        </is>
      </c>
      <c r="D50" s="5">
        <v>250.0</v>
      </c>
    </row>
    <row r="51" outlineLevel="1">
      <c r="B51" s="0" t="inlineStr">
        <is>
          <t xml:space="preserve">20002(2)</t>
        </is>
      </c>
      <c r="C51" s="0" t="inlineStr">
        <is>
          <t xml:space="preserve">Turbine generators, second supplier (1+2 Columbia/Virginia cadence)</t>
        </is>
      </c>
      <c r="D51" s="5">
        <v>250.0</v>
      </c>
    </row>
    <row r="52" outlineLevel="1">
      <c r="B52" s="0" t="inlineStr">
        <is>
          <t xml:space="preserve">20002(3)</t>
        </is>
      </c>
      <c r="C52" s="0" t="inlineStr">
        <is>
          <t xml:space="preserve">Additive mfg / weld wire / machining capacity (incl. CLB productivity)</t>
        </is>
      </c>
      <c r="D52" s="5">
        <v>450.0</v>
      </c>
    </row>
    <row r="53" outlineLevel="1">
      <c r="B53" s="0" t="inlineStr">
        <is>
          <t xml:space="preserve">20002(10)</t>
        </is>
      </c>
      <c r="C53" s="0" t="inlineStr">
        <is>
          <t xml:space="preserve">Advanced mfg techniques at EB and NNS (factory of the future)</t>
        </is>
      </c>
      <c r="D53" s="5">
        <v>500.0</v>
      </c>
    </row>
    <row r="54" outlineLevel="1">
      <c r="B54" s="0" t="inlineStr">
        <is>
          <t xml:space="preserve">20002(13)</t>
        </is>
      </c>
      <c r="C54" s="0" t="inlineStr">
        <is>
          <t xml:space="preserve">MIB workforce development ($48M CLB + $402M VCS)</t>
        </is>
      </c>
      <c r="D54" s="5">
        <v>450.0</v>
      </c>
    </row>
    <row r="55" outlineLevel="1">
      <c r="B55" s="0" t="inlineStr">
        <is>
          <t xml:space="preserve">20002(14)</t>
        </is>
      </c>
      <c r="C55" s="0" t="inlineStr">
        <is>
          <t xml:space="preserve">Supplier development, sequence-critical suppliers</t>
        </is>
      </c>
      <c r="D55" s="5">
        <v>750.0</v>
      </c>
    </row>
    <row r="56" outlineLevel="1">
      <c r="B56" s="0" t="inlineStr">
        <is>
          <t xml:space="preserve">20002(15)</t>
        </is>
      </c>
      <c r="C56" s="0" t="inlineStr">
        <is>
          <t xml:space="preserve">Advanced mfg processes across naval shipbuilding IB</t>
        </is>
      </c>
      <c r="D56" s="5">
        <v>250.0</v>
      </c>
    </row>
    <row r="57">
      <c r="B57" s="16"/>
      <c r="C57" s="3" t="inlineStr">
        <is>
          <t xml:space="preserve">Total capacity / cadence memo</t>
        </is>
      </c>
      <c r="D57" s="13">
        <f>SUM(D50:D56)</f>
      </c>
    </row>
    <row r="59" outlineLevel="1">
      <c r="B59" s="0" t="inlineStr">
        <is>
          <t xml:space="preserve">20002</t>
        </is>
      </c>
      <c r="C59" s="0" t="inlineStr">
        <is>
          <t xml:space="preserve">Sec. 20002 total (all shipbuilding)</t>
        </is>
      </c>
      <c r="D59" s="5">
        <v>29176.3</v>
      </c>
    </row>
    <row r="60" outlineLevel="1">
      <c r="B60" s="0" t="inlineStr">
        <is>
          <t xml:space="preserve">20002(16)</t>
        </is>
      </c>
      <c r="C60" s="0" t="inlineStr">
        <is>
          <t xml:space="preserve">of which submarine new construction (item 16)</t>
        </is>
      </c>
      <c r="D60" s="4">
        <f>I28</f>
      </c>
    </row>
    <row r="63">
      <c r="A63" s="0" t="inlineStr">
        <is>
          <t xml:space="preserve">x</t>
        </is>
      </c>
      <c r="B63" s="9" t="inlineStr">
        <is>
          <t xml:space="preserve">§5 - Excluded submarine-adjacent lines ($M; memo)</t>
        </is>
      </c>
      <c r="C63" s="9"/>
      <c r="D63" s="9"/>
      <c r="E63" s="9"/>
      <c r="F63" s="9"/>
      <c r="G63" s="9"/>
      <c r="H63" s="9"/>
      <c r="I63" s="9"/>
    </row>
    <row r="65">
      <c r="B65" s="2" t="inlineStr">
        <is>
          <t xml:space="preserve">Item</t>
        </is>
      </c>
      <c r="C65" s="2" t="inlineStr">
        <is>
          <t xml:space="preserve">Description</t>
        </is>
      </c>
      <c r="D65" s="22" t="inlineStr">
        <is>
          <t xml:space="preserve">$M</t>
        </is>
      </c>
      <c r="E65" s="2" t="inlineStr">
        <is>
          <t xml:space="preserve">Reason</t>
        </is>
      </c>
    </row>
    <row r="66" outlineLevel="1">
      <c r="B66" s="0" t="inlineStr">
        <is>
          <t xml:space="preserve">20002(11)</t>
        </is>
      </c>
      <c r="C66" s="0" t="inlineStr">
        <is>
          <t xml:space="preserve">Additional dry-dock capability (Puget Sound DD4)</t>
        </is>
      </c>
      <c r="D66" s="5">
        <v>500.0</v>
      </c>
      <c r="E66" s="0" t="inlineStr">
        <is>
          <t xml:space="preserve">repair</t>
        </is>
      </c>
    </row>
    <row r="67" outlineLevel="1">
      <c r="B67" s="0" t="inlineStr">
        <is>
          <t xml:space="preserve">20002(12)</t>
        </is>
      </c>
      <c r="C67" s="0" t="inlineStr">
        <is>
          <t xml:space="preserve">Cold spray repair technologies</t>
        </is>
      </c>
      <c r="D67" s="5">
        <v>50.0</v>
      </c>
      <c r="E67" s="0" t="inlineStr">
        <is>
          <t xml:space="preserve">repair</t>
        </is>
      </c>
    </row>
    <row r="68" outlineLevel="1">
      <c r="B68" s="0" t="inlineStr">
        <is>
          <t xml:space="preserve">20003(8)</t>
        </is>
      </c>
      <c r="C68" s="0" t="inlineStr">
        <is>
          <t xml:space="preserve">Ohio-class tube conversion for additional missiles</t>
        </is>
      </c>
      <c r="D68" s="5">
        <v>62.0</v>
      </c>
      <c r="E68" s="0" t="inlineStr">
        <is>
          <t xml:space="preserve">nuclear / GFE</t>
        </is>
      </c>
    </row>
    <row r="69">
      <c r="B69" s="16"/>
      <c r="C69" s="3" t="inlineStr">
        <is>
          <t xml:space="preserve">Total excluded memo</t>
        </is>
      </c>
      <c r="D69" s="13">
        <f>SUM(D66:D68)</f>
      </c>
      <c r="E69" s="16"/>
    </row>
  </sheetData>
</worksheet>
</file>

<file path=xl/worksheets/sheet20.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34" customWidth="1"/>
    <col min="3" max="3" width="9" customWidth="1"/>
    <col min="4" max="4" width="9" customWidth="1"/>
    <col min="5" max="5" width="9" customWidth="1"/>
    <col min="6" max="6" width="9" customWidth="1"/>
    <col min="7" max="7" width="9" customWidth="1"/>
    <col min="8" max="8" width="9" customWidth="1"/>
    <col min="9" max="9" width="9" customWidth="1"/>
    <col min="10" max="10" width="9" customWidth="1"/>
    <col min="11" max="11" width="9" customWidth="1"/>
    <col min="12" max="12" width="9" customWidth="1"/>
    <col min="13" max="13" width="9" customWidth="1"/>
    <col min="14" max="14" width="9" customWidth="1"/>
    <col min="15" max="15" width="12" customWidth="1"/>
  </cols>
  <sheetData>
    <row r="1"/>
    <row r="2">
      <c r="B2" s="8" t="inlineStr">
        <is>
          <t xml:space="preserve">AP Bridge</t>
        </is>
      </c>
      <c r="C2" s="8"/>
      <c r="D2" s="8"/>
      <c r="E2" s="8"/>
      <c r="F2" s="8"/>
      <c r="G2" s="8"/>
      <c r="H2" s="8"/>
      <c r="I2" s="8"/>
      <c r="J2" s="8"/>
      <c r="K2" s="8"/>
      <c r="L2" s="8"/>
      <c r="M2" s="8"/>
      <c r="N2" s="8"/>
      <c r="O2" s="8"/>
    </row>
    <row r="4">
      <c r="B4" s="9" t="inlineStr">
        <is>
          <t xml:space="preserve">§1 - P-10 -&gt; TAM bridge ($M, FY22-27)</t>
        </is>
      </c>
      <c r="C4" s="9"/>
      <c r="D4" s="9"/>
      <c r="E4" s="9"/>
      <c r="F4" s="9"/>
      <c r="G4" s="9"/>
      <c r="H4" s="9"/>
      <c r="I4" s="9"/>
      <c r="J4" s="9"/>
      <c r="K4" s="9"/>
      <c r="L4" s="9"/>
      <c r="M4" s="9"/>
      <c r="N4" s="9"/>
      <c r="O4" s="9"/>
    </row>
    <row r="6">
      <c r="B6" s="2" t="inlineStr">
        <is>
          <t xml:space="preserve">Step</t>
        </is>
      </c>
      <c r="C6" s="22" t="inlineStr">
        <is>
          <t xml:space="preserve">$M</t>
        </is>
      </c>
    </row>
    <row r="7">
      <c r="B7" s="1" t="inlineStr">
        <is>
          <t xml:space="preserve">P-10 gross AP top-line</t>
        </is>
      </c>
      <c r="C7" s="4">
        <f>'Sub AP Bridge'!C62</f>
      </c>
    </row>
    <row r="8">
      <c r="B8" s="20" t="inlineStr">
        <is>
          <t xml:space="preserve">less GFE / design / weapons</t>
        </is>
      </c>
      <c r="C8" s="4">
        <f>'Sub AP Bridge'!C63</f>
      </c>
    </row>
    <row r="9">
      <c r="B9" s="20" t="inlineStr">
        <is>
          <t xml:space="preserve">less already inside P-5c BC</t>
        </is>
      </c>
      <c r="C9" s="4">
        <f>'Sub AP Bridge'!C64</f>
      </c>
    </row>
    <row r="10">
      <c r="B10" s="20" t="inlineStr">
        <is>
          <t xml:space="preserve">less un-itemized overlap</t>
        </is>
      </c>
      <c r="C10" s="4">
        <f>'Sub AP Bridge'!C65</f>
      </c>
    </row>
    <row r="11">
      <c r="B11" s="1" t="inlineStr">
        <is>
          <t xml:space="preserve">AP/LLTM additive base</t>
        </is>
      </c>
      <c r="C11" s="4">
        <f>'Sub AP Bridge'!C66</f>
      </c>
    </row>
    <row r="14">
      <c r="A14" s="0" t="inlineStr">
        <is>
          <t xml:space="preserve">x</t>
        </is>
      </c>
      <c r="B14" s="9" t="inlineStr">
        <is>
          <t xml:space="preserve">§2 - Virginia (LI 2013) P-10 AP buckets ($M, FY20-31)</t>
        </is>
      </c>
      <c r="C14" s="9"/>
      <c r="D14" s="9"/>
      <c r="E14" s="9"/>
      <c r="F14" s="9"/>
      <c r="G14" s="9"/>
      <c r="H14" s="9"/>
      <c r="I14" s="9"/>
      <c r="J14" s="9"/>
      <c r="K14" s="9"/>
      <c r="L14" s="9"/>
      <c r="M14" s="9"/>
      <c r="N14" s="9"/>
      <c r="O14" s="9"/>
    </row>
    <row r="16">
      <c r="B16" s="2" t="inlineStr">
        <is>
          <t xml:space="preserve">Bucket</t>
        </is>
      </c>
      <c r="C16" s="22">
        <v>2020</v>
      </c>
      <c r="D16" s="22">
        <v>2021</v>
      </c>
      <c r="E16" s="22">
        <v>2022</v>
      </c>
      <c r="F16" s="22">
        <v>2023</v>
      </c>
      <c r="G16" s="22">
        <v>2024</v>
      </c>
      <c r="H16" s="22">
        <v>2025</v>
      </c>
      <c r="I16" s="22">
        <v>2026</v>
      </c>
      <c r="J16" s="22">
        <v>2027</v>
      </c>
      <c r="K16" s="22">
        <v>2028</v>
      </c>
      <c r="L16" s="22">
        <v>2029</v>
      </c>
      <c r="M16" s="22">
        <v>2030</v>
      </c>
      <c r="N16" s="22">
        <v>2031</v>
      </c>
      <c r="O16" s="22" t="inlineStr">
        <is>
          <t xml:space="preserve">Total</t>
        </is>
      </c>
    </row>
    <row r="17" outlineLevel="1">
      <c r="B17" s="0" t="inlineStr">
        <is>
          <t xml:space="preserve">Plans / SIB</t>
        </is>
      </c>
      <c r="C17" s="5"/>
      <c r="D17" s="5"/>
      <c r="E17" s="5"/>
      <c r="F17" s="5"/>
      <c r="G17" s="5">
        <v>200.0</v>
      </c>
      <c r="H17" s="5"/>
      <c r="I17" s="5">
        <v>130.0</v>
      </c>
      <c r="J17" s="5">
        <v>1768.17</v>
      </c>
      <c r="K17" s="5">
        <v>1943.72</v>
      </c>
      <c r="L17" s="5">
        <v>1602.69</v>
      </c>
      <c r="M17" s="5">
        <v>285.0</v>
      </c>
      <c r="N17" s="5">
        <v>214.0</v>
      </c>
      <c r="O17" s="4">
        <f>SUM(C17:N17)</f>
      </c>
    </row>
    <row r="18" outlineLevel="1">
      <c r="B18" s="0" t="inlineStr">
        <is>
          <t xml:space="preserve">EOQ</t>
        </is>
      </c>
      <c r="C18" s="5">
        <v>881.964</v>
      </c>
      <c r="D18" s="5">
        <v>427.42</v>
      </c>
      <c r="E18" s="5"/>
      <c r="F18" s="5"/>
      <c r="G18" s="5">
        <v>1360.037</v>
      </c>
      <c r="H18" s="5">
        <v>1298.349</v>
      </c>
      <c r="I18" s="5">
        <v>707.862</v>
      </c>
      <c r="J18" s="5"/>
      <c r="K18" s="5"/>
      <c r="L18" s="5">
        <v>1501.595</v>
      </c>
      <c r="M18" s="5">
        <v>1433.476</v>
      </c>
      <c r="N18" s="5">
        <v>781.536</v>
      </c>
      <c r="O18" s="4">
        <f>SUM(C18:N18)</f>
      </c>
    </row>
    <row r="19" outlineLevel="1">
      <c r="B19" s="0" t="inlineStr">
        <is>
          <t xml:space="preserve">Nuclear plant LLTM</t>
        </is>
      </c>
      <c r="C19" s="5">
        <v>1246.83</v>
      </c>
      <c r="D19" s="5">
        <v>883.115</v>
      </c>
      <c r="E19" s="5">
        <v>1121.47</v>
      </c>
      <c r="F19" s="5">
        <v>1004.95</v>
      </c>
      <c r="G19" s="5">
        <v>1035.07</v>
      </c>
      <c r="H19" s="5">
        <v>1273.09</v>
      </c>
      <c r="I19" s="5">
        <v>1336.59</v>
      </c>
      <c r="J19" s="5">
        <v>1403.49</v>
      </c>
      <c r="K19" s="5">
        <v>1473.6</v>
      </c>
      <c r="L19" s="5">
        <v>1547.4</v>
      </c>
      <c r="M19" s="5">
        <v>1624.8</v>
      </c>
      <c r="N19" s="5">
        <v>1706.17</v>
      </c>
      <c r="O19" s="4">
        <f>SUM(C19:N19)</f>
      </c>
    </row>
    <row r="20" outlineLevel="1">
      <c r="B20" s="0" t="inlineStr">
        <is>
          <t xml:space="preserve">Propulsor LLTM</t>
        </is>
      </c>
      <c r="C20" s="5"/>
      <c r="D20" s="5"/>
      <c r="E20" s="5">
        <v>47.214</v>
      </c>
      <c r="F20" s="5">
        <v>48.538</v>
      </c>
      <c r="G20" s="5">
        <v>49.508</v>
      </c>
      <c r="H20" s="5">
        <v>50.498</v>
      </c>
      <c r="I20" s="5">
        <v>51.508</v>
      </c>
      <c r="J20" s="5">
        <v>52.538</v>
      </c>
      <c r="K20" s="5">
        <v>53.589</v>
      </c>
      <c r="L20" s="5">
        <v>54.662</v>
      </c>
      <c r="M20" s="5">
        <v>55.755</v>
      </c>
      <c r="N20" s="5">
        <v>56.87</v>
      </c>
      <c r="O20" s="4">
        <f>SUM(C20:N20)</f>
      </c>
    </row>
    <row r="21" outlineLevel="1">
      <c r="B21" s="0" t="inlineStr">
        <is>
          <t xml:space="preserve">Electronics LLTM</t>
        </is>
      </c>
      <c r="C21" s="5">
        <v>29.94</v>
      </c>
      <c r="D21" s="5">
        <v>30.54</v>
      </c>
      <c r="E21" s="5">
        <v>31.15</v>
      </c>
      <c r="F21" s="5">
        <v>31.774</v>
      </c>
      <c r="G21" s="5">
        <v>32.408</v>
      </c>
      <c r="H21" s="5">
        <v>33.056</v>
      </c>
      <c r="I21" s="5">
        <v>33.718</v>
      </c>
      <c r="J21" s="5">
        <v>34.392</v>
      </c>
      <c r="K21" s="5">
        <v>35.08</v>
      </c>
      <c r="L21" s="5">
        <v>35.783</v>
      </c>
      <c r="M21" s="5">
        <v>36.497</v>
      </c>
      <c r="N21" s="5">
        <v>37.227</v>
      </c>
      <c r="O21" s="4">
        <f>SUM(C21:N21)</f>
      </c>
    </row>
    <row r="22" outlineLevel="1">
      <c r="B22" s="0" t="inlineStr">
        <is>
          <t xml:space="preserve">HM&amp;E LLTM</t>
        </is>
      </c>
      <c r="C22" s="5"/>
      <c r="D22" s="5"/>
      <c r="E22" s="5"/>
      <c r="F22" s="5"/>
      <c r="G22" s="5"/>
      <c r="H22" s="5"/>
      <c r="I22" s="5"/>
      <c r="J22" s="5"/>
      <c r="K22" s="5"/>
      <c r="L22" s="5"/>
      <c r="M22" s="5"/>
      <c r="N22" s="5"/>
      <c r="O22" s="4">
        <f>SUM(C22:N22)</f>
      </c>
    </row>
    <row r="23" outlineLevel="1">
      <c r="B23" s="0" t="inlineStr">
        <is>
          <t xml:space="preserve">Ordnance LLTM</t>
        </is>
      </c>
      <c r="C23" s="5"/>
      <c r="D23" s="5"/>
      <c r="E23" s="5"/>
      <c r="F23" s="5"/>
      <c r="G23" s="5"/>
      <c r="H23" s="5"/>
      <c r="I23" s="5"/>
      <c r="J23" s="5"/>
      <c r="K23" s="5"/>
      <c r="L23" s="5"/>
      <c r="M23" s="5"/>
      <c r="N23" s="5"/>
      <c r="O23" s="4">
        <f>SUM(C23:N23)</f>
      </c>
    </row>
    <row r="24" outlineLevel="1">
      <c r="B24" s="0" t="inlineStr">
        <is>
          <t xml:space="preserve">Missile compartment LLTM</t>
        </is>
      </c>
      <c r="C24" s="5"/>
      <c r="D24" s="5"/>
      <c r="E24" s="5"/>
      <c r="F24" s="5"/>
      <c r="G24" s="5"/>
      <c r="H24" s="5"/>
      <c r="I24" s="5"/>
      <c r="J24" s="5"/>
      <c r="K24" s="5"/>
      <c r="L24" s="5"/>
      <c r="M24" s="5"/>
      <c r="N24" s="5"/>
      <c r="O24" s="4">
        <f>SUM(C24:N24)</f>
      </c>
    </row>
    <row r="25" outlineLevel="1">
      <c r="B25" s="0" t="inlineStr">
        <is>
          <t xml:space="preserve">Shipbuilder-procured LLTM</t>
        </is>
      </c>
      <c r="C25" s="5"/>
      <c r="D25" s="5"/>
      <c r="E25" s="5"/>
      <c r="F25" s="5"/>
      <c r="G25" s="5"/>
      <c r="H25" s="5"/>
      <c r="I25" s="5"/>
      <c r="J25" s="5"/>
      <c r="K25" s="5"/>
      <c r="L25" s="5"/>
      <c r="M25" s="5"/>
      <c r="N25" s="5"/>
      <c r="O25" s="4">
        <f>SUM(C25:N25)</f>
      </c>
    </row>
    <row r="26" outlineLevel="1">
      <c r="B26" s="0" t="inlineStr">
        <is>
          <t xml:space="preserve">Shipbuilder-procured LLTM (CFE)</t>
        </is>
      </c>
      <c r="C26" s="5">
        <v>542.963</v>
      </c>
      <c r="D26" s="5">
        <v>542.188</v>
      </c>
      <c r="E26" s="5">
        <v>533.556</v>
      </c>
      <c r="F26" s="5">
        <v>723.879</v>
      </c>
      <c r="G26" s="5">
        <v>681.759</v>
      </c>
      <c r="H26" s="5">
        <v>1065.31</v>
      </c>
      <c r="I26" s="5">
        <v>867.138</v>
      </c>
      <c r="J26" s="5">
        <v>885.028</v>
      </c>
      <c r="K26" s="5">
        <v>979.344</v>
      </c>
      <c r="L26" s="5">
        <v>959.318</v>
      </c>
      <c r="M26" s="5">
        <v>878.146</v>
      </c>
      <c r="N26" s="5">
        <v>895.709</v>
      </c>
      <c r="O26" s="4">
        <f>SUM(C26:N26)</f>
      </c>
    </row>
    <row r="27">
      <c r="B27" s="3" t="inlineStr">
        <is>
          <t xml:space="preserve">Class total</t>
        </is>
      </c>
      <c r="C27" s="13">
        <f>SUM(C17:C26)</f>
      </c>
      <c r="D27" s="13">
        <f>SUM(D17:D26)</f>
      </c>
      <c r="E27" s="13">
        <f>SUM(E17:E26)</f>
      </c>
      <c r="F27" s="13">
        <f>SUM(F17:F26)</f>
      </c>
      <c r="G27" s="13">
        <f>SUM(G17:G26)</f>
      </c>
      <c r="H27" s="13">
        <f>SUM(H17:H26)</f>
      </c>
      <c r="I27" s="13">
        <f>SUM(I17:I26)</f>
      </c>
      <c r="J27" s="13">
        <f>SUM(J17:J26)</f>
      </c>
      <c r="K27" s="13">
        <f>SUM(K17:K26)</f>
      </c>
      <c r="L27" s="13">
        <f>SUM(L17:L26)</f>
      </c>
      <c r="M27" s="13">
        <f>SUM(M17:M26)</f>
      </c>
      <c r="N27" s="13">
        <f>SUM(N17:N26)</f>
      </c>
      <c r="O27" s="13">
        <f>SUM(O17:O26)</f>
      </c>
    </row>
    <row r="30">
      <c r="A30" s="0" t="inlineStr">
        <is>
          <t xml:space="preserve">x</t>
        </is>
      </c>
      <c r="B30" s="9" t="inlineStr">
        <is>
          <t xml:space="preserve">§3 - Columbia (LI 1045) P-10 AP buckets ($M, FY20-31)</t>
        </is>
      </c>
      <c r="C30" s="9"/>
      <c r="D30" s="9"/>
      <c r="E30" s="9"/>
      <c r="F30" s="9"/>
      <c r="G30" s="9"/>
      <c r="H30" s="9"/>
      <c r="I30" s="9"/>
      <c r="J30" s="9"/>
      <c r="K30" s="9"/>
      <c r="L30" s="9"/>
      <c r="M30" s="9"/>
      <c r="N30" s="9"/>
      <c r="O30" s="9"/>
    </row>
    <row r="32">
      <c r="B32" s="2" t="inlineStr">
        <is>
          <t xml:space="preserve">Bucket</t>
        </is>
      </c>
      <c r="C32" s="22">
        <v>2020</v>
      </c>
      <c r="D32" s="22">
        <v>2021</v>
      </c>
      <c r="E32" s="22">
        <v>2022</v>
      </c>
      <c r="F32" s="22">
        <v>2023</v>
      </c>
      <c r="G32" s="22">
        <v>2024</v>
      </c>
      <c r="H32" s="22">
        <v>2025</v>
      </c>
      <c r="I32" s="22">
        <v>2026</v>
      </c>
      <c r="J32" s="22">
        <v>2027</v>
      </c>
      <c r="K32" s="22">
        <v>2028</v>
      </c>
      <c r="L32" s="22">
        <v>2029</v>
      </c>
      <c r="M32" s="22">
        <v>2030</v>
      </c>
      <c r="N32" s="22">
        <v>2031</v>
      </c>
      <c r="O32" s="22" t="inlineStr">
        <is>
          <t xml:space="preserve">Total</t>
        </is>
      </c>
    </row>
    <row r="33" outlineLevel="1">
      <c r="B33" s="0" t="inlineStr">
        <is>
          <t xml:space="preserve">Plans / SIB</t>
        </is>
      </c>
      <c r="C33" s="5">
        <v>872.662</v>
      </c>
      <c r="D33" s="5">
        <v>85.0</v>
      </c>
      <c r="E33" s="5">
        <v>110.0</v>
      </c>
      <c r="F33" s="5">
        <v>541.0</v>
      </c>
      <c r="G33" s="5">
        <v>2355.0</v>
      </c>
      <c r="H33" s="5">
        <v>2077.189</v>
      </c>
      <c r="I33" s="5">
        <v>1692.249</v>
      </c>
      <c r="J33" s="5">
        <v>809.679</v>
      </c>
      <c r="K33" s="5">
        <v>1018.316</v>
      </c>
      <c r="L33" s="5">
        <v>709.136</v>
      </c>
      <c r="M33" s="5">
        <v>624.179</v>
      </c>
      <c r="N33" s="5">
        <v>631.272</v>
      </c>
      <c r="O33" s="4">
        <f>SUM(C33:N33)</f>
      </c>
    </row>
    <row r="34" outlineLevel="1">
      <c r="B34" s="0" t="inlineStr">
        <is>
          <t xml:space="preserve">EOQ</t>
        </is>
      </c>
      <c r="C34" s="5">
        <v>77.793</v>
      </c>
      <c r="D34" s="5">
        <v>79.705</v>
      </c>
      <c r="E34" s="5">
        <v>176.23</v>
      </c>
      <c r="F34" s="5">
        <v>141.512</v>
      </c>
      <c r="G34" s="5">
        <v>778.925</v>
      </c>
      <c r="H34" s="5">
        <v>494.301</v>
      </c>
      <c r="I34" s="5">
        <v>382.154</v>
      </c>
      <c r="J34" s="5">
        <v>178.331</v>
      </c>
      <c r="K34" s="5">
        <v>191.647</v>
      </c>
      <c r="L34" s="5">
        <v>18.57</v>
      </c>
      <c r="M34" s="5">
        <v>1017.969</v>
      </c>
      <c r="N34" s="5">
        <v>695.466</v>
      </c>
      <c r="O34" s="4">
        <f>SUM(C34:N34)</f>
      </c>
    </row>
    <row r="35" outlineLevel="1">
      <c r="B35" s="0" t="inlineStr">
        <is>
          <t xml:space="preserve">Nuclear plant LLTM</t>
        </is>
      </c>
      <c r="C35" s="5"/>
      <c r="D35" s="5">
        <v>816.737</v>
      </c>
      <c r="E35" s="5">
        <v>797.262</v>
      </c>
      <c r="F35" s="5">
        <v>772.686</v>
      </c>
      <c r="G35" s="5">
        <v>1272.405</v>
      </c>
      <c r="H35" s="5">
        <v>1526.697</v>
      </c>
      <c r="I35" s="5">
        <v>1440.528</v>
      </c>
      <c r="J35" s="5">
        <v>1490.144</v>
      </c>
      <c r="K35" s="5">
        <v>1544.116</v>
      </c>
      <c r="L35" s="5">
        <v>1602.529</v>
      </c>
      <c r="M35" s="5">
        <v>1665.462</v>
      </c>
      <c r="N35" s="5">
        <v>1777.679</v>
      </c>
      <c r="O35" s="4">
        <f>SUM(C35:N35)</f>
      </c>
    </row>
    <row r="36" outlineLevel="1">
      <c r="B36" s="0" t="inlineStr">
        <is>
          <t xml:space="preserve">Propulsor LLTM</t>
        </is>
      </c>
      <c r="C36" s="5"/>
      <c r="D36" s="5"/>
      <c r="E36" s="5"/>
      <c r="F36" s="5"/>
      <c r="G36" s="5"/>
      <c r="H36" s="5"/>
      <c r="I36" s="5"/>
      <c r="J36" s="5"/>
      <c r="K36" s="5"/>
      <c r="L36" s="5"/>
      <c r="M36" s="5"/>
      <c r="N36" s="5"/>
      <c r="O36" s="4">
        <f>SUM(C36:N36)</f>
      </c>
    </row>
    <row r="37" outlineLevel="1">
      <c r="B37" s="0" t="inlineStr">
        <is>
          <t xml:space="preserve">Electronics LLTM</t>
        </is>
      </c>
      <c r="C37" s="5">
        <v>36.39</v>
      </c>
      <c r="D37" s="5"/>
      <c r="E37" s="5">
        <v>8.097</v>
      </c>
      <c r="F37" s="5">
        <v>26.587</v>
      </c>
      <c r="G37" s="5">
        <v>8.43</v>
      </c>
      <c r="H37" s="5">
        <v>129.354</v>
      </c>
      <c r="I37" s="5">
        <v>110.601</v>
      </c>
      <c r="J37" s="5">
        <v>81.76</v>
      </c>
      <c r="K37" s="5">
        <v>83.395</v>
      </c>
      <c r="L37" s="5">
        <v>85.063</v>
      </c>
      <c r="M37" s="5">
        <v>86.765</v>
      </c>
      <c r="N37" s="5">
        <v>88.499</v>
      </c>
      <c r="O37" s="4">
        <f>SUM(C37:N37)</f>
      </c>
    </row>
    <row r="38" outlineLevel="1">
      <c r="B38" s="0" t="inlineStr">
        <is>
          <t xml:space="preserve">HM&amp;E LLTM</t>
        </is>
      </c>
      <c r="C38" s="5">
        <v>41.948</v>
      </c>
      <c r="D38" s="5">
        <v>3.1</v>
      </c>
      <c r="E38" s="5">
        <v>42.857</v>
      </c>
      <c r="F38" s="5">
        <v>86.285</v>
      </c>
      <c r="G38" s="5">
        <v>66.824</v>
      </c>
      <c r="H38" s="5">
        <v>75.475</v>
      </c>
      <c r="I38" s="5">
        <v>86.202</v>
      </c>
      <c r="J38" s="5">
        <v>74.393</v>
      </c>
      <c r="K38" s="5">
        <v>119.156</v>
      </c>
      <c r="L38" s="5">
        <v>78.284</v>
      </c>
      <c r="M38" s="5">
        <v>79.138</v>
      </c>
      <c r="N38" s="5">
        <v>80.929</v>
      </c>
      <c r="O38" s="4">
        <f>SUM(C38:N38)</f>
      </c>
    </row>
    <row r="39" outlineLevel="1">
      <c r="B39" s="0" t="inlineStr">
        <is>
          <t xml:space="preserve">Ordnance LLTM</t>
        </is>
      </c>
      <c r="C39" s="5">
        <v>93.73</v>
      </c>
      <c r="D39" s="5">
        <v>6.324</v>
      </c>
      <c r="E39" s="5">
        <v>123.597</v>
      </c>
      <c r="F39" s="5">
        <v>208.688</v>
      </c>
      <c r="G39" s="5">
        <v>168.772</v>
      </c>
      <c r="H39" s="5">
        <v>217.702</v>
      </c>
      <c r="I39" s="5">
        <v>232.551</v>
      </c>
      <c r="J39" s="5">
        <v>255.312</v>
      </c>
      <c r="K39" s="5">
        <v>277.555</v>
      </c>
      <c r="L39" s="5">
        <v>222.425</v>
      </c>
      <c r="M39" s="5">
        <v>279.101</v>
      </c>
      <c r="N39" s="5">
        <v>172.641</v>
      </c>
      <c r="O39" s="4">
        <f>SUM(C39:N39)</f>
      </c>
    </row>
    <row r="40" outlineLevel="1">
      <c r="B40" s="0" t="inlineStr">
        <is>
          <t xml:space="preserve">Missile compartment LLTM</t>
        </is>
      </c>
      <c r="C40" s="5">
        <v>83.747</v>
      </c>
      <c r="D40" s="5">
        <v>86.288</v>
      </c>
      <c r="E40" s="5">
        <v>177.391</v>
      </c>
      <c r="F40" s="5">
        <v>221.311</v>
      </c>
      <c r="G40" s="5">
        <v>174.136</v>
      </c>
      <c r="H40" s="5">
        <v>216.261</v>
      </c>
      <c r="I40" s="5">
        <v>261.29</v>
      </c>
      <c r="J40" s="5">
        <v>297.347</v>
      </c>
      <c r="K40" s="5">
        <v>301.02</v>
      </c>
      <c r="L40" s="5">
        <v>309.689</v>
      </c>
      <c r="M40" s="5">
        <v>320.267</v>
      </c>
      <c r="N40" s="5">
        <v>271.046</v>
      </c>
      <c r="O40" s="4">
        <f>SUM(C40:N40)</f>
      </c>
    </row>
    <row r="41" outlineLevel="1">
      <c r="B41" s="0" t="inlineStr">
        <is>
          <t xml:space="preserve">Shipbuilder-procured LLTM</t>
        </is>
      </c>
      <c r="C41" s="5">
        <v>614.657</v>
      </c>
      <c r="D41" s="5">
        <v>176.021</v>
      </c>
      <c r="E41" s="5">
        <v>338.546</v>
      </c>
      <c r="F41" s="5">
        <v>780.484</v>
      </c>
      <c r="G41" s="5">
        <v>521.242</v>
      </c>
      <c r="H41" s="5">
        <v>1478.96</v>
      </c>
      <c r="I41" s="5">
        <v>1145.191</v>
      </c>
      <c r="J41" s="5">
        <v>1576.376</v>
      </c>
      <c r="K41" s="5">
        <v>1828.24</v>
      </c>
      <c r="L41" s="5">
        <v>1890.927</v>
      </c>
      <c r="M41" s="5">
        <v>2005.869</v>
      </c>
      <c r="N41" s="5">
        <v>1999.211</v>
      </c>
      <c r="O41" s="4">
        <f>SUM(C41:N41)</f>
      </c>
    </row>
    <row r="42" outlineLevel="1">
      <c r="B42" s="0" t="inlineStr">
        <is>
          <t xml:space="preserve">Shipbuilder-procured LLTM (CFE)</t>
        </is>
      </c>
      <c r="C42" s="5"/>
      <c r="D42" s="5"/>
      <c r="E42" s="5"/>
      <c r="F42" s="5"/>
      <c r="G42" s="5"/>
      <c r="H42" s="5"/>
      <c r="I42" s="5"/>
      <c r="J42" s="5"/>
      <c r="K42" s="5"/>
      <c r="L42" s="5"/>
      <c r="M42" s="5"/>
      <c r="N42" s="5"/>
      <c r="O42" s="4">
        <f>SUM(C42:N42)</f>
      </c>
    </row>
    <row r="43">
      <c r="B43" s="3" t="inlineStr">
        <is>
          <t xml:space="preserve">Class total</t>
        </is>
      </c>
      <c r="C43" s="13">
        <f>SUM(C33:C42)</f>
      </c>
      <c r="D43" s="13">
        <f>SUM(D33:D42)</f>
      </c>
      <c r="E43" s="13">
        <f>SUM(E33:E42)</f>
      </c>
      <c r="F43" s="13">
        <f>SUM(F33:F42)</f>
      </c>
      <c r="G43" s="13">
        <f>SUM(G33:G42)</f>
      </c>
      <c r="H43" s="13">
        <f>SUM(H33:H42)</f>
      </c>
      <c r="I43" s="13">
        <f>SUM(I33:I42)</f>
      </c>
      <c r="J43" s="13">
        <f>SUM(J33:J42)</f>
      </c>
      <c r="K43" s="13">
        <f>SUM(K33:K42)</f>
      </c>
      <c r="L43" s="13">
        <f>SUM(L33:L42)</f>
      </c>
      <c r="M43" s="13">
        <f>SUM(M33:M42)</f>
      </c>
      <c r="N43" s="13">
        <f>SUM(N33:N42)</f>
      </c>
      <c r="O43" s="13">
        <f>SUM(O33:O42)</f>
      </c>
    </row>
    <row r="46">
      <c r="A46" s="0" t="inlineStr">
        <is>
          <t xml:space="preserve">x</t>
        </is>
      </c>
      <c r="B46" s="9" t="inlineStr">
        <is>
          <t xml:space="preserve">§4 - P-10 bucket -&gt; TAM treatment (AP/LLTM base = 0)</t>
        </is>
      </c>
      <c r="C46" s="9"/>
      <c r="D46" s="9"/>
      <c r="E46" s="9"/>
      <c r="F46" s="9"/>
      <c r="G46" s="9"/>
      <c r="H46" s="9"/>
      <c r="I46" s="9"/>
      <c r="J46" s="9"/>
      <c r="K46" s="9"/>
      <c r="L46" s="9"/>
      <c r="M46" s="9"/>
      <c r="N46" s="9"/>
      <c r="O46" s="9"/>
    </row>
    <row r="48">
      <c r="B48" s="2" t="inlineStr">
        <is>
          <t xml:space="preserve">P-10 bucket</t>
        </is>
      </c>
      <c r="C48" s="2" t="inlineStr">
        <is>
          <t xml:space="preserve">TAM treatment</t>
        </is>
      </c>
      <c r="D48" s="2" t="inlineStr">
        <is>
          <t xml:space="preserve">Rationale</t>
        </is>
      </c>
    </row>
    <row r="49" outlineLevel="1">
      <c r="B49" s="0" t="inlineStr">
        <is>
          <t xml:space="preserve">Nuclear plant LLTM</t>
        </is>
      </c>
      <c r="C49" s="1" t="inlineStr">
        <is>
          <t xml:space="preserve">EXCL GFE</t>
        </is>
      </c>
      <c r="D49" s="0" t="inlineStr">
        <is>
          <t xml:space="preserve">BPMI naval reactor - GFE</t>
        </is>
      </c>
    </row>
    <row r="50" outlineLevel="1">
      <c r="B50" s="0" t="inlineStr">
        <is>
          <t xml:space="preserve">Electronics LLTM</t>
        </is>
      </c>
      <c r="C50" s="1" t="inlineStr">
        <is>
          <t xml:space="preserve">EXCL GFE</t>
        </is>
      </c>
      <c r="D50" s="0" t="inlineStr">
        <is>
          <t xml:space="preserve">combat-system electronics - Navy-furnished</t>
        </is>
      </c>
    </row>
    <row r="51" outlineLevel="1">
      <c r="B51" s="0" t="inlineStr">
        <is>
          <t xml:space="preserve">Ordnance LLTM</t>
        </is>
      </c>
      <c r="C51" s="1" t="inlineStr">
        <is>
          <t xml:space="preserve">EXCL wpn</t>
        </is>
      </c>
      <c r="D51" s="0" t="inlineStr">
        <is>
          <t xml:space="preserve">WPN/OPN ordnance, not SCN</t>
        </is>
      </c>
    </row>
    <row r="52" outlineLevel="1">
      <c r="B52" s="0" t="inlineStr">
        <is>
          <t xml:space="preserve">Missile compartment LLTM</t>
        </is>
      </c>
      <c r="C52" s="1" t="inlineStr">
        <is>
          <t xml:space="preserve">EXCL GFE</t>
        </is>
      </c>
      <c r="D52" s="0" t="inlineStr">
        <is>
          <t xml:space="preserve">CMC / tubes - GFE / industrial base</t>
        </is>
      </c>
    </row>
    <row r="53" outlineLevel="1">
      <c r="B53" s="0" t="inlineStr">
        <is>
          <t xml:space="preserve">Plans / SIB</t>
        </is>
      </c>
      <c r="C53" s="1" t="inlineStr">
        <is>
          <t xml:space="preserve">EXCL des</t>
        </is>
      </c>
      <c r="D53" s="0" t="inlineStr">
        <is>
          <t xml:space="preserve">lead-yard design - Plan Costs</t>
        </is>
      </c>
    </row>
    <row r="54" outlineLevel="1">
      <c r="B54" s="0" t="inlineStr">
        <is>
          <t xml:space="preserve">Shipbuilder-procured (+CFE)</t>
        </is>
      </c>
      <c r="C54" s="1" t="inlineStr">
        <is>
          <t xml:space="preserve">IN BC</t>
        </is>
      </c>
      <c r="D54" s="0" t="inlineStr">
        <is>
          <t xml:space="preserve">direct material inside BC</t>
        </is>
      </c>
    </row>
    <row r="55" outlineLevel="1">
      <c r="B55" s="0" t="inlineStr">
        <is>
          <t xml:space="preserve">EOQ</t>
        </is>
      </c>
      <c r="C55" s="1" t="inlineStr">
        <is>
          <t xml:space="preserve">IN BC</t>
        </is>
      </c>
      <c r="D55" s="0" t="inlineStr">
        <is>
          <t xml:space="preserve">economic-order-quantity - inside BC</t>
        </is>
      </c>
    </row>
    <row r="56" outlineLevel="1">
      <c r="B56" s="0" t="inlineStr">
        <is>
          <t xml:space="preserve">HM&amp;E / Propulsor LLTM</t>
        </is>
      </c>
      <c r="C56" s="1" t="inlineStr">
        <is>
          <t xml:space="preserve">IN BC</t>
        </is>
      </c>
      <c r="D56" s="0" t="inlineStr">
        <is>
          <t xml:space="preserve">HM&amp;E / propulsor material inside BC</t>
        </is>
      </c>
    </row>
    <row r="59">
      <c r="A59" s="0" t="inlineStr">
        <is>
          <t xml:space="preserve">x</t>
        </is>
      </c>
      <c r="B59" s="9" t="inlineStr">
        <is>
          <t xml:space="preserve">§5 - P-10 -&gt; TAM reconciliation bridge ($M, FY22-27)</t>
        </is>
      </c>
      <c r="C59" s="9"/>
      <c r="D59" s="9"/>
      <c r="E59" s="9"/>
      <c r="F59" s="9"/>
      <c r="G59" s="9"/>
      <c r="H59" s="9"/>
      <c r="I59" s="9"/>
      <c r="J59" s="9"/>
      <c r="K59" s="9"/>
      <c r="L59" s="9"/>
      <c r="M59" s="9"/>
      <c r="N59" s="9"/>
      <c r="O59" s="9"/>
    </row>
    <row r="61">
      <c r="B61" s="2" t="inlineStr">
        <is>
          <t xml:space="preserve">Step</t>
        </is>
      </c>
      <c r="C61" s="22" t="inlineStr">
        <is>
          <t xml:space="preserve">$M</t>
        </is>
      </c>
      <c r="D61" s="2" t="inlineStr">
        <is>
          <t xml:space="preserve">Rationale</t>
        </is>
      </c>
    </row>
    <row r="62" outlineLevel="1">
      <c r="B62" s="1" t="inlineStr">
        <is>
          <t xml:space="preserve">P-10 gross AP top-line (FY22-27)</t>
        </is>
      </c>
      <c r="C62" s="4">
        <f>N('Sub Assumptions'!C38)+N('Sub Assumptions'!D38)+N('Sub Assumptions'!E38)+N('Sub Assumptions'!F38)+N('Sub Assumptions'!G38)+N('Sub Assumptions'!H38)+N('Sub Assumptions'!C39)+N('Sub Assumptions'!D39)+N('Sub Assumptions'!E39)+N('Sub Assumptions'!F39)+N('Sub Assumptions'!G39)+N('Sub Assumptions'!H39)</f>
      </c>
      <c r="D62" s="0" t="inlineStr">
        <is>
          <t xml:space="preserve">authoritative AP total, Va+Col</t>
        </is>
      </c>
    </row>
    <row r="63" outlineLevel="1">
      <c r="B63" s="20" t="inlineStr">
        <is>
          <t xml:space="preserve">less GFE / design / weapons</t>
        </is>
      </c>
      <c r="C63" s="4">
        <f>-(SUM(E19:J19)+SUM(E35:J35)+SUM(E21:J21)+SUM(E37:J37)+SUM(E23:J23)+SUM(E39:J39)+SUM(E24:J24)+SUM(E40:J40)+SUM(E17:J17)+SUM(E33:J33))</f>
      </c>
      <c r="D63" s="0" t="inlineStr">
        <is>
          <t xml:space="preserve">nuclear+electronics+ordnance+missile+Plans</t>
        </is>
      </c>
    </row>
    <row r="64" outlineLevel="1">
      <c r="B64" s="20" t="inlineStr">
        <is>
          <t xml:space="preserve">less already inside P-5c BC</t>
        </is>
      </c>
      <c r="C64" s="4">
        <f>-(SUM(E20:J20)+SUM(E36:J36)+SUM(E22:J22)+SUM(E38:J38)+SUM(E25:J25)+SUM(E41:J41)+SUM(E26:J26)+SUM(E42:J42)+SUM(E18:J18)+SUM(E34:J34))</f>
      </c>
      <c r="D64" s="0" t="inlineStr">
        <is>
          <t xml:space="preserve">shipbuilder+CFE+EOQ+HM&amp;E+propulsor</t>
        </is>
      </c>
    </row>
    <row r="65" outlineLevel="1">
      <c r="B65" s="20" t="inlineStr">
        <is>
          <t xml:space="preserve">less un-itemized overlap</t>
        </is>
      </c>
      <c r="C65" s="4">
        <f>-(C62+C63+C64)</f>
      </c>
      <c r="D65" s="0" t="inlineStr">
        <is>
          <t xml:space="preserve">early-Va top-line over named detail</t>
        </is>
      </c>
    </row>
    <row r="66">
      <c r="B66" s="3" t="inlineStr">
        <is>
          <t xml:space="preserve">= AP/LLTM additive base = 0</t>
        </is>
      </c>
      <c r="C66" s="13">
        <f>C62+C63+C64+C65</f>
      </c>
      <c r="D66" s="16" t="inlineStr">
        <is>
          <t xml:space="preserve">confirmed $0</t>
        </is>
      </c>
    </row>
    <row r="69">
      <c r="A69" s="0" t="inlineStr">
        <is>
          <t xml:space="preserve">x</t>
        </is>
      </c>
      <c r="B69" s="9" t="inlineStr">
        <is>
          <t xml:space="preserve">§6 - Reconciliation checks</t>
        </is>
      </c>
      <c r="C69" s="9"/>
      <c r="D69" s="9"/>
      <c r="E69" s="9"/>
      <c r="F69" s="9"/>
      <c r="G69" s="9"/>
      <c r="H69" s="9"/>
      <c r="I69" s="9"/>
      <c r="J69" s="9"/>
      <c r="K69" s="9"/>
      <c r="L69" s="9"/>
      <c r="M69" s="9"/>
      <c r="N69" s="9"/>
      <c r="O69" s="9"/>
    </row>
    <row r="71">
      <c r="B71" s="2" t="inlineStr">
        <is>
          <t xml:space="preserve">Check</t>
        </is>
      </c>
      <c r="C71" s="2" t="inlineStr">
        <is>
          <t xml:space="preserve">Status</t>
        </is>
      </c>
    </row>
    <row r="72" outlineLevel="1">
      <c r="B72" s="0" t="inlineStr">
        <is>
          <t xml:space="preserve">Bridge nets to the additive base</t>
        </is>
      </c>
      <c r="C72" s="0">
        <f>IF(ABS('Sub AP Bridge'!C66-('Sub AP Bridge'!C62+'Sub AP Bridge'!C63+'Sub AP Bridge'!C64+'Sub AP Bridge'!C65))&lt;0.5,"OK","FAIL")</f>
      </c>
    </row>
    <row r="73" outlineLevel="1">
      <c r="B73" s="0" t="inlineStr">
        <is>
          <t xml:space="preserve">AP/LLTM additive base = 0</t>
        </is>
      </c>
      <c r="C73" s="0">
        <f>IF(ABS('Sub AP Bridge'!C66)&lt;0.5,"OK","FAIL")</f>
      </c>
    </row>
  </sheetData>
</worksheet>
</file>

<file path=xl/worksheets/sheet21.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2" customWidth="1"/>
    <col min="4" max="4" width="12" customWidth="1"/>
    <col min="5" max="5" width="12" customWidth="1"/>
    <col min="6" max="6" width="12" customWidth="1"/>
    <col min="7" max="7" width="12" customWidth="1"/>
    <col min="8" max="8" width="12" customWidth="1"/>
    <col min="9" max="9" width="12" customWidth="1"/>
  </cols>
  <sheetData>
    <row r="1"/>
    <row r="2">
      <c r="B2" s="8" t="inlineStr">
        <is>
          <t xml:space="preserve">Sub FYDP Outyears</t>
        </is>
      </c>
      <c r="C2" s="8"/>
      <c r="D2" s="8"/>
      <c r="E2" s="8"/>
      <c r="F2" s="8"/>
      <c r="G2" s="8"/>
      <c r="H2" s="8"/>
      <c r="I2" s="8"/>
    </row>
    <row r="4">
      <c r="A4" s="0" t="inlineStr">
        <is>
          <t xml:space="preserve">x</t>
        </is>
      </c>
      <c r="B4" s="9" t="inlineStr">
        <is>
          <t xml:space="preserve">§1 - Source exhibit (P-40 Resource Summary, PB2027)</t>
        </is>
      </c>
      <c r="C4" s="9"/>
      <c r="D4" s="9"/>
      <c r="E4" s="9"/>
      <c r="F4" s="9"/>
      <c r="G4" s="9"/>
      <c r="H4" s="9"/>
      <c r="I4" s="9"/>
    </row>
    <row r="6">
      <c r="B6" s="2" t="inlineStr">
        <is>
          <t xml:space="preserve">Field</t>
        </is>
      </c>
      <c r="C6" s="2" t="inlineStr">
        <is>
          <t xml:space="preserve">Value</t>
        </is>
      </c>
    </row>
    <row r="7" outlineLevel="1">
      <c r="B7" s="0" t="inlineStr">
        <is>
          <t xml:space="preserve">Exhibit</t>
        </is>
      </c>
      <c r="C7" s="0" t="inlineStr">
        <is>
          <t xml:space="preserve">PB 2027 Navy, Exhibit P-40 (1611N Shipbuilding and Conversion, Navy)</t>
        </is>
      </c>
    </row>
    <row r="8" outlineLevel="1">
      <c r="B8" s="0" t="inlineStr">
        <is>
          <t xml:space="preserve">Programs</t>
        </is>
      </c>
      <c r="C8" s="0" t="inlineStr">
        <is>
          <t xml:space="preserve">Virginia class (LI 2013) and Columbia class (LI 1045)</t>
        </is>
      </c>
    </row>
    <row r="9" outlineLevel="1">
      <c r="B9" s="0" t="inlineStr">
        <is>
          <t xml:space="preserve">Vintage</t>
        </is>
      </c>
      <c r="C9" s="0" t="inlineStr">
        <is>
          <t xml:space="preserve">PB2027 (April 2026); FY2028-FY2031 are the budget request, not appropriation</t>
        </is>
      </c>
    </row>
    <row r="10" outlineLevel="1">
      <c r="B10" s="0" t="inlineStr">
        <is>
          <t xml:space="preserve">Columns</t>
        </is>
      </c>
      <c r="C10" s="0" t="inlineStr">
        <is>
          <t xml:space="preserve">FY2027 = FY 2027 Total (Base + OOC); FY2028-FY2031 = FYDP outyears</t>
        </is>
      </c>
    </row>
    <row r="11" outlineLevel="1">
      <c r="B11" s="0" t="inlineStr">
        <is>
          <t xml:space="preserve">Refresh</t>
        </is>
      </c>
      <c r="C11" s="0" t="inlineStr">
        <is>
          <t xml:space="preserve">At PB2028: re-tie FY2027 gross to SCN Budget and re-base the outyears</t>
        </is>
      </c>
    </row>
    <row r="13">
      <c r="A13" s="0" t="inlineStr">
        <is>
          <t xml:space="preserve">x</t>
        </is>
      </c>
      <c r="B13" s="10" t="inlineStr">
        <is>
          <t xml:space="preserve">§1a - Virginia (LI 2013), then-year $M</t>
        </is>
      </c>
      <c r="C13" s="10"/>
      <c r="D13" s="10"/>
      <c r="E13" s="10"/>
      <c r="F13" s="10"/>
      <c r="G13" s="10"/>
      <c r="H13" s="10"/>
      <c r="I13" s="10"/>
    </row>
    <row r="15">
      <c r="B15" s="2" t="inlineStr">
        <is>
          <t xml:space="preserve">Metric</t>
        </is>
      </c>
      <c r="C15" s="22">
        <v>2025</v>
      </c>
      <c r="D15" s="22">
        <v>2026</v>
      </c>
      <c r="E15" s="22">
        <v>2027</v>
      </c>
      <c r="F15" s="22">
        <v>2028</v>
      </c>
      <c r="G15" s="22">
        <v>2029</v>
      </c>
      <c r="H15" s="22">
        <v>2030</v>
      </c>
      <c r="I15" s="22">
        <v>2031</v>
      </c>
    </row>
    <row r="16" outlineLevel="1">
      <c r="B16" s="1" t="inlineStr">
        <is>
          <t xml:space="preserve">Gross / Weapon System Cost, then-year $M</t>
        </is>
      </c>
      <c r="C16" s="5">
        <v>9500.534</v>
      </c>
      <c r="D16" s="5">
        <v>5389.109</v>
      </c>
      <c r="E16" s="5">
        <v>11437.036</v>
      </c>
      <c r="F16" s="5">
        <v>11284.824</v>
      </c>
      <c r="G16" s="5">
        <v>11098.426</v>
      </c>
      <c r="H16" s="5">
        <v>10196.613</v>
      </c>
      <c r="I16" s="5">
        <v>10594.23</v>
      </c>
    </row>
    <row r="17" outlineLevel="1">
      <c r="B17" s="0" t="inlineStr">
        <is>
          <t xml:space="preserve">Procurement quantity (ships)</t>
        </is>
      </c>
      <c r="C17" s="5">
        <v>1.0</v>
      </c>
      <c r="D17" s="5">
        <v>1.0</v>
      </c>
      <c r="E17" s="5">
        <v>2.0</v>
      </c>
      <c r="F17" s="5">
        <v>2.0</v>
      </c>
      <c r="G17" s="5">
        <v>2.0</v>
      </c>
      <c r="H17" s="5">
        <v>2.0</v>
      </c>
      <c r="I17" s="5">
        <v>2.0</v>
      </c>
    </row>
    <row r="18" outlineLevel="1">
      <c r="B18" s="0" t="inlineStr">
        <is>
          <t xml:space="preserve">Net Procurement (P-1), then-year $M (memo)</t>
        </is>
      </c>
      <c r="C18" s="5">
        <v>7356.904</v>
      </c>
      <c r="D18" s="5">
        <v>2740.305</v>
      </c>
      <c r="E18" s="5">
        <v>8402.316</v>
      </c>
      <c r="F18" s="5">
        <v>8149.065</v>
      </c>
      <c r="G18" s="5">
        <v>7876.466</v>
      </c>
      <c r="H18" s="5">
        <v>7283.37</v>
      </c>
      <c r="I18" s="5">
        <v>7423.079</v>
      </c>
    </row>
    <row r="19" outlineLevel="1">
      <c r="B19" s="0" t="inlineStr">
        <is>
          <t xml:space="preserve">Total Obligation Authority, then-year $M (memo)</t>
        </is>
      </c>
      <c r="C19" s="5">
        <v>13320.211</v>
      </c>
      <c r="D19" s="5">
        <v>6377.536</v>
      </c>
      <c r="E19" s="5">
        <v>13151.309</v>
      </c>
      <c r="F19" s="5">
        <v>13011.118</v>
      </c>
      <c r="G19" s="5">
        <v>14686.814</v>
      </c>
      <c r="H19" s="5">
        <v>12268.711</v>
      </c>
      <c r="I19" s="5">
        <v>12016.801</v>
      </c>
    </row>
    <row r="21">
      <c r="A21" s="0" t="inlineStr">
        <is>
          <t xml:space="preserve">x</t>
        </is>
      </c>
      <c r="B21" s="10" t="inlineStr">
        <is>
          <t xml:space="preserve">§1b - Columbia (LI 1045), then-year $M</t>
        </is>
      </c>
      <c r="C21" s="10"/>
      <c r="D21" s="10"/>
      <c r="E21" s="10"/>
      <c r="F21" s="10"/>
      <c r="G21" s="10"/>
      <c r="H21" s="10"/>
      <c r="I21" s="10"/>
    </row>
    <row r="23">
      <c r="B23" s="2" t="inlineStr">
        <is>
          <t xml:space="preserve">Metric</t>
        </is>
      </c>
      <c r="C23" s="22">
        <v>2025</v>
      </c>
      <c r="D23" s="22">
        <v>2026</v>
      </c>
      <c r="E23" s="22">
        <v>2027</v>
      </c>
      <c r="F23" s="22">
        <v>2028</v>
      </c>
      <c r="G23" s="22">
        <v>2029</v>
      </c>
      <c r="H23" s="22">
        <v>2030</v>
      </c>
      <c r="I23" s="22">
        <v>2031</v>
      </c>
    </row>
    <row r="24" outlineLevel="1">
      <c r="B24" s="1" t="inlineStr">
        <is>
          <t xml:space="preserve">Gross / Weapon System Cost, then-year $M</t>
        </is>
      </c>
      <c r="C24" s="5">
        <v>0.0</v>
      </c>
      <c r="D24" s="5">
        <v>10744.317</v>
      </c>
      <c r="E24" s="5">
        <v>10486.369</v>
      </c>
      <c r="F24" s="5">
        <v>10137.078</v>
      </c>
      <c r="G24" s="5">
        <v>10360.998</v>
      </c>
      <c r="H24" s="5">
        <v>10441.001</v>
      </c>
      <c r="I24" s="5">
        <v>10693.082</v>
      </c>
    </row>
    <row r="25" outlineLevel="1">
      <c r="B25" s="0" t="inlineStr">
        <is>
          <t xml:space="preserve">Procurement quantity (ships)</t>
        </is>
      </c>
      <c r="C25" s="5"/>
      <c r="D25" s="5">
        <v>1.0</v>
      </c>
      <c r="E25" s="5">
        <v>1.0</v>
      </c>
      <c r="F25" s="5">
        <v>1.0</v>
      </c>
      <c r="G25" s="5">
        <v>1.0</v>
      </c>
      <c r="H25" s="5">
        <v>1.0</v>
      </c>
      <c r="I25" s="5">
        <v>1.0</v>
      </c>
    </row>
    <row r="26" outlineLevel="1">
      <c r="B26" s="0" t="inlineStr">
        <is>
          <t xml:space="preserve">Net Procurement (P-1), then-year $M (memo)</t>
        </is>
      </c>
      <c r="C26" s="5">
        <v>0.0</v>
      </c>
      <c r="D26" s="5">
        <v>3928.828</v>
      </c>
      <c r="E26" s="5">
        <v>6904.785</v>
      </c>
      <c r="F26" s="5">
        <v>6379.022</v>
      </c>
      <c r="G26" s="5">
        <v>6057.819</v>
      </c>
      <c r="H26" s="5">
        <v>6011.645</v>
      </c>
      <c r="I26" s="5">
        <v>6303.401</v>
      </c>
    </row>
    <row r="27" outlineLevel="1">
      <c r="B27" s="0" t="inlineStr">
        <is>
          <t xml:space="preserve">Total Obligation Authority, then-year $M (memo)</t>
        </is>
      </c>
      <c r="C27" s="5">
        <v>9580.774</v>
      </c>
      <c r="D27" s="5">
        <v>9279.594</v>
      </c>
      <c r="E27" s="5">
        <v>15583.102</v>
      </c>
      <c r="F27" s="5">
        <v>12834.863</v>
      </c>
      <c r="G27" s="5">
        <v>11351.481</v>
      </c>
      <c r="H27" s="5">
        <v>12359.708</v>
      </c>
      <c r="I27" s="5">
        <v>12020.144</v>
      </c>
    </row>
    <row r="30">
      <c r="A30" s="0" t="inlineStr">
        <is>
          <t xml:space="preserve">x</t>
        </is>
      </c>
      <c r="B30" s="9" t="inlineStr">
        <is>
          <t xml:space="preserve">§2 - Constant FY2026 $M (then-year x deflator)</t>
        </is>
      </c>
      <c r="C30" s="9"/>
      <c r="D30" s="9"/>
      <c r="E30" s="9"/>
      <c r="F30" s="9"/>
      <c r="G30" s="9"/>
      <c r="H30" s="9"/>
      <c r="I30" s="9"/>
    </row>
    <row r="32">
      <c r="B32" s="2" t="inlineStr">
        <is>
          <t xml:space="preserve">Class</t>
        </is>
      </c>
      <c r="C32" s="22">
        <v>2025</v>
      </c>
      <c r="D32" s="22">
        <v>2026</v>
      </c>
      <c r="E32" s="22">
        <v>2027</v>
      </c>
      <c r="F32" s="22">
        <v>2028</v>
      </c>
      <c r="G32" s="22">
        <v>2029</v>
      </c>
      <c r="H32" s="22">
        <v>2030</v>
      </c>
      <c r="I32" s="22">
        <v>2031</v>
      </c>
    </row>
    <row r="33" outlineLevel="1">
      <c r="B33" s="1" t="inlineStr">
        <is>
          <t xml:space="preserve">Virginia (LI 2013)</t>
        </is>
      </c>
      <c r="C33" s="11">
        <f>C16*'Deflators'!D10</f>
      </c>
      <c r="D33" s="11">
        <f>D16*'Deflators'!D11</f>
      </c>
      <c r="E33" s="11">
        <f>E16*'Deflators'!D12</f>
      </c>
      <c r="F33" s="11">
        <f>F16*'Deflators'!D13</f>
      </c>
      <c r="G33" s="11">
        <f>G16*'Deflators'!D14</f>
      </c>
      <c r="H33" s="11">
        <f>H16*'Deflators'!D15</f>
      </c>
      <c r="I33" s="11">
        <f>I16*'Deflators'!D16</f>
      </c>
    </row>
    <row r="34" outlineLevel="1">
      <c r="B34" s="1" t="inlineStr">
        <is>
          <t xml:space="preserve">Columbia (LI 1045)</t>
        </is>
      </c>
      <c r="C34" s="11">
        <f>C24*'Deflators'!D10</f>
      </c>
      <c r="D34" s="11">
        <f>D24*'Deflators'!D11</f>
      </c>
      <c r="E34" s="11">
        <f>E24*'Deflators'!D12</f>
      </c>
      <c r="F34" s="11">
        <f>F24*'Deflators'!D13</f>
      </c>
      <c r="G34" s="11">
        <f>G24*'Deflators'!D14</f>
      </c>
      <c r="H34" s="11">
        <f>H24*'Deflators'!D15</f>
      </c>
      <c r="I34" s="11">
        <f>I24*'Deflators'!D16</f>
      </c>
    </row>
    <row r="35">
      <c r="B35" s="3" t="inlineStr">
        <is>
          <t xml:space="preserve">Portfolio (Va + Col), constant FY2026 $M</t>
        </is>
      </c>
      <c r="C35" s="13">
        <f>N(C33)+N(C34)</f>
      </c>
      <c r="D35" s="13">
        <f>N(D33)+N(D34)</f>
      </c>
      <c r="E35" s="13">
        <f>N(E33)+N(E34)</f>
      </c>
      <c r="F35" s="13">
        <f>N(F33)+N(F34)</f>
      </c>
      <c r="G35" s="13">
        <f>N(G33)+N(G34)</f>
      </c>
      <c r="H35" s="13">
        <f>N(H33)+N(H34)</f>
      </c>
      <c r="I35" s="13">
        <f>N(I33)+N(I34)</f>
      </c>
    </row>
  </sheetData>
</worksheet>
</file>

<file path=xl/worksheets/sheet22.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22" customWidth="1"/>
    <col min="3" max="3" width="18" customWidth="1"/>
    <col min="4" max="4" width="18" customWidth="1"/>
    <col min="5" max="5" width="20" customWidth="1"/>
    <col min="6" max="6" width="18" customWidth="1"/>
    <col min="7" max="7" width="10" customWidth="1"/>
    <col min="8" max="8" width="7" customWidth="1"/>
    <col min="9" max="9" width="9" customWidth="1"/>
    <col min="10" max="10" width="11" customWidth="1"/>
    <col min="11" max="11" width="11" customWidth="1"/>
    <col min="12" max="12" width="9" customWidth="1"/>
    <col min="13" max="13" width="9" customWidth="1"/>
    <col min="14" max="14" width="11" customWidth="1"/>
    <col min="15" max="15" width="11" customWidth="1"/>
  </cols>
  <sheetData>
    <row r="1"/>
    <row r="2">
      <c r="B2" s="8" t="inlineStr">
        <is>
          <t xml:space="preserve">POP Corpus</t>
        </is>
      </c>
      <c r="C2" s="8"/>
      <c r="D2" s="8"/>
      <c r="E2" s="8"/>
      <c r="F2" s="8"/>
      <c r="G2" s="8"/>
      <c r="H2" s="8"/>
      <c r="I2" s="8"/>
      <c r="J2" s="8"/>
      <c r="K2" s="8"/>
      <c r="L2" s="8"/>
      <c r="M2" s="8"/>
      <c r="N2" s="8"/>
      <c r="O2" s="8"/>
    </row>
    <row r="4">
      <c r="B4" s="9" t="inlineStr">
        <is>
          <t xml:space="preserve">§1 - Gated POP corpus</t>
        </is>
      </c>
      <c r="C4" s="9"/>
      <c r="D4" s="9"/>
      <c r="E4" s="9"/>
      <c r="F4" s="9"/>
      <c r="G4" s="9"/>
      <c r="H4" s="9"/>
      <c r="I4" s="9"/>
      <c r="J4" s="9"/>
      <c r="K4" s="9"/>
      <c r="L4" s="9"/>
      <c r="M4" s="9"/>
      <c r="N4" s="9"/>
      <c r="O4" s="9"/>
    </row>
    <row r="6">
      <c r="B6" s="2" t="inlineStr">
        <is>
          <t xml:space="preserve">Measure</t>
        </is>
      </c>
      <c r="C6" s="22" t="inlineStr">
        <is>
          <t xml:space="preserve">Value</t>
        </is>
      </c>
    </row>
    <row r="7">
      <c r="B7" s="0" t="inlineStr">
        <is>
          <t xml:space="preserve">Rows in corpus</t>
        </is>
      </c>
      <c r="C7" s="4">
        <v>658</v>
      </c>
    </row>
    <row r="8">
      <c r="B8" s="0" t="inlineStr">
        <is>
          <t xml:space="preserve">Gated TAM actions</t>
        </is>
      </c>
      <c r="C8" s="4">
        <f>SUMPRODUCT('Sub POP Corpus'!H17:H674)</f>
      </c>
    </row>
    <row r="9">
      <c r="B9" s="1" t="inlineStr">
        <is>
          <t xml:space="preserve">Gated TAM corpus $M</t>
        </is>
      </c>
      <c r="C9" s="4">
        <f>SUMPRODUCT('Sub POP Corpus'!H17:H674*'Sub POP Corpus'!K17:K674)</f>
      </c>
    </row>
    <row r="10">
      <c r="B10" s="0" t="inlineStr">
        <is>
          <t xml:space="preserve">In-scope non-GFE $M</t>
        </is>
      </c>
      <c r="C10" s="4">
        <f>SUMPRODUCT('Sub POP Corpus'!H17:H674*(1-'Sub POP Corpus'!I17:I674)*'Sub POP Corpus'!K17:K674)</f>
      </c>
    </row>
    <row r="11">
      <c r="B11" s="0" t="inlineStr">
        <is>
          <t xml:space="preserve">Confirmed in-scope $M</t>
        </is>
      </c>
      <c r="C11" s="4">
        <f>SUMPRODUCT('Sub POP Corpus'!H17:H674*(1-'Sub POP Corpus'!I17:I674)*'Sub POP Corpus'!J17:J674*'Sub POP Corpus'!K17:K674)</f>
      </c>
    </row>
    <row r="14">
      <c r="A14" s="0" t="inlineStr">
        <is>
          <t xml:space="preserve">x</t>
        </is>
      </c>
      <c r="B14" s="9" t="inlineStr">
        <is>
          <t xml:space="preserve">§2 - POP corpus (658-row place-of-performance gate)</t>
        </is>
      </c>
      <c r="C14" s="9"/>
      <c r="D14" s="9"/>
      <c r="E14" s="9"/>
      <c r="F14" s="9"/>
      <c r="G14" s="9"/>
      <c r="H14" s="9"/>
      <c r="I14" s="9"/>
      <c r="J14" s="9"/>
      <c r="K14" s="9"/>
      <c r="L14" s="9"/>
      <c r="M14" s="9"/>
      <c r="N14" s="9"/>
      <c r="O14" s="9"/>
    </row>
    <row r="16">
      <c r="B16" s="2" t="inlineStr">
        <is>
          <t xml:space="preserve">Date</t>
        </is>
      </c>
      <c r="C16" s="2" t="inlineStr">
        <is>
          <t xml:space="preserve">PIID</t>
        </is>
      </c>
      <c r="D16" s="2" t="inlineStr">
        <is>
          <t xml:space="preserve">Program</t>
        </is>
      </c>
      <c r="E16" s="2" t="inlineStr">
        <is>
          <t xml:space="preserve">Work Type</t>
        </is>
      </c>
      <c r="F16" s="2" t="inlineStr">
        <is>
          <t xml:space="preserve">Scope Class</t>
        </is>
      </c>
      <c r="G16" s="2" t="inlineStr">
        <is>
          <t xml:space="preserve">Stream</t>
        </is>
      </c>
      <c r="H16" s="22" t="inlineStr">
        <is>
          <t xml:space="preserve">Gate</t>
        </is>
      </c>
      <c r="I16" s="22" t="inlineStr">
        <is>
          <t xml:space="preserve">GFE/Excl</t>
        </is>
      </c>
      <c r="J16" s="22" t="inlineStr">
        <is>
          <t xml:space="preserve">Confirmed</t>
        </is>
      </c>
      <c r="K16" s="22" t="inlineStr">
        <is>
          <t xml:space="preserve">$M</t>
        </is>
      </c>
      <c r="L16" s="22" t="inlineStr">
        <is>
          <t xml:space="preserve">EB %</t>
        </is>
      </c>
      <c r="M16" s="22" t="inlineStr">
        <is>
          <t xml:space="preserve">HII %</t>
        </is>
      </c>
      <c r="N16" s="22" t="inlineStr">
        <is>
          <t xml:space="preserve">Other US %</t>
        </is>
      </c>
      <c r="O16" s="22" t="inlineStr">
        <is>
          <t xml:space="preserve">Foreign %</t>
        </is>
      </c>
    </row>
    <row r="17" outlineLevel="1">
      <c r="B17" s="0" t="inlineStr">
        <is>
          <t xml:space="preserve">2026-03-18</t>
        </is>
      </c>
      <c r="C17" s="0" t="inlineStr">
        <is>
          <t xml:space="preserve">N00024-17-C-2117</t>
        </is>
      </c>
      <c r="D17" s="0" t="inlineStr">
        <is>
          <t xml:space="preserve">va_or_col</t>
        </is>
      </c>
      <c r="E17" s="0" t="inlineStr">
        <is>
          <t xml:space="preserve">lead_yard</t>
        </is>
      </c>
      <c r="F17" s="0" t="inlineStr">
        <is>
          <t xml:space="preserve">EXCLUDE_REVIEW</t>
        </is>
      </c>
      <c r="G17" s="0" t="inlineStr">
        <is>
          <t xml:space="preserve">BC</t>
        </is>
      </c>
      <c r="H17" s="5">
        <v>0</v>
      </c>
      <c r="I17" s="5">
        <v>0</v>
      </c>
      <c r="J17" s="5">
        <v>1</v>
      </c>
      <c r="K17" s="5">
        <v>15383.494792</v>
      </c>
      <c r="L17" s="7">
        <v>0.25</v>
      </c>
      <c r="M17" s="7">
        <v>0.06</v>
      </c>
      <c r="N17" s="7">
        <v>0.69</v>
      </c>
      <c r="O17" s="7">
        <v>0.0</v>
      </c>
    </row>
    <row r="18" outlineLevel="1">
      <c r="B18" s="0" t="inlineStr">
        <is>
          <t xml:space="preserve">2025-04-30</t>
        </is>
      </c>
      <c r="C18" s="0" t="inlineStr">
        <is>
          <t xml:space="preserve">-</t>
        </is>
      </c>
      <c r="D18" s="0" t="inlineStr">
        <is>
          <t xml:space="preserve">va</t>
        </is>
      </c>
      <c r="E18" s="0" t="inlineStr">
        <is>
          <t xml:space="preserve">lltm_early_mfg</t>
        </is>
      </c>
      <c r="F18" s="0" t="inlineStr">
        <is>
          <t xml:space="preserve">INCLUDE_AP_LLTM</t>
        </is>
      </c>
      <c r="G18" s="0" t="inlineStr">
        <is>
          <t xml:space="preserve">AP_LLTM</t>
        </is>
      </c>
      <c r="H18" s="5">
        <v>1</v>
      </c>
      <c r="I18" s="5">
        <v>0</v>
      </c>
      <c r="J18" s="5">
        <v>1</v>
      </c>
      <c r="K18" s="5">
        <v>12418.145463</v>
      </c>
      <c r="L18" s="7">
        <v>0.4</v>
      </c>
      <c r="M18" s="7">
        <v>0.32</v>
      </c>
      <c r="N18" s="7">
        <v>0.28</v>
      </c>
      <c r="O18" s="7">
        <v>0.0</v>
      </c>
    </row>
    <row r="19" outlineLevel="1">
      <c r="B19" s="0" t="inlineStr">
        <is>
          <t xml:space="preserve">2024-09-24</t>
        </is>
      </c>
      <c r="C19" s="0" t="inlineStr">
        <is>
          <t xml:space="preserve">N00024-24-C-2473</t>
        </is>
      </c>
      <c r="D19" s="0" t="inlineStr">
        <is>
          <t xml:space="preserve">non_sub</t>
        </is>
      </c>
      <c r="E19" s="0" t="inlineStr">
        <is>
          <t xml:space="preserve">other</t>
        </is>
      </c>
      <c r="F19" s="0" t="inlineStr">
        <is>
          <t xml:space="preserve">EXCLUDE_REVIEW</t>
        </is>
      </c>
      <c r="G19" s="0" t="inlineStr">
        <is>
          <t xml:space="preserve">BC</t>
        </is>
      </c>
      <c r="H19" s="5">
        <v>0</v>
      </c>
      <c r="I19" s="5">
        <v>0</v>
      </c>
      <c r="J19" s="5">
        <v>1</v>
      </c>
      <c r="K19" s="5">
        <v>5798.767376</v>
      </c>
      <c r="L19" s="7">
        <v>0.0</v>
      </c>
      <c r="M19" s="7">
        <v>0.0</v>
      </c>
      <c r="N19" s="7">
        <v>1.0</v>
      </c>
      <c r="O19" s="7">
        <v>0.0</v>
      </c>
    </row>
    <row r="20" outlineLevel="1">
      <c r="B20" s="0" t="inlineStr">
        <is>
          <t xml:space="preserve">2022-12-21</t>
        </is>
      </c>
      <c r="C20" s="0" t="inlineStr">
        <is>
          <t xml:space="preserve">-</t>
        </is>
      </c>
      <c r="D20" s="0" t="inlineStr">
        <is>
          <t xml:space="preserve">non_sub</t>
        </is>
      </c>
      <c r="E20" s="0" t="inlineStr">
        <is>
          <t xml:space="preserve">advance_procurement</t>
        </is>
      </c>
      <c r="F20" s="0" t="inlineStr">
        <is>
          <t xml:space="preserve">INCLUDE_AP_LLTM</t>
        </is>
      </c>
      <c r="G20" s="0" t="inlineStr">
        <is>
          <t xml:space="preserve">AP_LLTM</t>
        </is>
      </c>
      <c r="H20" s="5">
        <v>0</v>
      </c>
      <c r="I20" s="5">
        <v>0</v>
      </c>
      <c r="J20" s="5">
        <v>1</v>
      </c>
      <c r="K20" s="5">
        <v>5134.324189</v>
      </c>
      <c r="L20" s="7">
        <v>0.75</v>
      </c>
      <c r="M20" s="7">
        <v>0.25</v>
      </c>
      <c r="N20" s="7">
        <v>0.0</v>
      </c>
      <c r="O20" s="7">
        <v>0.0</v>
      </c>
    </row>
    <row r="21" outlineLevel="1">
      <c r="B21" s="0" t="inlineStr">
        <is>
          <t xml:space="preserve">2024-09-24</t>
        </is>
      </c>
      <c r="C21" s="0" t="inlineStr">
        <is>
          <t xml:space="preserve">N00024-24-C-2467</t>
        </is>
      </c>
      <c r="D21" s="0" t="inlineStr">
        <is>
          <t xml:space="preserve">non_sub</t>
        </is>
      </c>
      <c r="E21" s="0" t="inlineStr">
        <is>
          <t xml:space="preserve">lltm_early_mfg</t>
        </is>
      </c>
      <c r="F21" s="0" t="inlineStr">
        <is>
          <t xml:space="preserve">INCLUDE_AP_LLTM</t>
        </is>
      </c>
      <c r="G21" s="0" t="inlineStr">
        <is>
          <t xml:space="preserve">AP_LLTM</t>
        </is>
      </c>
      <c r="H21" s="5">
        <v>0</v>
      </c>
      <c r="I21" s="5">
        <v>0</v>
      </c>
      <c r="J21" s="5">
        <v>1</v>
      </c>
      <c r="K21" s="5">
        <v>3673.365244</v>
      </c>
      <c r="L21" s="7">
        <v>0.0</v>
      </c>
      <c r="M21" s="7">
        <v>0.0</v>
      </c>
      <c r="N21" s="7">
        <v>1.0</v>
      </c>
      <c r="O21" s="7">
        <v>0.0</v>
      </c>
    </row>
    <row r="22" outlineLevel="1">
      <c r="B22" s="0" t="inlineStr">
        <is>
          <t xml:space="preserve">2022-10-27</t>
        </is>
      </c>
      <c r="C22" s="0" t="inlineStr">
        <is>
          <t xml:space="preserve">-</t>
        </is>
      </c>
      <c r="D22" s="0" t="inlineStr">
        <is>
          <t xml:space="preserve">non_sub</t>
        </is>
      </c>
      <c r="E22" s="0" t="inlineStr">
        <is>
          <t xml:space="preserve">other</t>
        </is>
      </c>
      <c r="F22" s="0" t="inlineStr">
        <is>
          <t xml:space="preserve">EXCLUDE_REVIEW</t>
        </is>
      </c>
      <c r="G22" s="0" t="inlineStr">
        <is>
          <t xml:space="preserve">BC</t>
        </is>
      </c>
      <c r="H22" s="5">
        <v>0</v>
      </c>
      <c r="I22" s="5">
        <v>0</v>
      </c>
      <c r="J22" s="5">
        <v>1</v>
      </c>
      <c r="K22" s="5">
        <v>2414.0</v>
      </c>
      <c r="L22" s="7">
        <v>0.0</v>
      </c>
      <c r="M22" s="7">
        <v>0.0</v>
      </c>
      <c r="N22" s="7">
        <v>0.86</v>
      </c>
      <c r="O22" s="7">
        <v>0.0</v>
      </c>
    </row>
    <row r="23" outlineLevel="1">
      <c r="B23" s="0" t="inlineStr">
        <is>
          <t xml:space="preserve">2026-05-11</t>
        </is>
      </c>
      <c r="C23" s="0" t="inlineStr">
        <is>
          <t xml:space="preserve">N00024-24-C-2110</t>
        </is>
      </c>
      <c r="D23" s="0" t="inlineStr">
        <is>
          <t xml:space="preserve">va</t>
        </is>
      </c>
      <c r="E23" s="0" t="inlineStr">
        <is>
          <t xml:space="preserve">lltm_early_mfg</t>
        </is>
      </c>
      <c r="F23" s="0" t="inlineStr">
        <is>
          <t xml:space="preserve">INCLUDE_AP_LLTM</t>
        </is>
      </c>
      <c r="G23" s="0" t="inlineStr">
        <is>
          <t xml:space="preserve">AP_LLTM</t>
        </is>
      </c>
      <c r="H23" s="5">
        <v>1</v>
      </c>
      <c r="I23" s="5">
        <v>0</v>
      </c>
      <c r="J23" s="5">
        <v>1</v>
      </c>
      <c r="K23" s="5">
        <v>2305.53</v>
      </c>
      <c r="L23" s="7">
        <v>0.0</v>
      </c>
      <c r="M23" s="7">
        <v>0.02</v>
      </c>
      <c r="N23" s="7">
        <v>0.98</v>
      </c>
      <c r="O23" s="7">
        <v>0.0</v>
      </c>
    </row>
    <row r="24" outlineLevel="1">
      <c r="B24" s="0" t="inlineStr">
        <is>
          <t xml:space="preserve">2025-06-26</t>
        </is>
      </c>
      <c r="C24" s="0" t="inlineStr">
        <is>
          <t xml:space="preserve">N00024-24-C-2110</t>
        </is>
      </c>
      <c r="D24" s="0" t="inlineStr">
        <is>
          <t xml:space="preserve">va</t>
        </is>
      </c>
      <c r="E24" s="0" t="inlineStr">
        <is>
          <t xml:space="preserve">lltm_early_mfg</t>
        </is>
      </c>
      <c r="F24" s="0" t="inlineStr">
        <is>
          <t xml:space="preserve">INCLUDE_AP_LLTM</t>
        </is>
      </c>
      <c r="G24" s="0" t="inlineStr">
        <is>
          <t xml:space="preserve">AP_LLTM</t>
        </is>
      </c>
      <c r="H24" s="5">
        <v>1</v>
      </c>
      <c r="I24" s="5">
        <v>0</v>
      </c>
      <c r="J24" s="5">
        <v>1</v>
      </c>
      <c r="K24" s="5">
        <v>1851.065</v>
      </c>
      <c r="L24" s="7">
        <v>0.0</v>
      </c>
      <c r="M24" s="7">
        <v>0.0</v>
      </c>
      <c r="N24" s="7">
        <v>1.0</v>
      </c>
      <c r="O24" s="7">
        <v>0.0</v>
      </c>
    </row>
    <row r="25" outlineLevel="1">
      <c r="B25" s="0" t="inlineStr">
        <is>
          <t xml:space="preserve">2022-09-30</t>
        </is>
      </c>
      <c r="C25" s="0" t="inlineStr">
        <is>
          <t xml:space="preserve">N00024-18-C-2130</t>
        </is>
      </c>
      <c r="D25" s="0" t="inlineStr">
        <is>
          <t xml:space="preserve">non_sub</t>
        </is>
      </c>
      <c r="E25" s="0" t="inlineStr">
        <is>
          <t xml:space="preserve">other</t>
        </is>
      </c>
      <c r="F25" s="0" t="inlineStr">
        <is>
          <t xml:space="preserve">EXCLUDE_REVIEW</t>
        </is>
      </c>
      <c r="G25" s="0" t="inlineStr">
        <is>
          <t xml:space="preserve">BC</t>
        </is>
      </c>
      <c r="H25" s="5">
        <v>0</v>
      </c>
      <c r="I25" s="5">
        <v>0</v>
      </c>
      <c r="J25" s="5">
        <v>1</v>
      </c>
      <c r="K25" s="5">
        <v>1329.680003</v>
      </c>
      <c r="L25" s="7">
        <v>0.0</v>
      </c>
      <c r="M25" s="7">
        <v>0.0</v>
      </c>
      <c r="N25" s="7">
        <v>1.0</v>
      </c>
      <c r="O25" s="7">
        <v>0.0</v>
      </c>
    </row>
    <row r="26" outlineLevel="1">
      <c r="B26" s="0" t="inlineStr">
        <is>
          <t xml:space="preserve">2023-03-31</t>
        </is>
      </c>
      <c r="C26" s="0" t="inlineStr">
        <is>
          <t xml:space="preserve">-</t>
        </is>
      </c>
      <c r="D26" s="0" t="inlineStr">
        <is>
          <t xml:space="preserve">non_sub</t>
        </is>
      </c>
      <c r="E26" s="0" t="inlineStr">
        <is>
          <t xml:space="preserve">construction</t>
        </is>
      </c>
      <c r="F26" s="0" t="inlineStr">
        <is>
          <t xml:space="preserve">INCLUDE_BC</t>
        </is>
      </c>
      <c r="G26" s="0" t="inlineStr">
        <is>
          <t xml:space="preserve">BC</t>
        </is>
      </c>
      <c r="H26" s="5">
        <v>0</v>
      </c>
      <c r="I26" s="5">
        <v>0</v>
      </c>
      <c r="J26" s="5">
        <v>1</v>
      </c>
      <c r="K26" s="5">
        <v>1295.000013</v>
      </c>
      <c r="L26" s="7">
        <v>0.0</v>
      </c>
      <c r="M26" s="7">
        <v>0.0</v>
      </c>
      <c r="N26" s="7">
        <v>0.89</v>
      </c>
      <c r="O26" s="7">
        <v>0.0</v>
      </c>
    </row>
    <row r="27" outlineLevel="1">
      <c r="B27" s="0" t="inlineStr">
        <is>
          <t xml:space="preserve">2026-04-02</t>
        </is>
      </c>
      <c r="C27" s="0" t="inlineStr">
        <is>
          <t xml:space="preserve">N00024-20-C-2120</t>
        </is>
      </c>
      <c r="D27" s="0" t="inlineStr">
        <is>
          <t xml:space="preserve">va</t>
        </is>
      </c>
      <c r="E27" s="0" t="inlineStr">
        <is>
          <t xml:space="preserve">lead_yard</t>
        </is>
      </c>
      <c r="F27" s="0" t="inlineStr">
        <is>
          <t xml:space="preserve">EXCLUDE_REVIEW</t>
        </is>
      </c>
      <c r="G27" s="0" t="inlineStr">
        <is>
          <t xml:space="preserve">BC</t>
        </is>
      </c>
      <c r="H27" s="5">
        <v>0</v>
      </c>
      <c r="I27" s="5">
        <v>0</v>
      </c>
      <c r="J27" s="5">
        <v>1</v>
      </c>
      <c r="K27" s="5">
        <v>1265.790364</v>
      </c>
      <c r="L27" s="7">
        <v>0.92</v>
      </c>
      <c r="M27" s="7">
        <v>0.08</v>
      </c>
      <c r="N27" s="7">
        <v>0.01</v>
      </c>
      <c r="O27" s="7">
        <v>0.0</v>
      </c>
    </row>
    <row r="28" outlineLevel="1">
      <c r="B28" s="0" t="inlineStr">
        <is>
          <t xml:space="preserve">2024-02-23</t>
        </is>
      </c>
      <c r="C28" s="0" t="inlineStr">
        <is>
          <t xml:space="preserve">-</t>
        </is>
      </c>
      <c r="D28" s="0" t="inlineStr">
        <is>
          <t xml:space="preserve">va</t>
        </is>
      </c>
      <c r="E28" s="0" t="inlineStr">
        <is>
          <t xml:space="preserve">repair_overhaul</t>
        </is>
      </c>
      <c r="F28" s="0" t="inlineStr">
        <is>
          <t xml:space="preserve">EXCLUDE_REVIEW</t>
        </is>
      </c>
      <c r="G28" s="0" t="inlineStr">
        <is>
          <t xml:space="preserve">BC</t>
        </is>
      </c>
      <c r="H28" s="5">
        <v>0</v>
      </c>
      <c r="I28" s="5">
        <v>0</v>
      </c>
      <c r="J28" s="5">
        <v>1</v>
      </c>
      <c r="K28" s="5">
        <v>1173.178011</v>
      </c>
      <c r="L28" s="7">
        <v>0.0</v>
      </c>
      <c r="M28" s="7">
        <v>0.0</v>
      </c>
      <c r="N28" s="7">
        <v>0.0</v>
      </c>
      <c r="O28" s="7">
        <v>0.0</v>
      </c>
    </row>
    <row r="29" outlineLevel="1">
      <c r="B29" s="0" t="inlineStr">
        <is>
          <t xml:space="preserve">2025-09-02</t>
        </is>
      </c>
      <c r="C29" s="0" t="inlineStr">
        <is>
          <t xml:space="preserve">N00024-25-D-4325</t>
        </is>
      </c>
      <c r="D29" s="0" t="inlineStr">
        <is>
          <t xml:space="preserve">sub_repair</t>
        </is>
      </c>
      <c r="E29" s="0" t="inlineStr">
        <is>
          <t xml:space="preserve">repair_overhaul</t>
        </is>
      </c>
      <c r="F29" s="0" t="inlineStr">
        <is>
          <t xml:space="preserve">EXCLUDE_REVIEW</t>
        </is>
      </c>
      <c r="G29" s="0" t="inlineStr">
        <is>
          <t xml:space="preserve">BC</t>
        </is>
      </c>
      <c r="H29" s="5">
        <v>0</v>
      </c>
      <c r="I29" s="5">
        <v>0</v>
      </c>
      <c r="J29" s="5">
        <v>1</v>
      </c>
      <c r="K29" s="5">
        <v>1123.59</v>
      </c>
      <c r="L29" s="7">
        <v>0.0</v>
      </c>
      <c r="M29" s="7">
        <v>0.0</v>
      </c>
      <c r="N29" s="7">
        <v>1.0</v>
      </c>
      <c r="O29" s="7">
        <v>0.0</v>
      </c>
    </row>
    <row r="30" outlineLevel="1">
      <c r="B30" s="0" t="inlineStr">
        <is>
          <t xml:space="preserve">2026-04-22</t>
        </is>
      </c>
      <c r="C30" s="0" t="inlineStr">
        <is>
          <t xml:space="preserve">N00024-26-D-4343</t>
        </is>
      </c>
      <c r="D30" s="0" t="inlineStr">
        <is>
          <t xml:space="preserve">sub_repair</t>
        </is>
      </c>
      <c r="E30" s="0" t="inlineStr">
        <is>
          <t xml:space="preserve">repair_overhaul</t>
        </is>
      </c>
      <c r="F30" s="0" t="inlineStr">
        <is>
          <t xml:space="preserve">EXCLUDE_REVIEW</t>
        </is>
      </c>
      <c r="G30" s="0" t="inlineStr">
        <is>
          <t xml:space="preserve">BC</t>
        </is>
      </c>
      <c r="H30" s="5">
        <v>0</v>
      </c>
      <c r="I30" s="5">
        <v>0</v>
      </c>
      <c r="J30" s="5">
        <v>1</v>
      </c>
      <c r="K30" s="5">
        <v>1123.59</v>
      </c>
      <c r="L30" s="7">
        <v>0.0</v>
      </c>
      <c r="M30" s="7">
        <v>0.0</v>
      </c>
      <c r="N30" s="7">
        <v>1.0</v>
      </c>
      <c r="O30" s="7">
        <v>0.0</v>
      </c>
    </row>
    <row r="31" outlineLevel="1">
      <c r="B31" s="0" t="inlineStr">
        <is>
          <t xml:space="preserve">2025-03-25</t>
        </is>
      </c>
      <c r="C31" s="0" t="inlineStr">
        <is>
          <t xml:space="preserve">N00024-24-C-2110</t>
        </is>
      </c>
      <c r="D31" s="0" t="inlineStr">
        <is>
          <t xml:space="preserve">va</t>
        </is>
      </c>
      <c r="E31" s="0" t="inlineStr">
        <is>
          <t xml:space="preserve">lltm_early_mfg</t>
        </is>
      </c>
      <c r="F31" s="0" t="inlineStr">
        <is>
          <t xml:space="preserve">INCLUDE_AP_LLTM</t>
        </is>
      </c>
      <c r="G31" s="0" t="inlineStr">
        <is>
          <t xml:space="preserve">AP_LLTM</t>
        </is>
      </c>
      <c r="H31" s="5">
        <v>1</v>
      </c>
      <c r="I31" s="5">
        <v>0</v>
      </c>
      <c r="J31" s="5">
        <v>1</v>
      </c>
      <c r="K31" s="5">
        <v>1065.31</v>
      </c>
      <c r="L31" s="7">
        <v>0.0</v>
      </c>
      <c r="M31" s="7">
        <v>0.0</v>
      </c>
      <c r="N31" s="7">
        <v>1.0</v>
      </c>
      <c r="O31" s="7">
        <v>0.0</v>
      </c>
    </row>
    <row r="32" outlineLevel="1">
      <c r="B32" s="0" t="inlineStr">
        <is>
          <t xml:space="preserve">2024-05-23</t>
        </is>
      </c>
      <c r="C32" s="0" t="inlineStr">
        <is>
          <t xml:space="preserve">N00024-20-C-2300</t>
        </is>
      </c>
      <c r="D32" s="0" t="inlineStr">
        <is>
          <t xml:space="preserve">non_sub</t>
        </is>
      </c>
      <c r="E32" s="0" t="inlineStr">
        <is>
          <t xml:space="preserve">design</t>
        </is>
      </c>
      <c r="F32" s="0" t="inlineStr">
        <is>
          <t xml:space="preserve">EXCLUDE_REVIEW</t>
        </is>
      </c>
      <c r="G32" s="0" t="inlineStr">
        <is>
          <t xml:space="preserve">BC</t>
        </is>
      </c>
      <c r="H32" s="5">
        <v>0</v>
      </c>
      <c r="I32" s="5">
        <v>0</v>
      </c>
      <c r="J32" s="5">
        <v>1</v>
      </c>
      <c r="K32" s="5">
        <v>1044.529113</v>
      </c>
      <c r="L32" s="7">
        <v>0.0</v>
      </c>
      <c r="M32" s="7">
        <v>0.0</v>
      </c>
      <c r="N32" s="7">
        <v>1.0</v>
      </c>
      <c r="O32" s="7">
        <v>0.0</v>
      </c>
    </row>
    <row r="33" outlineLevel="1">
      <c r="B33" s="0" t="inlineStr">
        <is>
          <t xml:space="preserve">2025-06-18</t>
        </is>
      </c>
      <c r="C33" s="0" t="inlineStr">
        <is>
          <t xml:space="preserve">-</t>
        </is>
      </c>
      <c r="D33" s="0" t="inlineStr">
        <is>
          <t xml:space="preserve">non_sub</t>
        </is>
      </c>
      <c r="E33" s="0" t="inlineStr">
        <is>
          <t xml:space="preserve">lead_yard</t>
        </is>
      </c>
      <c r="F33" s="0" t="inlineStr">
        <is>
          <t xml:space="preserve">EXCLUDE_REVIEW</t>
        </is>
      </c>
      <c r="G33" s="0" t="inlineStr">
        <is>
          <t xml:space="preserve">BC</t>
        </is>
      </c>
      <c r="H33" s="5">
        <v>0</v>
      </c>
      <c r="I33" s="5">
        <v>0</v>
      </c>
      <c r="J33" s="5">
        <v>1</v>
      </c>
      <c r="K33" s="5">
        <v>986.785825</v>
      </c>
      <c r="L33" s="7">
        <v>0.85</v>
      </c>
      <c r="M33" s="7">
        <v>0.15</v>
      </c>
      <c r="N33" s="7">
        <v>0.0</v>
      </c>
      <c r="O33" s="7">
        <v>0.0</v>
      </c>
    </row>
    <row r="34" outlineLevel="1">
      <c r="B34" s="0" t="inlineStr">
        <is>
          <t xml:space="preserve">2024-11-12</t>
        </is>
      </c>
      <c r="C34" s="0" t="inlineStr">
        <is>
          <t xml:space="preserve">N00024-25-C-5434</t>
        </is>
      </c>
      <c r="D34" s="0" t="inlineStr">
        <is>
          <t xml:space="preserve">non_sub</t>
        </is>
      </c>
      <c r="E34" s="0" t="inlineStr">
        <is>
          <t xml:space="preserve">other</t>
        </is>
      </c>
      <c r="F34" s="0" t="inlineStr">
        <is>
          <t xml:space="preserve">EXCLUDE_REVIEW</t>
        </is>
      </c>
      <c r="G34" s="0" t="inlineStr">
        <is>
          <t xml:space="preserve">BC</t>
        </is>
      </c>
      <c r="H34" s="5">
        <v>0</v>
      </c>
      <c r="I34" s="5">
        <v>0</v>
      </c>
      <c r="J34" s="5">
        <v>1</v>
      </c>
      <c r="K34" s="5">
        <v>960.776576</v>
      </c>
      <c r="L34" s="7">
        <v>0.0</v>
      </c>
      <c r="M34" s="7">
        <v>0.0</v>
      </c>
      <c r="N34" s="7">
        <v>0.9</v>
      </c>
      <c r="O34" s="7">
        <v>0.0</v>
      </c>
    </row>
    <row r="35" outlineLevel="1">
      <c r="B35" s="0" t="inlineStr">
        <is>
          <t xml:space="preserve">2025-03-25</t>
        </is>
      </c>
      <c r="C35" s="0" t="inlineStr">
        <is>
          <t xml:space="preserve">N00024-19-C-2210</t>
        </is>
      </c>
      <c r="D35" s="0" t="inlineStr">
        <is>
          <t xml:space="preserve">non_sub</t>
        </is>
      </c>
      <c r="E35" s="0" t="inlineStr">
        <is>
          <t xml:space="preserve">construction</t>
        </is>
      </c>
      <c r="F35" s="0" t="inlineStr">
        <is>
          <t xml:space="preserve">INCLUDE_BC</t>
        </is>
      </c>
      <c r="G35" s="0" t="inlineStr">
        <is>
          <t xml:space="preserve">BC</t>
        </is>
      </c>
      <c r="H35" s="5">
        <v>0</v>
      </c>
      <c r="I35" s="5">
        <v>0</v>
      </c>
      <c r="J35" s="5">
        <v>1</v>
      </c>
      <c r="K35" s="5">
        <v>951.612999</v>
      </c>
      <c r="L35" s="7">
        <v>0.0</v>
      </c>
      <c r="M35" s="7">
        <v>0.0</v>
      </c>
      <c r="N35" s="7">
        <v>0.77</v>
      </c>
      <c r="O35" s="7">
        <v>0.0</v>
      </c>
    </row>
    <row r="36" outlineLevel="1">
      <c r="B36" s="0" t="inlineStr">
        <is>
          <t xml:space="preserve">2024-09-10</t>
        </is>
      </c>
      <c r="C36" s="0" t="inlineStr">
        <is>
          <t xml:space="preserve">N00024-24-C-2135</t>
        </is>
      </c>
      <c r="D36" s="0" t="inlineStr">
        <is>
          <t xml:space="preserve">sub_other</t>
        </is>
      </c>
      <c r="E36" s="0" t="inlineStr">
        <is>
          <t xml:space="preserve">sib_supplier_dev</t>
        </is>
      </c>
      <c r="F36" s="0" t="inlineStr">
        <is>
          <t xml:space="preserve">EXCLUDE_REVIEW</t>
        </is>
      </c>
      <c r="G36" s="0" t="inlineStr">
        <is>
          <t xml:space="preserve">BC</t>
        </is>
      </c>
      <c r="H36" s="5">
        <v>0</v>
      </c>
      <c r="I36" s="5">
        <v>0</v>
      </c>
      <c r="J36" s="5">
        <v>1</v>
      </c>
      <c r="K36" s="5">
        <v>950.74452</v>
      </c>
      <c r="L36" s="7">
        <v>0.0</v>
      </c>
      <c r="M36" s="7">
        <v>0.0</v>
      </c>
      <c r="N36" s="7">
        <v>0.0</v>
      </c>
      <c r="O36" s="7">
        <v>0.0</v>
      </c>
    </row>
    <row r="37" outlineLevel="1">
      <c r="B37" s="0" t="inlineStr">
        <is>
          <t xml:space="preserve">2025-12-19</t>
        </is>
      </c>
      <c r="C37" s="0" t="inlineStr">
        <is>
          <t xml:space="preserve">N00024-24-C-2114</t>
        </is>
      </c>
      <c r="D37" s="0" t="inlineStr">
        <is>
          <t xml:space="preserve">bpmi_nuclear</t>
        </is>
      </c>
      <c r="E37" s="0" t="inlineStr">
        <is>
          <t xml:space="preserve">component_procurement</t>
        </is>
      </c>
      <c r="F37" s="0" t="inlineStr">
        <is>
          <t xml:space="preserve">EXCLUDE_GFE_NUCLEAR</t>
        </is>
      </c>
      <c r="G37" s="0" t="inlineStr">
        <is>
          <t xml:space="preserve">BC</t>
        </is>
      </c>
      <c r="H37" s="5">
        <v>1</v>
      </c>
      <c r="I37" s="5">
        <v>1</v>
      </c>
      <c r="J37" s="5">
        <v>1</v>
      </c>
      <c r="K37" s="5">
        <v>927.58343</v>
      </c>
      <c r="L37" s="7">
        <v>0.0</v>
      </c>
      <c r="M37" s="7">
        <v>0.0</v>
      </c>
      <c r="N37" s="7">
        <v>1.0</v>
      </c>
      <c r="O37" s="7">
        <v>0.0</v>
      </c>
    </row>
    <row r="38" outlineLevel="1">
      <c r="B38" s="0" t="inlineStr">
        <is>
          <t xml:space="preserve">2023-04-21</t>
        </is>
      </c>
      <c r="C38" s="0" t="inlineStr">
        <is>
          <t xml:space="preserve">N00024-23-D-4100</t>
        </is>
      </c>
      <c r="D38" s="0" t="inlineStr">
        <is>
          <t xml:space="preserve">non_sub</t>
        </is>
      </c>
      <c r="E38" s="0" t="inlineStr">
        <is>
          <t xml:space="preserve">sustainment_maintenance</t>
        </is>
      </c>
      <c r="F38" s="0" t="inlineStr">
        <is>
          <t xml:space="preserve">EXCLUDE_REVIEW</t>
        </is>
      </c>
      <c r="G38" s="0" t="inlineStr">
        <is>
          <t xml:space="preserve">BC</t>
        </is>
      </c>
      <c r="H38" s="5">
        <v>0</v>
      </c>
      <c r="I38" s="5">
        <v>0</v>
      </c>
      <c r="J38" s="5">
        <v>1</v>
      </c>
      <c r="K38" s="5">
        <v>847.262229</v>
      </c>
      <c r="L38" s="7">
        <v>0.0</v>
      </c>
      <c r="M38" s="7">
        <v>0.0</v>
      </c>
      <c r="N38" s="7">
        <v>0.0</v>
      </c>
      <c r="O38" s="7">
        <v>0.0</v>
      </c>
    </row>
    <row r="39" outlineLevel="1">
      <c r="B39" s="0" t="inlineStr">
        <is>
          <t xml:space="preserve">2026-04-29</t>
        </is>
      </c>
      <c r="C39" s="0" t="inlineStr">
        <is>
          <t xml:space="preserve">N00024-24-C-5408</t>
        </is>
      </c>
      <c r="D39" s="0" t="inlineStr">
        <is>
          <t xml:space="preserve">non_sub</t>
        </is>
      </c>
      <c r="E39" s="0" t="inlineStr">
        <is>
          <t xml:space="preserve">other</t>
        </is>
      </c>
      <c r="F39" s="0" t="inlineStr">
        <is>
          <t xml:space="preserve">EXCLUDE_REVIEW</t>
        </is>
      </c>
      <c r="G39" s="0" t="inlineStr">
        <is>
          <t xml:space="preserve">BC</t>
        </is>
      </c>
      <c r="H39" s="5">
        <v>0</v>
      </c>
      <c r="I39" s="5">
        <v>0</v>
      </c>
      <c r="J39" s="5">
        <v>1</v>
      </c>
      <c r="K39" s="5">
        <v>832.997256</v>
      </c>
      <c r="L39" s="7">
        <v>0.0</v>
      </c>
      <c r="M39" s="7">
        <v>0.0</v>
      </c>
      <c r="N39" s="7">
        <v>0.91</v>
      </c>
      <c r="O39" s="7">
        <v>0.0</v>
      </c>
    </row>
    <row r="40" outlineLevel="1">
      <c r="B40" s="0" t="inlineStr">
        <is>
          <t xml:space="preserve">2026-01-21</t>
        </is>
      </c>
      <c r="C40" s="0" t="inlineStr">
        <is>
          <t xml:space="preserve">N00024-24-C-2115</t>
        </is>
      </c>
      <c r="D40" s="0" t="inlineStr">
        <is>
          <t xml:space="preserve">bpmi_nuclear</t>
        </is>
      </c>
      <c r="E40" s="0" t="inlineStr">
        <is>
          <t xml:space="preserve">component_procurement</t>
        </is>
      </c>
      <c r="F40" s="0" t="inlineStr">
        <is>
          <t xml:space="preserve">EXCLUDE_GFE_NUCLEAR</t>
        </is>
      </c>
      <c r="G40" s="0" t="inlineStr">
        <is>
          <t xml:space="preserve">BC</t>
        </is>
      </c>
      <c r="H40" s="5">
        <v>1</v>
      </c>
      <c r="I40" s="5">
        <v>1</v>
      </c>
      <c r="J40" s="5">
        <v>1</v>
      </c>
      <c r="K40" s="5">
        <v>812.147242</v>
      </c>
      <c r="L40" s="7">
        <v>0.0</v>
      </c>
      <c r="M40" s="7">
        <v>0.0</v>
      </c>
      <c r="N40" s="7">
        <v>1.0</v>
      </c>
      <c r="O40" s="7">
        <v>0.0</v>
      </c>
    </row>
    <row r="41" outlineLevel="1">
      <c r="B41" s="0" t="inlineStr">
        <is>
          <t xml:space="preserve">2023-12-22</t>
        </is>
      </c>
      <c r="C41" s="0" t="inlineStr">
        <is>
          <t xml:space="preserve">N00024-24-C-2114</t>
        </is>
      </c>
      <c r="D41" s="0" t="inlineStr">
        <is>
          <t xml:space="preserve">bpmi_nuclear</t>
        </is>
      </c>
      <c r="E41" s="0" t="inlineStr">
        <is>
          <t xml:space="preserve">component_procurement</t>
        </is>
      </c>
      <c r="F41" s="0" t="inlineStr">
        <is>
          <t xml:space="preserve">EXCLUDE_GFE_NUCLEAR</t>
        </is>
      </c>
      <c r="G41" s="0" t="inlineStr">
        <is>
          <t xml:space="preserve">BC</t>
        </is>
      </c>
      <c r="H41" s="5">
        <v>1</v>
      </c>
      <c r="I41" s="5">
        <v>1</v>
      </c>
      <c r="J41" s="5">
        <v>1</v>
      </c>
      <c r="K41" s="5">
        <v>772.299996</v>
      </c>
      <c r="L41" s="7">
        <v>0.0</v>
      </c>
      <c r="M41" s="7">
        <v>0.0</v>
      </c>
      <c r="N41" s="7">
        <v>1.0</v>
      </c>
      <c r="O41" s="7">
        <v>0.0</v>
      </c>
    </row>
    <row r="42" outlineLevel="1">
      <c r="B42" s="0" t="inlineStr">
        <is>
          <t xml:space="preserve">2022-12-02</t>
        </is>
      </c>
      <c r="C42" s="0" t="inlineStr">
        <is>
          <t xml:space="preserve">-</t>
        </is>
      </c>
      <c r="D42" s="0" t="inlineStr">
        <is>
          <t xml:space="preserve">bpmi_nuclear</t>
        </is>
      </c>
      <c r="E42" s="0" t="inlineStr">
        <is>
          <t xml:space="preserve">component_procurement</t>
        </is>
      </c>
      <c r="F42" s="0" t="inlineStr">
        <is>
          <t xml:space="preserve">EXCLUDE_GFE_NUCLEAR</t>
        </is>
      </c>
      <c r="G42" s="0" t="inlineStr">
        <is>
          <t xml:space="preserve">BC</t>
        </is>
      </c>
      <c r="H42" s="5">
        <v>1</v>
      </c>
      <c r="I42" s="5">
        <v>1</v>
      </c>
      <c r="J42" s="5">
        <v>1</v>
      </c>
      <c r="K42" s="5">
        <v>768.485104</v>
      </c>
      <c r="L42" s="7">
        <v>0.0</v>
      </c>
      <c r="M42" s="7">
        <v>0.0</v>
      </c>
      <c r="N42" s="7">
        <v>1.0</v>
      </c>
      <c r="O42" s="7">
        <v>0.0</v>
      </c>
    </row>
    <row r="43" outlineLevel="1">
      <c r="B43" s="0" t="inlineStr">
        <is>
          <t xml:space="preserve">2023-05-22</t>
        </is>
      </c>
      <c r="C43" s="0" t="inlineStr">
        <is>
          <t xml:space="preserve">-</t>
        </is>
      </c>
      <c r="D43" s="0" t="inlineStr">
        <is>
          <t xml:space="preserve">non_sub</t>
        </is>
      </c>
      <c r="E43" s="0" t="inlineStr">
        <is>
          <t xml:space="preserve">design</t>
        </is>
      </c>
      <c r="F43" s="0" t="inlineStr">
        <is>
          <t xml:space="preserve">EXCLUDE_REVIEW</t>
        </is>
      </c>
      <c r="G43" s="0" t="inlineStr">
        <is>
          <t xml:space="preserve">BC</t>
        </is>
      </c>
      <c r="H43" s="5">
        <v>0</v>
      </c>
      <c r="I43" s="5">
        <v>0</v>
      </c>
      <c r="J43" s="5">
        <v>1</v>
      </c>
      <c r="K43" s="5">
        <v>736.160588</v>
      </c>
      <c r="L43" s="7">
        <v>0.0</v>
      </c>
      <c r="M43" s="7">
        <v>0.0</v>
      </c>
      <c r="N43" s="7">
        <v>0.86</v>
      </c>
      <c r="O43" s="7">
        <v>0.0</v>
      </c>
    </row>
    <row r="44" outlineLevel="1">
      <c r="B44" s="0" t="inlineStr">
        <is>
          <t xml:space="preserve">2022-12-23</t>
        </is>
      </c>
      <c r="C44" s="0" t="inlineStr">
        <is>
          <t xml:space="preserve">-</t>
        </is>
      </c>
      <c r="D44" s="0" t="inlineStr">
        <is>
          <t xml:space="preserve">non_sub</t>
        </is>
      </c>
      <c r="E44" s="0" t="inlineStr">
        <is>
          <t xml:space="preserve">other</t>
        </is>
      </c>
      <c r="F44" s="0" t="inlineStr">
        <is>
          <t xml:space="preserve">EXCLUDE_REVIEW</t>
        </is>
      </c>
      <c r="G44" s="0" t="inlineStr">
        <is>
          <t xml:space="preserve">BC</t>
        </is>
      </c>
      <c r="H44" s="5">
        <v>0</v>
      </c>
      <c r="I44" s="5">
        <v>0</v>
      </c>
      <c r="J44" s="5">
        <v>1</v>
      </c>
      <c r="K44" s="5">
        <v>734.972174</v>
      </c>
      <c r="L44" s="7">
        <v>0.0</v>
      </c>
      <c r="M44" s="7">
        <v>0.0</v>
      </c>
      <c r="N44" s="7">
        <v>0.0</v>
      </c>
      <c r="O44" s="7">
        <v>0.0</v>
      </c>
    </row>
    <row r="45" outlineLevel="1">
      <c r="B45" s="0" t="inlineStr">
        <is>
          <t xml:space="preserve">2025-11-17</t>
        </is>
      </c>
      <c r="C45" s="0" t="inlineStr">
        <is>
          <t xml:space="preserve">N00024-17-C-2117</t>
        </is>
      </c>
      <c r="D45" s="0" t="inlineStr">
        <is>
          <t xml:space="preserve">col</t>
        </is>
      </c>
      <c r="E45" s="0" t="inlineStr">
        <is>
          <t xml:space="preserve">advance_procurement</t>
        </is>
      </c>
      <c r="F45" s="0" t="inlineStr">
        <is>
          <t xml:space="preserve">INCLUDE_AP_LLTM</t>
        </is>
      </c>
      <c r="G45" s="0" t="inlineStr">
        <is>
          <t xml:space="preserve">AP_LLTM</t>
        </is>
      </c>
      <c r="H45" s="5">
        <v>1</v>
      </c>
      <c r="I45" s="5">
        <v>0</v>
      </c>
      <c r="J45" s="5">
        <v>1</v>
      </c>
      <c r="K45" s="5">
        <v>698.94876</v>
      </c>
      <c r="L45" s="7">
        <v>0.85</v>
      </c>
      <c r="M45" s="7">
        <v>0.15</v>
      </c>
      <c r="N45" s="7">
        <v>0.0</v>
      </c>
      <c r="O45" s="7">
        <v>0.0</v>
      </c>
    </row>
    <row r="46" outlineLevel="1">
      <c r="B46" s="0" t="inlineStr">
        <is>
          <t xml:space="preserve">2022-07-28</t>
        </is>
      </c>
      <c r="C46" s="0" t="inlineStr">
        <is>
          <t xml:space="preserve">-</t>
        </is>
      </c>
      <c r="D46" s="0" t="inlineStr">
        <is>
          <t xml:space="preserve">va</t>
        </is>
      </c>
      <c r="E46" s="0" t="inlineStr">
        <is>
          <t xml:space="preserve">sustainment_maintenance</t>
        </is>
      </c>
      <c r="F46" s="0" t="inlineStr">
        <is>
          <t xml:space="preserve">EXCLUDE_REVIEW</t>
        </is>
      </c>
      <c r="G46" s="0" t="inlineStr">
        <is>
          <t xml:space="preserve">BC</t>
        </is>
      </c>
      <c r="H46" s="5">
        <v>0</v>
      </c>
      <c r="I46" s="5">
        <v>0</v>
      </c>
      <c r="J46" s="5">
        <v>1</v>
      </c>
      <c r="K46" s="5">
        <v>697.894932</v>
      </c>
      <c r="L46" s="7">
        <v>0.0</v>
      </c>
      <c r="M46" s="7">
        <v>0.0</v>
      </c>
      <c r="N46" s="7">
        <v>0.0</v>
      </c>
      <c r="O46" s="7">
        <v>0.0</v>
      </c>
    </row>
    <row r="47" outlineLevel="1">
      <c r="B47" s="0" t="inlineStr">
        <is>
          <t xml:space="preserve">2025-02-26</t>
        </is>
      </c>
      <c r="C47" s="0" t="inlineStr">
        <is>
          <t xml:space="preserve">N00024-25-D-4110</t>
        </is>
      </c>
      <c r="D47" s="0" t="inlineStr">
        <is>
          <t xml:space="preserve">non_sub</t>
        </is>
      </c>
      <c r="E47" s="0" t="inlineStr">
        <is>
          <t xml:space="preserve">sustainment_maintenance</t>
        </is>
      </c>
      <c r="F47" s="0" t="inlineStr">
        <is>
          <t xml:space="preserve">EXCLUDE_REVIEW</t>
        </is>
      </c>
      <c r="G47" s="0" t="inlineStr">
        <is>
          <t xml:space="preserve">BC</t>
        </is>
      </c>
      <c r="H47" s="5">
        <v>0</v>
      </c>
      <c r="I47" s="5">
        <v>0</v>
      </c>
      <c r="J47" s="5">
        <v>1</v>
      </c>
      <c r="K47" s="5">
        <v>654.668551</v>
      </c>
      <c r="L47" s="7">
        <v>0.0</v>
      </c>
      <c r="M47" s="7">
        <v>0.0</v>
      </c>
      <c r="N47" s="7">
        <v>0.0</v>
      </c>
      <c r="O47" s="7">
        <v>0.0</v>
      </c>
    </row>
    <row r="48" outlineLevel="1">
      <c r="B48" s="0" t="inlineStr">
        <is>
          <t xml:space="preserve">2025-06-06</t>
        </is>
      </c>
      <c r="C48" s="0" t="inlineStr">
        <is>
          <t xml:space="preserve">N00024-22-C-5500</t>
        </is>
      </c>
      <c r="D48" s="0" t="inlineStr">
        <is>
          <t xml:space="preserve">non_sub</t>
        </is>
      </c>
      <c r="E48" s="0" t="inlineStr">
        <is>
          <t xml:space="preserve">other</t>
        </is>
      </c>
      <c r="F48" s="0" t="inlineStr">
        <is>
          <t xml:space="preserve">EXCLUDE_REVIEW</t>
        </is>
      </c>
      <c r="G48" s="0" t="inlineStr">
        <is>
          <t xml:space="preserve">BC</t>
        </is>
      </c>
      <c r="H48" s="5">
        <v>0</v>
      </c>
      <c r="I48" s="5">
        <v>0</v>
      </c>
      <c r="J48" s="5">
        <v>1</v>
      </c>
      <c r="K48" s="5">
        <v>646.519738</v>
      </c>
      <c r="L48" s="7">
        <v>0.0</v>
      </c>
      <c r="M48" s="7">
        <v>0.0</v>
      </c>
      <c r="N48" s="7">
        <v>0.81</v>
      </c>
      <c r="O48" s="7">
        <v>0.0</v>
      </c>
    </row>
    <row r="49" outlineLevel="1">
      <c r="B49" s="0" t="inlineStr">
        <is>
          <t xml:space="preserve">2025-06-17</t>
        </is>
      </c>
      <c r="C49" s="0" t="inlineStr">
        <is>
          <t xml:space="preserve">-</t>
        </is>
      </c>
      <c r="D49" s="0" t="inlineStr">
        <is>
          <t xml:space="preserve">non_sub</t>
        </is>
      </c>
      <c r="E49" s="0" t="inlineStr">
        <is>
          <t xml:space="preserve">other</t>
        </is>
      </c>
      <c r="F49" s="0" t="inlineStr">
        <is>
          <t xml:space="preserve">EXCLUDE_REVIEW</t>
        </is>
      </c>
      <c r="G49" s="0" t="inlineStr">
        <is>
          <t xml:space="preserve">BC</t>
        </is>
      </c>
      <c r="H49" s="5">
        <v>0</v>
      </c>
      <c r="I49" s="5">
        <v>0</v>
      </c>
      <c r="J49" s="5">
        <v>1</v>
      </c>
      <c r="K49" s="5">
        <v>560.493551</v>
      </c>
      <c r="L49" s="7">
        <v>0.0</v>
      </c>
      <c r="M49" s="7">
        <v>0.0</v>
      </c>
      <c r="N49" s="7">
        <v>1.0</v>
      </c>
      <c r="O49" s="7">
        <v>0.0</v>
      </c>
    </row>
    <row r="50" outlineLevel="1">
      <c r="B50" s="0" t="inlineStr">
        <is>
          <t xml:space="preserve">2025-02-03</t>
        </is>
      </c>
      <c r="C50" s="0" t="inlineStr">
        <is>
          <t xml:space="preserve">N00024-25-D-6211</t>
        </is>
      </c>
      <c r="D50" s="0" t="inlineStr">
        <is>
          <t xml:space="preserve">sub_gfe_electronics</t>
        </is>
      </c>
      <c r="E50" s="0" t="inlineStr">
        <is>
          <t xml:space="preserve">component_procurement</t>
        </is>
      </c>
      <c r="F50" s="0" t="inlineStr">
        <is>
          <t xml:space="preserve">EXCLUDE_GFE</t>
        </is>
      </c>
      <c r="G50" s="0" t="inlineStr">
        <is>
          <t xml:space="preserve">BC</t>
        </is>
      </c>
      <c r="H50" s="5">
        <v>1</v>
      </c>
      <c r="I50" s="5">
        <v>1</v>
      </c>
      <c r="J50" s="5">
        <v>1</v>
      </c>
      <c r="K50" s="5">
        <v>551.012019</v>
      </c>
      <c r="L50" s="7">
        <v>0.0</v>
      </c>
      <c r="M50" s="7">
        <v>0.0</v>
      </c>
      <c r="N50" s="7">
        <v>0.0</v>
      </c>
      <c r="O50" s="7">
        <v>0.0</v>
      </c>
    </row>
    <row r="51" outlineLevel="1">
      <c r="B51" s="0" t="inlineStr">
        <is>
          <t xml:space="preserve">2025-05-30</t>
        </is>
      </c>
      <c r="C51" s="0" t="inlineStr">
        <is>
          <t xml:space="preserve">N00024-25-C-5501</t>
        </is>
      </c>
      <c r="D51" s="0" t="inlineStr">
        <is>
          <t xml:space="preserve">non_sub</t>
        </is>
      </c>
      <c r="E51" s="0" t="inlineStr">
        <is>
          <t xml:space="preserve">fms</t>
        </is>
      </c>
      <c r="F51" s="0" t="inlineStr">
        <is>
          <t xml:space="preserve">EXCLUDE_REVIEW</t>
        </is>
      </c>
      <c r="G51" s="0" t="inlineStr">
        <is>
          <t xml:space="preserve">BC</t>
        </is>
      </c>
      <c r="H51" s="5">
        <v>0</v>
      </c>
      <c r="I51" s="5">
        <v>0</v>
      </c>
      <c r="J51" s="5">
        <v>1</v>
      </c>
      <c r="K51" s="5">
        <v>536.750202</v>
      </c>
      <c r="L51" s="7">
        <v>0.0</v>
      </c>
      <c r="M51" s="7">
        <v>0.06</v>
      </c>
      <c r="N51" s="7">
        <v>0.94</v>
      </c>
      <c r="O51" s="7">
        <v>0.0</v>
      </c>
    </row>
    <row r="52" outlineLevel="1">
      <c r="B52" s="0" t="inlineStr">
        <is>
          <t xml:space="preserve">2025-05-30</t>
        </is>
      </c>
      <c r="C52" s="0" t="inlineStr">
        <is>
          <t xml:space="preserve">N00024-25-C-4135</t>
        </is>
      </c>
      <c r="D52" s="0" t="inlineStr">
        <is>
          <t xml:space="preserve">non_sub</t>
        </is>
      </c>
      <c r="E52" s="0" t="inlineStr">
        <is>
          <t xml:space="preserve">other</t>
        </is>
      </c>
      <c r="F52" s="0" t="inlineStr">
        <is>
          <t xml:space="preserve">EXCLUDE_REVIEW</t>
        </is>
      </c>
      <c r="G52" s="0" t="inlineStr">
        <is>
          <t xml:space="preserve">BC</t>
        </is>
      </c>
      <c r="H52" s="5">
        <v>0</v>
      </c>
      <c r="I52" s="5">
        <v>0</v>
      </c>
      <c r="J52" s="5">
        <v>1</v>
      </c>
      <c r="K52" s="5">
        <v>536.749731</v>
      </c>
      <c r="L52" s="7">
        <v>0.0</v>
      </c>
      <c r="M52" s="7">
        <v>0.0</v>
      </c>
      <c r="N52" s="7">
        <v>0.0</v>
      </c>
      <c r="O52" s="7">
        <v>0.0</v>
      </c>
    </row>
    <row r="53" outlineLevel="1">
      <c r="B53" s="0" t="inlineStr">
        <is>
          <t xml:space="preserve">2023-07-24</t>
        </is>
      </c>
      <c r="C53" s="0" t="inlineStr">
        <is>
          <t xml:space="preserve">N00024-23-D-4107</t>
        </is>
      </c>
      <c r="D53" s="0" t="inlineStr">
        <is>
          <t xml:space="preserve">non_sub</t>
        </is>
      </c>
      <c r="E53" s="0" t="inlineStr">
        <is>
          <t xml:space="preserve">sustainment_maintenance</t>
        </is>
      </c>
      <c r="F53" s="0" t="inlineStr">
        <is>
          <t xml:space="preserve">EXCLUDE_REVIEW</t>
        </is>
      </c>
      <c r="G53" s="0" t="inlineStr">
        <is>
          <t xml:space="preserve">BC</t>
        </is>
      </c>
      <c r="H53" s="5">
        <v>0</v>
      </c>
      <c r="I53" s="5">
        <v>0</v>
      </c>
      <c r="J53" s="5">
        <v>1</v>
      </c>
      <c r="K53" s="5">
        <v>528.381355</v>
      </c>
      <c r="L53" s="7">
        <v>0.0</v>
      </c>
      <c r="M53" s="7">
        <v>0.0</v>
      </c>
      <c r="N53" s="7">
        <v>0.0</v>
      </c>
      <c r="O53" s="7">
        <v>0.0</v>
      </c>
    </row>
    <row r="54" outlineLevel="1">
      <c r="B54" s="0" t="inlineStr">
        <is>
          <t xml:space="preserve">2024-09-27</t>
        </is>
      </c>
      <c r="C54" s="0" t="inlineStr">
        <is>
          <t xml:space="preserve">N00024-24-C-5408</t>
        </is>
      </c>
      <c r="D54" s="0" t="inlineStr">
        <is>
          <t xml:space="preserve">non_sub</t>
        </is>
      </c>
      <c r="E54" s="0" t="inlineStr">
        <is>
          <t xml:space="preserve">fms</t>
        </is>
      </c>
      <c r="F54" s="0" t="inlineStr">
        <is>
          <t xml:space="preserve">EXCLUDE_REVIEW</t>
        </is>
      </c>
      <c r="G54" s="0" t="inlineStr">
        <is>
          <t xml:space="preserve">BC</t>
        </is>
      </c>
      <c r="H54" s="5">
        <v>0</v>
      </c>
      <c r="I54" s="5">
        <v>0</v>
      </c>
      <c r="J54" s="5">
        <v>1</v>
      </c>
      <c r="K54" s="5">
        <v>525.539</v>
      </c>
      <c r="L54" s="7">
        <v>0.0</v>
      </c>
      <c r="M54" s="7">
        <v>0.0</v>
      </c>
      <c r="N54" s="7">
        <v>0.9</v>
      </c>
      <c r="O54" s="7">
        <v>0.0</v>
      </c>
    </row>
    <row r="55" outlineLevel="1">
      <c r="B55" s="0" t="inlineStr">
        <is>
          <t xml:space="preserve">2026-03-24</t>
        </is>
      </c>
      <c r="C55" s="0" t="inlineStr">
        <is>
          <t xml:space="preserve">N00024-26-D-6203</t>
        </is>
      </c>
      <c r="D55" s="0" t="inlineStr">
        <is>
          <t xml:space="preserve">sub_gfe_electronics</t>
        </is>
      </c>
      <c r="E55" s="0" t="inlineStr">
        <is>
          <t xml:space="preserve">component_procurement</t>
        </is>
      </c>
      <c r="F55" s="0" t="inlineStr">
        <is>
          <t xml:space="preserve">EXCLUDE_GFE</t>
        </is>
      </c>
      <c r="G55" s="0" t="inlineStr">
        <is>
          <t xml:space="preserve">BC</t>
        </is>
      </c>
      <c r="H55" s="5">
        <v>1</v>
      </c>
      <c r="I55" s="5">
        <v>1</v>
      </c>
      <c r="J55" s="5">
        <v>1</v>
      </c>
      <c r="K55" s="5">
        <v>478.359847</v>
      </c>
      <c r="L55" s="7">
        <v>0.0</v>
      </c>
      <c r="M55" s="7">
        <v>0.0</v>
      </c>
      <c r="N55" s="7">
        <v>0.0</v>
      </c>
      <c r="O55" s="7">
        <v>0.0</v>
      </c>
    </row>
    <row r="56" outlineLevel="1">
      <c r="B56" s="0" t="inlineStr">
        <is>
          <t xml:space="preserve">2025-11-20</t>
        </is>
      </c>
      <c r="C56" s="0" t="inlineStr">
        <is>
          <t xml:space="preserve">N00024-21-D-6400</t>
        </is>
      </c>
      <c r="D56" s="0" t="inlineStr">
        <is>
          <t xml:space="preserve">non_sub</t>
        </is>
      </c>
      <c r="E56" s="0" t="inlineStr">
        <is>
          <t xml:space="preserve">other</t>
        </is>
      </c>
      <c r="F56" s="0" t="inlineStr">
        <is>
          <t xml:space="preserve">EXCLUDE_REVIEW</t>
        </is>
      </c>
      <c r="G56" s="0" t="inlineStr">
        <is>
          <t xml:space="preserve">BC</t>
        </is>
      </c>
      <c r="H56" s="5">
        <v>0</v>
      </c>
      <c r="I56" s="5">
        <v>0</v>
      </c>
      <c r="J56" s="5">
        <v>1</v>
      </c>
      <c r="K56" s="5">
        <v>474.319378</v>
      </c>
      <c r="L56" s="7">
        <v>0.0</v>
      </c>
      <c r="M56" s="7">
        <v>0.0</v>
      </c>
      <c r="N56" s="7">
        <v>0.0</v>
      </c>
      <c r="O56" s="7">
        <v>0.0</v>
      </c>
    </row>
    <row r="57" outlineLevel="1">
      <c r="B57" s="0" t="inlineStr">
        <is>
          <t xml:space="preserve">2024-04-11</t>
        </is>
      </c>
      <c r="C57" s="0" t="inlineStr">
        <is>
          <t xml:space="preserve">-</t>
        </is>
      </c>
      <c r="D57" s="0" t="inlineStr">
        <is>
          <t xml:space="preserve">sub_other</t>
        </is>
      </c>
      <c r="E57" s="0" t="inlineStr">
        <is>
          <t xml:space="preserve">construction</t>
        </is>
      </c>
      <c r="F57" s="0" t="inlineStr">
        <is>
          <t xml:space="preserve">INCLUDE_BC</t>
        </is>
      </c>
      <c r="G57" s="0" t="inlineStr">
        <is>
          <t xml:space="preserve">BC</t>
        </is>
      </c>
      <c r="H57" s="5">
        <v>0</v>
      </c>
      <c r="I57" s="5">
        <v>0</v>
      </c>
      <c r="J57" s="5">
        <v>1</v>
      </c>
      <c r="K57" s="5">
        <v>450.0</v>
      </c>
      <c r="L57" s="7">
        <v>0.0</v>
      </c>
      <c r="M57" s="7">
        <v>0.0</v>
      </c>
      <c r="N57" s="7">
        <v>0.0</v>
      </c>
      <c r="O57" s="7">
        <v>0.0</v>
      </c>
    </row>
    <row r="58" outlineLevel="1">
      <c r="B58" s="0" t="inlineStr">
        <is>
          <t xml:space="preserve">2024-08-01</t>
        </is>
      </c>
      <c r="C58" s="0" t="inlineStr">
        <is>
          <t xml:space="preserve">-</t>
        </is>
      </c>
      <c r="D58" s="0" t="inlineStr">
        <is>
          <t xml:space="preserve">bpmi_nuclear</t>
        </is>
      </c>
      <c r="E58" s="0" t="inlineStr">
        <is>
          <t xml:space="preserve">component_procurement</t>
        </is>
      </c>
      <c r="F58" s="0" t="inlineStr">
        <is>
          <t xml:space="preserve">EXCLUDE_GFE_NUCLEAR</t>
        </is>
      </c>
      <c r="G58" s="0" t="inlineStr">
        <is>
          <t xml:space="preserve">BC</t>
        </is>
      </c>
      <c r="H58" s="5">
        <v>1</v>
      </c>
      <c r="I58" s="5">
        <v>1</v>
      </c>
      <c r="J58" s="5">
        <v>1</v>
      </c>
      <c r="K58" s="5">
        <v>447.0</v>
      </c>
      <c r="L58" s="7">
        <v>0.0</v>
      </c>
      <c r="M58" s="7">
        <v>0.0</v>
      </c>
      <c r="N58" s="7">
        <v>0.0</v>
      </c>
      <c r="O58" s="7">
        <v>0.0</v>
      </c>
    </row>
    <row r="59" outlineLevel="1">
      <c r="B59" s="0" t="inlineStr">
        <is>
          <t xml:space="preserve">2024-12-13</t>
        </is>
      </c>
      <c r="C59" s="0" t="inlineStr">
        <is>
          <t xml:space="preserve">-</t>
        </is>
      </c>
      <c r="D59" s="0" t="inlineStr">
        <is>
          <t xml:space="preserve">bpmi_nuclear</t>
        </is>
      </c>
      <c r="E59" s="0" t="inlineStr">
        <is>
          <t xml:space="preserve">component_procurement</t>
        </is>
      </c>
      <c r="F59" s="0" t="inlineStr">
        <is>
          <t xml:space="preserve">EXCLUDE_GFE_NUCLEAR</t>
        </is>
      </c>
      <c r="G59" s="0" t="inlineStr">
        <is>
          <t xml:space="preserve">BC</t>
        </is>
      </c>
      <c r="H59" s="5">
        <v>1</v>
      </c>
      <c r="I59" s="5">
        <v>1</v>
      </c>
      <c r="J59" s="5">
        <v>1</v>
      </c>
      <c r="K59" s="5">
        <v>395.51</v>
      </c>
      <c r="L59" s="7">
        <v>0.0</v>
      </c>
      <c r="M59" s="7">
        <v>0.0</v>
      </c>
      <c r="N59" s="7">
        <v>0.0</v>
      </c>
      <c r="O59" s="7">
        <v>0.0</v>
      </c>
    </row>
    <row r="60" outlineLevel="1">
      <c r="B60" s="0" t="inlineStr">
        <is>
          <t xml:space="preserve">2025-09-09</t>
        </is>
      </c>
      <c r="C60" s="0" t="inlineStr">
        <is>
          <t xml:space="preserve">N00024-17-D-6421</t>
        </is>
      </c>
      <c r="D60" s="0" t="inlineStr">
        <is>
          <t xml:space="preserve">non_sub</t>
        </is>
      </c>
      <c r="E60" s="0" t="inlineStr">
        <is>
          <t xml:space="preserve">other</t>
        </is>
      </c>
      <c r="F60" s="0" t="inlineStr">
        <is>
          <t xml:space="preserve">EXCLUDE_REVIEW</t>
        </is>
      </c>
      <c r="G60" s="0" t="inlineStr">
        <is>
          <t xml:space="preserve">BC</t>
        </is>
      </c>
      <c r="H60" s="5">
        <v>0</v>
      </c>
      <c r="I60" s="5">
        <v>0</v>
      </c>
      <c r="J60" s="5">
        <v>1</v>
      </c>
      <c r="K60" s="5">
        <v>390.0</v>
      </c>
      <c r="L60" s="7">
        <v>0.0</v>
      </c>
      <c r="M60" s="7">
        <v>0.0</v>
      </c>
      <c r="N60" s="7">
        <v>0.0</v>
      </c>
      <c r="O60" s="7">
        <v>0.0</v>
      </c>
    </row>
    <row r="61" outlineLevel="1">
      <c r="B61" s="0" t="inlineStr">
        <is>
          <t xml:space="preserve">2025-07-03</t>
        </is>
      </c>
      <c r="C61" s="0" t="inlineStr">
        <is>
          <t xml:space="preserve">N00024-23-C-2452</t>
        </is>
      </c>
      <c r="D61" s="0" t="inlineStr">
        <is>
          <t xml:space="preserve">non_sub</t>
        </is>
      </c>
      <c r="E61" s="0" t="inlineStr">
        <is>
          <t xml:space="preserve">construction</t>
        </is>
      </c>
      <c r="F61" s="0" t="inlineStr">
        <is>
          <t xml:space="preserve">INCLUDE_BC</t>
        </is>
      </c>
      <c r="G61" s="0" t="inlineStr">
        <is>
          <t xml:space="preserve">BC</t>
        </is>
      </c>
      <c r="H61" s="5">
        <v>0</v>
      </c>
      <c r="I61" s="5">
        <v>0</v>
      </c>
      <c r="J61" s="5">
        <v>1</v>
      </c>
      <c r="K61" s="5">
        <v>353.961249</v>
      </c>
      <c r="L61" s="7">
        <v>0.0</v>
      </c>
      <c r="M61" s="7">
        <v>0.0</v>
      </c>
      <c r="N61" s="7">
        <v>0.97</v>
      </c>
      <c r="O61" s="7">
        <v>0.0</v>
      </c>
    </row>
    <row r="62" outlineLevel="1">
      <c r="B62" s="0" t="inlineStr">
        <is>
          <t xml:space="preserve">2026-04-30</t>
        </is>
      </c>
      <c r="C62" s="0" t="inlineStr">
        <is>
          <t xml:space="preserve">N00024-25-C-5409</t>
        </is>
      </c>
      <c r="D62" s="0" t="inlineStr">
        <is>
          <t xml:space="preserve">non_sub</t>
        </is>
      </c>
      <c r="E62" s="0" t="inlineStr">
        <is>
          <t xml:space="preserve">other</t>
        </is>
      </c>
      <c r="F62" s="0" t="inlineStr">
        <is>
          <t xml:space="preserve">EXCLUDE_REVIEW</t>
        </is>
      </c>
      <c r="G62" s="0" t="inlineStr">
        <is>
          <t xml:space="preserve">BC</t>
        </is>
      </c>
      <c r="H62" s="5">
        <v>0</v>
      </c>
      <c r="I62" s="5">
        <v>0</v>
      </c>
      <c r="J62" s="5">
        <v>1</v>
      </c>
      <c r="K62" s="5">
        <v>335.110022</v>
      </c>
      <c r="L62" s="7">
        <v>0.0</v>
      </c>
      <c r="M62" s="7">
        <v>0.0</v>
      </c>
      <c r="N62" s="7">
        <v>0.86</v>
      </c>
      <c r="O62" s="7">
        <v>0.0</v>
      </c>
    </row>
    <row r="63" outlineLevel="1">
      <c r="B63" s="0" t="inlineStr">
        <is>
          <t xml:space="preserve">2025-12-17</t>
        </is>
      </c>
      <c r="C63" s="0" t="inlineStr">
        <is>
          <t xml:space="preserve">N00024-20-C-5519</t>
        </is>
      </c>
      <c r="D63" s="0" t="inlineStr">
        <is>
          <t xml:space="preserve">non_sub</t>
        </is>
      </c>
      <c r="E63" s="0" t="inlineStr">
        <is>
          <t xml:space="preserve">other</t>
        </is>
      </c>
      <c r="F63" s="0" t="inlineStr">
        <is>
          <t xml:space="preserve">EXCLUDE_REVIEW</t>
        </is>
      </c>
      <c r="G63" s="0" t="inlineStr">
        <is>
          <t xml:space="preserve">BC</t>
        </is>
      </c>
      <c r="H63" s="5">
        <v>0</v>
      </c>
      <c r="I63" s="5">
        <v>0</v>
      </c>
      <c r="J63" s="5">
        <v>1</v>
      </c>
      <c r="K63" s="5">
        <v>334.419034</v>
      </c>
      <c r="L63" s="7">
        <v>0.0</v>
      </c>
      <c r="M63" s="7">
        <v>0.0</v>
      </c>
      <c r="N63" s="7">
        <v>0.52</v>
      </c>
      <c r="O63" s="7">
        <v>0.0</v>
      </c>
    </row>
    <row r="64" outlineLevel="1">
      <c r="B64" s="0" t="inlineStr">
        <is>
          <t xml:space="preserve">2025-01-08</t>
        </is>
      </c>
      <c r="C64" s="0" t="inlineStr">
        <is>
          <t xml:space="preserve">N00024-25-C-5409</t>
        </is>
      </c>
      <c r="D64" s="0" t="inlineStr">
        <is>
          <t xml:space="preserve">non_sub</t>
        </is>
      </c>
      <c r="E64" s="0" t="inlineStr">
        <is>
          <t xml:space="preserve">lead_yard</t>
        </is>
      </c>
      <c r="F64" s="0" t="inlineStr">
        <is>
          <t xml:space="preserve">EXCLUDE_REVIEW</t>
        </is>
      </c>
      <c r="G64" s="0" t="inlineStr">
        <is>
          <t xml:space="preserve">BC</t>
        </is>
      </c>
      <c r="H64" s="5">
        <v>0</v>
      </c>
      <c r="I64" s="5">
        <v>0</v>
      </c>
      <c r="J64" s="5">
        <v>1</v>
      </c>
      <c r="K64" s="5">
        <v>333.281489</v>
      </c>
      <c r="L64" s="7">
        <v>0.0</v>
      </c>
      <c r="M64" s="7">
        <v>0.0</v>
      </c>
      <c r="N64" s="7">
        <v>1.0</v>
      </c>
      <c r="O64" s="7">
        <v>0.0</v>
      </c>
    </row>
    <row r="65" outlineLevel="1">
      <c r="B65" s="0" t="inlineStr">
        <is>
          <t xml:space="preserve">2026-05-01</t>
        </is>
      </c>
      <c r="C65" s="0" t="inlineStr">
        <is>
          <t xml:space="preserve">N00024-26-D-2210</t>
        </is>
      </c>
      <c r="D65" s="0" t="inlineStr">
        <is>
          <t xml:space="preserve">non_sub</t>
        </is>
      </c>
      <c r="E65" s="0" t="inlineStr">
        <is>
          <t xml:space="preserve">other</t>
        </is>
      </c>
      <c r="F65" s="0" t="inlineStr">
        <is>
          <t xml:space="preserve">EXCLUDE_REVIEW</t>
        </is>
      </c>
      <c r="G65" s="0" t="inlineStr">
        <is>
          <t xml:space="preserve">BC</t>
        </is>
      </c>
      <c r="H65" s="5">
        <v>0</v>
      </c>
      <c r="I65" s="5">
        <v>0</v>
      </c>
      <c r="J65" s="5">
        <v>1</v>
      </c>
      <c r="K65" s="5">
        <v>325.94412</v>
      </c>
      <c r="L65" s="7">
        <v>0.0</v>
      </c>
      <c r="M65" s="7">
        <v>0.0</v>
      </c>
      <c r="N65" s="7">
        <v>0.0</v>
      </c>
      <c r="O65" s="7">
        <v>0.0</v>
      </c>
    </row>
    <row r="66" outlineLevel="1">
      <c r="B66" s="0" t="inlineStr">
        <is>
          <t xml:space="preserve">2025-08-11</t>
        </is>
      </c>
      <c r="C66" s="0" t="inlineStr">
        <is>
          <t xml:space="preserve">N00024-24-C-2124</t>
        </is>
      </c>
      <c r="D66" s="0" t="inlineStr">
        <is>
          <t xml:space="preserve">sub_operational</t>
        </is>
      </c>
      <c r="E66" s="0" t="inlineStr">
        <is>
          <t xml:space="preserve">lead_yard</t>
        </is>
      </c>
      <c r="F66" s="0" t="inlineStr">
        <is>
          <t xml:space="preserve">EXCLUDE_REVIEW</t>
        </is>
      </c>
      <c r="G66" s="0" t="inlineStr">
        <is>
          <t xml:space="preserve">BC</t>
        </is>
      </c>
      <c r="H66" s="5">
        <v>0</v>
      </c>
      <c r="I66" s="5">
        <v>0</v>
      </c>
      <c r="J66" s="5">
        <v>1</v>
      </c>
      <c r="K66" s="5">
        <v>322.593238</v>
      </c>
      <c r="L66" s="7">
        <v>0.7</v>
      </c>
      <c r="M66" s="7">
        <v>0.0</v>
      </c>
      <c r="N66" s="7">
        <v>0.3</v>
      </c>
      <c r="O66" s="7">
        <v>0.0</v>
      </c>
    </row>
    <row r="67" outlineLevel="1">
      <c r="B67" s="0" t="inlineStr">
        <is>
          <t xml:space="preserve">2024-01-08</t>
        </is>
      </c>
      <c r="C67" s="0" t="inlineStr">
        <is>
          <t xml:space="preserve">N00024-19-D-6200</t>
        </is>
      </c>
      <c r="D67" s="0" t="inlineStr">
        <is>
          <t xml:space="preserve">sub_other</t>
        </is>
      </c>
      <c r="E67" s="0" t="inlineStr">
        <is>
          <t xml:space="preserve">other</t>
        </is>
      </c>
      <c r="F67" s="0" t="inlineStr">
        <is>
          <t xml:space="preserve">EXCLUDE_REVIEW</t>
        </is>
      </c>
      <c r="G67" s="0" t="inlineStr">
        <is>
          <t xml:space="preserve">BC</t>
        </is>
      </c>
      <c r="H67" s="5">
        <v>0</v>
      </c>
      <c r="I67" s="5">
        <v>0</v>
      </c>
      <c r="J67" s="5">
        <v>1</v>
      </c>
      <c r="K67" s="5">
        <v>311.995464</v>
      </c>
      <c r="L67" s="7">
        <v>0.0</v>
      </c>
      <c r="M67" s="7">
        <v>0.0</v>
      </c>
      <c r="N67" s="7">
        <v>0.0</v>
      </c>
      <c r="O67" s="7">
        <v>0.0</v>
      </c>
    </row>
    <row r="68" outlineLevel="1">
      <c r="B68" s="0" t="inlineStr">
        <is>
          <t xml:space="preserve">2024-07-12</t>
        </is>
      </c>
      <c r="C68" s="0" t="inlineStr">
        <is>
          <t xml:space="preserve">N00024-21-C-5127</t>
        </is>
      </c>
      <c r="D68" s="0" t="inlineStr">
        <is>
          <t xml:space="preserve">non_sub</t>
        </is>
      </c>
      <c r="E68" s="0" t="inlineStr">
        <is>
          <t xml:space="preserve">fms</t>
        </is>
      </c>
      <c r="F68" s="0" t="inlineStr">
        <is>
          <t xml:space="preserve">EXCLUDE_REVIEW</t>
        </is>
      </c>
      <c r="G68" s="0" t="inlineStr">
        <is>
          <t xml:space="preserve">BC</t>
        </is>
      </c>
      <c r="H68" s="5">
        <v>0</v>
      </c>
      <c r="I68" s="5">
        <v>0</v>
      </c>
      <c r="J68" s="5">
        <v>1</v>
      </c>
      <c r="K68" s="5">
        <v>300.942534</v>
      </c>
      <c r="L68" s="7">
        <v>0.0</v>
      </c>
      <c r="M68" s="7">
        <v>0.0</v>
      </c>
      <c r="N68" s="7">
        <v>1.0</v>
      </c>
      <c r="O68" s="7">
        <v>0.0</v>
      </c>
    </row>
    <row r="69" outlineLevel="1">
      <c r="B69" s="0" t="inlineStr">
        <is>
          <t xml:space="preserve">2022-09-30</t>
        </is>
      </c>
      <c r="C69" s="0" t="inlineStr">
        <is>
          <t xml:space="preserve">N00024-22-D-4427</t>
        </is>
      </c>
      <c r="D69" s="0" t="inlineStr">
        <is>
          <t xml:space="preserve">non_sub</t>
        </is>
      </c>
      <c r="E69" s="0" t="inlineStr">
        <is>
          <t xml:space="preserve">sustainment_maintenance</t>
        </is>
      </c>
      <c r="F69" s="0" t="inlineStr">
        <is>
          <t xml:space="preserve">EXCLUDE_REVIEW</t>
        </is>
      </c>
      <c r="G69" s="0" t="inlineStr">
        <is>
          <t xml:space="preserve">BC</t>
        </is>
      </c>
      <c r="H69" s="5">
        <v>0</v>
      </c>
      <c r="I69" s="5">
        <v>0</v>
      </c>
      <c r="J69" s="5">
        <v>1</v>
      </c>
      <c r="K69" s="5">
        <v>300.185454</v>
      </c>
      <c r="L69" s="7">
        <v>0.0</v>
      </c>
      <c r="M69" s="7">
        <v>0.0</v>
      </c>
      <c r="N69" s="7">
        <v>0.0</v>
      </c>
      <c r="O69" s="7">
        <v>0.0</v>
      </c>
    </row>
    <row r="70" outlineLevel="1">
      <c r="B70" s="0" t="inlineStr">
        <is>
          <t xml:space="preserve">2025-06-17</t>
        </is>
      </c>
      <c r="C70" s="0" t="inlineStr">
        <is>
          <t xml:space="preserve">-</t>
        </is>
      </c>
      <c r="D70" s="0" t="inlineStr">
        <is>
          <t xml:space="preserve">non_sub</t>
        </is>
      </c>
      <c r="E70" s="0" t="inlineStr">
        <is>
          <t xml:space="preserve">other</t>
        </is>
      </c>
      <c r="F70" s="0" t="inlineStr">
        <is>
          <t xml:space="preserve">EXCLUDE_REVIEW</t>
        </is>
      </c>
      <c r="G70" s="0" t="inlineStr">
        <is>
          <t xml:space="preserve">BC</t>
        </is>
      </c>
      <c r="H70" s="5">
        <v>0</v>
      </c>
      <c r="I70" s="5">
        <v>0</v>
      </c>
      <c r="J70" s="5">
        <v>1</v>
      </c>
      <c r="K70" s="5">
        <v>299.694832</v>
      </c>
      <c r="L70" s="7">
        <v>0.0</v>
      </c>
      <c r="M70" s="7">
        <v>0.0</v>
      </c>
      <c r="N70" s="7">
        <v>0.92</v>
      </c>
      <c r="O70" s="7">
        <v>0.0</v>
      </c>
    </row>
    <row r="71" outlineLevel="1">
      <c r="B71" s="0" t="inlineStr">
        <is>
          <t xml:space="preserve">2025-12-30</t>
        </is>
      </c>
      <c r="C71" s="0" t="inlineStr">
        <is>
          <t xml:space="preserve">N00024-23-C-5123</t>
        </is>
      </c>
      <c r="D71" s="0" t="inlineStr">
        <is>
          <t xml:space="preserve">non_sub</t>
        </is>
      </c>
      <c r="E71" s="0" t="inlineStr">
        <is>
          <t xml:space="preserve">sustainment_maintenance</t>
        </is>
      </c>
      <c r="F71" s="0" t="inlineStr">
        <is>
          <t xml:space="preserve">EXCLUDE_REVIEW</t>
        </is>
      </c>
      <c r="G71" s="0" t="inlineStr">
        <is>
          <t xml:space="preserve">BC</t>
        </is>
      </c>
      <c r="H71" s="5">
        <v>0</v>
      </c>
      <c r="I71" s="5">
        <v>0</v>
      </c>
      <c r="J71" s="5">
        <v>1</v>
      </c>
      <c r="K71" s="5">
        <v>297.491836</v>
      </c>
      <c r="L71" s="7">
        <v>0.0</v>
      </c>
      <c r="M71" s="7">
        <v>0.0</v>
      </c>
      <c r="N71" s="7">
        <v>0.0</v>
      </c>
      <c r="O71" s="7">
        <v>0.0</v>
      </c>
    </row>
    <row r="72" outlineLevel="1">
      <c r="B72" s="0" t="inlineStr">
        <is>
          <t xml:space="preserve">2023-03-28</t>
        </is>
      </c>
      <c r="C72" s="0" t="inlineStr">
        <is>
          <t xml:space="preserve">N00024-23-D-4311</t>
        </is>
      </c>
      <c r="D72" s="0" t="inlineStr">
        <is>
          <t xml:space="preserve">non_sub</t>
        </is>
      </c>
      <c r="E72" s="0" t="inlineStr">
        <is>
          <t xml:space="preserve">other</t>
        </is>
      </c>
      <c r="F72" s="0" t="inlineStr">
        <is>
          <t xml:space="preserve">EXCLUDE_REVIEW</t>
        </is>
      </c>
      <c r="G72" s="0" t="inlineStr">
        <is>
          <t xml:space="preserve">BC</t>
        </is>
      </c>
      <c r="H72" s="5">
        <v>0</v>
      </c>
      <c r="I72" s="5">
        <v>0</v>
      </c>
      <c r="J72" s="5">
        <v>1</v>
      </c>
      <c r="K72" s="5">
        <v>295.9</v>
      </c>
      <c r="L72" s="7">
        <v>0.0</v>
      </c>
      <c r="M72" s="7">
        <v>0.0</v>
      </c>
      <c r="N72" s="7">
        <v>0.0</v>
      </c>
      <c r="O72" s="7">
        <v>0.0</v>
      </c>
    </row>
    <row r="73" outlineLevel="1">
      <c r="B73" s="0" t="inlineStr">
        <is>
          <t xml:space="preserve">2025-06-06</t>
        </is>
      </c>
      <c r="C73" s="0" t="inlineStr">
        <is>
          <t xml:space="preserve">-</t>
        </is>
      </c>
      <c r="D73" s="0" t="inlineStr">
        <is>
          <t xml:space="preserve">non_sub</t>
        </is>
      </c>
      <c r="E73" s="0" t="inlineStr">
        <is>
          <t xml:space="preserve">sustainment_maintenance</t>
        </is>
      </c>
      <c r="F73" s="0" t="inlineStr">
        <is>
          <t xml:space="preserve">EXCLUDE_REVIEW</t>
        </is>
      </c>
      <c r="G73" s="0" t="inlineStr">
        <is>
          <t xml:space="preserve">BC</t>
        </is>
      </c>
      <c r="H73" s="5">
        <v>0</v>
      </c>
      <c r="I73" s="5">
        <v>0</v>
      </c>
      <c r="J73" s="5">
        <v>1</v>
      </c>
      <c r="K73" s="5">
        <v>294.019257</v>
      </c>
      <c r="L73" s="7">
        <v>0.0</v>
      </c>
      <c r="M73" s="7">
        <v>0.0</v>
      </c>
      <c r="N73" s="7">
        <v>1.0</v>
      </c>
      <c r="O73" s="7">
        <v>0.0</v>
      </c>
    </row>
    <row r="74" outlineLevel="1">
      <c r="B74" s="0" t="inlineStr">
        <is>
          <t xml:space="preserve">2026-02-27</t>
        </is>
      </c>
      <c r="C74" s="0" t="inlineStr">
        <is>
          <t xml:space="preserve">-</t>
        </is>
      </c>
      <c r="D74" s="0" t="inlineStr">
        <is>
          <t xml:space="preserve">non_sub</t>
        </is>
      </c>
      <c r="E74" s="0" t="inlineStr">
        <is>
          <t xml:space="preserve">other</t>
        </is>
      </c>
      <c r="F74" s="0" t="inlineStr">
        <is>
          <t xml:space="preserve">EXCLUDE_REVIEW</t>
        </is>
      </c>
      <c r="G74" s="0" t="inlineStr">
        <is>
          <t xml:space="preserve">BC</t>
        </is>
      </c>
      <c r="H74" s="5">
        <v>0</v>
      </c>
      <c r="I74" s="5">
        <v>0</v>
      </c>
      <c r="J74" s="5">
        <v>1</v>
      </c>
      <c r="K74" s="5">
        <v>291.794</v>
      </c>
      <c r="L74" s="7">
        <v>0.0</v>
      </c>
      <c r="M74" s="7">
        <v>0.0</v>
      </c>
      <c r="N74" s="7">
        <v>0.0</v>
      </c>
      <c r="O74" s="7">
        <v>0.0</v>
      </c>
    </row>
    <row r="75" outlineLevel="1">
      <c r="B75" s="0" t="inlineStr">
        <is>
          <t xml:space="preserve">2026-04-28</t>
        </is>
      </c>
      <c r="C75" s="0" t="inlineStr">
        <is>
          <t xml:space="preserve">N00024-26-C-2306</t>
        </is>
      </c>
      <c r="D75" s="0" t="inlineStr">
        <is>
          <t xml:space="preserve">non_sub</t>
        </is>
      </c>
      <c r="E75" s="0" t="inlineStr">
        <is>
          <t xml:space="preserve">lead_yard</t>
        </is>
      </c>
      <c r="F75" s="0" t="inlineStr">
        <is>
          <t xml:space="preserve">EXCLUDE_REVIEW</t>
        </is>
      </c>
      <c r="G75" s="0" t="inlineStr">
        <is>
          <t xml:space="preserve">BC</t>
        </is>
      </c>
      <c r="H75" s="5">
        <v>0</v>
      </c>
      <c r="I75" s="5">
        <v>0</v>
      </c>
      <c r="J75" s="5">
        <v>1</v>
      </c>
      <c r="K75" s="5">
        <v>282.885933</v>
      </c>
      <c r="L75" s="7">
        <v>0.0</v>
      </c>
      <c r="M75" s="7">
        <v>0.0</v>
      </c>
      <c r="N75" s="7">
        <v>0.0</v>
      </c>
      <c r="O75" s="7">
        <v>0.0</v>
      </c>
    </row>
    <row r="76" outlineLevel="1">
      <c r="B76" s="0" t="inlineStr">
        <is>
          <t xml:space="preserve">2025-01-17</t>
        </is>
      </c>
      <c r="C76" s="0" t="inlineStr">
        <is>
          <t xml:space="preserve">-</t>
        </is>
      </c>
      <c r="D76" s="0" t="inlineStr">
        <is>
          <t xml:space="preserve">non_sub</t>
        </is>
      </c>
      <c r="E76" s="0" t="inlineStr">
        <is>
          <t xml:space="preserve">sustainment_maintenance</t>
        </is>
      </c>
      <c r="F76" s="0" t="inlineStr">
        <is>
          <t xml:space="preserve">EXCLUDE_REVIEW</t>
        </is>
      </c>
      <c r="G76" s="0" t="inlineStr">
        <is>
          <t xml:space="preserve">BC</t>
        </is>
      </c>
      <c r="H76" s="5">
        <v>0</v>
      </c>
      <c r="I76" s="5">
        <v>0</v>
      </c>
      <c r="J76" s="5">
        <v>1</v>
      </c>
      <c r="K76" s="5">
        <v>280.418928</v>
      </c>
      <c r="L76" s="7">
        <v>0.0</v>
      </c>
      <c r="M76" s="7">
        <v>0.0</v>
      </c>
      <c r="N76" s="7">
        <v>0.0</v>
      </c>
      <c r="O76" s="7">
        <v>0.0</v>
      </c>
    </row>
    <row r="77" outlineLevel="1">
      <c r="B77" s="0" t="inlineStr">
        <is>
          <t xml:space="preserve">2025-08-08</t>
        </is>
      </c>
      <c r="C77" s="0" t="inlineStr">
        <is>
          <t xml:space="preserve">N00024-24-C-2106</t>
        </is>
      </c>
      <c r="D77" s="0" t="inlineStr">
        <is>
          <t xml:space="preserve">non_sub</t>
        </is>
      </c>
      <c r="E77" s="0" t="inlineStr">
        <is>
          <t xml:space="preserve">repair_overhaul</t>
        </is>
      </c>
      <c r="F77" s="0" t="inlineStr">
        <is>
          <t xml:space="preserve">EXCLUDE_REVIEW</t>
        </is>
      </c>
      <c r="G77" s="0" t="inlineStr">
        <is>
          <t xml:space="preserve">BC</t>
        </is>
      </c>
      <c r="H77" s="5">
        <v>0</v>
      </c>
      <c r="I77" s="5">
        <v>0</v>
      </c>
      <c r="J77" s="5">
        <v>1</v>
      </c>
      <c r="K77" s="5">
        <v>276.131707</v>
      </c>
      <c r="L77" s="7">
        <v>0.0</v>
      </c>
      <c r="M77" s="7">
        <v>0.0</v>
      </c>
      <c r="N77" s="7">
        <v>0.0</v>
      </c>
      <c r="O77" s="7">
        <v>0.0</v>
      </c>
    </row>
    <row r="78" outlineLevel="1">
      <c r="B78" s="0" t="inlineStr">
        <is>
          <t xml:space="preserve">2025-08-12</t>
        </is>
      </c>
      <c r="C78" s="0" t="inlineStr">
        <is>
          <t xml:space="preserve">N00024-25-C-5413</t>
        </is>
      </c>
      <c r="D78" s="0" t="inlineStr">
        <is>
          <t xml:space="preserve">non_sub</t>
        </is>
      </c>
      <c r="E78" s="0" t="inlineStr">
        <is>
          <t xml:space="preserve">fms</t>
        </is>
      </c>
      <c r="F78" s="0" t="inlineStr">
        <is>
          <t xml:space="preserve">EXCLUDE_REVIEW</t>
        </is>
      </c>
      <c r="G78" s="0" t="inlineStr">
        <is>
          <t xml:space="preserve">BC</t>
        </is>
      </c>
      <c r="H78" s="5">
        <v>0</v>
      </c>
      <c r="I78" s="5">
        <v>0</v>
      </c>
      <c r="J78" s="5">
        <v>1</v>
      </c>
      <c r="K78" s="5">
        <v>258.74233</v>
      </c>
      <c r="L78" s="7">
        <v>0.0</v>
      </c>
      <c r="M78" s="7">
        <v>0.0</v>
      </c>
      <c r="N78" s="7">
        <v>0.94</v>
      </c>
      <c r="O78" s="7">
        <v>0.0</v>
      </c>
    </row>
    <row r="79" outlineLevel="1">
      <c r="B79" s="0" t="inlineStr">
        <is>
          <t xml:space="preserve">2024-09-27</t>
        </is>
      </c>
      <c r="C79" s="0" t="inlineStr">
        <is>
          <t xml:space="preserve">-</t>
        </is>
      </c>
      <c r="D79" s="0" t="inlineStr">
        <is>
          <t xml:space="preserve">non_sub</t>
        </is>
      </c>
      <c r="E79" s="0" t="inlineStr">
        <is>
          <t xml:space="preserve">other</t>
        </is>
      </c>
      <c r="F79" s="0" t="inlineStr">
        <is>
          <t xml:space="preserve">EXCLUDE_REVIEW</t>
        </is>
      </c>
      <c r="G79" s="0" t="inlineStr">
        <is>
          <t xml:space="preserve">BC</t>
        </is>
      </c>
      <c r="H79" s="5">
        <v>0</v>
      </c>
      <c r="I79" s="5">
        <v>0</v>
      </c>
      <c r="J79" s="5">
        <v>1</v>
      </c>
      <c r="K79" s="5">
        <v>254.462442</v>
      </c>
      <c r="L79" s="7">
        <v>0.0</v>
      </c>
      <c r="M79" s="7">
        <v>0.0</v>
      </c>
      <c r="N79" s="7">
        <v>0.99</v>
      </c>
      <c r="O79" s="7">
        <v>0.0</v>
      </c>
    </row>
    <row r="80" outlineLevel="1">
      <c r="B80" s="0" t="inlineStr">
        <is>
          <t xml:space="preserve">2022-08-10</t>
        </is>
      </c>
      <c r="C80" s="0" t="inlineStr">
        <is>
          <t xml:space="preserve">-</t>
        </is>
      </c>
      <c r="D80" s="0" t="inlineStr">
        <is>
          <t xml:space="preserve">sub_operational</t>
        </is>
      </c>
      <c r="E80" s="0" t="inlineStr">
        <is>
          <t xml:space="preserve">lead_yard</t>
        </is>
      </c>
      <c r="F80" s="0" t="inlineStr">
        <is>
          <t xml:space="preserve">EXCLUDE_REVIEW</t>
        </is>
      </c>
      <c r="G80" s="0" t="inlineStr">
        <is>
          <t xml:space="preserve">BC</t>
        </is>
      </c>
      <c r="H80" s="5">
        <v>0</v>
      </c>
      <c r="I80" s="5">
        <v>0</v>
      </c>
      <c r="J80" s="5">
        <v>1</v>
      </c>
      <c r="K80" s="5">
        <v>236.182606</v>
      </c>
      <c r="L80" s="7">
        <v>0.7</v>
      </c>
      <c r="M80" s="7">
        <v>0.0</v>
      </c>
      <c r="N80" s="7">
        <v>0.3</v>
      </c>
      <c r="O80" s="7">
        <v>0.0</v>
      </c>
    </row>
    <row r="81" outlineLevel="1">
      <c r="B81" s="0" t="inlineStr">
        <is>
          <t xml:space="preserve">2023-03-31</t>
        </is>
      </c>
      <c r="C81" s="0" t="inlineStr">
        <is>
          <t xml:space="preserve">-</t>
        </is>
      </c>
      <c r="D81" s="0" t="inlineStr">
        <is>
          <t xml:space="preserve">non_sub</t>
        </is>
      </c>
      <c r="E81" s="0" t="inlineStr">
        <is>
          <t xml:space="preserve">other</t>
        </is>
      </c>
      <c r="F81" s="0" t="inlineStr">
        <is>
          <t xml:space="preserve">EXCLUDE_REVIEW</t>
        </is>
      </c>
      <c r="G81" s="0" t="inlineStr">
        <is>
          <t xml:space="preserve">BC</t>
        </is>
      </c>
      <c r="H81" s="5">
        <v>0</v>
      </c>
      <c r="I81" s="5">
        <v>0</v>
      </c>
      <c r="J81" s="5">
        <v>1</v>
      </c>
      <c r="K81" s="5">
        <v>235.904196</v>
      </c>
      <c r="L81" s="7">
        <v>0.0</v>
      </c>
      <c r="M81" s="7">
        <v>0.0</v>
      </c>
      <c r="N81" s="7">
        <v>0.96</v>
      </c>
      <c r="O81" s="7">
        <v>0.0</v>
      </c>
    </row>
    <row r="82" outlineLevel="1">
      <c r="B82" s="0" t="inlineStr">
        <is>
          <t xml:space="preserve">2026-04-22</t>
        </is>
      </c>
      <c r="C82" s="0" t="inlineStr">
        <is>
          <t xml:space="preserve">N00024-24-C-4212</t>
        </is>
      </c>
      <c r="D82" s="0" t="inlineStr">
        <is>
          <t xml:space="preserve">non_sub</t>
        </is>
      </c>
      <c r="E82" s="0" t="inlineStr">
        <is>
          <t xml:space="preserve">lead_yard</t>
        </is>
      </c>
      <c r="F82" s="0" t="inlineStr">
        <is>
          <t xml:space="preserve">EXCLUDE_REVIEW</t>
        </is>
      </c>
      <c r="G82" s="0" t="inlineStr">
        <is>
          <t xml:space="preserve">BC</t>
        </is>
      </c>
      <c r="H82" s="5">
        <v>0</v>
      </c>
      <c r="I82" s="5">
        <v>0</v>
      </c>
      <c r="J82" s="5">
        <v>1</v>
      </c>
      <c r="K82" s="5">
        <v>230.495111</v>
      </c>
      <c r="L82" s="7">
        <v>0.0</v>
      </c>
      <c r="M82" s="7">
        <v>0.0</v>
      </c>
      <c r="N82" s="7">
        <v>0.0</v>
      </c>
      <c r="O82" s="7">
        <v>0.0</v>
      </c>
    </row>
    <row r="83" outlineLevel="1">
      <c r="B83" s="0" t="inlineStr">
        <is>
          <t xml:space="preserve">2024-08-30</t>
        </is>
      </c>
      <c r="C83" s="0" t="inlineStr">
        <is>
          <t xml:space="preserve">-</t>
        </is>
      </c>
      <c r="D83" s="0" t="inlineStr">
        <is>
          <t xml:space="preserve">non_sub</t>
        </is>
      </c>
      <c r="E83" s="0" t="inlineStr">
        <is>
          <t xml:space="preserve">sustainment_maintenance</t>
        </is>
      </c>
      <c r="F83" s="0" t="inlineStr">
        <is>
          <t xml:space="preserve">EXCLUDE_REVIEW</t>
        </is>
      </c>
      <c r="G83" s="0" t="inlineStr">
        <is>
          <t xml:space="preserve">BC</t>
        </is>
      </c>
      <c r="H83" s="5">
        <v>0</v>
      </c>
      <c r="I83" s="5">
        <v>0</v>
      </c>
      <c r="J83" s="5">
        <v>1</v>
      </c>
      <c r="K83" s="5">
        <v>228.293732</v>
      </c>
      <c r="L83" s="7">
        <v>0.0</v>
      </c>
      <c r="M83" s="7">
        <v>0.0</v>
      </c>
      <c r="N83" s="7">
        <v>0.91</v>
      </c>
      <c r="O83" s="7">
        <v>0.0</v>
      </c>
    </row>
    <row r="84" outlineLevel="1">
      <c r="B84" s="0" t="inlineStr">
        <is>
          <t xml:space="preserve">2026-05-13</t>
        </is>
      </c>
      <c r="C84" s="0" t="inlineStr">
        <is>
          <t xml:space="preserve">N00024-21-D-4114</t>
        </is>
      </c>
      <c r="D84" s="0" t="inlineStr">
        <is>
          <t xml:space="preserve">non_sub</t>
        </is>
      </c>
      <c r="E84" s="0" t="inlineStr">
        <is>
          <t xml:space="preserve">repair_overhaul</t>
        </is>
      </c>
      <c r="F84" s="0" t="inlineStr">
        <is>
          <t xml:space="preserve">EXCLUDE_REVIEW</t>
        </is>
      </c>
      <c r="G84" s="0" t="inlineStr">
        <is>
          <t xml:space="preserve">BC</t>
        </is>
      </c>
      <c r="H84" s="5">
        <v>0</v>
      </c>
      <c r="I84" s="5">
        <v>0</v>
      </c>
      <c r="J84" s="5">
        <v>1</v>
      </c>
      <c r="K84" s="5">
        <v>220.654563</v>
      </c>
      <c r="L84" s="7">
        <v>0.0</v>
      </c>
      <c r="M84" s="7">
        <v>0.0</v>
      </c>
      <c r="N84" s="7">
        <v>0.0</v>
      </c>
      <c r="O84" s="7">
        <v>0.0</v>
      </c>
    </row>
    <row r="85" outlineLevel="1">
      <c r="B85" s="0" t="inlineStr">
        <is>
          <t xml:space="preserve">2023-10-13</t>
        </is>
      </c>
      <c r="C85" s="0" t="inlineStr">
        <is>
          <t xml:space="preserve">N00024-24-C-2110</t>
        </is>
      </c>
      <c r="D85" s="0" t="inlineStr">
        <is>
          <t xml:space="preserve">va</t>
        </is>
      </c>
      <c r="E85" s="0" t="inlineStr">
        <is>
          <t xml:space="preserve">lltm_early_mfg</t>
        </is>
      </c>
      <c r="F85" s="0" t="inlineStr">
        <is>
          <t xml:space="preserve">INCLUDE_AP_LLTM</t>
        </is>
      </c>
      <c r="G85" s="0" t="inlineStr">
        <is>
          <t xml:space="preserve">AP_LLTM</t>
        </is>
      </c>
      <c r="H85" s="5">
        <v>1</v>
      </c>
      <c r="I85" s="5">
        <v>0</v>
      </c>
      <c r="J85" s="5">
        <v>1</v>
      </c>
      <c r="K85" s="5">
        <v>216.51</v>
      </c>
      <c r="L85" s="7">
        <v>0.0</v>
      </c>
      <c r="M85" s="7">
        <v>0.0</v>
      </c>
      <c r="N85" s="7">
        <v>1.0</v>
      </c>
      <c r="O85" s="7">
        <v>0.0</v>
      </c>
    </row>
    <row r="86" outlineLevel="1">
      <c r="B86" s="0" t="inlineStr">
        <is>
          <t xml:space="preserve">2025-05-14</t>
        </is>
      </c>
      <c r="C86" s="0" t="inlineStr">
        <is>
          <t xml:space="preserve">N00024-24-C-4212</t>
        </is>
      </c>
      <c r="D86" s="0" t="inlineStr">
        <is>
          <t xml:space="preserve">non_sub</t>
        </is>
      </c>
      <c r="E86" s="0" t="inlineStr">
        <is>
          <t xml:space="preserve">lead_yard</t>
        </is>
      </c>
      <c r="F86" s="0" t="inlineStr">
        <is>
          <t xml:space="preserve">EXCLUDE_REVIEW</t>
        </is>
      </c>
      <c r="G86" s="0" t="inlineStr">
        <is>
          <t xml:space="preserve">BC</t>
        </is>
      </c>
      <c r="H86" s="5">
        <v>0</v>
      </c>
      <c r="I86" s="5">
        <v>0</v>
      </c>
      <c r="J86" s="5">
        <v>1</v>
      </c>
      <c r="K86" s="5">
        <v>216.493753</v>
      </c>
      <c r="L86" s="7">
        <v>0.0</v>
      </c>
      <c r="M86" s="7">
        <v>0.0</v>
      </c>
      <c r="N86" s="7">
        <v>0.0</v>
      </c>
      <c r="O86" s="7">
        <v>0.0</v>
      </c>
    </row>
    <row r="87" outlineLevel="1">
      <c r="B87" s="0" t="inlineStr">
        <is>
          <t xml:space="preserve">2026-04-20</t>
        </is>
      </c>
      <c r="C87" s="0" t="inlineStr">
        <is>
          <t xml:space="preserve">N00024-22-C-5522</t>
        </is>
      </c>
      <c r="D87" s="0" t="inlineStr">
        <is>
          <t xml:space="preserve">non_sub</t>
        </is>
      </c>
      <c r="E87" s="0" t="inlineStr">
        <is>
          <t xml:space="preserve">sustainment_maintenance</t>
        </is>
      </c>
      <c r="F87" s="0" t="inlineStr">
        <is>
          <t xml:space="preserve">EXCLUDE_REVIEW</t>
        </is>
      </c>
      <c r="G87" s="0" t="inlineStr">
        <is>
          <t xml:space="preserve">BC</t>
        </is>
      </c>
      <c r="H87" s="5">
        <v>0</v>
      </c>
      <c r="I87" s="5">
        <v>0</v>
      </c>
      <c r="J87" s="5">
        <v>1</v>
      </c>
      <c r="K87" s="5">
        <v>213.387048</v>
      </c>
      <c r="L87" s="7">
        <v>0.0</v>
      </c>
      <c r="M87" s="7">
        <v>0.0</v>
      </c>
      <c r="N87" s="7">
        <v>1.0</v>
      </c>
      <c r="O87" s="7">
        <v>0.0</v>
      </c>
    </row>
    <row r="88" outlineLevel="1">
      <c r="B88" s="0" t="inlineStr">
        <is>
          <t xml:space="preserve">2025-09-05</t>
        </is>
      </c>
      <c r="C88" s="0" t="inlineStr">
        <is>
          <t xml:space="preserve">N00024-24-C-5406</t>
        </is>
      </c>
      <c r="D88" s="0" t="inlineStr">
        <is>
          <t xml:space="preserve">non_sub</t>
        </is>
      </c>
      <c r="E88" s="0" t="inlineStr">
        <is>
          <t xml:space="preserve">other</t>
        </is>
      </c>
      <c r="F88" s="0" t="inlineStr">
        <is>
          <t xml:space="preserve">EXCLUDE_REVIEW</t>
        </is>
      </c>
      <c r="G88" s="0" t="inlineStr">
        <is>
          <t xml:space="preserve">BC</t>
        </is>
      </c>
      <c r="H88" s="5">
        <v>0</v>
      </c>
      <c r="I88" s="5">
        <v>0</v>
      </c>
      <c r="J88" s="5">
        <v>1</v>
      </c>
      <c r="K88" s="5">
        <v>205.113738</v>
      </c>
      <c r="L88" s="7">
        <v>0.0</v>
      </c>
      <c r="M88" s="7">
        <v>0.0</v>
      </c>
      <c r="N88" s="7">
        <v>0.75</v>
      </c>
      <c r="O88" s="7">
        <v>0.0</v>
      </c>
    </row>
    <row r="89" outlineLevel="1">
      <c r="B89" s="0" t="inlineStr">
        <is>
          <t xml:space="preserve">2024-06-14</t>
        </is>
      </c>
      <c r="C89" s="0" t="inlineStr">
        <is>
          <t xml:space="preserve">N00024-24-C-4212</t>
        </is>
      </c>
      <c r="D89" s="0" t="inlineStr">
        <is>
          <t xml:space="preserve">non_sub</t>
        </is>
      </c>
      <c r="E89" s="0" t="inlineStr">
        <is>
          <t xml:space="preserve">lead_yard</t>
        </is>
      </c>
      <c r="F89" s="0" t="inlineStr">
        <is>
          <t xml:space="preserve">EXCLUDE_REVIEW</t>
        </is>
      </c>
      <c r="G89" s="0" t="inlineStr">
        <is>
          <t xml:space="preserve">BC</t>
        </is>
      </c>
      <c r="H89" s="5">
        <v>0</v>
      </c>
      <c r="I89" s="5">
        <v>0</v>
      </c>
      <c r="J89" s="5">
        <v>1</v>
      </c>
      <c r="K89" s="5">
        <v>202.73309</v>
      </c>
      <c r="L89" s="7">
        <v>0.0</v>
      </c>
      <c r="M89" s="7">
        <v>0.0</v>
      </c>
      <c r="N89" s="7">
        <v>0.0</v>
      </c>
      <c r="O89" s="7">
        <v>0.0</v>
      </c>
    </row>
    <row r="90" outlineLevel="1">
      <c r="B90" s="0" t="inlineStr">
        <is>
          <t xml:space="preserve">2025-07-23</t>
        </is>
      </c>
      <c r="C90" s="0" t="inlineStr">
        <is>
          <t xml:space="preserve">N00024-25-D-4141</t>
        </is>
      </c>
      <c r="D90" s="0" t="inlineStr">
        <is>
          <t xml:space="preserve">non_sub</t>
        </is>
      </c>
      <c r="E90" s="0" t="inlineStr">
        <is>
          <t xml:space="preserve">sustainment_maintenance</t>
        </is>
      </c>
      <c r="F90" s="0" t="inlineStr">
        <is>
          <t xml:space="preserve">EXCLUDE_REVIEW</t>
        </is>
      </c>
      <c r="G90" s="0" t="inlineStr">
        <is>
          <t xml:space="preserve">BC</t>
        </is>
      </c>
      <c r="H90" s="5">
        <v>0</v>
      </c>
      <c r="I90" s="5">
        <v>0</v>
      </c>
      <c r="J90" s="5">
        <v>1</v>
      </c>
      <c r="K90" s="5">
        <v>199.0</v>
      </c>
      <c r="L90" s="7">
        <v>0.0</v>
      </c>
      <c r="M90" s="7">
        <v>0.0</v>
      </c>
      <c r="N90" s="7">
        <v>0.0</v>
      </c>
      <c r="O90" s="7">
        <v>0.0</v>
      </c>
    </row>
    <row r="91" outlineLevel="1">
      <c r="B91" s="0" t="inlineStr">
        <is>
          <t xml:space="preserve">2025-08-05</t>
        </is>
      </c>
      <c r="C91" s="0" t="inlineStr">
        <is>
          <t xml:space="preserve">N00024-25-D-4141</t>
        </is>
      </c>
      <c r="D91" s="0" t="inlineStr">
        <is>
          <t xml:space="preserve">non_sub</t>
        </is>
      </c>
      <c r="E91" s="0" t="inlineStr">
        <is>
          <t xml:space="preserve">sustainment_maintenance</t>
        </is>
      </c>
      <c r="F91" s="0" t="inlineStr">
        <is>
          <t xml:space="preserve">EXCLUDE_REVIEW</t>
        </is>
      </c>
      <c r="G91" s="0" t="inlineStr">
        <is>
          <t xml:space="preserve">BC</t>
        </is>
      </c>
      <c r="H91" s="5">
        <v>0</v>
      </c>
      <c r="I91" s="5">
        <v>0</v>
      </c>
      <c r="J91" s="5">
        <v>1</v>
      </c>
      <c r="K91" s="5">
        <v>199.0</v>
      </c>
      <c r="L91" s="7">
        <v>0.0</v>
      </c>
      <c r="M91" s="7">
        <v>0.0</v>
      </c>
      <c r="N91" s="7">
        <v>0.0</v>
      </c>
      <c r="O91" s="7">
        <v>0.0</v>
      </c>
    </row>
    <row r="92" outlineLevel="1">
      <c r="B92" s="0" t="inlineStr">
        <is>
          <t xml:space="preserve">2025-07-10</t>
        </is>
      </c>
      <c r="C92" s="0" t="inlineStr">
        <is>
          <t xml:space="preserve">N00024-20-C-6117</t>
        </is>
      </c>
      <c r="D92" s="0" t="inlineStr">
        <is>
          <t xml:space="preserve">non_sub</t>
        </is>
      </c>
      <c r="E92" s="0" t="inlineStr">
        <is>
          <t xml:space="preserve">design</t>
        </is>
      </c>
      <c r="F92" s="0" t="inlineStr">
        <is>
          <t xml:space="preserve">EXCLUDE_REVIEW</t>
        </is>
      </c>
      <c r="G92" s="0" t="inlineStr">
        <is>
          <t xml:space="preserve">BC</t>
        </is>
      </c>
      <c r="H92" s="5">
        <v>0</v>
      </c>
      <c r="I92" s="5">
        <v>0</v>
      </c>
      <c r="J92" s="5">
        <v>1</v>
      </c>
      <c r="K92" s="5">
        <v>197.477596</v>
      </c>
      <c r="L92" s="7">
        <v>0.0</v>
      </c>
      <c r="M92" s="7">
        <v>0.0</v>
      </c>
      <c r="N92" s="7">
        <v>1.0</v>
      </c>
      <c r="O92" s="7">
        <v>0.0</v>
      </c>
    </row>
    <row r="93" outlineLevel="1">
      <c r="B93" s="0" t="inlineStr">
        <is>
          <t xml:space="preserve">2026-04-23</t>
        </is>
      </c>
      <c r="C93" s="0" t="inlineStr">
        <is>
          <t xml:space="preserve">N00024-26-C-2132</t>
        </is>
      </c>
      <c r="D93" s="0" t="inlineStr">
        <is>
          <t xml:space="preserve">sub_other</t>
        </is>
      </c>
      <c r="E93" s="0" t="inlineStr">
        <is>
          <t xml:space="preserve">lead_yard</t>
        </is>
      </c>
      <c r="F93" s="0" t="inlineStr">
        <is>
          <t xml:space="preserve">EXCLUDE_REVIEW</t>
        </is>
      </c>
      <c r="G93" s="0" t="inlineStr">
        <is>
          <t xml:space="preserve">BC</t>
        </is>
      </c>
      <c r="H93" s="5">
        <v>0</v>
      </c>
      <c r="I93" s="5">
        <v>0</v>
      </c>
      <c r="J93" s="5">
        <v>1</v>
      </c>
      <c r="K93" s="5">
        <v>196.554317</v>
      </c>
      <c r="L93" s="7">
        <v>0.77</v>
      </c>
      <c r="M93" s="7">
        <v>0.0</v>
      </c>
      <c r="N93" s="7">
        <v>0.09</v>
      </c>
      <c r="O93" s="7">
        <v>0.13</v>
      </c>
    </row>
    <row r="94" outlineLevel="1">
      <c r="B94" s="0" t="inlineStr">
        <is>
          <t xml:space="preserve">2023-06-27</t>
        </is>
      </c>
      <c r="C94" s="0" t="inlineStr">
        <is>
          <t xml:space="preserve">-</t>
        </is>
      </c>
      <c r="D94" s="0" t="inlineStr">
        <is>
          <t xml:space="preserve">non_sub</t>
        </is>
      </c>
      <c r="E94" s="0" t="inlineStr">
        <is>
          <t xml:space="preserve">design</t>
        </is>
      </c>
      <c r="F94" s="0" t="inlineStr">
        <is>
          <t xml:space="preserve">EXCLUDE_REVIEW</t>
        </is>
      </c>
      <c r="G94" s="0" t="inlineStr">
        <is>
          <t xml:space="preserve">BC</t>
        </is>
      </c>
      <c r="H94" s="5">
        <v>0</v>
      </c>
      <c r="I94" s="5">
        <v>0</v>
      </c>
      <c r="J94" s="5">
        <v>1</v>
      </c>
      <c r="K94" s="5">
        <v>188.482241</v>
      </c>
      <c r="L94" s="7">
        <v>0.0</v>
      </c>
      <c r="M94" s="7">
        <v>0.0</v>
      </c>
      <c r="N94" s="7">
        <v>1.0</v>
      </c>
      <c r="O94" s="7">
        <v>0.0</v>
      </c>
    </row>
    <row r="95" outlineLevel="1">
      <c r="B95" s="0" t="inlineStr">
        <is>
          <t xml:space="preserve">2025-01-08</t>
        </is>
      </c>
      <c r="C95" s="0" t="inlineStr">
        <is>
          <t xml:space="preserve">-</t>
        </is>
      </c>
      <c r="D95" s="0" t="inlineStr">
        <is>
          <t xml:space="preserve">va</t>
        </is>
      </c>
      <c r="E95" s="0" t="inlineStr">
        <is>
          <t xml:space="preserve">construction</t>
        </is>
      </c>
      <c r="F95" s="0" t="inlineStr">
        <is>
          <t xml:space="preserve">INCLUDE_BC</t>
        </is>
      </c>
      <c r="G95" s="0" t="inlineStr">
        <is>
          <t xml:space="preserve">BC</t>
        </is>
      </c>
      <c r="H95" s="5">
        <v>1</v>
      </c>
      <c r="I95" s="5">
        <v>0</v>
      </c>
      <c r="J95" s="5">
        <v>1</v>
      </c>
      <c r="K95" s="5">
        <v>188.0</v>
      </c>
      <c r="L95" s="7">
        <v>0.0</v>
      </c>
      <c r="M95" s="7">
        <v>0.02</v>
      </c>
      <c r="N95" s="7">
        <v>0.98</v>
      </c>
      <c r="O95" s="7">
        <v>0.0</v>
      </c>
    </row>
    <row r="96" outlineLevel="1">
      <c r="B96" s="0" t="inlineStr">
        <is>
          <t xml:space="preserve">2024-07-12</t>
        </is>
      </c>
      <c r="C96" s="0" t="inlineStr">
        <is>
          <t xml:space="preserve">N00024-18-C-5218</t>
        </is>
      </c>
      <c r="D96" s="0" t="inlineStr">
        <is>
          <t xml:space="preserve">non_sub</t>
        </is>
      </c>
      <c r="E96" s="0" t="inlineStr">
        <is>
          <t xml:space="preserve">other</t>
        </is>
      </c>
      <c r="F96" s="0" t="inlineStr">
        <is>
          <t xml:space="preserve">EXCLUDE_REVIEW</t>
        </is>
      </c>
      <c r="G96" s="0" t="inlineStr">
        <is>
          <t xml:space="preserve">BC</t>
        </is>
      </c>
      <c r="H96" s="5">
        <v>0</v>
      </c>
      <c r="I96" s="5">
        <v>0</v>
      </c>
      <c r="J96" s="5">
        <v>1</v>
      </c>
      <c r="K96" s="5">
        <v>180.49647</v>
      </c>
      <c r="L96" s="7">
        <v>0.0</v>
      </c>
      <c r="M96" s="7">
        <v>0.0</v>
      </c>
      <c r="N96" s="7">
        <v>1.0</v>
      </c>
      <c r="O96" s="7">
        <v>0.0</v>
      </c>
    </row>
    <row r="97" outlineLevel="1">
      <c r="B97" s="0" t="inlineStr">
        <is>
          <t xml:space="preserve">2025-01-10</t>
        </is>
      </c>
      <c r="C97" s="0" t="inlineStr">
        <is>
          <t xml:space="preserve">-</t>
        </is>
      </c>
      <c r="D97" s="0" t="inlineStr">
        <is>
          <t xml:space="preserve">bpmi_nuclear</t>
        </is>
      </c>
      <c r="E97" s="0" t="inlineStr">
        <is>
          <t xml:space="preserve">component_procurement</t>
        </is>
      </c>
      <c r="F97" s="0" t="inlineStr">
        <is>
          <t xml:space="preserve">EXCLUDE_GFE_NUCLEAR</t>
        </is>
      </c>
      <c r="G97" s="0" t="inlineStr">
        <is>
          <t xml:space="preserve">BC</t>
        </is>
      </c>
      <c r="H97" s="5">
        <v>1</v>
      </c>
      <c r="I97" s="5">
        <v>1</v>
      </c>
      <c r="J97" s="5">
        <v>1</v>
      </c>
      <c r="K97" s="5">
        <v>175.647555</v>
      </c>
      <c r="L97" s="7">
        <v>0.0</v>
      </c>
      <c r="M97" s="7">
        <v>0.0</v>
      </c>
      <c r="N97" s="7">
        <v>1.0</v>
      </c>
      <c r="O97" s="7">
        <v>0.0</v>
      </c>
    </row>
    <row r="98" outlineLevel="1">
      <c r="B98" s="0" t="inlineStr">
        <is>
          <t xml:space="preserve">2022-09-30</t>
        </is>
      </c>
      <c r="C98" s="0" t="inlineStr">
        <is>
          <t xml:space="preserve">N66604-22-C-0663</t>
        </is>
      </c>
      <c r="D98" s="0" t="inlineStr">
        <is>
          <t xml:space="preserve">sub_other</t>
        </is>
      </c>
      <c r="E98" s="0" t="inlineStr">
        <is>
          <t xml:space="preserve">engineering</t>
        </is>
      </c>
      <c r="F98" s="0" t="inlineStr">
        <is>
          <t xml:space="preserve">EXCLUDE_REVIEW</t>
        </is>
      </c>
      <c r="G98" s="0" t="inlineStr">
        <is>
          <t xml:space="preserve">BC</t>
        </is>
      </c>
      <c r="H98" s="5">
        <v>0</v>
      </c>
      <c r="I98" s="5">
        <v>0</v>
      </c>
      <c r="J98" s="5">
        <v>1</v>
      </c>
      <c r="K98" s="5">
        <v>173.179537</v>
      </c>
      <c r="L98" s="7">
        <v>0.0</v>
      </c>
      <c r="M98" s="7">
        <v>0.0</v>
      </c>
      <c r="N98" s="7">
        <v>0.0</v>
      </c>
      <c r="O98" s="7">
        <v>0.0</v>
      </c>
    </row>
    <row r="99" outlineLevel="1">
      <c r="B99" s="0" t="inlineStr">
        <is>
          <t xml:space="preserve">2023-12-11</t>
        </is>
      </c>
      <c r="C99" s="0" t="inlineStr">
        <is>
          <t xml:space="preserve">-</t>
        </is>
      </c>
      <c r="D99" s="0" t="inlineStr">
        <is>
          <t xml:space="preserve">bpmi_nuclear</t>
        </is>
      </c>
      <c r="E99" s="0" t="inlineStr">
        <is>
          <t xml:space="preserve">component_procurement</t>
        </is>
      </c>
      <c r="F99" s="0" t="inlineStr">
        <is>
          <t xml:space="preserve">EXCLUDE_GFE_NUCLEAR</t>
        </is>
      </c>
      <c r="G99" s="0" t="inlineStr">
        <is>
          <t xml:space="preserve">BC</t>
        </is>
      </c>
      <c r="H99" s="5">
        <v>1</v>
      </c>
      <c r="I99" s="5">
        <v>1</v>
      </c>
      <c r="J99" s="5">
        <v>1</v>
      </c>
      <c r="K99" s="5">
        <v>172.999995</v>
      </c>
      <c r="L99" s="7">
        <v>0.0</v>
      </c>
      <c r="M99" s="7">
        <v>0.0</v>
      </c>
      <c r="N99" s="7">
        <v>1.0</v>
      </c>
      <c r="O99" s="7">
        <v>0.0</v>
      </c>
    </row>
    <row r="100" outlineLevel="1">
      <c r="B100" s="0" t="inlineStr">
        <is>
          <t xml:space="preserve">2025-02-07</t>
        </is>
      </c>
      <c r="C100" s="0" t="inlineStr">
        <is>
          <t xml:space="preserve">N00024-25-C-2405</t>
        </is>
      </c>
      <c r="D100" s="0" t="inlineStr">
        <is>
          <t xml:space="preserve">non_sub</t>
        </is>
      </c>
      <c r="E100" s="0" t="inlineStr">
        <is>
          <t xml:space="preserve">other</t>
        </is>
      </c>
      <c r="F100" s="0" t="inlineStr">
        <is>
          <t xml:space="preserve">EXCLUDE_REVIEW</t>
        </is>
      </c>
      <c r="G100" s="0" t="inlineStr">
        <is>
          <t xml:space="preserve">BC</t>
        </is>
      </c>
      <c r="H100" s="5">
        <v>0</v>
      </c>
      <c r="I100" s="5">
        <v>0</v>
      </c>
      <c r="J100" s="5">
        <v>1</v>
      </c>
      <c r="K100" s="5">
        <v>167.383203</v>
      </c>
      <c r="L100" s="7">
        <v>0.0</v>
      </c>
      <c r="M100" s="7">
        <v>0.0</v>
      </c>
      <c r="N100" s="7">
        <v>0.0</v>
      </c>
      <c r="O100" s="7">
        <v>0.0</v>
      </c>
    </row>
    <row r="101" outlineLevel="1">
      <c r="B101" s="0" t="inlineStr">
        <is>
          <t xml:space="preserve">2025-09-11</t>
        </is>
      </c>
      <c r="C101" s="0" t="inlineStr">
        <is>
          <t xml:space="preserve">-</t>
        </is>
      </c>
      <c r="D101" s="0" t="inlineStr">
        <is>
          <t xml:space="preserve">non_sub</t>
        </is>
      </c>
      <c r="E101" s="0" t="inlineStr">
        <is>
          <t xml:space="preserve">repair_overhaul</t>
        </is>
      </c>
      <c r="F101" s="0" t="inlineStr">
        <is>
          <t xml:space="preserve">EXCLUDE_REVIEW</t>
        </is>
      </c>
      <c r="G101" s="0" t="inlineStr">
        <is>
          <t xml:space="preserve">BC</t>
        </is>
      </c>
      <c r="H101" s="5">
        <v>0</v>
      </c>
      <c r="I101" s="5">
        <v>0</v>
      </c>
      <c r="J101" s="5">
        <v>1</v>
      </c>
      <c r="K101" s="5">
        <v>160.094898</v>
      </c>
      <c r="L101" s="7">
        <v>0.0</v>
      </c>
      <c r="M101" s="7">
        <v>0.0</v>
      </c>
      <c r="N101" s="7">
        <v>0.0</v>
      </c>
      <c r="O101" s="7">
        <v>0.0</v>
      </c>
    </row>
    <row r="102" outlineLevel="1">
      <c r="B102" s="0" t="inlineStr">
        <is>
          <t xml:space="preserve">2025-07-21</t>
        </is>
      </c>
      <c r="C102" s="0" t="inlineStr">
        <is>
          <t xml:space="preserve">N00024-17-C-2100</t>
        </is>
      </c>
      <c r="D102" s="0" t="inlineStr">
        <is>
          <t xml:space="preserve">va</t>
        </is>
      </c>
      <c r="E102" s="0" t="inlineStr">
        <is>
          <t xml:space="preserve">component_procurement</t>
        </is>
      </c>
      <c r="F102" s="0" t="inlineStr">
        <is>
          <t xml:space="preserve">INCLUDE_BC</t>
        </is>
      </c>
      <c r="G102" s="0" t="inlineStr">
        <is>
          <t xml:space="preserve">BC</t>
        </is>
      </c>
      <c r="H102" s="5">
        <v>1</v>
      </c>
      <c r="I102" s="5">
        <v>0</v>
      </c>
      <c r="J102" s="5">
        <v>1</v>
      </c>
      <c r="K102" s="5">
        <v>159.675741</v>
      </c>
      <c r="L102" s="7">
        <v>0.0</v>
      </c>
      <c r="M102" s="7">
        <v>0.0</v>
      </c>
      <c r="N102" s="7">
        <v>0.0</v>
      </c>
      <c r="O102" s="7">
        <v>0.0</v>
      </c>
    </row>
    <row r="103" outlineLevel="1">
      <c r="B103" s="0" t="inlineStr">
        <is>
          <t xml:space="preserve">2024-02-23</t>
        </is>
      </c>
      <c r="C103" s="0" t="inlineStr">
        <is>
          <t xml:space="preserve">-</t>
        </is>
      </c>
      <c r="D103" s="0" t="inlineStr">
        <is>
          <t xml:space="preserve">va</t>
        </is>
      </c>
      <c r="E103" s="0" t="inlineStr">
        <is>
          <t xml:space="preserve">lltm_early_mfg</t>
        </is>
      </c>
      <c r="F103" s="0" t="inlineStr">
        <is>
          <t xml:space="preserve">INCLUDE_AP_LLTM</t>
        </is>
      </c>
      <c r="G103" s="0" t="inlineStr">
        <is>
          <t xml:space="preserve">AP_LLTM</t>
        </is>
      </c>
      <c r="H103" s="5">
        <v>1</v>
      </c>
      <c r="I103" s="5">
        <v>0</v>
      </c>
      <c r="J103" s="5">
        <v>1</v>
      </c>
      <c r="K103" s="5">
        <v>150.984</v>
      </c>
      <c r="L103" s="7">
        <v>0.0</v>
      </c>
      <c r="M103" s="7">
        <v>0.0</v>
      </c>
      <c r="N103" s="7">
        <v>1.0</v>
      </c>
      <c r="O103" s="7">
        <v>0.0</v>
      </c>
    </row>
    <row r="104" outlineLevel="1">
      <c r="B104" s="0" t="inlineStr">
        <is>
          <t xml:space="preserve">2025-12-23</t>
        </is>
      </c>
      <c r="C104" s="0" t="inlineStr">
        <is>
          <t xml:space="preserve">N00024-26-C-5403</t>
        </is>
      </c>
      <c r="D104" s="0" t="inlineStr">
        <is>
          <t xml:space="preserve">non_sub</t>
        </is>
      </c>
      <c r="E104" s="0" t="inlineStr">
        <is>
          <t xml:space="preserve">fms</t>
        </is>
      </c>
      <c r="F104" s="0" t="inlineStr">
        <is>
          <t xml:space="preserve">EXCLUDE_REVIEW</t>
        </is>
      </c>
      <c r="G104" s="0" t="inlineStr">
        <is>
          <t xml:space="preserve">BC</t>
        </is>
      </c>
      <c r="H104" s="5">
        <v>0</v>
      </c>
      <c r="I104" s="5">
        <v>0</v>
      </c>
      <c r="J104" s="5">
        <v>1</v>
      </c>
      <c r="K104" s="5">
        <v>146.205116</v>
      </c>
      <c r="L104" s="7">
        <v>0.0</v>
      </c>
      <c r="M104" s="7">
        <v>0.0</v>
      </c>
      <c r="N104" s="7">
        <v>0.95</v>
      </c>
      <c r="O104" s="7">
        <v>0.0</v>
      </c>
    </row>
    <row r="105" outlineLevel="1">
      <c r="B105" s="0" t="inlineStr">
        <is>
          <t xml:space="preserve">2024-03-21</t>
        </is>
      </c>
      <c r="C105" s="0" t="inlineStr">
        <is>
          <t xml:space="preserve">N00024-19-C-2125</t>
        </is>
      </c>
      <c r="D105" s="0" t="inlineStr">
        <is>
          <t xml:space="preserve">sub_operational</t>
        </is>
      </c>
      <c r="E105" s="0" t="inlineStr">
        <is>
          <t xml:space="preserve">lead_yard</t>
        </is>
      </c>
      <c r="F105" s="0" t="inlineStr">
        <is>
          <t xml:space="preserve">EXCLUDE_REVIEW</t>
        </is>
      </c>
      <c r="G105" s="0" t="inlineStr">
        <is>
          <t xml:space="preserve">BC</t>
        </is>
      </c>
      <c r="H105" s="5">
        <v>0</v>
      </c>
      <c r="I105" s="5">
        <v>0</v>
      </c>
      <c r="J105" s="5">
        <v>1</v>
      </c>
      <c r="K105" s="5">
        <v>145.0</v>
      </c>
      <c r="L105" s="7">
        <v>0.7</v>
      </c>
      <c r="M105" s="7">
        <v>0.0</v>
      </c>
      <c r="N105" s="7">
        <v>0.3</v>
      </c>
      <c r="O105" s="7">
        <v>0.0</v>
      </c>
    </row>
    <row r="106" outlineLevel="1">
      <c r="B106" s="0" t="inlineStr">
        <is>
          <t xml:space="preserve">2023-12-22</t>
        </is>
      </c>
      <c r="C106" s="0" t="inlineStr">
        <is>
          <t xml:space="preserve">-</t>
        </is>
      </c>
      <c r="D106" s="0" t="inlineStr">
        <is>
          <t xml:space="preserve">non_sub</t>
        </is>
      </c>
      <c r="E106" s="0" t="inlineStr">
        <is>
          <t xml:space="preserve">sustainment_maintenance</t>
        </is>
      </c>
      <c r="F106" s="0" t="inlineStr">
        <is>
          <t xml:space="preserve">EXCLUDE_REVIEW</t>
        </is>
      </c>
      <c r="G106" s="0" t="inlineStr">
        <is>
          <t xml:space="preserve">BC</t>
        </is>
      </c>
      <c r="H106" s="5">
        <v>0</v>
      </c>
      <c r="I106" s="5">
        <v>0</v>
      </c>
      <c r="J106" s="5">
        <v>1</v>
      </c>
      <c r="K106" s="5">
        <v>141.510746</v>
      </c>
      <c r="L106" s="7">
        <v>0.0</v>
      </c>
      <c r="M106" s="7">
        <v>0.0</v>
      </c>
      <c r="N106" s="7">
        <v>0.0</v>
      </c>
      <c r="O106" s="7">
        <v>0.0</v>
      </c>
    </row>
    <row r="107" outlineLevel="1">
      <c r="B107" s="0" t="inlineStr">
        <is>
          <t xml:space="preserve">2025-03-20</t>
        </is>
      </c>
      <c r="C107" s="0" t="inlineStr">
        <is>
          <t xml:space="preserve">N00024-21-C-5411</t>
        </is>
      </c>
      <c r="D107" s="0" t="inlineStr">
        <is>
          <t xml:space="preserve">non_sub</t>
        </is>
      </c>
      <c r="E107" s="0" t="inlineStr">
        <is>
          <t xml:space="preserve">fms</t>
        </is>
      </c>
      <c r="F107" s="0" t="inlineStr">
        <is>
          <t xml:space="preserve">EXCLUDE_REVIEW</t>
        </is>
      </c>
      <c r="G107" s="0" t="inlineStr">
        <is>
          <t xml:space="preserve">BC</t>
        </is>
      </c>
      <c r="H107" s="5">
        <v>0</v>
      </c>
      <c r="I107" s="5">
        <v>0</v>
      </c>
      <c r="J107" s="5">
        <v>1</v>
      </c>
      <c r="K107" s="5">
        <v>141.05</v>
      </c>
      <c r="L107" s="7">
        <v>0.0</v>
      </c>
      <c r="M107" s="7">
        <v>0.0</v>
      </c>
      <c r="N107" s="7">
        <v>1.0</v>
      </c>
      <c r="O107" s="7">
        <v>0.0</v>
      </c>
    </row>
    <row r="108" outlineLevel="1">
      <c r="B108" s="0" t="inlineStr">
        <is>
          <t xml:space="preserve">2025-04-30</t>
        </is>
      </c>
      <c r="C108" s="0" t="inlineStr">
        <is>
          <t xml:space="preserve">N00024-22-C-6419</t>
        </is>
      </c>
      <c r="D108" s="0" t="inlineStr">
        <is>
          <t xml:space="preserve">non_sub</t>
        </is>
      </c>
      <c r="E108" s="0" t="inlineStr">
        <is>
          <t xml:space="preserve">fms</t>
        </is>
      </c>
      <c r="F108" s="0" t="inlineStr">
        <is>
          <t xml:space="preserve">EXCLUDE_REVIEW</t>
        </is>
      </c>
      <c r="G108" s="0" t="inlineStr">
        <is>
          <t xml:space="preserve">BC</t>
        </is>
      </c>
      <c r="H108" s="5">
        <v>0</v>
      </c>
      <c r="I108" s="5">
        <v>0</v>
      </c>
      <c r="J108" s="5">
        <v>1</v>
      </c>
      <c r="K108" s="5">
        <v>136.427161</v>
      </c>
      <c r="L108" s="7">
        <v>0.0</v>
      </c>
      <c r="M108" s="7">
        <v>0.0</v>
      </c>
      <c r="N108" s="7">
        <v>1.0</v>
      </c>
      <c r="O108" s="7">
        <v>0.0</v>
      </c>
    </row>
    <row r="109" outlineLevel="1">
      <c r="B109" s="0" t="inlineStr">
        <is>
          <t xml:space="preserve">2023-03-31</t>
        </is>
      </c>
      <c r="C109" s="0" t="inlineStr">
        <is>
          <t xml:space="preserve">-</t>
        </is>
      </c>
      <c r="D109" s="0" t="inlineStr">
        <is>
          <t xml:space="preserve">non_sub</t>
        </is>
      </c>
      <c r="E109" s="0" t="inlineStr">
        <is>
          <t xml:space="preserve">fms</t>
        </is>
      </c>
      <c r="F109" s="0" t="inlineStr">
        <is>
          <t xml:space="preserve">EXCLUDE_REVIEW</t>
        </is>
      </c>
      <c r="G109" s="0" t="inlineStr">
        <is>
          <t xml:space="preserve">BC</t>
        </is>
      </c>
      <c r="H109" s="5">
        <v>0</v>
      </c>
      <c r="I109" s="5">
        <v>0</v>
      </c>
      <c r="J109" s="5">
        <v>1</v>
      </c>
      <c r="K109" s="5">
        <v>132.485525</v>
      </c>
      <c r="L109" s="7">
        <v>0.0</v>
      </c>
      <c r="M109" s="7">
        <v>0.0</v>
      </c>
      <c r="N109" s="7">
        <v>1.0</v>
      </c>
      <c r="O109" s="7">
        <v>0.0</v>
      </c>
    </row>
    <row r="110" outlineLevel="1">
      <c r="B110" s="0" t="inlineStr">
        <is>
          <t xml:space="preserve">2025-12-22</t>
        </is>
      </c>
      <c r="C110" s="0" t="inlineStr">
        <is>
          <t xml:space="preserve">N00024-24-C-2112</t>
        </is>
      </c>
      <c r="D110" s="0" t="inlineStr">
        <is>
          <t xml:space="preserve">bpmi_nuclear</t>
        </is>
      </c>
      <c r="E110" s="0" t="inlineStr">
        <is>
          <t xml:space="preserve">component_procurement</t>
        </is>
      </c>
      <c r="F110" s="0" t="inlineStr">
        <is>
          <t xml:space="preserve">EXCLUDE_GFE_NUCLEAR</t>
        </is>
      </c>
      <c r="G110" s="0" t="inlineStr">
        <is>
          <t xml:space="preserve">BC</t>
        </is>
      </c>
      <c r="H110" s="5">
        <v>1</v>
      </c>
      <c r="I110" s="5">
        <v>1</v>
      </c>
      <c r="J110" s="5">
        <v>1</v>
      </c>
      <c r="K110" s="5">
        <v>128.478836</v>
      </c>
      <c r="L110" s="7">
        <v>0.0</v>
      </c>
      <c r="M110" s="7">
        <v>0.0</v>
      </c>
      <c r="N110" s="7">
        <v>1.0</v>
      </c>
      <c r="O110" s="7">
        <v>0.0</v>
      </c>
    </row>
    <row r="111" outlineLevel="1">
      <c r="B111" s="0" t="inlineStr">
        <is>
          <t xml:space="preserve">2024-04-11</t>
        </is>
      </c>
      <c r="C111" s="0" t="inlineStr">
        <is>
          <t xml:space="preserve">-</t>
        </is>
      </c>
      <c r="D111" s="0" t="inlineStr">
        <is>
          <t xml:space="preserve">non_sub</t>
        </is>
      </c>
      <c r="E111" s="0" t="inlineStr">
        <is>
          <t xml:space="preserve">engineering</t>
        </is>
      </c>
      <c r="F111" s="0" t="inlineStr">
        <is>
          <t xml:space="preserve">EXCLUDE_REVIEW</t>
        </is>
      </c>
      <c r="G111" s="0" t="inlineStr">
        <is>
          <t xml:space="preserve">BC</t>
        </is>
      </c>
      <c r="H111" s="5">
        <v>0</v>
      </c>
      <c r="I111" s="5">
        <v>0</v>
      </c>
      <c r="J111" s="5">
        <v>1</v>
      </c>
      <c r="K111" s="5">
        <v>126.989166</v>
      </c>
      <c r="L111" s="7">
        <v>0.0</v>
      </c>
      <c r="M111" s="7">
        <v>0.0</v>
      </c>
      <c r="N111" s="7">
        <v>0.0</v>
      </c>
      <c r="O111" s="7">
        <v>0.0</v>
      </c>
    </row>
    <row r="112" outlineLevel="1">
      <c r="B112" s="0" t="inlineStr">
        <is>
          <t xml:space="preserve">2026-03-26</t>
        </is>
      </c>
      <c r="C112" s="0" t="inlineStr">
        <is>
          <t xml:space="preserve">N00024-21-C-2209</t>
        </is>
      </c>
      <c r="D112" s="0" t="inlineStr">
        <is>
          <t xml:space="preserve">non_sub</t>
        </is>
      </c>
      <c r="E112" s="0" t="inlineStr">
        <is>
          <t xml:space="preserve">design</t>
        </is>
      </c>
      <c r="F112" s="0" t="inlineStr">
        <is>
          <t xml:space="preserve">EXCLUDE_REVIEW</t>
        </is>
      </c>
      <c r="G112" s="0" t="inlineStr">
        <is>
          <t xml:space="preserve">BC</t>
        </is>
      </c>
      <c r="H112" s="5">
        <v>0</v>
      </c>
      <c r="I112" s="5">
        <v>0</v>
      </c>
      <c r="J112" s="5">
        <v>1</v>
      </c>
      <c r="K112" s="5">
        <v>126.5</v>
      </c>
      <c r="L112" s="7">
        <v>0.0</v>
      </c>
      <c r="M112" s="7">
        <v>0.0</v>
      </c>
      <c r="N112" s="7">
        <v>0.0</v>
      </c>
      <c r="O112" s="7">
        <v>0.0</v>
      </c>
    </row>
    <row r="113" outlineLevel="1">
      <c r="B113" s="0" t="inlineStr">
        <is>
          <t xml:space="preserve">2026-05-13</t>
        </is>
      </c>
      <c r="C113" s="0" t="inlineStr">
        <is>
          <t xml:space="preserve">N00024-22-C-2253</t>
        </is>
      </c>
      <c r="D113" s="0" t="inlineStr">
        <is>
          <t xml:space="preserve">non_sub</t>
        </is>
      </c>
      <c r="E113" s="0" t="inlineStr">
        <is>
          <t xml:space="preserve">other</t>
        </is>
      </c>
      <c r="F113" s="0" t="inlineStr">
        <is>
          <t xml:space="preserve">EXCLUDE_REVIEW</t>
        </is>
      </c>
      <c r="G113" s="0" t="inlineStr">
        <is>
          <t xml:space="preserve">BC</t>
        </is>
      </c>
      <c r="H113" s="5">
        <v>0</v>
      </c>
      <c r="I113" s="5">
        <v>0</v>
      </c>
      <c r="J113" s="5">
        <v>1</v>
      </c>
      <c r="K113" s="5">
        <v>122.3752</v>
      </c>
      <c r="L113" s="7">
        <v>0.0</v>
      </c>
      <c r="M113" s="7">
        <v>0.0</v>
      </c>
      <c r="N113" s="7">
        <v>0.0</v>
      </c>
      <c r="O113" s="7">
        <v>0.0</v>
      </c>
    </row>
    <row r="114" outlineLevel="1">
      <c r="B114" s="0" t="inlineStr">
        <is>
          <t xml:space="preserve">2023-01-31</t>
        </is>
      </c>
      <c r="C114" s="0" t="inlineStr">
        <is>
          <t xml:space="preserve">N00024-23-C-2301</t>
        </is>
      </c>
      <c r="D114" s="0" t="inlineStr">
        <is>
          <t xml:space="preserve">non_sub</t>
        </is>
      </c>
      <c r="E114" s="0" t="inlineStr">
        <is>
          <t xml:space="preserve">fms</t>
        </is>
      </c>
      <c r="F114" s="0" t="inlineStr">
        <is>
          <t xml:space="preserve">EXCLUDE_REVIEW</t>
        </is>
      </c>
      <c r="G114" s="0" t="inlineStr">
        <is>
          <t xml:space="preserve">BC</t>
        </is>
      </c>
      <c r="H114" s="5">
        <v>0</v>
      </c>
      <c r="I114" s="5">
        <v>0</v>
      </c>
      <c r="J114" s="5">
        <v>1</v>
      </c>
      <c r="K114" s="5">
        <v>118.673894</v>
      </c>
      <c r="L114" s="7">
        <v>0.0</v>
      </c>
      <c r="M114" s="7">
        <v>0.0</v>
      </c>
      <c r="N114" s="7">
        <v>1.0</v>
      </c>
      <c r="O114" s="7">
        <v>0.0</v>
      </c>
    </row>
    <row r="115" outlineLevel="1">
      <c r="B115" s="0" t="inlineStr">
        <is>
          <t xml:space="preserve">2024-10-29</t>
        </is>
      </c>
      <c r="C115" s="0" t="inlineStr">
        <is>
          <t xml:space="preserve">N00024-22-C-5400</t>
        </is>
      </c>
      <c r="D115" s="0" t="inlineStr">
        <is>
          <t xml:space="preserve">non_sub</t>
        </is>
      </c>
      <c r="E115" s="0" t="inlineStr">
        <is>
          <t xml:space="preserve">other</t>
        </is>
      </c>
      <c r="F115" s="0" t="inlineStr">
        <is>
          <t xml:space="preserve">EXCLUDE_REVIEW</t>
        </is>
      </c>
      <c r="G115" s="0" t="inlineStr">
        <is>
          <t xml:space="preserve">BC</t>
        </is>
      </c>
      <c r="H115" s="5">
        <v>0</v>
      </c>
      <c r="I115" s="5">
        <v>0</v>
      </c>
      <c r="J115" s="5">
        <v>1</v>
      </c>
      <c r="K115" s="5">
        <v>118.454213</v>
      </c>
      <c r="L115" s="7">
        <v>0.0</v>
      </c>
      <c r="M115" s="7">
        <v>0.0</v>
      </c>
      <c r="N115" s="7">
        <v>0.95</v>
      </c>
      <c r="O115" s="7">
        <v>0.0</v>
      </c>
    </row>
    <row r="116" outlineLevel="1">
      <c r="B116" s="0" t="inlineStr">
        <is>
          <t xml:space="preserve">2025-04-04</t>
        </is>
      </c>
      <c r="C116" s="0" t="inlineStr">
        <is>
          <t xml:space="preserve">N00024-25-C-5409</t>
        </is>
      </c>
      <c r="D116" s="0" t="inlineStr">
        <is>
          <t xml:space="preserve">non_sub</t>
        </is>
      </c>
      <c r="E116" s="0" t="inlineStr">
        <is>
          <t xml:space="preserve">other</t>
        </is>
      </c>
      <c r="F116" s="0" t="inlineStr">
        <is>
          <t xml:space="preserve">EXCLUDE_REVIEW</t>
        </is>
      </c>
      <c r="G116" s="0" t="inlineStr">
        <is>
          <t xml:space="preserve">BC</t>
        </is>
      </c>
      <c r="H116" s="5">
        <v>0</v>
      </c>
      <c r="I116" s="5">
        <v>0</v>
      </c>
      <c r="J116" s="5">
        <v>1</v>
      </c>
      <c r="K116" s="5">
        <v>117.066704</v>
      </c>
      <c r="L116" s="7">
        <v>0.0</v>
      </c>
      <c r="M116" s="7">
        <v>0.0</v>
      </c>
      <c r="N116" s="7">
        <v>0.86</v>
      </c>
      <c r="O116" s="7">
        <v>0.0</v>
      </c>
    </row>
    <row r="117" outlineLevel="1">
      <c r="B117" s="0" t="inlineStr">
        <is>
          <t xml:space="preserve">2025-02-11</t>
        </is>
      </c>
      <c r="C117" s="0" t="inlineStr">
        <is>
          <t xml:space="preserve">-</t>
        </is>
      </c>
      <c r="D117" s="0" t="inlineStr">
        <is>
          <t xml:space="preserve">non_sub</t>
        </is>
      </c>
      <c r="E117" s="0" t="inlineStr">
        <is>
          <t xml:space="preserve">other</t>
        </is>
      </c>
      <c r="F117" s="0" t="inlineStr">
        <is>
          <t xml:space="preserve">EXCLUDE_REVIEW</t>
        </is>
      </c>
      <c r="G117" s="0" t="inlineStr">
        <is>
          <t xml:space="preserve">BC</t>
        </is>
      </c>
      <c r="H117" s="5">
        <v>0</v>
      </c>
      <c r="I117" s="5">
        <v>0</v>
      </c>
      <c r="J117" s="5">
        <v>1</v>
      </c>
      <c r="K117" s="5">
        <v>114.162885</v>
      </c>
      <c r="L117" s="7">
        <v>0.0</v>
      </c>
      <c r="M117" s="7">
        <v>0.0</v>
      </c>
      <c r="N117" s="7">
        <v>1.0</v>
      </c>
      <c r="O117" s="7">
        <v>0.0</v>
      </c>
    </row>
    <row r="118" outlineLevel="1">
      <c r="B118" s="0" t="inlineStr">
        <is>
          <t xml:space="preserve">2026-03-20</t>
        </is>
      </c>
      <c r="C118" s="0" t="inlineStr">
        <is>
          <t xml:space="preserve">N42158-26-D-0004</t>
        </is>
      </c>
      <c r="D118" s="0" t="inlineStr">
        <is>
          <t xml:space="preserve">sub_other</t>
        </is>
      </c>
      <c r="E118" s="0" t="inlineStr">
        <is>
          <t xml:space="preserve">engineering</t>
        </is>
      </c>
      <c r="F118" s="0" t="inlineStr">
        <is>
          <t xml:space="preserve">EXCLUDE_REVIEW</t>
        </is>
      </c>
      <c r="G118" s="0" t="inlineStr">
        <is>
          <t xml:space="preserve">BC</t>
        </is>
      </c>
      <c r="H118" s="5">
        <v>0</v>
      </c>
      <c r="I118" s="5">
        <v>0</v>
      </c>
      <c r="J118" s="5">
        <v>1</v>
      </c>
      <c r="K118" s="5">
        <v>114.021616</v>
      </c>
      <c r="L118" s="7">
        <v>0.0</v>
      </c>
      <c r="M118" s="7">
        <v>0.0</v>
      </c>
      <c r="N118" s="7">
        <v>0.0</v>
      </c>
      <c r="O118" s="7">
        <v>0.0</v>
      </c>
    </row>
    <row r="119" outlineLevel="1">
      <c r="B119" s="0" t="inlineStr">
        <is>
          <t xml:space="preserve">2023-03-31</t>
        </is>
      </c>
      <c r="C119" s="0" t="inlineStr">
        <is>
          <t xml:space="preserve">-</t>
        </is>
      </c>
      <c r="D119" s="0" t="inlineStr">
        <is>
          <t xml:space="preserve">non_sub</t>
        </is>
      </c>
      <c r="E119" s="0" t="inlineStr">
        <is>
          <t xml:space="preserve">other</t>
        </is>
      </c>
      <c r="F119" s="0" t="inlineStr">
        <is>
          <t xml:space="preserve">EXCLUDE_REVIEW</t>
        </is>
      </c>
      <c r="G119" s="0" t="inlineStr">
        <is>
          <t xml:space="preserve">BC</t>
        </is>
      </c>
      <c r="H119" s="5">
        <v>0</v>
      </c>
      <c r="I119" s="5">
        <v>0</v>
      </c>
      <c r="J119" s="5">
        <v>1</v>
      </c>
      <c r="K119" s="5">
        <v>113.628201</v>
      </c>
      <c r="L119" s="7">
        <v>0.0</v>
      </c>
      <c r="M119" s="7">
        <v>0.0</v>
      </c>
      <c r="N119" s="7">
        <v>0.76</v>
      </c>
      <c r="O119" s="7">
        <v>0.0</v>
      </c>
    </row>
    <row r="120" outlineLevel="1">
      <c r="B120" s="0" t="inlineStr">
        <is>
          <t xml:space="preserve">2026-03-12</t>
        </is>
      </c>
      <c r="C120" s="0" t="inlineStr">
        <is>
          <t xml:space="preserve">N00024-24-C-2115</t>
        </is>
      </c>
      <c r="D120" s="0" t="inlineStr">
        <is>
          <t xml:space="preserve">bpmi_nuclear</t>
        </is>
      </c>
      <c r="E120" s="0" t="inlineStr">
        <is>
          <t xml:space="preserve">component_procurement</t>
        </is>
      </c>
      <c r="F120" s="0" t="inlineStr">
        <is>
          <t xml:space="preserve">EXCLUDE_GFE_NUCLEAR</t>
        </is>
      </c>
      <c r="G120" s="0" t="inlineStr">
        <is>
          <t xml:space="preserve">BC</t>
        </is>
      </c>
      <c r="H120" s="5">
        <v>1</v>
      </c>
      <c r="I120" s="5">
        <v>1</v>
      </c>
      <c r="J120" s="5">
        <v>1</v>
      </c>
      <c r="K120" s="5">
        <v>112.833315</v>
      </c>
      <c r="L120" s="7">
        <v>0.0</v>
      </c>
      <c r="M120" s="7">
        <v>0.0</v>
      </c>
      <c r="N120" s="7">
        <v>0.0</v>
      </c>
      <c r="O120" s="7">
        <v>0.0</v>
      </c>
    </row>
    <row r="121" outlineLevel="1">
      <c r="B121" s="0" t="inlineStr">
        <is>
          <t xml:space="preserve">2026-05-21</t>
        </is>
      </c>
      <c r="C121" s="0" t="inlineStr">
        <is>
          <t xml:space="preserve">N00024-22-C-6419</t>
        </is>
      </c>
      <c r="D121" s="0" t="inlineStr">
        <is>
          <t xml:space="preserve">non_sub</t>
        </is>
      </c>
      <c r="E121" s="0" t="inlineStr">
        <is>
          <t xml:space="preserve">fms</t>
        </is>
      </c>
      <c r="F121" s="0" t="inlineStr">
        <is>
          <t xml:space="preserve">EXCLUDE_REVIEW</t>
        </is>
      </c>
      <c r="G121" s="0" t="inlineStr">
        <is>
          <t xml:space="preserve">BC</t>
        </is>
      </c>
      <c r="H121" s="5">
        <v>0</v>
      </c>
      <c r="I121" s="5">
        <v>0</v>
      </c>
      <c r="J121" s="5">
        <v>1</v>
      </c>
      <c r="K121" s="5">
        <v>112.3029</v>
      </c>
      <c r="L121" s="7">
        <v>0.0</v>
      </c>
      <c r="M121" s="7">
        <v>0.0</v>
      </c>
      <c r="N121" s="7">
        <v>1.0</v>
      </c>
      <c r="O121" s="7">
        <v>0.0</v>
      </c>
    </row>
    <row r="122" outlineLevel="1">
      <c r="B122" s="0" t="inlineStr">
        <is>
          <t xml:space="preserve">2022-09-27</t>
        </is>
      </c>
      <c r="C122" s="0" t="inlineStr">
        <is>
          <t xml:space="preserve">N00024-22-D-4318</t>
        </is>
      </c>
      <c r="D122" s="0" t="inlineStr">
        <is>
          <t xml:space="preserve">non_sub</t>
        </is>
      </c>
      <c r="E122" s="0" t="inlineStr">
        <is>
          <t xml:space="preserve">engineering</t>
        </is>
      </c>
      <c r="F122" s="0" t="inlineStr">
        <is>
          <t xml:space="preserve">EXCLUDE_REVIEW</t>
        </is>
      </c>
      <c r="G122" s="0" t="inlineStr">
        <is>
          <t xml:space="preserve">BC</t>
        </is>
      </c>
      <c r="H122" s="5">
        <v>0</v>
      </c>
      <c r="I122" s="5">
        <v>0</v>
      </c>
      <c r="J122" s="5">
        <v>1</v>
      </c>
      <c r="K122" s="5">
        <v>112.0</v>
      </c>
      <c r="L122" s="7">
        <v>0.0</v>
      </c>
      <c r="M122" s="7">
        <v>0.0</v>
      </c>
      <c r="N122" s="7">
        <v>0.0</v>
      </c>
      <c r="O122" s="7">
        <v>0.0</v>
      </c>
    </row>
    <row r="123" outlineLevel="1">
      <c r="B123" s="0" t="inlineStr">
        <is>
          <t xml:space="preserve">2022-09-22</t>
        </is>
      </c>
      <c r="C123" s="0" t="inlineStr">
        <is>
          <t xml:space="preserve">N69450-21-D-0060</t>
        </is>
      </c>
      <c r="D123" s="0" t="inlineStr">
        <is>
          <t xml:space="preserve">non_sub</t>
        </is>
      </c>
      <c r="E123" s="0" t="inlineStr">
        <is>
          <t xml:space="preserve">other</t>
        </is>
      </c>
      <c r="F123" s="0" t="inlineStr">
        <is>
          <t xml:space="preserve">EXCLUDE_REVIEW</t>
        </is>
      </c>
      <c r="G123" s="0" t="inlineStr">
        <is>
          <t xml:space="preserve">BC</t>
        </is>
      </c>
      <c r="H123" s="5">
        <v>0</v>
      </c>
      <c r="I123" s="5">
        <v>0</v>
      </c>
      <c r="J123" s="5">
        <v>1</v>
      </c>
      <c r="K123" s="5">
        <v>110.688</v>
      </c>
      <c r="L123" s="7">
        <v>0.0</v>
      </c>
      <c r="M123" s="7">
        <v>0.0</v>
      </c>
      <c r="N123" s="7">
        <v>0.0</v>
      </c>
      <c r="O123" s="7">
        <v>0.0</v>
      </c>
    </row>
    <row r="124" outlineLevel="1">
      <c r="B124" s="0" t="inlineStr">
        <is>
          <t xml:space="preserve">2025-12-11</t>
        </is>
      </c>
      <c r="C124" s="0" t="inlineStr">
        <is>
          <t xml:space="preserve">N00024-23-C-5101</t>
        </is>
      </c>
      <c r="D124" s="0" t="inlineStr">
        <is>
          <t xml:space="preserve">non_sub</t>
        </is>
      </c>
      <c r="E124" s="0" t="inlineStr">
        <is>
          <t xml:space="preserve">fms</t>
        </is>
      </c>
      <c r="F124" s="0" t="inlineStr">
        <is>
          <t xml:space="preserve">EXCLUDE_REVIEW</t>
        </is>
      </c>
      <c r="G124" s="0" t="inlineStr">
        <is>
          <t xml:space="preserve">BC</t>
        </is>
      </c>
      <c r="H124" s="5">
        <v>0</v>
      </c>
      <c r="I124" s="5">
        <v>0</v>
      </c>
      <c r="J124" s="5">
        <v>1</v>
      </c>
      <c r="K124" s="5">
        <v>104.623274</v>
      </c>
      <c r="L124" s="7">
        <v>0.0</v>
      </c>
      <c r="M124" s="7">
        <v>0.0</v>
      </c>
      <c r="N124" s="7">
        <v>0.0</v>
      </c>
      <c r="O124" s="7">
        <v>0.0</v>
      </c>
    </row>
    <row r="125" outlineLevel="1">
      <c r="B125" s="0" t="inlineStr">
        <is>
          <t xml:space="preserve">2025-12-23</t>
        </is>
      </c>
      <c r="C125" s="0" t="inlineStr">
        <is>
          <t xml:space="preserve">N00024-26-C-5434</t>
        </is>
      </c>
      <c r="D125" s="0" t="inlineStr">
        <is>
          <t xml:space="preserve">non_sub</t>
        </is>
      </c>
      <c r="E125" s="0" t="inlineStr">
        <is>
          <t xml:space="preserve">lead_yard</t>
        </is>
      </c>
      <c r="F125" s="0" t="inlineStr">
        <is>
          <t xml:space="preserve">EXCLUDE_REVIEW</t>
        </is>
      </c>
      <c r="G125" s="0" t="inlineStr">
        <is>
          <t xml:space="preserve">BC</t>
        </is>
      </c>
      <c r="H125" s="5">
        <v>0</v>
      </c>
      <c r="I125" s="5">
        <v>0</v>
      </c>
      <c r="J125" s="5">
        <v>1</v>
      </c>
      <c r="K125" s="5">
        <v>104.063252</v>
      </c>
      <c r="L125" s="7">
        <v>0.0</v>
      </c>
      <c r="M125" s="7">
        <v>0.0</v>
      </c>
      <c r="N125" s="7">
        <v>0.99</v>
      </c>
      <c r="O125" s="7">
        <v>0.0</v>
      </c>
    </row>
    <row r="126" outlineLevel="1">
      <c r="B126" s="0" t="inlineStr">
        <is>
          <t xml:space="preserve">2024-01-17</t>
        </is>
      </c>
      <c r="C126" s="0" t="inlineStr">
        <is>
          <t xml:space="preserve">-</t>
        </is>
      </c>
      <c r="D126" s="0" t="inlineStr">
        <is>
          <t xml:space="preserve">non_sub</t>
        </is>
      </c>
      <c r="E126" s="0" t="inlineStr">
        <is>
          <t xml:space="preserve">other</t>
        </is>
      </c>
      <c r="F126" s="0" t="inlineStr">
        <is>
          <t xml:space="preserve">EXCLUDE_REVIEW</t>
        </is>
      </c>
      <c r="G126" s="0" t="inlineStr">
        <is>
          <t xml:space="preserve">BC</t>
        </is>
      </c>
      <c r="H126" s="5">
        <v>0</v>
      </c>
      <c r="I126" s="5">
        <v>0</v>
      </c>
      <c r="J126" s="5">
        <v>1</v>
      </c>
      <c r="K126" s="5">
        <v>102.729951</v>
      </c>
      <c r="L126" s="7">
        <v>0.0</v>
      </c>
      <c r="M126" s="7">
        <v>0.0</v>
      </c>
      <c r="N126" s="7">
        <v>1.0</v>
      </c>
      <c r="O126" s="7">
        <v>0.0</v>
      </c>
    </row>
    <row r="127" outlineLevel="1">
      <c r="B127" s="0" t="inlineStr">
        <is>
          <t xml:space="preserve">2023-04-21</t>
        </is>
      </c>
      <c r="C127" s="0" t="inlineStr">
        <is>
          <t xml:space="preserve">-</t>
        </is>
      </c>
      <c r="D127" s="0" t="inlineStr">
        <is>
          <t xml:space="preserve">non_sub</t>
        </is>
      </c>
      <c r="E127" s="0" t="inlineStr">
        <is>
          <t xml:space="preserve">sustainment_maintenance</t>
        </is>
      </c>
      <c r="F127" s="0" t="inlineStr">
        <is>
          <t xml:space="preserve">EXCLUDE_REVIEW</t>
        </is>
      </c>
      <c r="G127" s="0" t="inlineStr">
        <is>
          <t xml:space="preserve">BC</t>
        </is>
      </c>
      <c r="H127" s="5">
        <v>0</v>
      </c>
      <c r="I127" s="5">
        <v>0</v>
      </c>
      <c r="J127" s="5">
        <v>1</v>
      </c>
      <c r="K127" s="5">
        <v>100.672908</v>
      </c>
      <c r="L127" s="7">
        <v>0.0</v>
      </c>
      <c r="M127" s="7">
        <v>0.0</v>
      </c>
      <c r="N127" s="7">
        <v>0.98</v>
      </c>
      <c r="O127" s="7">
        <v>0.0</v>
      </c>
    </row>
    <row r="128" outlineLevel="1">
      <c r="B128" s="0" t="inlineStr">
        <is>
          <t xml:space="preserve">2023-12-14</t>
        </is>
      </c>
      <c r="C128" s="0" t="inlineStr">
        <is>
          <t xml:space="preserve">-</t>
        </is>
      </c>
      <c r="D128" s="0" t="inlineStr">
        <is>
          <t xml:space="preserve">non_sub</t>
        </is>
      </c>
      <c r="E128" s="0" t="inlineStr">
        <is>
          <t xml:space="preserve">other</t>
        </is>
      </c>
      <c r="F128" s="0" t="inlineStr">
        <is>
          <t xml:space="preserve">EXCLUDE_REVIEW</t>
        </is>
      </c>
      <c r="G128" s="0" t="inlineStr">
        <is>
          <t xml:space="preserve">BC</t>
        </is>
      </c>
      <c r="H128" s="5">
        <v>0</v>
      </c>
      <c r="I128" s="5">
        <v>0</v>
      </c>
      <c r="J128" s="5">
        <v>1</v>
      </c>
      <c r="K128" s="5">
        <v>100.0</v>
      </c>
      <c r="L128" s="7">
        <v>0.0</v>
      </c>
      <c r="M128" s="7">
        <v>0.0</v>
      </c>
      <c r="N128" s="7">
        <v>0.0</v>
      </c>
      <c r="O128" s="7">
        <v>0.0</v>
      </c>
    </row>
    <row r="129" outlineLevel="1">
      <c r="B129" s="0" t="inlineStr">
        <is>
          <t xml:space="preserve">2025-08-29</t>
        </is>
      </c>
      <c r="C129" s="0" t="inlineStr">
        <is>
          <t xml:space="preserve">N00024-21-C-2106</t>
        </is>
      </c>
      <c r="D129" s="0" t="inlineStr">
        <is>
          <t xml:space="preserve">non_sub</t>
        </is>
      </c>
      <c r="E129" s="0" t="inlineStr">
        <is>
          <t xml:space="preserve">repair_overhaul</t>
        </is>
      </c>
      <c r="F129" s="0" t="inlineStr">
        <is>
          <t xml:space="preserve">EXCLUDE_REVIEW</t>
        </is>
      </c>
      <c r="G129" s="0" t="inlineStr">
        <is>
          <t xml:space="preserve">BC</t>
        </is>
      </c>
      <c r="H129" s="5">
        <v>0</v>
      </c>
      <c r="I129" s="5">
        <v>0</v>
      </c>
      <c r="J129" s="5">
        <v>1</v>
      </c>
      <c r="K129" s="5">
        <v>98.45999</v>
      </c>
      <c r="L129" s="7">
        <v>0.0</v>
      </c>
      <c r="M129" s="7">
        <v>0.0</v>
      </c>
      <c r="N129" s="7">
        <v>0.0</v>
      </c>
      <c r="O129" s="7">
        <v>0.0</v>
      </c>
    </row>
    <row r="130" outlineLevel="1">
      <c r="B130" s="0" t="inlineStr">
        <is>
          <t xml:space="preserve">2025-12-29</t>
        </is>
      </c>
      <c r="C130" s="0" t="inlineStr">
        <is>
          <t xml:space="preserve">N00024-24-C-2106</t>
        </is>
      </c>
      <c r="D130" s="0" t="inlineStr">
        <is>
          <t xml:space="preserve">non_sub</t>
        </is>
      </c>
      <c r="E130" s="0" t="inlineStr">
        <is>
          <t xml:space="preserve">repair_overhaul</t>
        </is>
      </c>
      <c r="F130" s="0" t="inlineStr">
        <is>
          <t xml:space="preserve">EXCLUDE_REVIEW</t>
        </is>
      </c>
      <c r="G130" s="0" t="inlineStr">
        <is>
          <t xml:space="preserve">BC</t>
        </is>
      </c>
      <c r="H130" s="5">
        <v>0</v>
      </c>
      <c r="I130" s="5">
        <v>0</v>
      </c>
      <c r="J130" s="5">
        <v>1</v>
      </c>
      <c r="K130" s="5">
        <v>97.68</v>
      </c>
      <c r="L130" s="7">
        <v>0.0</v>
      </c>
      <c r="M130" s="7">
        <v>0.0</v>
      </c>
      <c r="N130" s="7">
        <v>0.0</v>
      </c>
      <c r="O130" s="7">
        <v>0.0</v>
      </c>
    </row>
    <row r="131" outlineLevel="1">
      <c r="B131" s="0" t="inlineStr">
        <is>
          <t xml:space="preserve">2025-08-15</t>
        </is>
      </c>
      <c r="C131" s="0" t="inlineStr">
        <is>
          <t xml:space="preserve">-</t>
        </is>
      </c>
      <c r="D131" s="0" t="inlineStr">
        <is>
          <t xml:space="preserve">sub_other</t>
        </is>
      </c>
      <c r="E131" s="0" t="inlineStr">
        <is>
          <t xml:space="preserve">repair_overhaul</t>
        </is>
      </c>
      <c r="F131" s="0" t="inlineStr">
        <is>
          <t xml:space="preserve">EXCLUDE_REVIEW</t>
        </is>
      </c>
      <c r="G131" s="0" t="inlineStr">
        <is>
          <t xml:space="preserve">BC</t>
        </is>
      </c>
      <c r="H131" s="5">
        <v>0</v>
      </c>
      <c r="I131" s="5">
        <v>0</v>
      </c>
      <c r="J131" s="5">
        <v>1</v>
      </c>
      <c r="K131" s="5">
        <v>97.064456</v>
      </c>
      <c r="L131" s="7">
        <v>0.0</v>
      </c>
      <c r="M131" s="7">
        <v>0.0</v>
      </c>
      <c r="N131" s="7">
        <v>1.0</v>
      </c>
      <c r="O131" s="7">
        <v>0.0</v>
      </c>
    </row>
    <row r="132" outlineLevel="1">
      <c r="B132" s="0" t="inlineStr">
        <is>
          <t xml:space="preserve">2024-01-22</t>
        </is>
      </c>
      <c r="C132" s="0" t="inlineStr">
        <is>
          <t xml:space="preserve">N00024-17-C-2100</t>
        </is>
      </c>
      <c r="D132" s="0" t="inlineStr">
        <is>
          <t xml:space="preserve">va</t>
        </is>
      </c>
      <c r="E132" s="0" t="inlineStr">
        <is>
          <t xml:space="preserve">lltm_early_mfg</t>
        </is>
      </c>
      <c r="F132" s="0" t="inlineStr">
        <is>
          <t xml:space="preserve">INCLUDE_AP_LLTM</t>
        </is>
      </c>
      <c r="G132" s="0" t="inlineStr">
        <is>
          <t xml:space="preserve">AP_LLTM</t>
        </is>
      </c>
      <c r="H132" s="5">
        <v>1</v>
      </c>
      <c r="I132" s="5">
        <v>0</v>
      </c>
      <c r="J132" s="5">
        <v>1</v>
      </c>
      <c r="K132" s="5">
        <v>96.437891</v>
      </c>
      <c r="L132" s="7">
        <v>0.0</v>
      </c>
      <c r="M132" s="7">
        <v>0.0</v>
      </c>
      <c r="N132" s="7">
        <v>1.0</v>
      </c>
      <c r="O132" s="7">
        <v>0.0</v>
      </c>
    </row>
    <row r="133" outlineLevel="1">
      <c r="B133" s="0" t="inlineStr">
        <is>
          <t xml:space="preserve">2026-03-13</t>
        </is>
      </c>
      <c r="C133" s="0" t="inlineStr">
        <is>
          <t xml:space="preserve">N00024-25-C-2127</t>
        </is>
      </c>
      <c r="D133" s="0" t="inlineStr">
        <is>
          <t xml:space="preserve">non_sub</t>
        </is>
      </c>
      <c r="E133" s="0" t="inlineStr">
        <is>
          <t xml:space="preserve">other</t>
        </is>
      </c>
      <c r="F133" s="0" t="inlineStr">
        <is>
          <t xml:space="preserve">EXCLUDE_REVIEW</t>
        </is>
      </c>
      <c r="G133" s="0" t="inlineStr">
        <is>
          <t xml:space="preserve">BC</t>
        </is>
      </c>
      <c r="H133" s="5">
        <v>0</v>
      </c>
      <c r="I133" s="5">
        <v>0</v>
      </c>
      <c r="J133" s="5">
        <v>1</v>
      </c>
      <c r="K133" s="5">
        <v>95.70396</v>
      </c>
      <c r="L133" s="7">
        <v>0.0</v>
      </c>
      <c r="M133" s="7">
        <v>0.0</v>
      </c>
      <c r="N133" s="7">
        <v>0.0</v>
      </c>
      <c r="O133" s="7">
        <v>0.0</v>
      </c>
    </row>
    <row r="134" outlineLevel="1">
      <c r="B134" s="0" t="inlineStr">
        <is>
          <t xml:space="preserve">2026-03-25</t>
        </is>
      </c>
      <c r="C134" s="0" t="inlineStr">
        <is>
          <t xml:space="preserve">N00024-24-C-2124</t>
        </is>
      </c>
      <c r="D134" s="0" t="inlineStr">
        <is>
          <t xml:space="preserve">sub_operational</t>
        </is>
      </c>
      <c r="E134" s="0" t="inlineStr">
        <is>
          <t xml:space="preserve">lead_yard</t>
        </is>
      </c>
      <c r="F134" s="0" t="inlineStr">
        <is>
          <t xml:space="preserve">EXCLUDE_REVIEW</t>
        </is>
      </c>
      <c r="G134" s="0" t="inlineStr">
        <is>
          <t xml:space="preserve">BC</t>
        </is>
      </c>
      <c r="H134" s="5">
        <v>0</v>
      </c>
      <c r="I134" s="5">
        <v>0</v>
      </c>
      <c r="J134" s="5">
        <v>1</v>
      </c>
      <c r="K134" s="5">
        <v>95.0</v>
      </c>
      <c r="L134" s="7">
        <v>0.7</v>
      </c>
      <c r="M134" s="7">
        <v>0.0</v>
      </c>
      <c r="N134" s="7">
        <v>0.3</v>
      </c>
      <c r="O134" s="7">
        <v>0.0</v>
      </c>
    </row>
    <row r="135" outlineLevel="1">
      <c r="B135" s="0" t="inlineStr">
        <is>
          <t xml:space="preserve">2026-05-20</t>
        </is>
      </c>
      <c r="C135" s="0" t="inlineStr">
        <is>
          <t xml:space="preserve">N00024-18-C-2207</t>
        </is>
      </c>
      <c r="D135" s="0" t="inlineStr">
        <is>
          <t xml:space="preserve">non_sub</t>
        </is>
      </c>
      <c r="E135" s="0" t="inlineStr">
        <is>
          <t xml:space="preserve">other</t>
        </is>
      </c>
      <c r="F135" s="0" t="inlineStr">
        <is>
          <t xml:space="preserve">EXCLUDE_REVIEW</t>
        </is>
      </c>
      <c r="G135" s="0" t="inlineStr">
        <is>
          <t xml:space="preserve">BC</t>
        </is>
      </c>
      <c r="H135" s="5">
        <v>0</v>
      </c>
      <c r="I135" s="5">
        <v>0</v>
      </c>
      <c r="J135" s="5">
        <v>1</v>
      </c>
      <c r="K135" s="5">
        <v>95.0</v>
      </c>
      <c r="L135" s="7">
        <v>0.0</v>
      </c>
      <c r="M135" s="7">
        <v>0.0</v>
      </c>
      <c r="N135" s="7">
        <v>1.0</v>
      </c>
      <c r="O135" s="7">
        <v>0.0</v>
      </c>
    </row>
    <row r="136" outlineLevel="1">
      <c r="B136" s="0" t="inlineStr">
        <is>
          <t xml:space="preserve">2023-11-17</t>
        </is>
      </c>
      <c r="C136" s="0" t="inlineStr">
        <is>
          <t xml:space="preserve">N00024-21-C-5408</t>
        </is>
      </c>
      <c r="D136" s="0" t="inlineStr">
        <is>
          <t xml:space="preserve">non_sub</t>
        </is>
      </c>
      <c r="E136" s="0" t="inlineStr">
        <is>
          <t xml:space="preserve">component_procurement</t>
        </is>
      </c>
      <c r="F136" s="0" t="inlineStr">
        <is>
          <t xml:space="preserve">INCLUDE_BC</t>
        </is>
      </c>
      <c r="G136" s="0" t="inlineStr">
        <is>
          <t xml:space="preserve">BC</t>
        </is>
      </c>
      <c r="H136" s="5">
        <v>0</v>
      </c>
      <c r="I136" s="5">
        <v>0</v>
      </c>
      <c r="J136" s="5">
        <v>1</v>
      </c>
      <c r="K136" s="5">
        <v>94.136532</v>
      </c>
      <c r="L136" s="7">
        <v>0.0</v>
      </c>
      <c r="M136" s="7">
        <v>0.0</v>
      </c>
      <c r="N136" s="7">
        <v>0.95</v>
      </c>
      <c r="O136" s="7">
        <v>0.0</v>
      </c>
    </row>
    <row r="137" outlineLevel="1">
      <c r="B137" s="0" t="inlineStr">
        <is>
          <t xml:space="preserve">2025-12-29</t>
        </is>
      </c>
      <c r="C137" s="0" t="inlineStr">
        <is>
          <t xml:space="preserve">N00024-23-C-5123</t>
        </is>
      </c>
      <c r="D137" s="0" t="inlineStr">
        <is>
          <t xml:space="preserve">non_sub</t>
        </is>
      </c>
      <c r="E137" s="0" t="inlineStr">
        <is>
          <t xml:space="preserve">sustainment_maintenance</t>
        </is>
      </c>
      <c r="F137" s="0" t="inlineStr">
        <is>
          <t xml:space="preserve">EXCLUDE_REVIEW</t>
        </is>
      </c>
      <c r="G137" s="0" t="inlineStr">
        <is>
          <t xml:space="preserve">BC</t>
        </is>
      </c>
      <c r="H137" s="5">
        <v>0</v>
      </c>
      <c r="I137" s="5">
        <v>0</v>
      </c>
      <c r="J137" s="5">
        <v>1</v>
      </c>
      <c r="K137" s="5">
        <v>92.783864</v>
      </c>
      <c r="L137" s="7">
        <v>0.0</v>
      </c>
      <c r="M137" s="7">
        <v>0.0</v>
      </c>
      <c r="N137" s="7">
        <v>0.0</v>
      </c>
      <c r="O137" s="7">
        <v>0.0</v>
      </c>
    </row>
    <row r="138" outlineLevel="1">
      <c r="B138" s="0" t="inlineStr">
        <is>
          <t xml:space="preserve">2025-01-21</t>
        </is>
      </c>
      <c r="C138" s="0" t="inlineStr">
        <is>
          <t xml:space="preserve">-</t>
        </is>
      </c>
      <c r="D138" s="0" t="inlineStr">
        <is>
          <t xml:space="preserve">non_sub</t>
        </is>
      </c>
      <c r="E138" s="0" t="inlineStr">
        <is>
          <t xml:space="preserve">fms</t>
        </is>
      </c>
      <c r="F138" s="0" t="inlineStr">
        <is>
          <t xml:space="preserve">EXCLUDE_REVIEW</t>
        </is>
      </c>
      <c r="G138" s="0" t="inlineStr">
        <is>
          <t xml:space="preserve">BC</t>
        </is>
      </c>
      <c r="H138" s="5">
        <v>0</v>
      </c>
      <c r="I138" s="5">
        <v>0</v>
      </c>
      <c r="J138" s="5">
        <v>1</v>
      </c>
      <c r="K138" s="5">
        <v>92.674215</v>
      </c>
      <c r="L138" s="7">
        <v>0.0</v>
      </c>
      <c r="M138" s="7">
        <v>0.0</v>
      </c>
      <c r="N138" s="7">
        <v>0.0</v>
      </c>
      <c r="O138" s="7">
        <v>0.0</v>
      </c>
    </row>
    <row r="139" outlineLevel="1">
      <c r="B139" s="0" t="inlineStr">
        <is>
          <t xml:space="preserve">2025-07-01</t>
        </is>
      </c>
      <c r="C139" s="0" t="inlineStr">
        <is>
          <t xml:space="preserve">N00024-23-C-5123</t>
        </is>
      </c>
      <c r="D139" s="0" t="inlineStr">
        <is>
          <t xml:space="preserve">non_sub</t>
        </is>
      </c>
      <c r="E139" s="0" t="inlineStr">
        <is>
          <t xml:space="preserve">sustainment_maintenance</t>
        </is>
      </c>
      <c r="F139" s="0" t="inlineStr">
        <is>
          <t xml:space="preserve">EXCLUDE_REVIEW</t>
        </is>
      </c>
      <c r="G139" s="0" t="inlineStr">
        <is>
          <t xml:space="preserve">BC</t>
        </is>
      </c>
      <c r="H139" s="5">
        <v>0</v>
      </c>
      <c r="I139" s="5">
        <v>0</v>
      </c>
      <c r="J139" s="5">
        <v>1</v>
      </c>
      <c r="K139" s="5">
        <v>92.188802</v>
      </c>
      <c r="L139" s="7">
        <v>0.0</v>
      </c>
      <c r="M139" s="7">
        <v>0.0</v>
      </c>
      <c r="N139" s="7">
        <v>0.0</v>
      </c>
      <c r="O139" s="7">
        <v>0.0</v>
      </c>
    </row>
    <row r="140" outlineLevel="1">
      <c r="B140" s="0" t="inlineStr">
        <is>
          <t xml:space="preserve">2024-02-02</t>
        </is>
      </c>
      <c r="C140" s="0" t="inlineStr">
        <is>
          <t xml:space="preserve">-</t>
        </is>
      </c>
      <c r="D140" s="0" t="inlineStr">
        <is>
          <t xml:space="preserve">non_sub</t>
        </is>
      </c>
      <c r="E140" s="0" t="inlineStr">
        <is>
          <t xml:space="preserve">other</t>
        </is>
      </c>
      <c r="F140" s="0" t="inlineStr">
        <is>
          <t xml:space="preserve">EXCLUDE_REVIEW</t>
        </is>
      </c>
      <c r="G140" s="0" t="inlineStr">
        <is>
          <t xml:space="preserve">BC</t>
        </is>
      </c>
      <c r="H140" s="5">
        <v>0</v>
      </c>
      <c r="I140" s="5">
        <v>0</v>
      </c>
      <c r="J140" s="5">
        <v>1</v>
      </c>
      <c r="K140" s="5">
        <v>92.032532</v>
      </c>
      <c r="L140" s="7">
        <v>0.0</v>
      </c>
      <c r="M140" s="7">
        <v>0.0</v>
      </c>
      <c r="N140" s="7">
        <v>1.0</v>
      </c>
      <c r="O140" s="7">
        <v>0.0</v>
      </c>
    </row>
    <row r="141" outlineLevel="1">
      <c r="B141" s="0" t="inlineStr">
        <is>
          <t xml:space="preserve">2025-12-01</t>
        </is>
      </c>
      <c r="C141" s="0" t="inlineStr">
        <is>
          <t xml:space="preserve">N00024-26-C-2100</t>
        </is>
      </c>
      <c r="D141" s="0" t="inlineStr">
        <is>
          <t xml:space="preserve">non_sub</t>
        </is>
      </c>
      <c r="E141" s="0" t="inlineStr">
        <is>
          <t xml:space="preserve">sustainment_maintenance</t>
        </is>
      </c>
      <c r="F141" s="0" t="inlineStr">
        <is>
          <t xml:space="preserve">EXCLUDE_REVIEW</t>
        </is>
      </c>
      <c r="G141" s="0" t="inlineStr">
        <is>
          <t xml:space="preserve">BC</t>
        </is>
      </c>
      <c r="H141" s="5">
        <v>0</v>
      </c>
      <c r="I141" s="5">
        <v>0</v>
      </c>
      <c r="J141" s="5">
        <v>1</v>
      </c>
      <c r="K141" s="5">
        <v>91.891302</v>
      </c>
      <c r="L141" s="7">
        <v>0.0</v>
      </c>
      <c r="M141" s="7">
        <v>0.96</v>
      </c>
      <c r="N141" s="7">
        <v>0.04</v>
      </c>
      <c r="O141" s="7">
        <v>0.0</v>
      </c>
    </row>
    <row r="142" outlineLevel="1">
      <c r="B142" s="0" t="inlineStr">
        <is>
          <t xml:space="preserve">2022-08-02</t>
        </is>
      </c>
      <c r="C142" s="0" t="inlineStr">
        <is>
          <t xml:space="preserve">-</t>
        </is>
      </c>
      <c r="D142" s="0" t="inlineStr">
        <is>
          <t xml:space="preserve">sub_other</t>
        </is>
      </c>
      <c r="E142" s="0" t="inlineStr">
        <is>
          <t xml:space="preserve">sustainment_maintenance</t>
        </is>
      </c>
      <c r="F142" s="0" t="inlineStr">
        <is>
          <t xml:space="preserve">EXCLUDE_REVIEW</t>
        </is>
      </c>
      <c r="G142" s="0" t="inlineStr">
        <is>
          <t xml:space="preserve">BC</t>
        </is>
      </c>
      <c r="H142" s="5">
        <v>0</v>
      </c>
      <c r="I142" s="5">
        <v>0</v>
      </c>
      <c r="J142" s="5">
        <v>1</v>
      </c>
      <c r="K142" s="5">
        <v>91.643011</v>
      </c>
      <c r="L142" s="7">
        <v>0.01</v>
      </c>
      <c r="M142" s="7">
        <v>0.9</v>
      </c>
      <c r="N142" s="7">
        <v>0.09</v>
      </c>
      <c r="O142" s="7">
        <v>0.0</v>
      </c>
    </row>
    <row r="143" outlineLevel="1">
      <c r="B143" s="0" t="inlineStr">
        <is>
          <t xml:space="preserve">2025-09-03</t>
        </is>
      </c>
      <c r="C143" s="0" t="inlineStr">
        <is>
          <t xml:space="preserve">N00024-25-F-6233</t>
        </is>
      </c>
      <c r="D143" s="0" t="inlineStr">
        <is>
          <t xml:space="preserve">sub_other</t>
        </is>
      </c>
      <c r="E143" s="0" t="inlineStr">
        <is>
          <t xml:space="preserve">construction</t>
        </is>
      </c>
      <c r="F143" s="0" t="inlineStr">
        <is>
          <t xml:space="preserve">INCLUDE_BC</t>
        </is>
      </c>
      <c r="G143" s="0" t="inlineStr">
        <is>
          <t xml:space="preserve">BC</t>
        </is>
      </c>
      <c r="H143" s="5">
        <v>0</v>
      </c>
      <c r="I143" s="5">
        <v>0</v>
      </c>
      <c r="J143" s="5">
        <v>1</v>
      </c>
      <c r="K143" s="5">
        <v>91.211004</v>
      </c>
      <c r="L143" s="7">
        <v>0.0</v>
      </c>
      <c r="M143" s="7">
        <v>0.0</v>
      </c>
      <c r="N143" s="7">
        <v>0.0</v>
      </c>
      <c r="O143" s="7">
        <v>0.0</v>
      </c>
    </row>
    <row r="144" outlineLevel="1">
      <c r="B144" s="0" t="inlineStr">
        <is>
          <t xml:space="preserve">2024-01-25</t>
        </is>
      </c>
      <c r="C144" s="0" t="inlineStr">
        <is>
          <t xml:space="preserve">N00024-23-C-5325</t>
        </is>
      </c>
      <c r="D144" s="0" t="inlineStr">
        <is>
          <t xml:space="preserve">non_sub</t>
        </is>
      </c>
      <c r="E144" s="0" t="inlineStr">
        <is>
          <t xml:space="preserve">fms</t>
        </is>
      </c>
      <c r="F144" s="0" t="inlineStr">
        <is>
          <t xml:space="preserve">EXCLUDE_REVIEW</t>
        </is>
      </c>
      <c r="G144" s="0" t="inlineStr">
        <is>
          <t xml:space="preserve">BC</t>
        </is>
      </c>
      <c r="H144" s="5">
        <v>0</v>
      </c>
      <c r="I144" s="5">
        <v>0</v>
      </c>
      <c r="J144" s="5">
        <v>1</v>
      </c>
      <c r="K144" s="5">
        <v>90.27148</v>
      </c>
      <c r="L144" s="7">
        <v>0.0</v>
      </c>
      <c r="M144" s="7">
        <v>0.0</v>
      </c>
      <c r="N144" s="7">
        <v>0.77</v>
      </c>
      <c r="O144" s="7">
        <v>0.0</v>
      </c>
    </row>
    <row r="145" outlineLevel="1">
      <c r="B145" s="0" t="inlineStr">
        <is>
          <t xml:space="preserve">2025-03-31</t>
        </is>
      </c>
      <c r="C145" s="0" t="inlineStr">
        <is>
          <t xml:space="preserve">-</t>
        </is>
      </c>
      <c r="D145" s="0" t="inlineStr">
        <is>
          <t xml:space="preserve">sub_other</t>
        </is>
      </c>
      <c r="E145" s="0" t="inlineStr">
        <is>
          <t xml:space="preserve">other</t>
        </is>
      </c>
      <c r="F145" s="0" t="inlineStr">
        <is>
          <t xml:space="preserve">EXCLUDE_REVIEW</t>
        </is>
      </c>
      <c r="G145" s="0" t="inlineStr">
        <is>
          <t xml:space="preserve">BC</t>
        </is>
      </c>
      <c r="H145" s="5">
        <v>0</v>
      </c>
      <c r="I145" s="5">
        <v>0</v>
      </c>
      <c r="J145" s="5">
        <v>1</v>
      </c>
      <c r="K145" s="5">
        <v>88.1</v>
      </c>
      <c r="L145" s="7">
        <v>0.0</v>
      </c>
      <c r="M145" s="7">
        <v>0.0</v>
      </c>
      <c r="N145" s="7">
        <v>0.0</v>
      </c>
      <c r="O145" s="7">
        <v>0.0</v>
      </c>
    </row>
    <row r="146" outlineLevel="1">
      <c r="B146" s="0" t="inlineStr">
        <is>
          <t xml:space="preserve">2022-09-30</t>
        </is>
      </c>
      <c r="C146" s="0" t="inlineStr">
        <is>
          <t xml:space="preserve">N00024-20-C-6117</t>
        </is>
      </c>
      <c r="D146" s="0" t="inlineStr">
        <is>
          <t xml:space="preserve">non_sub</t>
        </is>
      </c>
      <c r="E146" s="0" t="inlineStr">
        <is>
          <t xml:space="preserve">other</t>
        </is>
      </c>
      <c r="F146" s="0" t="inlineStr">
        <is>
          <t xml:space="preserve">EXCLUDE_REVIEW</t>
        </is>
      </c>
      <c r="G146" s="0" t="inlineStr">
        <is>
          <t xml:space="preserve">BC</t>
        </is>
      </c>
      <c r="H146" s="5">
        <v>0</v>
      </c>
      <c r="I146" s="5">
        <v>0</v>
      </c>
      <c r="J146" s="5">
        <v>1</v>
      </c>
      <c r="K146" s="5">
        <v>88.0</v>
      </c>
      <c r="L146" s="7">
        <v>0.0</v>
      </c>
      <c r="M146" s="7">
        <v>0.0</v>
      </c>
      <c r="N146" s="7">
        <v>1.0</v>
      </c>
      <c r="O146" s="7">
        <v>0.0</v>
      </c>
    </row>
    <row r="147" outlineLevel="1">
      <c r="B147" s="0" t="inlineStr">
        <is>
          <t xml:space="preserve">2025-09-03</t>
        </is>
      </c>
      <c r="C147" s="0" t="inlineStr">
        <is>
          <t xml:space="preserve">-</t>
        </is>
      </c>
      <c r="D147" s="0" t="inlineStr">
        <is>
          <t xml:space="preserve">sub_other</t>
        </is>
      </c>
      <c r="E147" s="0" t="inlineStr">
        <is>
          <t xml:space="preserve">facilities</t>
        </is>
      </c>
      <c r="F147" s="0" t="inlineStr">
        <is>
          <t xml:space="preserve">EXCLUDE_REVIEW</t>
        </is>
      </c>
      <c r="G147" s="0" t="inlineStr">
        <is>
          <t xml:space="preserve">BC</t>
        </is>
      </c>
      <c r="H147" s="5">
        <v>0</v>
      </c>
      <c r="I147" s="5">
        <v>0</v>
      </c>
      <c r="J147" s="5">
        <v>1</v>
      </c>
      <c r="K147" s="5">
        <v>87.83874</v>
      </c>
      <c r="L147" s="7">
        <v>0.0</v>
      </c>
      <c r="M147" s="7">
        <v>0.0</v>
      </c>
      <c r="N147" s="7">
        <v>0.0</v>
      </c>
      <c r="O147" s="7">
        <v>0.0</v>
      </c>
    </row>
    <row r="148" outlineLevel="1">
      <c r="B148" s="0" t="inlineStr">
        <is>
          <t xml:space="preserve">2025-08-26</t>
        </is>
      </c>
      <c r="C148" s="0" t="inlineStr">
        <is>
          <t xml:space="preserve">N00024-19-D-4114</t>
        </is>
      </c>
      <c r="D148" s="0" t="inlineStr">
        <is>
          <t xml:space="preserve">non_sub</t>
        </is>
      </c>
      <c r="E148" s="0" t="inlineStr">
        <is>
          <t xml:space="preserve">component_procurement</t>
        </is>
      </c>
      <c r="F148" s="0" t="inlineStr">
        <is>
          <t xml:space="preserve">INCLUDE_BC</t>
        </is>
      </c>
      <c r="G148" s="0" t="inlineStr">
        <is>
          <t xml:space="preserve">BC</t>
        </is>
      </c>
      <c r="H148" s="5">
        <v>0</v>
      </c>
      <c r="I148" s="5">
        <v>0</v>
      </c>
      <c r="J148" s="5">
        <v>1</v>
      </c>
      <c r="K148" s="5">
        <v>87.473958</v>
      </c>
      <c r="L148" s="7">
        <v>0.0</v>
      </c>
      <c r="M148" s="7">
        <v>0.0</v>
      </c>
      <c r="N148" s="7">
        <v>0.0</v>
      </c>
      <c r="O148" s="7">
        <v>0.0</v>
      </c>
    </row>
    <row r="149" outlineLevel="1">
      <c r="B149" s="0" t="inlineStr">
        <is>
          <t xml:space="preserve">2025-08-11</t>
        </is>
      </c>
      <c r="C149" s="0" t="inlineStr">
        <is>
          <t xml:space="preserve">-</t>
        </is>
      </c>
      <c r="D149" s="0" t="inlineStr">
        <is>
          <t xml:space="preserve">va</t>
        </is>
      </c>
      <c r="E149" s="0" t="inlineStr">
        <is>
          <t xml:space="preserve">component_procurement</t>
        </is>
      </c>
      <c r="F149" s="0" t="inlineStr">
        <is>
          <t xml:space="preserve">INCLUDE_BC</t>
        </is>
      </c>
      <c r="G149" s="0" t="inlineStr">
        <is>
          <t xml:space="preserve">BC</t>
        </is>
      </c>
      <c r="H149" s="5">
        <v>1</v>
      </c>
      <c r="I149" s="5">
        <v>0</v>
      </c>
      <c r="J149" s="5">
        <v>1</v>
      </c>
      <c r="K149" s="5">
        <v>86.0</v>
      </c>
      <c r="L149" s="7">
        <v>0.0</v>
      </c>
      <c r="M149" s="7">
        <v>0.0</v>
      </c>
      <c r="N149" s="7">
        <v>0.0</v>
      </c>
      <c r="O149" s="7">
        <v>0.0</v>
      </c>
    </row>
    <row r="150" outlineLevel="1">
      <c r="B150" s="0" t="inlineStr">
        <is>
          <t xml:space="preserve">2023-09-29</t>
        </is>
      </c>
      <c r="C150" s="0" t="inlineStr">
        <is>
          <t xml:space="preserve">N00024-23-C-5408</t>
        </is>
      </c>
      <c r="D150" s="0" t="inlineStr">
        <is>
          <t xml:space="preserve">non_sub</t>
        </is>
      </c>
      <c r="E150" s="0" t="inlineStr">
        <is>
          <t xml:space="preserve">other</t>
        </is>
      </c>
      <c r="F150" s="0" t="inlineStr">
        <is>
          <t xml:space="preserve">EXCLUDE_REVIEW</t>
        </is>
      </c>
      <c r="G150" s="0" t="inlineStr">
        <is>
          <t xml:space="preserve">BC</t>
        </is>
      </c>
      <c r="H150" s="5">
        <v>0</v>
      </c>
      <c r="I150" s="5">
        <v>0</v>
      </c>
      <c r="J150" s="5">
        <v>1</v>
      </c>
      <c r="K150" s="5">
        <v>85.663955</v>
      </c>
      <c r="L150" s="7">
        <v>0.0</v>
      </c>
      <c r="M150" s="7">
        <v>0.0</v>
      </c>
      <c r="N150" s="7">
        <v>0.85</v>
      </c>
      <c r="O150" s="7">
        <v>0.0</v>
      </c>
    </row>
    <row r="151" outlineLevel="1">
      <c r="B151" s="0" t="inlineStr">
        <is>
          <t xml:space="preserve">2024-12-13</t>
        </is>
      </c>
      <c r="C151" s="0" t="inlineStr">
        <is>
          <t xml:space="preserve">N00024-25-C-4127</t>
        </is>
      </c>
      <c r="D151" s="0" t="inlineStr">
        <is>
          <t xml:space="preserve">non_sub</t>
        </is>
      </c>
      <c r="E151" s="0" t="inlineStr">
        <is>
          <t xml:space="preserve">other</t>
        </is>
      </c>
      <c r="F151" s="0" t="inlineStr">
        <is>
          <t xml:space="preserve">EXCLUDE_REVIEW</t>
        </is>
      </c>
      <c r="G151" s="0" t="inlineStr">
        <is>
          <t xml:space="preserve">BC</t>
        </is>
      </c>
      <c r="H151" s="5">
        <v>0</v>
      </c>
      <c r="I151" s="5">
        <v>0</v>
      </c>
      <c r="J151" s="5">
        <v>1</v>
      </c>
      <c r="K151" s="5">
        <v>83.779202</v>
      </c>
      <c r="L151" s="7">
        <v>0.0</v>
      </c>
      <c r="M151" s="7">
        <v>0.0</v>
      </c>
      <c r="N151" s="7">
        <v>1.0</v>
      </c>
      <c r="O151" s="7">
        <v>0.0</v>
      </c>
    </row>
    <row r="152" outlineLevel="1">
      <c r="B152" s="0" t="inlineStr">
        <is>
          <t xml:space="preserve">2025-01-08</t>
        </is>
      </c>
      <c r="C152" s="0" t="inlineStr">
        <is>
          <t xml:space="preserve">-</t>
        </is>
      </c>
      <c r="D152" s="0" t="inlineStr">
        <is>
          <t xml:space="preserve">va</t>
        </is>
      </c>
      <c r="E152" s="0" t="inlineStr">
        <is>
          <t xml:space="preserve">repair_overhaul</t>
        </is>
      </c>
      <c r="F152" s="0" t="inlineStr">
        <is>
          <t xml:space="preserve">EXCLUDE_REVIEW</t>
        </is>
      </c>
      <c r="G152" s="0" t="inlineStr">
        <is>
          <t xml:space="preserve">BC</t>
        </is>
      </c>
      <c r="H152" s="5">
        <v>0</v>
      </c>
      <c r="I152" s="5">
        <v>0</v>
      </c>
      <c r="J152" s="5">
        <v>1</v>
      </c>
      <c r="K152" s="5">
        <v>83.729655</v>
      </c>
      <c r="L152" s="7">
        <v>0.0</v>
      </c>
      <c r="M152" s="7">
        <v>0.0</v>
      </c>
      <c r="N152" s="7">
        <v>0.0</v>
      </c>
      <c r="O152" s="7">
        <v>0.0</v>
      </c>
    </row>
    <row r="153" outlineLevel="1">
      <c r="B153" s="0" t="inlineStr">
        <is>
          <t xml:space="preserve">2026-04-03</t>
        </is>
      </c>
      <c r="C153" s="0" t="inlineStr">
        <is>
          <t xml:space="preserve">N00024-25-C-4229</t>
        </is>
      </c>
      <c r="D153" s="0" t="inlineStr">
        <is>
          <t xml:space="preserve">non_sub</t>
        </is>
      </c>
      <c r="E153" s="0" t="inlineStr">
        <is>
          <t xml:space="preserve">lead_yard</t>
        </is>
      </c>
      <c r="F153" s="0" t="inlineStr">
        <is>
          <t xml:space="preserve">EXCLUDE_REVIEW</t>
        </is>
      </c>
      <c r="G153" s="0" t="inlineStr">
        <is>
          <t xml:space="preserve">BC</t>
        </is>
      </c>
      <c r="H153" s="5">
        <v>0</v>
      </c>
      <c r="I153" s="5">
        <v>0</v>
      </c>
      <c r="J153" s="5">
        <v>1</v>
      </c>
      <c r="K153" s="5">
        <v>83.623165</v>
      </c>
      <c r="L153" s="7">
        <v>0.0</v>
      </c>
      <c r="M153" s="7">
        <v>0.0</v>
      </c>
      <c r="N153" s="7">
        <v>0.99</v>
      </c>
      <c r="O153" s="7">
        <v>0.0</v>
      </c>
    </row>
    <row r="154" outlineLevel="1">
      <c r="B154" s="0" t="inlineStr">
        <is>
          <t xml:space="preserve">2025-01-14</t>
        </is>
      </c>
      <c r="C154" s="0" t="inlineStr">
        <is>
          <t xml:space="preserve">N00024-24-C-5131</t>
        </is>
      </c>
      <c r="D154" s="0" t="inlineStr">
        <is>
          <t xml:space="preserve">non_sub</t>
        </is>
      </c>
      <c r="E154" s="0" t="inlineStr">
        <is>
          <t xml:space="preserve">fms</t>
        </is>
      </c>
      <c r="F154" s="0" t="inlineStr">
        <is>
          <t xml:space="preserve">EXCLUDE_REVIEW</t>
        </is>
      </c>
      <c r="G154" s="0" t="inlineStr">
        <is>
          <t xml:space="preserve">BC</t>
        </is>
      </c>
      <c r="H154" s="5">
        <v>0</v>
      </c>
      <c r="I154" s="5">
        <v>0</v>
      </c>
      <c r="J154" s="5">
        <v>1</v>
      </c>
      <c r="K154" s="5">
        <v>82.292467</v>
      </c>
      <c r="L154" s="7">
        <v>0.0</v>
      </c>
      <c r="M154" s="7">
        <v>0.0</v>
      </c>
      <c r="N154" s="7">
        <v>0.0</v>
      </c>
      <c r="O154" s="7">
        <v>0.0</v>
      </c>
    </row>
    <row r="155" outlineLevel="1">
      <c r="B155" s="0" t="inlineStr">
        <is>
          <t xml:space="preserve">2022-09-30</t>
        </is>
      </c>
      <c r="C155" s="0" t="inlineStr">
        <is>
          <t xml:space="preserve">N00024-18-C-2300</t>
        </is>
      </c>
      <c r="D155" s="0" t="inlineStr">
        <is>
          <t xml:space="preserve">non_sub</t>
        </is>
      </c>
      <c r="E155" s="0" t="inlineStr">
        <is>
          <t xml:space="preserve">other</t>
        </is>
      </c>
      <c r="F155" s="0" t="inlineStr">
        <is>
          <t xml:space="preserve">EXCLUDE_REVIEW</t>
        </is>
      </c>
      <c r="G155" s="0" t="inlineStr">
        <is>
          <t xml:space="preserve">BC</t>
        </is>
      </c>
      <c r="H155" s="5">
        <v>0</v>
      </c>
      <c r="I155" s="5">
        <v>0</v>
      </c>
      <c r="J155" s="5">
        <v>1</v>
      </c>
      <c r="K155" s="5">
        <v>81.613093</v>
      </c>
      <c r="L155" s="7">
        <v>0.0</v>
      </c>
      <c r="M155" s="7">
        <v>0.0</v>
      </c>
      <c r="N155" s="7">
        <v>1.0</v>
      </c>
      <c r="O155" s="7">
        <v>0.0</v>
      </c>
    </row>
    <row r="156" outlineLevel="1">
      <c r="B156" s="0" t="inlineStr">
        <is>
          <t xml:space="preserve">2025-05-02</t>
        </is>
      </c>
      <c r="C156" s="0" t="inlineStr">
        <is>
          <t xml:space="preserve">N00024-21-C-4205</t>
        </is>
      </c>
      <c r="D156" s="0" t="inlineStr">
        <is>
          <t xml:space="preserve">non_sub</t>
        </is>
      </c>
      <c r="E156" s="0" t="inlineStr">
        <is>
          <t xml:space="preserve">lead_yard</t>
        </is>
      </c>
      <c r="F156" s="0" t="inlineStr">
        <is>
          <t xml:space="preserve">EXCLUDE_REVIEW</t>
        </is>
      </c>
      <c r="G156" s="0" t="inlineStr">
        <is>
          <t xml:space="preserve">BC</t>
        </is>
      </c>
      <c r="H156" s="5">
        <v>0</v>
      </c>
      <c r="I156" s="5">
        <v>0</v>
      </c>
      <c r="J156" s="5">
        <v>1</v>
      </c>
      <c r="K156" s="5">
        <v>81.244469</v>
      </c>
      <c r="L156" s="7">
        <v>0.0</v>
      </c>
      <c r="M156" s="7">
        <v>0.0</v>
      </c>
      <c r="N156" s="7">
        <v>1.01</v>
      </c>
      <c r="O156" s="7">
        <v>0.0</v>
      </c>
    </row>
    <row r="157" outlineLevel="1">
      <c r="B157" s="0" t="inlineStr">
        <is>
          <t xml:space="preserve">2025-04-24</t>
        </is>
      </c>
      <c r="C157" s="0" t="inlineStr">
        <is>
          <t xml:space="preserve">N00024-19-C-4313</t>
        </is>
      </c>
      <c r="D157" s="0" t="inlineStr">
        <is>
          <t xml:space="preserve">non_sub</t>
        </is>
      </c>
      <c r="E157" s="0" t="inlineStr">
        <is>
          <t xml:space="preserve">lead_yard</t>
        </is>
      </c>
      <c r="F157" s="0" t="inlineStr">
        <is>
          <t xml:space="preserve">EXCLUDE_REVIEW</t>
        </is>
      </c>
      <c r="G157" s="0" t="inlineStr">
        <is>
          <t xml:space="preserve">BC</t>
        </is>
      </c>
      <c r="H157" s="5">
        <v>0</v>
      </c>
      <c r="I157" s="5">
        <v>0</v>
      </c>
      <c r="J157" s="5">
        <v>1</v>
      </c>
      <c r="K157" s="5">
        <v>80.739428</v>
      </c>
      <c r="L157" s="7">
        <v>0.0</v>
      </c>
      <c r="M157" s="7">
        <v>0.0</v>
      </c>
      <c r="N157" s="7">
        <v>1.0</v>
      </c>
      <c r="O157" s="7">
        <v>0.0</v>
      </c>
    </row>
    <row r="158" outlineLevel="1">
      <c r="B158" s="0" t="inlineStr">
        <is>
          <t xml:space="preserve">2024-02-29</t>
        </is>
      </c>
      <c r="C158" s="0" t="inlineStr">
        <is>
          <t xml:space="preserve">N00024-19-C-4313</t>
        </is>
      </c>
      <c r="D158" s="0" t="inlineStr">
        <is>
          <t xml:space="preserve">non_sub</t>
        </is>
      </c>
      <c r="E158" s="0" t="inlineStr">
        <is>
          <t xml:space="preserve">lead_yard</t>
        </is>
      </c>
      <c r="F158" s="0" t="inlineStr">
        <is>
          <t xml:space="preserve">EXCLUDE_REVIEW</t>
        </is>
      </c>
      <c r="G158" s="0" t="inlineStr">
        <is>
          <t xml:space="preserve">BC</t>
        </is>
      </c>
      <c r="H158" s="5">
        <v>0</v>
      </c>
      <c r="I158" s="5">
        <v>0</v>
      </c>
      <c r="J158" s="5">
        <v>1</v>
      </c>
      <c r="K158" s="5">
        <v>80.03898</v>
      </c>
      <c r="L158" s="7">
        <v>0.0</v>
      </c>
      <c r="M158" s="7">
        <v>0.0</v>
      </c>
      <c r="N158" s="7">
        <v>1.0</v>
      </c>
      <c r="O158" s="7">
        <v>0.0</v>
      </c>
    </row>
    <row r="159" outlineLevel="1">
      <c r="B159" s="0" t="inlineStr">
        <is>
          <t xml:space="preserve">2024-02-23</t>
        </is>
      </c>
      <c r="C159" s="0" t="inlineStr">
        <is>
          <t xml:space="preserve">-</t>
        </is>
      </c>
      <c r="D159" s="0" t="inlineStr">
        <is>
          <t xml:space="preserve">non_sub</t>
        </is>
      </c>
      <c r="E159" s="0" t="inlineStr">
        <is>
          <t xml:space="preserve">repair_overhaul</t>
        </is>
      </c>
      <c r="F159" s="0" t="inlineStr">
        <is>
          <t xml:space="preserve">EXCLUDE_REVIEW</t>
        </is>
      </c>
      <c r="G159" s="0" t="inlineStr">
        <is>
          <t xml:space="preserve">BC</t>
        </is>
      </c>
      <c r="H159" s="5">
        <v>0</v>
      </c>
      <c r="I159" s="5">
        <v>0</v>
      </c>
      <c r="J159" s="5">
        <v>1</v>
      </c>
      <c r="K159" s="5">
        <v>80.0</v>
      </c>
      <c r="L159" s="7">
        <v>0.0</v>
      </c>
      <c r="M159" s="7">
        <v>0.0</v>
      </c>
      <c r="N159" s="7">
        <v>0.0</v>
      </c>
      <c r="O159" s="7">
        <v>0.0</v>
      </c>
    </row>
    <row r="160" outlineLevel="1">
      <c r="B160" s="0" t="inlineStr">
        <is>
          <t xml:space="preserve">2024-10-21</t>
        </is>
      </c>
      <c r="C160" s="0" t="inlineStr">
        <is>
          <t xml:space="preserve">-</t>
        </is>
      </c>
      <c r="D160" s="0" t="inlineStr">
        <is>
          <t xml:space="preserve">non_sub</t>
        </is>
      </c>
      <c r="E160" s="0" t="inlineStr">
        <is>
          <t xml:space="preserve">other</t>
        </is>
      </c>
      <c r="F160" s="0" t="inlineStr">
        <is>
          <t xml:space="preserve">EXCLUDE_REVIEW</t>
        </is>
      </c>
      <c r="G160" s="0" t="inlineStr">
        <is>
          <t xml:space="preserve">BC</t>
        </is>
      </c>
      <c r="H160" s="5">
        <v>0</v>
      </c>
      <c r="I160" s="5">
        <v>0</v>
      </c>
      <c r="J160" s="5">
        <v>1</v>
      </c>
      <c r="K160" s="5">
        <v>79.324841</v>
      </c>
      <c r="L160" s="7">
        <v>0.0</v>
      </c>
      <c r="M160" s="7">
        <v>0.0</v>
      </c>
      <c r="N160" s="7">
        <v>1.0</v>
      </c>
      <c r="O160" s="7">
        <v>0.0</v>
      </c>
    </row>
    <row r="161" outlineLevel="1">
      <c r="B161" s="0" t="inlineStr">
        <is>
          <t xml:space="preserve">2022-11-01</t>
        </is>
      </c>
      <c r="C161" s="0" t="inlineStr">
        <is>
          <t xml:space="preserve">-</t>
        </is>
      </c>
      <c r="D161" s="0" t="inlineStr">
        <is>
          <t xml:space="preserve">non_sub</t>
        </is>
      </c>
      <c r="E161" s="0" t="inlineStr">
        <is>
          <t xml:space="preserve">sustainment_maintenance</t>
        </is>
      </c>
      <c r="F161" s="0" t="inlineStr">
        <is>
          <t xml:space="preserve">EXCLUDE_REVIEW</t>
        </is>
      </c>
      <c r="G161" s="0" t="inlineStr">
        <is>
          <t xml:space="preserve">BC</t>
        </is>
      </c>
      <c r="H161" s="5">
        <v>0</v>
      </c>
      <c r="I161" s="5">
        <v>0</v>
      </c>
      <c r="J161" s="5">
        <v>1</v>
      </c>
      <c r="K161" s="5">
        <v>78.945441</v>
      </c>
      <c r="L161" s="7">
        <v>0.0</v>
      </c>
      <c r="M161" s="7">
        <v>0.0</v>
      </c>
      <c r="N161" s="7">
        <v>0.55</v>
      </c>
      <c r="O161" s="7">
        <v>0.0</v>
      </c>
    </row>
    <row r="162" outlineLevel="1">
      <c r="B162" s="0" t="inlineStr">
        <is>
          <t xml:space="preserve">2024-07-12</t>
        </is>
      </c>
      <c r="C162" s="0" t="inlineStr">
        <is>
          <t xml:space="preserve">N00024-24-C-5324</t>
        </is>
      </c>
      <c r="D162" s="0" t="inlineStr">
        <is>
          <t xml:space="preserve">non_sub</t>
        </is>
      </c>
      <c r="E162" s="0" t="inlineStr">
        <is>
          <t xml:space="preserve">fms</t>
        </is>
      </c>
      <c r="F162" s="0" t="inlineStr">
        <is>
          <t xml:space="preserve">EXCLUDE_REVIEW</t>
        </is>
      </c>
      <c r="G162" s="0" t="inlineStr">
        <is>
          <t xml:space="preserve">BC</t>
        </is>
      </c>
      <c r="H162" s="5">
        <v>0</v>
      </c>
      <c r="I162" s="5">
        <v>0</v>
      </c>
      <c r="J162" s="5">
        <v>1</v>
      </c>
      <c r="K162" s="5">
        <v>78.845434</v>
      </c>
      <c r="L162" s="7">
        <v>0.0</v>
      </c>
      <c r="M162" s="7">
        <v>0.0</v>
      </c>
      <c r="N162" s="7">
        <v>1.0</v>
      </c>
      <c r="O162" s="7">
        <v>0.0</v>
      </c>
    </row>
    <row r="163" outlineLevel="1">
      <c r="B163" s="0" t="inlineStr">
        <is>
          <t xml:space="preserve">2025-06-30</t>
        </is>
      </c>
      <c r="C163" s="0" t="inlineStr">
        <is>
          <t xml:space="preserve">N00024-18-C-5218</t>
        </is>
      </c>
      <c r="D163" s="0" t="inlineStr">
        <is>
          <t xml:space="preserve">non_sub</t>
        </is>
      </c>
      <c r="E163" s="0" t="inlineStr">
        <is>
          <t xml:space="preserve">other</t>
        </is>
      </c>
      <c r="F163" s="0" t="inlineStr">
        <is>
          <t xml:space="preserve">EXCLUDE_REVIEW</t>
        </is>
      </c>
      <c r="G163" s="0" t="inlineStr">
        <is>
          <t xml:space="preserve">BC</t>
        </is>
      </c>
      <c r="H163" s="5">
        <v>0</v>
      </c>
      <c r="I163" s="5">
        <v>0</v>
      </c>
      <c r="J163" s="5">
        <v>1</v>
      </c>
      <c r="K163" s="5">
        <v>78.471591</v>
      </c>
      <c r="L163" s="7">
        <v>0.0</v>
      </c>
      <c r="M163" s="7">
        <v>0.0</v>
      </c>
      <c r="N163" s="7">
        <v>1.0</v>
      </c>
      <c r="O163" s="7">
        <v>0.0</v>
      </c>
    </row>
    <row r="164" outlineLevel="1">
      <c r="B164" s="0" t="inlineStr">
        <is>
          <t xml:space="preserve">2026-02-20</t>
        </is>
      </c>
      <c r="C164" s="0" t="inlineStr">
        <is>
          <t xml:space="preserve">N00024-26-C-5203</t>
        </is>
      </c>
      <c r="D164" s="0" t="inlineStr">
        <is>
          <t xml:space="preserve">non_sub</t>
        </is>
      </c>
      <c r="E164" s="0" t="inlineStr">
        <is>
          <t xml:space="preserve">fms</t>
        </is>
      </c>
      <c r="F164" s="0" t="inlineStr">
        <is>
          <t xml:space="preserve">EXCLUDE_REVIEW</t>
        </is>
      </c>
      <c r="G164" s="0" t="inlineStr">
        <is>
          <t xml:space="preserve">BC</t>
        </is>
      </c>
      <c r="H164" s="5">
        <v>0</v>
      </c>
      <c r="I164" s="5">
        <v>0</v>
      </c>
      <c r="J164" s="5">
        <v>1</v>
      </c>
      <c r="K164" s="5">
        <v>78.429802</v>
      </c>
      <c r="L164" s="7">
        <v>0.0</v>
      </c>
      <c r="M164" s="7">
        <v>0.0</v>
      </c>
      <c r="N164" s="7">
        <v>1.0</v>
      </c>
      <c r="O164" s="7">
        <v>0.0</v>
      </c>
    </row>
    <row r="165" outlineLevel="1">
      <c r="B165" s="0" t="inlineStr">
        <is>
          <t xml:space="preserve">2022-08-23</t>
        </is>
      </c>
      <c r="C165" s="0" t="inlineStr">
        <is>
          <t xml:space="preserve">-</t>
        </is>
      </c>
      <c r="D165" s="0" t="inlineStr">
        <is>
          <t xml:space="preserve">non_sub</t>
        </is>
      </c>
      <c r="E165" s="0" t="inlineStr">
        <is>
          <t xml:space="preserve">design</t>
        </is>
      </c>
      <c r="F165" s="0" t="inlineStr">
        <is>
          <t xml:space="preserve">EXCLUDE_REVIEW</t>
        </is>
      </c>
      <c r="G165" s="0" t="inlineStr">
        <is>
          <t xml:space="preserve">BC</t>
        </is>
      </c>
      <c r="H165" s="5">
        <v>0</v>
      </c>
      <c r="I165" s="5">
        <v>0</v>
      </c>
      <c r="J165" s="5">
        <v>1</v>
      </c>
      <c r="K165" s="5">
        <v>78.423685</v>
      </c>
      <c r="L165" s="7">
        <v>0.0</v>
      </c>
      <c r="M165" s="7">
        <v>0.0</v>
      </c>
      <c r="N165" s="7">
        <v>1.0</v>
      </c>
      <c r="O165" s="7">
        <v>0.0</v>
      </c>
    </row>
    <row r="166" outlineLevel="1">
      <c r="B166" s="0" t="inlineStr">
        <is>
          <t xml:space="preserve">2024-07-12</t>
        </is>
      </c>
      <c r="C166" s="0" t="inlineStr">
        <is>
          <t xml:space="preserve">-</t>
        </is>
      </c>
      <c r="D166" s="0" t="inlineStr">
        <is>
          <t xml:space="preserve">non_sub</t>
        </is>
      </c>
      <c r="E166" s="0" t="inlineStr">
        <is>
          <t xml:space="preserve">other</t>
        </is>
      </c>
      <c r="F166" s="0" t="inlineStr">
        <is>
          <t xml:space="preserve">EXCLUDE_REVIEW</t>
        </is>
      </c>
      <c r="G166" s="0" t="inlineStr">
        <is>
          <t xml:space="preserve">BC</t>
        </is>
      </c>
      <c r="H166" s="5">
        <v>0</v>
      </c>
      <c r="I166" s="5">
        <v>0</v>
      </c>
      <c r="J166" s="5">
        <v>1</v>
      </c>
      <c r="K166" s="5">
        <v>78.0</v>
      </c>
      <c r="L166" s="7">
        <v>0.0</v>
      </c>
      <c r="M166" s="7">
        <v>0.0</v>
      </c>
      <c r="N166" s="7">
        <v>0.0</v>
      </c>
      <c r="O166" s="7">
        <v>0.0</v>
      </c>
    </row>
    <row r="167" outlineLevel="1">
      <c r="B167" s="0" t="inlineStr">
        <is>
          <t xml:space="preserve">2024-09-27</t>
        </is>
      </c>
      <c r="C167" s="0" t="inlineStr">
        <is>
          <t xml:space="preserve">N00167-24-C-0014</t>
        </is>
      </c>
      <c r="D167" s="0" t="inlineStr">
        <is>
          <t xml:space="preserve">col</t>
        </is>
      </c>
      <c r="E167" s="0" t="inlineStr">
        <is>
          <t xml:space="preserve">fms</t>
        </is>
      </c>
      <c r="F167" s="0" t="inlineStr">
        <is>
          <t xml:space="preserve">EXCLUDE_REVIEW</t>
        </is>
      </c>
      <c r="G167" s="0" t="inlineStr">
        <is>
          <t xml:space="preserve">BC</t>
        </is>
      </c>
      <c r="H167" s="5">
        <v>0</v>
      </c>
      <c r="I167" s="5">
        <v>0</v>
      </c>
      <c r="J167" s="5">
        <v>1</v>
      </c>
      <c r="K167" s="5">
        <v>76.832622</v>
      </c>
      <c r="L167" s="7">
        <v>0.0</v>
      </c>
      <c r="M167" s="7">
        <v>0.0</v>
      </c>
      <c r="N167" s="7">
        <v>1.0</v>
      </c>
      <c r="O167" s="7">
        <v>0.0</v>
      </c>
    </row>
    <row r="168" outlineLevel="1">
      <c r="B168" s="0" t="inlineStr">
        <is>
          <t xml:space="preserve">2023-09-26</t>
        </is>
      </c>
      <c r="C168" s="0" t="inlineStr">
        <is>
          <t xml:space="preserve">-</t>
        </is>
      </c>
      <c r="D168" s="0" t="inlineStr">
        <is>
          <t xml:space="preserve">non_sub</t>
        </is>
      </c>
      <c r="E168" s="0" t="inlineStr">
        <is>
          <t xml:space="preserve">fms</t>
        </is>
      </c>
      <c r="F168" s="0" t="inlineStr">
        <is>
          <t xml:space="preserve">EXCLUDE_REVIEW</t>
        </is>
      </c>
      <c r="G168" s="0" t="inlineStr">
        <is>
          <t xml:space="preserve">BC</t>
        </is>
      </c>
      <c r="H168" s="5">
        <v>0</v>
      </c>
      <c r="I168" s="5">
        <v>0</v>
      </c>
      <c r="J168" s="5">
        <v>1</v>
      </c>
      <c r="K168" s="5">
        <v>76.390495</v>
      </c>
      <c r="L168" s="7">
        <v>0.0</v>
      </c>
      <c r="M168" s="7">
        <v>0.0</v>
      </c>
      <c r="N168" s="7">
        <v>1.0</v>
      </c>
      <c r="O168" s="7">
        <v>0.0</v>
      </c>
    </row>
    <row r="169" outlineLevel="1">
      <c r="B169" s="0" t="inlineStr">
        <is>
          <t xml:space="preserve">2023-02-16</t>
        </is>
      </c>
      <c r="C169" s="0" t="inlineStr">
        <is>
          <t xml:space="preserve">N62742-22-D-1313</t>
        </is>
      </c>
      <c r="D169" s="0" t="inlineStr">
        <is>
          <t xml:space="preserve">sub_other</t>
        </is>
      </c>
      <c r="E169" s="0" t="inlineStr">
        <is>
          <t xml:space="preserve">other</t>
        </is>
      </c>
      <c r="F169" s="0" t="inlineStr">
        <is>
          <t xml:space="preserve">EXCLUDE_REVIEW</t>
        </is>
      </c>
      <c r="G169" s="0" t="inlineStr">
        <is>
          <t xml:space="preserve">BC</t>
        </is>
      </c>
      <c r="H169" s="5">
        <v>0</v>
      </c>
      <c r="I169" s="5">
        <v>0</v>
      </c>
      <c r="J169" s="5">
        <v>1</v>
      </c>
      <c r="K169" s="5">
        <v>76.35</v>
      </c>
      <c r="L169" s="7">
        <v>0.0</v>
      </c>
      <c r="M169" s="7">
        <v>0.0</v>
      </c>
      <c r="N169" s="7">
        <v>0.0</v>
      </c>
      <c r="O169" s="7">
        <v>0.0</v>
      </c>
    </row>
    <row r="170" outlineLevel="1">
      <c r="B170" s="0" t="inlineStr">
        <is>
          <t xml:space="preserve">2026-05-08</t>
        </is>
      </c>
      <c r="C170" s="0" t="inlineStr">
        <is>
          <t xml:space="preserve">N00024-23-C-5117</t>
        </is>
      </c>
      <c r="D170" s="0" t="inlineStr">
        <is>
          <t xml:space="preserve">non_sub</t>
        </is>
      </c>
      <c r="E170" s="0" t="inlineStr">
        <is>
          <t xml:space="preserve">other</t>
        </is>
      </c>
      <c r="F170" s="0" t="inlineStr">
        <is>
          <t xml:space="preserve">EXCLUDE_REVIEW</t>
        </is>
      </c>
      <c r="G170" s="0" t="inlineStr">
        <is>
          <t xml:space="preserve">BC</t>
        </is>
      </c>
      <c r="H170" s="5">
        <v>0</v>
      </c>
      <c r="I170" s="5">
        <v>0</v>
      </c>
      <c r="J170" s="5">
        <v>1</v>
      </c>
      <c r="K170" s="5">
        <v>75.645678</v>
      </c>
      <c r="L170" s="7">
        <v>0.0</v>
      </c>
      <c r="M170" s="7">
        <v>0.0</v>
      </c>
      <c r="N170" s="7">
        <v>1.0</v>
      </c>
      <c r="O170" s="7">
        <v>0.0</v>
      </c>
    </row>
    <row r="171" outlineLevel="1">
      <c r="B171" s="0" t="inlineStr">
        <is>
          <t xml:space="preserve">2025-02-03</t>
        </is>
      </c>
      <c r="C171" s="0" t="inlineStr">
        <is>
          <t xml:space="preserve">-</t>
        </is>
      </c>
      <c r="D171" s="0" t="inlineStr">
        <is>
          <t xml:space="preserve">non_sub</t>
        </is>
      </c>
      <c r="E171" s="0" t="inlineStr">
        <is>
          <t xml:space="preserve">fms</t>
        </is>
      </c>
      <c r="F171" s="0" t="inlineStr">
        <is>
          <t xml:space="preserve">EXCLUDE_REVIEW</t>
        </is>
      </c>
      <c r="G171" s="0" t="inlineStr">
        <is>
          <t xml:space="preserve">BC</t>
        </is>
      </c>
      <c r="H171" s="5">
        <v>0</v>
      </c>
      <c r="I171" s="5">
        <v>0</v>
      </c>
      <c r="J171" s="5">
        <v>1</v>
      </c>
      <c r="K171" s="5">
        <v>75.125477</v>
      </c>
      <c r="L171" s="7">
        <v>0.0</v>
      </c>
      <c r="M171" s="7">
        <v>0.0</v>
      </c>
      <c r="N171" s="7">
        <v>0.0</v>
      </c>
      <c r="O171" s="7">
        <v>0.0</v>
      </c>
    </row>
    <row r="172" outlineLevel="1">
      <c r="B172" s="0" t="inlineStr">
        <is>
          <t xml:space="preserve">2025-02-03</t>
        </is>
      </c>
      <c r="C172" s="0" t="inlineStr">
        <is>
          <t xml:space="preserve">-</t>
        </is>
      </c>
      <c r="D172" s="0" t="inlineStr">
        <is>
          <t xml:space="preserve">non_sub</t>
        </is>
      </c>
      <c r="E172" s="0" t="inlineStr">
        <is>
          <t xml:space="preserve">sustainment_maintenance</t>
        </is>
      </c>
      <c r="F172" s="0" t="inlineStr">
        <is>
          <t xml:space="preserve">EXCLUDE_REVIEW</t>
        </is>
      </c>
      <c r="G172" s="0" t="inlineStr">
        <is>
          <t xml:space="preserve">BC</t>
        </is>
      </c>
      <c r="H172" s="5">
        <v>0</v>
      </c>
      <c r="I172" s="5">
        <v>0</v>
      </c>
      <c r="J172" s="5">
        <v>1</v>
      </c>
      <c r="K172" s="5">
        <v>74.868772</v>
      </c>
      <c r="L172" s="7">
        <v>0.0</v>
      </c>
      <c r="M172" s="7">
        <v>0.0</v>
      </c>
      <c r="N172" s="7">
        <v>0.0</v>
      </c>
      <c r="O172" s="7">
        <v>0.0</v>
      </c>
    </row>
    <row r="173" outlineLevel="1">
      <c r="B173" s="0" t="inlineStr">
        <is>
          <t xml:space="preserve">2025-07-10</t>
        </is>
      </c>
      <c r="C173" s="0" t="inlineStr">
        <is>
          <t xml:space="preserve">N00024-21-C-5401</t>
        </is>
      </c>
      <c r="D173" s="0" t="inlineStr">
        <is>
          <t xml:space="preserve">non_sub</t>
        </is>
      </c>
      <c r="E173" s="0" t="inlineStr">
        <is>
          <t xml:space="preserve">other</t>
        </is>
      </c>
      <c r="F173" s="0" t="inlineStr">
        <is>
          <t xml:space="preserve">EXCLUDE_REVIEW</t>
        </is>
      </c>
      <c r="G173" s="0" t="inlineStr">
        <is>
          <t xml:space="preserve">BC</t>
        </is>
      </c>
      <c r="H173" s="5">
        <v>0</v>
      </c>
      <c r="I173" s="5">
        <v>0</v>
      </c>
      <c r="J173" s="5">
        <v>1</v>
      </c>
      <c r="K173" s="5">
        <v>74.012074</v>
      </c>
      <c r="L173" s="7">
        <v>0.0</v>
      </c>
      <c r="M173" s="7">
        <v>0.0</v>
      </c>
      <c r="N173" s="7">
        <v>0.91</v>
      </c>
      <c r="O173" s="7">
        <v>0.0</v>
      </c>
    </row>
    <row r="174" outlineLevel="1">
      <c r="B174" s="0" t="inlineStr">
        <is>
          <t xml:space="preserve">2026-02-13</t>
        </is>
      </c>
      <c r="C174" s="0" t="inlineStr">
        <is>
          <t xml:space="preserve">-</t>
        </is>
      </c>
      <c r="D174" s="0" t="inlineStr">
        <is>
          <t xml:space="preserve">sub_other</t>
        </is>
      </c>
      <c r="E174" s="0" t="inlineStr">
        <is>
          <t xml:space="preserve">sustainment_maintenance</t>
        </is>
      </c>
      <c r="F174" s="0" t="inlineStr">
        <is>
          <t xml:space="preserve">EXCLUDE_REVIEW</t>
        </is>
      </c>
      <c r="G174" s="0" t="inlineStr">
        <is>
          <t xml:space="preserve">BC</t>
        </is>
      </c>
      <c r="H174" s="5">
        <v>0</v>
      </c>
      <c r="I174" s="5">
        <v>0</v>
      </c>
      <c r="J174" s="5">
        <v>1</v>
      </c>
      <c r="K174" s="5">
        <v>73.424356</v>
      </c>
      <c r="L174" s="7">
        <v>0.0</v>
      </c>
      <c r="M174" s="7">
        <v>0.0</v>
      </c>
      <c r="N174" s="7">
        <v>0.0</v>
      </c>
      <c r="O174" s="7">
        <v>0.0</v>
      </c>
    </row>
    <row r="175" outlineLevel="1">
      <c r="B175" s="0" t="inlineStr">
        <is>
          <t xml:space="preserve">2023-04-10</t>
        </is>
      </c>
      <c r="C175" s="0" t="inlineStr">
        <is>
          <t xml:space="preserve">-</t>
        </is>
      </c>
      <c r="D175" s="0" t="inlineStr">
        <is>
          <t xml:space="preserve">sub_other</t>
        </is>
      </c>
      <c r="E175" s="0" t="inlineStr">
        <is>
          <t xml:space="preserve">sustainment_maintenance</t>
        </is>
      </c>
      <c r="F175" s="0" t="inlineStr">
        <is>
          <t xml:space="preserve">EXCLUDE_REVIEW</t>
        </is>
      </c>
      <c r="G175" s="0" t="inlineStr">
        <is>
          <t xml:space="preserve">BC</t>
        </is>
      </c>
      <c r="H175" s="5">
        <v>0</v>
      </c>
      <c r="I175" s="5">
        <v>0</v>
      </c>
      <c r="J175" s="5">
        <v>1</v>
      </c>
      <c r="K175" s="5">
        <v>73.117937</v>
      </c>
      <c r="L175" s="7">
        <v>0.0</v>
      </c>
      <c r="M175" s="7">
        <v>0.0</v>
      </c>
      <c r="N175" s="7">
        <v>0.0</v>
      </c>
      <c r="O175" s="7">
        <v>0.0</v>
      </c>
    </row>
    <row r="176" outlineLevel="1">
      <c r="B176" s="0" t="inlineStr">
        <is>
          <t xml:space="preserve">2024-12-13</t>
        </is>
      </c>
      <c r="C176" s="0" t="inlineStr">
        <is>
          <t xml:space="preserve">-</t>
        </is>
      </c>
      <c r="D176" s="0" t="inlineStr">
        <is>
          <t xml:space="preserve">non_sub</t>
        </is>
      </c>
      <c r="E176" s="0" t="inlineStr">
        <is>
          <t xml:space="preserve">other</t>
        </is>
      </c>
      <c r="F176" s="0" t="inlineStr">
        <is>
          <t xml:space="preserve">EXCLUDE_REVIEW</t>
        </is>
      </c>
      <c r="G176" s="0" t="inlineStr">
        <is>
          <t xml:space="preserve">BC</t>
        </is>
      </c>
      <c r="H176" s="5">
        <v>0</v>
      </c>
      <c r="I176" s="5">
        <v>0</v>
      </c>
      <c r="J176" s="5">
        <v>1</v>
      </c>
      <c r="K176" s="5">
        <v>73.102951</v>
      </c>
      <c r="L176" s="7">
        <v>0.0</v>
      </c>
      <c r="M176" s="7">
        <v>0.0</v>
      </c>
      <c r="N176" s="7">
        <v>0.77</v>
      </c>
      <c r="O176" s="7">
        <v>0.0</v>
      </c>
    </row>
    <row r="177" outlineLevel="1">
      <c r="B177" s="0" t="inlineStr">
        <is>
          <t xml:space="preserve">2025-06-30</t>
        </is>
      </c>
      <c r="C177" s="0" t="inlineStr">
        <is>
          <t xml:space="preserve">N00024-22-C-2505</t>
        </is>
      </c>
      <c r="D177" s="0" t="inlineStr">
        <is>
          <t xml:space="preserve">sub_other</t>
        </is>
      </c>
      <c r="E177" s="0" t="inlineStr">
        <is>
          <t xml:space="preserve">other</t>
        </is>
      </c>
      <c r="F177" s="0" t="inlineStr">
        <is>
          <t xml:space="preserve">EXCLUDE_REVIEW</t>
        </is>
      </c>
      <c r="G177" s="0" t="inlineStr">
        <is>
          <t xml:space="preserve">BC</t>
        </is>
      </c>
      <c r="H177" s="5">
        <v>0</v>
      </c>
      <c r="I177" s="5">
        <v>0</v>
      </c>
      <c r="J177" s="5">
        <v>1</v>
      </c>
      <c r="K177" s="5">
        <v>72.657743</v>
      </c>
      <c r="L177" s="7">
        <v>0.0</v>
      </c>
      <c r="M177" s="7">
        <v>0.0</v>
      </c>
      <c r="N177" s="7">
        <v>0.99</v>
      </c>
      <c r="O177" s="7">
        <v>0.0</v>
      </c>
    </row>
    <row r="178" outlineLevel="1">
      <c r="B178" s="0" t="inlineStr">
        <is>
          <t xml:space="preserve">2023-01-18</t>
        </is>
      </c>
      <c r="C178" s="0" t="inlineStr">
        <is>
          <t xml:space="preserve">N00167-23-D-0004</t>
        </is>
      </c>
      <c r="D178" s="0" t="inlineStr">
        <is>
          <t xml:space="preserve">col</t>
        </is>
      </c>
      <c r="E178" s="0" t="inlineStr">
        <is>
          <t xml:space="preserve">other</t>
        </is>
      </c>
      <c r="F178" s="0" t="inlineStr">
        <is>
          <t xml:space="preserve">EXCLUDE_REVIEW</t>
        </is>
      </c>
      <c r="G178" s="0" t="inlineStr">
        <is>
          <t xml:space="preserve">BC</t>
        </is>
      </c>
      <c r="H178" s="5">
        <v>0</v>
      </c>
      <c r="I178" s="5">
        <v>0</v>
      </c>
      <c r="J178" s="5">
        <v>1</v>
      </c>
      <c r="K178" s="5">
        <v>71.909045</v>
      </c>
      <c r="L178" s="7">
        <v>0.0</v>
      </c>
      <c r="M178" s="7">
        <v>0.0</v>
      </c>
      <c r="N178" s="7">
        <v>1.0</v>
      </c>
      <c r="O178" s="7">
        <v>0.0</v>
      </c>
    </row>
    <row r="179" outlineLevel="1">
      <c r="B179" s="0" t="inlineStr">
        <is>
          <t xml:space="preserve">2023-12-22</t>
        </is>
      </c>
      <c r="C179" s="0" t="inlineStr">
        <is>
          <t xml:space="preserve">-</t>
        </is>
      </c>
      <c r="D179" s="0" t="inlineStr">
        <is>
          <t xml:space="preserve">va</t>
        </is>
      </c>
      <c r="E179" s="0" t="inlineStr">
        <is>
          <t xml:space="preserve">lead_yard</t>
        </is>
      </c>
      <c r="F179" s="0" t="inlineStr">
        <is>
          <t xml:space="preserve">EXCLUDE_REVIEW</t>
        </is>
      </c>
      <c r="G179" s="0" t="inlineStr">
        <is>
          <t xml:space="preserve">BC</t>
        </is>
      </c>
      <c r="H179" s="5">
        <v>0</v>
      </c>
      <c r="I179" s="5">
        <v>0</v>
      </c>
      <c r="J179" s="5">
        <v>1</v>
      </c>
      <c r="K179" s="5">
        <v>71.425061</v>
      </c>
      <c r="L179" s="7">
        <v>0.0</v>
      </c>
      <c r="M179" s="7">
        <v>0.0</v>
      </c>
      <c r="N179" s="7">
        <v>0.0</v>
      </c>
      <c r="O179" s="7">
        <v>0.0</v>
      </c>
    </row>
    <row r="180" outlineLevel="1">
      <c r="B180" s="0" t="inlineStr">
        <is>
          <t xml:space="preserve">2025-01-08</t>
        </is>
      </c>
      <c r="C180" s="0" t="inlineStr">
        <is>
          <t xml:space="preserve">N00024-18-C-5218</t>
        </is>
      </c>
      <c r="D180" s="0" t="inlineStr">
        <is>
          <t xml:space="preserve">non_sub</t>
        </is>
      </c>
      <c r="E180" s="0" t="inlineStr">
        <is>
          <t xml:space="preserve">fms</t>
        </is>
      </c>
      <c r="F180" s="0" t="inlineStr">
        <is>
          <t xml:space="preserve">EXCLUDE_REVIEW</t>
        </is>
      </c>
      <c r="G180" s="0" t="inlineStr">
        <is>
          <t xml:space="preserve">BC</t>
        </is>
      </c>
      <c r="H180" s="5">
        <v>0</v>
      </c>
      <c r="I180" s="5">
        <v>0</v>
      </c>
      <c r="J180" s="5">
        <v>1</v>
      </c>
      <c r="K180" s="5">
        <v>70.971132</v>
      </c>
      <c r="L180" s="7">
        <v>0.0</v>
      </c>
      <c r="M180" s="7">
        <v>0.0</v>
      </c>
      <c r="N180" s="7">
        <v>1.0</v>
      </c>
      <c r="O180" s="7">
        <v>0.0</v>
      </c>
    </row>
    <row r="181" outlineLevel="1">
      <c r="B181" s="0" t="inlineStr">
        <is>
          <t xml:space="preserve">2026-02-06</t>
        </is>
      </c>
      <c r="C181" s="0" t="inlineStr">
        <is>
          <t xml:space="preserve">N00024-24-C-2112</t>
        </is>
      </c>
      <c r="D181" s="0" t="inlineStr">
        <is>
          <t xml:space="preserve">bpmi_nuclear</t>
        </is>
      </c>
      <c r="E181" s="0" t="inlineStr">
        <is>
          <t xml:space="preserve">component_procurement</t>
        </is>
      </c>
      <c r="F181" s="0" t="inlineStr">
        <is>
          <t xml:space="preserve">EXCLUDE_GFE_NUCLEAR</t>
        </is>
      </c>
      <c r="G181" s="0" t="inlineStr">
        <is>
          <t xml:space="preserve">BC</t>
        </is>
      </c>
      <c r="H181" s="5">
        <v>1</v>
      </c>
      <c r="I181" s="5">
        <v>1</v>
      </c>
      <c r="J181" s="5">
        <v>1</v>
      </c>
      <c r="K181" s="5">
        <v>69.235114</v>
      </c>
      <c r="L181" s="7">
        <v>0.0</v>
      </c>
      <c r="M181" s="7">
        <v>0.0</v>
      </c>
      <c r="N181" s="7">
        <v>1.0</v>
      </c>
      <c r="O181" s="7">
        <v>0.0</v>
      </c>
    </row>
    <row r="182" outlineLevel="1">
      <c r="B182" s="0" t="inlineStr">
        <is>
          <t xml:space="preserve">2025-11-20</t>
        </is>
      </c>
      <c r="C182" s="0" t="inlineStr">
        <is>
          <t xml:space="preserve">N00024-25-C-6108</t>
        </is>
      </c>
      <c r="D182" s="0" t="inlineStr">
        <is>
          <t xml:space="preserve">sub_other</t>
        </is>
      </c>
      <c r="E182" s="0" t="inlineStr">
        <is>
          <t xml:space="preserve">other</t>
        </is>
      </c>
      <c r="F182" s="0" t="inlineStr">
        <is>
          <t xml:space="preserve">EXCLUDE_REVIEW</t>
        </is>
      </c>
      <c r="G182" s="0" t="inlineStr">
        <is>
          <t xml:space="preserve">BC</t>
        </is>
      </c>
      <c r="H182" s="5">
        <v>0</v>
      </c>
      <c r="I182" s="5">
        <v>0</v>
      </c>
      <c r="J182" s="5">
        <v>1</v>
      </c>
      <c r="K182" s="5">
        <v>68.711261</v>
      </c>
      <c r="L182" s="7">
        <v>0.0</v>
      </c>
      <c r="M182" s="7">
        <v>0.0</v>
      </c>
      <c r="N182" s="7">
        <v>0.8</v>
      </c>
      <c r="O182" s="7">
        <v>0.0</v>
      </c>
    </row>
    <row r="183" outlineLevel="1">
      <c r="B183" s="0" t="inlineStr">
        <is>
          <t xml:space="preserve">2025-07-29</t>
        </is>
      </c>
      <c r="C183" s="0" t="inlineStr">
        <is>
          <t xml:space="preserve">-</t>
        </is>
      </c>
      <c r="D183" s="0" t="inlineStr">
        <is>
          <t xml:space="preserve">non_sub</t>
        </is>
      </c>
      <c r="E183" s="0" t="inlineStr">
        <is>
          <t xml:space="preserve">other</t>
        </is>
      </c>
      <c r="F183" s="0" t="inlineStr">
        <is>
          <t xml:space="preserve">EXCLUDE_REVIEW</t>
        </is>
      </c>
      <c r="G183" s="0" t="inlineStr">
        <is>
          <t xml:space="preserve">BC</t>
        </is>
      </c>
      <c r="H183" s="5">
        <v>0</v>
      </c>
      <c r="I183" s="5">
        <v>0</v>
      </c>
      <c r="J183" s="5">
        <v>1</v>
      </c>
      <c r="K183" s="5">
        <v>67.55</v>
      </c>
      <c r="L183" s="7">
        <v>0.0</v>
      </c>
      <c r="M183" s="7">
        <v>0.0</v>
      </c>
      <c r="N183" s="7">
        <v>0.9</v>
      </c>
      <c r="O183" s="7">
        <v>0.0</v>
      </c>
    </row>
    <row r="184" outlineLevel="1">
      <c r="B184" s="0" t="inlineStr">
        <is>
          <t xml:space="preserve">2026-01-23</t>
        </is>
      </c>
      <c r="C184" s="0" t="inlineStr">
        <is>
          <t xml:space="preserve">N00030-26-F-3021</t>
        </is>
      </c>
      <c r="D184" s="0" t="inlineStr">
        <is>
          <t xml:space="preserve">non_sub</t>
        </is>
      </c>
      <c r="E184" s="0" t="inlineStr">
        <is>
          <t xml:space="preserve">fms</t>
        </is>
      </c>
      <c r="F184" s="0" t="inlineStr">
        <is>
          <t xml:space="preserve">EXCLUDE_REVIEW</t>
        </is>
      </c>
      <c r="G184" s="0" t="inlineStr">
        <is>
          <t xml:space="preserve">BC</t>
        </is>
      </c>
      <c r="H184" s="5">
        <v>0</v>
      </c>
      <c r="I184" s="5">
        <v>0</v>
      </c>
      <c r="J184" s="5">
        <v>1</v>
      </c>
      <c r="K184" s="5">
        <v>67.519083</v>
      </c>
      <c r="L184" s="7">
        <v>0.0</v>
      </c>
      <c r="M184" s="7">
        <v>0.0</v>
      </c>
      <c r="N184" s="7">
        <v>0.98</v>
      </c>
      <c r="O184" s="7">
        <v>0.0</v>
      </c>
    </row>
    <row r="185" outlineLevel="1">
      <c r="B185" s="0" t="inlineStr">
        <is>
          <t xml:space="preserve">2023-09-21</t>
        </is>
      </c>
      <c r="C185" s="0" t="inlineStr">
        <is>
          <t xml:space="preserve">-</t>
        </is>
      </c>
      <c r="D185" s="0" t="inlineStr">
        <is>
          <t xml:space="preserve">non_sub</t>
        </is>
      </c>
      <c r="E185" s="0" t="inlineStr">
        <is>
          <t xml:space="preserve">other</t>
        </is>
      </c>
      <c r="F185" s="0" t="inlineStr">
        <is>
          <t xml:space="preserve">EXCLUDE_REVIEW</t>
        </is>
      </c>
      <c r="G185" s="0" t="inlineStr">
        <is>
          <t xml:space="preserve">BC</t>
        </is>
      </c>
      <c r="H185" s="5">
        <v>0</v>
      </c>
      <c r="I185" s="5">
        <v>0</v>
      </c>
      <c r="J185" s="5">
        <v>1</v>
      </c>
      <c r="K185" s="5">
        <v>67.428655</v>
      </c>
      <c r="L185" s="7">
        <v>0.0</v>
      </c>
      <c r="M185" s="7">
        <v>0.0</v>
      </c>
      <c r="N185" s="7">
        <v>1.0</v>
      </c>
      <c r="O185" s="7">
        <v>0.0</v>
      </c>
    </row>
    <row r="186" outlineLevel="1">
      <c r="B186" s="0" t="inlineStr">
        <is>
          <t xml:space="preserve">2024-09-24</t>
        </is>
      </c>
      <c r="C186" s="0" t="inlineStr">
        <is>
          <t xml:space="preserve">N00024-24-C-5539</t>
        </is>
      </c>
      <c r="D186" s="0" t="inlineStr">
        <is>
          <t xml:space="preserve">non_sub</t>
        </is>
      </c>
      <c r="E186" s="0" t="inlineStr">
        <is>
          <t xml:space="preserve">fms</t>
        </is>
      </c>
      <c r="F186" s="0" t="inlineStr">
        <is>
          <t xml:space="preserve">EXCLUDE_REVIEW</t>
        </is>
      </c>
      <c r="G186" s="0" t="inlineStr">
        <is>
          <t xml:space="preserve">BC</t>
        </is>
      </c>
      <c r="H186" s="5">
        <v>0</v>
      </c>
      <c r="I186" s="5">
        <v>0</v>
      </c>
      <c r="J186" s="5">
        <v>1</v>
      </c>
      <c r="K186" s="5">
        <v>66.23949</v>
      </c>
      <c r="L186" s="7">
        <v>0.0</v>
      </c>
      <c r="M186" s="7">
        <v>0.0</v>
      </c>
      <c r="N186" s="7">
        <v>1.0</v>
      </c>
      <c r="O186" s="7">
        <v>0.0</v>
      </c>
    </row>
    <row r="187" outlineLevel="1">
      <c r="B187" s="0" t="inlineStr">
        <is>
          <t xml:space="preserve">2026-05-07</t>
        </is>
      </c>
      <c r="C187" s="0" t="inlineStr">
        <is>
          <t xml:space="preserve">-</t>
        </is>
      </c>
      <c r="D187" s="0" t="inlineStr">
        <is>
          <t xml:space="preserve">col</t>
        </is>
      </c>
      <c r="E187" s="0" t="inlineStr">
        <is>
          <t xml:space="preserve">other</t>
        </is>
      </c>
      <c r="F187" s="0" t="inlineStr">
        <is>
          <t xml:space="preserve">EXCLUDE_REVIEW</t>
        </is>
      </c>
      <c r="G187" s="0" t="inlineStr">
        <is>
          <t xml:space="preserve">BC</t>
        </is>
      </c>
      <c r="H187" s="5">
        <v>0</v>
      </c>
      <c r="I187" s="5">
        <v>0</v>
      </c>
      <c r="J187" s="5">
        <v>1</v>
      </c>
      <c r="K187" s="5">
        <v>66.17698</v>
      </c>
      <c r="L187" s="7">
        <v>0.8</v>
      </c>
      <c r="M187" s="7">
        <v>0.0</v>
      </c>
      <c r="N187" s="7">
        <v>0.2</v>
      </c>
      <c r="O187" s="7">
        <v>0.0</v>
      </c>
    </row>
    <row r="188" outlineLevel="1">
      <c r="B188" s="0" t="inlineStr">
        <is>
          <t xml:space="preserve">2023-05-17</t>
        </is>
      </c>
      <c r="C188" s="0" t="inlineStr">
        <is>
          <t xml:space="preserve">N00024-16-C-2116</t>
        </is>
      </c>
      <c r="D188" s="0" t="inlineStr">
        <is>
          <t xml:space="preserve">non_sub</t>
        </is>
      </c>
      <c r="E188" s="0" t="inlineStr">
        <is>
          <t xml:space="preserve">engineering</t>
        </is>
      </c>
      <c r="F188" s="0" t="inlineStr">
        <is>
          <t xml:space="preserve">EXCLUDE_REVIEW</t>
        </is>
      </c>
      <c r="G188" s="0" t="inlineStr">
        <is>
          <t xml:space="preserve">BC</t>
        </is>
      </c>
      <c r="H188" s="5">
        <v>0</v>
      </c>
      <c r="I188" s="5">
        <v>0</v>
      </c>
      <c r="J188" s="5">
        <v>1</v>
      </c>
      <c r="K188" s="5">
        <v>65.803613</v>
      </c>
      <c r="L188" s="7">
        <v>0.0</v>
      </c>
      <c r="M188" s="7">
        <v>0.0</v>
      </c>
      <c r="N188" s="7">
        <v>0.0</v>
      </c>
      <c r="O188" s="7">
        <v>0.0</v>
      </c>
    </row>
    <row r="189" outlineLevel="1">
      <c r="B189" s="0" t="inlineStr">
        <is>
          <t xml:space="preserve">2025-05-07</t>
        </is>
      </c>
      <c r="C189" s="0" t="inlineStr">
        <is>
          <t xml:space="preserve">N00024-22-C-6305</t>
        </is>
      </c>
      <c r="D189" s="0" t="inlineStr">
        <is>
          <t xml:space="preserve">non_sub</t>
        </is>
      </c>
      <c r="E189" s="0" t="inlineStr">
        <is>
          <t xml:space="preserve">other</t>
        </is>
      </c>
      <c r="F189" s="0" t="inlineStr">
        <is>
          <t xml:space="preserve">EXCLUDE_REVIEW</t>
        </is>
      </c>
      <c r="G189" s="0" t="inlineStr">
        <is>
          <t xml:space="preserve">BC</t>
        </is>
      </c>
      <c r="H189" s="5">
        <v>0</v>
      </c>
      <c r="I189" s="5">
        <v>0</v>
      </c>
      <c r="J189" s="5">
        <v>1</v>
      </c>
      <c r="K189" s="5">
        <v>65.709527</v>
      </c>
      <c r="L189" s="7">
        <v>0.0</v>
      </c>
      <c r="M189" s="7">
        <v>0.0</v>
      </c>
      <c r="N189" s="7">
        <v>1.0</v>
      </c>
      <c r="O189" s="7">
        <v>0.0</v>
      </c>
    </row>
    <row r="190" outlineLevel="1">
      <c r="B190" s="0" t="inlineStr">
        <is>
          <t xml:space="preserve">2025-12-02</t>
        </is>
      </c>
      <c r="C190" s="0" t="inlineStr">
        <is>
          <t xml:space="preserve">N00024-19-C-5603</t>
        </is>
      </c>
      <c r="D190" s="0" t="inlineStr">
        <is>
          <t xml:space="preserve">non_sub</t>
        </is>
      </c>
      <c r="E190" s="0" t="inlineStr">
        <is>
          <t xml:space="preserve">engineering</t>
        </is>
      </c>
      <c r="F190" s="0" t="inlineStr">
        <is>
          <t xml:space="preserve">EXCLUDE_REVIEW</t>
        </is>
      </c>
      <c r="G190" s="0" t="inlineStr">
        <is>
          <t xml:space="preserve">BC</t>
        </is>
      </c>
      <c r="H190" s="5">
        <v>0</v>
      </c>
      <c r="I190" s="5">
        <v>0</v>
      </c>
      <c r="J190" s="5">
        <v>1</v>
      </c>
      <c r="K190" s="5">
        <v>64.131178</v>
      </c>
      <c r="L190" s="7">
        <v>0.0</v>
      </c>
      <c r="M190" s="7">
        <v>0.0</v>
      </c>
      <c r="N190" s="7">
        <v>1.0</v>
      </c>
      <c r="O190" s="7">
        <v>0.0</v>
      </c>
    </row>
    <row r="191" outlineLevel="1">
      <c r="B191" s="0" t="inlineStr">
        <is>
          <t xml:space="preserve">2023-04-18</t>
        </is>
      </c>
      <c r="C191" s="0" t="inlineStr">
        <is>
          <t xml:space="preserve">-</t>
        </is>
      </c>
      <c r="D191" s="0" t="inlineStr">
        <is>
          <t xml:space="preserve">non_sub</t>
        </is>
      </c>
      <c r="E191" s="0" t="inlineStr">
        <is>
          <t xml:space="preserve">lead_yard</t>
        </is>
      </c>
      <c r="F191" s="0" t="inlineStr">
        <is>
          <t xml:space="preserve">EXCLUDE_REVIEW</t>
        </is>
      </c>
      <c r="G191" s="0" t="inlineStr">
        <is>
          <t xml:space="preserve">BC</t>
        </is>
      </c>
      <c r="H191" s="5">
        <v>0</v>
      </c>
      <c r="I191" s="5">
        <v>0</v>
      </c>
      <c r="J191" s="5">
        <v>1</v>
      </c>
      <c r="K191" s="5">
        <v>64.087795</v>
      </c>
      <c r="L191" s="7">
        <v>0.0</v>
      </c>
      <c r="M191" s="7">
        <v>0.0</v>
      </c>
      <c r="N191" s="7">
        <v>0.0</v>
      </c>
      <c r="O191" s="7">
        <v>0.0</v>
      </c>
    </row>
    <row r="192" outlineLevel="1">
      <c r="B192" s="0" t="inlineStr">
        <is>
          <t xml:space="preserve">2025-03-28</t>
        </is>
      </c>
      <c r="C192" s="0" t="inlineStr">
        <is>
          <t xml:space="preserve">N00024-25-C-4422</t>
        </is>
      </c>
      <c r="D192" s="0" t="inlineStr">
        <is>
          <t xml:space="preserve">non_sub</t>
        </is>
      </c>
      <c r="E192" s="0" t="inlineStr">
        <is>
          <t xml:space="preserve">sustainment_maintenance</t>
        </is>
      </c>
      <c r="F192" s="0" t="inlineStr">
        <is>
          <t xml:space="preserve">EXCLUDE_REVIEW</t>
        </is>
      </c>
      <c r="G192" s="0" t="inlineStr">
        <is>
          <t xml:space="preserve">BC</t>
        </is>
      </c>
      <c r="H192" s="5">
        <v>0</v>
      </c>
      <c r="I192" s="5">
        <v>0</v>
      </c>
      <c r="J192" s="5">
        <v>1</v>
      </c>
      <c r="K192" s="5">
        <v>63.877252</v>
      </c>
      <c r="L192" s="7">
        <v>0.0</v>
      </c>
      <c r="M192" s="7">
        <v>0.0</v>
      </c>
      <c r="N192" s="7">
        <v>0.0</v>
      </c>
      <c r="O192" s="7">
        <v>0.0</v>
      </c>
    </row>
    <row r="193" outlineLevel="1">
      <c r="B193" s="0" t="inlineStr">
        <is>
          <t xml:space="preserve">2023-09-18</t>
        </is>
      </c>
      <c r="C193" s="0" t="inlineStr">
        <is>
          <t xml:space="preserve">N00024-23-C-5101</t>
        </is>
      </c>
      <c r="D193" s="0" t="inlineStr">
        <is>
          <t xml:space="preserve">non_sub</t>
        </is>
      </c>
      <c r="E193" s="0" t="inlineStr">
        <is>
          <t xml:space="preserve">fms</t>
        </is>
      </c>
      <c r="F193" s="0" t="inlineStr">
        <is>
          <t xml:space="preserve">EXCLUDE_REVIEW</t>
        </is>
      </c>
      <c r="G193" s="0" t="inlineStr">
        <is>
          <t xml:space="preserve">BC</t>
        </is>
      </c>
      <c r="H193" s="5">
        <v>0</v>
      </c>
      <c r="I193" s="5">
        <v>0</v>
      </c>
      <c r="J193" s="5">
        <v>1</v>
      </c>
      <c r="K193" s="5">
        <v>63.820154</v>
      </c>
      <c r="L193" s="7">
        <v>0.0</v>
      </c>
      <c r="M193" s="7">
        <v>0.0</v>
      </c>
      <c r="N193" s="7">
        <v>0.97</v>
      </c>
      <c r="O193" s="7">
        <v>0.0</v>
      </c>
    </row>
    <row r="194" outlineLevel="1">
      <c r="B194" s="0" t="inlineStr">
        <is>
          <t xml:space="preserve">2025-12-19</t>
        </is>
      </c>
      <c r="C194" s="0" t="inlineStr">
        <is>
          <t xml:space="preserve">N00024-22-C-5405</t>
        </is>
      </c>
      <c r="D194" s="0" t="inlineStr">
        <is>
          <t xml:space="preserve">non_sub</t>
        </is>
      </c>
      <c r="E194" s="0" t="inlineStr">
        <is>
          <t xml:space="preserve">fms</t>
        </is>
      </c>
      <c r="F194" s="0" t="inlineStr">
        <is>
          <t xml:space="preserve">EXCLUDE_REVIEW</t>
        </is>
      </c>
      <c r="G194" s="0" t="inlineStr">
        <is>
          <t xml:space="preserve">BC</t>
        </is>
      </c>
      <c r="H194" s="5">
        <v>0</v>
      </c>
      <c r="I194" s="5">
        <v>0</v>
      </c>
      <c r="J194" s="5">
        <v>1</v>
      </c>
      <c r="K194" s="5">
        <v>63.397404</v>
      </c>
      <c r="L194" s="7">
        <v>0.0</v>
      </c>
      <c r="M194" s="7">
        <v>0.0</v>
      </c>
      <c r="N194" s="7">
        <v>0.75</v>
      </c>
      <c r="O194" s="7">
        <v>0.0</v>
      </c>
    </row>
    <row r="195" outlineLevel="1">
      <c r="B195" s="0" t="inlineStr">
        <is>
          <t xml:space="preserve">2024-12-13</t>
        </is>
      </c>
      <c r="C195" s="0" t="inlineStr">
        <is>
          <t xml:space="preserve">-</t>
        </is>
      </c>
      <c r="D195" s="0" t="inlineStr">
        <is>
          <t xml:space="preserve">non_sub</t>
        </is>
      </c>
      <c r="E195" s="0" t="inlineStr">
        <is>
          <t xml:space="preserve">engineering</t>
        </is>
      </c>
      <c r="F195" s="0" t="inlineStr">
        <is>
          <t xml:space="preserve">EXCLUDE_REVIEW</t>
        </is>
      </c>
      <c r="G195" s="0" t="inlineStr">
        <is>
          <t xml:space="preserve">BC</t>
        </is>
      </c>
      <c r="H195" s="5">
        <v>0</v>
      </c>
      <c r="I195" s="5">
        <v>0</v>
      </c>
      <c r="J195" s="5">
        <v>1</v>
      </c>
      <c r="K195" s="5">
        <v>63.075265</v>
      </c>
      <c r="L195" s="7">
        <v>0.0</v>
      </c>
      <c r="M195" s="7">
        <v>0.0</v>
      </c>
      <c r="N195" s="7">
        <v>1.0</v>
      </c>
      <c r="O195" s="7">
        <v>0.0</v>
      </c>
    </row>
    <row r="196" outlineLevel="1">
      <c r="B196" s="0" t="inlineStr">
        <is>
          <t xml:space="preserve">2025-04-07</t>
        </is>
      </c>
      <c r="C196" s="0" t="inlineStr">
        <is>
          <t xml:space="preserve">N00024-20-C-5101</t>
        </is>
      </c>
      <c r="D196" s="0" t="inlineStr">
        <is>
          <t xml:space="preserve">non_sub</t>
        </is>
      </c>
      <c r="E196" s="0" t="inlineStr">
        <is>
          <t xml:space="preserve">construction</t>
        </is>
      </c>
      <c r="F196" s="0" t="inlineStr">
        <is>
          <t xml:space="preserve">INCLUDE_BC</t>
        </is>
      </c>
      <c r="G196" s="0" t="inlineStr">
        <is>
          <t xml:space="preserve">BC</t>
        </is>
      </c>
      <c r="H196" s="5">
        <v>0</v>
      </c>
      <c r="I196" s="5">
        <v>0</v>
      </c>
      <c r="J196" s="5">
        <v>1</v>
      </c>
      <c r="K196" s="5">
        <v>62.627402</v>
      </c>
      <c r="L196" s="7">
        <v>0.0</v>
      </c>
      <c r="M196" s="7">
        <v>0.0</v>
      </c>
      <c r="N196" s="7">
        <v>1.0</v>
      </c>
      <c r="O196" s="7">
        <v>0.0</v>
      </c>
    </row>
    <row r="197" outlineLevel="1">
      <c r="B197" s="0" t="inlineStr">
        <is>
          <t xml:space="preserve">2024-10-21</t>
        </is>
      </c>
      <c r="C197" s="0" t="inlineStr">
        <is>
          <t xml:space="preserve">N00024-25-C-5314</t>
        </is>
      </c>
      <c r="D197" s="0" t="inlineStr">
        <is>
          <t xml:space="preserve">non_sub</t>
        </is>
      </c>
      <c r="E197" s="0" t="inlineStr">
        <is>
          <t xml:space="preserve">other</t>
        </is>
      </c>
      <c r="F197" s="0" t="inlineStr">
        <is>
          <t xml:space="preserve">EXCLUDE_REVIEW</t>
        </is>
      </c>
      <c r="G197" s="0" t="inlineStr">
        <is>
          <t xml:space="preserve">BC</t>
        </is>
      </c>
      <c r="H197" s="5">
        <v>0</v>
      </c>
      <c r="I197" s="5">
        <v>0</v>
      </c>
      <c r="J197" s="5">
        <v>1</v>
      </c>
      <c r="K197" s="5">
        <v>61.45423</v>
      </c>
      <c r="L197" s="7">
        <v>0.0</v>
      </c>
      <c r="M197" s="7">
        <v>0.0</v>
      </c>
      <c r="N197" s="7">
        <v>1.0</v>
      </c>
      <c r="O197" s="7">
        <v>0.0</v>
      </c>
    </row>
    <row r="198" outlineLevel="1">
      <c r="B198" s="0" t="inlineStr">
        <is>
          <t xml:space="preserve">2025-07-02</t>
        </is>
      </c>
      <c r="C198" s="0" t="inlineStr">
        <is>
          <t xml:space="preserve">N00024-22-C-6407</t>
        </is>
      </c>
      <c r="D198" s="0" t="inlineStr">
        <is>
          <t xml:space="preserve">sub_other</t>
        </is>
      </c>
      <c r="E198" s="0" t="inlineStr">
        <is>
          <t xml:space="preserve">other</t>
        </is>
      </c>
      <c r="F198" s="0" t="inlineStr">
        <is>
          <t xml:space="preserve">EXCLUDE_REVIEW</t>
        </is>
      </c>
      <c r="G198" s="0" t="inlineStr">
        <is>
          <t xml:space="preserve">BC</t>
        </is>
      </c>
      <c r="H198" s="5">
        <v>0</v>
      </c>
      <c r="I198" s="5">
        <v>0</v>
      </c>
      <c r="J198" s="5">
        <v>1</v>
      </c>
      <c r="K198" s="5">
        <v>61.175927</v>
      </c>
      <c r="L198" s="7">
        <v>0.0</v>
      </c>
      <c r="M198" s="7">
        <v>0.0</v>
      </c>
      <c r="N198" s="7">
        <v>1.0</v>
      </c>
      <c r="O198" s="7">
        <v>0.0</v>
      </c>
    </row>
    <row r="199" outlineLevel="1">
      <c r="B199" s="0" t="inlineStr">
        <is>
          <t xml:space="preserve">2023-09-29</t>
        </is>
      </c>
      <c r="C199" s="0" t="inlineStr">
        <is>
          <t xml:space="preserve">-</t>
        </is>
      </c>
      <c r="D199" s="0" t="inlineStr">
        <is>
          <t xml:space="preserve">non_sub</t>
        </is>
      </c>
      <c r="E199" s="0" t="inlineStr">
        <is>
          <t xml:space="preserve">other</t>
        </is>
      </c>
      <c r="F199" s="0" t="inlineStr">
        <is>
          <t xml:space="preserve">EXCLUDE_REVIEW</t>
        </is>
      </c>
      <c r="G199" s="0" t="inlineStr">
        <is>
          <t xml:space="preserve">BC</t>
        </is>
      </c>
      <c r="H199" s="5">
        <v>0</v>
      </c>
      <c r="I199" s="5">
        <v>0</v>
      </c>
      <c r="J199" s="5">
        <v>1</v>
      </c>
      <c r="K199" s="5">
        <v>60.555041</v>
      </c>
      <c r="L199" s="7">
        <v>0.0</v>
      </c>
      <c r="M199" s="7">
        <v>0.0</v>
      </c>
      <c r="N199" s="7">
        <v>0.9</v>
      </c>
      <c r="O199" s="7">
        <v>0.0</v>
      </c>
    </row>
    <row r="200" outlineLevel="1">
      <c r="B200" s="0" t="inlineStr">
        <is>
          <t xml:space="preserve">2022-11-09</t>
        </is>
      </c>
      <c r="C200" s="0" t="inlineStr">
        <is>
          <t xml:space="preserve">-</t>
        </is>
      </c>
      <c r="D200" s="0" t="inlineStr">
        <is>
          <t xml:space="preserve">non_sub</t>
        </is>
      </c>
      <c r="E200" s="0" t="inlineStr">
        <is>
          <t xml:space="preserve">other</t>
        </is>
      </c>
      <c r="F200" s="0" t="inlineStr">
        <is>
          <t xml:space="preserve">EXCLUDE_REVIEW</t>
        </is>
      </c>
      <c r="G200" s="0" t="inlineStr">
        <is>
          <t xml:space="preserve">BC</t>
        </is>
      </c>
      <c r="H200" s="5">
        <v>0</v>
      </c>
      <c r="I200" s="5">
        <v>0</v>
      </c>
      <c r="J200" s="5">
        <v>1</v>
      </c>
      <c r="K200" s="5">
        <v>60.423838</v>
      </c>
      <c r="L200" s="7">
        <v>0.0</v>
      </c>
      <c r="M200" s="7">
        <v>0.0</v>
      </c>
      <c r="N200" s="7">
        <v>0.97</v>
      </c>
      <c r="O200" s="7">
        <v>0.0</v>
      </c>
    </row>
    <row r="201" outlineLevel="1">
      <c r="B201" s="0" t="inlineStr">
        <is>
          <t xml:space="preserve">2023-12-06</t>
        </is>
      </c>
      <c r="C201" s="0" t="inlineStr">
        <is>
          <t xml:space="preserve">-</t>
        </is>
      </c>
      <c r="D201" s="0" t="inlineStr">
        <is>
          <t xml:space="preserve">non_sub</t>
        </is>
      </c>
      <c r="E201" s="0" t="inlineStr">
        <is>
          <t xml:space="preserve">fms</t>
        </is>
      </c>
      <c r="F201" s="0" t="inlineStr">
        <is>
          <t xml:space="preserve">EXCLUDE_REVIEW</t>
        </is>
      </c>
      <c r="G201" s="0" t="inlineStr">
        <is>
          <t xml:space="preserve">BC</t>
        </is>
      </c>
      <c r="H201" s="5">
        <v>0</v>
      </c>
      <c r="I201" s="5">
        <v>0</v>
      </c>
      <c r="J201" s="5">
        <v>1</v>
      </c>
      <c r="K201" s="5">
        <v>60.299575</v>
      </c>
      <c r="L201" s="7">
        <v>0.0</v>
      </c>
      <c r="M201" s="7">
        <v>0.0</v>
      </c>
      <c r="N201" s="7">
        <v>1.0</v>
      </c>
      <c r="O201" s="7">
        <v>0.0</v>
      </c>
    </row>
    <row r="202" outlineLevel="1">
      <c r="B202" s="0" t="inlineStr">
        <is>
          <t xml:space="preserve">2025-06-16</t>
        </is>
      </c>
      <c r="C202" s="0" t="inlineStr">
        <is>
          <t xml:space="preserve">N00024-19-C-6407</t>
        </is>
      </c>
      <c r="D202" s="0" t="inlineStr">
        <is>
          <t xml:space="preserve">non_sub</t>
        </is>
      </c>
      <c r="E202" s="0" t="inlineStr">
        <is>
          <t xml:space="preserve">other</t>
        </is>
      </c>
      <c r="F202" s="0" t="inlineStr">
        <is>
          <t xml:space="preserve">EXCLUDE_REVIEW</t>
        </is>
      </c>
      <c r="G202" s="0" t="inlineStr">
        <is>
          <t xml:space="preserve">BC</t>
        </is>
      </c>
      <c r="H202" s="5">
        <v>0</v>
      </c>
      <c r="I202" s="5">
        <v>0</v>
      </c>
      <c r="J202" s="5">
        <v>1</v>
      </c>
      <c r="K202" s="5">
        <v>60.133061</v>
      </c>
      <c r="L202" s="7">
        <v>0.0</v>
      </c>
      <c r="M202" s="7">
        <v>0.0</v>
      </c>
      <c r="N202" s="7">
        <v>0.0</v>
      </c>
      <c r="O202" s="7">
        <v>0.0</v>
      </c>
    </row>
    <row r="203" outlineLevel="1">
      <c r="B203" s="0" t="inlineStr">
        <is>
          <t xml:space="preserve">2025-12-30</t>
        </is>
      </c>
      <c r="C203" s="0" t="inlineStr">
        <is>
          <t xml:space="preserve">N00024-20-C-5392</t>
        </is>
      </c>
      <c r="D203" s="0" t="inlineStr">
        <is>
          <t xml:space="preserve">non_sub</t>
        </is>
      </c>
      <c r="E203" s="0" t="inlineStr">
        <is>
          <t xml:space="preserve">fms</t>
        </is>
      </c>
      <c r="F203" s="0" t="inlineStr">
        <is>
          <t xml:space="preserve">EXCLUDE_REVIEW</t>
        </is>
      </c>
      <c r="G203" s="0" t="inlineStr">
        <is>
          <t xml:space="preserve">BC</t>
        </is>
      </c>
      <c r="H203" s="5">
        <v>0</v>
      </c>
      <c r="I203" s="5">
        <v>0</v>
      </c>
      <c r="J203" s="5">
        <v>1</v>
      </c>
      <c r="K203" s="5">
        <v>60.06831</v>
      </c>
      <c r="L203" s="7">
        <v>0.0</v>
      </c>
      <c r="M203" s="7">
        <v>0.0</v>
      </c>
      <c r="N203" s="7">
        <v>0.9</v>
      </c>
      <c r="O203" s="7">
        <v>0.0</v>
      </c>
    </row>
    <row r="204" outlineLevel="1">
      <c r="B204" s="0" t="inlineStr">
        <is>
          <t xml:space="preserve">2025-06-03</t>
        </is>
      </c>
      <c r="C204" s="0" t="inlineStr">
        <is>
          <t xml:space="preserve">N00024-18-C-2207</t>
        </is>
      </c>
      <c r="D204" s="0" t="inlineStr">
        <is>
          <t xml:space="preserve">non_sub</t>
        </is>
      </c>
      <c r="E204" s="0" t="inlineStr">
        <is>
          <t xml:space="preserve">sustainment_maintenance</t>
        </is>
      </c>
      <c r="F204" s="0" t="inlineStr">
        <is>
          <t xml:space="preserve">EXCLUDE_REVIEW</t>
        </is>
      </c>
      <c r="G204" s="0" t="inlineStr">
        <is>
          <t xml:space="preserve">BC</t>
        </is>
      </c>
      <c r="H204" s="5">
        <v>0</v>
      </c>
      <c r="I204" s="5">
        <v>0</v>
      </c>
      <c r="J204" s="5">
        <v>1</v>
      </c>
      <c r="K204" s="5">
        <v>60.0</v>
      </c>
      <c r="L204" s="7">
        <v>0.0</v>
      </c>
      <c r="M204" s="7">
        <v>0.0</v>
      </c>
      <c r="N204" s="7">
        <v>1.0</v>
      </c>
      <c r="O204" s="7">
        <v>0.0</v>
      </c>
    </row>
    <row r="205" outlineLevel="1">
      <c r="B205" s="0" t="inlineStr">
        <is>
          <t xml:space="preserve">2025-06-17</t>
        </is>
      </c>
      <c r="C205" s="0" t="inlineStr">
        <is>
          <t xml:space="preserve">-</t>
        </is>
      </c>
      <c r="D205" s="0" t="inlineStr">
        <is>
          <t xml:space="preserve">non_sub</t>
        </is>
      </c>
      <c r="E205" s="0" t="inlineStr">
        <is>
          <t xml:space="preserve">other</t>
        </is>
      </c>
      <c r="F205" s="0" t="inlineStr">
        <is>
          <t xml:space="preserve">EXCLUDE_REVIEW</t>
        </is>
      </c>
      <c r="G205" s="0" t="inlineStr">
        <is>
          <t xml:space="preserve">BC</t>
        </is>
      </c>
      <c r="H205" s="5">
        <v>0</v>
      </c>
      <c r="I205" s="5">
        <v>0</v>
      </c>
      <c r="J205" s="5">
        <v>1</v>
      </c>
      <c r="K205" s="5">
        <v>60.0</v>
      </c>
      <c r="L205" s="7">
        <v>0.0</v>
      </c>
      <c r="M205" s="7">
        <v>0.0</v>
      </c>
      <c r="N205" s="7">
        <v>0.0</v>
      </c>
      <c r="O205" s="7">
        <v>0.0</v>
      </c>
    </row>
    <row r="206" outlineLevel="1">
      <c r="B206" s="0" t="inlineStr">
        <is>
          <t xml:space="preserve">2026-03-05</t>
        </is>
      </c>
      <c r="C206" s="0" t="inlineStr">
        <is>
          <t xml:space="preserve">N00024-24-C-2106</t>
        </is>
      </c>
      <c r="D206" s="0" t="inlineStr">
        <is>
          <t xml:space="preserve">non_sub</t>
        </is>
      </c>
      <c r="E206" s="0" t="inlineStr">
        <is>
          <t xml:space="preserve">repair_overhaul</t>
        </is>
      </c>
      <c r="F206" s="0" t="inlineStr">
        <is>
          <t xml:space="preserve">EXCLUDE_REVIEW</t>
        </is>
      </c>
      <c r="G206" s="0" t="inlineStr">
        <is>
          <t xml:space="preserve">BC</t>
        </is>
      </c>
      <c r="H206" s="5">
        <v>0</v>
      </c>
      <c r="I206" s="5">
        <v>0</v>
      </c>
      <c r="J206" s="5">
        <v>1</v>
      </c>
      <c r="K206" s="5">
        <v>60.0</v>
      </c>
      <c r="L206" s="7">
        <v>0.0</v>
      </c>
      <c r="M206" s="7">
        <v>0.0</v>
      </c>
      <c r="N206" s="7">
        <v>0.0</v>
      </c>
      <c r="O206" s="7">
        <v>0.0</v>
      </c>
    </row>
    <row r="207" outlineLevel="1">
      <c r="B207" s="0" t="inlineStr">
        <is>
          <t xml:space="preserve">2026-01-28</t>
        </is>
      </c>
      <c r="C207" s="0" t="inlineStr">
        <is>
          <t xml:space="preserve">N00024-26-D-6214</t>
        </is>
      </c>
      <c r="D207" s="0" t="inlineStr">
        <is>
          <t xml:space="preserve">sub_gfe_components</t>
        </is>
      </c>
      <c r="E207" s="0" t="inlineStr">
        <is>
          <t xml:space="preserve">component_procurement</t>
        </is>
      </c>
      <c r="F207" s="0" t="inlineStr">
        <is>
          <t xml:space="preserve">EXCLUDE_GFE</t>
        </is>
      </c>
      <c r="G207" s="0" t="inlineStr">
        <is>
          <t xml:space="preserve">BC</t>
        </is>
      </c>
      <c r="H207" s="5">
        <v>1</v>
      </c>
      <c r="I207" s="5">
        <v>1</v>
      </c>
      <c r="J207" s="5">
        <v>1</v>
      </c>
      <c r="K207" s="5">
        <v>59.603232</v>
      </c>
      <c r="L207" s="7">
        <v>0.0</v>
      </c>
      <c r="M207" s="7">
        <v>0.0</v>
      </c>
      <c r="N207" s="7">
        <v>0.0</v>
      </c>
      <c r="O207" s="7">
        <v>0.0</v>
      </c>
    </row>
    <row r="208" outlineLevel="1">
      <c r="B208" s="0" t="inlineStr">
        <is>
          <t xml:space="preserve">2023-12-22</t>
        </is>
      </c>
      <c r="C208" s="0" t="inlineStr">
        <is>
          <t xml:space="preserve">N00024-22-C-5405</t>
        </is>
      </c>
      <c r="D208" s="0" t="inlineStr">
        <is>
          <t xml:space="preserve">non_sub</t>
        </is>
      </c>
      <c r="E208" s="0" t="inlineStr">
        <is>
          <t xml:space="preserve">lead_yard</t>
        </is>
      </c>
      <c r="F208" s="0" t="inlineStr">
        <is>
          <t xml:space="preserve">EXCLUDE_REVIEW</t>
        </is>
      </c>
      <c r="G208" s="0" t="inlineStr">
        <is>
          <t xml:space="preserve">BC</t>
        </is>
      </c>
      <c r="H208" s="5">
        <v>0</v>
      </c>
      <c r="I208" s="5">
        <v>0</v>
      </c>
      <c r="J208" s="5">
        <v>1</v>
      </c>
      <c r="K208" s="5">
        <v>59.474832</v>
      </c>
      <c r="L208" s="7">
        <v>0.0</v>
      </c>
      <c r="M208" s="7">
        <v>0.0</v>
      </c>
      <c r="N208" s="7">
        <v>0.75</v>
      </c>
      <c r="O208" s="7">
        <v>0.0</v>
      </c>
    </row>
    <row r="209" outlineLevel="1">
      <c r="B209" s="0" t="inlineStr">
        <is>
          <t xml:space="preserve">2026-01-21</t>
        </is>
      </c>
      <c r="C209" s="0" t="inlineStr">
        <is>
          <t xml:space="preserve">N00024-23-C-5410</t>
        </is>
      </c>
      <c r="D209" s="0" t="inlineStr">
        <is>
          <t xml:space="preserve">non_sub</t>
        </is>
      </c>
      <c r="E209" s="0" t="inlineStr">
        <is>
          <t xml:space="preserve">fms</t>
        </is>
      </c>
      <c r="F209" s="0" t="inlineStr">
        <is>
          <t xml:space="preserve">EXCLUDE_REVIEW</t>
        </is>
      </c>
      <c r="G209" s="0" t="inlineStr">
        <is>
          <t xml:space="preserve">BC</t>
        </is>
      </c>
      <c r="H209" s="5">
        <v>0</v>
      </c>
      <c r="I209" s="5">
        <v>0</v>
      </c>
      <c r="J209" s="5">
        <v>1</v>
      </c>
      <c r="K209" s="5">
        <v>58.994042</v>
      </c>
      <c r="L209" s="7">
        <v>0.0</v>
      </c>
      <c r="M209" s="7">
        <v>0.0</v>
      </c>
      <c r="N209" s="7">
        <v>0.0</v>
      </c>
      <c r="O209" s="7">
        <v>0.0</v>
      </c>
    </row>
    <row r="210" outlineLevel="1">
      <c r="B210" s="0" t="inlineStr">
        <is>
          <t xml:space="preserve">2023-11-17</t>
        </is>
      </c>
      <c r="C210" s="0" t="inlineStr">
        <is>
          <t xml:space="preserve">N00024-24-C-2313</t>
        </is>
      </c>
      <c r="D210" s="0" t="inlineStr">
        <is>
          <t xml:space="preserve">non_sub</t>
        </is>
      </c>
      <c r="E210" s="0" t="inlineStr">
        <is>
          <t xml:space="preserve">lead_yard</t>
        </is>
      </c>
      <c r="F210" s="0" t="inlineStr">
        <is>
          <t xml:space="preserve">EXCLUDE_REVIEW</t>
        </is>
      </c>
      <c r="G210" s="0" t="inlineStr">
        <is>
          <t xml:space="preserve">BC</t>
        </is>
      </c>
      <c r="H210" s="5">
        <v>0</v>
      </c>
      <c r="I210" s="5">
        <v>0</v>
      </c>
      <c r="J210" s="5">
        <v>1</v>
      </c>
      <c r="K210" s="5">
        <v>58.891505</v>
      </c>
      <c r="L210" s="7">
        <v>0.0</v>
      </c>
      <c r="M210" s="7">
        <v>0.0</v>
      </c>
      <c r="N210" s="7">
        <v>0.99</v>
      </c>
      <c r="O210" s="7">
        <v>0.0</v>
      </c>
    </row>
    <row r="211" outlineLevel="1">
      <c r="B211" s="0" t="inlineStr">
        <is>
          <t xml:space="preserve">2025-11-21</t>
        </is>
      </c>
      <c r="C211" s="0" t="inlineStr">
        <is>
          <t xml:space="preserve">N00024-15-C-2114</t>
        </is>
      </c>
      <c r="D211" s="0" t="inlineStr">
        <is>
          <t xml:space="preserve">non_sub</t>
        </is>
      </c>
      <c r="E211" s="0" t="inlineStr">
        <is>
          <t xml:space="preserve">other</t>
        </is>
      </c>
      <c r="F211" s="0" t="inlineStr">
        <is>
          <t xml:space="preserve">EXCLUDE_REVIEW</t>
        </is>
      </c>
      <c r="G211" s="0" t="inlineStr">
        <is>
          <t xml:space="preserve">BC</t>
        </is>
      </c>
      <c r="H211" s="5">
        <v>0</v>
      </c>
      <c r="I211" s="5">
        <v>0</v>
      </c>
      <c r="J211" s="5">
        <v>1</v>
      </c>
      <c r="K211" s="5">
        <v>58.556527</v>
      </c>
      <c r="L211" s="7">
        <v>0.0</v>
      </c>
      <c r="M211" s="7">
        <v>0.0</v>
      </c>
      <c r="N211" s="7">
        <v>0.0</v>
      </c>
      <c r="O211" s="7">
        <v>0.0</v>
      </c>
    </row>
    <row r="212" outlineLevel="1">
      <c r="B212" s="0" t="inlineStr">
        <is>
          <t xml:space="preserve">2025-06-25</t>
        </is>
      </c>
      <c r="C212" s="0" t="inlineStr">
        <is>
          <t xml:space="preserve">N00024-24-C-2124</t>
        </is>
      </c>
      <c r="D212" s="0" t="inlineStr">
        <is>
          <t xml:space="preserve">sub_other</t>
        </is>
      </c>
      <c r="E212" s="0" t="inlineStr">
        <is>
          <t xml:space="preserve">component_procurement</t>
        </is>
      </c>
      <c r="F212" s="0" t="inlineStr">
        <is>
          <t xml:space="preserve">INCLUDE_BC</t>
        </is>
      </c>
      <c r="G212" s="0" t="inlineStr">
        <is>
          <t xml:space="preserve">BC</t>
        </is>
      </c>
      <c r="H212" s="5">
        <v>0</v>
      </c>
      <c r="I212" s="5">
        <v>0</v>
      </c>
      <c r="J212" s="5">
        <v>1</v>
      </c>
      <c r="K212" s="5">
        <v>57.8</v>
      </c>
      <c r="L212" s="7">
        <v>0.0</v>
      </c>
      <c r="M212" s="7">
        <v>0.0</v>
      </c>
      <c r="N212" s="7">
        <v>0.0</v>
      </c>
      <c r="O212" s="7">
        <v>0.0</v>
      </c>
    </row>
    <row r="213" outlineLevel="1">
      <c r="B213" s="0" t="inlineStr">
        <is>
          <t xml:space="preserve">2026-01-15</t>
        </is>
      </c>
      <c r="C213" s="0" t="inlineStr">
        <is>
          <t xml:space="preserve">N00024-24-C-5131</t>
        </is>
      </c>
      <c r="D213" s="0" t="inlineStr">
        <is>
          <t xml:space="preserve">non_sub</t>
        </is>
      </c>
      <c r="E213" s="0" t="inlineStr">
        <is>
          <t xml:space="preserve">other</t>
        </is>
      </c>
      <c r="F213" s="0" t="inlineStr">
        <is>
          <t xml:space="preserve">EXCLUDE_REVIEW</t>
        </is>
      </c>
      <c r="G213" s="0" t="inlineStr">
        <is>
          <t xml:space="preserve">BC</t>
        </is>
      </c>
      <c r="H213" s="5">
        <v>0</v>
      </c>
      <c r="I213" s="5">
        <v>0</v>
      </c>
      <c r="J213" s="5">
        <v>1</v>
      </c>
      <c r="K213" s="5">
        <v>57.379638</v>
      </c>
      <c r="L213" s="7">
        <v>0.0</v>
      </c>
      <c r="M213" s="7">
        <v>0.0</v>
      </c>
      <c r="N213" s="7">
        <v>0.0</v>
      </c>
      <c r="O213" s="7">
        <v>0.0</v>
      </c>
    </row>
    <row r="214" outlineLevel="1">
      <c r="B214" s="0" t="inlineStr">
        <is>
          <t xml:space="preserve">2023-06-30</t>
        </is>
      </c>
      <c r="C214" s="0" t="inlineStr">
        <is>
          <t xml:space="preserve">-</t>
        </is>
      </c>
      <c r="D214" s="0" t="inlineStr">
        <is>
          <t xml:space="preserve">non_sub</t>
        </is>
      </c>
      <c r="E214" s="0" t="inlineStr">
        <is>
          <t xml:space="preserve">component_procurement</t>
        </is>
      </c>
      <c r="F214" s="0" t="inlineStr">
        <is>
          <t xml:space="preserve">INCLUDE_BC</t>
        </is>
      </c>
      <c r="G214" s="0" t="inlineStr">
        <is>
          <t xml:space="preserve">BC</t>
        </is>
      </c>
      <c r="H214" s="5">
        <v>0</v>
      </c>
      <c r="I214" s="5">
        <v>0</v>
      </c>
      <c r="J214" s="5">
        <v>1</v>
      </c>
      <c r="K214" s="5">
        <v>57.269379</v>
      </c>
      <c r="L214" s="7">
        <v>0.0</v>
      </c>
      <c r="M214" s="7">
        <v>0.0</v>
      </c>
      <c r="N214" s="7">
        <v>0.51</v>
      </c>
      <c r="O214" s="7">
        <v>0.0</v>
      </c>
    </row>
    <row r="215" outlineLevel="1">
      <c r="B215" s="0" t="inlineStr">
        <is>
          <t xml:space="preserve">2025-07-31</t>
        </is>
      </c>
      <c r="C215" s="0" t="inlineStr">
        <is>
          <t xml:space="preserve">N00024-25-C-6202</t>
        </is>
      </c>
      <c r="D215" s="0" t="inlineStr">
        <is>
          <t xml:space="preserve">sub_other</t>
        </is>
      </c>
      <c r="E215" s="0" t="inlineStr">
        <is>
          <t xml:space="preserve">construction</t>
        </is>
      </c>
      <c r="F215" s="0" t="inlineStr">
        <is>
          <t xml:space="preserve">INCLUDE_BC</t>
        </is>
      </c>
      <c r="G215" s="0" t="inlineStr">
        <is>
          <t xml:space="preserve">BC</t>
        </is>
      </c>
      <c r="H215" s="5">
        <v>0</v>
      </c>
      <c r="I215" s="5">
        <v>0</v>
      </c>
      <c r="J215" s="5">
        <v>1</v>
      </c>
      <c r="K215" s="5">
        <v>57.258872</v>
      </c>
      <c r="L215" s="7">
        <v>0.0</v>
      </c>
      <c r="M215" s="7">
        <v>0.0</v>
      </c>
      <c r="N215" s="7">
        <v>0.0</v>
      </c>
      <c r="O215" s="7">
        <v>0.0</v>
      </c>
    </row>
    <row r="216" outlineLevel="1">
      <c r="B216" s="0" t="inlineStr">
        <is>
          <t xml:space="preserve">2022-08-05</t>
        </is>
      </c>
      <c r="C216" s="0" t="inlineStr">
        <is>
          <t xml:space="preserve">-</t>
        </is>
      </c>
      <c r="D216" s="0" t="inlineStr">
        <is>
          <t xml:space="preserve">non_sub</t>
        </is>
      </c>
      <c r="E216" s="0" t="inlineStr">
        <is>
          <t xml:space="preserve">other</t>
        </is>
      </c>
      <c r="F216" s="0" t="inlineStr">
        <is>
          <t xml:space="preserve">EXCLUDE_REVIEW</t>
        </is>
      </c>
      <c r="G216" s="0" t="inlineStr">
        <is>
          <t xml:space="preserve">BC</t>
        </is>
      </c>
      <c r="H216" s="5">
        <v>0</v>
      </c>
      <c r="I216" s="5">
        <v>0</v>
      </c>
      <c r="J216" s="5">
        <v>1</v>
      </c>
      <c r="K216" s="5">
        <v>57.089967</v>
      </c>
      <c r="L216" s="7">
        <v>0.0</v>
      </c>
      <c r="M216" s="7">
        <v>0.0</v>
      </c>
      <c r="N216" s="7">
        <v>0.99</v>
      </c>
      <c r="O216" s="7">
        <v>0.0</v>
      </c>
    </row>
    <row r="217" outlineLevel="1">
      <c r="B217" s="0" t="inlineStr">
        <is>
          <t xml:space="preserve">2026-04-13</t>
        </is>
      </c>
      <c r="C217" s="0" t="inlineStr">
        <is>
          <t xml:space="preserve">N00024-23-C-4300</t>
        </is>
      </c>
      <c r="D217" s="0" t="inlineStr">
        <is>
          <t xml:space="preserve">sub_other</t>
        </is>
      </c>
      <c r="E217" s="0" t="inlineStr">
        <is>
          <t xml:space="preserve">other</t>
        </is>
      </c>
      <c r="F217" s="0" t="inlineStr">
        <is>
          <t xml:space="preserve">EXCLUDE_REVIEW</t>
        </is>
      </c>
      <c r="G217" s="0" t="inlineStr">
        <is>
          <t xml:space="preserve">BC</t>
        </is>
      </c>
      <c r="H217" s="5">
        <v>0</v>
      </c>
      <c r="I217" s="5">
        <v>0</v>
      </c>
      <c r="J217" s="5">
        <v>1</v>
      </c>
      <c r="K217" s="5">
        <v>55.545298</v>
      </c>
      <c r="L217" s="7">
        <v>0.0</v>
      </c>
      <c r="M217" s="7">
        <v>0.0</v>
      </c>
      <c r="N217" s="7">
        <v>0.0</v>
      </c>
      <c r="O217" s="7">
        <v>0.0</v>
      </c>
    </row>
    <row r="218" outlineLevel="1">
      <c r="B218" s="0" t="inlineStr">
        <is>
          <t xml:space="preserve">2024-02-02</t>
        </is>
      </c>
      <c r="C218" s="0" t="inlineStr">
        <is>
          <t xml:space="preserve">-</t>
        </is>
      </c>
      <c r="D218" s="0" t="inlineStr">
        <is>
          <t xml:space="preserve">non_sub</t>
        </is>
      </c>
      <c r="E218" s="0" t="inlineStr">
        <is>
          <t xml:space="preserve">other</t>
        </is>
      </c>
      <c r="F218" s="0" t="inlineStr">
        <is>
          <t xml:space="preserve">EXCLUDE_REVIEW</t>
        </is>
      </c>
      <c r="G218" s="0" t="inlineStr">
        <is>
          <t xml:space="preserve">BC</t>
        </is>
      </c>
      <c r="H218" s="5">
        <v>0</v>
      </c>
      <c r="I218" s="5">
        <v>0</v>
      </c>
      <c r="J218" s="5">
        <v>1</v>
      </c>
      <c r="K218" s="5">
        <v>55.544062</v>
      </c>
      <c r="L218" s="7">
        <v>0.0</v>
      </c>
      <c r="M218" s="7">
        <v>0.0</v>
      </c>
      <c r="N218" s="7">
        <v>1.0</v>
      </c>
      <c r="O218" s="7">
        <v>0.0</v>
      </c>
    </row>
    <row r="219" outlineLevel="1">
      <c r="B219" s="0" t="inlineStr">
        <is>
          <t xml:space="preserve">2022-09-30</t>
        </is>
      </c>
      <c r="C219" s="0" t="inlineStr">
        <is>
          <t xml:space="preserve">N00024-21-C-5408</t>
        </is>
      </c>
      <c r="D219" s="0" t="inlineStr">
        <is>
          <t xml:space="preserve">non_sub</t>
        </is>
      </c>
      <c r="E219" s="0" t="inlineStr">
        <is>
          <t xml:space="preserve">component_procurement</t>
        </is>
      </c>
      <c r="F219" s="0" t="inlineStr">
        <is>
          <t xml:space="preserve">INCLUDE_BC</t>
        </is>
      </c>
      <c r="G219" s="0" t="inlineStr">
        <is>
          <t xml:space="preserve">BC</t>
        </is>
      </c>
      <c r="H219" s="5">
        <v>0</v>
      </c>
      <c r="I219" s="5">
        <v>0</v>
      </c>
      <c r="J219" s="5">
        <v>1</v>
      </c>
      <c r="K219" s="5">
        <v>55.472695</v>
      </c>
      <c r="L219" s="7">
        <v>0.0</v>
      </c>
      <c r="M219" s="7">
        <v>0.0</v>
      </c>
      <c r="N219" s="7">
        <v>1.0</v>
      </c>
      <c r="O219" s="7">
        <v>0.0</v>
      </c>
    </row>
    <row r="220" outlineLevel="1">
      <c r="B220" s="0" t="inlineStr">
        <is>
          <t xml:space="preserve">2026-04-08</t>
        </is>
      </c>
      <c r="C220" s="0" t="inlineStr">
        <is>
          <t xml:space="preserve">N00024-19-C-6407</t>
        </is>
      </c>
      <c r="D220" s="0" t="inlineStr">
        <is>
          <t xml:space="preserve">sub_other</t>
        </is>
      </c>
      <c r="E220" s="0" t="inlineStr">
        <is>
          <t xml:space="preserve">other</t>
        </is>
      </c>
      <c r="F220" s="0" t="inlineStr">
        <is>
          <t xml:space="preserve">EXCLUDE_REVIEW</t>
        </is>
      </c>
      <c r="G220" s="0" t="inlineStr">
        <is>
          <t xml:space="preserve">BC</t>
        </is>
      </c>
      <c r="H220" s="5">
        <v>0</v>
      </c>
      <c r="I220" s="5">
        <v>0</v>
      </c>
      <c r="J220" s="5">
        <v>1</v>
      </c>
      <c r="K220" s="5">
        <v>55.059996</v>
      </c>
      <c r="L220" s="7">
        <v>0.0</v>
      </c>
      <c r="M220" s="7">
        <v>0.0</v>
      </c>
      <c r="N220" s="7">
        <v>0.0</v>
      </c>
      <c r="O220" s="7">
        <v>0.0</v>
      </c>
    </row>
    <row r="221" outlineLevel="1">
      <c r="B221" s="0" t="inlineStr">
        <is>
          <t xml:space="preserve">2023-03-10</t>
        </is>
      </c>
      <c r="C221" s="0" t="inlineStr">
        <is>
          <t xml:space="preserve">-</t>
        </is>
      </c>
      <c r="D221" s="0" t="inlineStr">
        <is>
          <t xml:space="preserve">non_sub</t>
        </is>
      </c>
      <c r="E221" s="0" t="inlineStr">
        <is>
          <t xml:space="preserve">sustainment_maintenance</t>
        </is>
      </c>
      <c r="F221" s="0" t="inlineStr">
        <is>
          <t xml:space="preserve">EXCLUDE_REVIEW</t>
        </is>
      </c>
      <c r="G221" s="0" t="inlineStr">
        <is>
          <t xml:space="preserve">BC</t>
        </is>
      </c>
      <c r="H221" s="5">
        <v>0</v>
      </c>
      <c r="I221" s="5">
        <v>0</v>
      </c>
      <c r="J221" s="5">
        <v>1</v>
      </c>
      <c r="K221" s="5">
        <v>54.733855</v>
      </c>
      <c r="L221" s="7">
        <v>0.0</v>
      </c>
      <c r="M221" s="7">
        <v>0.04</v>
      </c>
      <c r="N221" s="7">
        <v>0.96</v>
      </c>
      <c r="O221" s="7">
        <v>0.0</v>
      </c>
    </row>
    <row r="222" outlineLevel="1">
      <c r="B222" s="0" t="inlineStr">
        <is>
          <t xml:space="preserve">2025-07-11</t>
        </is>
      </c>
      <c r="C222" s="0" t="inlineStr">
        <is>
          <t xml:space="preserve">N00024-25-C-2405</t>
        </is>
      </c>
      <c r="D222" s="0" t="inlineStr">
        <is>
          <t xml:space="preserve">non_sub</t>
        </is>
      </c>
      <c r="E222" s="0" t="inlineStr">
        <is>
          <t xml:space="preserve">other</t>
        </is>
      </c>
      <c r="F222" s="0" t="inlineStr">
        <is>
          <t xml:space="preserve">EXCLUDE_REVIEW</t>
        </is>
      </c>
      <c r="G222" s="0" t="inlineStr">
        <is>
          <t xml:space="preserve">BC</t>
        </is>
      </c>
      <c r="H222" s="5">
        <v>0</v>
      </c>
      <c r="I222" s="5">
        <v>0</v>
      </c>
      <c r="J222" s="5">
        <v>1</v>
      </c>
      <c r="K222" s="5">
        <v>54.730397</v>
      </c>
      <c r="L222" s="7">
        <v>0.0</v>
      </c>
      <c r="M222" s="7">
        <v>0.0</v>
      </c>
      <c r="N222" s="7">
        <v>0.0</v>
      </c>
      <c r="O222" s="7">
        <v>0.0</v>
      </c>
    </row>
    <row r="223" outlineLevel="1">
      <c r="B223" s="0" t="inlineStr">
        <is>
          <t xml:space="preserve">2025-03-19</t>
        </is>
      </c>
      <c r="C223" s="0" t="inlineStr">
        <is>
          <t xml:space="preserve">N00024-25-F-6219</t>
        </is>
      </c>
      <c r="D223" s="0" t="inlineStr">
        <is>
          <t xml:space="preserve">sub_gfe_electronics</t>
        </is>
      </c>
      <c r="E223" s="0" t="inlineStr">
        <is>
          <t xml:space="preserve">component_procurement</t>
        </is>
      </c>
      <c r="F223" s="0" t="inlineStr">
        <is>
          <t xml:space="preserve">EXCLUDE_GFE</t>
        </is>
      </c>
      <c r="G223" s="0" t="inlineStr">
        <is>
          <t xml:space="preserve">BC</t>
        </is>
      </c>
      <c r="H223" s="5">
        <v>1</v>
      </c>
      <c r="I223" s="5">
        <v>1</v>
      </c>
      <c r="J223" s="5">
        <v>1</v>
      </c>
      <c r="K223" s="5">
        <v>54.207213</v>
      </c>
      <c r="L223" s="7">
        <v>0.0</v>
      </c>
      <c r="M223" s="7">
        <v>0.0</v>
      </c>
      <c r="N223" s="7">
        <v>0.0</v>
      </c>
      <c r="O223" s="7">
        <v>0.0</v>
      </c>
    </row>
    <row r="224" outlineLevel="1">
      <c r="B224" s="0" t="inlineStr">
        <is>
          <t xml:space="preserve">2025-02-27</t>
        </is>
      </c>
      <c r="C224" s="0" t="inlineStr">
        <is>
          <t xml:space="preserve">N00024-24-C-4201</t>
        </is>
      </c>
      <c r="D224" s="0" t="inlineStr">
        <is>
          <t xml:space="preserve">non_sub</t>
        </is>
      </c>
      <c r="E224" s="0" t="inlineStr">
        <is>
          <t xml:space="preserve">sustainment_maintenance</t>
        </is>
      </c>
      <c r="F224" s="0" t="inlineStr">
        <is>
          <t xml:space="preserve">EXCLUDE_REVIEW</t>
        </is>
      </c>
      <c r="G224" s="0" t="inlineStr">
        <is>
          <t xml:space="preserve">BC</t>
        </is>
      </c>
      <c r="H224" s="5">
        <v>0</v>
      </c>
      <c r="I224" s="5">
        <v>0</v>
      </c>
      <c r="J224" s="5">
        <v>1</v>
      </c>
      <c r="K224" s="5">
        <v>54.18174</v>
      </c>
      <c r="L224" s="7">
        <v>0.0</v>
      </c>
      <c r="M224" s="7">
        <v>0.0</v>
      </c>
      <c r="N224" s="7">
        <v>0.0</v>
      </c>
      <c r="O224" s="7">
        <v>0.0</v>
      </c>
    </row>
    <row r="225" outlineLevel="1">
      <c r="B225" s="0" t="inlineStr">
        <is>
          <t xml:space="preserve">2025-04-11</t>
        </is>
      </c>
      <c r="C225" s="0" t="inlineStr">
        <is>
          <t xml:space="preserve">N00024-23-C-4300</t>
        </is>
      </c>
      <c r="D225" s="0" t="inlineStr">
        <is>
          <t xml:space="preserve">sub_other</t>
        </is>
      </c>
      <c r="E225" s="0" t="inlineStr">
        <is>
          <t xml:space="preserve">other</t>
        </is>
      </c>
      <c r="F225" s="0" t="inlineStr">
        <is>
          <t xml:space="preserve">EXCLUDE_REVIEW</t>
        </is>
      </c>
      <c r="G225" s="0" t="inlineStr">
        <is>
          <t xml:space="preserve">BC</t>
        </is>
      </c>
      <c r="H225" s="5">
        <v>0</v>
      </c>
      <c r="I225" s="5">
        <v>0</v>
      </c>
      <c r="J225" s="5">
        <v>1</v>
      </c>
      <c r="K225" s="5">
        <v>54.065599</v>
      </c>
      <c r="L225" s="7">
        <v>0.0</v>
      </c>
      <c r="M225" s="7">
        <v>0.0</v>
      </c>
      <c r="N225" s="7">
        <v>0.0</v>
      </c>
      <c r="O225" s="7">
        <v>0.0</v>
      </c>
    </row>
    <row r="226" outlineLevel="1">
      <c r="B226" s="0" t="inlineStr">
        <is>
          <t xml:space="preserve">2022-08-18</t>
        </is>
      </c>
      <c r="C226" s="0" t="inlineStr">
        <is>
          <t xml:space="preserve">-</t>
        </is>
      </c>
      <c r="D226" s="0" t="inlineStr">
        <is>
          <t xml:space="preserve">sub_other</t>
        </is>
      </c>
      <c r="E226" s="0" t="inlineStr">
        <is>
          <t xml:space="preserve">other</t>
        </is>
      </c>
      <c r="F226" s="0" t="inlineStr">
        <is>
          <t xml:space="preserve">EXCLUDE_REVIEW</t>
        </is>
      </c>
      <c r="G226" s="0" t="inlineStr">
        <is>
          <t xml:space="preserve">BC</t>
        </is>
      </c>
      <c r="H226" s="5">
        <v>0</v>
      </c>
      <c r="I226" s="5">
        <v>0</v>
      </c>
      <c r="J226" s="5">
        <v>1</v>
      </c>
      <c r="K226" s="5">
        <v>53.960096</v>
      </c>
      <c r="L226" s="7">
        <v>0.0</v>
      </c>
      <c r="M226" s="7">
        <v>0.0</v>
      </c>
      <c r="N226" s="7">
        <v>0.0</v>
      </c>
      <c r="O226" s="7">
        <v>0.0</v>
      </c>
    </row>
    <row r="227" outlineLevel="1">
      <c r="B227" s="0" t="inlineStr">
        <is>
          <t xml:space="preserve">2025-11-12</t>
        </is>
      </c>
      <c r="C227" s="0" t="inlineStr">
        <is>
          <t xml:space="preserve">N00024-22-C-5500</t>
        </is>
      </c>
      <c r="D227" s="0" t="inlineStr">
        <is>
          <t xml:space="preserve">non_sub</t>
        </is>
      </c>
      <c r="E227" s="0" t="inlineStr">
        <is>
          <t xml:space="preserve">other</t>
        </is>
      </c>
      <c r="F227" s="0" t="inlineStr">
        <is>
          <t xml:space="preserve">EXCLUDE_REVIEW</t>
        </is>
      </c>
      <c r="G227" s="0" t="inlineStr">
        <is>
          <t xml:space="preserve">BC</t>
        </is>
      </c>
      <c r="H227" s="5">
        <v>0</v>
      </c>
      <c r="I227" s="5">
        <v>0</v>
      </c>
      <c r="J227" s="5">
        <v>1</v>
      </c>
      <c r="K227" s="5">
        <v>53.793482</v>
      </c>
      <c r="L227" s="7">
        <v>0.0</v>
      </c>
      <c r="M227" s="7">
        <v>0.0</v>
      </c>
      <c r="N227" s="7">
        <v>1.0</v>
      </c>
      <c r="O227" s="7">
        <v>0.0</v>
      </c>
    </row>
    <row r="228" outlineLevel="1">
      <c r="B228" s="0" t="inlineStr">
        <is>
          <t xml:space="preserve">2024-03-29</t>
        </is>
      </c>
      <c r="C228" s="0" t="inlineStr">
        <is>
          <t xml:space="preserve">N00024-20-D-5109</t>
        </is>
      </c>
      <c r="D228" s="0" t="inlineStr">
        <is>
          <t xml:space="preserve">non_sub</t>
        </is>
      </c>
      <c r="E228" s="0" t="inlineStr">
        <is>
          <t xml:space="preserve">fms</t>
        </is>
      </c>
      <c r="F228" s="0" t="inlineStr">
        <is>
          <t xml:space="preserve">EXCLUDE_REVIEW</t>
        </is>
      </c>
      <c r="G228" s="0" t="inlineStr">
        <is>
          <t xml:space="preserve">BC</t>
        </is>
      </c>
      <c r="H228" s="5">
        <v>0</v>
      </c>
      <c r="I228" s="5">
        <v>0</v>
      </c>
      <c r="J228" s="5">
        <v>1</v>
      </c>
      <c r="K228" s="5">
        <v>53.214351</v>
      </c>
      <c r="L228" s="7">
        <v>0.0</v>
      </c>
      <c r="M228" s="7">
        <v>0.0</v>
      </c>
      <c r="N228" s="7">
        <v>1.0</v>
      </c>
      <c r="O228" s="7">
        <v>0.0</v>
      </c>
    </row>
    <row r="229" outlineLevel="1">
      <c r="B229" s="0" t="inlineStr">
        <is>
          <t xml:space="preserve">2025-08-21</t>
        </is>
      </c>
      <c r="C229" s="0" t="inlineStr">
        <is>
          <t xml:space="preserve">N00024-22-C-5500</t>
        </is>
      </c>
      <c r="D229" s="0" t="inlineStr">
        <is>
          <t xml:space="preserve">non_sub</t>
        </is>
      </c>
      <c r="E229" s="0" t="inlineStr">
        <is>
          <t xml:space="preserve">other</t>
        </is>
      </c>
      <c r="F229" s="0" t="inlineStr">
        <is>
          <t xml:space="preserve">EXCLUDE_REVIEW</t>
        </is>
      </c>
      <c r="G229" s="0" t="inlineStr">
        <is>
          <t xml:space="preserve">BC</t>
        </is>
      </c>
      <c r="H229" s="5">
        <v>0</v>
      </c>
      <c r="I229" s="5">
        <v>0</v>
      </c>
      <c r="J229" s="5">
        <v>1</v>
      </c>
      <c r="K229" s="5">
        <v>52.981009</v>
      </c>
      <c r="L229" s="7">
        <v>0.0</v>
      </c>
      <c r="M229" s="7">
        <v>0.0</v>
      </c>
      <c r="N229" s="7">
        <v>0.81</v>
      </c>
      <c r="O229" s="7">
        <v>0.0</v>
      </c>
    </row>
    <row r="230" outlineLevel="1">
      <c r="B230" s="0" t="inlineStr">
        <is>
          <t xml:space="preserve">2025-12-23</t>
        </is>
      </c>
      <c r="C230" s="0" t="inlineStr">
        <is>
          <t xml:space="preserve">-</t>
        </is>
      </c>
      <c r="D230" s="0" t="inlineStr">
        <is>
          <t xml:space="preserve">sub_other</t>
        </is>
      </c>
      <c r="E230" s="0" t="inlineStr">
        <is>
          <t xml:space="preserve">other</t>
        </is>
      </c>
      <c r="F230" s="0" t="inlineStr">
        <is>
          <t xml:space="preserve">EXCLUDE_REVIEW</t>
        </is>
      </c>
      <c r="G230" s="0" t="inlineStr">
        <is>
          <t xml:space="preserve">BC</t>
        </is>
      </c>
      <c r="H230" s="5">
        <v>0</v>
      </c>
      <c r="I230" s="5">
        <v>0</v>
      </c>
      <c r="J230" s="5">
        <v>1</v>
      </c>
      <c r="K230" s="5">
        <v>52.969729</v>
      </c>
      <c r="L230" s="7">
        <v>0.0</v>
      </c>
      <c r="M230" s="7">
        <v>0.0</v>
      </c>
      <c r="N230" s="7">
        <v>1.0</v>
      </c>
      <c r="O230" s="7">
        <v>0.0</v>
      </c>
    </row>
    <row r="231" outlineLevel="1">
      <c r="B231" s="0" t="inlineStr">
        <is>
          <t xml:space="preserve">2025-09-03</t>
        </is>
      </c>
      <c r="C231" s="0" t="inlineStr">
        <is>
          <t xml:space="preserve">N00024-15-C-5151</t>
        </is>
      </c>
      <c r="D231" s="0" t="inlineStr">
        <is>
          <t xml:space="preserve">non_sub</t>
        </is>
      </c>
      <c r="E231" s="0" t="inlineStr">
        <is>
          <t xml:space="preserve">other</t>
        </is>
      </c>
      <c r="F231" s="0" t="inlineStr">
        <is>
          <t xml:space="preserve">EXCLUDE_REVIEW</t>
        </is>
      </c>
      <c r="G231" s="0" t="inlineStr">
        <is>
          <t xml:space="preserve">BC</t>
        </is>
      </c>
      <c r="H231" s="5">
        <v>0</v>
      </c>
      <c r="I231" s="5">
        <v>0</v>
      </c>
      <c r="J231" s="5">
        <v>1</v>
      </c>
      <c r="K231" s="5">
        <v>52.966176</v>
      </c>
      <c r="L231" s="7">
        <v>0.0</v>
      </c>
      <c r="M231" s="7">
        <v>0.0</v>
      </c>
      <c r="N231" s="7">
        <v>1.0</v>
      </c>
      <c r="O231" s="7">
        <v>0.0</v>
      </c>
    </row>
    <row r="232" outlineLevel="1">
      <c r="B232" s="0" t="inlineStr">
        <is>
          <t xml:space="preserve">2025-01-24</t>
        </is>
      </c>
      <c r="C232" s="0" t="inlineStr">
        <is>
          <t xml:space="preserve">N00024-12-C-2115</t>
        </is>
      </c>
      <c r="D232" s="0" t="inlineStr">
        <is>
          <t xml:space="preserve">va</t>
        </is>
      </c>
      <c r="E232" s="0" t="inlineStr">
        <is>
          <t xml:space="preserve">other</t>
        </is>
      </c>
      <c r="F232" s="0" t="inlineStr">
        <is>
          <t xml:space="preserve">EXCLUDE_REVIEW</t>
        </is>
      </c>
      <c r="G232" s="0" t="inlineStr">
        <is>
          <t xml:space="preserve">BC</t>
        </is>
      </c>
      <c r="H232" s="5">
        <v>0</v>
      </c>
      <c r="I232" s="5">
        <v>0</v>
      </c>
      <c r="J232" s="5">
        <v>1</v>
      </c>
      <c r="K232" s="5">
        <v>51.664912</v>
      </c>
      <c r="L232" s="7">
        <v>0.02</v>
      </c>
      <c r="M232" s="7">
        <v>0.98</v>
      </c>
      <c r="N232" s="7">
        <v>0.0</v>
      </c>
      <c r="O232" s="7">
        <v>0.0</v>
      </c>
    </row>
    <row r="233" outlineLevel="1">
      <c r="B233" s="0" t="inlineStr">
        <is>
          <t xml:space="preserve">2025-05-21</t>
        </is>
      </c>
      <c r="C233" s="0" t="inlineStr">
        <is>
          <t xml:space="preserve">N69450-20-D-0045</t>
        </is>
      </c>
      <c r="D233" s="0" t="inlineStr">
        <is>
          <t xml:space="preserve">sub_other</t>
        </is>
      </c>
      <c r="E233" s="0" t="inlineStr">
        <is>
          <t xml:space="preserve">other</t>
        </is>
      </c>
      <c r="F233" s="0" t="inlineStr">
        <is>
          <t xml:space="preserve">EXCLUDE_REVIEW</t>
        </is>
      </c>
      <c r="G233" s="0" t="inlineStr">
        <is>
          <t xml:space="preserve">BC</t>
        </is>
      </c>
      <c r="H233" s="5">
        <v>0</v>
      </c>
      <c r="I233" s="5">
        <v>0</v>
      </c>
      <c r="J233" s="5">
        <v>1</v>
      </c>
      <c r="K233" s="5">
        <v>51.24393</v>
      </c>
      <c r="L233" s="7">
        <v>0.0</v>
      </c>
      <c r="M233" s="7">
        <v>0.0</v>
      </c>
      <c r="N233" s="7">
        <v>0.99</v>
      </c>
      <c r="O233" s="7">
        <v>0.0</v>
      </c>
    </row>
    <row r="234" outlineLevel="1">
      <c r="B234" s="0" t="inlineStr">
        <is>
          <t xml:space="preserve">2025-05-12</t>
        </is>
      </c>
      <c r="C234" s="0" t="inlineStr">
        <is>
          <t xml:space="preserve">-</t>
        </is>
      </c>
      <c r="D234" s="0" t="inlineStr">
        <is>
          <t xml:space="preserve">non_sub</t>
        </is>
      </c>
      <c r="E234" s="0" t="inlineStr">
        <is>
          <t xml:space="preserve">engineering</t>
        </is>
      </c>
      <c r="F234" s="0" t="inlineStr">
        <is>
          <t xml:space="preserve">EXCLUDE_REVIEW</t>
        </is>
      </c>
      <c r="G234" s="0" t="inlineStr">
        <is>
          <t xml:space="preserve">BC</t>
        </is>
      </c>
      <c r="H234" s="5">
        <v>0</v>
      </c>
      <c r="I234" s="5">
        <v>0</v>
      </c>
      <c r="J234" s="5">
        <v>1</v>
      </c>
      <c r="K234" s="5">
        <v>51.0</v>
      </c>
      <c r="L234" s="7">
        <v>0.0</v>
      </c>
      <c r="M234" s="7">
        <v>0.0</v>
      </c>
      <c r="N234" s="7">
        <v>0.0</v>
      </c>
      <c r="O234" s="7">
        <v>0.0</v>
      </c>
    </row>
    <row r="235" outlineLevel="1">
      <c r="B235" s="0" t="inlineStr">
        <is>
          <t xml:space="preserve">2023-02-27</t>
        </is>
      </c>
      <c r="C235" s="0" t="inlineStr">
        <is>
          <t xml:space="preserve">-</t>
        </is>
      </c>
      <c r="D235" s="0" t="inlineStr">
        <is>
          <t xml:space="preserve">non_sub</t>
        </is>
      </c>
      <c r="E235" s="0" t="inlineStr">
        <is>
          <t xml:space="preserve">other</t>
        </is>
      </c>
      <c r="F235" s="0" t="inlineStr">
        <is>
          <t xml:space="preserve">EXCLUDE_REVIEW</t>
        </is>
      </c>
      <c r="G235" s="0" t="inlineStr">
        <is>
          <t xml:space="preserve">BC</t>
        </is>
      </c>
      <c r="H235" s="5">
        <v>0</v>
      </c>
      <c r="I235" s="5">
        <v>0</v>
      </c>
      <c r="J235" s="5">
        <v>1</v>
      </c>
      <c r="K235" s="5">
        <v>50.815986</v>
      </c>
      <c r="L235" s="7">
        <v>0.0</v>
      </c>
      <c r="M235" s="7">
        <v>0.0</v>
      </c>
      <c r="N235" s="7">
        <v>1.0</v>
      </c>
      <c r="O235" s="7">
        <v>0.0</v>
      </c>
    </row>
    <row r="236" outlineLevel="1">
      <c r="B236" s="0" t="inlineStr">
        <is>
          <t xml:space="preserve">2024-05-29</t>
        </is>
      </c>
      <c r="C236" s="0" t="inlineStr">
        <is>
          <t xml:space="preserve">N69450-20-D-0045</t>
        </is>
      </c>
      <c r="D236" s="0" t="inlineStr">
        <is>
          <t xml:space="preserve">sub_other</t>
        </is>
      </c>
      <c r="E236" s="0" t="inlineStr">
        <is>
          <t xml:space="preserve">other</t>
        </is>
      </c>
      <c r="F236" s="0" t="inlineStr">
        <is>
          <t xml:space="preserve">EXCLUDE_REVIEW</t>
        </is>
      </c>
      <c r="G236" s="0" t="inlineStr">
        <is>
          <t xml:space="preserve">BC</t>
        </is>
      </c>
      <c r="H236" s="5">
        <v>0</v>
      </c>
      <c r="I236" s="5">
        <v>0</v>
      </c>
      <c r="J236" s="5">
        <v>1</v>
      </c>
      <c r="K236" s="5">
        <v>50.642443</v>
      </c>
      <c r="L236" s="7">
        <v>0.0</v>
      </c>
      <c r="M236" s="7">
        <v>0.0</v>
      </c>
      <c r="N236" s="7">
        <v>0.99</v>
      </c>
      <c r="O236" s="7">
        <v>0.0</v>
      </c>
    </row>
    <row r="237" outlineLevel="1">
      <c r="B237" s="0" t="inlineStr">
        <is>
          <t xml:space="preserve">2024-06-28</t>
        </is>
      </c>
      <c r="C237" s="0" t="inlineStr">
        <is>
          <t xml:space="preserve">N00024-23-C-5325</t>
        </is>
      </c>
      <c r="D237" s="0" t="inlineStr">
        <is>
          <t xml:space="preserve">non_sub</t>
        </is>
      </c>
      <c r="E237" s="0" t="inlineStr">
        <is>
          <t xml:space="preserve">fms</t>
        </is>
      </c>
      <c r="F237" s="0" t="inlineStr">
        <is>
          <t xml:space="preserve">EXCLUDE_REVIEW</t>
        </is>
      </c>
      <c r="G237" s="0" t="inlineStr">
        <is>
          <t xml:space="preserve">BC</t>
        </is>
      </c>
      <c r="H237" s="5">
        <v>0</v>
      </c>
      <c r="I237" s="5">
        <v>0</v>
      </c>
      <c r="J237" s="5">
        <v>1</v>
      </c>
      <c r="K237" s="5">
        <v>50.462612</v>
      </c>
      <c r="L237" s="7">
        <v>0.0</v>
      </c>
      <c r="M237" s="7">
        <v>0.0</v>
      </c>
      <c r="N237" s="7">
        <v>0.77</v>
      </c>
      <c r="O237" s="7">
        <v>0.0</v>
      </c>
    </row>
    <row r="238" outlineLevel="1">
      <c r="B238" s="0" t="inlineStr">
        <is>
          <t xml:space="preserve">2026-03-31</t>
        </is>
      </c>
      <c r="C238" s="0" t="inlineStr">
        <is>
          <t xml:space="preserve">N00024-20-C-6117</t>
        </is>
      </c>
      <c r="D238" s="0" t="inlineStr">
        <is>
          <t xml:space="preserve">non_sub</t>
        </is>
      </c>
      <c r="E238" s="0" t="inlineStr">
        <is>
          <t xml:space="preserve">other</t>
        </is>
      </c>
      <c r="F238" s="0" t="inlineStr">
        <is>
          <t xml:space="preserve">EXCLUDE_REVIEW</t>
        </is>
      </c>
      <c r="G238" s="0" t="inlineStr">
        <is>
          <t xml:space="preserve">BC</t>
        </is>
      </c>
      <c r="H238" s="5">
        <v>0</v>
      </c>
      <c r="I238" s="5">
        <v>0</v>
      </c>
      <c r="J238" s="5">
        <v>1</v>
      </c>
      <c r="K238" s="5">
        <v>50.132505</v>
      </c>
      <c r="L238" s="7">
        <v>0.0</v>
      </c>
      <c r="M238" s="7">
        <v>0.0</v>
      </c>
      <c r="N238" s="7">
        <v>1.0</v>
      </c>
      <c r="O238" s="7">
        <v>0.0</v>
      </c>
    </row>
    <row r="239" outlineLevel="1">
      <c r="B239" s="0" t="inlineStr">
        <is>
          <t xml:space="preserve">2022-12-12</t>
        </is>
      </c>
      <c r="C239" s="0" t="inlineStr">
        <is>
          <t xml:space="preserve">N00024-12-C-2115</t>
        </is>
      </c>
      <c r="D239" s="0" t="inlineStr">
        <is>
          <t xml:space="preserve">va</t>
        </is>
      </c>
      <c r="E239" s="0" t="inlineStr">
        <is>
          <t xml:space="preserve">other</t>
        </is>
      </c>
      <c r="F239" s="0" t="inlineStr">
        <is>
          <t xml:space="preserve">EXCLUDE_REVIEW</t>
        </is>
      </c>
      <c r="G239" s="0" t="inlineStr">
        <is>
          <t xml:space="preserve">BC</t>
        </is>
      </c>
      <c r="H239" s="5">
        <v>0</v>
      </c>
      <c r="I239" s="5">
        <v>0</v>
      </c>
      <c r="J239" s="5">
        <v>1</v>
      </c>
      <c r="K239" s="5">
        <v>50.089615</v>
      </c>
      <c r="L239" s="7">
        <v>0.04</v>
      </c>
      <c r="M239" s="7">
        <v>0.96</v>
      </c>
      <c r="N239" s="7">
        <v>0.0</v>
      </c>
      <c r="O239" s="7">
        <v>0.0</v>
      </c>
    </row>
    <row r="240" outlineLevel="1">
      <c r="B240" s="0" t="inlineStr">
        <is>
          <t xml:space="preserve">2026-03-06</t>
        </is>
      </c>
      <c r="C240" s="0" t="inlineStr">
        <is>
          <t xml:space="preserve">N00024-19-D-4323</t>
        </is>
      </c>
      <c r="D240" s="0" t="inlineStr">
        <is>
          <t xml:space="preserve">non_sub</t>
        </is>
      </c>
      <c r="E240" s="0" t="inlineStr">
        <is>
          <t xml:space="preserve">other</t>
        </is>
      </c>
      <c r="F240" s="0" t="inlineStr">
        <is>
          <t xml:space="preserve">EXCLUDE_REVIEW</t>
        </is>
      </c>
      <c r="G240" s="0" t="inlineStr">
        <is>
          <t xml:space="preserve">BC</t>
        </is>
      </c>
      <c r="H240" s="5">
        <v>0</v>
      </c>
      <c r="I240" s="5">
        <v>0</v>
      </c>
      <c r="J240" s="5">
        <v>1</v>
      </c>
      <c r="K240" s="5">
        <v>50.0</v>
      </c>
      <c r="L240" s="7">
        <v>0.0</v>
      </c>
      <c r="M240" s="7">
        <v>0.0</v>
      </c>
      <c r="N240" s="7">
        <v>0.0</v>
      </c>
      <c r="O240" s="7">
        <v>0.0</v>
      </c>
    </row>
    <row r="241" outlineLevel="1">
      <c r="B241" s="0" t="inlineStr">
        <is>
          <t xml:space="preserve">2025-06-30</t>
        </is>
      </c>
      <c r="C241" s="0" t="inlineStr">
        <is>
          <t xml:space="preserve">N00024-25-C-5409</t>
        </is>
      </c>
      <c r="D241" s="0" t="inlineStr">
        <is>
          <t xml:space="preserve">non_sub</t>
        </is>
      </c>
      <c r="E241" s="0" t="inlineStr">
        <is>
          <t xml:space="preserve">other</t>
        </is>
      </c>
      <c r="F241" s="0" t="inlineStr">
        <is>
          <t xml:space="preserve">EXCLUDE_REVIEW</t>
        </is>
      </c>
      <c r="G241" s="0" t="inlineStr">
        <is>
          <t xml:space="preserve">BC</t>
        </is>
      </c>
      <c r="H241" s="5">
        <v>0</v>
      </c>
      <c r="I241" s="5">
        <v>0</v>
      </c>
      <c r="J241" s="5">
        <v>1</v>
      </c>
      <c r="K241" s="5">
        <v>49.790954</v>
      </c>
      <c r="L241" s="7">
        <v>0.0</v>
      </c>
      <c r="M241" s="7">
        <v>0.0</v>
      </c>
      <c r="N241" s="7">
        <v>0.86</v>
      </c>
      <c r="O241" s="7">
        <v>0.0</v>
      </c>
    </row>
    <row r="242" outlineLevel="1">
      <c r="B242" s="0" t="inlineStr">
        <is>
          <t xml:space="preserve">2025-05-28</t>
        </is>
      </c>
      <c r="C242" s="0" t="inlineStr">
        <is>
          <t xml:space="preserve">N00024-21-C-2106</t>
        </is>
      </c>
      <c r="D242" s="0" t="inlineStr">
        <is>
          <t xml:space="preserve">non_sub</t>
        </is>
      </c>
      <c r="E242" s="0" t="inlineStr">
        <is>
          <t xml:space="preserve">repair_overhaul</t>
        </is>
      </c>
      <c r="F242" s="0" t="inlineStr">
        <is>
          <t xml:space="preserve">EXCLUDE_REVIEW</t>
        </is>
      </c>
      <c r="G242" s="0" t="inlineStr">
        <is>
          <t xml:space="preserve">BC</t>
        </is>
      </c>
      <c r="H242" s="5">
        <v>0</v>
      </c>
      <c r="I242" s="5">
        <v>0</v>
      </c>
      <c r="J242" s="5">
        <v>1</v>
      </c>
      <c r="K242" s="5">
        <v>49.706208</v>
      </c>
      <c r="L242" s="7">
        <v>0.0</v>
      </c>
      <c r="M242" s="7">
        <v>0.0</v>
      </c>
      <c r="N242" s="7">
        <v>0.0</v>
      </c>
      <c r="O242" s="7">
        <v>0.0</v>
      </c>
    </row>
    <row r="243" outlineLevel="1">
      <c r="B243" s="0" t="inlineStr">
        <is>
          <t xml:space="preserve">2025-02-20</t>
        </is>
      </c>
      <c r="C243" s="0" t="inlineStr">
        <is>
          <t xml:space="preserve">N00024-25-C-4208</t>
        </is>
      </c>
      <c r="D243" s="0" t="inlineStr">
        <is>
          <t xml:space="preserve">non_sub</t>
        </is>
      </c>
      <c r="E243" s="0" t="inlineStr">
        <is>
          <t xml:space="preserve">repair_overhaul</t>
        </is>
      </c>
      <c r="F243" s="0" t="inlineStr">
        <is>
          <t xml:space="preserve">EXCLUDE_REVIEW</t>
        </is>
      </c>
      <c r="G243" s="0" t="inlineStr">
        <is>
          <t xml:space="preserve">BC</t>
        </is>
      </c>
      <c r="H243" s="5">
        <v>0</v>
      </c>
      <c r="I243" s="5">
        <v>0</v>
      </c>
      <c r="J243" s="5">
        <v>1</v>
      </c>
      <c r="K243" s="5">
        <v>49.633588</v>
      </c>
      <c r="L243" s="7">
        <v>0.0</v>
      </c>
      <c r="M243" s="7">
        <v>0.0</v>
      </c>
      <c r="N243" s="7">
        <v>0.0</v>
      </c>
      <c r="O243" s="7">
        <v>0.0</v>
      </c>
    </row>
    <row r="244" outlineLevel="1">
      <c r="B244" s="0" t="inlineStr">
        <is>
          <t xml:space="preserve">2025-06-04</t>
        </is>
      </c>
      <c r="C244" s="0" t="inlineStr">
        <is>
          <t xml:space="preserve">-</t>
        </is>
      </c>
      <c r="D244" s="0" t="inlineStr">
        <is>
          <t xml:space="preserve">sub_other</t>
        </is>
      </c>
      <c r="E244" s="0" t="inlineStr">
        <is>
          <t xml:space="preserve">other</t>
        </is>
      </c>
      <c r="F244" s="0" t="inlineStr">
        <is>
          <t xml:space="preserve">EXCLUDE_REVIEW</t>
        </is>
      </c>
      <c r="G244" s="0" t="inlineStr">
        <is>
          <t xml:space="preserve">BC</t>
        </is>
      </c>
      <c r="H244" s="5">
        <v>0</v>
      </c>
      <c r="I244" s="5">
        <v>0</v>
      </c>
      <c r="J244" s="5">
        <v>1</v>
      </c>
      <c r="K244" s="5">
        <v>49.52536</v>
      </c>
      <c r="L244" s="7">
        <v>0.0</v>
      </c>
      <c r="M244" s="7">
        <v>0.0</v>
      </c>
      <c r="N244" s="7">
        <v>1.0</v>
      </c>
      <c r="O244" s="7">
        <v>0.0</v>
      </c>
    </row>
    <row r="245" outlineLevel="1">
      <c r="B245" s="0" t="inlineStr">
        <is>
          <t xml:space="preserve">2025-11-19</t>
        </is>
      </c>
      <c r="C245" s="0" t="inlineStr">
        <is>
          <t xml:space="preserve">N00024-21-C-5100</t>
        </is>
      </c>
      <c r="D245" s="0" t="inlineStr">
        <is>
          <t xml:space="preserve">non_sub</t>
        </is>
      </c>
      <c r="E245" s="0" t="inlineStr">
        <is>
          <t xml:space="preserve">fms</t>
        </is>
      </c>
      <c r="F245" s="0" t="inlineStr">
        <is>
          <t xml:space="preserve">EXCLUDE_REVIEW</t>
        </is>
      </c>
      <c r="G245" s="0" t="inlineStr">
        <is>
          <t xml:space="preserve">BC</t>
        </is>
      </c>
      <c r="H245" s="5">
        <v>0</v>
      </c>
      <c r="I245" s="5">
        <v>0</v>
      </c>
      <c r="J245" s="5">
        <v>1</v>
      </c>
      <c r="K245" s="5">
        <v>48.990984</v>
      </c>
      <c r="L245" s="7">
        <v>0.0</v>
      </c>
      <c r="M245" s="7">
        <v>0.0</v>
      </c>
      <c r="N245" s="7">
        <v>1.0</v>
      </c>
      <c r="O245" s="7">
        <v>0.0</v>
      </c>
    </row>
    <row r="246" outlineLevel="1">
      <c r="B246" s="0" t="inlineStr">
        <is>
          <t xml:space="preserve">2023-10-13</t>
        </is>
      </c>
      <c r="C246" s="0" t="inlineStr">
        <is>
          <t xml:space="preserve">N00024-24-C-2101</t>
        </is>
      </c>
      <c r="D246" s="0" t="inlineStr">
        <is>
          <t xml:space="preserve">non_sub</t>
        </is>
      </c>
      <c r="E246" s="0" t="inlineStr">
        <is>
          <t xml:space="preserve">sustainment_maintenance</t>
        </is>
      </c>
      <c r="F246" s="0" t="inlineStr">
        <is>
          <t xml:space="preserve">EXCLUDE_REVIEW</t>
        </is>
      </c>
      <c r="G246" s="0" t="inlineStr">
        <is>
          <t xml:space="preserve">BC</t>
        </is>
      </c>
      <c r="H246" s="5">
        <v>0</v>
      </c>
      <c r="I246" s="5">
        <v>0</v>
      </c>
      <c r="J246" s="5">
        <v>1</v>
      </c>
      <c r="K246" s="5">
        <v>48.497928</v>
      </c>
      <c r="L246" s="7">
        <v>0.0</v>
      </c>
      <c r="M246" s="7">
        <v>0.0</v>
      </c>
      <c r="N246" s="7">
        <v>0.0</v>
      </c>
      <c r="O246" s="7">
        <v>0.0</v>
      </c>
    </row>
    <row r="247" outlineLevel="1">
      <c r="B247" s="0" t="inlineStr">
        <is>
          <t xml:space="preserve">2025-02-07</t>
        </is>
      </c>
      <c r="C247" s="0" t="inlineStr">
        <is>
          <t xml:space="preserve">-</t>
        </is>
      </c>
      <c r="D247" s="0" t="inlineStr">
        <is>
          <t xml:space="preserve">non_sub</t>
        </is>
      </c>
      <c r="E247" s="0" t="inlineStr">
        <is>
          <t xml:space="preserve">sustainment_maintenance</t>
        </is>
      </c>
      <c r="F247" s="0" t="inlineStr">
        <is>
          <t xml:space="preserve">EXCLUDE_REVIEW</t>
        </is>
      </c>
      <c r="G247" s="0" t="inlineStr">
        <is>
          <t xml:space="preserve">BC</t>
        </is>
      </c>
      <c r="H247" s="5">
        <v>0</v>
      </c>
      <c r="I247" s="5">
        <v>0</v>
      </c>
      <c r="J247" s="5">
        <v>1</v>
      </c>
      <c r="K247" s="5">
        <v>48.360544</v>
      </c>
      <c r="L247" s="7">
        <v>0.0</v>
      </c>
      <c r="M247" s="7">
        <v>0.0</v>
      </c>
      <c r="N247" s="7">
        <v>0.0</v>
      </c>
      <c r="O247" s="7">
        <v>0.0</v>
      </c>
    </row>
    <row r="248" outlineLevel="1">
      <c r="B248" s="0" t="inlineStr">
        <is>
          <t xml:space="preserve">2025-07-10</t>
        </is>
      </c>
      <c r="C248" s="0" t="inlineStr">
        <is>
          <t xml:space="preserve">N00024-24-C-5324</t>
        </is>
      </c>
      <c r="D248" s="0" t="inlineStr">
        <is>
          <t xml:space="preserve">non_sub</t>
        </is>
      </c>
      <c r="E248" s="0" t="inlineStr">
        <is>
          <t xml:space="preserve">fms</t>
        </is>
      </c>
      <c r="F248" s="0" t="inlineStr">
        <is>
          <t xml:space="preserve">EXCLUDE_REVIEW</t>
        </is>
      </c>
      <c r="G248" s="0" t="inlineStr">
        <is>
          <t xml:space="preserve">BC</t>
        </is>
      </c>
      <c r="H248" s="5">
        <v>0</v>
      </c>
      <c r="I248" s="5">
        <v>0</v>
      </c>
      <c r="J248" s="5">
        <v>1</v>
      </c>
      <c r="K248" s="5">
        <v>48.035288</v>
      </c>
      <c r="L248" s="7">
        <v>0.0</v>
      </c>
      <c r="M248" s="7">
        <v>0.0</v>
      </c>
      <c r="N248" s="7">
        <v>1.0</v>
      </c>
      <c r="O248" s="7">
        <v>0.0</v>
      </c>
    </row>
    <row r="249" outlineLevel="1">
      <c r="B249" s="0" t="inlineStr">
        <is>
          <t xml:space="preserve">2023-09-08</t>
        </is>
      </c>
      <c r="C249" s="0" t="inlineStr">
        <is>
          <t xml:space="preserve">-</t>
        </is>
      </c>
      <c r="D249" s="0" t="inlineStr">
        <is>
          <t xml:space="preserve">non_sub</t>
        </is>
      </c>
      <c r="E249" s="0" t="inlineStr">
        <is>
          <t xml:space="preserve">sustainment_maintenance</t>
        </is>
      </c>
      <c r="F249" s="0" t="inlineStr">
        <is>
          <t xml:space="preserve">EXCLUDE_REVIEW</t>
        </is>
      </c>
      <c r="G249" s="0" t="inlineStr">
        <is>
          <t xml:space="preserve">BC</t>
        </is>
      </c>
      <c r="H249" s="5">
        <v>0</v>
      </c>
      <c r="I249" s="5">
        <v>0</v>
      </c>
      <c r="J249" s="5">
        <v>1</v>
      </c>
      <c r="K249" s="5">
        <v>46.705533</v>
      </c>
      <c r="L249" s="7">
        <v>0.0</v>
      </c>
      <c r="M249" s="7">
        <v>0.0</v>
      </c>
      <c r="N249" s="7">
        <v>1.0</v>
      </c>
      <c r="O249" s="7">
        <v>0.0</v>
      </c>
    </row>
    <row r="250" outlineLevel="1">
      <c r="B250" s="0" t="inlineStr">
        <is>
          <t xml:space="preserve">2023-06-22</t>
        </is>
      </c>
      <c r="C250" s="0" t="inlineStr">
        <is>
          <t xml:space="preserve">-</t>
        </is>
      </c>
      <c r="D250" s="0" t="inlineStr">
        <is>
          <t xml:space="preserve">non_sub</t>
        </is>
      </c>
      <c r="E250" s="0" t="inlineStr">
        <is>
          <t xml:space="preserve">other</t>
        </is>
      </c>
      <c r="F250" s="0" t="inlineStr">
        <is>
          <t xml:space="preserve">EXCLUDE_REVIEW</t>
        </is>
      </c>
      <c r="G250" s="0" t="inlineStr">
        <is>
          <t xml:space="preserve">BC</t>
        </is>
      </c>
      <c r="H250" s="5">
        <v>0</v>
      </c>
      <c r="I250" s="5">
        <v>0</v>
      </c>
      <c r="J250" s="5">
        <v>1</v>
      </c>
      <c r="K250" s="5">
        <v>46.333112</v>
      </c>
      <c r="L250" s="7">
        <v>0.0</v>
      </c>
      <c r="M250" s="7">
        <v>0.0</v>
      </c>
      <c r="N250" s="7">
        <v>1.0</v>
      </c>
      <c r="O250" s="7">
        <v>0.0</v>
      </c>
    </row>
    <row r="251" outlineLevel="1">
      <c r="B251" s="0" t="inlineStr">
        <is>
          <t xml:space="preserve">2022-09-06</t>
        </is>
      </c>
      <c r="C251" s="0" t="inlineStr">
        <is>
          <t xml:space="preserve">-</t>
        </is>
      </c>
      <c r="D251" s="0" t="inlineStr">
        <is>
          <t xml:space="preserve">non_sub</t>
        </is>
      </c>
      <c r="E251" s="0" t="inlineStr">
        <is>
          <t xml:space="preserve">engineering</t>
        </is>
      </c>
      <c r="F251" s="0" t="inlineStr">
        <is>
          <t xml:space="preserve">EXCLUDE_REVIEW</t>
        </is>
      </c>
      <c r="G251" s="0" t="inlineStr">
        <is>
          <t xml:space="preserve">BC</t>
        </is>
      </c>
      <c r="H251" s="5">
        <v>0</v>
      </c>
      <c r="I251" s="5">
        <v>0</v>
      </c>
      <c r="J251" s="5">
        <v>1</v>
      </c>
      <c r="K251" s="5">
        <v>45.837976</v>
      </c>
      <c r="L251" s="7">
        <v>0.0</v>
      </c>
      <c r="M251" s="7">
        <v>0.0</v>
      </c>
      <c r="N251" s="7">
        <v>0.6</v>
      </c>
      <c r="O251" s="7">
        <v>0.0</v>
      </c>
    </row>
    <row r="252" outlineLevel="1">
      <c r="B252" s="0" t="inlineStr">
        <is>
          <t xml:space="preserve">2026-03-13</t>
        </is>
      </c>
      <c r="C252" s="0" t="inlineStr">
        <is>
          <t xml:space="preserve">N00024-26-C-5432</t>
        </is>
      </c>
      <c r="D252" s="0" t="inlineStr">
        <is>
          <t xml:space="preserve">non_sub</t>
        </is>
      </c>
      <c r="E252" s="0" t="inlineStr">
        <is>
          <t xml:space="preserve">fms</t>
        </is>
      </c>
      <c r="F252" s="0" t="inlineStr">
        <is>
          <t xml:space="preserve">EXCLUDE_REVIEW</t>
        </is>
      </c>
      <c r="G252" s="0" t="inlineStr">
        <is>
          <t xml:space="preserve">BC</t>
        </is>
      </c>
      <c r="H252" s="5">
        <v>0</v>
      </c>
      <c r="I252" s="5">
        <v>0</v>
      </c>
      <c r="J252" s="5">
        <v>1</v>
      </c>
      <c r="K252" s="5">
        <v>45.544458</v>
      </c>
      <c r="L252" s="7">
        <v>0.0</v>
      </c>
      <c r="M252" s="7">
        <v>0.0</v>
      </c>
      <c r="N252" s="7">
        <v>0.86</v>
      </c>
      <c r="O252" s="7">
        <v>0.0</v>
      </c>
    </row>
    <row r="253" outlineLevel="1">
      <c r="B253" s="0" t="inlineStr">
        <is>
          <t xml:space="preserve">2026-02-27</t>
        </is>
      </c>
      <c r="C253" s="0" t="inlineStr">
        <is>
          <t xml:space="preserve">N00024-24-F-4319</t>
        </is>
      </c>
      <c r="D253" s="0" t="inlineStr">
        <is>
          <t xml:space="preserve">va</t>
        </is>
      </c>
      <c r="E253" s="0" t="inlineStr">
        <is>
          <t xml:space="preserve">other</t>
        </is>
      </c>
      <c r="F253" s="0" t="inlineStr">
        <is>
          <t xml:space="preserve">EXCLUDE_REVIEW</t>
        </is>
      </c>
      <c r="G253" s="0" t="inlineStr">
        <is>
          <t xml:space="preserve">BC</t>
        </is>
      </c>
      <c r="H253" s="5">
        <v>0</v>
      </c>
      <c r="I253" s="5">
        <v>0</v>
      </c>
      <c r="J253" s="5">
        <v>1</v>
      </c>
      <c r="K253" s="5">
        <v>44.97788</v>
      </c>
      <c r="L253" s="7">
        <v>0.0</v>
      </c>
      <c r="M253" s="7">
        <v>0.0</v>
      </c>
      <c r="N253" s="7">
        <v>0.0</v>
      </c>
      <c r="O253" s="7">
        <v>0.0</v>
      </c>
    </row>
    <row r="254" outlineLevel="1">
      <c r="B254" s="0" t="inlineStr">
        <is>
          <t xml:space="preserve">2025-02-20</t>
        </is>
      </c>
      <c r="C254" s="0" t="inlineStr">
        <is>
          <t xml:space="preserve">N00024-24-C-2106</t>
        </is>
      </c>
      <c r="D254" s="0" t="inlineStr">
        <is>
          <t xml:space="preserve">non_sub</t>
        </is>
      </c>
      <c r="E254" s="0" t="inlineStr">
        <is>
          <t xml:space="preserve">repair_overhaul</t>
        </is>
      </c>
      <c r="F254" s="0" t="inlineStr">
        <is>
          <t xml:space="preserve">EXCLUDE_REVIEW</t>
        </is>
      </c>
      <c r="G254" s="0" t="inlineStr">
        <is>
          <t xml:space="preserve">BC</t>
        </is>
      </c>
      <c r="H254" s="5">
        <v>0</v>
      </c>
      <c r="I254" s="5">
        <v>0</v>
      </c>
      <c r="J254" s="5">
        <v>1</v>
      </c>
      <c r="K254" s="5">
        <v>44.955</v>
      </c>
      <c r="L254" s="7">
        <v>0.0</v>
      </c>
      <c r="M254" s="7">
        <v>0.0</v>
      </c>
      <c r="N254" s="7">
        <v>0.0</v>
      </c>
      <c r="O254" s="7">
        <v>0.0</v>
      </c>
    </row>
    <row r="255" outlineLevel="1">
      <c r="B255" s="0" t="inlineStr">
        <is>
          <t xml:space="preserve">2024-03-21</t>
        </is>
      </c>
      <c r="C255" s="0" t="inlineStr">
        <is>
          <t xml:space="preserve">N00024-19-C-4452</t>
        </is>
      </c>
      <c r="D255" s="0" t="inlineStr">
        <is>
          <t xml:space="preserve">non_sub</t>
        </is>
      </c>
      <c r="E255" s="0" t="inlineStr">
        <is>
          <t xml:space="preserve">lead_yard</t>
        </is>
      </c>
      <c r="F255" s="0" t="inlineStr">
        <is>
          <t xml:space="preserve">EXCLUDE_REVIEW</t>
        </is>
      </c>
      <c r="G255" s="0" t="inlineStr">
        <is>
          <t xml:space="preserve">BC</t>
        </is>
      </c>
      <c r="H255" s="5">
        <v>0</v>
      </c>
      <c r="I255" s="5">
        <v>0</v>
      </c>
      <c r="J255" s="5">
        <v>1</v>
      </c>
      <c r="K255" s="5">
        <v>44.492212</v>
      </c>
      <c r="L255" s="7">
        <v>0.0</v>
      </c>
      <c r="M255" s="7">
        <v>0.0</v>
      </c>
      <c r="N255" s="7">
        <v>0.0</v>
      </c>
      <c r="O255" s="7">
        <v>0.0</v>
      </c>
    </row>
    <row r="256" outlineLevel="1">
      <c r="B256" s="0" t="inlineStr">
        <is>
          <t xml:space="preserve">2025-03-31</t>
        </is>
      </c>
      <c r="C256" s="0" t="inlineStr">
        <is>
          <t xml:space="preserve">-</t>
        </is>
      </c>
      <c r="D256" s="0" t="inlineStr">
        <is>
          <t xml:space="preserve">sub_other</t>
        </is>
      </c>
      <c r="E256" s="0" t="inlineStr">
        <is>
          <t xml:space="preserve">other</t>
        </is>
      </c>
      <c r="F256" s="0" t="inlineStr">
        <is>
          <t xml:space="preserve">EXCLUDE_REVIEW</t>
        </is>
      </c>
      <c r="G256" s="0" t="inlineStr">
        <is>
          <t xml:space="preserve">BC</t>
        </is>
      </c>
      <c r="H256" s="5">
        <v>0</v>
      </c>
      <c r="I256" s="5">
        <v>0</v>
      </c>
      <c r="J256" s="5">
        <v>1</v>
      </c>
      <c r="K256" s="5">
        <v>44.170112</v>
      </c>
      <c r="L256" s="7">
        <v>0.0</v>
      </c>
      <c r="M256" s="7">
        <v>0.0</v>
      </c>
      <c r="N256" s="7">
        <v>0.0</v>
      </c>
      <c r="O256" s="7">
        <v>0.0</v>
      </c>
    </row>
    <row r="257" outlineLevel="1">
      <c r="B257" s="0" t="inlineStr">
        <is>
          <t xml:space="preserve">2025-08-08</t>
        </is>
      </c>
      <c r="C257" s="0" t="inlineStr">
        <is>
          <t xml:space="preserve">N00024-20-C-2300</t>
        </is>
      </c>
      <c r="D257" s="0" t="inlineStr">
        <is>
          <t xml:space="preserve">non_sub</t>
        </is>
      </c>
      <c r="E257" s="0" t="inlineStr">
        <is>
          <t xml:space="preserve">other</t>
        </is>
      </c>
      <c r="F257" s="0" t="inlineStr">
        <is>
          <t xml:space="preserve">EXCLUDE_REVIEW</t>
        </is>
      </c>
      <c r="G257" s="0" t="inlineStr">
        <is>
          <t xml:space="preserve">BC</t>
        </is>
      </c>
      <c r="H257" s="5">
        <v>0</v>
      </c>
      <c r="I257" s="5">
        <v>0</v>
      </c>
      <c r="J257" s="5">
        <v>1</v>
      </c>
      <c r="K257" s="5">
        <v>43.114274</v>
      </c>
      <c r="L257" s="7">
        <v>0.0</v>
      </c>
      <c r="M257" s="7">
        <v>0.0</v>
      </c>
      <c r="N257" s="7">
        <v>1.0</v>
      </c>
      <c r="O257" s="7">
        <v>0.0</v>
      </c>
    </row>
    <row r="258" outlineLevel="1">
      <c r="B258" s="0" t="inlineStr">
        <is>
          <t xml:space="preserve">2023-09-21</t>
        </is>
      </c>
      <c r="C258" s="0" t="inlineStr">
        <is>
          <t xml:space="preserve">-</t>
        </is>
      </c>
      <c r="D258" s="0" t="inlineStr">
        <is>
          <t xml:space="preserve">sub_other</t>
        </is>
      </c>
      <c r="E258" s="0" t="inlineStr">
        <is>
          <t xml:space="preserve">design</t>
        </is>
      </c>
      <c r="F258" s="0" t="inlineStr">
        <is>
          <t xml:space="preserve">EXCLUDE_REVIEW</t>
        </is>
      </c>
      <c r="G258" s="0" t="inlineStr">
        <is>
          <t xml:space="preserve">BC</t>
        </is>
      </c>
      <c r="H258" s="5">
        <v>0</v>
      </c>
      <c r="I258" s="5">
        <v>0</v>
      </c>
      <c r="J258" s="5">
        <v>1</v>
      </c>
      <c r="K258" s="5">
        <v>42.964632</v>
      </c>
      <c r="L258" s="7">
        <v>0.96</v>
      </c>
      <c r="M258" s="7">
        <v>0.0</v>
      </c>
      <c r="N258" s="7">
        <v>0.04</v>
      </c>
      <c r="O258" s="7">
        <v>0.0</v>
      </c>
    </row>
    <row r="259" outlineLevel="1">
      <c r="B259" s="0" t="inlineStr">
        <is>
          <t xml:space="preserve">2022-08-26</t>
        </is>
      </c>
      <c r="C259" s="0" t="inlineStr">
        <is>
          <t xml:space="preserve">N64498-22-D-4014</t>
        </is>
      </c>
      <c r="D259" s="0" t="inlineStr">
        <is>
          <t xml:space="preserve">sub_other</t>
        </is>
      </c>
      <c r="E259" s="0" t="inlineStr">
        <is>
          <t xml:space="preserve">engineering</t>
        </is>
      </c>
      <c r="F259" s="0" t="inlineStr">
        <is>
          <t xml:space="preserve">EXCLUDE_REVIEW</t>
        </is>
      </c>
      <c r="G259" s="0" t="inlineStr">
        <is>
          <t xml:space="preserve">BC</t>
        </is>
      </c>
      <c r="H259" s="5">
        <v>0</v>
      </c>
      <c r="I259" s="5">
        <v>0</v>
      </c>
      <c r="J259" s="5">
        <v>1</v>
      </c>
      <c r="K259" s="5">
        <v>42.923521</v>
      </c>
      <c r="L259" s="7">
        <v>0.0</v>
      </c>
      <c r="M259" s="7">
        <v>0.0</v>
      </c>
      <c r="N259" s="7">
        <v>0.0</v>
      </c>
      <c r="O259" s="7">
        <v>0.0</v>
      </c>
    </row>
    <row r="260" outlineLevel="1">
      <c r="B260" s="0" t="inlineStr">
        <is>
          <t xml:space="preserve">2025-04-09</t>
        </is>
      </c>
      <c r="C260" s="0" t="inlineStr">
        <is>
          <t xml:space="preserve">-</t>
        </is>
      </c>
      <c r="D260" s="0" t="inlineStr">
        <is>
          <t xml:space="preserve">non_sub</t>
        </is>
      </c>
      <c r="E260" s="0" t="inlineStr">
        <is>
          <t xml:space="preserve">fms</t>
        </is>
      </c>
      <c r="F260" s="0" t="inlineStr">
        <is>
          <t xml:space="preserve">EXCLUDE_REVIEW</t>
        </is>
      </c>
      <c r="G260" s="0" t="inlineStr">
        <is>
          <t xml:space="preserve">BC</t>
        </is>
      </c>
      <c r="H260" s="5">
        <v>0</v>
      </c>
      <c r="I260" s="5">
        <v>0</v>
      </c>
      <c r="J260" s="5">
        <v>1</v>
      </c>
      <c r="K260" s="5">
        <v>41.442493</v>
      </c>
      <c r="L260" s="7">
        <v>0.0</v>
      </c>
      <c r="M260" s="7">
        <v>0.0</v>
      </c>
      <c r="N260" s="7">
        <v>0.0</v>
      </c>
      <c r="O260" s="7">
        <v>0.0</v>
      </c>
    </row>
    <row r="261" outlineLevel="1">
      <c r="B261" s="0" t="inlineStr">
        <is>
          <t xml:space="preserve">2024-08-27</t>
        </is>
      </c>
      <c r="C261" s="0" t="inlineStr">
        <is>
          <t xml:space="preserve">N64498-24-D-0006</t>
        </is>
      </c>
      <c r="D261" s="0" t="inlineStr">
        <is>
          <t xml:space="preserve">sub_other</t>
        </is>
      </c>
      <c r="E261" s="0" t="inlineStr">
        <is>
          <t xml:space="preserve">design</t>
        </is>
      </c>
      <c r="F261" s="0" t="inlineStr">
        <is>
          <t xml:space="preserve">EXCLUDE_REVIEW</t>
        </is>
      </c>
      <c r="G261" s="0" t="inlineStr">
        <is>
          <t xml:space="preserve">BC</t>
        </is>
      </c>
      <c r="H261" s="5">
        <v>0</v>
      </c>
      <c r="I261" s="5">
        <v>0</v>
      </c>
      <c r="J261" s="5">
        <v>1</v>
      </c>
      <c r="K261" s="5">
        <v>41.391261</v>
      </c>
      <c r="L261" s="7">
        <v>0.0</v>
      </c>
      <c r="M261" s="7">
        <v>0.0</v>
      </c>
      <c r="N261" s="7">
        <v>0.0</v>
      </c>
      <c r="O261" s="7">
        <v>0.0</v>
      </c>
    </row>
    <row r="262" outlineLevel="1">
      <c r="B262" s="0" t="inlineStr">
        <is>
          <t xml:space="preserve">2026-04-30</t>
        </is>
      </c>
      <c r="C262" s="0" t="inlineStr">
        <is>
          <t xml:space="preserve">N00024-22-C-6407</t>
        </is>
      </c>
      <c r="D262" s="0" t="inlineStr">
        <is>
          <t xml:space="preserve">non_sub</t>
        </is>
      </c>
      <c r="E262" s="0" t="inlineStr">
        <is>
          <t xml:space="preserve">fms</t>
        </is>
      </c>
      <c r="F262" s="0" t="inlineStr">
        <is>
          <t xml:space="preserve">EXCLUDE_REVIEW</t>
        </is>
      </c>
      <c r="G262" s="0" t="inlineStr">
        <is>
          <t xml:space="preserve">BC</t>
        </is>
      </c>
      <c r="H262" s="5">
        <v>0</v>
      </c>
      <c r="I262" s="5">
        <v>0</v>
      </c>
      <c r="J262" s="5">
        <v>1</v>
      </c>
      <c r="K262" s="5">
        <v>40.397647</v>
      </c>
      <c r="L262" s="7">
        <v>0.0</v>
      </c>
      <c r="M262" s="7">
        <v>0.0</v>
      </c>
      <c r="N262" s="7">
        <v>1.0</v>
      </c>
      <c r="O262" s="7">
        <v>0.0</v>
      </c>
    </row>
    <row r="263" outlineLevel="1">
      <c r="B263" s="0" t="inlineStr">
        <is>
          <t xml:space="preserve">2023-08-04</t>
        </is>
      </c>
      <c r="C263" s="0" t="inlineStr">
        <is>
          <t xml:space="preserve">N00024-23-C-4307</t>
        </is>
      </c>
      <c r="D263" s="0" t="inlineStr">
        <is>
          <t xml:space="preserve">sub_other</t>
        </is>
      </c>
      <c r="E263" s="0" t="inlineStr">
        <is>
          <t xml:space="preserve">other</t>
        </is>
      </c>
      <c r="F263" s="0" t="inlineStr">
        <is>
          <t xml:space="preserve">EXCLUDE_REVIEW</t>
        </is>
      </c>
      <c r="G263" s="0" t="inlineStr">
        <is>
          <t xml:space="preserve">BC</t>
        </is>
      </c>
      <c r="H263" s="5">
        <v>0</v>
      </c>
      <c r="I263" s="5">
        <v>0</v>
      </c>
      <c r="J263" s="5">
        <v>1</v>
      </c>
      <c r="K263" s="5">
        <v>40.125753</v>
      </c>
      <c r="L263" s="7">
        <v>0.0</v>
      </c>
      <c r="M263" s="7">
        <v>0.0</v>
      </c>
      <c r="N263" s="7">
        <v>0.0</v>
      </c>
      <c r="O263" s="7">
        <v>0.0</v>
      </c>
    </row>
    <row r="264" outlineLevel="1">
      <c r="B264" s="0" t="inlineStr">
        <is>
          <t xml:space="preserve">2025-07-29</t>
        </is>
      </c>
      <c r="C264" s="0" t="inlineStr">
        <is>
          <t xml:space="preserve">-</t>
        </is>
      </c>
      <c r="D264" s="0" t="inlineStr">
        <is>
          <t xml:space="preserve">va</t>
        </is>
      </c>
      <c r="E264" s="0" t="inlineStr">
        <is>
          <t xml:space="preserve">component_procurement</t>
        </is>
      </c>
      <c r="F264" s="0" t="inlineStr">
        <is>
          <t xml:space="preserve">INCLUDE_BC</t>
        </is>
      </c>
      <c r="G264" s="0" t="inlineStr">
        <is>
          <t xml:space="preserve">BC</t>
        </is>
      </c>
      <c r="H264" s="5">
        <v>1</v>
      </c>
      <c r="I264" s="5">
        <v>0</v>
      </c>
      <c r="J264" s="5">
        <v>1</v>
      </c>
      <c r="K264" s="5">
        <v>40.0</v>
      </c>
      <c r="L264" s="7">
        <v>0.0</v>
      </c>
      <c r="M264" s="7">
        <v>0.0</v>
      </c>
      <c r="N264" s="7">
        <v>0.0</v>
      </c>
      <c r="O264" s="7">
        <v>0.0</v>
      </c>
    </row>
    <row r="265" outlineLevel="1">
      <c r="B265" s="0" t="inlineStr">
        <is>
          <t xml:space="preserve">2025-08-20</t>
        </is>
      </c>
      <c r="C265" s="0" t="inlineStr">
        <is>
          <t xml:space="preserve">N00024-25-C-6260</t>
        </is>
      </c>
      <c r="D265" s="0" t="inlineStr">
        <is>
          <t xml:space="preserve">non_sub</t>
        </is>
      </c>
      <c r="E265" s="0" t="inlineStr">
        <is>
          <t xml:space="preserve">other</t>
        </is>
      </c>
      <c r="F265" s="0" t="inlineStr">
        <is>
          <t xml:space="preserve">EXCLUDE_REVIEW</t>
        </is>
      </c>
      <c r="G265" s="0" t="inlineStr">
        <is>
          <t xml:space="preserve">BC</t>
        </is>
      </c>
      <c r="H265" s="5">
        <v>0</v>
      </c>
      <c r="I265" s="5">
        <v>0</v>
      </c>
      <c r="J265" s="5">
        <v>1</v>
      </c>
      <c r="K265" s="5">
        <v>40.0</v>
      </c>
      <c r="L265" s="7">
        <v>0.25</v>
      </c>
      <c r="M265" s="7">
        <v>0.0</v>
      </c>
      <c r="N265" s="7">
        <v>0.75</v>
      </c>
      <c r="O265" s="7">
        <v>0.0</v>
      </c>
    </row>
    <row r="266" outlineLevel="1">
      <c r="B266" s="0" t="inlineStr">
        <is>
          <t xml:space="preserve">2025-01-16</t>
        </is>
      </c>
      <c r="C266" s="0" t="inlineStr">
        <is>
          <t xml:space="preserve">-</t>
        </is>
      </c>
      <c r="D266" s="0" t="inlineStr">
        <is>
          <t xml:space="preserve">non_sub</t>
        </is>
      </c>
      <c r="E266" s="0" t="inlineStr">
        <is>
          <t xml:space="preserve">sustainment_maintenance</t>
        </is>
      </c>
      <c r="F266" s="0" t="inlineStr">
        <is>
          <t xml:space="preserve">EXCLUDE_REVIEW</t>
        </is>
      </c>
      <c r="G266" s="0" t="inlineStr">
        <is>
          <t xml:space="preserve">BC</t>
        </is>
      </c>
      <c r="H266" s="5">
        <v>0</v>
      </c>
      <c r="I266" s="5">
        <v>0</v>
      </c>
      <c r="J266" s="5">
        <v>1</v>
      </c>
      <c r="K266" s="5">
        <v>39.731584</v>
      </c>
      <c r="L266" s="7">
        <v>0.0</v>
      </c>
      <c r="M266" s="7">
        <v>0.0</v>
      </c>
      <c r="N266" s="7">
        <v>0.0</v>
      </c>
      <c r="O266" s="7">
        <v>0.0</v>
      </c>
    </row>
    <row r="267" outlineLevel="1">
      <c r="B267" s="0" t="inlineStr">
        <is>
          <t xml:space="preserve">2023-02-16</t>
        </is>
      </c>
      <c r="C267" s="0" t="inlineStr">
        <is>
          <t xml:space="preserve">N00024-22-C-2313</t>
        </is>
      </c>
      <c r="D267" s="0" t="inlineStr">
        <is>
          <t xml:space="preserve">non_sub</t>
        </is>
      </c>
      <c r="E267" s="0" t="inlineStr">
        <is>
          <t xml:space="preserve">other</t>
        </is>
      </c>
      <c r="F267" s="0" t="inlineStr">
        <is>
          <t xml:space="preserve">EXCLUDE_REVIEW</t>
        </is>
      </c>
      <c r="G267" s="0" t="inlineStr">
        <is>
          <t xml:space="preserve">BC</t>
        </is>
      </c>
      <c r="H267" s="5">
        <v>0</v>
      </c>
      <c r="I267" s="5">
        <v>0</v>
      </c>
      <c r="J267" s="5">
        <v>1</v>
      </c>
      <c r="K267" s="5">
        <v>39.659692</v>
      </c>
      <c r="L267" s="7">
        <v>0.0</v>
      </c>
      <c r="M267" s="7">
        <v>0.0</v>
      </c>
      <c r="N267" s="7">
        <v>1.0</v>
      </c>
      <c r="O267" s="7">
        <v>0.0</v>
      </c>
    </row>
    <row r="268" outlineLevel="1">
      <c r="B268" s="0" t="inlineStr">
        <is>
          <t xml:space="preserve">2022-08-15</t>
        </is>
      </c>
      <c r="C268" s="0" t="inlineStr">
        <is>
          <t xml:space="preserve">-</t>
        </is>
      </c>
      <c r="D268" s="0" t="inlineStr">
        <is>
          <t xml:space="preserve">non_sub</t>
        </is>
      </c>
      <c r="E268" s="0" t="inlineStr">
        <is>
          <t xml:space="preserve">construction</t>
        </is>
      </c>
      <c r="F268" s="0" t="inlineStr">
        <is>
          <t xml:space="preserve">INCLUDE_BC</t>
        </is>
      </c>
      <c r="G268" s="0" t="inlineStr">
        <is>
          <t xml:space="preserve">BC</t>
        </is>
      </c>
      <c r="H268" s="5">
        <v>0</v>
      </c>
      <c r="I268" s="5">
        <v>0</v>
      </c>
      <c r="J268" s="5">
        <v>1</v>
      </c>
      <c r="K268" s="5">
        <v>39.414122</v>
      </c>
      <c r="L268" s="7">
        <v>0.0</v>
      </c>
      <c r="M268" s="7">
        <v>0.25</v>
      </c>
      <c r="N268" s="7">
        <v>0.75</v>
      </c>
      <c r="O268" s="7">
        <v>0.0</v>
      </c>
    </row>
    <row r="269" outlineLevel="1">
      <c r="B269" s="0" t="inlineStr">
        <is>
          <t xml:space="preserve">2022-09-09</t>
        </is>
      </c>
      <c r="C269" s="0" t="inlineStr">
        <is>
          <t xml:space="preserve">N00024-22-C-5400</t>
        </is>
      </c>
      <c r="D269" s="0" t="inlineStr">
        <is>
          <t xml:space="preserve">non_sub</t>
        </is>
      </c>
      <c r="E269" s="0" t="inlineStr">
        <is>
          <t xml:space="preserve">fms</t>
        </is>
      </c>
      <c r="F269" s="0" t="inlineStr">
        <is>
          <t xml:space="preserve">EXCLUDE_REVIEW</t>
        </is>
      </c>
      <c r="G269" s="0" t="inlineStr">
        <is>
          <t xml:space="preserve">BC</t>
        </is>
      </c>
      <c r="H269" s="5">
        <v>0</v>
      </c>
      <c r="I269" s="5">
        <v>0</v>
      </c>
      <c r="J269" s="5">
        <v>1</v>
      </c>
      <c r="K269" s="5">
        <v>39.293592</v>
      </c>
      <c r="L269" s="7">
        <v>0.0</v>
      </c>
      <c r="M269" s="7">
        <v>0.0</v>
      </c>
      <c r="N269" s="7">
        <v>0.97</v>
      </c>
      <c r="O269" s="7">
        <v>0.0</v>
      </c>
    </row>
    <row r="270" outlineLevel="1">
      <c r="B270" s="0" t="inlineStr">
        <is>
          <t xml:space="preserve">2024-03-08</t>
        </is>
      </c>
      <c r="C270" s="0" t="inlineStr">
        <is>
          <t xml:space="preserve">N00024-22-G-5311</t>
        </is>
      </c>
      <c r="D270" s="0" t="inlineStr">
        <is>
          <t xml:space="preserve">non_sub</t>
        </is>
      </c>
      <c r="E270" s="0" t="inlineStr">
        <is>
          <t xml:space="preserve">fms</t>
        </is>
      </c>
      <c r="F270" s="0" t="inlineStr">
        <is>
          <t xml:space="preserve">EXCLUDE_REVIEW</t>
        </is>
      </c>
      <c r="G270" s="0" t="inlineStr">
        <is>
          <t xml:space="preserve">BC</t>
        </is>
      </c>
      <c r="H270" s="5">
        <v>0</v>
      </c>
      <c r="I270" s="5">
        <v>0</v>
      </c>
      <c r="J270" s="5">
        <v>1</v>
      </c>
      <c r="K270" s="5">
        <v>38.902047</v>
      </c>
      <c r="L270" s="7">
        <v>0.0</v>
      </c>
      <c r="M270" s="7">
        <v>0.0</v>
      </c>
      <c r="N270" s="7">
        <v>1.0</v>
      </c>
      <c r="O270" s="7">
        <v>0.0</v>
      </c>
    </row>
    <row r="271" outlineLevel="1">
      <c r="B271" s="0" t="inlineStr">
        <is>
          <t xml:space="preserve">2023-09-29</t>
        </is>
      </c>
      <c r="C271" s="0" t="inlineStr">
        <is>
          <t xml:space="preserve">-</t>
        </is>
      </c>
      <c r="D271" s="0" t="inlineStr">
        <is>
          <t xml:space="preserve">non_sub</t>
        </is>
      </c>
      <c r="E271" s="0" t="inlineStr">
        <is>
          <t xml:space="preserve">other</t>
        </is>
      </c>
      <c r="F271" s="0" t="inlineStr">
        <is>
          <t xml:space="preserve">EXCLUDE_REVIEW</t>
        </is>
      </c>
      <c r="G271" s="0" t="inlineStr">
        <is>
          <t xml:space="preserve">BC</t>
        </is>
      </c>
      <c r="H271" s="5">
        <v>0</v>
      </c>
      <c r="I271" s="5">
        <v>0</v>
      </c>
      <c r="J271" s="5">
        <v>1</v>
      </c>
      <c r="K271" s="5">
        <v>38.891067</v>
      </c>
      <c r="L271" s="7">
        <v>0.0</v>
      </c>
      <c r="M271" s="7">
        <v>0.0</v>
      </c>
      <c r="N271" s="7">
        <v>0.0</v>
      </c>
      <c r="O271" s="7">
        <v>0.0</v>
      </c>
    </row>
    <row r="272" outlineLevel="1">
      <c r="B272" s="0" t="inlineStr">
        <is>
          <t xml:space="preserve">2024-07-17</t>
        </is>
      </c>
      <c r="C272" s="0" t="inlineStr">
        <is>
          <t xml:space="preserve">N00024-23-C-4307</t>
        </is>
      </c>
      <c r="D272" s="0" t="inlineStr">
        <is>
          <t xml:space="preserve">sub_other</t>
        </is>
      </c>
      <c r="E272" s="0" t="inlineStr">
        <is>
          <t xml:space="preserve">other</t>
        </is>
      </c>
      <c r="F272" s="0" t="inlineStr">
        <is>
          <t xml:space="preserve">EXCLUDE_REVIEW</t>
        </is>
      </c>
      <c r="G272" s="0" t="inlineStr">
        <is>
          <t xml:space="preserve">BC</t>
        </is>
      </c>
      <c r="H272" s="5">
        <v>0</v>
      </c>
      <c r="I272" s="5">
        <v>0</v>
      </c>
      <c r="J272" s="5">
        <v>1</v>
      </c>
      <c r="K272" s="5">
        <v>38.205098</v>
      </c>
      <c r="L272" s="7">
        <v>0.0</v>
      </c>
      <c r="M272" s="7">
        <v>0.0</v>
      </c>
      <c r="N272" s="7">
        <v>0.0</v>
      </c>
      <c r="O272" s="7">
        <v>0.0</v>
      </c>
    </row>
    <row r="273" outlineLevel="1">
      <c r="B273" s="0" t="inlineStr">
        <is>
          <t xml:space="preserve">2024-11-15</t>
        </is>
      </c>
      <c r="C273" s="0" t="inlineStr">
        <is>
          <t xml:space="preserve">-</t>
        </is>
      </c>
      <c r="D273" s="0" t="inlineStr">
        <is>
          <t xml:space="preserve">non_sub</t>
        </is>
      </c>
      <c r="E273" s="0" t="inlineStr">
        <is>
          <t xml:space="preserve">other</t>
        </is>
      </c>
      <c r="F273" s="0" t="inlineStr">
        <is>
          <t xml:space="preserve">EXCLUDE_REVIEW</t>
        </is>
      </c>
      <c r="G273" s="0" t="inlineStr">
        <is>
          <t xml:space="preserve">BC</t>
        </is>
      </c>
      <c r="H273" s="5">
        <v>0</v>
      </c>
      <c r="I273" s="5">
        <v>0</v>
      </c>
      <c r="J273" s="5">
        <v>1</v>
      </c>
      <c r="K273" s="5">
        <v>38.0</v>
      </c>
      <c r="L273" s="7">
        <v>0.0</v>
      </c>
      <c r="M273" s="7">
        <v>0.0</v>
      </c>
      <c r="N273" s="7">
        <v>0.0</v>
      </c>
      <c r="O273" s="7">
        <v>0.0</v>
      </c>
    </row>
    <row r="274" outlineLevel="1">
      <c r="B274" s="0" t="inlineStr">
        <is>
          <t xml:space="preserve">2025-02-19</t>
        </is>
      </c>
      <c r="C274" s="0" t="inlineStr">
        <is>
          <t xml:space="preserve">N00024-21-C-2106</t>
        </is>
      </c>
      <c r="D274" s="0" t="inlineStr">
        <is>
          <t xml:space="preserve">non_sub</t>
        </is>
      </c>
      <c r="E274" s="0" t="inlineStr">
        <is>
          <t xml:space="preserve">repair_overhaul</t>
        </is>
      </c>
      <c r="F274" s="0" t="inlineStr">
        <is>
          <t xml:space="preserve">EXCLUDE_REVIEW</t>
        </is>
      </c>
      <c r="G274" s="0" t="inlineStr">
        <is>
          <t xml:space="preserve">BC</t>
        </is>
      </c>
      <c r="H274" s="5">
        <v>0</v>
      </c>
      <c r="I274" s="5">
        <v>0</v>
      </c>
      <c r="J274" s="5">
        <v>1</v>
      </c>
      <c r="K274" s="5">
        <v>37.74465</v>
      </c>
      <c r="L274" s="7">
        <v>0.0</v>
      </c>
      <c r="M274" s="7">
        <v>0.0</v>
      </c>
      <c r="N274" s="7">
        <v>0.0</v>
      </c>
      <c r="O274" s="7">
        <v>0.0</v>
      </c>
    </row>
    <row r="275" outlineLevel="1">
      <c r="B275" s="0" t="inlineStr">
        <is>
          <t xml:space="preserve">2023-02-27</t>
        </is>
      </c>
      <c r="C275" s="0" t="inlineStr">
        <is>
          <t xml:space="preserve">-</t>
        </is>
      </c>
      <c r="D275" s="0" t="inlineStr">
        <is>
          <t xml:space="preserve">non_sub</t>
        </is>
      </c>
      <c r="E275" s="0" t="inlineStr">
        <is>
          <t xml:space="preserve">engineering</t>
        </is>
      </c>
      <c r="F275" s="0" t="inlineStr">
        <is>
          <t xml:space="preserve">EXCLUDE_REVIEW</t>
        </is>
      </c>
      <c r="G275" s="0" t="inlineStr">
        <is>
          <t xml:space="preserve">BC</t>
        </is>
      </c>
      <c r="H275" s="5">
        <v>0</v>
      </c>
      <c r="I275" s="5">
        <v>0</v>
      </c>
      <c r="J275" s="5">
        <v>1</v>
      </c>
      <c r="K275" s="5">
        <v>37.661542</v>
      </c>
      <c r="L275" s="7">
        <v>0.0</v>
      </c>
      <c r="M275" s="7">
        <v>0.0</v>
      </c>
      <c r="N275" s="7">
        <v>1.0</v>
      </c>
      <c r="O275" s="7">
        <v>0.0</v>
      </c>
    </row>
    <row r="276" outlineLevel="1">
      <c r="B276" s="0" t="inlineStr">
        <is>
          <t xml:space="preserve">2026-04-15</t>
        </is>
      </c>
      <c r="C276" s="0" t="inlineStr">
        <is>
          <t xml:space="preserve">N00024-20-C-2120</t>
        </is>
      </c>
      <c r="D276" s="0" t="inlineStr">
        <is>
          <t xml:space="preserve">va</t>
        </is>
      </c>
      <c r="E276" s="0" t="inlineStr">
        <is>
          <t xml:space="preserve">lead_yard</t>
        </is>
      </c>
      <c r="F276" s="0" t="inlineStr">
        <is>
          <t xml:space="preserve">EXCLUDE_REVIEW</t>
        </is>
      </c>
      <c r="G276" s="0" t="inlineStr">
        <is>
          <t xml:space="preserve">BC</t>
        </is>
      </c>
      <c r="H276" s="5">
        <v>0</v>
      </c>
      <c r="I276" s="5">
        <v>0</v>
      </c>
      <c r="J276" s="5">
        <v>1</v>
      </c>
      <c r="K276" s="5">
        <v>37.604626</v>
      </c>
      <c r="L276" s="7">
        <v>0.0</v>
      </c>
      <c r="M276" s="7">
        <v>0.0</v>
      </c>
      <c r="N276" s="7">
        <v>0.0</v>
      </c>
      <c r="O276" s="7">
        <v>0.0</v>
      </c>
    </row>
    <row r="277" outlineLevel="1">
      <c r="B277" s="0" t="inlineStr">
        <is>
          <t xml:space="preserve">2024-08-30</t>
        </is>
      </c>
      <c r="C277" s="0" t="inlineStr">
        <is>
          <t xml:space="preserve">-</t>
        </is>
      </c>
      <c r="D277" s="0" t="inlineStr">
        <is>
          <t xml:space="preserve">non_sub</t>
        </is>
      </c>
      <c r="E277" s="0" t="inlineStr">
        <is>
          <t xml:space="preserve">other</t>
        </is>
      </c>
      <c r="F277" s="0" t="inlineStr">
        <is>
          <t xml:space="preserve">EXCLUDE_REVIEW</t>
        </is>
      </c>
      <c r="G277" s="0" t="inlineStr">
        <is>
          <t xml:space="preserve">BC</t>
        </is>
      </c>
      <c r="H277" s="5">
        <v>0</v>
      </c>
      <c r="I277" s="5">
        <v>0</v>
      </c>
      <c r="J277" s="5">
        <v>1</v>
      </c>
      <c r="K277" s="5">
        <v>37.378501</v>
      </c>
      <c r="L277" s="7">
        <v>0.0</v>
      </c>
      <c r="M277" s="7">
        <v>0.0</v>
      </c>
      <c r="N277" s="7">
        <v>0.0</v>
      </c>
      <c r="O277" s="7">
        <v>0.0</v>
      </c>
    </row>
    <row r="278" outlineLevel="1">
      <c r="B278" s="0" t="inlineStr">
        <is>
          <t xml:space="preserve">2022-11-09</t>
        </is>
      </c>
      <c r="C278" s="0" t="inlineStr">
        <is>
          <t xml:space="preserve">-</t>
        </is>
      </c>
      <c r="D278" s="0" t="inlineStr">
        <is>
          <t xml:space="preserve">sub_other</t>
        </is>
      </c>
      <c r="E278" s="0" t="inlineStr">
        <is>
          <t xml:space="preserve">lead_yard</t>
        </is>
      </c>
      <c r="F278" s="0" t="inlineStr">
        <is>
          <t xml:space="preserve">EXCLUDE_REVIEW</t>
        </is>
      </c>
      <c r="G278" s="0" t="inlineStr">
        <is>
          <t xml:space="preserve">BC</t>
        </is>
      </c>
      <c r="H278" s="5">
        <v>0</v>
      </c>
      <c r="I278" s="5">
        <v>0</v>
      </c>
      <c r="J278" s="5">
        <v>1</v>
      </c>
      <c r="K278" s="5">
        <v>37.349809</v>
      </c>
      <c r="L278" s="7">
        <v>0.89</v>
      </c>
      <c r="M278" s="7">
        <v>0.0</v>
      </c>
      <c r="N278" s="7">
        <v>0.11</v>
      </c>
      <c r="O278" s="7">
        <v>0.0</v>
      </c>
    </row>
    <row r="279" outlineLevel="1">
      <c r="B279" s="0" t="inlineStr">
        <is>
          <t xml:space="preserve">2026-05-07</t>
        </is>
      </c>
      <c r="C279" s="0" t="inlineStr">
        <is>
          <t xml:space="preserve">N00024-23-C-6308</t>
        </is>
      </c>
      <c r="D279" s="0" t="inlineStr">
        <is>
          <t xml:space="preserve">non_sub</t>
        </is>
      </c>
      <c r="E279" s="0" t="inlineStr">
        <is>
          <t xml:space="preserve">other</t>
        </is>
      </c>
      <c r="F279" s="0" t="inlineStr">
        <is>
          <t xml:space="preserve">EXCLUDE_REVIEW</t>
        </is>
      </c>
      <c r="G279" s="0" t="inlineStr">
        <is>
          <t xml:space="preserve">BC</t>
        </is>
      </c>
      <c r="H279" s="5">
        <v>0</v>
      </c>
      <c r="I279" s="5">
        <v>0</v>
      </c>
      <c r="J279" s="5">
        <v>1</v>
      </c>
      <c r="K279" s="5">
        <v>36.985007</v>
      </c>
      <c r="L279" s="7">
        <v>0.0</v>
      </c>
      <c r="M279" s="7">
        <v>0.0</v>
      </c>
      <c r="N279" s="7">
        <v>1.0</v>
      </c>
      <c r="O279" s="7">
        <v>0.0</v>
      </c>
    </row>
    <row r="280" outlineLevel="1">
      <c r="B280" s="0" t="inlineStr">
        <is>
          <t xml:space="preserve">2026-04-21</t>
        </is>
      </c>
      <c r="C280" s="0" t="inlineStr">
        <is>
          <t xml:space="preserve">N00024-26-D-6203</t>
        </is>
      </c>
      <c r="D280" s="0" t="inlineStr">
        <is>
          <t xml:space="preserve">sub_other</t>
        </is>
      </c>
      <c r="E280" s="0" t="inlineStr">
        <is>
          <t xml:space="preserve">engineering</t>
        </is>
      </c>
      <c r="F280" s="0" t="inlineStr">
        <is>
          <t xml:space="preserve">EXCLUDE_REVIEW</t>
        </is>
      </c>
      <c r="G280" s="0" t="inlineStr">
        <is>
          <t xml:space="preserve">BC</t>
        </is>
      </c>
      <c r="H280" s="5">
        <v>0</v>
      </c>
      <c r="I280" s="5">
        <v>0</v>
      </c>
      <c r="J280" s="5">
        <v>1</v>
      </c>
      <c r="K280" s="5">
        <v>36.973224</v>
      </c>
      <c r="L280" s="7">
        <v>0.0</v>
      </c>
      <c r="M280" s="7">
        <v>0.0</v>
      </c>
      <c r="N280" s="7">
        <v>0.0</v>
      </c>
      <c r="O280" s="7">
        <v>0.0</v>
      </c>
    </row>
    <row r="281" outlineLevel="1">
      <c r="B281" s="0" t="inlineStr">
        <is>
          <t xml:space="preserve">2025-07-17</t>
        </is>
      </c>
      <c r="C281" s="0" t="inlineStr">
        <is>
          <t xml:space="preserve">N00024-19-D-4323</t>
        </is>
      </c>
      <c r="D281" s="0" t="inlineStr">
        <is>
          <t xml:space="preserve">non_sub</t>
        </is>
      </c>
      <c r="E281" s="0" t="inlineStr">
        <is>
          <t xml:space="preserve">other</t>
        </is>
      </c>
      <c r="F281" s="0" t="inlineStr">
        <is>
          <t xml:space="preserve">EXCLUDE_REVIEW</t>
        </is>
      </c>
      <c r="G281" s="0" t="inlineStr">
        <is>
          <t xml:space="preserve">BC</t>
        </is>
      </c>
      <c r="H281" s="5">
        <v>0</v>
      </c>
      <c r="I281" s="5">
        <v>0</v>
      </c>
      <c r="J281" s="5">
        <v>1</v>
      </c>
      <c r="K281" s="5">
        <v>36.6</v>
      </c>
      <c r="L281" s="7">
        <v>0.0</v>
      </c>
      <c r="M281" s="7">
        <v>0.0</v>
      </c>
      <c r="N281" s="7">
        <v>0.0</v>
      </c>
      <c r="O281" s="7">
        <v>0.0</v>
      </c>
    </row>
    <row r="282" outlineLevel="1">
      <c r="B282" s="0" t="inlineStr">
        <is>
          <t xml:space="preserve">2025-04-29</t>
        </is>
      </c>
      <c r="C282" s="0" t="inlineStr">
        <is>
          <t xml:space="preserve">-</t>
        </is>
      </c>
      <c r="D282" s="0" t="inlineStr">
        <is>
          <t xml:space="preserve">sub_other</t>
        </is>
      </c>
      <c r="E282" s="0" t="inlineStr">
        <is>
          <t xml:space="preserve">construction</t>
        </is>
      </c>
      <c r="F282" s="0" t="inlineStr">
        <is>
          <t xml:space="preserve">INCLUDE_BC</t>
        </is>
      </c>
      <c r="G282" s="0" t="inlineStr">
        <is>
          <t xml:space="preserve">BC</t>
        </is>
      </c>
      <c r="H282" s="5">
        <v>0</v>
      </c>
      <c r="I282" s="5">
        <v>0</v>
      </c>
      <c r="J282" s="5">
        <v>1</v>
      </c>
      <c r="K282" s="5">
        <v>36.599581</v>
      </c>
      <c r="L282" s="7">
        <v>0.0</v>
      </c>
      <c r="M282" s="7">
        <v>0.0</v>
      </c>
      <c r="N282" s="7">
        <v>0.0</v>
      </c>
      <c r="O282" s="7">
        <v>0.0</v>
      </c>
    </row>
    <row r="283" outlineLevel="1">
      <c r="B283" s="0" t="inlineStr">
        <is>
          <t xml:space="preserve">2025-06-02</t>
        </is>
      </c>
      <c r="C283" s="0" t="inlineStr">
        <is>
          <t xml:space="preserve">-</t>
        </is>
      </c>
      <c r="D283" s="0" t="inlineStr">
        <is>
          <t xml:space="preserve">sub_other</t>
        </is>
      </c>
      <c r="E283" s="0" t="inlineStr">
        <is>
          <t xml:space="preserve">other</t>
        </is>
      </c>
      <c r="F283" s="0" t="inlineStr">
        <is>
          <t xml:space="preserve">EXCLUDE_REVIEW</t>
        </is>
      </c>
      <c r="G283" s="0" t="inlineStr">
        <is>
          <t xml:space="preserve">BC</t>
        </is>
      </c>
      <c r="H283" s="5">
        <v>0</v>
      </c>
      <c r="I283" s="5">
        <v>0</v>
      </c>
      <c r="J283" s="5">
        <v>1</v>
      </c>
      <c r="K283" s="5">
        <v>36.481929</v>
      </c>
      <c r="L283" s="7">
        <v>0.0</v>
      </c>
      <c r="M283" s="7">
        <v>0.0</v>
      </c>
      <c r="N283" s="7">
        <v>1.0</v>
      </c>
      <c r="O283" s="7">
        <v>0.0</v>
      </c>
    </row>
    <row r="284" outlineLevel="1">
      <c r="B284" s="0" t="inlineStr">
        <is>
          <t xml:space="preserve">2026-04-10</t>
        </is>
      </c>
      <c r="C284" s="0" t="inlineStr">
        <is>
          <t xml:space="preserve">N00024-15-C-5151</t>
        </is>
      </c>
      <c r="D284" s="0" t="inlineStr">
        <is>
          <t xml:space="preserve">non_sub</t>
        </is>
      </c>
      <c r="E284" s="0" t="inlineStr">
        <is>
          <t xml:space="preserve">construction</t>
        </is>
      </c>
      <c r="F284" s="0" t="inlineStr">
        <is>
          <t xml:space="preserve">INCLUDE_BC</t>
        </is>
      </c>
      <c r="G284" s="0" t="inlineStr">
        <is>
          <t xml:space="preserve">BC</t>
        </is>
      </c>
      <c r="H284" s="5">
        <v>0</v>
      </c>
      <c r="I284" s="5">
        <v>0</v>
      </c>
      <c r="J284" s="5">
        <v>1</v>
      </c>
      <c r="K284" s="5">
        <v>36.43922</v>
      </c>
      <c r="L284" s="7">
        <v>0.0</v>
      </c>
      <c r="M284" s="7">
        <v>0.0</v>
      </c>
      <c r="N284" s="7">
        <v>1.0</v>
      </c>
      <c r="O284" s="7">
        <v>0.0</v>
      </c>
    </row>
    <row r="285" outlineLevel="1">
      <c r="B285" s="0" t="inlineStr">
        <is>
          <t xml:space="preserve">2025-12-05</t>
        </is>
      </c>
      <c r="C285" s="0" t="inlineStr">
        <is>
          <t xml:space="preserve">N00024-24-C-2312</t>
        </is>
      </c>
      <c r="D285" s="0" t="inlineStr">
        <is>
          <t xml:space="preserve">non_sub</t>
        </is>
      </c>
      <c r="E285" s="0" t="inlineStr">
        <is>
          <t xml:space="preserve">other</t>
        </is>
      </c>
      <c r="F285" s="0" t="inlineStr">
        <is>
          <t xml:space="preserve">EXCLUDE_REVIEW</t>
        </is>
      </c>
      <c r="G285" s="0" t="inlineStr">
        <is>
          <t xml:space="preserve">BC</t>
        </is>
      </c>
      <c r="H285" s="5">
        <v>0</v>
      </c>
      <c r="I285" s="5">
        <v>0</v>
      </c>
      <c r="J285" s="5">
        <v>1</v>
      </c>
      <c r="K285" s="5">
        <v>36.38761</v>
      </c>
      <c r="L285" s="7">
        <v>0.0</v>
      </c>
      <c r="M285" s="7">
        <v>0.0</v>
      </c>
      <c r="N285" s="7">
        <v>0.98</v>
      </c>
      <c r="O285" s="7">
        <v>0.0</v>
      </c>
    </row>
    <row r="286" outlineLevel="1">
      <c r="B286" s="0" t="inlineStr">
        <is>
          <t xml:space="preserve">2023-07-19</t>
        </is>
      </c>
      <c r="C286" s="0" t="inlineStr">
        <is>
          <t xml:space="preserve">-</t>
        </is>
      </c>
      <c r="D286" s="0" t="inlineStr">
        <is>
          <t xml:space="preserve">non_sub</t>
        </is>
      </c>
      <c r="E286" s="0" t="inlineStr">
        <is>
          <t xml:space="preserve">other</t>
        </is>
      </c>
      <c r="F286" s="0" t="inlineStr">
        <is>
          <t xml:space="preserve">EXCLUDE_REVIEW</t>
        </is>
      </c>
      <c r="G286" s="0" t="inlineStr">
        <is>
          <t xml:space="preserve">BC</t>
        </is>
      </c>
      <c r="H286" s="5">
        <v>0</v>
      </c>
      <c r="I286" s="5">
        <v>0</v>
      </c>
      <c r="J286" s="5">
        <v>1</v>
      </c>
      <c r="K286" s="5">
        <v>36.342898</v>
      </c>
      <c r="L286" s="7">
        <v>0.0</v>
      </c>
      <c r="M286" s="7">
        <v>0.0</v>
      </c>
      <c r="N286" s="7">
        <v>1.0</v>
      </c>
      <c r="O286" s="7">
        <v>0.0</v>
      </c>
    </row>
    <row r="287" outlineLevel="1">
      <c r="B287" s="0" t="inlineStr">
        <is>
          <t xml:space="preserve">2023-09-08</t>
        </is>
      </c>
      <c r="C287" s="0" t="inlineStr">
        <is>
          <t xml:space="preserve">-</t>
        </is>
      </c>
      <c r="D287" s="0" t="inlineStr">
        <is>
          <t xml:space="preserve">sub_other</t>
        </is>
      </c>
      <c r="E287" s="0" t="inlineStr">
        <is>
          <t xml:space="preserve">other</t>
        </is>
      </c>
      <c r="F287" s="0" t="inlineStr">
        <is>
          <t xml:space="preserve">EXCLUDE_REVIEW</t>
        </is>
      </c>
      <c r="G287" s="0" t="inlineStr">
        <is>
          <t xml:space="preserve">BC</t>
        </is>
      </c>
      <c r="H287" s="5">
        <v>0</v>
      </c>
      <c r="I287" s="5">
        <v>0</v>
      </c>
      <c r="J287" s="5">
        <v>1</v>
      </c>
      <c r="K287" s="5">
        <v>36.246142</v>
      </c>
      <c r="L287" s="7">
        <v>0.0</v>
      </c>
      <c r="M287" s="7">
        <v>0.0</v>
      </c>
      <c r="N287" s="7">
        <v>0.0</v>
      </c>
      <c r="O287" s="7">
        <v>0.0</v>
      </c>
    </row>
    <row r="288" outlineLevel="1">
      <c r="B288" s="0" t="inlineStr">
        <is>
          <t xml:space="preserve">2022-12-21</t>
        </is>
      </c>
      <c r="C288" s="0" t="inlineStr">
        <is>
          <t xml:space="preserve">-</t>
        </is>
      </c>
      <c r="D288" s="0" t="inlineStr">
        <is>
          <t xml:space="preserve">non_sub</t>
        </is>
      </c>
      <c r="E288" s="0" t="inlineStr">
        <is>
          <t xml:space="preserve">other</t>
        </is>
      </c>
      <c r="F288" s="0" t="inlineStr">
        <is>
          <t xml:space="preserve">EXCLUDE_REVIEW</t>
        </is>
      </c>
      <c r="G288" s="0" t="inlineStr">
        <is>
          <t xml:space="preserve">BC</t>
        </is>
      </c>
      <c r="H288" s="5">
        <v>0</v>
      </c>
      <c r="I288" s="5">
        <v>0</v>
      </c>
      <c r="J288" s="5">
        <v>1</v>
      </c>
      <c r="K288" s="5">
        <v>36.024953</v>
      </c>
      <c r="L288" s="7">
        <v>0.0</v>
      </c>
      <c r="M288" s="7">
        <v>0.0</v>
      </c>
      <c r="N288" s="7">
        <v>1.0</v>
      </c>
      <c r="O288" s="7">
        <v>0.0</v>
      </c>
    </row>
    <row r="289" outlineLevel="1">
      <c r="B289" s="0" t="inlineStr">
        <is>
          <t xml:space="preserve">2024-08-06</t>
        </is>
      </c>
      <c r="C289" s="0" t="inlineStr">
        <is>
          <t xml:space="preserve">-</t>
        </is>
      </c>
      <c r="D289" s="0" t="inlineStr">
        <is>
          <t xml:space="preserve">sub_other</t>
        </is>
      </c>
      <c r="E289" s="0" t="inlineStr">
        <is>
          <t xml:space="preserve">engineering</t>
        </is>
      </c>
      <c r="F289" s="0" t="inlineStr">
        <is>
          <t xml:space="preserve">EXCLUDE_REVIEW</t>
        </is>
      </c>
      <c r="G289" s="0" t="inlineStr">
        <is>
          <t xml:space="preserve">BC</t>
        </is>
      </c>
      <c r="H289" s="5">
        <v>0</v>
      </c>
      <c r="I289" s="5">
        <v>0</v>
      </c>
      <c r="J289" s="5">
        <v>1</v>
      </c>
      <c r="K289" s="5">
        <v>35.67793</v>
      </c>
      <c r="L289" s="7">
        <v>0.0</v>
      </c>
      <c r="M289" s="7">
        <v>0.0</v>
      </c>
      <c r="N289" s="7">
        <v>0.0</v>
      </c>
      <c r="O289" s="7">
        <v>0.0</v>
      </c>
    </row>
    <row r="290" outlineLevel="1">
      <c r="B290" s="0" t="inlineStr">
        <is>
          <t xml:space="preserve">2025-02-07</t>
        </is>
      </c>
      <c r="C290" s="0" t="inlineStr">
        <is>
          <t xml:space="preserve">N00024-12-C-2115</t>
        </is>
      </c>
      <c r="D290" s="0" t="inlineStr">
        <is>
          <t xml:space="preserve">va</t>
        </is>
      </c>
      <c r="E290" s="0" t="inlineStr">
        <is>
          <t xml:space="preserve">other</t>
        </is>
      </c>
      <c r="F290" s="0" t="inlineStr">
        <is>
          <t xml:space="preserve">EXCLUDE_REVIEW</t>
        </is>
      </c>
      <c r="G290" s="0" t="inlineStr">
        <is>
          <t xml:space="preserve">BC</t>
        </is>
      </c>
      <c r="H290" s="5">
        <v>0</v>
      </c>
      <c r="I290" s="5">
        <v>0</v>
      </c>
      <c r="J290" s="5">
        <v>1</v>
      </c>
      <c r="K290" s="5">
        <v>35.544057</v>
      </c>
      <c r="L290" s="7">
        <v>0.0</v>
      </c>
      <c r="M290" s="7">
        <v>0.0</v>
      </c>
      <c r="N290" s="7">
        <v>0.0</v>
      </c>
      <c r="O290" s="7">
        <v>0.0</v>
      </c>
    </row>
    <row r="291" outlineLevel="1">
      <c r="B291" s="0" t="inlineStr">
        <is>
          <t xml:space="preserve">2025-09-29</t>
        </is>
      </c>
      <c r="C291" s="0" t="inlineStr">
        <is>
          <t xml:space="preserve">N00024-13-C-5116</t>
        </is>
      </c>
      <c r="D291" s="0" t="inlineStr">
        <is>
          <t xml:space="preserve">non_sub</t>
        </is>
      </c>
      <c r="E291" s="0" t="inlineStr">
        <is>
          <t xml:space="preserve">other</t>
        </is>
      </c>
      <c r="F291" s="0" t="inlineStr">
        <is>
          <t xml:space="preserve">EXCLUDE_REVIEW</t>
        </is>
      </c>
      <c r="G291" s="0" t="inlineStr">
        <is>
          <t xml:space="preserve">BC</t>
        </is>
      </c>
      <c r="H291" s="5">
        <v>0</v>
      </c>
      <c r="I291" s="5">
        <v>0</v>
      </c>
      <c r="J291" s="5">
        <v>1</v>
      </c>
      <c r="K291" s="5">
        <v>35.517687</v>
      </c>
      <c r="L291" s="7">
        <v>0.0</v>
      </c>
      <c r="M291" s="7">
        <v>0.0</v>
      </c>
      <c r="N291" s="7">
        <v>0.0</v>
      </c>
      <c r="O291" s="7">
        <v>0.0</v>
      </c>
    </row>
    <row r="292" outlineLevel="1">
      <c r="B292" s="0" t="inlineStr">
        <is>
          <t xml:space="preserve">2025-03-17</t>
        </is>
      </c>
      <c r="C292" s="0" t="inlineStr">
        <is>
          <t xml:space="preserve">N00024-23-C-5117</t>
        </is>
      </c>
      <c r="D292" s="0" t="inlineStr">
        <is>
          <t xml:space="preserve">non_sub</t>
        </is>
      </c>
      <c r="E292" s="0" t="inlineStr">
        <is>
          <t xml:space="preserve">other</t>
        </is>
      </c>
      <c r="F292" s="0" t="inlineStr">
        <is>
          <t xml:space="preserve">EXCLUDE_REVIEW</t>
        </is>
      </c>
      <c r="G292" s="0" t="inlineStr">
        <is>
          <t xml:space="preserve">BC</t>
        </is>
      </c>
      <c r="H292" s="5">
        <v>0</v>
      </c>
      <c r="I292" s="5">
        <v>0</v>
      </c>
      <c r="J292" s="5">
        <v>1</v>
      </c>
      <c r="K292" s="5">
        <v>35.382479</v>
      </c>
      <c r="L292" s="7">
        <v>0.0</v>
      </c>
      <c r="M292" s="7">
        <v>0.0</v>
      </c>
      <c r="N292" s="7">
        <v>1.0</v>
      </c>
      <c r="O292" s="7">
        <v>0.0</v>
      </c>
    </row>
    <row r="293" outlineLevel="1">
      <c r="B293" s="0" t="inlineStr">
        <is>
          <t xml:space="preserve">2023-11-03</t>
        </is>
      </c>
      <c r="C293" s="0" t="inlineStr">
        <is>
          <t xml:space="preserve">-</t>
        </is>
      </c>
      <c r="D293" s="0" t="inlineStr">
        <is>
          <t xml:space="preserve">sub_other</t>
        </is>
      </c>
      <c r="E293" s="0" t="inlineStr">
        <is>
          <t xml:space="preserve">lead_yard</t>
        </is>
      </c>
      <c r="F293" s="0" t="inlineStr">
        <is>
          <t xml:space="preserve">EXCLUDE_REVIEW</t>
        </is>
      </c>
      <c r="G293" s="0" t="inlineStr">
        <is>
          <t xml:space="preserve">BC</t>
        </is>
      </c>
      <c r="H293" s="5">
        <v>0</v>
      </c>
      <c r="I293" s="5">
        <v>0</v>
      </c>
      <c r="J293" s="5">
        <v>1</v>
      </c>
      <c r="K293" s="5">
        <v>35.264435</v>
      </c>
      <c r="L293" s="7">
        <v>0.0</v>
      </c>
      <c r="M293" s="7">
        <v>0.0</v>
      </c>
      <c r="N293" s="7">
        <v>0.0</v>
      </c>
      <c r="O293" s="7">
        <v>0.0</v>
      </c>
    </row>
    <row r="294" outlineLevel="1">
      <c r="B294" s="0" t="inlineStr">
        <is>
          <t xml:space="preserve">2025-02-28</t>
        </is>
      </c>
      <c r="C294" s="0" t="inlineStr">
        <is>
          <t xml:space="preserve">N00024-20-C-2120</t>
        </is>
      </c>
      <c r="D294" s="0" t="inlineStr">
        <is>
          <t xml:space="preserve">va</t>
        </is>
      </c>
      <c r="E294" s="0" t="inlineStr">
        <is>
          <t xml:space="preserve">lead_yard</t>
        </is>
      </c>
      <c r="F294" s="0" t="inlineStr">
        <is>
          <t xml:space="preserve">EXCLUDE_REVIEW</t>
        </is>
      </c>
      <c r="G294" s="0" t="inlineStr">
        <is>
          <t xml:space="preserve">BC</t>
        </is>
      </c>
      <c r="H294" s="5">
        <v>0</v>
      </c>
      <c r="I294" s="5">
        <v>0</v>
      </c>
      <c r="J294" s="5">
        <v>1</v>
      </c>
      <c r="K294" s="5">
        <v>35.005318</v>
      </c>
      <c r="L294" s="7">
        <v>0.0</v>
      </c>
      <c r="M294" s="7">
        <v>0.0</v>
      </c>
      <c r="N294" s="7">
        <v>0.0</v>
      </c>
      <c r="O294" s="7">
        <v>0.0</v>
      </c>
    </row>
    <row r="295" outlineLevel="1">
      <c r="B295" s="0" t="inlineStr">
        <is>
          <t xml:space="preserve">2025-08-29</t>
        </is>
      </c>
      <c r="C295" s="0" t="inlineStr">
        <is>
          <t xml:space="preserve">N00024-20-C-5603</t>
        </is>
      </c>
      <c r="D295" s="0" t="inlineStr">
        <is>
          <t xml:space="preserve">non_sub</t>
        </is>
      </c>
      <c r="E295" s="0" t="inlineStr">
        <is>
          <t xml:space="preserve">sustainment_maintenance</t>
        </is>
      </c>
      <c r="F295" s="0" t="inlineStr">
        <is>
          <t xml:space="preserve">EXCLUDE_REVIEW</t>
        </is>
      </c>
      <c r="G295" s="0" t="inlineStr">
        <is>
          <t xml:space="preserve">BC</t>
        </is>
      </c>
      <c r="H295" s="5">
        <v>0</v>
      </c>
      <c r="I295" s="5">
        <v>0</v>
      </c>
      <c r="J295" s="5">
        <v>1</v>
      </c>
      <c r="K295" s="5">
        <v>34.957203</v>
      </c>
      <c r="L295" s="7">
        <v>0.0</v>
      </c>
      <c r="M295" s="7">
        <v>0.0</v>
      </c>
      <c r="N295" s="7">
        <v>1.0</v>
      </c>
      <c r="O295" s="7">
        <v>0.0</v>
      </c>
    </row>
    <row r="296" outlineLevel="1">
      <c r="B296" s="0" t="inlineStr">
        <is>
          <t xml:space="preserve">2024-10-21</t>
        </is>
      </c>
      <c r="C296" s="0" t="inlineStr">
        <is>
          <t xml:space="preserve">-</t>
        </is>
      </c>
      <c r="D296" s="0" t="inlineStr">
        <is>
          <t xml:space="preserve">non_sub</t>
        </is>
      </c>
      <c r="E296" s="0" t="inlineStr">
        <is>
          <t xml:space="preserve">sustainment_maintenance</t>
        </is>
      </c>
      <c r="F296" s="0" t="inlineStr">
        <is>
          <t xml:space="preserve">EXCLUDE_REVIEW</t>
        </is>
      </c>
      <c r="G296" s="0" t="inlineStr">
        <is>
          <t xml:space="preserve">BC</t>
        </is>
      </c>
      <c r="H296" s="5">
        <v>0</v>
      </c>
      <c r="I296" s="5">
        <v>0</v>
      </c>
      <c r="J296" s="5">
        <v>1</v>
      </c>
      <c r="K296" s="5">
        <v>34.927342</v>
      </c>
      <c r="L296" s="7">
        <v>0.0</v>
      </c>
      <c r="M296" s="7">
        <v>0.0</v>
      </c>
      <c r="N296" s="7">
        <v>0.0</v>
      </c>
      <c r="O296" s="7">
        <v>0.0</v>
      </c>
    </row>
    <row r="297" outlineLevel="1">
      <c r="B297" s="0" t="inlineStr">
        <is>
          <t xml:space="preserve">2025-06-30</t>
        </is>
      </c>
      <c r="C297" s="0" t="inlineStr">
        <is>
          <t xml:space="preserve">N00024-20-C-4315</t>
        </is>
      </c>
      <c r="D297" s="0" t="inlineStr">
        <is>
          <t xml:space="preserve">sub_other</t>
        </is>
      </c>
      <c r="E297" s="0" t="inlineStr">
        <is>
          <t xml:space="preserve">other</t>
        </is>
      </c>
      <c r="F297" s="0" t="inlineStr">
        <is>
          <t xml:space="preserve">EXCLUDE_REVIEW</t>
        </is>
      </c>
      <c r="G297" s="0" t="inlineStr">
        <is>
          <t xml:space="preserve">BC</t>
        </is>
      </c>
      <c r="H297" s="5">
        <v>0</v>
      </c>
      <c r="I297" s="5">
        <v>0</v>
      </c>
      <c r="J297" s="5">
        <v>1</v>
      </c>
      <c r="K297" s="5">
        <v>34.800326</v>
      </c>
      <c r="L297" s="7">
        <v>0.0</v>
      </c>
      <c r="M297" s="7">
        <v>0.0</v>
      </c>
      <c r="N297" s="7">
        <v>0.0</v>
      </c>
      <c r="O297" s="7">
        <v>0.0</v>
      </c>
    </row>
    <row r="298" outlineLevel="1">
      <c r="B298" s="0" t="inlineStr">
        <is>
          <t xml:space="preserve">2026-04-13</t>
        </is>
      </c>
      <c r="C298" s="0" t="inlineStr">
        <is>
          <t xml:space="preserve">N00024-23-C-4307</t>
        </is>
      </c>
      <c r="D298" s="0" t="inlineStr">
        <is>
          <t xml:space="preserve">sub_other</t>
        </is>
      </c>
      <c r="E298" s="0" t="inlineStr">
        <is>
          <t xml:space="preserve">other</t>
        </is>
      </c>
      <c r="F298" s="0" t="inlineStr">
        <is>
          <t xml:space="preserve">EXCLUDE_REVIEW</t>
        </is>
      </c>
      <c r="G298" s="0" t="inlineStr">
        <is>
          <t xml:space="preserve">BC</t>
        </is>
      </c>
      <c r="H298" s="5">
        <v>0</v>
      </c>
      <c r="I298" s="5">
        <v>0</v>
      </c>
      <c r="J298" s="5">
        <v>1</v>
      </c>
      <c r="K298" s="5">
        <v>34.679581</v>
      </c>
      <c r="L298" s="7">
        <v>0.0</v>
      </c>
      <c r="M298" s="7">
        <v>0.0</v>
      </c>
      <c r="N298" s="7">
        <v>0.0</v>
      </c>
      <c r="O298" s="7">
        <v>0.0</v>
      </c>
    </row>
    <row r="299" outlineLevel="1">
      <c r="B299" s="0" t="inlineStr">
        <is>
          <t xml:space="preserve">2025-05-01</t>
        </is>
      </c>
      <c r="C299" s="0" t="inlineStr">
        <is>
          <t xml:space="preserve">N00024-25-C-6209</t>
        </is>
      </c>
      <c r="D299" s="0" t="inlineStr">
        <is>
          <t xml:space="preserve">non_sub</t>
        </is>
      </c>
      <c r="E299" s="0" t="inlineStr">
        <is>
          <t xml:space="preserve">engineering</t>
        </is>
      </c>
      <c r="F299" s="0" t="inlineStr">
        <is>
          <t xml:space="preserve">EXCLUDE_REVIEW</t>
        </is>
      </c>
      <c r="G299" s="0" t="inlineStr">
        <is>
          <t xml:space="preserve">BC</t>
        </is>
      </c>
      <c r="H299" s="5">
        <v>0</v>
      </c>
      <c r="I299" s="5">
        <v>0</v>
      </c>
      <c r="J299" s="5">
        <v>1</v>
      </c>
      <c r="K299" s="5">
        <v>34.117331</v>
      </c>
      <c r="L299" s="7">
        <v>0.0</v>
      </c>
      <c r="M299" s="7">
        <v>0.0</v>
      </c>
      <c r="N299" s="7">
        <v>0.99</v>
      </c>
      <c r="O299" s="7">
        <v>0.0</v>
      </c>
    </row>
    <row r="300" outlineLevel="1">
      <c r="B300" s="0" t="inlineStr">
        <is>
          <t xml:space="preserve">2025-03-31</t>
        </is>
      </c>
      <c r="C300" s="0" t="inlineStr">
        <is>
          <t xml:space="preserve">N00024-23-C-5101</t>
        </is>
      </c>
      <c r="D300" s="0" t="inlineStr">
        <is>
          <t xml:space="preserve">non_sub</t>
        </is>
      </c>
      <c r="E300" s="0" t="inlineStr">
        <is>
          <t xml:space="preserve">fms</t>
        </is>
      </c>
      <c r="F300" s="0" t="inlineStr">
        <is>
          <t xml:space="preserve">EXCLUDE_REVIEW</t>
        </is>
      </c>
      <c r="G300" s="0" t="inlineStr">
        <is>
          <t xml:space="preserve">BC</t>
        </is>
      </c>
      <c r="H300" s="5">
        <v>0</v>
      </c>
      <c r="I300" s="5">
        <v>0</v>
      </c>
      <c r="J300" s="5">
        <v>1</v>
      </c>
      <c r="K300" s="5">
        <v>34.004309</v>
      </c>
      <c r="L300" s="7">
        <v>0.0</v>
      </c>
      <c r="M300" s="7">
        <v>0.0</v>
      </c>
      <c r="N300" s="7">
        <v>0.0</v>
      </c>
      <c r="O300" s="7">
        <v>0.0</v>
      </c>
    </row>
    <row r="301" outlineLevel="1">
      <c r="B301" s="0" t="inlineStr">
        <is>
          <t xml:space="preserve">2025-07-23</t>
        </is>
      </c>
      <c r="C301" s="0" t="inlineStr">
        <is>
          <t xml:space="preserve">N00024-23-C-4307</t>
        </is>
      </c>
      <c r="D301" s="0" t="inlineStr">
        <is>
          <t xml:space="preserve">sub_other</t>
        </is>
      </c>
      <c r="E301" s="0" t="inlineStr">
        <is>
          <t xml:space="preserve">other</t>
        </is>
      </c>
      <c r="F301" s="0" t="inlineStr">
        <is>
          <t xml:space="preserve">EXCLUDE_REVIEW</t>
        </is>
      </c>
      <c r="G301" s="0" t="inlineStr">
        <is>
          <t xml:space="preserve">BC</t>
        </is>
      </c>
      <c r="H301" s="5">
        <v>0</v>
      </c>
      <c r="I301" s="5">
        <v>0</v>
      </c>
      <c r="J301" s="5">
        <v>1</v>
      </c>
      <c r="K301" s="5">
        <v>33.541728</v>
      </c>
      <c r="L301" s="7">
        <v>0.0</v>
      </c>
      <c r="M301" s="7">
        <v>0.0</v>
      </c>
      <c r="N301" s="7">
        <v>0.0</v>
      </c>
      <c r="O301" s="7">
        <v>0.0</v>
      </c>
    </row>
    <row r="302" outlineLevel="1">
      <c r="B302" s="0" t="inlineStr">
        <is>
          <t xml:space="preserve">2025-12-22</t>
        </is>
      </c>
      <c r="C302" s="0" t="inlineStr">
        <is>
          <t xml:space="preserve">N00024-25-C-2127</t>
        </is>
      </c>
      <c r="D302" s="0" t="inlineStr">
        <is>
          <t xml:space="preserve">non_sub</t>
        </is>
      </c>
      <c r="E302" s="0" t="inlineStr">
        <is>
          <t xml:space="preserve">other</t>
        </is>
      </c>
      <c r="F302" s="0" t="inlineStr">
        <is>
          <t xml:space="preserve">EXCLUDE_REVIEW</t>
        </is>
      </c>
      <c r="G302" s="0" t="inlineStr">
        <is>
          <t xml:space="preserve">BC</t>
        </is>
      </c>
      <c r="H302" s="5">
        <v>0</v>
      </c>
      <c r="I302" s="5">
        <v>0</v>
      </c>
      <c r="J302" s="5">
        <v>1</v>
      </c>
      <c r="K302" s="5">
        <v>33.455511</v>
      </c>
      <c r="L302" s="7">
        <v>0.0</v>
      </c>
      <c r="M302" s="7">
        <v>0.0</v>
      </c>
      <c r="N302" s="7">
        <v>0.0</v>
      </c>
      <c r="O302" s="7">
        <v>0.0</v>
      </c>
    </row>
    <row r="303" outlineLevel="1">
      <c r="B303" s="0" t="inlineStr">
        <is>
          <t xml:space="preserve">2023-09-21</t>
        </is>
      </c>
      <c r="C303" s="0" t="inlineStr">
        <is>
          <t xml:space="preserve">N00024-23-R-2245</t>
        </is>
      </c>
      <c r="D303" s="0" t="inlineStr">
        <is>
          <t xml:space="preserve">non_sub</t>
        </is>
      </c>
      <c r="E303" s="0" t="inlineStr">
        <is>
          <t xml:space="preserve">design</t>
        </is>
      </c>
      <c r="F303" s="0" t="inlineStr">
        <is>
          <t xml:space="preserve">EXCLUDE_REVIEW</t>
        </is>
      </c>
      <c r="G303" s="0" t="inlineStr">
        <is>
          <t xml:space="preserve">BC</t>
        </is>
      </c>
      <c r="H303" s="5">
        <v>0</v>
      </c>
      <c r="I303" s="5">
        <v>0</v>
      </c>
      <c r="J303" s="5">
        <v>1</v>
      </c>
      <c r="K303" s="5">
        <v>33.35</v>
      </c>
      <c r="L303" s="7">
        <v>0.0</v>
      </c>
      <c r="M303" s="7">
        <v>0.0</v>
      </c>
      <c r="N303" s="7">
        <v>0.0</v>
      </c>
      <c r="O303" s="7">
        <v>0.0</v>
      </c>
    </row>
    <row r="304" outlineLevel="1">
      <c r="B304" s="0" t="inlineStr">
        <is>
          <t xml:space="preserve">2025-06-09</t>
        </is>
      </c>
      <c r="C304" s="0" t="inlineStr">
        <is>
          <t xml:space="preserve">N64498-25-D-4007</t>
        </is>
      </c>
      <c r="D304" s="0" t="inlineStr">
        <is>
          <t xml:space="preserve">va</t>
        </is>
      </c>
      <c r="E304" s="0" t="inlineStr">
        <is>
          <t xml:space="preserve">other</t>
        </is>
      </c>
      <c r="F304" s="0" t="inlineStr">
        <is>
          <t xml:space="preserve">EXCLUDE_REVIEW</t>
        </is>
      </c>
      <c r="G304" s="0" t="inlineStr">
        <is>
          <t xml:space="preserve">BC</t>
        </is>
      </c>
      <c r="H304" s="5">
        <v>0</v>
      </c>
      <c r="I304" s="5">
        <v>0</v>
      </c>
      <c r="J304" s="5">
        <v>1</v>
      </c>
      <c r="K304" s="5">
        <v>33.134365</v>
      </c>
      <c r="L304" s="7">
        <v>0.0</v>
      </c>
      <c r="M304" s="7">
        <v>0.0</v>
      </c>
      <c r="N304" s="7">
        <v>0.0</v>
      </c>
      <c r="O304" s="7">
        <v>0.0</v>
      </c>
    </row>
    <row r="305" outlineLevel="1">
      <c r="B305" s="0" t="inlineStr">
        <is>
          <t xml:space="preserve">2025-12-18</t>
        </is>
      </c>
      <c r="C305" s="0" t="inlineStr">
        <is>
          <t xml:space="preserve">N00024-19-C-2210</t>
        </is>
      </c>
      <c r="D305" s="0" t="inlineStr">
        <is>
          <t xml:space="preserve">non_sub</t>
        </is>
      </c>
      <c r="E305" s="0" t="inlineStr">
        <is>
          <t xml:space="preserve">lltm_early_mfg</t>
        </is>
      </c>
      <c r="F305" s="0" t="inlineStr">
        <is>
          <t xml:space="preserve">INCLUDE_AP_LLTM</t>
        </is>
      </c>
      <c r="G305" s="0" t="inlineStr">
        <is>
          <t xml:space="preserve">AP_LLTM</t>
        </is>
      </c>
      <c r="H305" s="5">
        <v>0</v>
      </c>
      <c r="I305" s="5">
        <v>0</v>
      </c>
      <c r="J305" s="5">
        <v>1</v>
      </c>
      <c r="K305" s="5">
        <v>33.07788</v>
      </c>
      <c r="L305" s="7">
        <v>0.0</v>
      </c>
      <c r="M305" s="7">
        <v>0.0</v>
      </c>
      <c r="N305" s="7">
        <v>0.0</v>
      </c>
      <c r="O305" s="7">
        <v>0.0</v>
      </c>
    </row>
    <row r="306" outlineLevel="1">
      <c r="B306" s="0" t="inlineStr">
        <is>
          <t xml:space="preserve">2025-02-19</t>
        </is>
      </c>
      <c r="C306" s="0" t="inlineStr">
        <is>
          <t xml:space="preserve">-</t>
        </is>
      </c>
      <c r="D306" s="0" t="inlineStr">
        <is>
          <t xml:space="preserve">sub_other</t>
        </is>
      </c>
      <c r="E306" s="0" t="inlineStr">
        <is>
          <t xml:space="preserve">fms</t>
        </is>
      </c>
      <c r="F306" s="0" t="inlineStr">
        <is>
          <t xml:space="preserve">EXCLUDE_REVIEW</t>
        </is>
      </c>
      <c r="G306" s="0" t="inlineStr">
        <is>
          <t xml:space="preserve">BC</t>
        </is>
      </c>
      <c r="H306" s="5">
        <v>0</v>
      </c>
      <c r="I306" s="5">
        <v>0</v>
      </c>
      <c r="J306" s="5">
        <v>1</v>
      </c>
      <c r="K306" s="5">
        <v>32.546921</v>
      </c>
      <c r="L306" s="7">
        <v>0.0</v>
      </c>
      <c r="M306" s="7">
        <v>0.0</v>
      </c>
      <c r="N306" s="7">
        <v>0.0</v>
      </c>
      <c r="O306" s="7">
        <v>0.0</v>
      </c>
    </row>
    <row r="307" outlineLevel="1">
      <c r="B307" s="0" t="inlineStr">
        <is>
          <t xml:space="preserve">2023-01-31</t>
        </is>
      </c>
      <c r="C307" s="0" t="inlineStr">
        <is>
          <t xml:space="preserve">-</t>
        </is>
      </c>
      <c r="D307" s="0" t="inlineStr">
        <is>
          <t xml:space="preserve">non_sub</t>
        </is>
      </c>
      <c r="E307" s="0" t="inlineStr">
        <is>
          <t xml:space="preserve">other</t>
        </is>
      </c>
      <c r="F307" s="0" t="inlineStr">
        <is>
          <t xml:space="preserve">EXCLUDE_REVIEW</t>
        </is>
      </c>
      <c r="G307" s="0" t="inlineStr">
        <is>
          <t xml:space="preserve">BC</t>
        </is>
      </c>
      <c r="H307" s="5">
        <v>0</v>
      </c>
      <c r="I307" s="5">
        <v>0</v>
      </c>
      <c r="J307" s="5">
        <v>1</v>
      </c>
      <c r="K307" s="5">
        <v>32.533827</v>
      </c>
      <c r="L307" s="7">
        <v>0.0</v>
      </c>
      <c r="M307" s="7">
        <v>0.0</v>
      </c>
      <c r="N307" s="7">
        <v>1.0</v>
      </c>
      <c r="O307" s="7">
        <v>0.0</v>
      </c>
    </row>
    <row r="308" outlineLevel="1">
      <c r="B308" s="0" t="inlineStr">
        <is>
          <t xml:space="preserve">2025-02-14</t>
        </is>
      </c>
      <c r="C308" s="0" t="inlineStr">
        <is>
          <t xml:space="preserve">N00024-22-C-2313</t>
        </is>
      </c>
      <c r="D308" s="0" t="inlineStr">
        <is>
          <t xml:space="preserve">non_sub</t>
        </is>
      </c>
      <c r="E308" s="0" t="inlineStr">
        <is>
          <t xml:space="preserve">other</t>
        </is>
      </c>
      <c r="F308" s="0" t="inlineStr">
        <is>
          <t xml:space="preserve">EXCLUDE_REVIEW</t>
        </is>
      </c>
      <c r="G308" s="0" t="inlineStr">
        <is>
          <t xml:space="preserve">BC</t>
        </is>
      </c>
      <c r="H308" s="5">
        <v>0</v>
      </c>
      <c r="I308" s="5">
        <v>0</v>
      </c>
      <c r="J308" s="5">
        <v>1</v>
      </c>
      <c r="K308" s="5">
        <v>32.435193</v>
      </c>
      <c r="L308" s="7">
        <v>0.0</v>
      </c>
      <c r="M308" s="7">
        <v>0.0</v>
      </c>
      <c r="N308" s="7">
        <v>0.97</v>
      </c>
      <c r="O308" s="7">
        <v>0.0</v>
      </c>
    </row>
    <row r="309" outlineLevel="1">
      <c r="B309" s="0" t="inlineStr">
        <is>
          <t xml:space="preserve">2026-02-27</t>
        </is>
      </c>
      <c r="C309" s="0" t="inlineStr">
        <is>
          <t xml:space="preserve">N00024-25-C-6309</t>
        </is>
      </c>
      <c r="D309" s="0" t="inlineStr">
        <is>
          <t xml:space="preserve">non_sub</t>
        </is>
      </c>
      <c r="E309" s="0" t="inlineStr">
        <is>
          <t xml:space="preserve">sustainment_maintenance</t>
        </is>
      </c>
      <c r="F309" s="0" t="inlineStr">
        <is>
          <t xml:space="preserve">EXCLUDE_REVIEW</t>
        </is>
      </c>
      <c r="G309" s="0" t="inlineStr">
        <is>
          <t xml:space="preserve">BC</t>
        </is>
      </c>
      <c r="H309" s="5">
        <v>0</v>
      </c>
      <c r="I309" s="5">
        <v>0</v>
      </c>
      <c r="J309" s="5">
        <v>1</v>
      </c>
      <c r="K309" s="5">
        <v>32.034493</v>
      </c>
      <c r="L309" s="7">
        <v>0.0</v>
      </c>
      <c r="M309" s="7">
        <v>0.0</v>
      </c>
      <c r="N309" s="7">
        <v>1.0</v>
      </c>
      <c r="O309" s="7">
        <v>0.0</v>
      </c>
    </row>
    <row r="310" outlineLevel="1">
      <c r="B310" s="0" t="inlineStr">
        <is>
          <t xml:space="preserve">2026-05-07</t>
        </is>
      </c>
      <c r="C310" s="0" t="inlineStr">
        <is>
          <t xml:space="preserve">-</t>
        </is>
      </c>
      <c r="D310" s="0" t="inlineStr">
        <is>
          <t xml:space="preserve">sub_other</t>
        </is>
      </c>
      <c r="E310" s="0" t="inlineStr">
        <is>
          <t xml:space="preserve">other</t>
        </is>
      </c>
      <c r="F310" s="0" t="inlineStr">
        <is>
          <t xml:space="preserve">EXCLUDE_REVIEW</t>
        </is>
      </c>
      <c r="G310" s="0" t="inlineStr">
        <is>
          <t xml:space="preserve">BC</t>
        </is>
      </c>
      <c r="H310" s="5">
        <v>0</v>
      </c>
      <c r="I310" s="5">
        <v>0</v>
      </c>
      <c r="J310" s="5">
        <v>1</v>
      </c>
      <c r="K310" s="5">
        <v>31.953501</v>
      </c>
      <c r="L310" s="7">
        <v>0.03</v>
      </c>
      <c r="M310" s="7">
        <v>0.0</v>
      </c>
      <c r="N310" s="7">
        <v>0.89</v>
      </c>
      <c r="O310" s="7">
        <v>0.0</v>
      </c>
    </row>
    <row r="311" outlineLevel="1">
      <c r="B311" s="0" t="inlineStr">
        <is>
          <t xml:space="preserve">2025-09-12</t>
        </is>
      </c>
      <c r="C311" s="0" t="inlineStr">
        <is>
          <t xml:space="preserve">N00024-20-C-6117</t>
        </is>
      </c>
      <c r="D311" s="0" t="inlineStr">
        <is>
          <t xml:space="preserve">non_sub</t>
        </is>
      </c>
      <c r="E311" s="0" t="inlineStr">
        <is>
          <t xml:space="preserve">other</t>
        </is>
      </c>
      <c r="F311" s="0" t="inlineStr">
        <is>
          <t xml:space="preserve">EXCLUDE_REVIEW</t>
        </is>
      </c>
      <c r="G311" s="0" t="inlineStr">
        <is>
          <t xml:space="preserve">BC</t>
        </is>
      </c>
      <c r="H311" s="5">
        <v>0</v>
      </c>
      <c r="I311" s="5">
        <v>0</v>
      </c>
      <c r="J311" s="5">
        <v>1</v>
      </c>
      <c r="K311" s="5">
        <v>31.820802</v>
      </c>
      <c r="L311" s="7">
        <v>0.0</v>
      </c>
      <c r="M311" s="7">
        <v>0.0</v>
      </c>
      <c r="N311" s="7">
        <v>1.0</v>
      </c>
      <c r="O311" s="7">
        <v>0.0</v>
      </c>
    </row>
    <row r="312" outlineLevel="1">
      <c r="B312" s="0" t="inlineStr">
        <is>
          <t xml:space="preserve">2025-12-09</t>
        </is>
      </c>
      <c r="C312" s="0" t="inlineStr">
        <is>
          <t xml:space="preserve">-</t>
        </is>
      </c>
      <c r="D312" s="0" t="inlineStr">
        <is>
          <t xml:space="preserve">non_sub</t>
        </is>
      </c>
      <c r="E312" s="0" t="inlineStr">
        <is>
          <t xml:space="preserve">other</t>
        </is>
      </c>
      <c r="F312" s="0" t="inlineStr">
        <is>
          <t xml:space="preserve">EXCLUDE_REVIEW</t>
        </is>
      </c>
      <c r="G312" s="0" t="inlineStr">
        <is>
          <t xml:space="preserve">BC</t>
        </is>
      </c>
      <c r="H312" s="5">
        <v>0</v>
      </c>
      <c r="I312" s="5">
        <v>0</v>
      </c>
      <c r="J312" s="5">
        <v>1</v>
      </c>
      <c r="K312" s="5">
        <v>31.664536</v>
      </c>
      <c r="L312" s="7">
        <v>0.0</v>
      </c>
      <c r="M312" s="7">
        <v>0.0</v>
      </c>
      <c r="N312" s="7">
        <v>1.0</v>
      </c>
      <c r="O312" s="7">
        <v>0.0</v>
      </c>
    </row>
    <row r="313" outlineLevel="1">
      <c r="B313" s="0" t="inlineStr">
        <is>
          <t xml:space="preserve">2025-11-21</t>
        </is>
      </c>
      <c r="C313" s="0" t="inlineStr">
        <is>
          <t xml:space="preserve">N00024-21-C-2451</t>
        </is>
      </c>
      <c r="D313" s="0" t="inlineStr">
        <is>
          <t xml:space="preserve">non_sub</t>
        </is>
      </c>
      <c r="E313" s="0" t="inlineStr">
        <is>
          <t xml:space="preserve">sustainment_maintenance</t>
        </is>
      </c>
      <c r="F313" s="0" t="inlineStr">
        <is>
          <t xml:space="preserve">EXCLUDE_REVIEW</t>
        </is>
      </c>
      <c r="G313" s="0" t="inlineStr">
        <is>
          <t xml:space="preserve">BC</t>
        </is>
      </c>
      <c r="H313" s="5">
        <v>0</v>
      </c>
      <c r="I313" s="5">
        <v>0</v>
      </c>
      <c r="J313" s="5">
        <v>1</v>
      </c>
      <c r="K313" s="5">
        <v>31.550329</v>
      </c>
      <c r="L313" s="7">
        <v>0.0</v>
      </c>
      <c r="M313" s="7">
        <v>0.0</v>
      </c>
      <c r="N313" s="7">
        <v>0.0</v>
      </c>
      <c r="O313" s="7">
        <v>0.0</v>
      </c>
    </row>
    <row r="314" outlineLevel="1">
      <c r="B314" s="0" t="inlineStr">
        <is>
          <t xml:space="preserve">2025-07-21</t>
        </is>
      </c>
      <c r="C314" s="0" t="inlineStr">
        <is>
          <t xml:space="preserve">N00024-20-C-2120</t>
        </is>
      </c>
      <c r="D314" s="0" t="inlineStr">
        <is>
          <t xml:space="preserve">va</t>
        </is>
      </c>
      <c r="E314" s="0" t="inlineStr">
        <is>
          <t xml:space="preserve">lead_yard</t>
        </is>
      </c>
      <c r="F314" s="0" t="inlineStr">
        <is>
          <t xml:space="preserve">EXCLUDE_REVIEW</t>
        </is>
      </c>
      <c r="G314" s="0" t="inlineStr">
        <is>
          <t xml:space="preserve">BC</t>
        </is>
      </c>
      <c r="H314" s="5">
        <v>0</v>
      </c>
      <c r="I314" s="5">
        <v>0</v>
      </c>
      <c r="J314" s="5">
        <v>1</v>
      </c>
      <c r="K314" s="5">
        <v>31.5</v>
      </c>
      <c r="L314" s="7">
        <v>0.0</v>
      </c>
      <c r="M314" s="7">
        <v>0.0</v>
      </c>
      <c r="N314" s="7">
        <v>0.0</v>
      </c>
      <c r="O314" s="7">
        <v>0.0</v>
      </c>
    </row>
    <row r="315" outlineLevel="1">
      <c r="B315" s="0" t="inlineStr">
        <is>
          <t xml:space="preserve">2024-10-21</t>
        </is>
      </c>
      <c r="C315" s="0" t="inlineStr">
        <is>
          <t xml:space="preserve">-</t>
        </is>
      </c>
      <c r="D315" s="0" t="inlineStr">
        <is>
          <t xml:space="preserve">non_sub</t>
        </is>
      </c>
      <c r="E315" s="0" t="inlineStr">
        <is>
          <t xml:space="preserve">other</t>
        </is>
      </c>
      <c r="F315" s="0" t="inlineStr">
        <is>
          <t xml:space="preserve">EXCLUDE_REVIEW</t>
        </is>
      </c>
      <c r="G315" s="0" t="inlineStr">
        <is>
          <t xml:space="preserve">BC</t>
        </is>
      </c>
      <c r="H315" s="5">
        <v>0</v>
      </c>
      <c r="I315" s="5">
        <v>0</v>
      </c>
      <c r="J315" s="5">
        <v>1</v>
      </c>
      <c r="K315" s="5">
        <v>31.496134</v>
      </c>
      <c r="L315" s="7">
        <v>0.0</v>
      </c>
      <c r="M315" s="7">
        <v>0.0</v>
      </c>
      <c r="N315" s="7">
        <v>1.0</v>
      </c>
      <c r="O315" s="7">
        <v>0.0</v>
      </c>
    </row>
    <row r="316" outlineLevel="1">
      <c r="B316" s="0" t="inlineStr">
        <is>
          <t xml:space="preserve">2026-03-13</t>
        </is>
      </c>
      <c r="C316" s="0" t="inlineStr">
        <is>
          <t xml:space="preserve">N69450-22-D-0043</t>
        </is>
      </c>
      <c r="D316" s="0" t="inlineStr">
        <is>
          <t xml:space="preserve">non_sub</t>
        </is>
      </c>
      <c r="E316" s="0" t="inlineStr">
        <is>
          <t xml:space="preserve">lltm_early_mfg</t>
        </is>
      </c>
      <c r="F316" s="0" t="inlineStr">
        <is>
          <t xml:space="preserve">INCLUDE_AP_LLTM</t>
        </is>
      </c>
      <c r="G316" s="0" t="inlineStr">
        <is>
          <t xml:space="preserve">AP_LLTM</t>
        </is>
      </c>
      <c r="H316" s="5">
        <v>0</v>
      </c>
      <c r="I316" s="5">
        <v>0</v>
      </c>
      <c r="J316" s="5">
        <v>1</v>
      </c>
      <c r="K316" s="5">
        <v>31.213019</v>
      </c>
      <c r="L316" s="7">
        <v>0.0</v>
      </c>
      <c r="M316" s="7">
        <v>0.0</v>
      </c>
      <c r="N316" s="7">
        <v>0.0</v>
      </c>
      <c r="O316" s="7">
        <v>0.0</v>
      </c>
    </row>
    <row r="317" outlineLevel="1">
      <c r="B317" s="0" t="inlineStr">
        <is>
          <t xml:space="preserve">2026-01-15</t>
        </is>
      </c>
      <c r="C317" s="0" t="inlineStr">
        <is>
          <t xml:space="preserve">N00024-26-C-6101</t>
        </is>
      </c>
      <c r="D317" s="0" t="inlineStr">
        <is>
          <t xml:space="preserve">non_sub</t>
        </is>
      </c>
      <c r="E317" s="0" t="inlineStr">
        <is>
          <t xml:space="preserve">other</t>
        </is>
      </c>
      <c r="F317" s="0" t="inlineStr">
        <is>
          <t xml:space="preserve">EXCLUDE_REVIEW</t>
        </is>
      </c>
      <c r="G317" s="0" t="inlineStr">
        <is>
          <t xml:space="preserve">BC</t>
        </is>
      </c>
      <c r="H317" s="5">
        <v>0</v>
      </c>
      <c r="I317" s="5">
        <v>0</v>
      </c>
      <c r="J317" s="5">
        <v>1</v>
      </c>
      <c r="K317" s="5">
        <v>30.869447</v>
      </c>
      <c r="L317" s="7">
        <v>0.0</v>
      </c>
      <c r="M317" s="7">
        <v>0.0</v>
      </c>
      <c r="N317" s="7">
        <v>0.6</v>
      </c>
      <c r="O317" s="7">
        <v>0.0</v>
      </c>
    </row>
    <row r="318" outlineLevel="1">
      <c r="B318" s="0" t="inlineStr">
        <is>
          <t xml:space="preserve">2025-12-10</t>
        </is>
      </c>
      <c r="C318" s="0" t="inlineStr">
        <is>
          <t xml:space="preserve">N00024-26-C-2443</t>
        </is>
      </c>
      <c r="D318" s="0" t="inlineStr">
        <is>
          <t xml:space="preserve">non_sub</t>
        </is>
      </c>
      <c r="E318" s="0" t="inlineStr">
        <is>
          <t xml:space="preserve">engineering</t>
        </is>
      </c>
      <c r="F318" s="0" t="inlineStr">
        <is>
          <t xml:space="preserve">EXCLUDE_REVIEW</t>
        </is>
      </c>
      <c r="G318" s="0" t="inlineStr">
        <is>
          <t xml:space="preserve">BC</t>
        </is>
      </c>
      <c r="H318" s="5">
        <v>0</v>
      </c>
      <c r="I318" s="5">
        <v>0</v>
      </c>
      <c r="J318" s="5">
        <v>1</v>
      </c>
      <c r="K318" s="5">
        <v>30.85381</v>
      </c>
      <c r="L318" s="7">
        <v>0.0</v>
      </c>
      <c r="M318" s="7">
        <v>0.0</v>
      </c>
      <c r="N318" s="7">
        <v>1.0</v>
      </c>
      <c r="O318" s="7">
        <v>0.0</v>
      </c>
    </row>
    <row r="319" outlineLevel="1">
      <c r="B319" s="0" t="inlineStr">
        <is>
          <t xml:space="preserve">2026-03-12</t>
        </is>
      </c>
      <c r="C319" s="0" t="inlineStr">
        <is>
          <t xml:space="preserve">N00024-22-C-2313</t>
        </is>
      </c>
      <c r="D319" s="0" t="inlineStr">
        <is>
          <t xml:space="preserve">non_sub</t>
        </is>
      </c>
      <c r="E319" s="0" t="inlineStr">
        <is>
          <t xml:space="preserve">other</t>
        </is>
      </c>
      <c r="F319" s="0" t="inlineStr">
        <is>
          <t xml:space="preserve">EXCLUDE_REVIEW</t>
        </is>
      </c>
      <c r="G319" s="0" t="inlineStr">
        <is>
          <t xml:space="preserve">BC</t>
        </is>
      </c>
      <c r="H319" s="5">
        <v>0</v>
      </c>
      <c r="I319" s="5">
        <v>0</v>
      </c>
      <c r="J319" s="5">
        <v>1</v>
      </c>
      <c r="K319" s="5">
        <v>30.699293</v>
      </c>
      <c r="L319" s="7">
        <v>0.0</v>
      </c>
      <c r="M319" s="7">
        <v>0.0</v>
      </c>
      <c r="N319" s="7">
        <v>1.0</v>
      </c>
      <c r="O319" s="7">
        <v>0.0</v>
      </c>
    </row>
    <row r="320" outlineLevel="1">
      <c r="B320" s="0" t="inlineStr">
        <is>
          <t xml:space="preserve">2023-11-17</t>
        </is>
      </c>
      <c r="C320" s="0" t="inlineStr">
        <is>
          <t xml:space="preserve">N00024-23-C-5123</t>
        </is>
      </c>
      <c r="D320" s="0" t="inlineStr">
        <is>
          <t xml:space="preserve">non_sub</t>
        </is>
      </c>
      <c r="E320" s="0" t="inlineStr">
        <is>
          <t xml:space="preserve">sustainment_maintenance</t>
        </is>
      </c>
      <c r="F320" s="0" t="inlineStr">
        <is>
          <t xml:space="preserve">EXCLUDE_REVIEW</t>
        </is>
      </c>
      <c r="G320" s="0" t="inlineStr">
        <is>
          <t xml:space="preserve">BC</t>
        </is>
      </c>
      <c r="H320" s="5">
        <v>0</v>
      </c>
      <c r="I320" s="5">
        <v>0</v>
      </c>
      <c r="J320" s="5">
        <v>1</v>
      </c>
      <c r="K320" s="5">
        <v>30.478466</v>
      </c>
      <c r="L320" s="7">
        <v>0.0</v>
      </c>
      <c r="M320" s="7">
        <v>0.0</v>
      </c>
      <c r="N320" s="7">
        <v>0.0</v>
      </c>
      <c r="O320" s="7">
        <v>0.0</v>
      </c>
    </row>
    <row r="321" outlineLevel="1">
      <c r="B321" s="0" t="inlineStr">
        <is>
          <t xml:space="preserve">2024-09-19</t>
        </is>
      </c>
      <c r="C321" s="0" t="inlineStr">
        <is>
          <t xml:space="preserve">N00024-20-C-5101</t>
        </is>
      </c>
      <c r="D321" s="0" t="inlineStr">
        <is>
          <t xml:space="preserve">non_sub</t>
        </is>
      </c>
      <c r="E321" s="0" t="inlineStr">
        <is>
          <t xml:space="preserve">other</t>
        </is>
      </c>
      <c r="F321" s="0" t="inlineStr">
        <is>
          <t xml:space="preserve">EXCLUDE_REVIEW</t>
        </is>
      </c>
      <c r="G321" s="0" t="inlineStr">
        <is>
          <t xml:space="preserve">BC</t>
        </is>
      </c>
      <c r="H321" s="5">
        <v>0</v>
      </c>
      <c r="I321" s="5">
        <v>0</v>
      </c>
      <c r="J321" s="5">
        <v>1</v>
      </c>
      <c r="K321" s="5">
        <v>30.208</v>
      </c>
      <c r="L321" s="7">
        <v>0.0</v>
      </c>
      <c r="M321" s="7">
        <v>0.0</v>
      </c>
      <c r="N321" s="7">
        <v>1.0</v>
      </c>
      <c r="O321" s="7">
        <v>0.0</v>
      </c>
    </row>
    <row r="322" outlineLevel="1">
      <c r="B322" s="0" t="inlineStr">
        <is>
          <t xml:space="preserve">2026-04-14</t>
        </is>
      </c>
      <c r="C322" s="0" t="inlineStr">
        <is>
          <t xml:space="preserve">N00024-26-C-2430</t>
        </is>
      </c>
      <c r="D322" s="0" t="inlineStr">
        <is>
          <t xml:space="preserve">non_sub</t>
        </is>
      </c>
      <c r="E322" s="0" t="inlineStr">
        <is>
          <t xml:space="preserve">lltm_early_mfg</t>
        </is>
      </c>
      <c r="F322" s="0" t="inlineStr">
        <is>
          <t xml:space="preserve">INCLUDE_AP_LLTM</t>
        </is>
      </c>
      <c r="G322" s="0" t="inlineStr">
        <is>
          <t xml:space="preserve">AP_LLTM</t>
        </is>
      </c>
      <c r="H322" s="5">
        <v>0</v>
      </c>
      <c r="I322" s="5">
        <v>0</v>
      </c>
      <c r="J322" s="5">
        <v>1</v>
      </c>
      <c r="K322" s="5">
        <v>30.0</v>
      </c>
      <c r="L322" s="7">
        <v>0.0</v>
      </c>
      <c r="M322" s="7">
        <v>0.0</v>
      </c>
      <c r="N322" s="7">
        <v>1.0</v>
      </c>
      <c r="O322" s="7">
        <v>0.0</v>
      </c>
    </row>
    <row r="323" outlineLevel="1">
      <c r="B323" s="0" t="inlineStr">
        <is>
          <t xml:space="preserve">2025-02-28</t>
        </is>
      </c>
      <c r="C323" s="0" t="inlineStr">
        <is>
          <t xml:space="preserve">N00024-25-C-6309</t>
        </is>
      </c>
      <c r="D323" s="0" t="inlineStr">
        <is>
          <t xml:space="preserve">non_sub</t>
        </is>
      </c>
      <c r="E323" s="0" t="inlineStr">
        <is>
          <t xml:space="preserve">sustainment_maintenance</t>
        </is>
      </c>
      <c r="F323" s="0" t="inlineStr">
        <is>
          <t xml:space="preserve">EXCLUDE_REVIEW</t>
        </is>
      </c>
      <c r="G323" s="0" t="inlineStr">
        <is>
          <t xml:space="preserve">BC</t>
        </is>
      </c>
      <c r="H323" s="5">
        <v>0</v>
      </c>
      <c r="I323" s="5">
        <v>0</v>
      </c>
      <c r="J323" s="5">
        <v>1</v>
      </c>
      <c r="K323" s="5">
        <v>29.959409</v>
      </c>
      <c r="L323" s="7">
        <v>0.0</v>
      </c>
      <c r="M323" s="7">
        <v>0.0</v>
      </c>
      <c r="N323" s="7">
        <v>1.0</v>
      </c>
      <c r="O323" s="7">
        <v>0.0</v>
      </c>
    </row>
    <row r="324" outlineLevel="1">
      <c r="B324" s="0" t="inlineStr">
        <is>
          <t xml:space="preserve">2025-01-22</t>
        </is>
      </c>
      <c r="C324" s="0" t="inlineStr">
        <is>
          <t xml:space="preserve">-</t>
        </is>
      </c>
      <c r="D324" s="0" t="inlineStr">
        <is>
          <t xml:space="preserve">sub_other</t>
        </is>
      </c>
      <c r="E324" s="0" t="inlineStr">
        <is>
          <t xml:space="preserve">lltm_early_mfg</t>
        </is>
      </c>
      <c r="F324" s="0" t="inlineStr">
        <is>
          <t xml:space="preserve">INCLUDE_AP_LLTM</t>
        </is>
      </c>
      <c r="G324" s="0" t="inlineStr">
        <is>
          <t xml:space="preserve">AP_LLTM</t>
        </is>
      </c>
      <c r="H324" s="5">
        <v>0</v>
      </c>
      <c r="I324" s="5">
        <v>0</v>
      </c>
      <c r="J324" s="5">
        <v>1</v>
      </c>
      <c r="K324" s="5">
        <v>29.88</v>
      </c>
      <c r="L324" s="7">
        <v>0.0</v>
      </c>
      <c r="M324" s="7">
        <v>0.0</v>
      </c>
      <c r="N324" s="7">
        <v>0.0</v>
      </c>
      <c r="O324" s="7">
        <v>0.0</v>
      </c>
    </row>
    <row r="325" outlineLevel="1">
      <c r="B325" s="0" t="inlineStr">
        <is>
          <t xml:space="preserve">2026-01-30</t>
        </is>
      </c>
      <c r="C325" s="0" t="inlineStr">
        <is>
          <t xml:space="preserve">N00024-22-C-5501</t>
        </is>
      </c>
      <c r="D325" s="0" t="inlineStr">
        <is>
          <t xml:space="preserve">non_sub</t>
        </is>
      </c>
      <c r="E325" s="0" t="inlineStr">
        <is>
          <t xml:space="preserve">lead_yard</t>
        </is>
      </c>
      <c r="F325" s="0" t="inlineStr">
        <is>
          <t xml:space="preserve">EXCLUDE_REVIEW</t>
        </is>
      </c>
      <c r="G325" s="0" t="inlineStr">
        <is>
          <t xml:space="preserve">BC</t>
        </is>
      </c>
      <c r="H325" s="5">
        <v>0</v>
      </c>
      <c r="I325" s="5">
        <v>0</v>
      </c>
      <c r="J325" s="5">
        <v>1</v>
      </c>
      <c r="K325" s="5">
        <v>29.420128</v>
      </c>
      <c r="L325" s="7">
        <v>0.0</v>
      </c>
      <c r="M325" s="7">
        <v>0.0</v>
      </c>
      <c r="N325" s="7">
        <v>1.0</v>
      </c>
      <c r="O325" s="7">
        <v>0.0</v>
      </c>
    </row>
    <row r="326" outlineLevel="1">
      <c r="B326" s="0" t="inlineStr">
        <is>
          <t xml:space="preserve">2026-02-17</t>
        </is>
      </c>
      <c r="C326" s="0" t="inlineStr">
        <is>
          <t xml:space="preserve">N00024-22-C-2253</t>
        </is>
      </c>
      <c r="D326" s="0" t="inlineStr">
        <is>
          <t xml:space="preserve">non_sub</t>
        </is>
      </c>
      <c r="E326" s="0" t="inlineStr">
        <is>
          <t xml:space="preserve">component_procurement</t>
        </is>
      </c>
      <c r="F326" s="0" t="inlineStr">
        <is>
          <t xml:space="preserve">INCLUDE_BC</t>
        </is>
      </c>
      <c r="G326" s="0" t="inlineStr">
        <is>
          <t xml:space="preserve">BC</t>
        </is>
      </c>
      <c r="H326" s="5">
        <v>0</v>
      </c>
      <c r="I326" s="5">
        <v>0</v>
      </c>
      <c r="J326" s="5">
        <v>1</v>
      </c>
      <c r="K326" s="5">
        <v>29.382496</v>
      </c>
      <c r="L326" s="7">
        <v>0.0</v>
      </c>
      <c r="M326" s="7">
        <v>0.0</v>
      </c>
      <c r="N326" s="7">
        <v>0.0</v>
      </c>
      <c r="O326" s="7">
        <v>0.0</v>
      </c>
    </row>
    <row r="327" outlineLevel="1">
      <c r="B327" s="0" t="inlineStr">
        <is>
          <t xml:space="preserve">2026-01-06</t>
        </is>
      </c>
      <c r="C327" s="0" t="inlineStr">
        <is>
          <t xml:space="preserve">N00024-20-C-5405</t>
        </is>
      </c>
      <c r="D327" s="0" t="inlineStr">
        <is>
          <t xml:space="preserve">non_sub</t>
        </is>
      </c>
      <c r="E327" s="0" t="inlineStr">
        <is>
          <t xml:space="preserve">other</t>
        </is>
      </c>
      <c r="F327" s="0" t="inlineStr">
        <is>
          <t xml:space="preserve">EXCLUDE_REVIEW</t>
        </is>
      </c>
      <c r="G327" s="0" t="inlineStr">
        <is>
          <t xml:space="preserve">BC</t>
        </is>
      </c>
      <c r="H327" s="5">
        <v>0</v>
      </c>
      <c r="I327" s="5">
        <v>0</v>
      </c>
      <c r="J327" s="5">
        <v>1</v>
      </c>
      <c r="K327" s="5">
        <v>29.188193</v>
      </c>
      <c r="L327" s="7">
        <v>0.0</v>
      </c>
      <c r="M327" s="7">
        <v>0.0</v>
      </c>
      <c r="N327" s="7">
        <v>1.0</v>
      </c>
      <c r="O327" s="7">
        <v>0.0</v>
      </c>
    </row>
    <row r="328" outlineLevel="1">
      <c r="B328" s="0" t="inlineStr">
        <is>
          <t xml:space="preserve">2025-04-18</t>
        </is>
      </c>
      <c r="C328" s="0" t="inlineStr">
        <is>
          <t xml:space="preserve">N00024-22-C-5218</t>
        </is>
      </c>
      <c r="D328" s="0" t="inlineStr">
        <is>
          <t xml:space="preserve">non_sub</t>
        </is>
      </c>
      <c r="E328" s="0" t="inlineStr">
        <is>
          <t xml:space="preserve">fms</t>
        </is>
      </c>
      <c r="F328" s="0" t="inlineStr">
        <is>
          <t xml:space="preserve">EXCLUDE_REVIEW</t>
        </is>
      </c>
      <c r="G328" s="0" t="inlineStr">
        <is>
          <t xml:space="preserve">BC</t>
        </is>
      </c>
      <c r="H328" s="5">
        <v>0</v>
      </c>
      <c r="I328" s="5">
        <v>0</v>
      </c>
      <c r="J328" s="5">
        <v>1</v>
      </c>
      <c r="K328" s="5">
        <v>28.850598</v>
      </c>
      <c r="L328" s="7">
        <v>0.0</v>
      </c>
      <c r="M328" s="7">
        <v>0.0</v>
      </c>
      <c r="N328" s="7">
        <v>1.0</v>
      </c>
      <c r="O328" s="7">
        <v>0.0</v>
      </c>
    </row>
    <row r="329" outlineLevel="1">
      <c r="B329" s="0" t="inlineStr">
        <is>
          <t xml:space="preserve">2025-07-03</t>
        </is>
      </c>
      <c r="C329" s="0" t="inlineStr">
        <is>
          <t xml:space="preserve">N00024-19-C-5102</t>
        </is>
      </c>
      <c r="D329" s="0" t="inlineStr">
        <is>
          <t xml:space="preserve">non_sub</t>
        </is>
      </c>
      <c r="E329" s="0" t="inlineStr">
        <is>
          <t xml:space="preserve">fms</t>
        </is>
      </c>
      <c r="F329" s="0" t="inlineStr">
        <is>
          <t xml:space="preserve">EXCLUDE_REVIEW</t>
        </is>
      </c>
      <c r="G329" s="0" t="inlineStr">
        <is>
          <t xml:space="preserve">BC</t>
        </is>
      </c>
      <c r="H329" s="5">
        <v>0</v>
      </c>
      <c r="I329" s="5">
        <v>0</v>
      </c>
      <c r="J329" s="5">
        <v>1</v>
      </c>
      <c r="K329" s="5">
        <v>28.643657</v>
      </c>
      <c r="L329" s="7">
        <v>0.0</v>
      </c>
      <c r="M329" s="7">
        <v>0.0</v>
      </c>
      <c r="N329" s="7">
        <v>1.0</v>
      </c>
      <c r="O329" s="7">
        <v>0.0</v>
      </c>
    </row>
    <row r="330" outlineLevel="1">
      <c r="B330" s="0" t="inlineStr">
        <is>
          <t xml:space="preserve">2024-08-30</t>
        </is>
      </c>
      <c r="C330" s="0" t="inlineStr">
        <is>
          <t xml:space="preserve">-</t>
        </is>
      </c>
      <c r="D330" s="0" t="inlineStr">
        <is>
          <t xml:space="preserve">non_sub</t>
        </is>
      </c>
      <c r="E330" s="0" t="inlineStr">
        <is>
          <t xml:space="preserve">fms</t>
        </is>
      </c>
      <c r="F330" s="0" t="inlineStr">
        <is>
          <t xml:space="preserve">EXCLUDE_REVIEW</t>
        </is>
      </c>
      <c r="G330" s="0" t="inlineStr">
        <is>
          <t xml:space="preserve">BC</t>
        </is>
      </c>
      <c r="H330" s="5">
        <v>0</v>
      </c>
      <c r="I330" s="5">
        <v>0</v>
      </c>
      <c r="J330" s="5">
        <v>1</v>
      </c>
      <c r="K330" s="5">
        <v>28.424525</v>
      </c>
      <c r="L330" s="7">
        <v>0.0</v>
      </c>
      <c r="M330" s="7">
        <v>0.0</v>
      </c>
      <c r="N330" s="7">
        <v>0.0</v>
      </c>
      <c r="O330" s="7">
        <v>0.0</v>
      </c>
    </row>
    <row r="331" outlineLevel="1">
      <c r="B331" s="0" t="inlineStr">
        <is>
          <t xml:space="preserve">2024-06-28</t>
        </is>
      </c>
      <c r="C331" s="0" t="inlineStr">
        <is>
          <t xml:space="preserve">N00024-23-F-5100</t>
        </is>
      </c>
      <c r="D331" s="0" t="inlineStr">
        <is>
          <t xml:space="preserve">non_sub</t>
        </is>
      </c>
      <c r="E331" s="0" t="inlineStr">
        <is>
          <t xml:space="preserve">fms</t>
        </is>
      </c>
      <c r="F331" s="0" t="inlineStr">
        <is>
          <t xml:space="preserve">EXCLUDE_REVIEW</t>
        </is>
      </c>
      <c r="G331" s="0" t="inlineStr">
        <is>
          <t xml:space="preserve">BC</t>
        </is>
      </c>
      <c r="H331" s="5">
        <v>0</v>
      </c>
      <c r="I331" s="5">
        <v>0</v>
      </c>
      <c r="J331" s="5">
        <v>1</v>
      </c>
      <c r="K331" s="5">
        <v>28.329633</v>
      </c>
      <c r="L331" s="7">
        <v>0.0</v>
      </c>
      <c r="M331" s="7">
        <v>0.0</v>
      </c>
      <c r="N331" s="7">
        <v>0.0</v>
      </c>
      <c r="O331" s="7">
        <v>0.0</v>
      </c>
    </row>
    <row r="332" outlineLevel="1">
      <c r="B332" s="0" t="inlineStr">
        <is>
          <t xml:space="preserve">2025-03-14</t>
        </is>
      </c>
      <c r="C332" s="0" t="inlineStr">
        <is>
          <t xml:space="preserve">N00024-22-C-2253</t>
        </is>
      </c>
      <c r="D332" s="0" t="inlineStr">
        <is>
          <t xml:space="preserve">non_sub</t>
        </is>
      </c>
      <c r="E332" s="0" t="inlineStr">
        <is>
          <t xml:space="preserve">design</t>
        </is>
      </c>
      <c r="F332" s="0" t="inlineStr">
        <is>
          <t xml:space="preserve">EXCLUDE_REVIEW</t>
        </is>
      </c>
      <c r="G332" s="0" t="inlineStr">
        <is>
          <t xml:space="preserve">BC</t>
        </is>
      </c>
      <c r="H332" s="5">
        <v>0</v>
      </c>
      <c r="I332" s="5">
        <v>0</v>
      </c>
      <c r="J332" s="5">
        <v>1</v>
      </c>
      <c r="K332" s="5">
        <v>28.285715</v>
      </c>
      <c r="L332" s="7">
        <v>0.0</v>
      </c>
      <c r="M332" s="7">
        <v>0.0</v>
      </c>
      <c r="N332" s="7">
        <v>0.0</v>
      </c>
      <c r="O332" s="7">
        <v>0.0</v>
      </c>
    </row>
    <row r="333" outlineLevel="1">
      <c r="B333" s="0" t="inlineStr">
        <is>
          <t xml:space="preserve">2025-06-16</t>
        </is>
      </c>
      <c r="C333" s="0" t="inlineStr">
        <is>
          <t xml:space="preserve">-</t>
        </is>
      </c>
      <c r="D333" s="0" t="inlineStr">
        <is>
          <t xml:space="preserve">non_sub</t>
        </is>
      </c>
      <c r="E333" s="0" t="inlineStr">
        <is>
          <t xml:space="preserve">design</t>
        </is>
      </c>
      <c r="F333" s="0" t="inlineStr">
        <is>
          <t xml:space="preserve">EXCLUDE_REVIEW</t>
        </is>
      </c>
      <c r="G333" s="0" t="inlineStr">
        <is>
          <t xml:space="preserve">BC</t>
        </is>
      </c>
      <c r="H333" s="5">
        <v>0</v>
      </c>
      <c r="I333" s="5">
        <v>0</v>
      </c>
      <c r="J333" s="5">
        <v>1</v>
      </c>
      <c r="K333" s="5">
        <v>28.285715</v>
      </c>
      <c r="L333" s="7">
        <v>0.0</v>
      </c>
      <c r="M333" s="7">
        <v>0.0</v>
      </c>
      <c r="N333" s="7">
        <v>0.0</v>
      </c>
      <c r="O333" s="7">
        <v>0.0</v>
      </c>
    </row>
    <row r="334" outlineLevel="1">
      <c r="B334" s="0" t="inlineStr">
        <is>
          <t xml:space="preserve">2025-04-29</t>
        </is>
      </c>
      <c r="C334" s="0" t="inlineStr">
        <is>
          <t xml:space="preserve">-</t>
        </is>
      </c>
      <c r="D334" s="0" t="inlineStr">
        <is>
          <t xml:space="preserve">non_sub</t>
        </is>
      </c>
      <c r="E334" s="0" t="inlineStr">
        <is>
          <t xml:space="preserve">other</t>
        </is>
      </c>
      <c r="F334" s="0" t="inlineStr">
        <is>
          <t xml:space="preserve">EXCLUDE_REVIEW</t>
        </is>
      </c>
      <c r="G334" s="0" t="inlineStr">
        <is>
          <t xml:space="preserve">BC</t>
        </is>
      </c>
      <c r="H334" s="5">
        <v>0</v>
      </c>
      <c r="I334" s="5">
        <v>0</v>
      </c>
      <c r="J334" s="5">
        <v>1</v>
      </c>
      <c r="K334" s="5">
        <v>27.939364</v>
      </c>
      <c r="L334" s="7">
        <v>0.0</v>
      </c>
      <c r="M334" s="7">
        <v>0.0</v>
      </c>
      <c r="N334" s="7">
        <v>1.0</v>
      </c>
      <c r="O334" s="7">
        <v>0.0</v>
      </c>
    </row>
    <row r="335" outlineLevel="1">
      <c r="B335" s="0" t="inlineStr">
        <is>
          <t xml:space="preserve">2022-12-15</t>
        </is>
      </c>
      <c r="C335" s="0" t="inlineStr">
        <is>
          <t xml:space="preserve">-</t>
        </is>
      </c>
      <c r="D335" s="0" t="inlineStr">
        <is>
          <t xml:space="preserve">non_sub</t>
        </is>
      </c>
      <c r="E335" s="0" t="inlineStr">
        <is>
          <t xml:space="preserve">design</t>
        </is>
      </c>
      <c r="F335" s="0" t="inlineStr">
        <is>
          <t xml:space="preserve">EXCLUDE_REVIEW</t>
        </is>
      </c>
      <c r="G335" s="0" t="inlineStr">
        <is>
          <t xml:space="preserve">BC</t>
        </is>
      </c>
      <c r="H335" s="5">
        <v>0</v>
      </c>
      <c r="I335" s="5">
        <v>0</v>
      </c>
      <c r="J335" s="5">
        <v>1</v>
      </c>
      <c r="K335" s="5">
        <v>27.625288</v>
      </c>
      <c r="L335" s="7">
        <v>0.0</v>
      </c>
      <c r="M335" s="7">
        <v>0.0</v>
      </c>
      <c r="N335" s="7">
        <v>1.0</v>
      </c>
      <c r="O335" s="7">
        <v>0.0</v>
      </c>
    </row>
    <row r="336" outlineLevel="1">
      <c r="B336" s="0" t="inlineStr">
        <is>
          <t xml:space="preserve">2022-09-09</t>
        </is>
      </c>
      <c r="C336" s="0" t="inlineStr">
        <is>
          <t xml:space="preserve">-</t>
        </is>
      </c>
      <c r="D336" s="0" t="inlineStr">
        <is>
          <t xml:space="preserve">sub_other</t>
        </is>
      </c>
      <c r="E336" s="0" t="inlineStr">
        <is>
          <t xml:space="preserve">other</t>
        </is>
      </c>
      <c r="F336" s="0" t="inlineStr">
        <is>
          <t xml:space="preserve">EXCLUDE_REVIEW</t>
        </is>
      </c>
      <c r="G336" s="0" t="inlineStr">
        <is>
          <t xml:space="preserve">BC</t>
        </is>
      </c>
      <c r="H336" s="5">
        <v>0</v>
      </c>
      <c r="I336" s="5">
        <v>0</v>
      </c>
      <c r="J336" s="5">
        <v>1</v>
      </c>
      <c r="K336" s="5">
        <v>27.357473</v>
      </c>
      <c r="L336" s="7">
        <v>0.0</v>
      </c>
      <c r="M336" s="7">
        <v>0.0</v>
      </c>
      <c r="N336" s="7">
        <v>0.0</v>
      </c>
      <c r="O336" s="7">
        <v>0.0</v>
      </c>
    </row>
    <row r="337" outlineLevel="1">
      <c r="B337" s="0" t="inlineStr">
        <is>
          <t xml:space="preserve">2025-12-23</t>
        </is>
      </c>
      <c r="C337" s="0" t="inlineStr">
        <is>
          <t xml:space="preserve">N00024-24-C-6101</t>
        </is>
      </c>
      <c r="D337" s="0" t="inlineStr">
        <is>
          <t xml:space="preserve">non_sub</t>
        </is>
      </c>
      <c r="E337" s="0" t="inlineStr">
        <is>
          <t xml:space="preserve">design</t>
        </is>
      </c>
      <c r="F337" s="0" t="inlineStr">
        <is>
          <t xml:space="preserve">EXCLUDE_REVIEW</t>
        </is>
      </c>
      <c r="G337" s="0" t="inlineStr">
        <is>
          <t xml:space="preserve">BC</t>
        </is>
      </c>
      <c r="H337" s="5">
        <v>0</v>
      </c>
      <c r="I337" s="5">
        <v>0</v>
      </c>
      <c r="J337" s="5">
        <v>1</v>
      </c>
      <c r="K337" s="5">
        <v>27.323934</v>
      </c>
      <c r="L337" s="7">
        <v>0.0</v>
      </c>
      <c r="M337" s="7">
        <v>0.0</v>
      </c>
      <c r="N337" s="7">
        <v>0.0</v>
      </c>
      <c r="O337" s="7">
        <v>0.0</v>
      </c>
    </row>
    <row r="338" outlineLevel="1">
      <c r="B338" s="0" t="inlineStr">
        <is>
          <t xml:space="preserve">2025-09-02</t>
        </is>
      </c>
      <c r="C338" s="0" t="inlineStr">
        <is>
          <t xml:space="preserve">-</t>
        </is>
      </c>
      <c r="D338" s="0" t="inlineStr">
        <is>
          <t xml:space="preserve">non_sub</t>
        </is>
      </c>
      <c r="E338" s="0" t="inlineStr">
        <is>
          <t xml:space="preserve">other</t>
        </is>
      </c>
      <c r="F338" s="0" t="inlineStr">
        <is>
          <t xml:space="preserve">EXCLUDE_REVIEW</t>
        </is>
      </c>
      <c r="G338" s="0" t="inlineStr">
        <is>
          <t xml:space="preserve">BC</t>
        </is>
      </c>
      <c r="H338" s="5">
        <v>0</v>
      </c>
      <c r="I338" s="5">
        <v>0</v>
      </c>
      <c r="J338" s="5">
        <v>1</v>
      </c>
      <c r="K338" s="5">
        <v>26.957807</v>
      </c>
      <c r="L338" s="7">
        <v>0.0</v>
      </c>
      <c r="M338" s="7">
        <v>0.0</v>
      </c>
      <c r="N338" s="7">
        <v>1.0</v>
      </c>
      <c r="O338" s="7">
        <v>0.0</v>
      </c>
    </row>
    <row r="339" outlineLevel="1">
      <c r="B339" s="0" t="inlineStr">
        <is>
          <t xml:space="preserve">2025-09-08</t>
        </is>
      </c>
      <c r="C339" s="0" t="inlineStr">
        <is>
          <t xml:space="preserve">-</t>
        </is>
      </c>
      <c r="D339" s="0" t="inlineStr">
        <is>
          <t xml:space="preserve">non_sub</t>
        </is>
      </c>
      <c r="E339" s="0" t="inlineStr">
        <is>
          <t xml:space="preserve">component_procurement</t>
        </is>
      </c>
      <c r="F339" s="0" t="inlineStr">
        <is>
          <t xml:space="preserve">INCLUDE_BC</t>
        </is>
      </c>
      <c r="G339" s="0" t="inlineStr">
        <is>
          <t xml:space="preserve">BC</t>
        </is>
      </c>
      <c r="H339" s="5">
        <v>0</v>
      </c>
      <c r="I339" s="5">
        <v>0</v>
      </c>
      <c r="J339" s="5">
        <v>1</v>
      </c>
      <c r="K339" s="5">
        <v>26.947406</v>
      </c>
      <c r="L339" s="7">
        <v>0.0</v>
      </c>
      <c r="M339" s="7">
        <v>0.0</v>
      </c>
      <c r="N339" s="7">
        <v>1.0</v>
      </c>
      <c r="O339" s="7">
        <v>0.0</v>
      </c>
    </row>
    <row r="340" outlineLevel="1">
      <c r="B340" s="0" t="inlineStr">
        <is>
          <t xml:space="preserve">2025-04-09</t>
        </is>
      </c>
      <c r="C340" s="0" t="inlineStr">
        <is>
          <t xml:space="preserve">-</t>
        </is>
      </c>
      <c r="D340" s="0" t="inlineStr">
        <is>
          <t xml:space="preserve">non_sub</t>
        </is>
      </c>
      <c r="E340" s="0" t="inlineStr">
        <is>
          <t xml:space="preserve">fms</t>
        </is>
      </c>
      <c r="F340" s="0" t="inlineStr">
        <is>
          <t xml:space="preserve">EXCLUDE_REVIEW</t>
        </is>
      </c>
      <c r="G340" s="0" t="inlineStr">
        <is>
          <t xml:space="preserve">BC</t>
        </is>
      </c>
      <c r="H340" s="5">
        <v>0</v>
      </c>
      <c r="I340" s="5">
        <v>0</v>
      </c>
      <c r="J340" s="5">
        <v>1</v>
      </c>
      <c r="K340" s="5">
        <v>26.650165</v>
      </c>
      <c r="L340" s="7">
        <v>0.0</v>
      </c>
      <c r="M340" s="7">
        <v>0.0</v>
      </c>
      <c r="N340" s="7">
        <v>0.0</v>
      </c>
      <c r="O340" s="7">
        <v>0.0</v>
      </c>
    </row>
    <row r="341" outlineLevel="1">
      <c r="B341" s="0" t="inlineStr">
        <is>
          <t xml:space="preserve">2025-11-28</t>
        </is>
      </c>
      <c r="C341" s="0" t="inlineStr">
        <is>
          <t xml:space="preserve">N00024-20-C-2320</t>
        </is>
      </c>
      <c r="D341" s="0" t="inlineStr">
        <is>
          <t xml:space="preserve">non_sub</t>
        </is>
      </c>
      <c r="E341" s="0" t="inlineStr">
        <is>
          <t xml:space="preserve">sustainment_maintenance</t>
        </is>
      </c>
      <c r="F341" s="0" t="inlineStr">
        <is>
          <t xml:space="preserve">EXCLUDE_REVIEW</t>
        </is>
      </c>
      <c r="G341" s="0" t="inlineStr">
        <is>
          <t xml:space="preserve">BC</t>
        </is>
      </c>
      <c r="H341" s="5">
        <v>0</v>
      </c>
      <c r="I341" s="5">
        <v>0</v>
      </c>
      <c r="J341" s="5">
        <v>1</v>
      </c>
      <c r="K341" s="5">
        <v>26.447362</v>
      </c>
      <c r="L341" s="7">
        <v>0.0</v>
      </c>
      <c r="M341" s="7">
        <v>0.0</v>
      </c>
      <c r="N341" s="7">
        <v>0.0</v>
      </c>
      <c r="O341" s="7">
        <v>0.0</v>
      </c>
    </row>
    <row r="342" outlineLevel="1">
      <c r="B342" s="0" t="inlineStr">
        <is>
          <t xml:space="preserve">2022-09-27</t>
        </is>
      </c>
      <c r="C342" s="0" t="inlineStr">
        <is>
          <t xml:space="preserve">-</t>
        </is>
      </c>
      <c r="D342" s="0" t="inlineStr">
        <is>
          <t xml:space="preserve">non_sub</t>
        </is>
      </c>
      <c r="E342" s="0" t="inlineStr">
        <is>
          <t xml:space="preserve">component_procurement</t>
        </is>
      </c>
      <c r="F342" s="0" t="inlineStr">
        <is>
          <t xml:space="preserve">INCLUDE_BC</t>
        </is>
      </c>
      <c r="G342" s="0" t="inlineStr">
        <is>
          <t xml:space="preserve">BC</t>
        </is>
      </c>
      <c r="H342" s="5">
        <v>0</v>
      </c>
      <c r="I342" s="5">
        <v>0</v>
      </c>
      <c r="J342" s="5">
        <v>1</v>
      </c>
      <c r="K342" s="5">
        <v>26.399469</v>
      </c>
      <c r="L342" s="7">
        <v>0.0</v>
      </c>
      <c r="M342" s="7">
        <v>0.0</v>
      </c>
      <c r="N342" s="7">
        <v>0.22</v>
      </c>
      <c r="O342" s="7">
        <v>0.0</v>
      </c>
    </row>
    <row r="343" outlineLevel="1">
      <c r="B343" s="0" t="inlineStr">
        <is>
          <t xml:space="preserve">2026-02-13</t>
        </is>
      </c>
      <c r="C343" s="0" t="inlineStr">
        <is>
          <t xml:space="preserve">N00024-24-C-5131</t>
        </is>
      </c>
      <c r="D343" s="0" t="inlineStr">
        <is>
          <t xml:space="preserve">non_sub</t>
        </is>
      </c>
      <c r="E343" s="0" t="inlineStr">
        <is>
          <t xml:space="preserve">fms</t>
        </is>
      </c>
      <c r="F343" s="0" t="inlineStr">
        <is>
          <t xml:space="preserve">EXCLUDE_REVIEW</t>
        </is>
      </c>
      <c r="G343" s="0" t="inlineStr">
        <is>
          <t xml:space="preserve">BC</t>
        </is>
      </c>
      <c r="H343" s="5">
        <v>0</v>
      </c>
      <c r="I343" s="5">
        <v>0</v>
      </c>
      <c r="J343" s="5">
        <v>1</v>
      </c>
      <c r="K343" s="5">
        <v>26.254791</v>
      </c>
      <c r="L343" s="7">
        <v>0.0</v>
      </c>
      <c r="M343" s="7">
        <v>0.0</v>
      </c>
      <c r="N343" s="7">
        <v>0.0</v>
      </c>
      <c r="O343" s="7">
        <v>0.0</v>
      </c>
    </row>
    <row r="344" outlineLevel="1">
      <c r="B344" s="0" t="inlineStr">
        <is>
          <t xml:space="preserve">2023-11-17</t>
        </is>
      </c>
      <c r="C344" s="0" t="inlineStr">
        <is>
          <t xml:space="preserve">N00024-24-C-2312</t>
        </is>
      </c>
      <c r="D344" s="0" t="inlineStr">
        <is>
          <t xml:space="preserve">non_sub</t>
        </is>
      </c>
      <c r="E344" s="0" t="inlineStr">
        <is>
          <t xml:space="preserve">other</t>
        </is>
      </c>
      <c r="F344" s="0" t="inlineStr">
        <is>
          <t xml:space="preserve">EXCLUDE_REVIEW</t>
        </is>
      </c>
      <c r="G344" s="0" t="inlineStr">
        <is>
          <t xml:space="preserve">BC</t>
        </is>
      </c>
      <c r="H344" s="5">
        <v>0</v>
      </c>
      <c r="I344" s="5">
        <v>0</v>
      </c>
      <c r="J344" s="5">
        <v>1</v>
      </c>
      <c r="K344" s="5">
        <v>25.781609</v>
      </c>
      <c r="L344" s="7">
        <v>0.0</v>
      </c>
      <c r="M344" s="7">
        <v>0.0</v>
      </c>
      <c r="N344" s="7">
        <v>0.98</v>
      </c>
      <c r="O344" s="7">
        <v>0.0</v>
      </c>
    </row>
    <row r="345" outlineLevel="1">
      <c r="B345" s="0" t="inlineStr">
        <is>
          <t xml:space="preserve">2025-09-09</t>
        </is>
      </c>
      <c r="C345" s="0" t="inlineStr">
        <is>
          <t xml:space="preserve">N00024-20-D-5230</t>
        </is>
      </c>
      <c r="D345" s="0" t="inlineStr">
        <is>
          <t xml:space="preserve">non_sub</t>
        </is>
      </c>
      <c r="E345" s="0" t="inlineStr">
        <is>
          <t xml:space="preserve">other</t>
        </is>
      </c>
      <c r="F345" s="0" t="inlineStr">
        <is>
          <t xml:space="preserve">EXCLUDE_REVIEW</t>
        </is>
      </c>
      <c r="G345" s="0" t="inlineStr">
        <is>
          <t xml:space="preserve">BC</t>
        </is>
      </c>
      <c r="H345" s="5">
        <v>0</v>
      </c>
      <c r="I345" s="5">
        <v>0</v>
      </c>
      <c r="J345" s="5">
        <v>1</v>
      </c>
      <c r="K345" s="5">
        <v>25.729881</v>
      </c>
      <c r="L345" s="7">
        <v>0.0</v>
      </c>
      <c r="M345" s="7">
        <v>0.0</v>
      </c>
      <c r="N345" s="7">
        <v>1.0</v>
      </c>
      <c r="O345" s="7">
        <v>0.0</v>
      </c>
    </row>
    <row r="346" outlineLevel="1">
      <c r="B346" s="0" t="inlineStr">
        <is>
          <t xml:space="preserve">2025-12-16</t>
        </is>
      </c>
      <c r="C346" s="0" t="inlineStr">
        <is>
          <t xml:space="preserve">N00024-24-C-6400</t>
        </is>
      </c>
      <c r="D346" s="0" t="inlineStr">
        <is>
          <t xml:space="preserve">non_sub</t>
        </is>
      </c>
      <c r="E346" s="0" t="inlineStr">
        <is>
          <t xml:space="preserve">sustainment_maintenance</t>
        </is>
      </c>
      <c r="F346" s="0" t="inlineStr">
        <is>
          <t xml:space="preserve">EXCLUDE_REVIEW</t>
        </is>
      </c>
      <c r="G346" s="0" t="inlineStr">
        <is>
          <t xml:space="preserve">BC</t>
        </is>
      </c>
      <c r="H346" s="5">
        <v>0</v>
      </c>
      <c r="I346" s="5">
        <v>0</v>
      </c>
      <c r="J346" s="5">
        <v>1</v>
      </c>
      <c r="K346" s="5">
        <v>25.303971</v>
      </c>
      <c r="L346" s="7">
        <v>0.0</v>
      </c>
      <c r="M346" s="7">
        <v>0.0</v>
      </c>
      <c r="N346" s="7">
        <v>0.0</v>
      </c>
      <c r="O346" s="7">
        <v>0.0</v>
      </c>
    </row>
    <row r="347" outlineLevel="1">
      <c r="B347" s="0" t="inlineStr">
        <is>
          <t xml:space="preserve">2025-02-03</t>
        </is>
      </c>
      <c r="C347" s="0" t="inlineStr">
        <is>
          <t xml:space="preserve">-</t>
        </is>
      </c>
      <c r="D347" s="0" t="inlineStr">
        <is>
          <t xml:space="preserve">non_sub</t>
        </is>
      </c>
      <c r="E347" s="0" t="inlineStr">
        <is>
          <t xml:space="preserve">sustainment_maintenance</t>
        </is>
      </c>
      <c r="F347" s="0" t="inlineStr">
        <is>
          <t xml:space="preserve">EXCLUDE_REVIEW</t>
        </is>
      </c>
      <c r="G347" s="0" t="inlineStr">
        <is>
          <t xml:space="preserve">BC</t>
        </is>
      </c>
      <c r="H347" s="5">
        <v>0</v>
      </c>
      <c r="I347" s="5">
        <v>0</v>
      </c>
      <c r="J347" s="5">
        <v>1</v>
      </c>
      <c r="K347" s="5">
        <v>24.980584</v>
      </c>
      <c r="L347" s="7">
        <v>0.0</v>
      </c>
      <c r="M347" s="7">
        <v>0.0</v>
      </c>
      <c r="N347" s="7">
        <v>0.0</v>
      </c>
      <c r="O347" s="7">
        <v>0.0</v>
      </c>
    </row>
    <row r="348" outlineLevel="1">
      <c r="B348" s="0" t="inlineStr">
        <is>
          <t xml:space="preserve">2022-09-30</t>
        </is>
      </c>
      <c r="C348" s="0" t="inlineStr">
        <is>
          <t xml:space="preserve">N00024-18-G-5501</t>
        </is>
      </c>
      <c r="D348" s="0" t="inlineStr">
        <is>
          <t xml:space="preserve">non_sub</t>
        </is>
      </c>
      <c r="E348" s="0" t="inlineStr">
        <is>
          <t xml:space="preserve">other</t>
        </is>
      </c>
      <c r="F348" s="0" t="inlineStr">
        <is>
          <t xml:space="preserve">EXCLUDE_REVIEW</t>
        </is>
      </c>
      <c r="G348" s="0" t="inlineStr">
        <is>
          <t xml:space="preserve">BC</t>
        </is>
      </c>
      <c r="H348" s="5">
        <v>0</v>
      </c>
      <c r="I348" s="5">
        <v>0</v>
      </c>
      <c r="J348" s="5">
        <v>1</v>
      </c>
      <c r="K348" s="5">
        <v>24.86798</v>
      </c>
      <c r="L348" s="7">
        <v>0.0</v>
      </c>
      <c r="M348" s="7">
        <v>0.0</v>
      </c>
      <c r="N348" s="7">
        <v>1.0</v>
      </c>
      <c r="O348" s="7">
        <v>0.0</v>
      </c>
    </row>
    <row r="349" outlineLevel="1">
      <c r="B349" s="0" t="inlineStr">
        <is>
          <t xml:space="preserve">2025-12-10</t>
        </is>
      </c>
      <c r="C349" s="0" t="inlineStr">
        <is>
          <t xml:space="preserve">N00024-26-C-5524</t>
        </is>
      </c>
      <c r="D349" s="0" t="inlineStr">
        <is>
          <t xml:space="preserve">non_sub</t>
        </is>
      </c>
      <c r="E349" s="0" t="inlineStr">
        <is>
          <t xml:space="preserve">other</t>
        </is>
      </c>
      <c r="F349" s="0" t="inlineStr">
        <is>
          <t xml:space="preserve">EXCLUDE_REVIEW</t>
        </is>
      </c>
      <c r="G349" s="0" t="inlineStr">
        <is>
          <t xml:space="preserve">BC</t>
        </is>
      </c>
      <c r="H349" s="5">
        <v>0</v>
      </c>
      <c r="I349" s="5">
        <v>0</v>
      </c>
      <c r="J349" s="5">
        <v>1</v>
      </c>
      <c r="K349" s="5">
        <v>24.764102</v>
      </c>
      <c r="L349" s="7">
        <v>0.0</v>
      </c>
      <c r="M349" s="7">
        <v>0.0</v>
      </c>
      <c r="N349" s="7">
        <v>0.93</v>
      </c>
      <c r="O349" s="7">
        <v>0.0</v>
      </c>
    </row>
    <row r="350" outlineLevel="1">
      <c r="B350" s="0" t="inlineStr">
        <is>
          <t xml:space="preserve">2025-09-04</t>
        </is>
      </c>
      <c r="C350" s="0" t="inlineStr">
        <is>
          <t xml:space="preserve">N00024-25-C-2301</t>
        </is>
      </c>
      <c r="D350" s="0" t="inlineStr">
        <is>
          <t xml:space="preserve">non_sub</t>
        </is>
      </c>
      <c r="E350" s="0" t="inlineStr">
        <is>
          <t xml:space="preserve">sustainment_maintenance</t>
        </is>
      </c>
      <c r="F350" s="0" t="inlineStr">
        <is>
          <t xml:space="preserve">EXCLUDE_REVIEW</t>
        </is>
      </c>
      <c r="G350" s="0" t="inlineStr">
        <is>
          <t xml:space="preserve">BC</t>
        </is>
      </c>
      <c r="H350" s="5">
        <v>0</v>
      </c>
      <c r="I350" s="5">
        <v>0</v>
      </c>
      <c r="J350" s="5">
        <v>1</v>
      </c>
      <c r="K350" s="5">
        <v>24.361392</v>
      </c>
      <c r="L350" s="7">
        <v>0.0</v>
      </c>
      <c r="M350" s="7">
        <v>0.0</v>
      </c>
      <c r="N350" s="7">
        <v>0.0</v>
      </c>
      <c r="O350" s="7">
        <v>0.0</v>
      </c>
    </row>
    <row r="351" outlineLevel="1">
      <c r="B351" s="0" t="inlineStr">
        <is>
          <t xml:space="preserve">2026-05-21</t>
        </is>
      </c>
      <c r="C351" s="0" t="inlineStr">
        <is>
          <t xml:space="preserve">N00024-20-C-2109</t>
        </is>
      </c>
      <c r="D351" s="0" t="inlineStr">
        <is>
          <t xml:space="preserve">sub_other</t>
        </is>
      </c>
      <c r="E351" s="0" t="inlineStr">
        <is>
          <t xml:space="preserve">sustainment_maintenance</t>
        </is>
      </c>
      <c r="F351" s="0" t="inlineStr">
        <is>
          <t xml:space="preserve">EXCLUDE_REVIEW</t>
        </is>
      </c>
      <c r="G351" s="0" t="inlineStr">
        <is>
          <t xml:space="preserve">BC</t>
        </is>
      </c>
      <c r="H351" s="5">
        <v>0</v>
      </c>
      <c r="I351" s="5">
        <v>0</v>
      </c>
      <c r="J351" s="5">
        <v>1</v>
      </c>
      <c r="K351" s="5">
        <v>24.0</v>
      </c>
      <c r="L351" s="7">
        <v>0.01</v>
      </c>
      <c r="M351" s="7">
        <v>0.9</v>
      </c>
      <c r="N351" s="7">
        <v>0.09</v>
      </c>
      <c r="O351" s="7">
        <v>0.0</v>
      </c>
    </row>
    <row r="352" outlineLevel="1">
      <c r="B352" s="0" t="inlineStr">
        <is>
          <t xml:space="preserve">2025-08-21</t>
        </is>
      </c>
      <c r="C352" s="0" t="inlineStr">
        <is>
          <t xml:space="preserve">N00024-23-C-6132</t>
        </is>
      </c>
      <c r="D352" s="0" t="inlineStr">
        <is>
          <t xml:space="preserve">non_sub</t>
        </is>
      </c>
      <c r="E352" s="0" t="inlineStr">
        <is>
          <t xml:space="preserve">design</t>
        </is>
      </c>
      <c r="F352" s="0" t="inlineStr">
        <is>
          <t xml:space="preserve">EXCLUDE_REVIEW</t>
        </is>
      </c>
      <c r="G352" s="0" t="inlineStr">
        <is>
          <t xml:space="preserve">BC</t>
        </is>
      </c>
      <c r="H352" s="5">
        <v>0</v>
      </c>
      <c r="I352" s="5">
        <v>0</v>
      </c>
      <c r="J352" s="5">
        <v>1</v>
      </c>
      <c r="K352" s="5">
        <v>23.842394</v>
      </c>
      <c r="L352" s="7">
        <v>0.0</v>
      </c>
      <c r="M352" s="7">
        <v>0.0</v>
      </c>
      <c r="N352" s="7">
        <v>0.0</v>
      </c>
      <c r="O352" s="7">
        <v>0.0</v>
      </c>
    </row>
    <row r="353" outlineLevel="1">
      <c r="B353" s="0" t="inlineStr">
        <is>
          <t xml:space="preserve">2025-04-09</t>
        </is>
      </c>
      <c r="C353" s="0" t="inlineStr">
        <is>
          <t xml:space="preserve">-</t>
        </is>
      </c>
      <c r="D353" s="0" t="inlineStr">
        <is>
          <t xml:space="preserve">non_sub</t>
        </is>
      </c>
      <c r="E353" s="0" t="inlineStr">
        <is>
          <t xml:space="preserve">fms</t>
        </is>
      </c>
      <c r="F353" s="0" t="inlineStr">
        <is>
          <t xml:space="preserve">EXCLUDE_REVIEW</t>
        </is>
      </c>
      <c r="G353" s="0" t="inlineStr">
        <is>
          <t xml:space="preserve">BC</t>
        </is>
      </c>
      <c r="H353" s="5">
        <v>0</v>
      </c>
      <c r="I353" s="5">
        <v>0</v>
      </c>
      <c r="J353" s="5">
        <v>1</v>
      </c>
      <c r="K353" s="5">
        <v>23.825884</v>
      </c>
      <c r="L353" s="7">
        <v>0.0</v>
      </c>
      <c r="M353" s="7">
        <v>0.0</v>
      </c>
      <c r="N353" s="7">
        <v>1.0</v>
      </c>
      <c r="O353" s="7">
        <v>0.0</v>
      </c>
    </row>
    <row r="354" outlineLevel="1">
      <c r="B354" s="0" t="inlineStr">
        <is>
          <t xml:space="preserve">2025-04-03</t>
        </is>
      </c>
      <c r="C354" s="0" t="inlineStr">
        <is>
          <t xml:space="preserve">N00024-22-C-5400</t>
        </is>
      </c>
      <c r="D354" s="0" t="inlineStr">
        <is>
          <t xml:space="preserve">non_sub</t>
        </is>
      </c>
      <c r="E354" s="0" t="inlineStr">
        <is>
          <t xml:space="preserve">other</t>
        </is>
      </c>
      <c r="F354" s="0" t="inlineStr">
        <is>
          <t xml:space="preserve">EXCLUDE_REVIEW</t>
        </is>
      </c>
      <c r="G354" s="0" t="inlineStr">
        <is>
          <t xml:space="preserve">BC</t>
        </is>
      </c>
      <c r="H354" s="5">
        <v>0</v>
      </c>
      <c r="I354" s="5">
        <v>0</v>
      </c>
      <c r="J354" s="5">
        <v>1</v>
      </c>
      <c r="K354" s="5">
        <v>23.773621</v>
      </c>
      <c r="L354" s="7">
        <v>0.0</v>
      </c>
      <c r="M354" s="7">
        <v>0.0</v>
      </c>
      <c r="N354" s="7">
        <v>0.95</v>
      </c>
      <c r="O354" s="7">
        <v>0.0</v>
      </c>
    </row>
    <row r="355" outlineLevel="1">
      <c r="B355" s="0" t="inlineStr">
        <is>
          <t xml:space="preserve">2022-09-27</t>
        </is>
      </c>
      <c r="C355" s="0" t="inlineStr">
        <is>
          <t xml:space="preserve">-</t>
        </is>
      </c>
      <c r="D355" s="0" t="inlineStr">
        <is>
          <t xml:space="preserve">non_sub</t>
        </is>
      </c>
      <c r="E355" s="0" t="inlineStr">
        <is>
          <t xml:space="preserve">component_procurement</t>
        </is>
      </c>
      <c r="F355" s="0" t="inlineStr">
        <is>
          <t xml:space="preserve">INCLUDE_BC</t>
        </is>
      </c>
      <c r="G355" s="0" t="inlineStr">
        <is>
          <t xml:space="preserve">BC</t>
        </is>
      </c>
      <c r="H355" s="5">
        <v>0</v>
      </c>
      <c r="I355" s="5">
        <v>0</v>
      </c>
      <c r="J355" s="5">
        <v>1</v>
      </c>
      <c r="K355" s="5">
        <v>23.589802</v>
      </c>
      <c r="L355" s="7">
        <v>0.0</v>
      </c>
      <c r="M355" s="7">
        <v>0.0</v>
      </c>
      <c r="N355" s="7">
        <v>0.0</v>
      </c>
      <c r="O355" s="7">
        <v>0.0</v>
      </c>
    </row>
    <row r="356" outlineLevel="1">
      <c r="B356" s="0" t="inlineStr">
        <is>
          <t xml:space="preserve">2023-09-21</t>
        </is>
      </c>
      <c r="C356" s="0" t="inlineStr">
        <is>
          <t xml:space="preserve">N00030-24-C-6007</t>
        </is>
      </c>
      <c r="D356" s="0" t="inlineStr">
        <is>
          <t xml:space="preserve">non_sub</t>
        </is>
      </c>
      <c r="E356" s="0" t="inlineStr">
        <is>
          <t xml:space="preserve">sustainment_maintenance</t>
        </is>
      </c>
      <c r="F356" s="0" t="inlineStr">
        <is>
          <t xml:space="preserve">EXCLUDE_REVIEW</t>
        </is>
      </c>
      <c r="G356" s="0" t="inlineStr">
        <is>
          <t xml:space="preserve">BC</t>
        </is>
      </c>
      <c r="H356" s="5">
        <v>0</v>
      </c>
      <c r="I356" s="5">
        <v>0</v>
      </c>
      <c r="J356" s="5">
        <v>1</v>
      </c>
      <c r="K356" s="5">
        <v>23.548881</v>
      </c>
      <c r="L356" s="7">
        <v>0.0</v>
      </c>
      <c r="M356" s="7">
        <v>0.0</v>
      </c>
      <c r="N356" s="7">
        <v>0.943</v>
      </c>
      <c r="O356" s="7">
        <v>0.0</v>
      </c>
    </row>
    <row r="357" outlineLevel="1">
      <c r="B357" s="0" t="inlineStr">
        <is>
          <t xml:space="preserve">2025-02-04</t>
        </is>
      </c>
      <c r="C357" s="0" t="inlineStr">
        <is>
          <t xml:space="preserve">N00024-24-F-6220</t>
        </is>
      </c>
      <c r="D357" s="0" t="inlineStr">
        <is>
          <t xml:space="preserve">sub_gfe_electronics</t>
        </is>
      </c>
      <c r="E357" s="0" t="inlineStr">
        <is>
          <t xml:space="preserve">component_procurement</t>
        </is>
      </c>
      <c r="F357" s="0" t="inlineStr">
        <is>
          <t xml:space="preserve">EXCLUDE_GFE</t>
        </is>
      </c>
      <c r="G357" s="0" t="inlineStr">
        <is>
          <t xml:space="preserve">BC</t>
        </is>
      </c>
      <c r="H357" s="5">
        <v>1</v>
      </c>
      <c r="I357" s="5">
        <v>1</v>
      </c>
      <c r="J357" s="5">
        <v>1</v>
      </c>
      <c r="K357" s="5">
        <v>23.532048</v>
      </c>
      <c r="L357" s="7">
        <v>0.0</v>
      </c>
      <c r="M357" s="7">
        <v>0.0</v>
      </c>
      <c r="N357" s="7">
        <v>0.0</v>
      </c>
      <c r="O357" s="7">
        <v>0.0</v>
      </c>
    </row>
    <row r="358" outlineLevel="1">
      <c r="B358" s="0" t="inlineStr">
        <is>
          <t xml:space="preserve">2025-02-05</t>
        </is>
      </c>
      <c r="C358" s="0" t="inlineStr">
        <is>
          <t xml:space="preserve">N00024-24-F-6220</t>
        </is>
      </c>
      <c r="D358" s="0" t="inlineStr">
        <is>
          <t xml:space="preserve">sub_gfe_electronics</t>
        </is>
      </c>
      <c r="E358" s="0" t="inlineStr">
        <is>
          <t xml:space="preserve">component_procurement</t>
        </is>
      </c>
      <c r="F358" s="0" t="inlineStr">
        <is>
          <t xml:space="preserve">EXCLUDE_GFE</t>
        </is>
      </c>
      <c r="G358" s="0" t="inlineStr">
        <is>
          <t xml:space="preserve">BC</t>
        </is>
      </c>
      <c r="H358" s="5">
        <v>1</v>
      </c>
      <c r="I358" s="5">
        <v>1</v>
      </c>
      <c r="J358" s="5">
        <v>1</v>
      </c>
      <c r="K358" s="5">
        <v>23.532048</v>
      </c>
      <c r="L358" s="7">
        <v>0.0</v>
      </c>
      <c r="M358" s="7">
        <v>0.0</v>
      </c>
      <c r="N358" s="7">
        <v>0.0</v>
      </c>
      <c r="O358" s="7">
        <v>0.0</v>
      </c>
    </row>
    <row r="359" outlineLevel="1">
      <c r="B359" s="0" t="inlineStr">
        <is>
          <t xml:space="preserve">2026-03-09</t>
        </is>
      </c>
      <c r="C359" s="0" t="inlineStr">
        <is>
          <t xml:space="preserve">-</t>
        </is>
      </c>
      <c r="D359" s="0" t="inlineStr">
        <is>
          <t xml:space="preserve">sub_other</t>
        </is>
      </c>
      <c r="E359" s="0" t="inlineStr">
        <is>
          <t xml:space="preserve">component_procurement</t>
        </is>
      </c>
      <c r="F359" s="0" t="inlineStr">
        <is>
          <t xml:space="preserve">INCLUDE_BC</t>
        </is>
      </c>
      <c r="G359" s="0" t="inlineStr">
        <is>
          <t xml:space="preserve">BC</t>
        </is>
      </c>
      <c r="H359" s="5">
        <v>0</v>
      </c>
      <c r="I359" s="5">
        <v>0</v>
      </c>
      <c r="J359" s="5">
        <v>1</v>
      </c>
      <c r="K359" s="5">
        <v>23.479329</v>
      </c>
      <c r="L359" s="7">
        <v>0.0</v>
      </c>
      <c r="M359" s="7">
        <v>0.0</v>
      </c>
      <c r="N359" s="7">
        <v>0.0</v>
      </c>
      <c r="O359" s="7">
        <v>0.0</v>
      </c>
    </row>
    <row r="360" outlineLevel="1">
      <c r="B360" s="0" t="inlineStr">
        <is>
          <t xml:space="preserve">2022-11-18</t>
        </is>
      </c>
      <c r="C360" s="0" t="inlineStr">
        <is>
          <t xml:space="preserve">-</t>
        </is>
      </c>
      <c r="D360" s="0" t="inlineStr">
        <is>
          <t xml:space="preserve">non_sub</t>
        </is>
      </c>
      <c r="E360" s="0" t="inlineStr">
        <is>
          <t xml:space="preserve">sustainment_maintenance</t>
        </is>
      </c>
      <c r="F360" s="0" t="inlineStr">
        <is>
          <t xml:space="preserve">EXCLUDE_REVIEW</t>
        </is>
      </c>
      <c r="G360" s="0" t="inlineStr">
        <is>
          <t xml:space="preserve">BC</t>
        </is>
      </c>
      <c r="H360" s="5">
        <v>0</v>
      </c>
      <c r="I360" s="5">
        <v>0</v>
      </c>
      <c r="J360" s="5">
        <v>1</v>
      </c>
      <c r="K360" s="5">
        <v>23.345867</v>
      </c>
      <c r="L360" s="7">
        <v>0.0</v>
      </c>
      <c r="M360" s="7">
        <v>0.0</v>
      </c>
      <c r="N360" s="7">
        <v>1.0</v>
      </c>
      <c r="O360" s="7">
        <v>0.0</v>
      </c>
    </row>
    <row r="361" outlineLevel="1">
      <c r="B361" s="0" t="inlineStr">
        <is>
          <t xml:space="preserve">2025-01-24</t>
        </is>
      </c>
      <c r="C361" s="0" t="inlineStr">
        <is>
          <t xml:space="preserve">N00024-25-C-4427</t>
        </is>
      </c>
      <c r="D361" s="0" t="inlineStr">
        <is>
          <t xml:space="preserve">non_sub</t>
        </is>
      </c>
      <c r="E361" s="0" t="inlineStr">
        <is>
          <t xml:space="preserve">sustainment_maintenance</t>
        </is>
      </c>
      <c r="F361" s="0" t="inlineStr">
        <is>
          <t xml:space="preserve">EXCLUDE_REVIEW</t>
        </is>
      </c>
      <c r="G361" s="0" t="inlineStr">
        <is>
          <t xml:space="preserve">BC</t>
        </is>
      </c>
      <c r="H361" s="5">
        <v>0</v>
      </c>
      <c r="I361" s="5">
        <v>0</v>
      </c>
      <c r="J361" s="5">
        <v>1</v>
      </c>
      <c r="K361" s="5">
        <v>23.323644</v>
      </c>
      <c r="L361" s="7">
        <v>0.0</v>
      </c>
      <c r="M361" s="7">
        <v>0.0</v>
      </c>
      <c r="N361" s="7">
        <v>0.0</v>
      </c>
      <c r="O361" s="7">
        <v>0.0</v>
      </c>
    </row>
    <row r="362" outlineLevel="1">
      <c r="B362" s="0" t="inlineStr">
        <is>
          <t xml:space="preserve">2024-12-13</t>
        </is>
      </c>
      <c r="C362" s="0" t="inlineStr">
        <is>
          <t xml:space="preserve">-</t>
        </is>
      </c>
      <c r="D362" s="0" t="inlineStr">
        <is>
          <t xml:space="preserve">non_sub</t>
        </is>
      </c>
      <c r="E362" s="0" t="inlineStr">
        <is>
          <t xml:space="preserve">design</t>
        </is>
      </c>
      <c r="F362" s="0" t="inlineStr">
        <is>
          <t xml:space="preserve">EXCLUDE_REVIEW</t>
        </is>
      </c>
      <c r="G362" s="0" t="inlineStr">
        <is>
          <t xml:space="preserve">BC</t>
        </is>
      </c>
      <c r="H362" s="5">
        <v>0</v>
      </c>
      <c r="I362" s="5">
        <v>0</v>
      </c>
      <c r="J362" s="5">
        <v>1</v>
      </c>
      <c r="K362" s="5">
        <v>23.304231</v>
      </c>
      <c r="L362" s="7">
        <v>0.0</v>
      </c>
      <c r="M362" s="7">
        <v>0.0</v>
      </c>
      <c r="N362" s="7">
        <v>0.0</v>
      </c>
      <c r="O362" s="7">
        <v>0.0</v>
      </c>
    </row>
    <row r="363" outlineLevel="1">
      <c r="B363" s="0" t="inlineStr">
        <is>
          <t xml:space="preserve">2025-11-28</t>
        </is>
      </c>
      <c r="C363" s="0" t="inlineStr">
        <is>
          <t xml:space="preserve">N00024-25-C-5315</t>
        </is>
      </c>
      <c r="D363" s="0" t="inlineStr">
        <is>
          <t xml:space="preserve">non_sub</t>
        </is>
      </c>
      <c r="E363" s="0" t="inlineStr">
        <is>
          <t xml:space="preserve">fms</t>
        </is>
      </c>
      <c r="F363" s="0" t="inlineStr">
        <is>
          <t xml:space="preserve">EXCLUDE_REVIEW</t>
        </is>
      </c>
      <c r="G363" s="0" t="inlineStr">
        <is>
          <t xml:space="preserve">BC</t>
        </is>
      </c>
      <c r="H363" s="5">
        <v>0</v>
      </c>
      <c r="I363" s="5">
        <v>0</v>
      </c>
      <c r="J363" s="5">
        <v>1</v>
      </c>
      <c r="K363" s="5">
        <v>23.29884</v>
      </c>
      <c r="L363" s="7">
        <v>0.0</v>
      </c>
      <c r="M363" s="7">
        <v>0.0</v>
      </c>
      <c r="N363" s="7">
        <v>1.0</v>
      </c>
      <c r="O363" s="7">
        <v>0.0</v>
      </c>
    </row>
    <row r="364" outlineLevel="1">
      <c r="B364" s="0" t="inlineStr">
        <is>
          <t xml:space="preserve">2023-11-22</t>
        </is>
      </c>
      <c r="C364" s="0" t="inlineStr">
        <is>
          <t xml:space="preserve">-</t>
        </is>
      </c>
      <c r="D364" s="0" t="inlineStr">
        <is>
          <t xml:space="preserve">non_sub</t>
        </is>
      </c>
      <c r="E364" s="0" t="inlineStr">
        <is>
          <t xml:space="preserve">other</t>
        </is>
      </c>
      <c r="F364" s="0" t="inlineStr">
        <is>
          <t xml:space="preserve">EXCLUDE_REVIEW</t>
        </is>
      </c>
      <c r="G364" s="0" t="inlineStr">
        <is>
          <t xml:space="preserve">BC</t>
        </is>
      </c>
      <c r="H364" s="5">
        <v>0</v>
      </c>
      <c r="I364" s="5">
        <v>0</v>
      </c>
      <c r="J364" s="5">
        <v>1</v>
      </c>
      <c r="K364" s="5">
        <v>23.004606</v>
      </c>
      <c r="L364" s="7">
        <v>0.0</v>
      </c>
      <c r="M364" s="7">
        <v>0.0</v>
      </c>
      <c r="N364" s="7">
        <v>1.0</v>
      </c>
      <c r="O364" s="7">
        <v>0.0</v>
      </c>
    </row>
    <row r="365" outlineLevel="1">
      <c r="B365" s="0" t="inlineStr">
        <is>
          <t xml:space="preserve">2026-01-26</t>
        </is>
      </c>
      <c r="C365" s="0" t="inlineStr">
        <is>
          <t xml:space="preserve">N00024-24-C-6240</t>
        </is>
      </c>
      <c r="D365" s="0" t="inlineStr">
        <is>
          <t xml:space="preserve">non_sub</t>
        </is>
      </c>
      <c r="E365" s="0" t="inlineStr">
        <is>
          <t xml:space="preserve">engineering</t>
        </is>
      </c>
      <c r="F365" s="0" t="inlineStr">
        <is>
          <t xml:space="preserve">EXCLUDE_REVIEW</t>
        </is>
      </c>
      <c r="G365" s="0" t="inlineStr">
        <is>
          <t xml:space="preserve">BC</t>
        </is>
      </c>
      <c r="H365" s="5">
        <v>0</v>
      </c>
      <c r="I365" s="5">
        <v>0</v>
      </c>
      <c r="J365" s="5">
        <v>1</v>
      </c>
      <c r="K365" s="5">
        <v>22.984706</v>
      </c>
      <c r="L365" s="7">
        <v>0.25</v>
      </c>
      <c r="M365" s="7">
        <v>0.0</v>
      </c>
      <c r="N365" s="7">
        <v>0.75</v>
      </c>
      <c r="O365" s="7">
        <v>0.0</v>
      </c>
    </row>
    <row r="366" outlineLevel="1">
      <c r="B366" s="0" t="inlineStr">
        <is>
          <t xml:space="preserve">2022-12-02</t>
        </is>
      </c>
      <c r="C366" s="0" t="inlineStr">
        <is>
          <t xml:space="preserve">N00024-23-F-5135</t>
        </is>
      </c>
      <c r="D366" s="0" t="inlineStr">
        <is>
          <t xml:space="preserve">non_sub</t>
        </is>
      </c>
      <c r="E366" s="0" t="inlineStr">
        <is>
          <t xml:space="preserve">fms</t>
        </is>
      </c>
      <c r="F366" s="0" t="inlineStr">
        <is>
          <t xml:space="preserve">EXCLUDE_REVIEW</t>
        </is>
      </c>
      <c r="G366" s="0" t="inlineStr">
        <is>
          <t xml:space="preserve">BC</t>
        </is>
      </c>
      <c r="H366" s="5">
        <v>0</v>
      </c>
      <c r="I366" s="5">
        <v>0</v>
      </c>
      <c r="J366" s="5">
        <v>1</v>
      </c>
      <c r="K366" s="5">
        <v>22.947125</v>
      </c>
      <c r="L366" s="7">
        <v>0.0</v>
      </c>
      <c r="M366" s="7">
        <v>0.0</v>
      </c>
      <c r="N366" s="7">
        <v>1.0</v>
      </c>
      <c r="O366" s="7">
        <v>0.0</v>
      </c>
    </row>
    <row r="367" outlineLevel="1">
      <c r="B367" s="0" t="inlineStr">
        <is>
          <t xml:space="preserve">2025-06-26</t>
        </is>
      </c>
      <c r="C367" s="0" t="inlineStr">
        <is>
          <t xml:space="preserve">N00024-22-C-5231</t>
        </is>
      </c>
      <c r="D367" s="0" t="inlineStr">
        <is>
          <t xml:space="preserve">non_sub</t>
        </is>
      </c>
      <c r="E367" s="0" t="inlineStr">
        <is>
          <t xml:space="preserve">other</t>
        </is>
      </c>
      <c r="F367" s="0" t="inlineStr">
        <is>
          <t xml:space="preserve">EXCLUDE_REVIEW</t>
        </is>
      </c>
      <c r="G367" s="0" t="inlineStr">
        <is>
          <t xml:space="preserve">BC</t>
        </is>
      </c>
      <c r="H367" s="5">
        <v>0</v>
      </c>
      <c r="I367" s="5">
        <v>0</v>
      </c>
      <c r="J367" s="5">
        <v>1</v>
      </c>
      <c r="K367" s="5">
        <v>22.909025</v>
      </c>
      <c r="L367" s="7">
        <v>0.0</v>
      </c>
      <c r="M367" s="7">
        <v>0.0</v>
      </c>
      <c r="N367" s="7">
        <v>1.0</v>
      </c>
      <c r="O367" s="7">
        <v>0.0</v>
      </c>
    </row>
    <row r="368" outlineLevel="1">
      <c r="B368" s="0" t="inlineStr">
        <is>
          <t xml:space="preserve">2026-01-26</t>
        </is>
      </c>
      <c r="C368" s="0" t="inlineStr">
        <is>
          <t xml:space="preserve">-</t>
        </is>
      </c>
      <c r="D368" s="0" t="inlineStr">
        <is>
          <t xml:space="preserve">non_sub</t>
        </is>
      </c>
      <c r="E368" s="0" t="inlineStr">
        <is>
          <t xml:space="preserve">other</t>
        </is>
      </c>
      <c r="F368" s="0" t="inlineStr">
        <is>
          <t xml:space="preserve">EXCLUDE_REVIEW</t>
        </is>
      </c>
      <c r="G368" s="0" t="inlineStr">
        <is>
          <t xml:space="preserve">BC</t>
        </is>
      </c>
      <c r="H368" s="5">
        <v>0</v>
      </c>
      <c r="I368" s="5">
        <v>0</v>
      </c>
      <c r="J368" s="5">
        <v>1</v>
      </c>
      <c r="K368" s="5">
        <v>22.900118</v>
      </c>
      <c r="L368" s="7">
        <v>0.0</v>
      </c>
      <c r="M368" s="7">
        <v>0.0</v>
      </c>
      <c r="N368" s="7">
        <v>1.0</v>
      </c>
      <c r="O368" s="7">
        <v>0.0</v>
      </c>
    </row>
    <row r="369" outlineLevel="1">
      <c r="B369" s="0" t="inlineStr">
        <is>
          <t xml:space="preserve">2025-09-15</t>
        </is>
      </c>
      <c r="C369" s="0" t="inlineStr">
        <is>
          <t xml:space="preserve">N00024-24-C-2124</t>
        </is>
      </c>
      <c r="D369" s="0" t="inlineStr">
        <is>
          <t xml:space="preserve">sub_other</t>
        </is>
      </c>
      <c r="E369" s="0" t="inlineStr">
        <is>
          <t xml:space="preserve">other</t>
        </is>
      </c>
      <c r="F369" s="0" t="inlineStr">
        <is>
          <t xml:space="preserve">EXCLUDE_REVIEW</t>
        </is>
      </c>
      <c r="G369" s="0" t="inlineStr">
        <is>
          <t xml:space="preserve">BC</t>
        </is>
      </c>
      <c r="H369" s="5">
        <v>0</v>
      </c>
      <c r="I369" s="5">
        <v>0</v>
      </c>
      <c r="J369" s="5">
        <v>1</v>
      </c>
      <c r="K369" s="5">
        <v>22.7</v>
      </c>
      <c r="L369" s="7">
        <v>0.0</v>
      </c>
      <c r="M369" s="7">
        <v>0.0</v>
      </c>
      <c r="N369" s="7">
        <v>0.0</v>
      </c>
      <c r="O369" s="7">
        <v>0.0</v>
      </c>
    </row>
    <row r="370" outlineLevel="1">
      <c r="B370" s="0" t="inlineStr">
        <is>
          <t xml:space="preserve">2024-09-27</t>
        </is>
      </c>
      <c r="C370" s="0" t="inlineStr">
        <is>
          <t xml:space="preserve">-</t>
        </is>
      </c>
      <c r="D370" s="0" t="inlineStr">
        <is>
          <t xml:space="preserve">non_sub</t>
        </is>
      </c>
      <c r="E370" s="0" t="inlineStr">
        <is>
          <t xml:space="preserve">other</t>
        </is>
      </c>
      <c r="F370" s="0" t="inlineStr">
        <is>
          <t xml:space="preserve">EXCLUDE_REVIEW</t>
        </is>
      </c>
      <c r="G370" s="0" t="inlineStr">
        <is>
          <t xml:space="preserve">BC</t>
        </is>
      </c>
      <c r="H370" s="5">
        <v>0</v>
      </c>
      <c r="I370" s="5">
        <v>0</v>
      </c>
      <c r="J370" s="5">
        <v>1</v>
      </c>
      <c r="K370" s="5">
        <v>22.612115</v>
      </c>
      <c r="L370" s="7">
        <v>0.0</v>
      </c>
      <c r="M370" s="7">
        <v>0.0</v>
      </c>
      <c r="N370" s="7">
        <v>0.89</v>
      </c>
      <c r="O370" s="7">
        <v>0.0</v>
      </c>
    </row>
    <row r="371" outlineLevel="1">
      <c r="B371" s="0" t="inlineStr">
        <is>
          <t xml:space="preserve">2026-01-08</t>
        </is>
      </c>
      <c r="C371" s="0" t="inlineStr">
        <is>
          <t xml:space="preserve">N00024-24-C-5510</t>
        </is>
      </c>
      <c r="D371" s="0" t="inlineStr">
        <is>
          <t xml:space="preserve">non_sub</t>
        </is>
      </c>
      <c r="E371" s="0" t="inlineStr">
        <is>
          <t xml:space="preserve">lead_yard</t>
        </is>
      </c>
      <c r="F371" s="0" t="inlineStr">
        <is>
          <t xml:space="preserve">EXCLUDE_REVIEW</t>
        </is>
      </c>
      <c r="G371" s="0" t="inlineStr">
        <is>
          <t xml:space="preserve">BC</t>
        </is>
      </c>
      <c r="H371" s="5">
        <v>0</v>
      </c>
      <c r="I371" s="5">
        <v>0</v>
      </c>
      <c r="J371" s="5">
        <v>1</v>
      </c>
      <c r="K371" s="5">
        <v>22.595257</v>
      </c>
      <c r="L371" s="7">
        <v>0.0</v>
      </c>
      <c r="M371" s="7">
        <v>0.0</v>
      </c>
      <c r="N371" s="7">
        <v>0.0</v>
      </c>
      <c r="O371" s="7">
        <v>0.0</v>
      </c>
    </row>
    <row r="372" outlineLevel="1">
      <c r="B372" s="0" t="inlineStr">
        <is>
          <t xml:space="preserve">2023-02-08</t>
        </is>
      </c>
      <c r="C372" s="0" t="inlineStr">
        <is>
          <t xml:space="preserve">-</t>
        </is>
      </c>
      <c r="D372" s="0" t="inlineStr">
        <is>
          <t xml:space="preserve">non_sub</t>
        </is>
      </c>
      <c r="E372" s="0" t="inlineStr">
        <is>
          <t xml:space="preserve">construction</t>
        </is>
      </c>
      <c r="F372" s="0" t="inlineStr">
        <is>
          <t xml:space="preserve">INCLUDE_BC</t>
        </is>
      </c>
      <c r="G372" s="0" t="inlineStr">
        <is>
          <t xml:space="preserve">BC</t>
        </is>
      </c>
      <c r="H372" s="5">
        <v>0</v>
      </c>
      <c r="I372" s="5">
        <v>0</v>
      </c>
      <c r="J372" s="5">
        <v>1</v>
      </c>
      <c r="K372" s="5">
        <v>22.579069</v>
      </c>
      <c r="L372" s="7">
        <v>0.0</v>
      </c>
      <c r="M372" s="7">
        <v>0.0</v>
      </c>
      <c r="N372" s="7">
        <v>1.0</v>
      </c>
      <c r="O372" s="7">
        <v>0.0</v>
      </c>
    </row>
    <row r="373" outlineLevel="1">
      <c r="B373" s="0" t="inlineStr">
        <is>
          <t xml:space="preserve">2025-04-29</t>
        </is>
      </c>
      <c r="C373" s="0" t="inlineStr">
        <is>
          <t xml:space="preserve">-</t>
        </is>
      </c>
      <c r="D373" s="0" t="inlineStr">
        <is>
          <t xml:space="preserve">non_sub</t>
        </is>
      </c>
      <c r="E373" s="0" t="inlineStr">
        <is>
          <t xml:space="preserve">fms</t>
        </is>
      </c>
      <c r="F373" s="0" t="inlineStr">
        <is>
          <t xml:space="preserve">EXCLUDE_REVIEW</t>
        </is>
      </c>
      <c r="G373" s="0" t="inlineStr">
        <is>
          <t xml:space="preserve">BC</t>
        </is>
      </c>
      <c r="H373" s="5">
        <v>0</v>
      </c>
      <c r="I373" s="5">
        <v>0</v>
      </c>
      <c r="J373" s="5">
        <v>1</v>
      </c>
      <c r="K373" s="5">
        <v>22.520919</v>
      </c>
      <c r="L373" s="7">
        <v>0.0</v>
      </c>
      <c r="M373" s="7">
        <v>0.0</v>
      </c>
      <c r="N373" s="7">
        <v>0.0</v>
      </c>
      <c r="O373" s="7">
        <v>0.0</v>
      </c>
    </row>
    <row r="374" outlineLevel="1">
      <c r="B374" s="0" t="inlineStr">
        <is>
          <t xml:space="preserve">2025-11-12</t>
        </is>
      </c>
      <c r="C374" s="0" t="inlineStr">
        <is>
          <t xml:space="preserve">N00024-23-C-5408</t>
        </is>
      </c>
      <c r="D374" s="0" t="inlineStr">
        <is>
          <t xml:space="preserve">non_sub</t>
        </is>
      </c>
      <c r="E374" s="0" t="inlineStr">
        <is>
          <t xml:space="preserve">other</t>
        </is>
      </c>
      <c r="F374" s="0" t="inlineStr">
        <is>
          <t xml:space="preserve">EXCLUDE_REVIEW</t>
        </is>
      </c>
      <c r="G374" s="0" t="inlineStr">
        <is>
          <t xml:space="preserve">BC</t>
        </is>
      </c>
      <c r="H374" s="5">
        <v>0</v>
      </c>
      <c r="I374" s="5">
        <v>0</v>
      </c>
      <c r="J374" s="5">
        <v>1</v>
      </c>
      <c r="K374" s="5">
        <v>22.327419</v>
      </c>
      <c r="L374" s="7">
        <v>0.0</v>
      </c>
      <c r="M374" s="7">
        <v>0.0</v>
      </c>
      <c r="N374" s="7">
        <v>0.88</v>
      </c>
      <c r="O374" s="7">
        <v>0.0</v>
      </c>
    </row>
    <row r="375" outlineLevel="1">
      <c r="B375" s="0" t="inlineStr">
        <is>
          <t xml:space="preserve">2025-03-13</t>
        </is>
      </c>
      <c r="C375" s="0" t="inlineStr">
        <is>
          <t xml:space="preserve">N00024-25-C-2127</t>
        </is>
      </c>
      <c r="D375" s="0" t="inlineStr">
        <is>
          <t xml:space="preserve">non_sub</t>
        </is>
      </c>
      <c r="E375" s="0" t="inlineStr">
        <is>
          <t xml:space="preserve">other</t>
        </is>
      </c>
      <c r="F375" s="0" t="inlineStr">
        <is>
          <t xml:space="preserve">EXCLUDE_REVIEW</t>
        </is>
      </c>
      <c r="G375" s="0" t="inlineStr">
        <is>
          <t xml:space="preserve">BC</t>
        </is>
      </c>
      <c r="H375" s="5">
        <v>0</v>
      </c>
      <c r="I375" s="5">
        <v>0</v>
      </c>
      <c r="J375" s="5">
        <v>1</v>
      </c>
      <c r="K375" s="5">
        <v>22.309732</v>
      </c>
      <c r="L375" s="7">
        <v>0.0</v>
      </c>
      <c r="M375" s="7">
        <v>0.0</v>
      </c>
      <c r="N375" s="7">
        <v>0.0</v>
      </c>
      <c r="O375" s="7">
        <v>0.0</v>
      </c>
    </row>
    <row r="376" outlineLevel="1">
      <c r="B376" s="0" t="inlineStr">
        <is>
          <t xml:space="preserve">2025-05-14</t>
        </is>
      </c>
      <c r="C376" s="0" t="inlineStr">
        <is>
          <t xml:space="preserve">N00024-25-C-5315</t>
        </is>
      </c>
      <c r="D376" s="0" t="inlineStr">
        <is>
          <t xml:space="preserve">non_sub</t>
        </is>
      </c>
      <c r="E376" s="0" t="inlineStr">
        <is>
          <t xml:space="preserve">fms</t>
        </is>
      </c>
      <c r="F376" s="0" t="inlineStr">
        <is>
          <t xml:space="preserve">EXCLUDE_REVIEW</t>
        </is>
      </c>
      <c r="G376" s="0" t="inlineStr">
        <is>
          <t xml:space="preserve">BC</t>
        </is>
      </c>
      <c r="H376" s="5">
        <v>0</v>
      </c>
      <c r="I376" s="5">
        <v>0</v>
      </c>
      <c r="J376" s="5">
        <v>1</v>
      </c>
      <c r="K376" s="5">
        <v>22.22019</v>
      </c>
      <c r="L376" s="7">
        <v>0.0</v>
      </c>
      <c r="M376" s="7">
        <v>0.0</v>
      </c>
      <c r="N376" s="7">
        <v>1.0</v>
      </c>
      <c r="O376" s="7">
        <v>0.0</v>
      </c>
    </row>
    <row r="377" outlineLevel="1">
      <c r="B377" s="0" t="inlineStr">
        <is>
          <t xml:space="preserve">2025-11-21</t>
        </is>
      </c>
      <c r="C377" s="0" t="inlineStr">
        <is>
          <t xml:space="preserve">N00024-25-C-5239</t>
        </is>
      </c>
      <c r="D377" s="0" t="inlineStr">
        <is>
          <t xml:space="preserve">non_sub</t>
        </is>
      </c>
      <c r="E377" s="0" t="inlineStr">
        <is>
          <t xml:space="preserve">lead_yard</t>
        </is>
      </c>
      <c r="F377" s="0" t="inlineStr">
        <is>
          <t xml:space="preserve">EXCLUDE_REVIEW</t>
        </is>
      </c>
      <c r="G377" s="0" t="inlineStr">
        <is>
          <t xml:space="preserve">BC</t>
        </is>
      </c>
      <c r="H377" s="5">
        <v>0</v>
      </c>
      <c r="I377" s="5">
        <v>0</v>
      </c>
      <c r="J377" s="5">
        <v>1</v>
      </c>
      <c r="K377" s="5">
        <v>22.062022</v>
      </c>
      <c r="L377" s="7">
        <v>0.0</v>
      </c>
      <c r="M377" s="7">
        <v>0.0</v>
      </c>
      <c r="N377" s="7">
        <v>1.0</v>
      </c>
      <c r="O377" s="7">
        <v>0.0</v>
      </c>
    </row>
    <row r="378" outlineLevel="1">
      <c r="B378" s="0" t="inlineStr">
        <is>
          <t xml:space="preserve">2025-12-18</t>
        </is>
      </c>
      <c r="C378" s="0" t="inlineStr">
        <is>
          <t xml:space="preserve">N00024-25-C-5239</t>
        </is>
      </c>
      <c r="D378" s="0" t="inlineStr">
        <is>
          <t xml:space="preserve">non_sub</t>
        </is>
      </c>
      <c r="E378" s="0" t="inlineStr">
        <is>
          <t xml:space="preserve">lead_yard</t>
        </is>
      </c>
      <c r="F378" s="0" t="inlineStr">
        <is>
          <t xml:space="preserve">EXCLUDE_REVIEW</t>
        </is>
      </c>
      <c r="G378" s="0" t="inlineStr">
        <is>
          <t xml:space="preserve">BC</t>
        </is>
      </c>
      <c r="H378" s="5">
        <v>0</v>
      </c>
      <c r="I378" s="5">
        <v>0</v>
      </c>
      <c r="J378" s="5">
        <v>1</v>
      </c>
      <c r="K378" s="5">
        <v>22.013911</v>
      </c>
      <c r="L378" s="7">
        <v>0.0</v>
      </c>
      <c r="M378" s="7">
        <v>0.0</v>
      </c>
      <c r="N378" s="7">
        <v>1.0</v>
      </c>
      <c r="O378" s="7">
        <v>0.0</v>
      </c>
    </row>
    <row r="379" outlineLevel="1">
      <c r="B379" s="0" t="inlineStr">
        <is>
          <t xml:space="preserve">2025-12-22</t>
        </is>
      </c>
      <c r="C379" s="0" t="inlineStr">
        <is>
          <t xml:space="preserve">N00024-25-C-5239</t>
        </is>
      </c>
      <c r="D379" s="0" t="inlineStr">
        <is>
          <t xml:space="preserve">non_sub</t>
        </is>
      </c>
      <c r="E379" s="0" t="inlineStr">
        <is>
          <t xml:space="preserve">lead_yard</t>
        </is>
      </c>
      <c r="F379" s="0" t="inlineStr">
        <is>
          <t xml:space="preserve">EXCLUDE_REVIEW</t>
        </is>
      </c>
      <c r="G379" s="0" t="inlineStr">
        <is>
          <t xml:space="preserve">BC</t>
        </is>
      </c>
      <c r="H379" s="5">
        <v>0</v>
      </c>
      <c r="I379" s="5">
        <v>0</v>
      </c>
      <c r="J379" s="5">
        <v>1</v>
      </c>
      <c r="K379" s="5">
        <v>22.013911</v>
      </c>
      <c r="L379" s="7">
        <v>0.0</v>
      </c>
      <c r="M379" s="7">
        <v>0.0</v>
      </c>
      <c r="N379" s="7">
        <v>1.0</v>
      </c>
      <c r="O379" s="7">
        <v>0.0</v>
      </c>
    </row>
    <row r="380" outlineLevel="1">
      <c r="B380" s="0" t="inlineStr">
        <is>
          <t xml:space="preserve">2026-05-08</t>
        </is>
      </c>
      <c r="C380" s="0" t="inlineStr">
        <is>
          <t xml:space="preserve">-</t>
        </is>
      </c>
      <c r="D380" s="0" t="inlineStr">
        <is>
          <t xml:space="preserve">non_sub</t>
        </is>
      </c>
      <c r="E380" s="0" t="inlineStr">
        <is>
          <t xml:space="preserve">other</t>
        </is>
      </c>
      <c r="F380" s="0" t="inlineStr">
        <is>
          <t xml:space="preserve">EXCLUDE_REVIEW</t>
        </is>
      </c>
      <c r="G380" s="0" t="inlineStr">
        <is>
          <t xml:space="preserve">BC</t>
        </is>
      </c>
      <c r="H380" s="5">
        <v>0</v>
      </c>
      <c r="I380" s="5">
        <v>0</v>
      </c>
      <c r="J380" s="5">
        <v>1</v>
      </c>
      <c r="K380" s="5">
        <v>22.0</v>
      </c>
      <c r="L380" s="7">
        <v>0.0</v>
      </c>
      <c r="M380" s="7">
        <v>0.0</v>
      </c>
      <c r="N380" s="7">
        <v>0.0</v>
      </c>
      <c r="O380" s="7">
        <v>0.0</v>
      </c>
    </row>
    <row r="381" outlineLevel="1">
      <c r="B381" s="0" t="inlineStr">
        <is>
          <t xml:space="preserve">2023-10-23</t>
        </is>
      </c>
      <c r="C381" s="0" t="inlineStr">
        <is>
          <t xml:space="preserve">-</t>
        </is>
      </c>
      <c r="D381" s="0" t="inlineStr">
        <is>
          <t xml:space="preserve">non_sub</t>
        </is>
      </c>
      <c r="E381" s="0" t="inlineStr">
        <is>
          <t xml:space="preserve">sustainment_maintenance</t>
        </is>
      </c>
      <c r="F381" s="0" t="inlineStr">
        <is>
          <t xml:space="preserve">EXCLUDE_REVIEW</t>
        </is>
      </c>
      <c r="G381" s="0" t="inlineStr">
        <is>
          <t xml:space="preserve">BC</t>
        </is>
      </c>
      <c r="H381" s="5">
        <v>0</v>
      </c>
      <c r="I381" s="5">
        <v>0</v>
      </c>
      <c r="J381" s="5">
        <v>1</v>
      </c>
      <c r="K381" s="5">
        <v>21.874759</v>
      </c>
      <c r="L381" s="7">
        <v>0.0</v>
      </c>
      <c r="M381" s="7">
        <v>0.0</v>
      </c>
      <c r="N381" s="7">
        <v>0.0</v>
      </c>
      <c r="O381" s="7">
        <v>0.0</v>
      </c>
    </row>
    <row r="382" outlineLevel="1">
      <c r="B382" s="0" t="inlineStr">
        <is>
          <t xml:space="preserve">2025-02-21</t>
        </is>
      </c>
      <c r="C382" s="0" t="inlineStr">
        <is>
          <t xml:space="preserve">N00024-24-C-2331</t>
        </is>
      </c>
      <c r="D382" s="0" t="inlineStr">
        <is>
          <t xml:space="preserve">non_sub</t>
        </is>
      </c>
      <c r="E382" s="0" t="inlineStr">
        <is>
          <t xml:space="preserve">lead_yard</t>
        </is>
      </c>
      <c r="F382" s="0" t="inlineStr">
        <is>
          <t xml:space="preserve">EXCLUDE_REVIEW</t>
        </is>
      </c>
      <c r="G382" s="0" t="inlineStr">
        <is>
          <t xml:space="preserve">BC</t>
        </is>
      </c>
      <c r="H382" s="5">
        <v>0</v>
      </c>
      <c r="I382" s="5">
        <v>0</v>
      </c>
      <c r="J382" s="5">
        <v>1</v>
      </c>
      <c r="K382" s="5">
        <v>21.755079</v>
      </c>
      <c r="L382" s="7">
        <v>0.0</v>
      </c>
      <c r="M382" s="7">
        <v>0.0</v>
      </c>
      <c r="N382" s="7">
        <v>0.99</v>
      </c>
      <c r="O382" s="7">
        <v>0.0</v>
      </c>
    </row>
    <row r="383" outlineLevel="1">
      <c r="B383" s="0" t="inlineStr">
        <is>
          <t xml:space="preserve">2025-04-03</t>
        </is>
      </c>
      <c r="C383" s="0" t="inlineStr">
        <is>
          <t xml:space="preserve">N00024-25-C-4427</t>
        </is>
      </c>
      <c r="D383" s="0" t="inlineStr">
        <is>
          <t xml:space="preserve">non_sub</t>
        </is>
      </c>
      <c r="E383" s="0" t="inlineStr">
        <is>
          <t xml:space="preserve">sustainment_maintenance</t>
        </is>
      </c>
      <c r="F383" s="0" t="inlineStr">
        <is>
          <t xml:space="preserve">EXCLUDE_REVIEW</t>
        </is>
      </c>
      <c r="G383" s="0" t="inlineStr">
        <is>
          <t xml:space="preserve">BC</t>
        </is>
      </c>
      <c r="H383" s="5">
        <v>0</v>
      </c>
      <c r="I383" s="5">
        <v>0</v>
      </c>
      <c r="J383" s="5">
        <v>1</v>
      </c>
      <c r="K383" s="5">
        <v>21.735171</v>
      </c>
      <c r="L383" s="7">
        <v>0.0</v>
      </c>
      <c r="M383" s="7">
        <v>0.0</v>
      </c>
      <c r="N383" s="7">
        <v>0.0</v>
      </c>
      <c r="O383" s="7">
        <v>0.0</v>
      </c>
    </row>
    <row r="384" outlineLevel="1">
      <c r="B384" s="0" t="inlineStr">
        <is>
          <t xml:space="preserve">2025-07-30</t>
        </is>
      </c>
      <c r="C384" s="0" t="inlineStr">
        <is>
          <t xml:space="preserve">N00024-20-C-6117</t>
        </is>
      </c>
      <c r="D384" s="0" t="inlineStr">
        <is>
          <t xml:space="preserve">non_sub</t>
        </is>
      </c>
      <c r="E384" s="0" t="inlineStr">
        <is>
          <t xml:space="preserve">design</t>
        </is>
      </c>
      <c r="F384" s="0" t="inlineStr">
        <is>
          <t xml:space="preserve">EXCLUDE_REVIEW</t>
        </is>
      </c>
      <c r="G384" s="0" t="inlineStr">
        <is>
          <t xml:space="preserve">BC</t>
        </is>
      </c>
      <c r="H384" s="5">
        <v>0</v>
      </c>
      <c r="I384" s="5">
        <v>0</v>
      </c>
      <c r="J384" s="5">
        <v>1</v>
      </c>
      <c r="K384" s="5">
        <v>21.681442</v>
      </c>
      <c r="L384" s="7">
        <v>0.0</v>
      </c>
      <c r="M384" s="7">
        <v>0.0</v>
      </c>
      <c r="N384" s="7">
        <v>1.0</v>
      </c>
      <c r="O384" s="7">
        <v>0.0</v>
      </c>
    </row>
    <row r="385" outlineLevel="1">
      <c r="B385" s="0" t="inlineStr">
        <is>
          <t xml:space="preserve">2026-02-05</t>
        </is>
      </c>
      <c r="C385" s="0" t="inlineStr">
        <is>
          <t xml:space="preserve">N00024-21-C-6425</t>
        </is>
      </c>
      <c r="D385" s="0" t="inlineStr">
        <is>
          <t xml:space="preserve">non_sub</t>
        </is>
      </c>
      <c r="E385" s="0" t="inlineStr">
        <is>
          <t xml:space="preserve">other</t>
        </is>
      </c>
      <c r="F385" s="0" t="inlineStr">
        <is>
          <t xml:space="preserve">EXCLUDE_REVIEW</t>
        </is>
      </c>
      <c r="G385" s="0" t="inlineStr">
        <is>
          <t xml:space="preserve">BC</t>
        </is>
      </c>
      <c r="H385" s="5">
        <v>0</v>
      </c>
      <c r="I385" s="5">
        <v>0</v>
      </c>
      <c r="J385" s="5">
        <v>1</v>
      </c>
      <c r="K385" s="5">
        <v>21.543345</v>
      </c>
      <c r="L385" s="7">
        <v>0.0</v>
      </c>
      <c r="M385" s="7">
        <v>0.0</v>
      </c>
      <c r="N385" s="7">
        <v>0.0</v>
      </c>
      <c r="O385" s="7">
        <v>0.0</v>
      </c>
    </row>
    <row r="386" outlineLevel="1">
      <c r="B386" s="0" t="inlineStr">
        <is>
          <t xml:space="preserve">2024-03-29</t>
        </is>
      </c>
      <c r="C386" s="0" t="inlineStr">
        <is>
          <t xml:space="preserve">N00024-23-F-5100</t>
        </is>
      </c>
      <c r="D386" s="0" t="inlineStr">
        <is>
          <t xml:space="preserve">non_sub</t>
        </is>
      </c>
      <c r="E386" s="0" t="inlineStr">
        <is>
          <t xml:space="preserve">fms</t>
        </is>
      </c>
      <c r="F386" s="0" t="inlineStr">
        <is>
          <t xml:space="preserve">EXCLUDE_REVIEW</t>
        </is>
      </c>
      <c r="G386" s="0" t="inlineStr">
        <is>
          <t xml:space="preserve">BC</t>
        </is>
      </c>
      <c r="H386" s="5">
        <v>0</v>
      </c>
      <c r="I386" s="5">
        <v>0</v>
      </c>
      <c r="J386" s="5">
        <v>1</v>
      </c>
      <c r="K386" s="5">
        <v>21.457275</v>
      </c>
      <c r="L386" s="7">
        <v>0.0</v>
      </c>
      <c r="M386" s="7">
        <v>0.0</v>
      </c>
      <c r="N386" s="7">
        <v>0.0</v>
      </c>
      <c r="O386" s="7">
        <v>0.0</v>
      </c>
    </row>
    <row r="387" outlineLevel="1">
      <c r="B387" s="0" t="inlineStr">
        <is>
          <t xml:space="preserve">2023-09-08</t>
        </is>
      </c>
      <c r="C387" s="0" t="inlineStr">
        <is>
          <t xml:space="preserve">N40085-23-C-0045</t>
        </is>
      </c>
      <c r="D387" s="0" t="inlineStr">
        <is>
          <t xml:space="preserve">va</t>
        </is>
      </c>
      <c r="E387" s="0" t="inlineStr">
        <is>
          <t xml:space="preserve">component_procurement</t>
        </is>
      </c>
      <c r="F387" s="0" t="inlineStr">
        <is>
          <t xml:space="preserve">INCLUDE_BC</t>
        </is>
      </c>
      <c r="G387" s="0" t="inlineStr">
        <is>
          <t xml:space="preserve">BC</t>
        </is>
      </c>
      <c r="H387" s="5">
        <v>1</v>
      </c>
      <c r="I387" s="5">
        <v>0</v>
      </c>
      <c r="J387" s="5">
        <v>1</v>
      </c>
      <c r="K387" s="5">
        <v>21.140532</v>
      </c>
      <c r="L387" s="7">
        <v>0.0</v>
      </c>
      <c r="M387" s="7">
        <v>0.0</v>
      </c>
      <c r="N387" s="7">
        <v>0.0</v>
      </c>
      <c r="O387" s="7">
        <v>0.0</v>
      </c>
    </row>
    <row r="388" outlineLevel="1">
      <c r="B388" s="0" t="inlineStr">
        <is>
          <t xml:space="preserve">2024-09-19</t>
        </is>
      </c>
      <c r="C388" s="0" t="inlineStr">
        <is>
          <t xml:space="preserve">N00030-24-C-6007</t>
        </is>
      </c>
      <c r="D388" s="0" t="inlineStr">
        <is>
          <t xml:space="preserve">non_sub</t>
        </is>
      </c>
      <c r="E388" s="0" t="inlineStr">
        <is>
          <t xml:space="preserve">sustainment_maintenance</t>
        </is>
      </c>
      <c r="F388" s="0" t="inlineStr">
        <is>
          <t xml:space="preserve">EXCLUDE_REVIEW</t>
        </is>
      </c>
      <c r="G388" s="0" t="inlineStr">
        <is>
          <t xml:space="preserve">BC</t>
        </is>
      </c>
      <c r="H388" s="5">
        <v>0</v>
      </c>
      <c r="I388" s="5">
        <v>0</v>
      </c>
      <c r="J388" s="5">
        <v>1</v>
      </c>
      <c r="K388" s="5">
        <v>21.030021</v>
      </c>
      <c r="L388" s="7">
        <v>0.0</v>
      </c>
      <c r="M388" s="7">
        <v>0.0</v>
      </c>
      <c r="N388" s="7">
        <v>0.955</v>
      </c>
      <c r="O388" s="7">
        <v>0.0</v>
      </c>
    </row>
    <row r="389" outlineLevel="1">
      <c r="B389" s="0" t="inlineStr">
        <is>
          <t xml:space="preserve">2025-06-03</t>
        </is>
      </c>
      <c r="C389" s="0" t="inlineStr">
        <is>
          <t xml:space="preserve">N00024-22-C-5231</t>
        </is>
      </c>
      <c r="D389" s="0" t="inlineStr">
        <is>
          <t xml:space="preserve">non_sub</t>
        </is>
      </c>
      <c r="E389" s="0" t="inlineStr">
        <is>
          <t xml:space="preserve">sustainment_maintenance</t>
        </is>
      </c>
      <c r="F389" s="0" t="inlineStr">
        <is>
          <t xml:space="preserve">EXCLUDE_REVIEW</t>
        </is>
      </c>
      <c r="G389" s="0" t="inlineStr">
        <is>
          <t xml:space="preserve">BC</t>
        </is>
      </c>
      <c r="H389" s="5">
        <v>0</v>
      </c>
      <c r="I389" s="5">
        <v>0</v>
      </c>
      <c r="J389" s="5">
        <v>1</v>
      </c>
      <c r="K389" s="5">
        <v>20.945962</v>
      </c>
      <c r="L389" s="7">
        <v>0.0</v>
      </c>
      <c r="M389" s="7">
        <v>0.0</v>
      </c>
      <c r="N389" s="7">
        <v>1.0</v>
      </c>
      <c r="O389" s="7">
        <v>0.0</v>
      </c>
    </row>
    <row r="390" outlineLevel="1">
      <c r="B390" s="0" t="inlineStr">
        <is>
          <t xml:space="preserve">2025-12-17</t>
        </is>
      </c>
      <c r="C390" s="0" t="inlineStr">
        <is>
          <t xml:space="preserve">N00024-20-C-2114</t>
        </is>
      </c>
      <c r="D390" s="0" t="inlineStr">
        <is>
          <t xml:space="preserve">sub_other</t>
        </is>
      </c>
      <c r="E390" s="0" t="inlineStr">
        <is>
          <t xml:space="preserve">lead_yard</t>
        </is>
      </c>
      <c r="F390" s="0" t="inlineStr">
        <is>
          <t xml:space="preserve">EXCLUDE_REVIEW</t>
        </is>
      </c>
      <c r="G390" s="0" t="inlineStr">
        <is>
          <t xml:space="preserve">BC</t>
        </is>
      </c>
      <c r="H390" s="5">
        <v>0</v>
      </c>
      <c r="I390" s="5">
        <v>0</v>
      </c>
      <c r="J390" s="5">
        <v>1</v>
      </c>
      <c r="K390" s="5">
        <v>20.876043</v>
      </c>
      <c r="L390" s="7">
        <v>0.9</v>
      </c>
      <c r="M390" s="7">
        <v>0.0</v>
      </c>
      <c r="N390" s="7">
        <v>0.1</v>
      </c>
      <c r="O390" s="7">
        <v>0.0</v>
      </c>
    </row>
    <row r="391" outlineLevel="1">
      <c r="B391" s="0" t="inlineStr">
        <is>
          <t xml:space="preserve">2024-07-24</t>
        </is>
      </c>
      <c r="C391" s="0" t="inlineStr">
        <is>
          <t xml:space="preserve">N00024-22-C-4204</t>
        </is>
      </c>
      <c r="D391" s="0" t="inlineStr">
        <is>
          <t xml:space="preserve">non_sub</t>
        </is>
      </c>
      <c r="E391" s="0" t="inlineStr">
        <is>
          <t xml:space="preserve">other</t>
        </is>
      </c>
      <c r="F391" s="0" t="inlineStr">
        <is>
          <t xml:space="preserve">EXCLUDE_REVIEW</t>
        </is>
      </c>
      <c r="G391" s="0" t="inlineStr">
        <is>
          <t xml:space="preserve">BC</t>
        </is>
      </c>
      <c r="H391" s="5">
        <v>0</v>
      </c>
      <c r="I391" s="5">
        <v>0</v>
      </c>
      <c r="J391" s="5">
        <v>1</v>
      </c>
      <c r="K391" s="5">
        <v>20.652538</v>
      </c>
      <c r="L391" s="7">
        <v>0.0</v>
      </c>
      <c r="M391" s="7">
        <v>0.0</v>
      </c>
      <c r="N391" s="7">
        <v>1.0</v>
      </c>
      <c r="O391" s="7">
        <v>0.0</v>
      </c>
    </row>
    <row r="392" outlineLevel="1">
      <c r="B392" s="0" t="inlineStr">
        <is>
          <t xml:space="preserve">2024-07-09</t>
        </is>
      </c>
      <c r="C392" s="0" t="inlineStr">
        <is>
          <t xml:space="preserve">N00024-22-C-2505</t>
        </is>
      </c>
      <c r="D392" s="0" t="inlineStr">
        <is>
          <t xml:space="preserve">sub_other</t>
        </is>
      </c>
      <c r="E392" s="0" t="inlineStr">
        <is>
          <t xml:space="preserve">design</t>
        </is>
      </c>
      <c r="F392" s="0" t="inlineStr">
        <is>
          <t xml:space="preserve">EXCLUDE_REVIEW</t>
        </is>
      </c>
      <c r="G392" s="0" t="inlineStr">
        <is>
          <t xml:space="preserve">BC</t>
        </is>
      </c>
      <c r="H392" s="5">
        <v>0</v>
      </c>
      <c r="I392" s="5">
        <v>0</v>
      </c>
      <c r="J392" s="5">
        <v>1</v>
      </c>
      <c r="K392" s="5">
        <v>20.551893</v>
      </c>
      <c r="L392" s="7">
        <v>0.0</v>
      </c>
      <c r="M392" s="7">
        <v>0.0</v>
      </c>
      <c r="N392" s="7">
        <v>0.0</v>
      </c>
      <c r="O392" s="7">
        <v>0.0</v>
      </c>
    </row>
    <row r="393" outlineLevel="1">
      <c r="B393" s="0" t="inlineStr">
        <is>
          <t xml:space="preserve">2026-04-21</t>
        </is>
      </c>
      <c r="C393" s="0" t="inlineStr">
        <is>
          <t xml:space="preserve">-</t>
        </is>
      </c>
      <c r="D393" s="0" t="inlineStr">
        <is>
          <t xml:space="preserve">va</t>
        </is>
      </c>
      <c r="E393" s="0" t="inlineStr">
        <is>
          <t xml:space="preserve">other</t>
        </is>
      </c>
      <c r="F393" s="0" t="inlineStr">
        <is>
          <t xml:space="preserve">EXCLUDE_REVIEW</t>
        </is>
      </c>
      <c r="G393" s="0" t="inlineStr">
        <is>
          <t xml:space="preserve">BC</t>
        </is>
      </c>
      <c r="H393" s="5">
        <v>0</v>
      </c>
      <c r="I393" s="5">
        <v>0</v>
      </c>
      <c r="J393" s="5">
        <v>1</v>
      </c>
      <c r="K393" s="5">
        <v>20.492194</v>
      </c>
      <c r="L393" s="7">
        <v>0.0</v>
      </c>
      <c r="M393" s="7">
        <v>0.0</v>
      </c>
      <c r="N393" s="7">
        <v>1.0</v>
      </c>
      <c r="O393" s="7">
        <v>0.0</v>
      </c>
    </row>
    <row r="394" outlineLevel="1">
      <c r="B394" s="0" t="inlineStr">
        <is>
          <t xml:space="preserve">2025-05-14</t>
        </is>
      </c>
      <c r="C394" s="0" t="inlineStr">
        <is>
          <t xml:space="preserve">N00024-23-C-4103</t>
        </is>
      </c>
      <c r="D394" s="0" t="inlineStr">
        <is>
          <t xml:space="preserve">non_sub</t>
        </is>
      </c>
      <c r="E394" s="0" t="inlineStr">
        <is>
          <t xml:space="preserve">lead_yard</t>
        </is>
      </c>
      <c r="F394" s="0" t="inlineStr">
        <is>
          <t xml:space="preserve">EXCLUDE_REVIEW</t>
        </is>
      </c>
      <c r="G394" s="0" t="inlineStr">
        <is>
          <t xml:space="preserve">BC</t>
        </is>
      </c>
      <c r="H394" s="5">
        <v>0</v>
      </c>
      <c r="I394" s="5">
        <v>0</v>
      </c>
      <c r="J394" s="5">
        <v>1</v>
      </c>
      <c r="K394" s="5">
        <v>20.346231</v>
      </c>
      <c r="L394" s="7">
        <v>0.0</v>
      </c>
      <c r="M394" s="7">
        <v>0.0</v>
      </c>
      <c r="N394" s="7">
        <v>1.0</v>
      </c>
      <c r="O394" s="7">
        <v>0.0</v>
      </c>
    </row>
    <row r="395" outlineLevel="1">
      <c r="B395" s="0" t="inlineStr">
        <is>
          <t xml:space="preserve">2026-04-03</t>
        </is>
      </c>
      <c r="C395" s="0" t="inlineStr">
        <is>
          <t xml:space="preserve">N00024-26-C-6205</t>
        </is>
      </c>
      <c r="D395" s="0" t="inlineStr">
        <is>
          <t xml:space="preserve">sub_other</t>
        </is>
      </c>
      <c r="E395" s="0" t="inlineStr">
        <is>
          <t xml:space="preserve">construction</t>
        </is>
      </c>
      <c r="F395" s="0" t="inlineStr">
        <is>
          <t xml:space="preserve">INCLUDE_BC</t>
        </is>
      </c>
      <c r="G395" s="0" t="inlineStr">
        <is>
          <t xml:space="preserve">BC</t>
        </is>
      </c>
      <c r="H395" s="5">
        <v>0</v>
      </c>
      <c r="I395" s="5">
        <v>0</v>
      </c>
      <c r="J395" s="5">
        <v>1</v>
      </c>
      <c r="K395" s="5">
        <v>20.216616</v>
      </c>
      <c r="L395" s="7">
        <v>0.0</v>
      </c>
      <c r="M395" s="7">
        <v>0.0</v>
      </c>
      <c r="N395" s="7">
        <v>1.0</v>
      </c>
      <c r="O395" s="7">
        <v>0.0</v>
      </c>
    </row>
    <row r="396" outlineLevel="1">
      <c r="B396" s="0" t="inlineStr">
        <is>
          <t xml:space="preserve">2022-12-02</t>
        </is>
      </c>
      <c r="C396" s="0" t="inlineStr">
        <is>
          <t xml:space="preserve">-</t>
        </is>
      </c>
      <c r="D396" s="0" t="inlineStr">
        <is>
          <t xml:space="preserve">bpmi_nuclear</t>
        </is>
      </c>
      <c r="E396" s="0" t="inlineStr">
        <is>
          <t xml:space="preserve">component_procurement</t>
        </is>
      </c>
      <c r="F396" s="0" t="inlineStr">
        <is>
          <t xml:space="preserve">EXCLUDE_GFE_NUCLEAR</t>
        </is>
      </c>
      <c r="G396" s="0" t="inlineStr">
        <is>
          <t xml:space="preserve">BC</t>
        </is>
      </c>
      <c r="H396" s="5">
        <v>1</v>
      </c>
      <c r="I396" s="5">
        <v>1</v>
      </c>
      <c r="J396" s="5">
        <v>1</v>
      </c>
      <c r="K396" s="5">
        <v>20.10911</v>
      </c>
      <c r="L396" s="7">
        <v>0.0</v>
      </c>
      <c r="M396" s="7">
        <v>0.0</v>
      </c>
      <c r="N396" s="7">
        <v>1.0</v>
      </c>
      <c r="O396" s="7">
        <v>0.0</v>
      </c>
    </row>
    <row r="397" outlineLevel="1">
      <c r="B397" s="0" t="inlineStr">
        <is>
          <t xml:space="preserve">2025-08-05</t>
        </is>
      </c>
      <c r="C397" s="0" t="inlineStr">
        <is>
          <t xml:space="preserve">-</t>
        </is>
      </c>
      <c r="D397" s="0" t="inlineStr">
        <is>
          <t xml:space="preserve">non_sub</t>
        </is>
      </c>
      <c r="E397" s="0" t="inlineStr">
        <is>
          <t xml:space="preserve">sustainment_maintenance</t>
        </is>
      </c>
      <c r="F397" s="0" t="inlineStr">
        <is>
          <t xml:space="preserve">EXCLUDE_REVIEW</t>
        </is>
      </c>
      <c r="G397" s="0" t="inlineStr">
        <is>
          <t xml:space="preserve">BC</t>
        </is>
      </c>
      <c r="H397" s="5">
        <v>0</v>
      </c>
      <c r="I397" s="5">
        <v>0</v>
      </c>
      <c r="J397" s="5">
        <v>1</v>
      </c>
      <c r="K397" s="5">
        <v>20.0</v>
      </c>
      <c r="L397" s="7">
        <v>0.0</v>
      </c>
      <c r="M397" s="7">
        <v>0.0</v>
      </c>
      <c r="N397" s="7">
        <v>0.95</v>
      </c>
      <c r="O397" s="7">
        <v>0.0</v>
      </c>
    </row>
    <row r="398" outlineLevel="1">
      <c r="B398" s="0" t="inlineStr">
        <is>
          <t xml:space="preserve">2026-03-27</t>
        </is>
      </c>
      <c r="C398" s="0" t="inlineStr">
        <is>
          <t xml:space="preserve">N00024-25-F-6260</t>
        </is>
      </c>
      <c r="D398" s="0" t="inlineStr">
        <is>
          <t xml:space="preserve">sub_gfe_electronics</t>
        </is>
      </c>
      <c r="E398" s="0" t="inlineStr">
        <is>
          <t xml:space="preserve">component_procurement</t>
        </is>
      </c>
      <c r="F398" s="0" t="inlineStr">
        <is>
          <t xml:space="preserve">EXCLUDE_GFE</t>
        </is>
      </c>
      <c r="G398" s="0" t="inlineStr">
        <is>
          <t xml:space="preserve">BC</t>
        </is>
      </c>
      <c r="H398" s="5">
        <v>1</v>
      </c>
      <c r="I398" s="5">
        <v>1</v>
      </c>
      <c r="J398" s="5">
        <v>1</v>
      </c>
      <c r="K398" s="5">
        <v>20.0</v>
      </c>
      <c r="L398" s="7">
        <v>0.0</v>
      </c>
      <c r="M398" s="7">
        <v>0.0</v>
      </c>
      <c r="N398" s="7">
        <v>0.0</v>
      </c>
      <c r="O398" s="7">
        <v>0.0</v>
      </c>
    </row>
    <row r="399" outlineLevel="1">
      <c r="B399" s="0" t="inlineStr">
        <is>
          <t xml:space="preserve">2025-05-10</t>
        </is>
      </c>
      <c r="C399" s="0" t="inlineStr">
        <is>
          <t xml:space="preserve">N00024-25-G-2306</t>
        </is>
      </c>
      <c r="D399" s="0" t="inlineStr">
        <is>
          <t xml:space="preserve">non_sub</t>
        </is>
      </c>
      <c r="E399" s="0" t="inlineStr">
        <is>
          <t xml:space="preserve">sustainment_maintenance</t>
        </is>
      </c>
      <c r="F399" s="0" t="inlineStr">
        <is>
          <t xml:space="preserve">EXCLUDE_REVIEW</t>
        </is>
      </c>
      <c r="G399" s="0" t="inlineStr">
        <is>
          <t xml:space="preserve">BC</t>
        </is>
      </c>
      <c r="H399" s="5">
        <v>0</v>
      </c>
      <c r="I399" s="5">
        <v>0</v>
      </c>
      <c r="J399" s="5">
        <v>1</v>
      </c>
      <c r="K399" s="5">
        <v>19.999999</v>
      </c>
      <c r="L399" s="7">
        <v>0.0</v>
      </c>
      <c r="M399" s="7">
        <v>0.0</v>
      </c>
      <c r="N399" s="7">
        <v>1.0</v>
      </c>
      <c r="O399" s="7">
        <v>0.0</v>
      </c>
    </row>
    <row r="400" outlineLevel="1">
      <c r="B400" s="0" t="inlineStr">
        <is>
          <t xml:space="preserve">2022-08-18</t>
        </is>
      </c>
      <c r="C400" s="0" t="inlineStr">
        <is>
          <t xml:space="preserve">-</t>
        </is>
      </c>
      <c r="D400" s="0" t="inlineStr">
        <is>
          <t xml:space="preserve">non_sub</t>
        </is>
      </c>
      <c r="E400" s="0" t="inlineStr">
        <is>
          <t xml:space="preserve">lltm_early_mfg</t>
        </is>
      </c>
      <c r="F400" s="0" t="inlineStr">
        <is>
          <t xml:space="preserve">INCLUDE_AP_LLTM</t>
        </is>
      </c>
      <c r="G400" s="0" t="inlineStr">
        <is>
          <t xml:space="preserve">AP_LLTM</t>
        </is>
      </c>
      <c r="H400" s="5">
        <v>0</v>
      </c>
      <c r="I400" s="5">
        <v>0</v>
      </c>
      <c r="J400" s="5">
        <v>1</v>
      </c>
      <c r="K400" s="5">
        <v>19.999814</v>
      </c>
      <c r="L400" s="7">
        <v>0.0</v>
      </c>
      <c r="M400" s="7">
        <v>0.0</v>
      </c>
      <c r="N400" s="7">
        <v>1.0</v>
      </c>
      <c r="O400" s="7">
        <v>0.0</v>
      </c>
    </row>
    <row r="401" outlineLevel="1">
      <c r="B401" s="0" t="inlineStr">
        <is>
          <t xml:space="preserve">2025-12-11</t>
        </is>
      </c>
      <c r="C401" s="0" t="inlineStr">
        <is>
          <t xml:space="preserve">N00024-25-F-5362</t>
        </is>
      </c>
      <c r="D401" s="0" t="inlineStr">
        <is>
          <t xml:space="preserve">non_sub</t>
        </is>
      </c>
      <c r="E401" s="0" t="inlineStr">
        <is>
          <t xml:space="preserve">other</t>
        </is>
      </c>
      <c r="F401" s="0" t="inlineStr">
        <is>
          <t xml:space="preserve">EXCLUDE_REVIEW</t>
        </is>
      </c>
      <c r="G401" s="0" t="inlineStr">
        <is>
          <t xml:space="preserve">BC</t>
        </is>
      </c>
      <c r="H401" s="5">
        <v>0</v>
      </c>
      <c r="I401" s="5">
        <v>0</v>
      </c>
      <c r="J401" s="5">
        <v>1</v>
      </c>
      <c r="K401" s="5">
        <v>19.981684</v>
      </c>
      <c r="L401" s="7">
        <v>0.0</v>
      </c>
      <c r="M401" s="7">
        <v>0.0</v>
      </c>
      <c r="N401" s="7">
        <v>1.0</v>
      </c>
      <c r="O401" s="7">
        <v>0.0</v>
      </c>
    </row>
    <row r="402" outlineLevel="1">
      <c r="B402" s="0" t="inlineStr">
        <is>
          <t xml:space="preserve">2023-05-09</t>
        </is>
      </c>
      <c r="C402" s="0" t="inlineStr">
        <is>
          <t xml:space="preserve">N00024-23-C-2301</t>
        </is>
      </c>
      <c r="D402" s="0" t="inlineStr">
        <is>
          <t xml:space="preserve">non_sub</t>
        </is>
      </c>
      <c r="E402" s="0" t="inlineStr">
        <is>
          <t xml:space="preserve">fms</t>
        </is>
      </c>
      <c r="F402" s="0" t="inlineStr">
        <is>
          <t xml:space="preserve">EXCLUDE_REVIEW</t>
        </is>
      </c>
      <c r="G402" s="0" t="inlineStr">
        <is>
          <t xml:space="preserve">BC</t>
        </is>
      </c>
      <c r="H402" s="5">
        <v>0</v>
      </c>
      <c r="I402" s="5">
        <v>0</v>
      </c>
      <c r="J402" s="5">
        <v>1</v>
      </c>
      <c r="K402" s="5">
        <v>19.626194</v>
      </c>
      <c r="L402" s="7">
        <v>0.0</v>
      </c>
      <c r="M402" s="7">
        <v>0.0</v>
      </c>
      <c r="N402" s="7">
        <v>1.0</v>
      </c>
      <c r="O402" s="7">
        <v>0.0</v>
      </c>
    </row>
    <row r="403" outlineLevel="1">
      <c r="B403" s="0" t="inlineStr">
        <is>
          <t xml:space="preserve">2026-03-11</t>
        </is>
      </c>
      <c r="C403" s="0" t="inlineStr">
        <is>
          <t xml:space="preserve">N00024-24-C-2331</t>
        </is>
      </c>
      <c r="D403" s="0" t="inlineStr">
        <is>
          <t xml:space="preserve">non_sub</t>
        </is>
      </c>
      <c r="E403" s="0" t="inlineStr">
        <is>
          <t xml:space="preserve">lead_yard</t>
        </is>
      </c>
      <c r="F403" s="0" t="inlineStr">
        <is>
          <t xml:space="preserve">EXCLUDE_REVIEW</t>
        </is>
      </c>
      <c r="G403" s="0" t="inlineStr">
        <is>
          <t xml:space="preserve">BC</t>
        </is>
      </c>
      <c r="H403" s="5">
        <v>0</v>
      </c>
      <c r="I403" s="5">
        <v>0</v>
      </c>
      <c r="J403" s="5">
        <v>1</v>
      </c>
      <c r="K403" s="5">
        <v>19.516047</v>
      </c>
      <c r="L403" s="7">
        <v>0.0</v>
      </c>
      <c r="M403" s="7">
        <v>0.0</v>
      </c>
      <c r="N403" s="7">
        <v>0.99</v>
      </c>
      <c r="O403" s="7">
        <v>0.0</v>
      </c>
    </row>
    <row r="404" outlineLevel="1">
      <c r="B404" s="0" t="inlineStr">
        <is>
          <t xml:space="preserve">2026-03-20</t>
        </is>
      </c>
      <c r="C404" s="0" t="inlineStr">
        <is>
          <t xml:space="preserve">N00024-18-C-2406</t>
        </is>
      </c>
      <c r="D404" s="0" t="inlineStr">
        <is>
          <t xml:space="preserve">non_sub</t>
        </is>
      </c>
      <c r="E404" s="0" t="inlineStr">
        <is>
          <t xml:space="preserve">other</t>
        </is>
      </c>
      <c r="F404" s="0" t="inlineStr">
        <is>
          <t xml:space="preserve">EXCLUDE_REVIEW</t>
        </is>
      </c>
      <c r="G404" s="0" t="inlineStr">
        <is>
          <t xml:space="preserve">BC</t>
        </is>
      </c>
      <c r="H404" s="5">
        <v>0</v>
      </c>
      <c r="I404" s="5">
        <v>0</v>
      </c>
      <c r="J404" s="5">
        <v>1</v>
      </c>
      <c r="K404" s="5">
        <v>19.33482</v>
      </c>
      <c r="L404" s="7">
        <v>0.0</v>
      </c>
      <c r="M404" s="7">
        <v>0.0</v>
      </c>
      <c r="N404" s="7">
        <v>0.0</v>
      </c>
      <c r="O404" s="7">
        <v>0.0</v>
      </c>
    </row>
    <row r="405" outlineLevel="1">
      <c r="B405" s="0" t="inlineStr">
        <is>
          <t xml:space="preserve">2026-01-23</t>
        </is>
      </c>
      <c r="C405" s="0" t="inlineStr">
        <is>
          <t xml:space="preserve">N00024-23-C-5401</t>
        </is>
      </c>
      <c r="D405" s="0" t="inlineStr">
        <is>
          <t xml:space="preserve">non_sub</t>
        </is>
      </c>
      <c r="E405" s="0" t="inlineStr">
        <is>
          <t xml:space="preserve">lead_yard</t>
        </is>
      </c>
      <c r="F405" s="0" t="inlineStr">
        <is>
          <t xml:space="preserve">EXCLUDE_REVIEW</t>
        </is>
      </c>
      <c r="G405" s="0" t="inlineStr">
        <is>
          <t xml:space="preserve">BC</t>
        </is>
      </c>
      <c r="H405" s="5">
        <v>0</v>
      </c>
      <c r="I405" s="5">
        <v>0</v>
      </c>
      <c r="J405" s="5">
        <v>1</v>
      </c>
      <c r="K405" s="5">
        <v>19.2996</v>
      </c>
      <c r="L405" s="7">
        <v>0.0</v>
      </c>
      <c r="M405" s="7">
        <v>0.0</v>
      </c>
      <c r="N405" s="7">
        <v>0.0</v>
      </c>
      <c r="O405" s="7">
        <v>0.0</v>
      </c>
    </row>
    <row r="406" outlineLevel="1">
      <c r="B406" s="0" t="inlineStr">
        <is>
          <t xml:space="preserve">2024-02-26</t>
        </is>
      </c>
      <c r="C406" s="0" t="inlineStr">
        <is>
          <t xml:space="preserve">N00024-24-C-6301</t>
        </is>
      </c>
      <c r="D406" s="0" t="inlineStr">
        <is>
          <t xml:space="preserve">non_sub</t>
        </is>
      </c>
      <c r="E406" s="0" t="inlineStr">
        <is>
          <t xml:space="preserve">other</t>
        </is>
      </c>
      <c r="F406" s="0" t="inlineStr">
        <is>
          <t xml:space="preserve">EXCLUDE_REVIEW</t>
        </is>
      </c>
      <c r="G406" s="0" t="inlineStr">
        <is>
          <t xml:space="preserve">BC</t>
        </is>
      </c>
      <c r="H406" s="5">
        <v>0</v>
      </c>
      <c r="I406" s="5">
        <v>0</v>
      </c>
      <c r="J406" s="5">
        <v>1</v>
      </c>
      <c r="K406" s="5">
        <v>19.247894</v>
      </c>
      <c r="L406" s="7">
        <v>0.0</v>
      </c>
      <c r="M406" s="7">
        <v>0.0</v>
      </c>
      <c r="N406" s="7">
        <v>1.0</v>
      </c>
      <c r="O406" s="7">
        <v>0.0</v>
      </c>
    </row>
    <row r="407" outlineLevel="1">
      <c r="B407" s="0" t="inlineStr">
        <is>
          <t xml:space="preserve">2024-06-28</t>
        </is>
      </c>
      <c r="C407" s="0" t="inlineStr">
        <is>
          <t xml:space="preserve">-</t>
        </is>
      </c>
      <c r="D407" s="0" t="inlineStr">
        <is>
          <t xml:space="preserve">non_sub</t>
        </is>
      </c>
      <c r="E407" s="0" t="inlineStr">
        <is>
          <t xml:space="preserve">construction</t>
        </is>
      </c>
      <c r="F407" s="0" t="inlineStr">
        <is>
          <t xml:space="preserve">INCLUDE_BC</t>
        </is>
      </c>
      <c r="G407" s="0" t="inlineStr">
        <is>
          <t xml:space="preserve">BC</t>
        </is>
      </c>
      <c r="H407" s="5">
        <v>0</v>
      </c>
      <c r="I407" s="5">
        <v>0</v>
      </c>
      <c r="J407" s="5">
        <v>1</v>
      </c>
      <c r="K407" s="5">
        <v>19.216091</v>
      </c>
      <c r="L407" s="7">
        <v>0.0</v>
      </c>
      <c r="M407" s="7">
        <v>0.0</v>
      </c>
      <c r="N407" s="7">
        <v>0.0</v>
      </c>
      <c r="O407" s="7">
        <v>0.0</v>
      </c>
    </row>
    <row r="408" outlineLevel="1">
      <c r="B408" s="0" t="inlineStr">
        <is>
          <t xml:space="preserve">2023-05-31</t>
        </is>
      </c>
      <c r="C408" s="0" t="inlineStr">
        <is>
          <t xml:space="preserve">-</t>
        </is>
      </c>
      <c r="D408" s="0" t="inlineStr">
        <is>
          <t xml:space="preserve">non_sub</t>
        </is>
      </c>
      <c r="E408" s="0" t="inlineStr">
        <is>
          <t xml:space="preserve">fms</t>
        </is>
      </c>
      <c r="F408" s="0" t="inlineStr">
        <is>
          <t xml:space="preserve">EXCLUDE_REVIEW</t>
        </is>
      </c>
      <c r="G408" s="0" t="inlineStr">
        <is>
          <t xml:space="preserve">BC</t>
        </is>
      </c>
      <c r="H408" s="5">
        <v>0</v>
      </c>
      <c r="I408" s="5">
        <v>0</v>
      </c>
      <c r="J408" s="5">
        <v>1</v>
      </c>
      <c r="K408" s="5">
        <v>19.186754</v>
      </c>
      <c r="L408" s="7">
        <v>0.0</v>
      </c>
      <c r="M408" s="7">
        <v>0.0</v>
      </c>
      <c r="N408" s="7">
        <v>1.0</v>
      </c>
      <c r="O408" s="7">
        <v>0.0</v>
      </c>
    </row>
    <row r="409" outlineLevel="1">
      <c r="B409" s="0" t="inlineStr">
        <is>
          <t xml:space="preserve">2024-06-28</t>
        </is>
      </c>
      <c r="C409" s="0" t="inlineStr">
        <is>
          <t xml:space="preserve">-</t>
        </is>
      </c>
      <c r="D409" s="0" t="inlineStr">
        <is>
          <t xml:space="preserve">sub_other</t>
        </is>
      </c>
      <c r="E409" s="0" t="inlineStr">
        <is>
          <t xml:space="preserve">other</t>
        </is>
      </c>
      <c r="F409" s="0" t="inlineStr">
        <is>
          <t xml:space="preserve">EXCLUDE_REVIEW</t>
        </is>
      </c>
      <c r="G409" s="0" t="inlineStr">
        <is>
          <t xml:space="preserve">BC</t>
        </is>
      </c>
      <c r="H409" s="5">
        <v>0</v>
      </c>
      <c r="I409" s="5">
        <v>0</v>
      </c>
      <c r="J409" s="5">
        <v>1</v>
      </c>
      <c r="K409" s="5">
        <v>19.153912</v>
      </c>
      <c r="L409" s="7">
        <v>0.0</v>
      </c>
      <c r="M409" s="7">
        <v>0.0</v>
      </c>
      <c r="N409" s="7">
        <v>0.0</v>
      </c>
      <c r="O409" s="7">
        <v>0.0</v>
      </c>
    </row>
    <row r="410" outlineLevel="1">
      <c r="B410" s="0" t="inlineStr">
        <is>
          <t xml:space="preserve">2022-07-25</t>
        </is>
      </c>
      <c r="C410" s="0" t="inlineStr">
        <is>
          <t xml:space="preserve">-</t>
        </is>
      </c>
      <c r="D410" s="0" t="inlineStr">
        <is>
          <t xml:space="preserve">sub_other</t>
        </is>
      </c>
      <c r="E410" s="0" t="inlineStr">
        <is>
          <t xml:space="preserve">engineering</t>
        </is>
      </c>
      <c r="F410" s="0" t="inlineStr">
        <is>
          <t xml:space="preserve">EXCLUDE_REVIEW</t>
        </is>
      </c>
      <c r="G410" s="0" t="inlineStr">
        <is>
          <t xml:space="preserve">BC</t>
        </is>
      </c>
      <c r="H410" s="5">
        <v>0</v>
      </c>
      <c r="I410" s="5">
        <v>0</v>
      </c>
      <c r="J410" s="5">
        <v>1</v>
      </c>
      <c r="K410" s="5">
        <v>19.110275</v>
      </c>
      <c r="L410" s="7">
        <v>0.0</v>
      </c>
      <c r="M410" s="7">
        <v>0.0</v>
      </c>
      <c r="N410" s="7">
        <v>1.0</v>
      </c>
      <c r="O410" s="7">
        <v>0.0</v>
      </c>
    </row>
    <row r="411" outlineLevel="1">
      <c r="B411" s="0" t="inlineStr">
        <is>
          <t xml:space="preserve">2026-01-30</t>
        </is>
      </c>
      <c r="C411" s="0" t="inlineStr">
        <is>
          <t xml:space="preserve">N00024-23-C-6106</t>
        </is>
      </c>
      <c r="D411" s="0" t="inlineStr">
        <is>
          <t xml:space="preserve">non_sub</t>
        </is>
      </c>
      <c r="E411" s="0" t="inlineStr">
        <is>
          <t xml:space="preserve">sustainment_maintenance</t>
        </is>
      </c>
      <c r="F411" s="0" t="inlineStr">
        <is>
          <t xml:space="preserve">EXCLUDE_REVIEW</t>
        </is>
      </c>
      <c r="G411" s="0" t="inlineStr">
        <is>
          <t xml:space="preserve">BC</t>
        </is>
      </c>
      <c r="H411" s="5">
        <v>0</v>
      </c>
      <c r="I411" s="5">
        <v>0</v>
      </c>
      <c r="J411" s="5">
        <v>1</v>
      </c>
      <c r="K411" s="5">
        <v>19.079792</v>
      </c>
      <c r="L411" s="7">
        <v>0.0</v>
      </c>
      <c r="M411" s="7">
        <v>0.0</v>
      </c>
      <c r="N411" s="7">
        <v>0.0</v>
      </c>
      <c r="O411" s="7">
        <v>0.0</v>
      </c>
    </row>
    <row r="412" outlineLevel="1">
      <c r="B412" s="0" t="inlineStr">
        <is>
          <t xml:space="preserve">2023-02-13</t>
        </is>
      </c>
      <c r="C412" s="0" t="inlineStr">
        <is>
          <t xml:space="preserve">-</t>
        </is>
      </c>
      <c r="D412" s="0" t="inlineStr">
        <is>
          <t xml:space="preserve">sub_other</t>
        </is>
      </c>
      <c r="E412" s="0" t="inlineStr">
        <is>
          <t xml:space="preserve">other</t>
        </is>
      </c>
      <c r="F412" s="0" t="inlineStr">
        <is>
          <t xml:space="preserve">EXCLUDE_REVIEW</t>
        </is>
      </c>
      <c r="G412" s="0" t="inlineStr">
        <is>
          <t xml:space="preserve">BC</t>
        </is>
      </c>
      <c r="H412" s="5">
        <v>0</v>
      </c>
      <c r="I412" s="5">
        <v>0</v>
      </c>
      <c r="J412" s="5">
        <v>1</v>
      </c>
      <c r="K412" s="5">
        <v>19.0</v>
      </c>
      <c r="L412" s="7">
        <v>0.0</v>
      </c>
      <c r="M412" s="7">
        <v>0.0</v>
      </c>
      <c r="N412" s="7">
        <v>0.0</v>
      </c>
      <c r="O412" s="7">
        <v>0.0</v>
      </c>
    </row>
    <row r="413" outlineLevel="1">
      <c r="B413" s="0" t="inlineStr">
        <is>
          <t xml:space="preserve">2025-06-27</t>
        </is>
      </c>
      <c r="C413" s="0" t="inlineStr">
        <is>
          <t xml:space="preserve">N00024-24-C-6230</t>
        </is>
      </c>
      <c r="D413" s="0" t="inlineStr">
        <is>
          <t xml:space="preserve">sub_other</t>
        </is>
      </c>
      <c r="E413" s="0" t="inlineStr">
        <is>
          <t xml:space="preserve">engineering</t>
        </is>
      </c>
      <c r="F413" s="0" t="inlineStr">
        <is>
          <t xml:space="preserve">EXCLUDE_REVIEW</t>
        </is>
      </c>
      <c r="G413" s="0" t="inlineStr">
        <is>
          <t xml:space="preserve">BC</t>
        </is>
      </c>
      <c r="H413" s="5">
        <v>0</v>
      </c>
      <c r="I413" s="5">
        <v>0</v>
      </c>
      <c r="J413" s="5">
        <v>1</v>
      </c>
      <c r="K413" s="5">
        <v>18.831073</v>
      </c>
      <c r="L413" s="7">
        <v>0.0</v>
      </c>
      <c r="M413" s="7">
        <v>0.0</v>
      </c>
      <c r="N413" s="7">
        <v>1.0</v>
      </c>
      <c r="O413" s="7">
        <v>0.0</v>
      </c>
    </row>
    <row r="414" outlineLevel="1">
      <c r="B414" s="0" t="inlineStr">
        <is>
          <t xml:space="preserve">2026-04-03</t>
        </is>
      </c>
      <c r="C414" s="0" t="inlineStr">
        <is>
          <t xml:space="preserve">N00024-26-F-5387</t>
        </is>
      </c>
      <c r="D414" s="0" t="inlineStr">
        <is>
          <t xml:space="preserve">non_sub</t>
        </is>
      </c>
      <c r="E414" s="0" t="inlineStr">
        <is>
          <t xml:space="preserve">fms</t>
        </is>
      </c>
      <c r="F414" s="0" t="inlineStr">
        <is>
          <t xml:space="preserve">EXCLUDE_REVIEW</t>
        </is>
      </c>
      <c r="G414" s="0" t="inlineStr">
        <is>
          <t xml:space="preserve">BC</t>
        </is>
      </c>
      <c r="H414" s="5">
        <v>0</v>
      </c>
      <c r="I414" s="5">
        <v>0</v>
      </c>
      <c r="J414" s="5">
        <v>1</v>
      </c>
      <c r="K414" s="5">
        <v>18.801948</v>
      </c>
      <c r="L414" s="7">
        <v>0.0</v>
      </c>
      <c r="M414" s="7">
        <v>0.0</v>
      </c>
      <c r="N414" s="7">
        <v>0.0</v>
      </c>
      <c r="O414" s="7">
        <v>0.0</v>
      </c>
    </row>
    <row r="415" outlineLevel="1">
      <c r="B415" s="0" t="inlineStr">
        <is>
          <t xml:space="preserve">2025-02-14</t>
        </is>
      </c>
      <c r="C415" s="0" t="inlineStr">
        <is>
          <t xml:space="preserve">-</t>
        </is>
      </c>
      <c r="D415" s="0" t="inlineStr">
        <is>
          <t xml:space="preserve">non_sub</t>
        </is>
      </c>
      <c r="E415" s="0" t="inlineStr">
        <is>
          <t xml:space="preserve">sustainment_maintenance</t>
        </is>
      </c>
      <c r="F415" s="0" t="inlineStr">
        <is>
          <t xml:space="preserve">EXCLUDE_REVIEW</t>
        </is>
      </c>
      <c r="G415" s="0" t="inlineStr">
        <is>
          <t xml:space="preserve">BC</t>
        </is>
      </c>
      <c r="H415" s="5">
        <v>0</v>
      </c>
      <c r="I415" s="5">
        <v>0</v>
      </c>
      <c r="J415" s="5">
        <v>1</v>
      </c>
      <c r="K415" s="5">
        <v>18.793145</v>
      </c>
      <c r="L415" s="7">
        <v>0.0</v>
      </c>
      <c r="M415" s="7">
        <v>0.0</v>
      </c>
      <c r="N415" s="7">
        <v>0.0</v>
      </c>
      <c r="O415" s="7">
        <v>0.0</v>
      </c>
    </row>
    <row r="416" outlineLevel="1">
      <c r="B416" s="0" t="inlineStr">
        <is>
          <t xml:space="preserve">2025-06-17</t>
        </is>
      </c>
      <c r="C416" s="0" t="inlineStr">
        <is>
          <t xml:space="preserve">-</t>
        </is>
      </c>
      <c r="D416" s="0" t="inlineStr">
        <is>
          <t xml:space="preserve">non_sub</t>
        </is>
      </c>
      <c r="E416" s="0" t="inlineStr">
        <is>
          <t xml:space="preserve">other</t>
        </is>
      </c>
      <c r="F416" s="0" t="inlineStr">
        <is>
          <t xml:space="preserve">EXCLUDE_REVIEW</t>
        </is>
      </c>
      <c r="G416" s="0" t="inlineStr">
        <is>
          <t xml:space="preserve">BC</t>
        </is>
      </c>
      <c r="H416" s="5">
        <v>0</v>
      </c>
      <c r="I416" s="5">
        <v>0</v>
      </c>
      <c r="J416" s="5">
        <v>1</v>
      </c>
      <c r="K416" s="5">
        <v>18.792464</v>
      </c>
      <c r="L416" s="7">
        <v>0.0</v>
      </c>
      <c r="M416" s="7">
        <v>0.0</v>
      </c>
      <c r="N416" s="7">
        <v>0.0</v>
      </c>
      <c r="O416" s="7">
        <v>0.0</v>
      </c>
    </row>
    <row r="417" outlineLevel="1">
      <c r="B417" s="0" t="inlineStr">
        <is>
          <t xml:space="preserve">2025-08-04</t>
        </is>
      </c>
      <c r="C417" s="0" t="inlineStr">
        <is>
          <t xml:space="preserve">N00024-21-C-5127</t>
        </is>
      </c>
      <c r="D417" s="0" t="inlineStr">
        <is>
          <t xml:space="preserve">non_sub</t>
        </is>
      </c>
      <c r="E417" s="0" t="inlineStr">
        <is>
          <t xml:space="preserve">fms</t>
        </is>
      </c>
      <c r="F417" s="0" t="inlineStr">
        <is>
          <t xml:space="preserve">EXCLUDE_REVIEW</t>
        </is>
      </c>
      <c r="G417" s="0" t="inlineStr">
        <is>
          <t xml:space="preserve">BC</t>
        </is>
      </c>
      <c r="H417" s="5">
        <v>0</v>
      </c>
      <c r="I417" s="5">
        <v>0</v>
      </c>
      <c r="J417" s="5">
        <v>1</v>
      </c>
      <c r="K417" s="5">
        <v>18.753155</v>
      </c>
      <c r="L417" s="7">
        <v>0.0</v>
      </c>
      <c r="M417" s="7">
        <v>0.0</v>
      </c>
      <c r="N417" s="7">
        <v>0.0</v>
      </c>
      <c r="O417" s="7">
        <v>0.0</v>
      </c>
    </row>
    <row r="418" outlineLevel="1">
      <c r="B418" s="0" t="inlineStr">
        <is>
          <t xml:space="preserve">2025-02-13</t>
        </is>
      </c>
      <c r="C418" s="0" t="inlineStr">
        <is>
          <t xml:space="preserve">N00024-23-C-5401</t>
        </is>
      </c>
      <c r="D418" s="0" t="inlineStr">
        <is>
          <t xml:space="preserve">non_sub</t>
        </is>
      </c>
      <c r="E418" s="0" t="inlineStr">
        <is>
          <t xml:space="preserve">lead_yard</t>
        </is>
      </c>
      <c r="F418" s="0" t="inlineStr">
        <is>
          <t xml:space="preserve">EXCLUDE_REVIEW</t>
        </is>
      </c>
      <c r="G418" s="0" t="inlineStr">
        <is>
          <t xml:space="preserve">BC</t>
        </is>
      </c>
      <c r="H418" s="5">
        <v>0</v>
      </c>
      <c r="I418" s="5">
        <v>0</v>
      </c>
      <c r="J418" s="5">
        <v>1</v>
      </c>
      <c r="K418" s="5">
        <v>18.73235</v>
      </c>
      <c r="L418" s="7">
        <v>0.0</v>
      </c>
      <c r="M418" s="7">
        <v>0.0</v>
      </c>
      <c r="N418" s="7">
        <v>0.0</v>
      </c>
      <c r="O418" s="7">
        <v>0.0</v>
      </c>
    </row>
    <row r="419" outlineLevel="1">
      <c r="B419" s="0" t="inlineStr">
        <is>
          <t xml:space="preserve">2026-05-15</t>
        </is>
      </c>
      <c r="C419" s="0" t="inlineStr">
        <is>
          <t xml:space="preserve">N00024-23-C-4103</t>
        </is>
      </c>
      <c r="D419" s="0" t="inlineStr">
        <is>
          <t xml:space="preserve">non_sub</t>
        </is>
      </c>
      <c r="E419" s="0" t="inlineStr">
        <is>
          <t xml:space="preserve">lead_yard</t>
        </is>
      </c>
      <c r="F419" s="0" t="inlineStr">
        <is>
          <t xml:space="preserve">EXCLUDE_REVIEW</t>
        </is>
      </c>
      <c r="G419" s="0" t="inlineStr">
        <is>
          <t xml:space="preserve">BC</t>
        </is>
      </c>
      <c r="H419" s="5">
        <v>0</v>
      </c>
      <c r="I419" s="5">
        <v>0</v>
      </c>
      <c r="J419" s="5">
        <v>1</v>
      </c>
      <c r="K419" s="5">
        <v>18.61428</v>
      </c>
      <c r="L419" s="7">
        <v>0.0</v>
      </c>
      <c r="M419" s="7">
        <v>0.0</v>
      </c>
      <c r="N419" s="7">
        <v>1.0</v>
      </c>
      <c r="O419" s="7">
        <v>0.0</v>
      </c>
    </row>
    <row r="420" outlineLevel="1">
      <c r="B420" s="0" t="inlineStr">
        <is>
          <t xml:space="preserve">2026-02-26</t>
        </is>
      </c>
      <c r="C420" s="0" t="inlineStr">
        <is>
          <t xml:space="preserve">N00024-25-C-2405</t>
        </is>
      </c>
      <c r="D420" s="0" t="inlineStr">
        <is>
          <t xml:space="preserve">non_sub</t>
        </is>
      </c>
      <c r="E420" s="0" t="inlineStr">
        <is>
          <t xml:space="preserve">other</t>
        </is>
      </c>
      <c r="F420" s="0" t="inlineStr">
        <is>
          <t xml:space="preserve">EXCLUDE_REVIEW</t>
        </is>
      </c>
      <c r="G420" s="0" t="inlineStr">
        <is>
          <t xml:space="preserve">BC</t>
        </is>
      </c>
      <c r="H420" s="5">
        <v>0</v>
      </c>
      <c r="I420" s="5">
        <v>0</v>
      </c>
      <c r="J420" s="5">
        <v>1</v>
      </c>
      <c r="K420" s="5">
        <v>18.606058</v>
      </c>
      <c r="L420" s="7">
        <v>0.0</v>
      </c>
      <c r="M420" s="7">
        <v>0.0</v>
      </c>
      <c r="N420" s="7">
        <v>0.0</v>
      </c>
      <c r="O420" s="7">
        <v>0.0</v>
      </c>
    </row>
    <row r="421" outlineLevel="1">
      <c r="B421" s="0" t="inlineStr">
        <is>
          <t xml:space="preserve">2025-08-08</t>
        </is>
      </c>
      <c r="C421" s="0" t="inlineStr">
        <is>
          <t xml:space="preserve">N00024-23-C-5101</t>
        </is>
      </c>
      <c r="D421" s="0" t="inlineStr">
        <is>
          <t xml:space="preserve">non_sub</t>
        </is>
      </c>
      <c r="E421" s="0" t="inlineStr">
        <is>
          <t xml:space="preserve">fms</t>
        </is>
      </c>
      <c r="F421" s="0" t="inlineStr">
        <is>
          <t xml:space="preserve">EXCLUDE_REVIEW</t>
        </is>
      </c>
      <c r="G421" s="0" t="inlineStr">
        <is>
          <t xml:space="preserve">BC</t>
        </is>
      </c>
      <c r="H421" s="5">
        <v>0</v>
      </c>
      <c r="I421" s="5">
        <v>0</v>
      </c>
      <c r="J421" s="5">
        <v>1</v>
      </c>
      <c r="K421" s="5">
        <v>18.601447</v>
      </c>
      <c r="L421" s="7">
        <v>0.0</v>
      </c>
      <c r="M421" s="7">
        <v>0.0</v>
      </c>
      <c r="N421" s="7">
        <v>0.0</v>
      </c>
      <c r="O421" s="7">
        <v>0.0</v>
      </c>
    </row>
    <row r="422" outlineLevel="1">
      <c r="B422" s="0" t="inlineStr">
        <is>
          <t xml:space="preserve">2025-08-08</t>
        </is>
      </c>
      <c r="C422" s="0" t="inlineStr">
        <is>
          <t xml:space="preserve">N00024-22-C-5520</t>
        </is>
      </c>
      <c r="D422" s="0" t="inlineStr">
        <is>
          <t xml:space="preserve">non_sub</t>
        </is>
      </c>
      <c r="E422" s="0" t="inlineStr">
        <is>
          <t xml:space="preserve">lead_yard</t>
        </is>
      </c>
      <c r="F422" s="0" t="inlineStr">
        <is>
          <t xml:space="preserve">EXCLUDE_REVIEW</t>
        </is>
      </c>
      <c r="G422" s="0" t="inlineStr">
        <is>
          <t xml:space="preserve">BC</t>
        </is>
      </c>
      <c r="H422" s="5">
        <v>0</v>
      </c>
      <c r="I422" s="5">
        <v>0</v>
      </c>
      <c r="J422" s="5">
        <v>1</v>
      </c>
      <c r="K422" s="5">
        <v>18.537253</v>
      </c>
      <c r="L422" s="7">
        <v>0.0</v>
      </c>
      <c r="M422" s="7">
        <v>0.0</v>
      </c>
      <c r="N422" s="7">
        <v>0.96</v>
      </c>
      <c r="O422" s="7">
        <v>0.0</v>
      </c>
    </row>
    <row r="423" outlineLevel="1">
      <c r="B423" s="0" t="inlineStr">
        <is>
          <t xml:space="preserve">2025-03-14</t>
        </is>
      </c>
      <c r="C423" s="0" t="inlineStr">
        <is>
          <t xml:space="preserve">N00024-21-C-5434</t>
        </is>
      </c>
      <c r="D423" s="0" t="inlineStr">
        <is>
          <t xml:space="preserve">non_sub</t>
        </is>
      </c>
      <c r="E423" s="0" t="inlineStr">
        <is>
          <t xml:space="preserve">engineering</t>
        </is>
      </c>
      <c r="F423" s="0" t="inlineStr">
        <is>
          <t xml:space="preserve">EXCLUDE_REVIEW</t>
        </is>
      </c>
      <c r="G423" s="0" t="inlineStr">
        <is>
          <t xml:space="preserve">BC</t>
        </is>
      </c>
      <c r="H423" s="5">
        <v>0</v>
      </c>
      <c r="I423" s="5">
        <v>0</v>
      </c>
      <c r="J423" s="5">
        <v>1</v>
      </c>
      <c r="K423" s="5">
        <v>18.468273</v>
      </c>
      <c r="L423" s="7">
        <v>0.0</v>
      </c>
      <c r="M423" s="7">
        <v>0.0</v>
      </c>
      <c r="N423" s="7">
        <v>0.99</v>
      </c>
      <c r="O423" s="7">
        <v>0.0</v>
      </c>
    </row>
    <row r="424" outlineLevel="1">
      <c r="B424" s="0" t="inlineStr">
        <is>
          <t xml:space="preserve">2025-04-28</t>
        </is>
      </c>
      <c r="C424" s="0" t="inlineStr">
        <is>
          <t xml:space="preserve">N00024-21-C-5393</t>
        </is>
      </c>
      <c r="D424" s="0" t="inlineStr">
        <is>
          <t xml:space="preserve">non_sub</t>
        </is>
      </c>
      <c r="E424" s="0" t="inlineStr">
        <is>
          <t xml:space="preserve">lead_yard</t>
        </is>
      </c>
      <c r="F424" s="0" t="inlineStr">
        <is>
          <t xml:space="preserve">EXCLUDE_REVIEW</t>
        </is>
      </c>
      <c r="G424" s="0" t="inlineStr">
        <is>
          <t xml:space="preserve">BC</t>
        </is>
      </c>
      <c r="H424" s="5">
        <v>0</v>
      </c>
      <c r="I424" s="5">
        <v>0</v>
      </c>
      <c r="J424" s="5">
        <v>1</v>
      </c>
      <c r="K424" s="5">
        <v>18.419651</v>
      </c>
      <c r="L424" s="7">
        <v>0.0</v>
      </c>
      <c r="M424" s="7">
        <v>0.0</v>
      </c>
      <c r="N424" s="7">
        <v>0.64</v>
      </c>
      <c r="O424" s="7">
        <v>0.0</v>
      </c>
    </row>
    <row r="425" outlineLevel="1">
      <c r="B425" s="0" t="inlineStr">
        <is>
          <t xml:space="preserve">2026-04-24</t>
        </is>
      </c>
      <c r="C425" s="0" t="inlineStr">
        <is>
          <t xml:space="preserve">N00024-21-C-4109</t>
        </is>
      </c>
      <c r="D425" s="0" t="inlineStr">
        <is>
          <t xml:space="preserve">non_sub</t>
        </is>
      </c>
      <c r="E425" s="0" t="inlineStr">
        <is>
          <t xml:space="preserve">other</t>
        </is>
      </c>
      <c r="F425" s="0" t="inlineStr">
        <is>
          <t xml:space="preserve">EXCLUDE_REVIEW</t>
        </is>
      </c>
      <c r="G425" s="0" t="inlineStr">
        <is>
          <t xml:space="preserve">BC</t>
        </is>
      </c>
      <c r="H425" s="5">
        <v>0</v>
      </c>
      <c r="I425" s="5">
        <v>0</v>
      </c>
      <c r="J425" s="5">
        <v>1</v>
      </c>
      <c r="K425" s="5">
        <v>18.291139</v>
      </c>
      <c r="L425" s="7">
        <v>0.0</v>
      </c>
      <c r="M425" s="7">
        <v>0.0</v>
      </c>
      <c r="N425" s="7">
        <v>1.0</v>
      </c>
      <c r="O425" s="7">
        <v>0.0</v>
      </c>
    </row>
    <row r="426" outlineLevel="1">
      <c r="B426" s="0" t="inlineStr">
        <is>
          <t xml:space="preserve">2025-06-12</t>
        </is>
      </c>
      <c r="C426" s="0" t="inlineStr">
        <is>
          <t xml:space="preserve">N00024-25-C-5409</t>
        </is>
      </c>
      <c r="D426" s="0" t="inlineStr">
        <is>
          <t xml:space="preserve">non_sub</t>
        </is>
      </c>
      <c r="E426" s="0" t="inlineStr">
        <is>
          <t xml:space="preserve">other</t>
        </is>
      </c>
      <c r="F426" s="0" t="inlineStr">
        <is>
          <t xml:space="preserve">EXCLUDE_REVIEW</t>
        </is>
      </c>
      <c r="G426" s="0" t="inlineStr">
        <is>
          <t xml:space="preserve">BC</t>
        </is>
      </c>
      <c r="H426" s="5">
        <v>0</v>
      </c>
      <c r="I426" s="5">
        <v>0</v>
      </c>
      <c r="J426" s="5">
        <v>1</v>
      </c>
      <c r="K426" s="5">
        <v>18.249602</v>
      </c>
      <c r="L426" s="7">
        <v>0.0</v>
      </c>
      <c r="M426" s="7">
        <v>0.0</v>
      </c>
      <c r="N426" s="7">
        <v>0.86</v>
      </c>
      <c r="O426" s="7">
        <v>0.0</v>
      </c>
    </row>
    <row r="427" outlineLevel="1">
      <c r="B427" s="0" t="inlineStr">
        <is>
          <t xml:space="preserve">2025-08-28</t>
        </is>
      </c>
      <c r="C427" s="0" t="inlineStr">
        <is>
          <t xml:space="preserve">N00024-25-C-6208</t>
        </is>
      </c>
      <c r="D427" s="0" t="inlineStr">
        <is>
          <t xml:space="preserve">non_sub</t>
        </is>
      </c>
      <c r="E427" s="0" t="inlineStr">
        <is>
          <t xml:space="preserve">fms</t>
        </is>
      </c>
      <c r="F427" s="0" t="inlineStr">
        <is>
          <t xml:space="preserve">EXCLUDE_REVIEW</t>
        </is>
      </c>
      <c r="G427" s="0" t="inlineStr">
        <is>
          <t xml:space="preserve">BC</t>
        </is>
      </c>
      <c r="H427" s="5">
        <v>0</v>
      </c>
      <c r="I427" s="5">
        <v>0</v>
      </c>
      <c r="J427" s="5">
        <v>1</v>
      </c>
      <c r="K427" s="5">
        <v>18.249387</v>
      </c>
      <c r="L427" s="7">
        <v>0.0</v>
      </c>
      <c r="M427" s="7">
        <v>0.0</v>
      </c>
      <c r="N427" s="7">
        <v>1.0</v>
      </c>
      <c r="O427" s="7">
        <v>0.0</v>
      </c>
    </row>
    <row r="428" outlineLevel="1">
      <c r="B428" s="0" t="inlineStr">
        <is>
          <t xml:space="preserve">2022-10-14</t>
        </is>
      </c>
      <c r="C428" s="0" t="inlineStr">
        <is>
          <t xml:space="preserve">-</t>
        </is>
      </c>
      <c r="D428" s="0" t="inlineStr">
        <is>
          <t xml:space="preserve">non_sub</t>
        </is>
      </c>
      <c r="E428" s="0" t="inlineStr">
        <is>
          <t xml:space="preserve">engineering</t>
        </is>
      </c>
      <c r="F428" s="0" t="inlineStr">
        <is>
          <t xml:space="preserve">EXCLUDE_REVIEW</t>
        </is>
      </c>
      <c r="G428" s="0" t="inlineStr">
        <is>
          <t xml:space="preserve">BC</t>
        </is>
      </c>
      <c r="H428" s="5">
        <v>0</v>
      </c>
      <c r="I428" s="5">
        <v>0</v>
      </c>
      <c r="J428" s="5">
        <v>1</v>
      </c>
      <c r="K428" s="5">
        <v>18.106451</v>
      </c>
      <c r="L428" s="7">
        <v>0.66</v>
      </c>
      <c r="M428" s="7">
        <v>0.0</v>
      </c>
      <c r="N428" s="7">
        <v>0.34</v>
      </c>
      <c r="O428" s="7">
        <v>0.0</v>
      </c>
    </row>
    <row r="429" outlineLevel="1">
      <c r="B429" s="0" t="inlineStr">
        <is>
          <t xml:space="preserve">2024-09-27</t>
        </is>
      </c>
      <c r="C429" s="0" t="inlineStr">
        <is>
          <t xml:space="preserve">N00024-24-C-2222</t>
        </is>
      </c>
      <c r="D429" s="0" t="inlineStr">
        <is>
          <t xml:space="preserve">non_sub</t>
        </is>
      </c>
      <c r="E429" s="0" t="inlineStr">
        <is>
          <t xml:space="preserve">other</t>
        </is>
      </c>
      <c r="F429" s="0" t="inlineStr">
        <is>
          <t xml:space="preserve">EXCLUDE_REVIEW</t>
        </is>
      </c>
      <c r="G429" s="0" t="inlineStr">
        <is>
          <t xml:space="preserve">BC</t>
        </is>
      </c>
      <c r="H429" s="5">
        <v>0</v>
      </c>
      <c r="I429" s="5">
        <v>0</v>
      </c>
      <c r="J429" s="5">
        <v>1</v>
      </c>
      <c r="K429" s="5">
        <v>17.86272</v>
      </c>
      <c r="L429" s="7">
        <v>0.0</v>
      </c>
      <c r="M429" s="7">
        <v>0.0</v>
      </c>
      <c r="N429" s="7">
        <v>1.0</v>
      </c>
      <c r="O429" s="7">
        <v>0.0</v>
      </c>
    </row>
    <row r="430" outlineLevel="1">
      <c r="B430" s="0" t="inlineStr">
        <is>
          <t xml:space="preserve">2024-05-20</t>
        </is>
      </c>
      <c r="C430" s="0" t="inlineStr">
        <is>
          <t xml:space="preserve">N00024-20-C-4315</t>
        </is>
      </c>
      <c r="D430" s="0" t="inlineStr">
        <is>
          <t xml:space="preserve">sub_other</t>
        </is>
      </c>
      <c r="E430" s="0" t="inlineStr">
        <is>
          <t xml:space="preserve">other</t>
        </is>
      </c>
      <c r="F430" s="0" t="inlineStr">
        <is>
          <t xml:space="preserve">EXCLUDE_REVIEW</t>
        </is>
      </c>
      <c r="G430" s="0" t="inlineStr">
        <is>
          <t xml:space="preserve">BC</t>
        </is>
      </c>
      <c r="H430" s="5">
        <v>0</v>
      </c>
      <c r="I430" s="5">
        <v>0</v>
      </c>
      <c r="J430" s="5">
        <v>1</v>
      </c>
      <c r="K430" s="5">
        <v>17.775259</v>
      </c>
      <c r="L430" s="7">
        <v>0.0</v>
      </c>
      <c r="M430" s="7">
        <v>0.0</v>
      </c>
      <c r="N430" s="7">
        <v>0.0</v>
      </c>
      <c r="O430" s="7">
        <v>0.0</v>
      </c>
    </row>
    <row r="431" outlineLevel="1">
      <c r="B431" s="0" t="inlineStr">
        <is>
          <t xml:space="preserve">2023-07-19</t>
        </is>
      </c>
      <c r="C431" s="0" t="inlineStr">
        <is>
          <t xml:space="preserve">-</t>
        </is>
      </c>
      <c r="D431" s="0" t="inlineStr">
        <is>
          <t xml:space="preserve">non_sub</t>
        </is>
      </c>
      <c r="E431" s="0" t="inlineStr">
        <is>
          <t xml:space="preserve">other</t>
        </is>
      </c>
      <c r="F431" s="0" t="inlineStr">
        <is>
          <t xml:space="preserve">EXCLUDE_REVIEW</t>
        </is>
      </c>
      <c r="G431" s="0" t="inlineStr">
        <is>
          <t xml:space="preserve">BC</t>
        </is>
      </c>
      <c r="H431" s="5">
        <v>0</v>
      </c>
      <c r="I431" s="5">
        <v>0</v>
      </c>
      <c r="J431" s="5">
        <v>1</v>
      </c>
      <c r="K431" s="5">
        <v>17.773292</v>
      </c>
      <c r="L431" s="7">
        <v>0.0</v>
      </c>
      <c r="M431" s="7">
        <v>0.0</v>
      </c>
      <c r="N431" s="7">
        <v>1.0</v>
      </c>
      <c r="O431" s="7">
        <v>0.0</v>
      </c>
    </row>
    <row r="432" outlineLevel="1">
      <c r="B432" s="0" t="inlineStr">
        <is>
          <t xml:space="preserve">2025-03-07</t>
        </is>
      </c>
      <c r="C432" s="0" t="inlineStr">
        <is>
          <t xml:space="preserve">N00024-23-F-6313</t>
        </is>
      </c>
      <c r="D432" s="0" t="inlineStr">
        <is>
          <t xml:space="preserve">non_sub</t>
        </is>
      </c>
      <c r="E432" s="0" t="inlineStr">
        <is>
          <t xml:space="preserve">sustainment_maintenance</t>
        </is>
      </c>
      <c r="F432" s="0" t="inlineStr">
        <is>
          <t xml:space="preserve">EXCLUDE_REVIEW</t>
        </is>
      </c>
      <c r="G432" s="0" t="inlineStr">
        <is>
          <t xml:space="preserve">BC</t>
        </is>
      </c>
      <c r="H432" s="5">
        <v>0</v>
      </c>
      <c r="I432" s="5">
        <v>0</v>
      </c>
      <c r="J432" s="5">
        <v>1</v>
      </c>
      <c r="K432" s="5">
        <v>17.548483</v>
      </c>
      <c r="L432" s="7">
        <v>0.0</v>
      </c>
      <c r="M432" s="7">
        <v>0.04</v>
      </c>
      <c r="N432" s="7">
        <v>0.96</v>
      </c>
      <c r="O432" s="7">
        <v>0.0</v>
      </c>
    </row>
    <row r="433" outlineLevel="1">
      <c r="B433" s="0" t="inlineStr">
        <is>
          <t xml:space="preserve">2026-05-22</t>
        </is>
      </c>
      <c r="C433" s="0" t="inlineStr">
        <is>
          <t xml:space="preserve">N00024-26-C-4405</t>
        </is>
      </c>
      <c r="D433" s="0" t="inlineStr">
        <is>
          <t xml:space="preserve">non_sub</t>
        </is>
      </c>
      <c r="E433" s="0" t="inlineStr">
        <is>
          <t xml:space="preserve">sustainment_maintenance</t>
        </is>
      </c>
      <c r="F433" s="0" t="inlineStr">
        <is>
          <t xml:space="preserve">EXCLUDE_REVIEW</t>
        </is>
      </c>
      <c r="G433" s="0" t="inlineStr">
        <is>
          <t xml:space="preserve">BC</t>
        </is>
      </c>
      <c r="H433" s="5">
        <v>0</v>
      </c>
      <c r="I433" s="5">
        <v>0</v>
      </c>
      <c r="J433" s="5">
        <v>1</v>
      </c>
      <c r="K433" s="5">
        <v>17.450962</v>
      </c>
      <c r="L433" s="7">
        <v>0.0</v>
      </c>
      <c r="M433" s="7">
        <v>0.0</v>
      </c>
      <c r="N433" s="7">
        <v>0.0</v>
      </c>
      <c r="O433" s="7">
        <v>0.0</v>
      </c>
    </row>
    <row r="434" outlineLevel="1">
      <c r="B434" s="0" t="inlineStr">
        <is>
          <t xml:space="preserve">2022-07-28</t>
        </is>
      </c>
      <c r="C434" s="0" t="inlineStr">
        <is>
          <t xml:space="preserve">N00024-22-F-6210</t>
        </is>
      </c>
      <c r="D434" s="0" t="inlineStr">
        <is>
          <t xml:space="preserve">sub_other</t>
        </is>
      </c>
      <c r="E434" s="0" t="inlineStr">
        <is>
          <t xml:space="preserve">sustainment_maintenance</t>
        </is>
      </c>
      <c r="F434" s="0" t="inlineStr">
        <is>
          <t xml:space="preserve">EXCLUDE_REVIEW</t>
        </is>
      </c>
      <c r="G434" s="0" t="inlineStr">
        <is>
          <t xml:space="preserve">BC</t>
        </is>
      </c>
      <c r="H434" s="5">
        <v>0</v>
      </c>
      <c r="I434" s="5">
        <v>0</v>
      </c>
      <c r="J434" s="5">
        <v>1</v>
      </c>
      <c r="K434" s="5">
        <v>17.356948</v>
      </c>
      <c r="L434" s="7">
        <v>0.0</v>
      </c>
      <c r="M434" s="7">
        <v>0.0</v>
      </c>
      <c r="N434" s="7">
        <v>0.0</v>
      </c>
      <c r="O434" s="7">
        <v>0.0</v>
      </c>
    </row>
    <row r="435" outlineLevel="1">
      <c r="B435" s="0" t="inlineStr">
        <is>
          <t xml:space="preserve">2022-08-31</t>
        </is>
      </c>
      <c r="C435" s="0" t="inlineStr">
        <is>
          <t xml:space="preserve">N00024-22-D-2287</t>
        </is>
      </c>
      <c r="D435" s="0" t="inlineStr">
        <is>
          <t xml:space="preserve">non_sub</t>
        </is>
      </c>
      <c r="E435" s="0" t="inlineStr">
        <is>
          <t xml:space="preserve">other</t>
        </is>
      </c>
      <c r="F435" s="0" t="inlineStr">
        <is>
          <t xml:space="preserve">EXCLUDE_REVIEW</t>
        </is>
      </c>
      <c r="G435" s="0" t="inlineStr">
        <is>
          <t xml:space="preserve">BC</t>
        </is>
      </c>
      <c r="H435" s="5">
        <v>0</v>
      </c>
      <c r="I435" s="5">
        <v>0</v>
      </c>
      <c r="J435" s="5">
        <v>1</v>
      </c>
      <c r="K435" s="5">
        <v>17.346989</v>
      </c>
      <c r="L435" s="7">
        <v>0.0</v>
      </c>
      <c r="M435" s="7">
        <v>0.0</v>
      </c>
      <c r="N435" s="7">
        <v>0.0</v>
      </c>
      <c r="O435" s="7">
        <v>0.0</v>
      </c>
    </row>
    <row r="436" outlineLevel="1">
      <c r="B436" s="0" t="inlineStr">
        <is>
          <t xml:space="preserve">2022-09-06</t>
        </is>
      </c>
      <c r="C436" s="0" t="inlineStr">
        <is>
          <t xml:space="preserve">-</t>
        </is>
      </c>
      <c r="D436" s="0" t="inlineStr">
        <is>
          <t xml:space="preserve">non_sub</t>
        </is>
      </c>
      <c r="E436" s="0" t="inlineStr">
        <is>
          <t xml:space="preserve">other</t>
        </is>
      </c>
      <c r="F436" s="0" t="inlineStr">
        <is>
          <t xml:space="preserve">EXCLUDE_REVIEW</t>
        </is>
      </c>
      <c r="G436" s="0" t="inlineStr">
        <is>
          <t xml:space="preserve">BC</t>
        </is>
      </c>
      <c r="H436" s="5">
        <v>0</v>
      </c>
      <c r="I436" s="5">
        <v>0</v>
      </c>
      <c r="J436" s="5">
        <v>1</v>
      </c>
      <c r="K436" s="5">
        <v>17.29744</v>
      </c>
      <c r="L436" s="7">
        <v>0.0</v>
      </c>
      <c r="M436" s="7">
        <v>0.0</v>
      </c>
      <c r="N436" s="7">
        <v>0.0</v>
      </c>
      <c r="O436" s="7">
        <v>0.0</v>
      </c>
    </row>
    <row r="437" outlineLevel="1">
      <c r="B437" s="0" t="inlineStr">
        <is>
          <t xml:space="preserve">2026-03-31</t>
        </is>
      </c>
      <c r="C437" s="0" t="inlineStr">
        <is>
          <t xml:space="preserve">N00024-26-C-2443</t>
        </is>
      </c>
      <c r="D437" s="0" t="inlineStr">
        <is>
          <t xml:space="preserve">non_sub</t>
        </is>
      </c>
      <c r="E437" s="0" t="inlineStr">
        <is>
          <t xml:space="preserve">sustainment_maintenance</t>
        </is>
      </c>
      <c r="F437" s="0" t="inlineStr">
        <is>
          <t xml:space="preserve">EXCLUDE_REVIEW</t>
        </is>
      </c>
      <c r="G437" s="0" t="inlineStr">
        <is>
          <t xml:space="preserve">BC</t>
        </is>
      </c>
      <c r="H437" s="5">
        <v>0</v>
      </c>
      <c r="I437" s="5">
        <v>0</v>
      </c>
      <c r="J437" s="5">
        <v>1</v>
      </c>
      <c r="K437" s="5">
        <v>17.244674</v>
      </c>
      <c r="L437" s="7">
        <v>0.0</v>
      </c>
      <c r="M437" s="7">
        <v>0.0</v>
      </c>
      <c r="N437" s="7">
        <v>0.0</v>
      </c>
      <c r="O437" s="7">
        <v>0.0</v>
      </c>
    </row>
    <row r="438" outlineLevel="1">
      <c r="B438" s="0" t="inlineStr">
        <is>
          <t xml:space="preserve">2022-08-18</t>
        </is>
      </c>
      <c r="C438" s="0" t="inlineStr">
        <is>
          <t xml:space="preserve">-</t>
        </is>
      </c>
      <c r="D438" s="0" t="inlineStr">
        <is>
          <t xml:space="preserve">non_sub</t>
        </is>
      </c>
      <c r="E438" s="0" t="inlineStr">
        <is>
          <t xml:space="preserve">sustainment_maintenance</t>
        </is>
      </c>
      <c r="F438" s="0" t="inlineStr">
        <is>
          <t xml:space="preserve">EXCLUDE_REVIEW</t>
        </is>
      </c>
      <c r="G438" s="0" t="inlineStr">
        <is>
          <t xml:space="preserve">BC</t>
        </is>
      </c>
      <c r="H438" s="5">
        <v>0</v>
      </c>
      <c r="I438" s="5">
        <v>0</v>
      </c>
      <c r="J438" s="5">
        <v>1</v>
      </c>
      <c r="K438" s="5">
        <v>17.153775</v>
      </c>
      <c r="L438" s="7">
        <v>0.0</v>
      </c>
      <c r="M438" s="7">
        <v>0.0</v>
      </c>
      <c r="N438" s="7">
        <v>0.0</v>
      </c>
      <c r="O438" s="7">
        <v>0.0</v>
      </c>
    </row>
    <row r="439" outlineLevel="1">
      <c r="B439" s="0" t="inlineStr">
        <is>
          <t xml:space="preserve">2024-03-08</t>
        </is>
      </c>
      <c r="C439" s="0" t="inlineStr">
        <is>
          <t xml:space="preserve">N00024-23-F-6313</t>
        </is>
      </c>
      <c r="D439" s="0" t="inlineStr">
        <is>
          <t xml:space="preserve">non_sub</t>
        </is>
      </c>
      <c r="E439" s="0" t="inlineStr">
        <is>
          <t xml:space="preserve">sustainment_maintenance</t>
        </is>
      </c>
      <c r="F439" s="0" t="inlineStr">
        <is>
          <t xml:space="preserve">EXCLUDE_REVIEW</t>
        </is>
      </c>
      <c r="G439" s="0" t="inlineStr">
        <is>
          <t xml:space="preserve">BC</t>
        </is>
      </c>
      <c r="H439" s="5">
        <v>0</v>
      </c>
      <c r="I439" s="5">
        <v>0</v>
      </c>
      <c r="J439" s="5">
        <v>1</v>
      </c>
      <c r="K439" s="5">
        <v>17.105151</v>
      </c>
      <c r="L439" s="7">
        <v>0.0</v>
      </c>
      <c r="M439" s="7">
        <v>0.04</v>
      </c>
      <c r="N439" s="7">
        <v>0.96</v>
      </c>
      <c r="O439" s="7">
        <v>0.0</v>
      </c>
    </row>
    <row r="440" outlineLevel="1">
      <c r="B440" s="0" t="inlineStr">
        <is>
          <t xml:space="preserve">2022-10-27</t>
        </is>
      </c>
      <c r="C440" s="0" t="inlineStr">
        <is>
          <t xml:space="preserve">-</t>
        </is>
      </c>
      <c r="D440" s="0" t="inlineStr">
        <is>
          <t xml:space="preserve">sub_other</t>
        </is>
      </c>
      <c r="E440" s="0" t="inlineStr">
        <is>
          <t xml:space="preserve">construction</t>
        </is>
      </c>
      <c r="F440" s="0" t="inlineStr">
        <is>
          <t xml:space="preserve">INCLUDE_BC</t>
        </is>
      </c>
      <c r="G440" s="0" t="inlineStr">
        <is>
          <t xml:space="preserve">BC</t>
        </is>
      </c>
      <c r="H440" s="5">
        <v>0</v>
      </c>
      <c r="I440" s="5">
        <v>0</v>
      </c>
      <c r="J440" s="5">
        <v>1</v>
      </c>
      <c r="K440" s="5">
        <v>16.960148</v>
      </c>
      <c r="L440" s="7">
        <v>0.0</v>
      </c>
      <c r="M440" s="7">
        <v>0.0</v>
      </c>
      <c r="N440" s="7">
        <v>0.0</v>
      </c>
      <c r="O440" s="7">
        <v>0.0</v>
      </c>
    </row>
    <row r="441" outlineLevel="1">
      <c r="B441" s="0" t="inlineStr">
        <is>
          <t xml:space="preserve">2026-03-19</t>
        </is>
      </c>
      <c r="C441" s="0" t="inlineStr">
        <is>
          <t xml:space="preserve">N00024-23-C-5123</t>
        </is>
      </c>
      <c r="D441" s="0" t="inlineStr">
        <is>
          <t xml:space="preserve">non_sub</t>
        </is>
      </c>
      <c r="E441" s="0" t="inlineStr">
        <is>
          <t xml:space="preserve">other</t>
        </is>
      </c>
      <c r="F441" s="0" t="inlineStr">
        <is>
          <t xml:space="preserve">EXCLUDE_REVIEW</t>
        </is>
      </c>
      <c r="G441" s="0" t="inlineStr">
        <is>
          <t xml:space="preserve">BC</t>
        </is>
      </c>
      <c r="H441" s="5">
        <v>0</v>
      </c>
      <c r="I441" s="5">
        <v>0</v>
      </c>
      <c r="J441" s="5">
        <v>1</v>
      </c>
      <c r="K441" s="5">
        <v>16.921471</v>
      </c>
      <c r="L441" s="7">
        <v>0.0</v>
      </c>
      <c r="M441" s="7">
        <v>0.0</v>
      </c>
      <c r="N441" s="7">
        <v>0.0</v>
      </c>
      <c r="O441" s="7">
        <v>0.0</v>
      </c>
    </row>
    <row r="442" outlineLevel="1">
      <c r="B442" s="0" t="inlineStr">
        <is>
          <t xml:space="preserve">2026-01-08</t>
        </is>
      </c>
      <c r="C442" s="0" t="inlineStr">
        <is>
          <t xml:space="preserve">N00024-23-C-5408</t>
        </is>
      </c>
      <c r="D442" s="0" t="inlineStr">
        <is>
          <t xml:space="preserve">non_sub</t>
        </is>
      </c>
      <c r="E442" s="0" t="inlineStr">
        <is>
          <t xml:space="preserve">other</t>
        </is>
      </c>
      <c r="F442" s="0" t="inlineStr">
        <is>
          <t xml:space="preserve">EXCLUDE_REVIEW</t>
        </is>
      </c>
      <c r="G442" s="0" t="inlineStr">
        <is>
          <t xml:space="preserve">BC</t>
        </is>
      </c>
      <c r="H442" s="5">
        <v>0</v>
      </c>
      <c r="I442" s="5">
        <v>0</v>
      </c>
      <c r="J442" s="5">
        <v>1</v>
      </c>
      <c r="K442" s="5">
        <v>16.9</v>
      </c>
      <c r="L442" s="7">
        <v>0.0</v>
      </c>
      <c r="M442" s="7">
        <v>0.0</v>
      </c>
      <c r="N442" s="7">
        <v>0.94</v>
      </c>
      <c r="O442" s="7">
        <v>0.0</v>
      </c>
    </row>
    <row r="443" outlineLevel="1">
      <c r="B443" s="0" t="inlineStr">
        <is>
          <t xml:space="preserve">2023-06-16</t>
        </is>
      </c>
      <c r="C443" s="0" t="inlineStr">
        <is>
          <t xml:space="preserve">N00024-23-C-4103</t>
        </is>
      </c>
      <c r="D443" s="0" t="inlineStr">
        <is>
          <t xml:space="preserve">non_sub</t>
        </is>
      </c>
      <c r="E443" s="0" t="inlineStr">
        <is>
          <t xml:space="preserve">construction</t>
        </is>
      </c>
      <c r="F443" s="0" t="inlineStr">
        <is>
          <t xml:space="preserve">INCLUDE_BC</t>
        </is>
      </c>
      <c r="G443" s="0" t="inlineStr">
        <is>
          <t xml:space="preserve">BC</t>
        </is>
      </c>
      <c r="H443" s="5">
        <v>0</v>
      </c>
      <c r="I443" s="5">
        <v>0</v>
      </c>
      <c r="J443" s="5">
        <v>1</v>
      </c>
      <c r="K443" s="5">
        <v>16.848306</v>
      </c>
      <c r="L443" s="7">
        <v>0.0</v>
      </c>
      <c r="M443" s="7">
        <v>0.0</v>
      </c>
      <c r="N443" s="7">
        <v>0.86</v>
      </c>
      <c r="O443" s="7">
        <v>0.0</v>
      </c>
    </row>
    <row r="444" outlineLevel="1">
      <c r="B444" s="0" t="inlineStr">
        <is>
          <t xml:space="preserve">2025-08-22</t>
        </is>
      </c>
      <c r="C444" s="0" t="inlineStr">
        <is>
          <t xml:space="preserve">N55236-25-F-9982</t>
        </is>
      </c>
      <c r="D444" s="0" t="inlineStr">
        <is>
          <t xml:space="preserve">non_sub</t>
        </is>
      </c>
      <c r="E444" s="0" t="inlineStr">
        <is>
          <t xml:space="preserve">repair_overhaul</t>
        </is>
      </c>
      <c r="F444" s="0" t="inlineStr">
        <is>
          <t xml:space="preserve">EXCLUDE_REVIEW</t>
        </is>
      </c>
      <c r="G444" s="0" t="inlineStr">
        <is>
          <t xml:space="preserve">BC</t>
        </is>
      </c>
      <c r="H444" s="5">
        <v>0</v>
      </c>
      <c r="I444" s="5">
        <v>0</v>
      </c>
      <c r="J444" s="5">
        <v>1</v>
      </c>
      <c r="K444" s="5">
        <v>16.813248</v>
      </c>
      <c r="L444" s="7">
        <v>0.0</v>
      </c>
      <c r="M444" s="7">
        <v>0.0</v>
      </c>
      <c r="N444" s="7">
        <v>1.0</v>
      </c>
      <c r="O444" s="7">
        <v>0.0</v>
      </c>
    </row>
    <row r="445" outlineLevel="1">
      <c r="B445" s="0" t="inlineStr">
        <is>
          <t xml:space="preserve">2023-01-31</t>
        </is>
      </c>
      <c r="C445" s="0" t="inlineStr">
        <is>
          <t xml:space="preserve">-</t>
        </is>
      </c>
      <c r="D445" s="0" t="inlineStr">
        <is>
          <t xml:space="preserve">sub_other</t>
        </is>
      </c>
      <c r="E445" s="0" t="inlineStr">
        <is>
          <t xml:space="preserve">engineering</t>
        </is>
      </c>
      <c r="F445" s="0" t="inlineStr">
        <is>
          <t xml:space="preserve">EXCLUDE_REVIEW</t>
        </is>
      </c>
      <c r="G445" s="0" t="inlineStr">
        <is>
          <t xml:space="preserve">BC</t>
        </is>
      </c>
      <c r="H445" s="5">
        <v>0</v>
      </c>
      <c r="I445" s="5">
        <v>0</v>
      </c>
      <c r="J445" s="5">
        <v>1</v>
      </c>
      <c r="K445" s="5">
        <v>16.439703</v>
      </c>
      <c r="L445" s="7">
        <v>0.25</v>
      </c>
      <c r="M445" s="7">
        <v>0.0</v>
      </c>
      <c r="N445" s="7">
        <v>0.75</v>
      </c>
      <c r="O445" s="7">
        <v>0.0</v>
      </c>
    </row>
    <row r="446" outlineLevel="1">
      <c r="B446" s="0" t="inlineStr">
        <is>
          <t xml:space="preserve">2024-08-30</t>
        </is>
      </c>
      <c r="C446" s="0" t="inlineStr">
        <is>
          <t xml:space="preserve">-</t>
        </is>
      </c>
      <c r="D446" s="0" t="inlineStr">
        <is>
          <t xml:space="preserve">va</t>
        </is>
      </c>
      <c r="E446" s="0" t="inlineStr">
        <is>
          <t xml:space="preserve">other</t>
        </is>
      </c>
      <c r="F446" s="0" t="inlineStr">
        <is>
          <t xml:space="preserve">EXCLUDE_REVIEW</t>
        </is>
      </c>
      <c r="G446" s="0" t="inlineStr">
        <is>
          <t xml:space="preserve">BC</t>
        </is>
      </c>
      <c r="H446" s="5">
        <v>0</v>
      </c>
      <c r="I446" s="5">
        <v>0</v>
      </c>
      <c r="J446" s="5">
        <v>1</v>
      </c>
      <c r="K446" s="5">
        <v>16.38703</v>
      </c>
      <c r="L446" s="7">
        <v>0.0</v>
      </c>
      <c r="M446" s="7">
        <v>0.0</v>
      </c>
      <c r="N446" s="7">
        <v>0.0</v>
      </c>
      <c r="O446" s="7">
        <v>0.0</v>
      </c>
    </row>
    <row r="447" outlineLevel="1">
      <c r="B447" s="0" t="inlineStr">
        <is>
          <t xml:space="preserve">2023-03-31</t>
        </is>
      </c>
      <c r="C447" s="0" t="inlineStr">
        <is>
          <t xml:space="preserve">N00024-23-F-4125</t>
        </is>
      </c>
      <c r="D447" s="0" t="inlineStr">
        <is>
          <t xml:space="preserve">non_sub</t>
        </is>
      </c>
      <c r="E447" s="0" t="inlineStr">
        <is>
          <t xml:space="preserve">other</t>
        </is>
      </c>
      <c r="F447" s="0" t="inlineStr">
        <is>
          <t xml:space="preserve">EXCLUDE_REVIEW</t>
        </is>
      </c>
      <c r="G447" s="0" t="inlineStr">
        <is>
          <t xml:space="preserve">BC</t>
        </is>
      </c>
      <c r="H447" s="5">
        <v>0</v>
      </c>
      <c r="I447" s="5">
        <v>0</v>
      </c>
      <c r="J447" s="5">
        <v>1</v>
      </c>
      <c r="K447" s="5">
        <v>16.370119</v>
      </c>
      <c r="L447" s="7">
        <v>0.0</v>
      </c>
      <c r="M447" s="7">
        <v>0.0</v>
      </c>
      <c r="N447" s="7">
        <v>0.0</v>
      </c>
      <c r="O447" s="7">
        <v>0.0</v>
      </c>
    </row>
    <row r="448" outlineLevel="1">
      <c r="B448" s="0" t="inlineStr">
        <is>
          <t xml:space="preserve">2024-09-27</t>
        </is>
      </c>
      <c r="C448" s="0" t="inlineStr">
        <is>
          <t xml:space="preserve">-</t>
        </is>
      </c>
      <c r="D448" s="0" t="inlineStr">
        <is>
          <t xml:space="preserve">non_sub</t>
        </is>
      </c>
      <c r="E448" s="0" t="inlineStr">
        <is>
          <t xml:space="preserve">other</t>
        </is>
      </c>
      <c r="F448" s="0" t="inlineStr">
        <is>
          <t xml:space="preserve">EXCLUDE_REVIEW</t>
        </is>
      </c>
      <c r="G448" s="0" t="inlineStr">
        <is>
          <t xml:space="preserve">BC</t>
        </is>
      </c>
      <c r="H448" s="5">
        <v>0</v>
      </c>
      <c r="I448" s="5">
        <v>0</v>
      </c>
      <c r="J448" s="5">
        <v>1</v>
      </c>
      <c r="K448" s="5">
        <v>16.199197</v>
      </c>
      <c r="L448" s="7">
        <v>0.0</v>
      </c>
      <c r="M448" s="7">
        <v>0.0</v>
      </c>
      <c r="N448" s="7">
        <v>0.93</v>
      </c>
      <c r="O448" s="7">
        <v>0.0</v>
      </c>
    </row>
    <row r="449" outlineLevel="1">
      <c r="B449" s="0" t="inlineStr">
        <is>
          <t xml:space="preserve">2025-08-11</t>
        </is>
      </c>
      <c r="C449" s="0" t="inlineStr">
        <is>
          <t xml:space="preserve">N00024-23-C-5117</t>
        </is>
      </c>
      <c r="D449" s="0" t="inlineStr">
        <is>
          <t xml:space="preserve">non_sub</t>
        </is>
      </c>
      <c r="E449" s="0" t="inlineStr">
        <is>
          <t xml:space="preserve">other</t>
        </is>
      </c>
      <c r="F449" s="0" t="inlineStr">
        <is>
          <t xml:space="preserve">EXCLUDE_REVIEW</t>
        </is>
      </c>
      <c r="G449" s="0" t="inlineStr">
        <is>
          <t xml:space="preserve">BC</t>
        </is>
      </c>
      <c r="H449" s="5">
        <v>0</v>
      </c>
      <c r="I449" s="5">
        <v>0</v>
      </c>
      <c r="J449" s="5">
        <v>1</v>
      </c>
      <c r="K449" s="5">
        <v>16.182918</v>
      </c>
      <c r="L449" s="7">
        <v>0.0</v>
      </c>
      <c r="M449" s="7">
        <v>0.0</v>
      </c>
      <c r="N449" s="7">
        <v>1.0</v>
      </c>
      <c r="O449" s="7">
        <v>0.0</v>
      </c>
    </row>
    <row r="450" outlineLevel="1">
      <c r="B450" s="0" t="inlineStr">
        <is>
          <t xml:space="preserve">2023-04-21</t>
        </is>
      </c>
      <c r="C450" s="0" t="inlineStr">
        <is>
          <t xml:space="preserve">N00024-23-C-5206</t>
        </is>
      </c>
      <c r="D450" s="0" t="inlineStr">
        <is>
          <t xml:space="preserve">non_sub</t>
        </is>
      </c>
      <c r="E450" s="0" t="inlineStr">
        <is>
          <t xml:space="preserve">other</t>
        </is>
      </c>
      <c r="F450" s="0" t="inlineStr">
        <is>
          <t xml:space="preserve">EXCLUDE_REVIEW</t>
        </is>
      </c>
      <c r="G450" s="0" t="inlineStr">
        <is>
          <t xml:space="preserve">BC</t>
        </is>
      </c>
      <c r="H450" s="5">
        <v>0</v>
      </c>
      <c r="I450" s="5">
        <v>0</v>
      </c>
      <c r="J450" s="5">
        <v>1</v>
      </c>
      <c r="K450" s="5">
        <v>16.035924</v>
      </c>
      <c r="L450" s="7">
        <v>0.0</v>
      </c>
      <c r="M450" s="7">
        <v>0.0</v>
      </c>
      <c r="N450" s="7">
        <v>0.0</v>
      </c>
      <c r="O450" s="7">
        <v>0.0</v>
      </c>
    </row>
    <row r="451" outlineLevel="1">
      <c r="B451" s="0" t="inlineStr">
        <is>
          <t xml:space="preserve">2025-05-21</t>
        </is>
      </c>
      <c r="C451" s="0" t="inlineStr">
        <is>
          <t xml:space="preserve">N00024-15-C-2114</t>
        </is>
      </c>
      <c r="D451" s="0" t="inlineStr">
        <is>
          <t xml:space="preserve">non_sub</t>
        </is>
      </c>
      <c r="E451" s="0" t="inlineStr">
        <is>
          <t xml:space="preserve">other</t>
        </is>
      </c>
      <c r="F451" s="0" t="inlineStr">
        <is>
          <t xml:space="preserve">EXCLUDE_REVIEW</t>
        </is>
      </c>
      <c r="G451" s="0" t="inlineStr">
        <is>
          <t xml:space="preserve">BC</t>
        </is>
      </c>
      <c r="H451" s="5">
        <v>0</v>
      </c>
      <c r="I451" s="5">
        <v>0</v>
      </c>
      <c r="J451" s="5">
        <v>1</v>
      </c>
      <c r="K451" s="5">
        <v>16.0</v>
      </c>
      <c r="L451" s="7">
        <v>0.0</v>
      </c>
      <c r="M451" s="7">
        <v>0.0</v>
      </c>
      <c r="N451" s="7">
        <v>0.0</v>
      </c>
      <c r="O451" s="7">
        <v>0.0</v>
      </c>
    </row>
    <row r="452" outlineLevel="1">
      <c r="B452" s="0" t="inlineStr">
        <is>
          <t xml:space="preserve">2025-07-30</t>
        </is>
      </c>
      <c r="C452" s="0" t="inlineStr">
        <is>
          <t xml:space="preserve">-</t>
        </is>
      </c>
      <c r="D452" s="0" t="inlineStr">
        <is>
          <t xml:space="preserve">non_sub</t>
        </is>
      </c>
      <c r="E452" s="0" t="inlineStr">
        <is>
          <t xml:space="preserve">other</t>
        </is>
      </c>
      <c r="F452" s="0" t="inlineStr">
        <is>
          <t xml:space="preserve">EXCLUDE_REVIEW</t>
        </is>
      </c>
      <c r="G452" s="0" t="inlineStr">
        <is>
          <t xml:space="preserve">BC</t>
        </is>
      </c>
      <c r="H452" s="5">
        <v>0</v>
      </c>
      <c r="I452" s="5">
        <v>0</v>
      </c>
      <c r="J452" s="5">
        <v>1</v>
      </c>
      <c r="K452" s="5">
        <v>16.0</v>
      </c>
      <c r="L452" s="7">
        <v>0.0</v>
      </c>
      <c r="M452" s="7">
        <v>0.0</v>
      </c>
      <c r="N452" s="7">
        <v>1.0</v>
      </c>
      <c r="O452" s="7">
        <v>0.0</v>
      </c>
    </row>
    <row r="453" outlineLevel="1">
      <c r="B453" s="0" t="inlineStr">
        <is>
          <t xml:space="preserve">2024-09-27</t>
        </is>
      </c>
      <c r="C453" s="0" t="inlineStr">
        <is>
          <t xml:space="preserve">N00024-24-C-6315</t>
        </is>
      </c>
      <c r="D453" s="0" t="inlineStr">
        <is>
          <t xml:space="preserve">sub_other</t>
        </is>
      </c>
      <c r="E453" s="0" t="inlineStr">
        <is>
          <t xml:space="preserve">other</t>
        </is>
      </c>
      <c r="F453" s="0" t="inlineStr">
        <is>
          <t xml:space="preserve">EXCLUDE_REVIEW</t>
        </is>
      </c>
      <c r="G453" s="0" t="inlineStr">
        <is>
          <t xml:space="preserve">BC</t>
        </is>
      </c>
      <c r="H453" s="5">
        <v>0</v>
      </c>
      <c r="I453" s="5">
        <v>0</v>
      </c>
      <c r="J453" s="5">
        <v>1</v>
      </c>
      <c r="K453" s="5">
        <v>15.973912</v>
      </c>
      <c r="L453" s="7">
        <v>0.0</v>
      </c>
      <c r="M453" s="7">
        <v>0.0</v>
      </c>
      <c r="N453" s="7">
        <v>1.0</v>
      </c>
      <c r="O453" s="7">
        <v>0.0</v>
      </c>
    </row>
    <row r="454" outlineLevel="1">
      <c r="B454" s="0" t="inlineStr">
        <is>
          <t xml:space="preserve">2022-11-23</t>
        </is>
      </c>
      <c r="C454" s="0" t="inlineStr">
        <is>
          <t xml:space="preserve">-</t>
        </is>
      </c>
      <c r="D454" s="0" t="inlineStr">
        <is>
          <t xml:space="preserve">non_sub</t>
        </is>
      </c>
      <c r="E454" s="0" t="inlineStr">
        <is>
          <t xml:space="preserve">other</t>
        </is>
      </c>
      <c r="F454" s="0" t="inlineStr">
        <is>
          <t xml:space="preserve">EXCLUDE_REVIEW</t>
        </is>
      </c>
      <c r="G454" s="0" t="inlineStr">
        <is>
          <t xml:space="preserve">BC</t>
        </is>
      </c>
      <c r="H454" s="5">
        <v>0</v>
      </c>
      <c r="I454" s="5">
        <v>0</v>
      </c>
      <c r="J454" s="5">
        <v>1</v>
      </c>
      <c r="K454" s="5">
        <v>15.935955</v>
      </c>
      <c r="L454" s="7">
        <v>0.0</v>
      </c>
      <c r="M454" s="7">
        <v>0.0</v>
      </c>
      <c r="N454" s="7">
        <v>0.98</v>
      </c>
      <c r="O454" s="7">
        <v>0.0</v>
      </c>
    </row>
    <row r="455" outlineLevel="1">
      <c r="B455" s="0" t="inlineStr">
        <is>
          <t xml:space="preserve">2024-10-24</t>
        </is>
      </c>
      <c r="C455" s="0" t="inlineStr">
        <is>
          <t xml:space="preserve">N00024-23-C-5401</t>
        </is>
      </c>
      <c r="D455" s="0" t="inlineStr">
        <is>
          <t xml:space="preserve">non_sub</t>
        </is>
      </c>
      <c r="E455" s="0" t="inlineStr">
        <is>
          <t xml:space="preserve">lead_yard</t>
        </is>
      </c>
      <c r="F455" s="0" t="inlineStr">
        <is>
          <t xml:space="preserve">EXCLUDE_REVIEW</t>
        </is>
      </c>
      <c r="G455" s="0" t="inlineStr">
        <is>
          <t xml:space="preserve">BC</t>
        </is>
      </c>
      <c r="H455" s="5">
        <v>0</v>
      </c>
      <c r="I455" s="5">
        <v>0</v>
      </c>
      <c r="J455" s="5">
        <v>1</v>
      </c>
      <c r="K455" s="5">
        <v>15.90269</v>
      </c>
      <c r="L455" s="7">
        <v>0.0</v>
      </c>
      <c r="M455" s="7">
        <v>0.0</v>
      </c>
      <c r="N455" s="7">
        <v>0.0</v>
      </c>
      <c r="O455" s="7">
        <v>0.0</v>
      </c>
    </row>
    <row r="456" outlineLevel="1">
      <c r="B456" s="0" t="inlineStr">
        <is>
          <t xml:space="preserve">2024-03-08</t>
        </is>
      </c>
      <c r="C456" s="0" t="inlineStr">
        <is>
          <t xml:space="preserve">N00024-19-C-4447</t>
        </is>
      </c>
      <c r="D456" s="0" t="inlineStr">
        <is>
          <t xml:space="preserve">non_sub</t>
        </is>
      </c>
      <c r="E456" s="0" t="inlineStr">
        <is>
          <t xml:space="preserve">sustainment_maintenance</t>
        </is>
      </c>
      <c r="F456" s="0" t="inlineStr">
        <is>
          <t xml:space="preserve">EXCLUDE_REVIEW</t>
        </is>
      </c>
      <c r="G456" s="0" t="inlineStr">
        <is>
          <t xml:space="preserve">BC</t>
        </is>
      </c>
      <c r="H456" s="5">
        <v>0</v>
      </c>
      <c r="I456" s="5">
        <v>0</v>
      </c>
      <c r="J456" s="5">
        <v>1</v>
      </c>
      <c r="K456" s="5">
        <v>15.845754</v>
      </c>
      <c r="L456" s="7">
        <v>0.0</v>
      </c>
      <c r="M456" s="7">
        <v>0.0</v>
      </c>
      <c r="N456" s="7">
        <v>0.0</v>
      </c>
      <c r="O456" s="7">
        <v>0.0</v>
      </c>
    </row>
    <row r="457" outlineLevel="1">
      <c r="B457" s="0" t="inlineStr">
        <is>
          <t xml:space="preserve">2023-11-03</t>
        </is>
      </c>
      <c r="C457" s="0" t="inlineStr">
        <is>
          <t xml:space="preserve">-</t>
        </is>
      </c>
      <c r="D457" s="0" t="inlineStr">
        <is>
          <t xml:space="preserve">sub_other</t>
        </is>
      </c>
      <c r="E457" s="0" t="inlineStr">
        <is>
          <t xml:space="preserve">design</t>
        </is>
      </c>
      <c r="F457" s="0" t="inlineStr">
        <is>
          <t xml:space="preserve">EXCLUDE_REVIEW</t>
        </is>
      </c>
      <c r="G457" s="0" t="inlineStr">
        <is>
          <t xml:space="preserve">BC</t>
        </is>
      </c>
      <c r="H457" s="5">
        <v>0</v>
      </c>
      <c r="I457" s="5">
        <v>0</v>
      </c>
      <c r="J457" s="5">
        <v>1</v>
      </c>
      <c r="K457" s="5">
        <v>15.823616</v>
      </c>
      <c r="L457" s="7">
        <v>0.96</v>
      </c>
      <c r="M457" s="7">
        <v>0.0</v>
      </c>
      <c r="N457" s="7">
        <v>0.04</v>
      </c>
      <c r="O457" s="7">
        <v>0.0</v>
      </c>
    </row>
    <row r="458" outlineLevel="1">
      <c r="B458" s="0" t="inlineStr">
        <is>
          <t xml:space="preserve">2023-03-31</t>
        </is>
      </c>
      <c r="C458" s="0" t="inlineStr">
        <is>
          <t xml:space="preserve">-</t>
        </is>
      </c>
      <c r="D458" s="0" t="inlineStr">
        <is>
          <t xml:space="preserve">sub_other</t>
        </is>
      </c>
      <c r="E458" s="0" t="inlineStr">
        <is>
          <t xml:space="preserve">engineering</t>
        </is>
      </c>
      <c r="F458" s="0" t="inlineStr">
        <is>
          <t xml:space="preserve">EXCLUDE_REVIEW</t>
        </is>
      </c>
      <c r="G458" s="0" t="inlineStr">
        <is>
          <t xml:space="preserve">BC</t>
        </is>
      </c>
      <c r="H458" s="5">
        <v>0</v>
      </c>
      <c r="I458" s="5">
        <v>0</v>
      </c>
      <c r="J458" s="5">
        <v>1</v>
      </c>
      <c r="K458" s="5">
        <v>15.7232</v>
      </c>
      <c r="L458" s="7">
        <v>0.0</v>
      </c>
      <c r="M458" s="7">
        <v>0.0</v>
      </c>
      <c r="N458" s="7">
        <v>0.0</v>
      </c>
      <c r="O458" s="7">
        <v>0.0</v>
      </c>
    </row>
    <row r="459" outlineLevel="1">
      <c r="B459" s="0" t="inlineStr">
        <is>
          <t xml:space="preserve">2023-08-14</t>
        </is>
      </c>
      <c r="C459" s="0" t="inlineStr">
        <is>
          <t xml:space="preserve">N00024-19-C-2125</t>
        </is>
      </c>
      <c r="D459" s="0" t="inlineStr">
        <is>
          <t xml:space="preserve">sub_other</t>
        </is>
      </c>
      <c r="E459" s="0" t="inlineStr">
        <is>
          <t xml:space="preserve">other</t>
        </is>
      </c>
      <c r="F459" s="0" t="inlineStr">
        <is>
          <t xml:space="preserve">EXCLUDE_REVIEW</t>
        </is>
      </c>
      <c r="G459" s="0" t="inlineStr">
        <is>
          <t xml:space="preserve">BC</t>
        </is>
      </c>
      <c r="H459" s="5">
        <v>0</v>
      </c>
      <c r="I459" s="5">
        <v>0</v>
      </c>
      <c r="J459" s="5">
        <v>1</v>
      </c>
      <c r="K459" s="5">
        <v>15.67</v>
      </c>
      <c r="L459" s="7">
        <v>1.0</v>
      </c>
      <c r="M459" s="7">
        <v>0.0</v>
      </c>
      <c r="N459" s="7">
        <v>0.0</v>
      </c>
      <c r="O459" s="7">
        <v>0.0</v>
      </c>
    </row>
    <row r="460" outlineLevel="1">
      <c r="B460" s="0" t="inlineStr">
        <is>
          <t xml:space="preserve">2025-08-28</t>
        </is>
      </c>
      <c r="C460" s="0" t="inlineStr">
        <is>
          <t xml:space="preserve">-</t>
        </is>
      </c>
      <c r="D460" s="0" t="inlineStr">
        <is>
          <t xml:space="preserve">non_sub</t>
        </is>
      </c>
      <c r="E460" s="0" t="inlineStr">
        <is>
          <t xml:space="preserve">other</t>
        </is>
      </c>
      <c r="F460" s="0" t="inlineStr">
        <is>
          <t xml:space="preserve">EXCLUDE_REVIEW</t>
        </is>
      </c>
      <c r="G460" s="0" t="inlineStr">
        <is>
          <t xml:space="preserve">BC</t>
        </is>
      </c>
      <c r="H460" s="5">
        <v>0</v>
      </c>
      <c r="I460" s="5">
        <v>0</v>
      </c>
      <c r="J460" s="5">
        <v>1</v>
      </c>
      <c r="K460" s="5">
        <v>15.649047</v>
      </c>
      <c r="L460" s="7">
        <v>0.0</v>
      </c>
      <c r="M460" s="7">
        <v>0.0</v>
      </c>
      <c r="N460" s="7">
        <v>1.0</v>
      </c>
      <c r="O460" s="7">
        <v>0.0</v>
      </c>
    </row>
    <row r="461" outlineLevel="1">
      <c r="B461" s="0" t="inlineStr">
        <is>
          <t xml:space="preserve">2024-03-08</t>
        </is>
      </c>
      <c r="C461" s="0" t="inlineStr">
        <is>
          <t xml:space="preserve">N00024-18-C-6258</t>
        </is>
      </c>
      <c r="D461" s="0" t="inlineStr">
        <is>
          <t xml:space="preserve">sub_other</t>
        </is>
      </c>
      <c r="E461" s="0" t="inlineStr">
        <is>
          <t xml:space="preserve">engineering</t>
        </is>
      </c>
      <c r="F461" s="0" t="inlineStr">
        <is>
          <t xml:space="preserve">EXCLUDE_REVIEW</t>
        </is>
      </c>
      <c r="G461" s="0" t="inlineStr">
        <is>
          <t xml:space="preserve">BC</t>
        </is>
      </c>
      <c r="H461" s="5">
        <v>0</v>
      </c>
      <c r="I461" s="5">
        <v>0</v>
      </c>
      <c r="J461" s="5">
        <v>1</v>
      </c>
      <c r="K461" s="5">
        <v>15.636492</v>
      </c>
      <c r="L461" s="7">
        <v>0.0</v>
      </c>
      <c r="M461" s="7">
        <v>0.0</v>
      </c>
      <c r="N461" s="7">
        <v>1.0</v>
      </c>
      <c r="O461" s="7">
        <v>0.0</v>
      </c>
    </row>
    <row r="462" outlineLevel="1">
      <c r="B462" s="0" t="inlineStr">
        <is>
          <t xml:space="preserve">2023-04-18</t>
        </is>
      </c>
      <c r="C462" s="0" t="inlineStr">
        <is>
          <t xml:space="preserve">-</t>
        </is>
      </c>
      <c r="D462" s="0" t="inlineStr">
        <is>
          <t xml:space="preserve">sub_other</t>
        </is>
      </c>
      <c r="E462" s="0" t="inlineStr">
        <is>
          <t xml:space="preserve">other</t>
        </is>
      </c>
      <c r="F462" s="0" t="inlineStr">
        <is>
          <t xml:space="preserve">EXCLUDE_REVIEW</t>
        </is>
      </c>
      <c r="G462" s="0" t="inlineStr">
        <is>
          <t xml:space="preserve">BC</t>
        </is>
      </c>
      <c r="H462" s="5">
        <v>0</v>
      </c>
      <c r="I462" s="5">
        <v>0</v>
      </c>
      <c r="J462" s="5">
        <v>1</v>
      </c>
      <c r="K462" s="5">
        <v>15.590113</v>
      </c>
      <c r="L462" s="7">
        <v>0.0</v>
      </c>
      <c r="M462" s="7">
        <v>0.0</v>
      </c>
      <c r="N462" s="7">
        <v>1.0</v>
      </c>
      <c r="O462" s="7">
        <v>0.0</v>
      </c>
    </row>
    <row r="463" outlineLevel="1">
      <c r="B463" s="0" t="inlineStr">
        <is>
          <t xml:space="preserve">2025-07-31</t>
        </is>
      </c>
      <c r="C463" s="0" t="inlineStr">
        <is>
          <t xml:space="preserve">N00024-16-C-6239</t>
        </is>
      </c>
      <c r="D463" s="0" t="inlineStr">
        <is>
          <t xml:space="preserve">non_sub</t>
        </is>
      </c>
      <c r="E463" s="0" t="inlineStr">
        <is>
          <t xml:space="preserve">other</t>
        </is>
      </c>
      <c r="F463" s="0" t="inlineStr">
        <is>
          <t xml:space="preserve">EXCLUDE_REVIEW</t>
        </is>
      </c>
      <c r="G463" s="0" t="inlineStr">
        <is>
          <t xml:space="preserve">BC</t>
        </is>
      </c>
      <c r="H463" s="5">
        <v>0</v>
      </c>
      <c r="I463" s="5">
        <v>0</v>
      </c>
      <c r="J463" s="5">
        <v>1</v>
      </c>
      <c r="K463" s="5">
        <v>15.363176</v>
      </c>
      <c r="L463" s="7">
        <v>0.0</v>
      </c>
      <c r="M463" s="7">
        <v>0.0</v>
      </c>
      <c r="N463" s="7">
        <v>1.0</v>
      </c>
      <c r="O463" s="7">
        <v>0.0</v>
      </c>
    </row>
    <row r="464" outlineLevel="1">
      <c r="B464" s="0" t="inlineStr">
        <is>
          <t xml:space="preserve">2025-08-19</t>
        </is>
      </c>
      <c r="C464" s="0" t="inlineStr">
        <is>
          <t xml:space="preserve">N00024-25-C-6260</t>
        </is>
      </c>
      <c r="D464" s="0" t="inlineStr">
        <is>
          <t xml:space="preserve">non_sub</t>
        </is>
      </c>
      <c r="E464" s="0" t="inlineStr">
        <is>
          <t xml:space="preserve">other</t>
        </is>
      </c>
      <c r="F464" s="0" t="inlineStr">
        <is>
          <t xml:space="preserve">EXCLUDE_REVIEW</t>
        </is>
      </c>
      <c r="G464" s="0" t="inlineStr">
        <is>
          <t xml:space="preserve">BC</t>
        </is>
      </c>
      <c r="H464" s="5">
        <v>0</v>
      </c>
      <c r="I464" s="5">
        <v>0</v>
      </c>
      <c r="J464" s="5">
        <v>1</v>
      </c>
      <c r="K464" s="5">
        <v>15.331729</v>
      </c>
      <c r="L464" s="7">
        <v>0.25</v>
      </c>
      <c r="M464" s="7">
        <v>0.0</v>
      </c>
      <c r="N464" s="7">
        <v>0.75</v>
      </c>
      <c r="O464" s="7">
        <v>0.0</v>
      </c>
    </row>
    <row r="465" outlineLevel="1">
      <c r="B465" s="0" t="inlineStr">
        <is>
          <t xml:space="preserve">2024-03-29</t>
        </is>
      </c>
      <c r="C465" s="0" t="inlineStr">
        <is>
          <t xml:space="preserve">N00024-22-C-4420</t>
        </is>
      </c>
      <c r="D465" s="0" t="inlineStr">
        <is>
          <t xml:space="preserve">non_sub</t>
        </is>
      </c>
      <c r="E465" s="0" t="inlineStr">
        <is>
          <t xml:space="preserve">sustainment_maintenance</t>
        </is>
      </c>
      <c r="F465" s="0" t="inlineStr">
        <is>
          <t xml:space="preserve">EXCLUDE_REVIEW</t>
        </is>
      </c>
      <c r="G465" s="0" t="inlineStr">
        <is>
          <t xml:space="preserve">BC</t>
        </is>
      </c>
      <c r="H465" s="5">
        <v>0</v>
      </c>
      <c r="I465" s="5">
        <v>0</v>
      </c>
      <c r="J465" s="5">
        <v>1</v>
      </c>
      <c r="K465" s="5">
        <v>15.306564</v>
      </c>
      <c r="L465" s="7">
        <v>0.0</v>
      </c>
      <c r="M465" s="7">
        <v>0.0</v>
      </c>
      <c r="N465" s="7">
        <v>0.0</v>
      </c>
      <c r="O465" s="7">
        <v>0.0</v>
      </c>
    </row>
    <row r="466" outlineLevel="1">
      <c r="B466" s="0" t="inlineStr">
        <is>
          <t xml:space="preserve">2026-04-29</t>
        </is>
      </c>
      <c r="C466" s="0" t="inlineStr">
        <is>
          <t xml:space="preserve">N00024-25-F-6260</t>
        </is>
      </c>
      <c r="D466" s="0" t="inlineStr">
        <is>
          <t xml:space="preserve">sub_gfe_electronics</t>
        </is>
      </c>
      <c r="E466" s="0" t="inlineStr">
        <is>
          <t xml:space="preserve">component_procurement</t>
        </is>
      </c>
      <c r="F466" s="0" t="inlineStr">
        <is>
          <t xml:space="preserve">EXCLUDE_GFE</t>
        </is>
      </c>
      <c r="G466" s="0" t="inlineStr">
        <is>
          <t xml:space="preserve">BC</t>
        </is>
      </c>
      <c r="H466" s="5">
        <v>1</v>
      </c>
      <c r="I466" s="5">
        <v>1</v>
      </c>
      <c r="J466" s="5">
        <v>1</v>
      </c>
      <c r="K466" s="5">
        <v>15.304</v>
      </c>
      <c r="L466" s="7">
        <v>0.0</v>
      </c>
      <c r="M466" s="7">
        <v>0.0</v>
      </c>
      <c r="N466" s="7">
        <v>0.0</v>
      </c>
      <c r="O466" s="7">
        <v>0.0</v>
      </c>
    </row>
    <row r="467" outlineLevel="1">
      <c r="B467" s="0" t="inlineStr">
        <is>
          <t xml:space="preserve">2025-09-04</t>
        </is>
      </c>
      <c r="C467" s="0" t="inlineStr">
        <is>
          <t xml:space="preserve">N00024-20-C-2437</t>
        </is>
      </c>
      <c r="D467" s="0" t="inlineStr">
        <is>
          <t xml:space="preserve">non_sub</t>
        </is>
      </c>
      <c r="E467" s="0" t="inlineStr">
        <is>
          <t xml:space="preserve">other</t>
        </is>
      </c>
      <c r="F467" s="0" t="inlineStr">
        <is>
          <t xml:space="preserve">EXCLUDE_REVIEW</t>
        </is>
      </c>
      <c r="G467" s="0" t="inlineStr">
        <is>
          <t xml:space="preserve">BC</t>
        </is>
      </c>
      <c r="H467" s="5">
        <v>0</v>
      </c>
      <c r="I467" s="5">
        <v>0</v>
      </c>
      <c r="J467" s="5">
        <v>1</v>
      </c>
      <c r="K467" s="5">
        <v>15.286013</v>
      </c>
      <c r="L467" s="7">
        <v>0.0</v>
      </c>
      <c r="M467" s="7">
        <v>0.0</v>
      </c>
      <c r="N467" s="7">
        <v>0.0</v>
      </c>
      <c r="O467" s="7">
        <v>0.0</v>
      </c>
    </row>
    <row r="468" outlineLevel="1">
      <c r="B468" s="0" t="inlineStr">
        <is>
          <t xml:space="preserve">2024-09-27</t>
        </is>
      </c>
      <c r="C468" s="0" t="inlineStr">
        <is>
          <t xml:space="preserve">-</t>
        </is>
      </c>
      <c r="D468" s="0" t="inlineStr">
        <is>
          <t xml:space="preserve">non_sub</t>
        </is>
      </c>
      <c r="E468" s="0" t="inlineStr">
        <is>
          <t xml:space="preserve">other</t>
        </is>
      </c>
      <c r="F468" s="0" t="inlineStr">
        <is>
          <t xml:space="preserve">EXCLUDE_REVIEW</t>
        </is>
      </c>
      <c r="G468" s="0" t="inlineStr">
        <is>
          <t xml:space="preserve">BC</t>
        </is>
      </c>
      <c r="H468" s="5">
        <v>0</v>
      </c>
      <c r="I468" s="5">
        <v>0</v>
      </c>
      <c r="J468" s="5">
        <v>1</v>
      </c>
      <c r="K468" s="5">
        <v>15.216002</v>
      </c>
      <c r="L468" s="7">
        <v>0.0</v>
      </c>
      <c r="M468" s="7">
        <v>0.0</v>
      </c>
      <c r="N468" s="7">
        <v>1.0</v>
      </c>
      <c r="O468" s="7">
        <v>0.0</v>
      </c>
    </row>
    <row r="469" outlineLevel="1">
      <c r="B469" s="0" t="inlineStr">
        <is>
          <t xml:space="preserve">2025-03-10</t>
        </is>
      </c>
      <c r="C469" s="0" t="inlineStr">
        <is>
          <t xml:space="preserve">N00024-20-C-6117</t>
        </is>
      </c>
      <c r="D469" s="0" t="inlineStr">
        <is>
          <t xml:space="preserve">non_sub</t>
        </is>
      </c>
      <c r="E469" s="0" t="inlineStr">
        <is>
          <t xml:space="preserve">other</t>
        </is>
      </c>
      <c r="F469" s="0" t="inlineStr">
        <is>
          <t xml:space="preserve">EXCLUDE_REVIEW</t>
        </is>
      </c>
      <c r="G469" s="0" t="inlineStr">
        <is>
          <t xml:space="preserve">BC</t>
        </is>
      </c>
      <c r="H469" s="5">
        <v>0</v>
      </c>
      <c r="I469" s="5">
        <v>0</v>
      </c>
      <c r="J469" s="5">
        <v>1</v>
      </c>
      <c r="K469" s="5">
        <v>15.150568</v>
      </c>
      <c r="L469" s="7">
        <v>0.0</v>
      </c>
      <c r="M469" s="7">
        <v>0.0</v>
      </c>
      <c r="N469" s="7">
        <v>1.0</v>
      </c>
      <c r="O469" s="7">
        <v>0.0</v>
      </c>
    </row>
    <row r="470" outlineLevel="1">
      <c r="B470" s="0" t="inlineStr">
        <is>
          <t xml:space="preserve">2023-03-31</t>
        </is>
      </c>
      <c r="C470" s="0" t="inlineStr">
        <is>
          <t xml:space="preserve">-</t>
        </is>
      </c>
      <c r="D470" s="0" t="inlineStr">
        <is>
          <t xml:space="preserve">non_sub</t>
        </is>
      </c>
      <c r="E470" s="0" t="inlineStr">
        <is>
          <t xml:space="preserve">sustainment_maintenance</t>
        </is>
      </c>
      <c r="F470" s="0" t="inlineStr">
        <is>
          <t xml:space="preserve">EXCLUDE_REVIEW</t>
        </is>
      </c>
      <c r="G470" s="0" t="inlineStr">
        <is>
          <t xml:space="preserve">BC</t>
        </is>
      </c>
      <c r="H470" s="5">
        <v>0</v>
      </c>
      <c r="I470" s="5">
        <v>0</v>
      </c>
      <c r="J470" s="5">
        <v>1</v>
      </c>
      <c r="K470" s="5">
        <v>15.043848</v>
      </c>
      <c r="L470" s="7">
        <v>0.0</v>
      </c>
      <c r="M470" s="7">
        <v>0.0</v>
      </c>
      <c r="N470" s="7">
        <v>1.0</v>
      </c>
      <c r="O470" s="7">
        <v>0.0</v>
      </c>
    </row>
    <row r="471" outlineLevel="1">
      <c r="B471" s="0" t="inlineStr">
        <is>
          <t xml:space="preserve">2025-06-12</t>
        </is>
      </c>
      <c r="C471" s="0" t="inlineStr">
        <is>
          <t xml:space="preserve">N00024-22-C-5530</t>
        </is>
      </c>
      <c r="D471" s="0" t="inlineStr">
        <is>
          <t xml:space="preserve">non_sub</t>
        </is>
      </c>
      <c r="E471" s="0" t="inlineStr">
        <is>
          <t xml:space="preserve">engineering</t>
        </is>
      </c>
      <c r="F471" s="0" t="inlineStr">
        <is>
          <t xml:space="preserve">EXCLUDE_REVIEW</t>
        </is>
      </c>
      <c r="G471" s="0" t="inlineStr">
        <is>
          <t xml:space="preserve">BC</t>
        </is>
      </c>
      <c r="H471" s="5">
        <v>0</v>
      </c>
      <c r="I471" s="5">
        <v>0</v>
      </c>
      <c r="J471" s="5">
        <v>1</v>
      </c>
      <c r="K471" s="5">
        <v>15.012698</v>
      </c>
      <c r="L471" s="7">
        <v>0.0</v>
      </c>
      <c r="M471" s="7">
        <v>0.0</v>
      </c>
      <c r="N471" s="7">
        <v>1.0</v>
      </c>
      <c r="O471" s="7">
        <v>0.0</v>
      </c>
    </row>
    <row r="472" outlineLevel="1">
      <c r="B472" s="0" t="inlineStr">
        <is>
          <t xml:space="preserve">2022-09-30</t>
        </is>
      </c>
      <c r="C472" s="0" t="inlineStr">
        <is>
          <t xml:space="preserve">N00024-22-C-5530</t>
        </is>
      </c>
      <c r="D472" s="0" t="inlineStr">
        <is>
          <t xml:space="preserve">non_sub</t>
        </is>
      </c>
      <c r="E472" s="0" t="inlineStr">
        <is>
          <t xml:space="preserve">other</t>
        </is>
      </c>
      <c r="F472" s="0" t="inlineStr">
        <is>
          <t xml:space="preserve">EXCLUDE_REVIEW</t>
        </is>
      </c>
      <c r="G472" s="0" t="inlineStr">
        <is>
          <t xml:space="preserve">BC</t>
        </is>
      </c>
      <c r="H472" s="5">
        <v>0</v>
      </c>
      <c r="I472" s="5">
        <v>0</v>
      </c>
      <c r="J472" s="5">
        <v>1</v>
      </c>
      <c r="K472" s="5">
        <v>15.002</v>
      </c>
      <c r="L472" s="7">
        <v>0.0</v>
      </c>
      <c r="M472" s="7">
        <v>0.0</v>
      </c>
      <c r="N472" s="7">
        <v>1.0</v>
      </c>
      <c r="O472" s="7">
        <v>0.0</v>
      </c>
    </row>
    <row r="473" outlineLevel="1">
      <c r="B473" s="0" t="inlineStr">
        <is>
          <t xml:space="preserve">2025-02-21</t>
        </is>
      </c>
      <c r="C473" s="0" t="inlineStr">
        <is>
          <t xml:space="preserve">N00024-25-C-5310</t>
        </is>
      </c>
      <c r="D473" s="0" t="inlineStr">
        <is>
          <t xml:space="preserve">non_sub</t>
        </is>
      </c>
      <c r="E473" s="0" t="inlineStr">
        <is>
          <t xml:space="preserve">fms</t>
        </is>
      </c>
      <c r="F473" s="0" t="inlineStr">
        <is>
          <t xml:space="preserve">EXCLUDE_REVIEW</t>
        </is>
      </c>
      <c r="G473" s="0" t="inlineStr">
        <is>
          <t xml:space="preserve">BC</t>
        </is>
      </c>
      <c r="H473" s="5">
        <v>0</v>
      </c>
      <c r="I473" s="5">
        <v>0</v>
      </c>
      <c r="J473" s="5">
        <v>1</v>
      </c>
      <c r="K473" s="5">
        <v>14.951301</v>
      </c>
      <c r="L473" s="7">
        <v>0.0</v>
      </c>
      <c r="M473" s="7">
        <v>0.0</v>
      </c>
      <c r="N473" s="7">
        <v>1.0</v>
      </c>
      <c r="O473" s="7">
        <v>0.0</v>
      </c>
    </row>
    <row r="474" outlineLevel="1">
      <c r="B474" s="0" t="inlineStr">
        <is>
          <t xml:space="preserve">2022-12-12</t>
        </is>
      </c>
      <c r="C474" s="0" t="inlineStr">
        <is>
          <t xml:space="preserve">-</t>
        </is>
      </c>
      <c r="D474" s="0" t="inlineStr">
        <is>
          <t xml:space="preserve">non_sub</t>
        </is>
      </c>
      <c r="E474" s="0" t="inlineStr">
        <is>
          <t xml:space="preserve">other</t>
        </is>
      </c>
      <c r="F474" s="0" t="inlineStr">
        <is>
          <t xml:space="preserve">EXCLUDE_REVIEW</t>
        </is>
      </c>
      <c r="G474" s="0" t="inlineStr">
        <is>
          <t xml:space="preserve">BC</t>
        </is>
      </c>
      <c r="H474" s="5">
        <v>0</v>
      </c>
      <c r="I474" s="5">
        <v>0</v>
      </c>
      <c r="J474" s="5">
        <v>1</v>
      </c>
      <c r="K474" s="5">
        <v>14.931368</v>
      </c>
      <c r="L474" s="7">
        <v>0.0</v>
      </c>
      <c r="M474" s="7">
        <v>0.0</v>
      </c>
      <c r="N474" s="7">
        <v>0.0</v>
      </c>
      <c r="O474" s="7">
        <v>0.0</v>
      </c>
    </row>
    <row r="475" outlineLevel="1">
      <c r="B475" s="0" t="inlineStr">
        <is>
          <t xml:space="preserve">2024-09-27</t>
        </is>
      </c>
      <c r="C475" s="0" t="inlineStr">
        <is>
          <t xml:space="preserve">-</t>
        </is>
      </c>
      <c r="D475" s="0" t="inlineStr">
        <is>
          <t xml:space="preserve">non_sub</t>
        </is>
      </c>
      <c r="E475" s="0" t="inlineStr">
        <is>
          <t xml:space="preserve">other</t>
        </is>
      </c>
      <c r="F475" s="0" t="inlineStr">
        <is>
          <t xml:space="preserve">EXCLUDE_REVIEW</t>
        </is>
      </c>
      <c r="G475" s="0" t="inlineStr">
        <is>
          <t xml:space="preserve">BC</t>
        </is>
      </c>
      <c r="H475" s="5">
        <v>0</v>
      </c>
      <c r="I475" s="5">
        <v>0</v>
      </c>
      <c r="J475" s="5">
        <v>1</v>
      </c>
      <c r="K475" s="5">
        <v>14.565198</v>
      </c>
      <c r="L475" s="7">
        <v>0.0</v>
      </c>
      <c r="M475" s="7">
        <v>0.0</v>
      </c>
      <c r="N475" s="7">
        <v>1.0</v>
      </c>
      <c r="O475" s="7">
        <v>0.0</v>
      </c>
    </row>
    <row r="476" outlineLevel="1">
      <c r="B476" s="0" t="inlineStr">
        <is>
          <t xml:space="preserve">2025-12-01</t>
        </is>
      </c>
      <c r="C476" s="0" t="inlineStr">
        <is>
          <t xml:space="preserve">N00024-26-C-6103</t>
        </is>
      </c>
      <c r="D476" s="0" t="inlineStr">
        <is>
          <t xml:space="preserve">non_sub</t>
        </is>
      </c>
      <c r="E476" s="0" t="inlineStr">
        <is>
          <t xml:space="preserve">fms</t>
        </is>
      </c>
      <c r="F476" s="0" t="inlineStr">
        <is>
          <t xml:space="preserve">EXCLUDE_REVIEW</t>
        </is>
      </c>
      <c r="G476" s="0" t="inlineStr">
        <is>
          <t xml:space="preserve">BC</t>
        </is>
      </c>
      <c r="H476" s="5">
        <v>0</v>
      </c>
      <c r="I476" s="5">
        <v>0</v>
      </c>
      <c r="J476" s="5">
        <v>1</v>
      </c>
      <c r="K476" s="5">
        <v>14.549938</v>
      </c>
      <c r="L476" s="7">
        <v>0.0</v>
      </c>
      <c r="M476" s="7">
        <v>0.0</v>
      </c>
      <c r="N476" s="7">
        <v>0.0</v>
      </c>
      <c r="O476" s="7">
        <v>0.0</v>
      </c>
    </row>
    <row r="477" outlineLevel="1">
      <c r="B477" s="0" t="inlineStr">
        <is>
          <t xml:space="preserve">2025-03-27</t>
        </is>
      </c>
      <c r="C477" s="0" t="inlineStr">
        <is>
          <t xml:space="preserve">-</t>
        </is>
      </c>
      <c r="D477" s="0" t="inlineStr">
        <is>
          <t xml:space="preserve">sub_other</t>
        </is>
      </c>
      <c r="E477" s="0" t="inlineStr">
        <is>
          <t xml:space="preserve">component_procurement</t>
        </is>
      </c>
      <c r="F477" s="0" t="inlineStr">
        <is>
          <t xml:space="preserve">INCLUDE_BC</t>
        </is>
      </c>
      <c r="G477" s="0" t="inlineStr">
        <is>
          <t xml:space="preserve">BC</t>
        </is>
      </c>
      <c r="H477" s="5">
        <v>0</v>
      </c>
      <c r="I477" s="5">
        <v>0</v>
      </c>
      <c r="J477" s="5">
        <v>1</v>
      </c>
      <c r="K477" s="5">
        <v>14.532503</v>
      </c>
      <c r="L477" s="7">
        <v>0.0</v>
      </c>
      <c r="M477" s="7">
        <v>0.0</v>
      </c>
      <c r="N477" s="7">
        <v>0.0</v>
      </c>
      <c r="O477" s="7">
        <v>0.0</v>
      </c>
    </row>
    <row r="478" outlineLevel="1">
      <c r="B478" s="0" t="inlineStr">
        <is>
          <t xml:space="preserve">2025-12-19</t>
        </is>
      </c>
      <c r="C478" s="0" t="inlineStr">
        <is>
          <t xml:space="preserve">N00024-20-C-5519</t>
        </is>
      </c>
      <c r="D478" s="0" t="inlineStr">
        <is>
          <t xml:space="preserve">non_sub</t>
        </is>
      </c>
      <c r="E478" s="0" t="inlineStr">
        <is>
          <t xml:space="preserve">other</t>
        </is>
      </c>
      <c r="F478" s="0" t="inlineStr">
        <is>
          <t xml:space="preserve">EXCLUDE_REVIEW</t>
        </is>
      </c>
      <c r="G478" s="0" t="inlineStr">
        <is>
          <t xml:space="preserve">BC</t>
        </is>
      </c>
      <c r="H478" s="5">
        <v>0</v>
      </c>
      <c r="I478" s="5">
        <v>0</v>
      </c>
      <c r="J478" s="5">
        <v>1</v>
      </c>
      <c r="K478" s="5">
        <v>14.486001</v>
      </c>
      <c r="L478" s="7">
        <v>0.0</v>
      </c>
      <c r="M478" s="7">
        <v>0.0</v>
      </c>
      <c r="N478" s="7">
        <v>1.0</v>
      </c>
      <c r="O478" s="7">
        <v>0.0</v>
      </c>
    </row>
    <row r="479" outlineLevel="1">
      <c r="B479" s="0" t="inlineStr">
        <is>
          <t xml:space="preserve">2024-09-19</t>
        </is>
      </c>
      <c r="C479" s="0" t="inlineStr">
        <is>
          <t xml:space="preserve">N00030-24-C-6032</t>
        </is>
      </c>
      <c r="D479" s="0" t="inlineStr">
        <is>
          <t xml:space="preserve">non_sub</t>
        </is>
      </c>
      <c r="E479" s="0" t="inlineStr">
        <is>
          <t xml:space="preserve">sustainment_maintenance</t>
        </is>
      </c>
      <c r="F479" s="0" t="inlineStr">
        <is>
          <t xml:space="preserve">EXCLUDE_REVIEW</t>
        </is>
      </c>
      <c r="G479" s="0" t="inlineStr">
        <is>
          <t xml:space="preserve">BC</t>
        </is>
      </c>
      <c r="H479" s="5">
        <v>0</v>
      </c>
      <c r="I479" s="5">
        <v>0</v>
      </c>
      <c r="J479" s="5">
        <v>1</v>
      </c>
      <c r="K479" s="5">
        <v>14.454981</v>
      </c>
      <c r="L479" s="7">
        <v>0.0</v>
      </c>
      <c r="M479" s="7">
        <v>0.0</v>
      </c>
      <c r="N479" s="7">
        <v>0.86</v>
      </c>
      <c r="O479" s="7">
        <v>0.0</v>
      </c>
    </row>
    <row r="480" outlineLevel="1">
      <c r="B480" s="0" t="inlineStr">
        <is>
          <t xml:space="preserve">2026-03-26</t>
        </is>
      </c>
      <c r="C480" s="0" t="inlineStr">
        <is>
          <t xml:space="preserve">N00024-23-C-6109</t>
        </is>
      </c>
      <c r="D480" s="0" t="inlineStr">
        <is>
          <t xml:space="preserve">non_sub</t>
        </is>
      </c>
      <c r="E480" s="0" t="inlineStr">
        <is>
          <t xml:space="preserve">design</t>
        </is>
      </c>
      <c r="F480" s="0" t="inlineStr">
        <is>
          <t xml:space="preserve">EXCLUDE_REVIEW</t>
        </is>
      </c>
      <c r="G480" s="0" t="inlineStr">
        <is>
          <t xml:space="preserve">BC</t>
        </is>
      </c>
      <c r="H480" s="5">
        <v>0</v>
      </c>
      <c r="I480" s="5">
        <v>0</v>
      </c>
      <c r="J480" s="5">
        <v>1</v>
      </c>
      <c r="K480" s="5">
        <v>14.395395</v>
      </c>
      <c r="L480" s="7">
        <v>0.0</v>
      </c>
      <c r="M480" s="7">
        <v>0.0</v>
      </c>
      <c r="N480" s="7">
        <v>0.0</v>
      </c>
      <c r="O480" s="7">
        <v>0.0</v>
      </c>
    </row>
    <row r="481" outlineLevel="1">
      <c r="B481" s="0" t="inlineStr">
        <is>
          <t xml:space="preserve">2026-05-18</t>
        </is>
      </c>
      <c r="C481" s="0" t="inlineStr">
        <is>
          <t xml:space="preserve">N00024-25-C-4127</t>
        </is>
      </c>
      <c r="D481" s="0" t="inlineStr">
        <is>
          <t xml:space="preserve">non_sub</t>
        </is>
      </c>
      <c r="E481" s="0" t="inlineStr">
        <is>
          <t xml:space="preserve">engineering</t>
        </is>
      </c>
      <c r="F481" s="0" t="inlineStr">
        <is>
          <t xml:space="preserve">EXCLUDE_REVIEW</t>
        </is>
      </c>
      <c r="G481" s="0" t="inlineStr">
        <is>
          <t xml:space="preserve">BC</t>
        </is>
      </c>
      <c r="H481" s="5">
        <v>0</v>
      </c>
      <c r="I481" s="5">
        <v>0</v>
      </c>
      <c r="J481" s="5">
        <v>1</v>
      </c>
      <c r="K481" s="5">
        <v>14.308006</v>
      </c>
      <c r="L481" s="7">
        <v>0.0</v>
      </c>
      <c r="M481" s="7">
        <v>0.0</v>
      </c>
      <c r="N481" s="7">
        <v>1.0</v>
      </c>
      <c r="O481" s="7">
        <v>0.0</v>
      </c>
    </row>
    <row r="482" outlineLevel="1">
      <c r="B482" s="0" t="inlineStr">
        <is>
          <t xml:space="preserve">2024-09-24</t>
        </is>
      </c>
      <c r="C482" s="0" t="inlineStr">
        <is>
          <t xml:space="preserve">N00024-22-C-6305</t>
        </is>
      </c>
      <c r="D482" s="0" t="inlineStr">
        <is>
          <t xml:space="preserve">non_sub</t>
        </is>
      </c>
      <c r="E482" s="0" t="inlineStr">
        <is>
          <t xml:space="preserve">other</t>
        </is>
      </c>
      <c r="F482" s="0" t="inlineStr">
        <is>
          <t xml:space="preserve">EXCLUDE_REVIEW</t>
        </is>
      </c>
      <c r="G482" s="0" t="inlineStr">
        <is>
          <t xml:space="preserve">BC</t>
        </is>
      </c>
      <c r="H482" s="5">
        <v>0</v>
      </c>
      <c r="I482" s="5">
        <v>0</v>
      </c>
      <c r="J482" s="5">
        <v>1</v>
      </c>
      <c r="K482" s="5">
        <v>14.288123</v>
      </c>
      <c r="L482" s="7">
        <v>0.0</v>
      </c>
      <c r="M482" s="7">
        <v>0.0</v>
      </c>
      <c r="N482" s="7">
        <v>1.0</v>
      </c>
      <c r="O482" s="7">
        <v>0.0</v>
      </c>
    </row>
    <row r="483" outlineLevel="1">
      <c r="B483" s="0" t="inlineStr">
        <is>
          <t xml:space="preserve">2023-01-12</t>
        </is>
      </c>
      <c r="C483" s="0" t="inlineStr">
        <is>
          <t xml:space="preserve">-</t>
        </is>
      </c>
      <c r="D483" s="0" t="inlineStr">
        <is>
          <t xml:space="preserve">non_sub</t>
        </is>
      </c>
      <c r="E483" s="0" t="inlineStr">
        <is>
          <t xml:space="preserve">other</t>
        </is>
      </c>
      <c r="F483" s="0" t="inlineStr">
        <is>
          <t xml:space="preserve">EXCLUDE_REVIEW</t>
        </is>
      </c>
      <c r="G483" s="0" t="inlineStr">
        <is>
          <t xml:space="preserve">BC</t>
        </is>
      </c>
      <c r="H483" s="5">
        <v>0</v>
      </c>
      <c r="I483" s="5">
        <v>0</v>
      </c>
      <c r="J483" s="5">
        <v>1</v>
      </c>
      <c r="K483" s="5">
        <v>14.204505</v>
      </c>
      <c r="L483" s="7">
        <v>0.0</v>
      </c>
      <c r="M483" s="7">
        <v>0.0</v>
      </c>
      <c r="N483" s="7">
        <v>1.0</v>
      </c>
      <c r="O483" s="7">
        <v>0.0</v>
      </c>
    </row>
    <row r="484" outlineLevel="1">
      <c r="B484" s="0" t="inlineStr">
        <is>
          <t xml:space="preserve">2025-09-09</t>
        </is>
      </c>
      <c r="C484" s="0" t="inlineStr">
        <is>
          <t xml:space="preserve">N00024-23-C-2324</t>
        </is>
      </c>
      <c r="D484" s="0" t="inlineStr">
        <is>
          <t xml:space="preserve">non_sub</t>
        </is>
      </c>
      <c r="E484" s="0" t="inlineStr">
        <is>
          <t xml:space="preserve">sustainment_maintenance</t>
        </is>
      </c>
      <c r="F484" s="0" t="inlineStr">
        <is>
          <t xml:space="preserve">EXCLUDE_REVIEW</t>
        </is>
      </c>
      <c r="G484" s="0" t="inlineStr">
        <is>
          <t xml:space="preserve">BC</t>
        </is>
      </c>
      <c r="H484" s="5">
        <v>0</v>
      </c>
      <c r="I484" s="5">
        <v>0</v>
      </c>
      <c r="J484" s="5">
        <v>1</v>
      </c>
      <c r="K484" s="5">
        <v>14.158049</v>
      </c>
      <c r="L484" s="7">
        <v>0.0</v>
      </c>
      <c r="M484" s="7">
        <v>0.0</v>
      </c>
      <c r="N484" s="7">
        <v>0.95</v>
      </c>
      <c r="O484" s="7">
        <v>0.0</v>
      </c>
    </row>
    <row r="485" outlineLevel="1">
      <c r="B485" s="0" t="inlineStr">
        <is>
          <t xml:space="preserve">2026-04-14</t>
        </is>
      </c>
      <c r="C485" s="0" t="inlineStr">
        <is>
          <t xml:space="preserve">N00024-26-C-5434</t>
        </is>
      </c>
      <c r="D485" s="0" t="inlineStr">
        <is>
          <t xml:space="preserve">non_sub</t>
        </is>
      </c>
      <c r="E485" s="0" t="inlineStr">
        <is>
          <t xml:space="preserve">lead_yard</t>
        </is>
      </c>
      <c r="F485" s="0" t="inlineStr">
        <is>
          <t xml:space="preserve">EXCLUDE_REVIEW</t>
        </is>
      </c>
      <c r="G485" s="0" t="inlineStr">
        <is>
          <t xml:space="preserve">BC</t>
        </is>
      </c>
      <c r="H485" s="5">
        <v>0</v>
      </c>
      <c r="I485" s="5">
        <v>0</v>
      </c>
      <c r="J485" s="5">
        <v>1</v>
      </c>
      <c r="K485" s="5">
        <v>14.055719</v>
      </c>
      <c r="L485" s="7">
        <v>0.0</v>
      </c>
      <c r="M485" s="7">
        <v>0.0</v>
      </c>
      <c r="N485" s="7">
        <v>1.0</v>
      </c>
      <c r="O485" s="7">
        <v>0.0</v>
      </c>
    </row>
    <row r="486" outlineLevel="1">
      <c r="B486" s="0" t="inlineStr">
        <is>
          <t xml:space="preserve">2025-02-14</t>
        </is>
      </c>
      <c r="C486" s="0" t="inlineStr">
        <is>
          <t xml:space="preserve">-</t>
        </is>
      </c>
      <c r="D486" s="0" t="inlineStr">
        <is>
          <t xml:space="preserve">non_sub</t>
        </is>
      </c>
      <c r="E486" s="0" t="inlineStr">
        <is>
          <t xml:space="preserve">design</t>
        </is>
      </c>
      <c r="F486" s="0" t="inlineStr">
        <is>
          <t xml:space="preserve">EXCLUDE_REVIEW</t>
        </is>
      </c>
      <c r="G486" s="0" t="inlineStr">
        <is>
          <t xml:space="preserve">BC</t>
        </is>
      </c>
      <c r="H486" s="5">
        <v>0</v>
      </c>
      <c r="I486" s="5">
        <v>0</v>
      </c>
      <c r="J486" s="5">
        <v>1</v>
      </c>
      <c r="K486" s="5">
        <v>13.952674</v>
      </c>
      <c r="L486" s="7">
        <v>0.0</v>
      </c>
      <c r="M486" s="7">
        <v>0.0</v>
      </c>
      <c r="N486" s="7">
        <v>0.0</v>
      </c>
      <c r="O486" s="7">
        <v>0.0</v>
      </c>
    </row>
    <row r="487" outlineLevel="1">
      <c r="B487" s="0" t="inlineStr">
        <is>
          <t xml:space="preserve">2025-03-14</t>
        </is>
      </c>
      <c r="C487" s="0" t="inlineStr">
        <is>
          <t xml:space="preserve">N00024-15-C-5151</t>
        </is>
      </c>
      <c r="D487" s="0" t="inlineStr">
        <is>
          <t xml:space="preserve">non_sub</t>
        </is>
      </c>
      <c r="E487" s="0" t="inlineStr">
        <is>
          <t xml:space="preserve">other</t>
        </is>
      </c>
      <c r="F487" s="0" t="inlineStr">
        <is>
          <t xml:space="preserve">EXCLUDE_REVIEW</t>
        </is>
      </c>
      <c r="G487" s="0" t="inlineStr">
        <is>
          <t xml:space="preserve">BC</t>
        </is>
      </c>
      <c r="H487" s="5">
        <v>0</v>
      </c>
      <c r="I487" s="5">
        <v>0</v>
      </c>
      <c r="J487" s="5">
        <v>1</v>
      </c>
      <c r="K487" s="5">
        <v>13.907941</v>
      </c>
      <c r="L487" s="7">
        <v>0.0</v>
      </c>
      <c r="M487" s="7">
        <v>0.0</v>
      </c>
      <c r="N487" s="7">
        <v>1.0</v>
      </c>
      <c r="O487" s="7">
        <v>0.0</v>
      </c>
    </row>
    <row r="488" outlineLevel="1">
      <c r="B488" s="0" t="inlineStr">
        <is>
          <t xml:space="preserve">2025-08-28</t>
        </is>
      </c>
      <c r="C488" s="0" t="inlineStr">
        <is>
          <t xml:space="preserve">N00024-25-C-4127</t>
        </is>
      </c>
      <c r="D488" s="0" t="inlineStr">
        <is>
          <t xml:space="preserve">non_sub</t>
        </is>
      </c>
      <c r="E488" s="0" t="inlineStr">
        <is>
          <t xml:space="preserve">engineering</t>
        </is>
      </c>
      <c r="F488" s="0" t="inlineStr">
        <is>
          <t xml:space="preserve">EXCLUDE_REVIEW</t>
        </is>
      </c>
      <c r="G488" s="0" t="inlineStr">
        <is>
          <t xml:space="preserve">BC</t>
        </is>
      </c>
      <c r="H488" s="5">
        <v>0</v>
      </c>
      <c r="I488" s="5">
        <v>0</v>
      </c>
      <c r="J488" s="5">
        <v>1</v>
      </c>
      <c r="K488" s="5">
        <v>13.744502</v>
      </c>
      <c r="L488" s="7">
        <v>0.0</v>
      </c>
      <c r="M488" s="7">
        <v>0.0</v>
      </c>
      <c r="N488" s="7">
        <v>1.0</v>
      </c>
      <c r="O488" s="7">
        <v>0.0</v>
      </c>
    </row>
    <row r="489" outlineLevel="1">
      <c r="B489" s="0" t="inlineStr">
        <is>
          <t xml:space="preserve">2022-08-23</t>
        </is>
      </c>
      <c r="C489" s="0" t="inlineStr">
        <is>
          <t xml:space="preserve">-</t>
        </is>
      </c>
      <c r="D489" s="0" t="inlineStr">
        <is>
          <t xml:space="preserve">non_sub</t>
        </is>
      </c>
      <c r="E489" s="0" t="inlineStr">
        <is>
          <t xml:space="preserve">other</t>
        </is>
      </c>
      <c r="F489" s="0" t="inlineStr">
        <is>
          <t xml:space="preserve">EXCLUDE_REVIEW</t>
        </is>
      </c>
      <c r="G489" s="0" t="inlineStr">
        <is>
          <t xml:space="preserve">BC</t>
        </is>
      </c>
      <c r="H489" s="5">
        <v>0</v>
      </c>
      <c r="I489" s="5">
        <v>0</v>
      </c>
      <c r="J489" s="5">
        <v>1</v>
      </c>
      <c r="K489" s="5">
        <v>13.542835</v>
      </c>
      <c r="L489" s="7">
        <v>0.0</v>
      </c>
      <c r="M489" s="7">
        <v>0.0</v>
      </c>
      <c r="N489" s="7">
        <v>0.0</v>
      </c>
      <c r="O489" s="7">
        <v>0.0</v>
      </c>
    </row>
    <row r="490" outlineLevel="1">
      <c r="B490" s="0" t="inlineStr">
        <is>
          <t xml:space="preserve">2023-07-06</t>
        </is>
      </c>
      <c r="C490" s="0" t="inlineStr">
        <is>
          <t xml:space="preserve">-</t>
        </is>
      </c>
      <c r="D490" s="0" t="inlineStr">
        <is>
          <t xml:space="preserve">non_sub</t>
        </is>
      </c>
      <c r="E490" s="0" t="inlineStr">
        <is>
          <t xml:space="preserve">other</t>
        </is>
      </c>
      <c r="F490" s="0" t="inlineStr">
        <is>
          <t xml:space="preserve">EXCLUDE_REVIEW</t>
        </is>
      </c>
      <c r="G490" s="0" t="inlineStr">
        <is>
          <t xml:space="preserve">BC</t>
        </is>
      </c>
      <c r="H490" s="5">
        <v>0</v>
      </c>
      <c r="I490" s="5">
        <v>0</v>
      </c>
      <c r="J490" s="5">
        <v>1</v>
      </c>
      <c r="K490" s="5">
        <v>13.395858</v>
      </c>
      <c r="L490" s="7">
        <v>0.0</v>
      </c>
      <c r="M490" s="7">
        <v>0.0</v>
      </c>
      <c r="N490" s="7">
        <v>1.0</v>
      </c>
      <c r="O490" s="7">
        <v>0.0</v>
      </c>
    </row>
    <row r="491" outlineLevel="1">
      <c r="B491" s="0" t="inlineStr">
        <is>
          <t xml:space="preserve">2023-02-27</t>
        </is>
      </c>
      <c r="C491" s="0" t="inlineStr">
        <is>
          <t xml:space="preserve">-</t>
        </is>
      </c>
      <c r="D491" s="0" t="inlineStr">
        <is>
          <t xml:space="preserve">non_sub</t>
        </is>
      </c>
      <c r="E491" s="0" t="inlineStr">
        <is>
          <t xml:space="preserve">other</t>
        </is>
      </c>
      <c r="F491" s="0" t="inlineStr">
        <is>
          <t xml:space="preserve">EXCLUDE_REVIEW</t>
        </is>
      </c>
      <c r="G491" s="0" t="inlineStr">
        <is>
          <t xml:space="preserve">BC</t>
        </is>
      </c>
      <c r="H491" s="5">
        <v>0</v>
      </c>
      <c r="I491" s="5">
        <v>0</v>
      </c>
      <c r="J491" s="5">
        <v>1</v>
      </c>
      <c r="K491" s="5">
        <v>13.174736</v>
      </c>
      <c r="L491" s="7">
        <v>0.0</v>
      </c>
      <c r="M491" s="7">
        <v>0.0</v>
      </c>
      <c r="N491" s="7">
        <v>0.0</v>
      </c>
      <c r="O491" s="7">
        <v>0.0</v>
      </c>
    </row>
    <row r="492" outlineLevel="1">
      <c r="B492" s="0" t="inlineStr">
        <is>
          <t xml:space="preserve">2025-06-30</t>
        </is>
      </c>
      <c r="C492" s="0" t="inlineStr">
        <is>
          <t xml:space="preserve">N00024-19-C-5602</t>
        </is>
      </c>
      <c r="D492" s="0" t="inlineStr">
        <is>
          <t xml:space="preserve">non_sub</t>
        </is>
      </c>
      <c r="E492" s="0" t="inlineStr">
        <is>
          <t xml:space="preserve">other</t>
        </is>
      </c>
      <c r="F492" s="0" t="inlineStr">
        <is>
          <t xml:space="preserve">EXCLUDE_REVIEW</t>
        </is>
      </c>
      <c r="G492" s="0" t="inlineStr">
        <is>
          <t xml:space="preserve">BC</t>
        </is>
      </c>
      <c r="H492" s="5">
        <v>0</v>
      </c>
      <c r="I492" s="5">
        <v>0</v>
      </c>
      <c r="J492" s="5">
        <v>1</v>
      </c>
      <c r="K492" s="5">
        <v>13.137998</v>
      </c>
      <c r="L492" s="7">
        <v>0.0</v>
      </c>
      <c r="M492" s="7">
        <v>0.0</v>
      </c>
      <c r="N492" s="7">
        <v>0.43</v>
      </c>
      <c r="O492" s="7">
        <v>0.0</v>
      </c>
    </row>
    <row r="493" outlineLevel="1">
      <c r="B493" s="0" t="inlineStr">
        <is>
          <t xml:space="preserve">2025-04-08</t>
        </is>
      </c>
      <c r="C493" s="0" t="inlineStr">
        <is>
          <t xml:space="preserve">-</t>
        </is>
      </c>
      <c r="D493" s="0" t="inlineStr">
        <is>
          <t xml:space="preserve">sub_other</t>
        </is>
      </c>
      <c r="E493" s="0" t="inlineStr">
        <is>
          <t xml:space="preserve">other</t>
        </is>
      </c>
      <c r="F493" s="0" t="inlineStr">
        <is>
          <t xml:space="preserve">EXCLUDE_REVIEW</t>
        </is>
      </c>
      <c r="G493" s="0" t="inlineStr">
        <is>
          <t xml:space="preserve">BC</t>
        </is>
      </c>
      <c r="H493" s="5">
        <v>0</v>
      </c>
      <c r="I493" s="5">
        <v>0</v>
      </c>
      <c r="J493" s="5">
        <v>1</v>
      </c>
      <c r="K493" s="5">
        <v>13.111953</v>
      </c>
      <c r="L493" s="7">
        <v>0.0</v>
      </c>
      <c r="M493" s="7">
        <v>0.0</v>
      </c>
      <c r="N493" s="7">
        <v>0.0</v>
      </c>
      <c r="O493" s="7">
        <v>0.0</v>
      </c>
    </row>
    <row r="494" outlineLevel="1">
      <c r="B494" s="0" t="inlineStr">
        <is>
          <t xml:space="preserve">2025-08-28</t>
        </is>
      </c>
      <c r="C494" s="0" t="inlineStr">
        <is>
          <t xml:space="preserve">N62793-25-F-7401</t>
        </is>
      </c>
      <c r="D494" s="0" t="inlineStr">
        <is>
          <t xml:space="preserve">non_sub</t>
        </is>
      </c>
      <c r="E494" s="0" t="inlineStr">
        <is>
          <t xml:space="preserve">repair_overhaul</t>
        </is>
      </c>
      <c r="F494" s="0" t="inlineStr">
        <is>
          <t xml:space="preserve">EXCLUDE_REVIEW</t>
        </is>
      </c>
      <c r="G494" s="0" t="inlineStr">
        <is>
          <t xml:space="preserve">BC</t>
        </is>
      </c>
      <c r="H494" s="5">
        <v>0</v>
      </c>
      <c r="I494" s="5">
        <v>0</v>
      </c>
      <c r="J494" s="5">
        <v>1</v>
      </c>
      <c r="K494" s="5">
        <v>13.062676</v>
      </c>
      <c r="L494" s="7">
        <v>0.0</v>
      </c>
      <c r="M494" s="7">
        <v>0.0</v>
      </c>
      <c r="N494" s="7">
        <v>0.0</v>
      </c>
      <c r="O494" s="7">
        <v>0.0</v>
      </c>
    </row>
    <row r="495" outlineLevel="1">
      <c r="B495" s="0" t="inlineStr">
        <is>
          <t xml:space="preserve">2023-12-06</t>
        </is>
      </c>
      <c r="C495" s="0" t="inlineStr">
        <is>
          <t xml:space="preserve">-</t>
        </is>
      </c>
      <c r="D495" s="0" t="inlineStr">
        <is>
          <t xml:space="preserve">non_sub</t>
        </is>
      </c>
      <c r="E495" s="0" t="inlineStr">
        <is>
          <t xml:space="preserve">sustainment_maintenance</t>
        </is>
      </c>
      <c r="F495" s="0" t="inlineStr">
        <is>
          <t xml:space="preserve">EXCLUDE_REVIEW</t>
        </is>
      </c>
      <c r="G495" s="0" t="inlineStr">
        <is>
          <t xml:space="preserve">BC</t>
        </is>
      </c>
      <c r="H495" s="5">
        <v>0</v>
      </c>
      <c r="I495" s="5">
        <v>0</v>
      </c>
      <c r="J495" s="5">
        <v>1</v>
      </c>
      <c r="K495" s="5">
        <v>13.026812</v>
      </c>
      <c r="L495" s="7">
        <v>0.0</v>
      </c>
      <c r="M495" s="7">
        <v>0.0</v>
      </c>
      <c r="N495" s="7">
        <v>0.0</v>
      </c>
      <c r="O495" s="7">
        <v>0.0</v>
      </c>
    </row>
    <row r="496" outlineLevel="1">
      <c r="B496" s="0" t="inlineStr">
        <is>
          <t xml:space="preserve">2025-02-18</t>
        </is>
      </c>
      <c r="C496" s="0" t="inlineStr">
        <is>
          <t xml:space="preserve">-</t>
        </is>
      </c>
      <c r="D496" s="0" t="inlineStr">
        <is>
          <t xml:space="preserve">non_sub</t>
        </is>
      </c>
      <c r="E496" s="0" t="inlineStr">
        <is>
          <t xml:space="preserve">other</t>
        </is>
      </c>
      <c r="F496" s="0" t="inlineStr">
        <is>
          <t xml:space="preserve">EXCLUDE_REVIEW</t>
        </is>
      </c>
      <c r="G496" s="0" t="inlineStr">
        <is>
          <t xml:space="preserve">BC</t>
        </is>
      </c>
      <c r="H496" s="5">
        <v>0</v>
      </c>
      <c r="I496" s="5">
        <v>0</v>
      </c>
      <c r="J496" s="5">
        <v>1</v>
      </c>
      <c r="K496" s="5">
        <v>13.010593</v>
      </c>
      <c r="L496" s="7">
        <v>0.0</v>
      </c>
      <c r="M496" s="7">
        <v>0.0</v>
      </c>
      <c r="N496" s="7">
        <v>1.0</v>
      </c>
      <c r="O496" s="7">
        <v>0.0</v>
      </c>
    </row>
    <row r="497" outlineLevel="1">
      <c r="B497" s="0" t="inlineStr">
        <is>
          <t xml:space="preserve">2025-06-05</t>
        </is>
      </c>
      <c r="C497" s="0" t="inlineStr">
        <is>
          <t xml:space="preserve">-</t>
        </is>
      </c>
      <c r="D497" s="0" t="inlineStr">
        <is>
          <t xml:space="preserve">sub_other</t>
        </is>
      </c>
      <c r="E497" s="0" t="inlineStr">
        <is>
          <t xml:space="preserve">other</t>
        </is>
      </c>
      <c r="F497" s="0" t="inlineStr">
        <is>
          <t xml:space="preserve">EXCLUDE_REVIEW</t>
        </is>
      </c>
      <c r="G497" s="0" t="inlineStr">
        <is>
          <t xml:space="preserve">BC</t>
        </is>
      </c>
      <c r="H497" s="5">
        <v>0</v>
      </c>
      <c r="I497" s="5">
        <v>0</v>
      </c>
      <c r="J497" s="5">
        <v>1</v>
      </c>
      <c r="K497" s="5">
        <v>12.880875</v>
      </c>
      <c r="L497" s="7">
        <v>0.0</v>
      </c>
      <c r="M497" s="7">
        <v>0.0</v>
      </c>
      <c r="N497" s="7">
        <v>0.0</v>
      </c>
      <c r="O497" s="7">
        <v>0.0</v>
      </c>
    </row>
    <row r="498" outlineLevel="1">
      <c r="B498" s="0" t="inlineStr">
        <is>
          <t xml:space="preserve">2026-04-06</t>
        </is>
      </c>
      <c r="C498" s="0" t="inlineStr">
        <is>
          <t xml:space="preserve">N00024-22-C-5520</t>
        </is>
      </c>
      <c r="D498" s="0" t="inlineStr">
        <is>
          <t xml:space="preserve">non_sub</t>
        </is>
      </c>
      <c r="E498" s="0" t="inlineStr">
        <is>
          <t xml:space="preserve">lead_yard</t>
        </is>
      </c>
      <c r="F498" s="0" t="inlineStr">
        <is>
          <t xml:space="preserve">EXCLUDE_REVIEW</t>
        </is>
      </c>
      <c r="G498" s="0" t="inlineStr">
        <is>
          <t xml:space="preserve">BC</t>
        </is>
      </c>
      <c r="H498" s="5">
        <v>0</v>
      </c>
      <c r="I498" s="5">
        <v>0</v>
      </c>
      <c r="J498" s="5">
        <v>1</v>
      </c>
      <c r="K498" s="5">
        <v>12.846275</v>
      </c>
      <c r="L498" s="7">
        <v>0.0</v>
      </c>
      <c r="M498" s="7">
        <v>0.0</v>
      </c>
      <c r="N498" s="7">
        <v>0.0</v>
      </c>
      <c r="O498" s="7">
        <v>0.0</v>
      </c>
    </row>
    <row r="499" outlineLevel="1">
      <c r="B499" s="0" t="inlineStr">
        <is>
          <t xml:space="preserve">2026-02-23</t>
        </is>
      </c>
      <c r="C499" s="0" t="inlineStr">
        <is>
          <t xml:space="preserve">N64498-26-D-1004</t>
        </is>
      </c>
      <c r="D499" s="0" t="inlineStr">
        <is>
          <t xml:space="preserve">sub_gfe_components</t>
        </is>
      </c>
      <c r="E499" s="0" t="inlineStr">
        <is>
          <t xml:space="preserve">component_procurement</t>
        </is>
      </c>
      <c r="F499" s="0" t="inlineStr">
        <is>
          <t xml:space="preserve">EXCLUDE_GFE</t>
        </is>
      </c>
      <c r="G499" s="0" t="inlineStr">
        <is>
          <t xml:space="preserve">BC</t>
        </is>
      </c>
      <c r="H499" s="5">
        <v>1</v>
      </c>
      <c r="I499" s="5">
        <v>1</v>
      </c>
      <c r="J499" s="5">
        <v>1</v>
      </c>
      <c r="K499" s="5">
        <v>12.778131</v>
      </c>
      <c r="L499" s="7">
        <v>0.0</v>
      </c>
      <c r="M499" s="7">
        <v>0.0</v>
      </c>
      <c r="N499" s="7">
        <v>0.0</v>
      </c>
      <c r="O499" s="7">
        <v>0.0</v>
      </c>
    </row>
    <row r="500" outlineLevel="1">
      <c r="B500" s="0" t="inlineStr">
        <is>
          <t xml:space="preserve">2023-07-27</t>
        </is>
      </c>
      <c r="C500" s="0" t="inlineStr">
        <is>
          <t xml:space="preserve">N00024-22-C-6407</t>
        </is>
      </c>
      <c r="D500" s="0" t="inlineStr">
        <is>
          <t xml:space="preserve">non_sub</t>
        </is>
      </c>
      <c r="E500" s="0" t="inlineStr">
        <is>
          <t xml:space="preserve">other</t>
        </is>
      </c>
      <c r="F500" s="0" t="inlineStr">
        <is>
          <t xml:space="preserve">EXCLUDE_REVIEW</t>
        </is>
      </c>
      <c r="G500" s="0" t="inlineStr">
        <is>
          <t xml:space="preserve">BC</t>
        </is>
      </c>
      <c r="H500" s="5">
        <v>0</v>
      </c>
      <c r="I500" s="5">
        <v>0</v>
      </c>
      <c r="J500" s="5">
        <v>1</v>
      </c>
      <c r="K500" s="5">
        <v>12.74143</v>
      </c>
      <c r="L500" s="7">
        <v>0.0</v>
      </c>
      <c r="M500" s="7">
        <v>0.0</v>
      </c>
      <c r="N500" s="7">
        <v>0.0</v>
      </c>
      <c r="O500" s="7">
        <v>0.0</v>
      </c>
    </row>
    <row r="501" outlineLevel="1">
      <c r="B501" s="0" t="inlineStr">
        <is>
          <t xml:space="preserve">2022-07-28</t>
        </is>
      </c>
      <c r="C501" s="0" t="inlineStr">
        <is>
          <t xml:space="preserve">-</t>
        </is>
      </c>
      <c r="D501" s="0" t="inlineStr">
        <is>
          <t xml:space="preserve">sub_other</t>
        </is>
      </c>
      <c r="E501" s="0" t="inlineStr">
        <is>
          <t xml:space="preserve">other</t>
        </is>
      </c>
      <c r="F501" s="0" t="inlineStr">
        <is>
          <t xml:space="preserve">EXCLUDE_REVIEW</t>
        </is>
      </c>
      <c r="G501" s="0" t="inlineStr">
        <is>
          <t xml:space="preserve">BC</t>
        </is>
      </c>
      <c r="H501" s="5">
        <v>0</v>
      </c>
      <c r="I501" s="5">
        <v>0</v>
      </c>
      <c r="J501" s="5">
        <v>1</v>
      </c>
      <c r="K501" s="5">
        <v>12.65601</v>
      </c>
      <c r="L501" s="7">
        <v>0.0</v>
      </c>
      <c r="M501" s="7">
        <v>0.0</v>
      </c>
      <c r="N501" s="7">
        <v>0.0</v>
      </c>
      <c r="O501" s="7">
        <v>0.0</v>
      </c>
    </row>
    <row r="502" outlineLevel="1">
      <c r="B502" s="0" t="inlineStr">
        <is>
          <t xml:space="preserve">2025-07-25</t>
        </is>
      </c>
      <c r="C502" s="0" t="inlineStr">
        <is>
          <t xml:space="preserve">N00024-24-C-2461</t>
        </is>
      </c>
      <c r="D502" s="0" t="inlineStr">
        <is>
          <t xml:space="preserve">non_sub</t>
        </is>
      </c>
      <c r="E502" s="0" t="inlineStr">
        <is>
          <t xml:space="preserve">other</t>
        </is>
      </c>
      <c r="F502" s="0" t="inlineStr">
        <is>
          <t xml:space="preserve">EXCLUDE_REVIEW</t>
        </is>
      </c>
      <c r="G502" s="0" t="inlineStr">
        <is>
          <t xml:space="preserve">BC</t>
        </is>
      </c>
      <c r="H502" s="5">
        <v>0</v>
      </c>
      <c r="I502" s="5">
        <v>0</v>
      </c>
      <c r="J502" s="5">
        <v>1</v>
      </c>
      <c r="K502" s="5">
        <v>12.610993</v>
      </c>
      <c r="L502" s="7">
        <v>0.0</v>
      </c>
      <c r="M502" s="7">
        <v>0.0</v>
      </c>
      <c r="N502" s="7">
        <v>1.0</v>
      </c>
      <c r="O502" s="7">
        <v>0.0</v>
      </c>
    </row>
    <row r="503" outlineLevel="1">
      <c r="B503" s="0" t="inlineStr">
        <is>
          <t xml:space="preserve">2022-07-25</t>
        </is>
      </c>
      <c r="C503" s="0" t="inlineStr">
        <is>
          <t xml:space="preserve">-</t>
        </is>
      </c>
      <c r="D503" s="0" t="inlineStr">
        <is>
          <t xml:space="preserve">non_sub</t>
        </is>
      </c>
      <c r="E503" s="0" t="inlineStr">
        <is>
          <t xml:space="preserve">engineering</t>
        </is>
      </c>
      <c r="F503" s="0" t="inlineStr">
        <is>
          <t xml:space="preserve">EXCLUDE_REVIEW</t>
        </is>
      </c>
      <c r="G503" s="0" t="inlineStr">
        <is>
          <t xml:space="preserve">BC</t>
        </is>
      </c>
      <c r="H503" s="5">
        <v>0</v>
      </c>
      <c r="I503" s="5">
        <v>0</v>
      </c>
      <c r="J503" s="5">
        <v>1</v>
      </c>
      <c r="K503" s="5">
        <v>12.565396</v>
      </c>
      <c r="L503" s="7">
        <v>0.0</v>
      </c>
      <c r="M503" s="7">
        <v>0.0</v>
      </c>
      <c r="N503" s="7">
        <v>0.0</v>
      </c>
      <c r="O503" s="7">
        <v>0.0</v>
      </c>
    </row>
    <row r="504" outlineLevel="1">
      <c r="B504" s="0" t="inlineStr">
        <is>
          <t xml:space="preserve">2025-12-18</t>
        </is>
      </c>
      <c r="C504" s="0" t="inlineStr">
        <is>
          <t xml:space="preserve">N00024-21-C-2106</t>
        </is>
      </c>
      <c r="D504" s="0" t="inlineStr">
        <is>
          <t xml:space="preserve">non_sub</t>
        </is>
      </c>
      <c r="E504" s="0" t="inlineStr">
        <is>
          <t xml:space="preserve">repair_overhaul</t>
        </is>
      </c>
      <c r="F504" s="0" t="inlineStr">
        <is>
          <t xml:space="preserve">EXCLUDE_REVIEW</t>
        </is>
      </c>
      <c r="G504" s="0" t="inlineStr">
        <is>
          <t xml:space="preserve">BC</t>
        </is>
      </c>
      <c r="H504" s="5">
        <v>0</v>
      </c>
      <c r="I504" s="5">
        <v>0</v>
      </c>
      <c r="J504" s="5">
        <v>1</v>
      </c>
      <c r="K504" s="5">
        <v>12.5</v>
      </c>
      <c r="L504" s="7">
        <v>0.0</v>
      </c>
      <c r="M504" s="7">
        <v>0.0</v>
      </c>
      <c r="N504" s="7">
        <v>0.0</v>
      </c>
      <c r="O504" s="7">
        <v>0.0</v>
      </c>
    </row>
    <row r="505" outlineLevel="1">
      <c r="B505" s="0" t="inlineStr">
        <is>
          <t xml:space="preserve">2023-10-18</t>
        </is>
      </c>
      <c r="C505" s="0" t="inlineStr">
        <is>
          <t xml:space="preserve">N00024-20-C-5203</t>
        </is>
      </c>
      <c r="D505" s="0" t="inlineStr">
        <is>
          <t xml:space="preserve">non_sub</t>
        </is>
      </c>
      <c r="E505" s="0" t="inlineStr">
        <is>
          <t xml:space="preserve">other</t>
        </is>
      </c>
      <c r="F505" s="0" t="inlineStr">
        <is>
          <t xml:space="preserve">EXCLUDE_REVIEW</t>
        </is>
      </c>
      <c r="G505" s="0" t="inlineStr">
        <is>
          <t xml:space="preserve">BC</t>
        </is>
      </c>
      <c r="H505" s="5">
        <v>0</v>
      </c>
      <c r="I505" s="5">
        <v>0</v>
      </c>
      <c r="J505" s="5">
        <v>1</v>
      </c>
      <c r="K505" s="5">
        <v>12.415389</v>
      </c>
      <c r="L505" s="7">
        <v>0.0</v>
      </c>
      <c r="M505" s="7">
        <v>0.0</v>
      </c>
      <c r="N505" s="7">
        <v>1.0</v>
      </c>
      <c r="O505" s="7">
        <v>0.0</v>
      </c>
    </row>
    <row r="506" outlineLevel="1">
      <c r="B506" s="0" t="inlineStr">
        <is>
          <t xml:space="preserve">2025-02-27</t>
        </is>
      </c>
      <c r="C506" s="0" t="inlineStr">
        <is>
          <t xml:space="preserve">N00024-20-C-6117</t>
        </is>
      </c>
      <c r="D506" s="0" t="inlineStr">
        <is>
          <t xml:space="preserve">non_sub</t>
        </is>
      </c>
      <c r="E506" s="0" t="inlineStr">
        <is>
          <t xml:space="preserve">other</t>
        </is>
      </c>
      <c r="F506" s="0" t="inlineStr">
        <is>
          <t xml:space="preserve">EXCLUDE_REVIEW</t>
        </is>
      </c>
      <c r="G506" s="0" t="inlineStr">
        <is>
          <t xml:space="preserve">BC</t>
        </is>
      </c>
      <c r="H506" s="5">
        <v>0</v>
      </c>
      <c r="I506" s="5">
        <v>0</v>
      </c>
      <c r="J506" s="5">
        <v>1</v>
      </c>
      <c r="K506" s="5">
        <v>12.312904</v>
      </c>
      <c r="L506" s="7">
        <v>0.0</v>
      </c>
      <c r="M506" s="7">
        <v>0.0</v>
      </c>
      <c r="N506" s="7">
        <v>1.0</v>
      </c>
      <c r="O506" s="7">
        <v>0.0</v>
      </c>
    </row>
    <row r="507" outlineLevel="1">
      <c r="B507" s="0" t="inlineStr">
        <is>
          <t xml:space="preserve">2025-06-09</t>
        </is>
      </c>
      <c r="C507" s="0" t="inlineStr">
        <is>
          <t xml:space="preserve">N00024-19-D-4323</t>
        </is>
      </c>
      <c r="D507" s="0" t="inlineStr">
        <is>
          <t xml:space="preserve">non_sub</t>
        </is>
      </c>
      <c r="E507" s="0" t="inlineStr">
        <is>
          <t xml:space="preserve">other</t>
        </is>
      </c>
      <c r="F507" s="0" t="inlineStr">
        <is>
          <t xml:space="preserve">EXCLUDE_REVIEW</t>
        </is>
      </c>
      <c r="G507" s="0" t="inlineStr">
        <is>
          <t xml:space="preserve">BC</t>
        </is>
      </c>
      <c r="H507" s="5">
        <v>0</v>
      </c>
      <c r="I507" s="5">
        <v>0</v>
      </c>
      <c r="J507" s="5">
        <v>1</v>
      </c>
      <c r="K507" s="5">
        <v>12.2</v>
      </c>
      <c r="L507" s="7">
        <v>0.0</v>
      </c>
      <c r="M507" s="7">
        <v>0.0</v>
      </c>
      <c r="N507" s="7">
        <v>0.0</v>
      </c>
      <c r="O507" s="7">
        <v>0.0</v>
      </c>
    </row>
    <row r="508" outlineLevel="1">
      <c r="B508" s="0" t="inlineStr">
        <is>
          <t xml:space="preserve">2025-02-03</t>
        </is>
      </c>
      <c r="C508" s="0" t="inlineStr">
        <is>
          <t xml:space="preserve">-</t>
        </is>
      </c>
      <c r="D508" s="0" t="inlineStr">
        <is>
          <t xml:space="preserve">non_sub</t>
        </is>
      </c>
      <c r="E508" s="0" t="inlineStr">
        <is>
          <t xml:space="preserve">fms</t>
        </is>
      </c>
      <c r="F508" s="0" t="inlineStr">
        <is>
          <t xml:space="preserve">EXCLUDE_REVIEW</t>
        </is>
      </c>
      <c r="G508" s="0" t="inlineStr">
        <is>
          <t xml:space="preserve">BC</t>
        </is>
      </c>
      <c r="H508" s="5">
        <v>0</v>
      </c>
      <c r="I508" s="5">
        <v>0</v>
      </c>
      <c r="J508" s="5">
        <v>1</v>
      </c>
      <c r="K508" s="5">
        <v>12.160995</v>
      </c>
      <c r="L508" s="7">
        <v>0.0</v>
      </c>
      <c r="M508" s="7">
        <v>0.0</v>
      </c>
      <c r="N508" s="7">
        <v>0.0</v>
      </c>
      <c r="O508" s="7">
        <v>0.0</v>
      </c>
    </row>
    <row r="509" outlineLevel="1">
      <c r="B509" s="0" t="inlineStr">
        <is>
          <t xml:space="preserve">2025-01-24</t>
        </is>
      </c>
      <c r="C509" s="0" t="inlineStr">
        <is>
          <t xml:space="preserve">N00024-24-C-5105</t>
        </is>
      </c>
      <c r="D509" s="0" t="inlineStr">
        <is>
          <t xml:space="preserve">non_sub</t>
        </is>
      </c>
      <c r="E509" s="0" t="inlineStr">
        <is>
          <t xml:space="preserve">other</t>
        </is>
      </c>
      <c r="F509" s="0" t="inlineStr">
        <is>
          <t xml:space="preserve">EXCLUDE_REVIEW</t>
        </is>
      </c>
      <c r="G509" s="0" t="inlineStr">
        <is>
          <t xml:space="preserve">BC</t>
        </is>
      </c>
      <c r="H509" s="5">
        <v>0</v>
      </c>
      <c r="I509" s="5">
        <v>0</v>
      </c>
      <c r="J509" s="5">
        <v>1</v>
      </c>
      <c r="K509" s="5">
        <v>12.010982</v>
      </c>
      <c r="L509" s="7">
        <v>0.0</v>
      </c>
      <c r="M509" s="7">
        <v>0.15</v>
      </c>
      <c r="N509" s="7">
        <v>0.85</v>
      </c>
      <c r="O509" s="7">
        <v>0.0</v>
      </c>
    </row>
    <row r="510" outlineLevel="1">
      <c r="B510" s="0" t="inlineStr">
        <is>
          <t xml:space="preserve">2023-06-16</t>
        </is>
      </c>
      <c r="C510" s="0" t="inlineStr">
        <is>
          <t xml:space="preserve">-</t>
        </is>
      </c>
      <c r="D510" s="0" t="inlineStr">
        <is>
          <t xml:space="preserve">sub_other</t>
        </is>
      </c>
      <c r="E510" s="0" t="inlineStr">
        <is>
          <t xml:space="preserve">other</t>
        </is>
      </c>
      <c r="F510" s="0" t="inlineStr">
        <is>
          <t xml:space="preserve">EXCLUDE_REVIEW</t>
        </is>
      </c>
      <c r="G510" s="0" t="inlineStr">
        <is>
          <t xml:space="preserve">BC</t>
        </is>
      </c>
      <c r="H510" s="5">
        <v>0</v>
      </c>
      <c r="I510" s="5">
        <v>0</v>
      </c>
      <c r="J510" s="5">
        <v>1</v>
      </c>
      <c r="K510" s="5">
        <v>11.983156</v>
      </c>
      <c r="L510" s="7">
        <v>0.0</v>
      </c>
      <c r="M510" s="7">
        <v>0.0</v>
      </c>
      <c r="N510" s="7">
        <v>0.99</v>
      </c>
      <c r="O510" s="7">
        <v>0.0</v>
      </c>
    </row>
    <row r="511" outlineLevel="1">
      <c r="B511" s="0" t="inlineStr">
        <is>
          <t xml:space="preserve">2026-03-17</t>
        </is>
      </c>
      <c r="C511" s="0" t="inlineStr">
        <is>
          <t xml:space="preserve">N00024-22-C-6418</t>
        </is>
      </c>
      <c r="D511" s="0" t="inlineStr">
        <is>
          <t xml:space="preserve">non_sub</t>
        </is>
      </c>
      <c r="E511" s="0" t="inlineStr">
        <is>
          <t xml:space="preserve">other</t>
        </is>
      </c>
      <c r="F511" s="0" t="inlineStr">
        <is>
          <t xml:space="preserve">EXCLUDE_REVIEW</t>
        </is>
      </c>
      <c r="G511" s="0" t="inlineStr">
        <is>
          <t xml:space="preserve">BC</t>
        </is>
      </c>
      <c r="H511" s="5">
        <v>0</v>
      </c>
      <c r="I511" s="5">
        <v>0</v>
      </c>
      <c r="J511" s="5">
        <v>1</v>
      </c>
      <c r="K511" s="5">
        <v>11.98019</v>
      </c>
      <c r="L511" s="7">
        <v>0.0</v>
      </c>
      <c r="M511" s="7">
        <v>0.0</v>
      </c>
      <c r="N511" s="7">
        <v>0.0</v>
      </c>
      <c r="O511" s="7">
        <v>0.0</v>
      </c>
    </row>
    <row r="512" outlineLevel="1">
      <c r="B512" s="0" t="inlineStr">
        <is>
          <t xml:space="preserve">2026-04-20</t>
        </is>
      </c>
      <c r="C512" s="0" t="inlineStr">
        <is>
          <t xml:space="preserve">-</t>
        </is>
      </c>
      <c r="D512" s="0" t="inlineStr">
        <is>
          <t xml:space="preserve">non_sub</t>
        </is>
      </c>
      <c r="E512" s="0" t="inlineStr">
        <is>
          <t xml:space="preserve">other</t>
        </is>
      </c>
      <c r="F512" s="0" t="inlineStr">
        <is>
          <t xml:space="preserve">EXCLUDE_REVIEW</t>
        </is>
      </c>
      <c r="G512" s="0" t="inlineStr">
        <is>
          <t xml:space="preserve">BC</t>
        </is>
      </c>
      <c r="H512" s="5">
        <v>0</v>
      </c>
      <c r="I512" s="5">
        <v>0</v>
      </c>
      <c r="J512" s="5">
        <v>1</v>
      </c>
      <c r="K512" s="5">
        <v>11.952154</v>
      </c>
      <c r="L512" s="7">
        <v>0.0</v>
      </c>
      <c r="M512" s="7">
        <v>0.0</v>
      </c>
      <c r="N512" s="7">
        <v>1.0</v>
      </c>
      <c r="O512" s="7">
        <v>0.0</v>
      </c>
    </row>
    <row r="513" outlineLevel="1">
      <c r="B513" s="0" t="inlineStr">
        <is>
          <t xml:space="preserve">2023-07-06</t>
        </is>
      </c>
      <c r="C513" s="0" t="inlineStr">
        <is>
          <t xml:space="preserve">-</t>
        </is>
      </c>
      <c r="D513" s="0" t="inlineStr">
        <is>
          <t xml:space="preserve">non_sub</t>
        </is>
      </c>
      <c r="E513" s="0" t="inlineStr">
        <is>
          <t xml:space="preserve">other</t>
        </is>
      </c>
      <c r="F513" s="0" t="inlineStr">
        <is>
          <t xml:space="preserve">EXCLUDE_REVIEW</t>
        </is>
      </c>
      <c r="G513" s="0" t="inlineStr">
        <is>
          <t xml:space="preserve">BC</t>
        </is>
      </c>
      <c r="H513" s="5">
        <v>0</v>
      </c>
      <c r="I513" s="5">
        <v>0</v>
      </c>
      <c r="J513" s="5">
        <v>1</v>
      </c>
      <c r="K513" s="5">
        <v>11.879879</v>
      </c>
      <c r="L513" s="7">
        <v>0.0</v>
      </c>
      <c r="M513" s="7">
        <v>0.0</v>
      </c>
      <c r="N513" s="7">
        <v>1.0</v>
      </c>
      <c r="O513" s="7">
        <v>0.0</v>
      </c>
    </row>
    <row r="514" outlineLevel="1">
      <c r="B514" s="0" t="inlineStr">
        <is>
          <t xml:space="preserve">2025-08-04</t>
        </is>
      </c>
      <c r="C514" s="0" t="inlineStr">
        <is>
          <t xml:space="preserve">N00024-23-C-2103</t>
        </is>
      </c>
      <c r="D514" s="0" t="inlineStr">
        <is>
          <t xml:space="preserve">non_sub</t>
        </is>
      </c>
      <c r="E514" s="0" t="inlineStr">
        <is>
          <t xml:space="preserve">fms</t>
        </is>
      </c>
      <c r="F514" s="0" t="inlineStr">
        <is>
          <t xml:space="preserve">EXCLUDE_REVIEW</t>
        </is>
      </c>
      <c r="G514" s="0" t="inlineStr">
        <is>
          <t xml:space="preserve">BC</t>
        </is>
      </c>
      <c r="H514" s="5">
        <v>0</v>
      </c>
      <c r="I514" s="5">
        <v>0</v>
      </c>
      <c r="J514" s="5">
        <v>1</v>
      </c>
      <c r="K514" s="5">
        <v>11.866132</v>
      </c>
      <c r="L514" s="7">
        <v>0.0</v>
      </c>
      <c r="M514" s="7">
        <v>0.0</v>
      </c>
      <c r="N514" s="7">
        <v>0.0</v>
      </c>
      <c r="O514" s="7">
        <v>0.0</v>
      </c>
    </row>
    <row r="515" outlineLevel="1">
      <c r="B515" s="0" t="inlineStr">
        <is>
          <t xml:space="preserve">2024-08-27</t>
        </is>
      </c>
      <c r="C515" s="0" t="inlineStr">
        <is>
          <t xml:space="preserve">N00024-23-C-6132</t>
        </is>
      </c>
      <c r="D515" s="0" t="inlineStr">
        <is>
          <t xml:space="preserve">non_sub</t>
        </is>
      </c>
      <c r="E515" s="0" t="inlineStr">
        <is>
          <t xml:space="preserve">design</t>
        </is>
      </c>
      <c r="F515" s="0" t="inlineStr">
        <is>
          <t xml:space="preserve">EXCLUDE_REVIEW</t>
        </is>
      </c>
      <c r="G515" s="0" t="inlineStr">
        <is>
          <t xml:space="preserve">BC</t>
        </is>
      </c>
      <c r="H515" s="5">
        <v>0</v>
      </c>
      <c r="I515" s="5">
        <v>0</v>
      </c>
      <c r="J515" s="5">
        <v>1</v>
      </c>
      <c r="K515" s="5">
        <v>11.772339</v>
      </c>
      <c r="L515" s="7">
        <v>0.0</v>
      </c>
      <c r="M515" s="7">
        <v>0.0</v>
      </c>
      <c r="N515" s="7">
        <v>0.0</v>
      </c>
      <c r="O515" s="7">
        <v>0.0</v>
      </c>
    </row>
    <row r="516" outlineLevel="1">
      <c r="B516" s="0" t="inlineStr">
        <is>
          <t xml:space="preserve">2023-12-19</t>
        </is>
      </c>
      <c r="C516" s="0" t="inlineStr">
        <is>
          <t xml:space="preserve">N00024-24-C-4301</t>
        </is>
      </c>
      <c r="D516" s="0" t="inlineStr">
        <is>
          <t xml:space="preserve">non_sub</t>
        </is>
      </c>
      <c r="E516" s="0" t="inlineStr">
        <is>
          <t xml:space="preserve">sustainment_maintenance</t>
        </is>
      </c>
      <c r="F516" s="0" t="inlineStr">
        <is>
          <t xml:space="preserve">EXCLUDE_REVIEW</t>
        </is>
      </c>
      <c r="G516" s="0" t="inlineStr">
        <is>
          <t xml:space="preserve">BC</t>
        </is>
      </c>
      <c r="H516" s="5">
        <v>0</v>
      </c>
      <c r="I516" s="5">
        <v>0</v>
      </c>
      <c r="J516" s="5">
        <v>1</v>
      </c>
      <c r="K516" s="5">
        <v>11.731666</v>
      </c>
      <c r="L516" s="7">
        <v>0.0</v>
      </c>
      <c r="M516" s="7">
        <v>0.0</v>
      </c>
      <c r="N516" s="7">
        <v>1.0</v>
      </c>
      <c r="O516" s="7">
        <v>0.0</v>
      </c>
    </row>
    <row r="517" outlineLevel="1">
      <c r="B517" s="0" t="inlineStr">
        <is>
          <t xml:space="preserve">2025-07-31</t>
        </is>
      </c>
      <c r="C517" s="0" t="inlineStr">
        <is>
          <t xml:space="preserve">-</t>
        </is>
      </c>
      <c r="D517" s="0" t="inlineStr">
        <is>
          <t xml:space="preserve">non_sub</t>
        </is>
      </c>
      <c r="E517" s="0" t="inlineStr">
        <is>
          <t xml:space="preserve">sustainment_maintenance</t>
        </is>
      </c>
      <c r="F517" s="0" t="inlineStr">
        <is>
          <t xml:space="preserve">EXCLUDE_REVIEW</t>
        </is>
      </c>
      <c r="G517" s="0" t="inlineStr">
        <is>
          <t xml:space="preserve">BC</t>
        </is>
      </c>
      <c r="H517" s="5">
        <v>0</v>
      </c>
      <c r="I517" s="5">
        <v>0</v>
      </c>
      <c r="J517" s="5">
        <v>1</v>
      </c>
      <c r="K517" s="5">
        <v>11.706592</v>
      </c>
      <c r="L517" s="7">
        <v>0.0</v>
      </c>
      <c r="M517" s="7">
        <v>0.0</v>
      </c>
      <c r="N517" s="7">
        <v>0.0</v>
      </c>
      <c r="O517" s="7">
        <v>0.0</v>
      </c>
    </row>
    <row r="518" outlineLevel="1">
      <c r="B518" s="0" t="inlineStr">
        <is>
          <t xml:space="preserve">2025-03-14</t>
        </is>
      </c>
      <c r="C518" s="0" t="inlineStr">
        <is>
          <t xml:space="preserve">N00024-25-C-2218</t>
        </is>
      </c>
      <c r="D518" s="0" t="inlineStr">
        <is>
          <t xml:space="preserve">non_sub</t>
        </is>
      </c>
      <c r="E518" s="0" t="inlineStr">
        <is>
          <t xml:space="preserve">other</t>
        </is>
      </c>
      <c r="F518" s="0" t="inlineStr">
        <is>
          <t xml:space="preserve">EXCLUDE_REVIEW</t>
        </is>
      </c>
      <c r="G518" s="0" t="inlineStr">
        <is>
          <t xml:space="preserve">BC</t>
        </is>
      </c>
      <c r="H518" s="5">
        <v>0</v>
      </c>
      <c r="I518" s="5">
        <v>0</v>
      </c>
      <c r="J518" s="5">
        <v>1</v>
      </c>
      <c r="K518" s="5">
        <v>11.70625</v>
      </c>
      <c r="L518" s="7">
        <v>0.0</v>
      </c>
      <c r="M518" s="7">
        <v>0.0</v>
      </c>
      <c r="N518" s="7">
        <v>0.0</v>
      </c>
      <c r="O518" s="7">
        <v>0.0</v>
      </c>
    </row>
    <row r="519" outlineLevel="1">
      <c r="B519" s="0" t="inlineStr">
        <is>
          <t xml:space="preserve">2024-09-10</t>
        </is>
      </c>
      <c r="C519" s="0" t="inlineStr">
        <is>
          <t xml:space="preserve">N00024-21-C-6113</t>
        </is>
      </c>
      <c r="D519" s="0" t="inlineStr">
        <is>
          <t xml:space="preserve">non_sub</t>
        </is>
      </c>
      <c r="E519" s="0" t="inlineStr">
        <is>
          <t xml:space="preserve">other</t>
        </is>
      </c>
      <c r="F519" s="0" t="inlineStr">
        <is>
          <t xml:space="preserve">EXCLUDE_REVIEW</t>
        </is>
      </c>
      <c r="G519" s="0" t="inlineStr">
        <is>
          <t xml:space="preserve">BC</t>
        </is>
      </c>
      <c r="H519" s="5">
        <v>0</v>
      </c>
      <c r="I519" s="5">
        <v>0</v>
      </c>
      <c r="J519" s="5">
        <v>1</v>
      </c>
      <c r="K519" s="5">
        <v>11.663202</v>
      </c>
      <c r="L519" s="7">
        <v>0.0</v>
      </c>
      <c r="M519" s="7">
        <v>0.0</v>
      </c>
      <c r="N519" s="7">
        <v>1.0</v>
      </c>
      <c r="O519" s="7">
        <v>0.0</v>
      </c>
    </row>
    <row r="520" outlineLevel="1">
      <c r="B520" s="0" t="inlineStr">
        <is>
          <t xml:space="preserve">2023-12-28</t>
        </is>
      </c>
      <c r="C520" s="0" t="inlineStr">
        <is>
          <t xml:space="preserve">-</t>
        </is>
      </c>
      <c r="D520" s="0" t="inlineStr">
        <is>
          <t xml:space="preserve">non_sub</t>
        </is>
      </c>
      <c r="E520" s="0" t="inlineStr">
        <is>
          <t xml:space="preserve">other</t>
        </is>
      </c>
      <c r="F520" s="0" t="inlineStr">
        <is>
          <t xml:space="preserve">EXCLUDE_REVIEW</t>
        </is>
      </c>
      <c r="G520" s="0" t="inlineStr">
        <is>
          <t xml:space="preserve">BC</t>
        </is>
      </c>
      <c r="H520" s="5">
        <v>0</v>
      </c>
      <c r="I520" s="5">
        <v>0</v>
      </c>
      <c r="J520" s="5">
        <v>1</v>
      </c>
      <c r="K520" s="5">
        <v>11.6</v>
      </c>
      <c r="L520" s="7">
        <v>0.0</v>
      </c>
      <c r="M520" s="7">
        <v>0.0</v>
      </c>
      <c r="N520" s="7">
        <v>1.0</v>
      </c>
      <c r="O520" s="7">
        <v>0.0</v>
      </c>
    </row>
    <row r="521" outlineLevel="1">
      <c r="B521" s="0" t="inlineStr">
        <is>
          <t xml:space="preserve">2025-03-14</t>
        </is>
      </c>
      <c r="C521" s="0" t="inlineStr">
        <is>
          <t xml:space="preserve">N00024-22-C-6418</t>
        </is>
      </c>
      <c r="D521" s="0" t="inlineStr">
        <is>
          <t xml:space="preserve">non_sub</t>
        </is>
      </c>
      <c r="E521" s="0" t="inlineStr">
        <is>
          <t xml:space="preserve">other</t>
        </is>
      </c>
      <c r="F521" s="0" t="inlineStr">
        <is>
          <t xml:space="preserve">EXCLUDE_REVIEW</t>
        </is>
      </c>
      <c r="G521" s="0" t="inlineStr">
        <is>
          <t xml:space="preserve">BC</t>
        </is>
      </c>
      <c r="H521" s="5">
        <v>0</v>
      </c>
      <c r="I521" s="5">
        <v>0</v>
      </c>
      <c r="J521" s="5">
        <v>1</v>
      </c>
      <c r="K521" s="5">
        <v>11.5978</v>
      </c>
      <c r="L521" s="7">
        <v>0.0</v>
      </c>
      <c r="M521" s="7">
        <v>0.0</v>
      </c>
      <c r="N521" s="7">
        <v>0.0</v>
      </c>
      <c r="O521" s="7">
        <v>0.0</v>
      </c>
    </row>
    <row r="522" outlineLevel="1">
      <c r="B522" s="0" t="inlineStr">
        <is>
          <t xml:space="preserve">2025-02-12</t>
        </is>
      </c>
      <c r="C522" s="0" t="inlineStr">
        <is>
          <t xml:space="preserve">-</t>
        </is>
      </c>
      <c r="D522" s="0" t="inlineStr">
        <is>
          <t xml:space="preserve">non_sub</t>
        </is>
      </c>
      <c r="E522" s="0" t="inlineStr">
        <is>
          <t xml:space="preserve">other</t>
        </is>
      </c>
      <c r="F522" s="0" t="inlineStr">
        <is>
          <t xml:space="preserve">EXCLUDE_REVIEW</t>
        </is>
      </c>
      <c r="G522" s="0" t="inlineStr">
        <is>
          <t xml:space="preserve">BC</t>
        </is>
      </c>
      <c r="H522" s="5">
        <v>0</v>
      </c>
      <c r="I522" s="5">
        <v>0</v>
      </c>
      <c r="J522" s="5">
        <v>1</v>
      </c>
      <c r="K522" s="5">
        <v>11.553284</v>
      </c>
      <c r="L522" s="7">
        <v>0.0</v>
      </c>
      <c r="M522" s="7">
        <v>0.0</v>
      </c>
      <c r="N522" s="7">
        <v>0.0</v>
      </c>
      <c r="O522" s="7">
        <v>0.0</v>
      </c>
    </row>
    <row r="523" outlineLevel="1">
      <c r="B523" s="0" t="inlineStr">
        <is>
          <t xml:space="preserve">2025-07-31</t>
        </is>
      </c>
      <c r="C523" s="0" t="inlineStr">
        <is>
          <t xml:space="preserve">N00024-17-C-4109</t>
        </is>
      </c>
      <c r="D523" s="0" t="inlineStr">
        <is>
          <t xml:space="preserve">non_sub</t>
        </is>
      </c>
      <c r="E523" s="0" t="inlineStr">
        <is>
          <t xml:space="preserve">construction</t>
        </is>
      </c>
      <c r="F523" s="0" t="inlineStr">
        <is>
          <t xml:space="preserve">INCLUDE_BC</t>
        </is>
      </c>
      <c r="G523" s="0" t="inlineStr">
        <is>
          <t xml:space="preserve">BC</t>
        </is>
      </c>
      <c r="H523" s="5">
        <v>0</v>
      </c>
      <c r="I523" s="5">
        <v>0</v>
      </c>
      <c r="J523" s="5">
        <v>1</v>
      </c>
      <c r="K523" s="5">
        <v>11.526652</v>
      </c>
      <c r="L523" s="7">
        <v>0.0</v>
      </c>
      <c r="M523" s="7">
        <v>0.0</v>
      </c>
      <c r="N523" s="7">
        <v>0.0</v>
      </c>
      <c r="O523" s="7">
        <v>0.0</v>
      </c>
    </row>
    <row r="524" outlineLevel="1">
      <c r="B524" s="0" t="inlineStr">
        <is>
          <t xml:space="preserve">2025-06-25</t>
        </is>
      </c>
      <c r="C524" s="0" t="inlineStr">
        <is>
          <t xml:space="preserve">N00024-25-C-4431</t>
        </is>
      </c>
      <c r="D524" s="0" t="inlineStr">
        <is>
          <t xml:space="preserve">non_sub</t>
        </is>
      </c>
      <c r="E524" s="0" t="inlineStr">
        <is>
          <t xml:space="preserve">sustainment_maintenance</t>
        </is>
      </c>
      <c r="F524" s="0" t="inlineStr">
        <is>
          <t xml:space="preserve">EXCLUDE_REVIEW</t>
        </is>
      </c>
      <c r="G524" s="0" t="inlineStr">
        <is>
          <t xml:space="preserve">BC</t>
        </is>
      </c>
      <c r="H524" s="5">
        <v>0</v>
      </c>
      <c r="I524" s="5">
        <v>0</v>
      </c>
      <c r="J524" s="5">
        <v>1</v>
      </c>
      <c r="K524" s="5">
        <v>11.488745</v>
      </c>
      <c r="L524" s="7">
        <v>0.0</v>
      </c>
      <c r="M524" s="7">
        <v>0.0</v>
      </c>
      <c r="N524" s="7">
        <v>0.0</v>
      </c>
      <c r="O524" s="7">
        <v>0.0</v>
      </c>
    </row>
    <row r="525" outlineLevel="1">
      <c r="B525" s="0" t="inlineStr">
        <is>
          <t xml:space="preserve">2026-05-14</t>
        </is>
      </c>
      <c r="C525" s="0" t="inlineStr">
        <is>
          <t xml:space="preserve">-</t>
        </is>
      </c>
      <c r="D525" s="0" t="inlineStr">
        <is>
          <t xml:space="preserve">va</t>
        </is>
      </c>
      <c r="E525" s="0" t="inlineStr">
        <is>
          <t xml:space="preserve">other</t>
        </is>
      </c>
      <c r="F525" s="0" t="inlineStr">
        <is>
          <t xml:space="preserve">EXCLUDE_REVIEW</t>
        </is>
      </c>
      <c r="G525" s="0" t="inlineStr">
        <is>
          <t xml:space="preserve">BC</t>
        </is>
      </c>
      <c r="H525" s="5">
        <v>0</v>
      </c>
      <c r="I525" s="5">
        <v>0</v>
      </c>
      <c r="J525" s="5">
        <v>1</v>
      </c>
      <c r="K525" s="5">
        <v>11.475</v>
      </c>
      <c r="L525" s="7">
        <v>0.0</v>
      </c>
      <c r="M525" s="7">
        <v>0.0</v>
      </c>
      <c r="N525" s="7">
        <v>0.0</v>
      </c>
      <c r="O525" s="7">
        <v>0.0</v>
      </c>
    </row>
    <row r="526" outlineLevel="1">
      <c r="B526" s="0" t="inlineStr">
        <is>
          <t xml:space="preserve">2025-09-12</t>
        </is>
      </c>
      <c r="C526" s="0" t="inlineStr">
        <is>
          <t xml:space="preserve">N62793-25-F-7512</t>
        </is>
      </c>
      <c r="D526" s="0" t="inlineStr">
        <is>
          <t xml:space="preserve">non_sub</t>
        </is>
      </c>
      <c r="E526" s="0" t="inlineStr">
        <is>
          <t xml:space="preserve">repair_overhaul</t>
        </is>
      </c>
      <c r="F526" s="0" t="inlineStr">
        <is>
          <t xml:space="preserve">EXCLUDE_REVIEW</t>
        </is>
      </c>
      <c r="G526" s="0" t="inlineStr">
        <is>
          <t xml:space="preserve">BC</t>
        </is>
      </c>
      <c r="H526" s="5">
        <v>0</v>
      </c>
      <c r="I526" s="5">
        <v>0</v>
      </c>
      <c r="J526" s="5">
        <v>1</v>
      </c>
      <c r="K526" s="5">
        <v>11.3624</v>
      </c>
      <c r="L526" s="7">
        <v>0.0</v>
      </c>
      <c r="M526" s="7">
        <v>0.0</v>
      </c>
      <c r="N526" s="7">
        <v>0.0</v>
      </c>
      <c r="O526" s="7">
        <v>0.0</v>
      </c>
    </row>
    <row r="527" outlineLevel="1">
      <c r="B527" s="0" t="inlineStr">
        <is>
          <t xml:space="preserve">2024-02-07</t>
        </is>
      </c>
      <c r="C527" s="0" t="inlineStr">
        <is>
          <t xml:space="preserve">-</t>
        </is>
      </c>
      <c r="D527" s="0" t="inlineStr">
        <is>
          <t xml:space="preserve">non_sub</t>
        </is>
      </c>
      <c r="E527" s="0" t="inlineStr">
        <is>
          <t xml:space="preserve">fms</t>
        </is>
      </c>
      <c r="F527" s="0" t="inlineStr">
        <is>
          <t xml:space="preserve">EXCLUDE_REVIEW</t>
        </is>
      </c>
      <c r="G527" s="0" t="inlineStr">
        <is>
          <t xml:space="preserve">BC</t>
        </is>
      </c>
      <c r="H527" s="5">
        <v>0</v>
      </c>
      <c r="I527" s="5">
        <v>0</v>
      </c>
      <c r="J527" s="5">
        <v>1</v>
      </c>
      <c r="K527" s="5">
        <v>11.3364</v>
      </c>
      <c r="L527" s="7">
        <v>0.0</v>
      </c>
      <c r="M527" s="7">
        <v>0.0</v>
      </c>
      <c r="N527" s="7">
        <v>0.0</v>
      </c>
      <c r="O527" s="7">
        <v>0.0</v>
      </c>
    </row>
    <row r="528" outlineLevel="1">
      <c r="B528" s="0" t="inlineStr">
        <is>
          <t xml:space="preserve">2025-04-11</t>
        </is>
      </c>
      <c r="C528" s="0" t="inlineStr">
        <is>
          <t xml:space="preserve">N00024-24-C-2112</t>
        </is>
      </c>
      <c r="D528" s="0" t="inlineStr">
        <is>
          <t xml:space="preserve">bpmi_nuclear</t>
        </is>
      </c>
      <c r="E528" s="0" t="inlineStr">
        <is>
          <t xml:space="preserve">component_procurement</t>
        </is>
      </c>
      <c r="F528" s="0" t="inlineStr">
        <is>
          <t xml:space="preserve">EXCLUDE_GFE_NUCLEAR</t>
        </is>
      </c>
      <c r="G528" s="0" t="inlineStr">
        <is>
          <t xml:space="preserve">BC</t>
        </is>
      </c>
      <c r="H528" s="5">
        <v>1</v>
      </c>
      <c r="I528" s="5">
        <v>1</v>
      </c>
      <c r="J528" s="5">
        <v>1</v>
      </c>
      <c r="K528" s="5">
        <v>11.264307</v>
      </c>
      <c r="L528" s="7">
        <v>0.0</v>
      </c>
      <c r="M528" s="7">
        <v>0.0</v>
      </c>
      <c r="N528" s="7">
        <v>1.0</v>
      </c>
      <c r="O528" s="7">
        <v>0.0</v>
      </c>
    </row>
    <row r="529" outlineLevel="1">
      <c r="B529" s="0" t="inlineStr">
        <is>
          <t xml:space="preserve">2025-01-31</t>
        </is>
      </c>
      <c r="C529" s="0" t="inlineStr">
        <is>
          <t xml:space="preserve">-</t>
        </is>
      </c>
      <c r="D529" s="0" t="inlineStr">
        <is>
          <t xml:space="preserve">non_sub</t>
        </is>
      </c>
      <c r="E529" s="0" t="inlineStr">
        <is>
          <t xml:space="preserve">other</t>
        </is>
      </c>
      <c r="F529" s="0" t="inlineStr">
        <is>
          <t xml:space="preserve">EXCLUDE_REVIEW</t>
        </is>
      </c>
      <c r="G529" s="0" t="inlineStr">
        <is>
          <t xml:space="preserve">BC</t>
        </is>
      </c>
      <c r="H529" s="5">
        <v>0</v>
      </c>
      <c r="I529" s="5">
        <v>0</v>
      </c>
      <c r="J529" s="5">
        <v>1</v>
      </c>
      <c r="K529" s="5">
        <v>11.152002</v>
      </c>
      <c r="L529" s="7">
        <v>0.0</v>
      </c>
      <c r="M529" s="7">
        <v>0.0</v>
      </c>
      <c r="N529" s="7">
        <v>1.0</v>
      </c>
      <c r="O529" s="7">
        <v>0.0</v>
      </c>
    </row>
    <row r="530" outlineLevel="1">
      <c r="B530" s="0" t="inlineStr">
        <is>
          <t xml:space="preserve">2024-09-27</t>
        </is>
      </c>
      <c r="C530" s="0" t="inlineStr">
        <is>
          <t xml:space="preserve">-</t>
        </is>
      </c>
      <c r="D530" s="0" t="inlineStr">
        <is>
          <t xml:space="preserve">va</t>
        </is>
      </c>
      <c r="E530" s="0" t="inlineStr">
        <is>
          <t xml:space="preserve">component_procurement</t>
        </is>
      </c>
      <c r="F530" s="0" t="inlineStr">
        <is>
          <t xml:space="preserve">INCLUDE_BC</t>
        </is>
      </c>
      <c r="G530" s="0" t="inlineStr">
        <is>
          <t xml:space="preserve">BC</t>
        </is>
      </c>
      <c r="H530" s="5">
        <v>1</v>
      </c>
      <c r="I530" s="5">
        <v>0</v>
      </c>
      <c r="J530" s="5">
        <v>1</v>
      </c>
      <c r="K530" s="5">
        <v>11.10512</v>
      </c>
      <c r="L530" s="7">
        <v>0.0</v>
      </c>
      <c r="M530" s="7">
        <v>0.0</v>
      </c>
      <c r="N530" s="7">
        <v>0.0</v>
      </c>
      <c r="O530" s="7">
        <v>0.0</v>
      </c>
    </row>
    <row r="531" outlineLevel="1">
      <c r="B531" s="0" t="inlineStr">
        <is>
          <t xml:space="preserve">2026-05-06</t>
        </is>
      </c>
      <c r="C531" s="0" t="inlineStr">
        <is>
          <t xml:space="preserve">N00024-25-C-4303</t>
        </is>
      </c>
      <c r="D531" s="0" t="inlineStr">
        <is>
          <t xml:space="preserve">non_sub</t>
        </is>
      </c>
      <c r="E531" s="0" t="inlineStr">
        <is>
          <t xml:space="preserve">other</t>
        </is>
      </c>
      <c r="F531" s="0" t="inlineStr">
        <is>
          <t xml:space="preserve">EXCLUDE_REVIEW</t>
        </is>
      </c>
      <c r="G531" s="0" t="inlineStr">
        <is>
          <t xml:space="preserve">BC</t>
        </is>
      </c>
      <c r="H531" s="5">
        <v>0</v>
      </c>
      <c r="I531" s="5">
        <v>0</v>
      </c>
      <c r="J531" s="5">
        <v>1</v>
      </c>
      <c r="K531" s="5">
        <v>11.091577</v>
      </c>
      <c r="L531" s="7">
        <v>0.0</v>
      </c>
      <c r="M531" s="7">
        <v>0.0</v>
      </c>
      <c r="N531" s="7">
        <v>0.0</v>
      </c>
      <c r="O531" s="7">
        <v>0.0</v>
      </c>
    </row>
    <row r="532" outlineLevel="1">
      <c r="B532" s="0" t="inlineStr">
        <is>
          <t xml:space="preserve">2025-12-19</t>
        </is>
      </c>
      <c r="C532" s="0" t="inlineStr">
        <is>
          <t xml:space="preserve">N00024-15-C-2114</t>
        </is>
      </c>
      <c r="D532" s="0" t="inlineStr">
        <is>
          <t xml:space="preserve">non_sub</t>
        </is>
      </c>
      <c r="E532" s="0" t="inlineStr">
        <is>
          <t xml:space="preserve">facilities</t>
        </is>
      </c>
      <c r="F532" s="0" t="inlineStr">
        <is>
          <t xml:space="preserve">EXCLUDE_REVIEW</t>
        </is>
      </c>
      <c r="G532" s="0" t="inlineStr">
        <is>
          <t xml:space="preserve">BC</t>
        </is>
      </c>
      <c r="H532" s="5">
        <v>0</v>
      </c>
      <c r="I532" s="5">
        <v>0</v>
      </c>
      <c r="J532" s="5">
        <v>1</v>
      </c>
      <c r="K532" s="5">
        <v>11.048</v>
      </c>
      <c r="L532" s="7">
        <v>0.0</v>
      </c>
      <c r="M532" s="7">
        <v>0.0</v>
      </c>
      <c r="N532" s="7">
        <v>0.0</v>
      </c>
      <c r="O532" s="7">
        <v>0.0</v>
      </c>
    </row>
    <row r="533" outlineLevel="1">
      <c r="B533" s="0" t="inlineStr">
        <is>
          <t xml:space="preserve">2024-10-21</t>
        </is>
      </c>
      <c r="C533" s="0" t="inlineStr">
        <is>
          <t xml:space="preserve">-</t>
        </is>
      </c>
      <c r="D533" s="0" t="inlineStr">
        <is>
          <t xml:space="preserve">non_sub</t>
        </is>
      </c>
      <c r="E533" s="0" t="inlineStr">
        <is>
          <t xml:space="preserve">lead_yard</t>
        </is>
      </c>
      <c r="F533" s="0" t="inlineStr">
        <is>
          <t xml:space="preserve">EXCLUDE_REVIEW</t>
        </is>
      </c>
      <c r="G533" s="0" t="inlineStr">
        <is>
          <t xml:space="preserve">BC</t>
        </is>
      </c>
      <c r="H533" s="5">
        <v>0</v>
      </c>
      <c r="I533" s="5">
        <v>0</v>
      </c>
      <c r="J533" s="5">
        <v>1</v>
      </c>
      <c r="K533" s="5">
        <v>11.040118</v>
      </c>
      <c r="L533" s="7">
        <v>0.0</v>
      </c>
      <c r="M533" s="7">
        <v>0.0</v>
      </c>
      <c r="N533" s="7">
        <v>0.0</v>
      </c>
      <c r="O533" s="7">
        <v>0.0</v>
      </c>
    </row>
    <row r="534" outlineLevel="1">
      <c r="B534" s="0" t="inlineStr">
        <is>
          <t xml:space="preserve">2025-02-14</t>
        </is>
      </c>
      <c r="C534" s="0" t="inlineStr">
        <is>
          <t xml:space="preserve">-</t>
        </is>
      </c>
      <c r="D534" s="0" t="inlineStr">
        <is>
          <t xml:space="preserve">sub_other</t>
        </is>
      </c>
      <c r="E534" s="0" t="inlineStr">
        <is>
          <t xml:space="preserve">engineering</t>
        </is>
      </c>
      <c r="F534" s="0" t="inlineStr">
        <is>
          <t xml:space="preserve">EXCLUDE_REVIEW</t>
        </is>
      </c>
      <c r="G534" s="0" t="inlineStr">
        <is>
          <t xml:space="preserve">BC</t>
        </is>
      </c>
      <c r="H534" s="5">
        <v>0</v>
      </c>
      <c r="I534" s="5">
        <v>0</v>
      </c>
      <c r="J534" s="5">
        <v>1</v>
      </c>
      <c r="K534" s="5">
        <v>11.000175</v>
      </c>
      <c r="L534" s="7">
        <v>0.0</v>
      </c>
      <c r="M534" s="7">
        <v>0.0</v>
      </c>
      <c r="N534" s="7">
        <v>1.0</v>
      </c>
      <c r="O534" s="7">
        <v>0.0</v>
      </c>
    </row>
    <row r="535" outlineLevel="1">
      <c r="B535" s="0" t="inlineStr">
        <is>
          <t xml:space="preserve">2025-04-17</t>
        </is>
      </c>
      <c r="C535" s="0" t="inlineStr">
        <is>
          <t xml:space="preserve">N00024-23-C-5206</t>
        </is>
      </c>
      <c r="D535" s="0" t="inlineStr">
        <is>
          <t xml:space="preserve">non_sub</t>
        </is>
      </c>
      <c r="E535" s="0" t="inlineStr">
        <is>
          <t xml:space="preserve">fms</t>
        </is>
      </c>
      <c r="F535" s="0" t="inlineStr">
        <is>
          <t xml:space="preserve">EXCLUDE_REVIEW</t>
        </is>
      </c>
      <c r="G535" s="0" t="inlineStr">
        <is>
          <t xml:space="preserve">BC</t>
        </is>
      </c>
      <c r="H535" s="5">
        <v>0</v>
      </c>
      <c r="I535" s="5">
        <v>0</v>
      </c>
      <c r="J535" s="5">
        <v>1</v>
      </c>
      <c r="K535" s="5">
        <v>10.98518</v>
      </c>
      <c r="L535" s="7">
        <v>0.0</v>
      </c>
      <c r="M535" s="7">
        <v>0.0</v>
      </c>
      <c r="N535" s="7">
        <v>0.0</v>
      </c>
      <c r="O535" s="7">
        <v>0.0</v>
      </c>
    </row>
    <row r="536" outlineLevel="1">
      <c r="B536" s="0" t="inlineStr">
        <is>
          <t xml:space="preserve">2025-08-13</t>
        </is>
      </c>
      <c r="C536" s="0" t="inlineStr">
        <is>
          <t xml:space="preserve">N62793-25-F-7406</t>
        </is>
      </c>
      <c r="D536" s="0" t="inlineStr">
        <is>
          <t xml:space="preserve">non_sub</t>
        </is>
      </c>
      <c r="E536" s="0" t="inlineStr">
        <is>
          <t xml:space="preserve">repair_overhaul</t>
        </is>
      </c>
      <c r="F536" s="0" t="inlineStr">
        <is>
          <t xml:space="preserve">EXCLUDE_REVIEW</t>
        </is>
      </c>
      <c r="G536" s="0" t="inlineStr">
        <is>
          <t xml:space="preserve">BC</t>
        </is>
      </c>
      <c r="H536" s="5">
        <v>0</v>
      </c>
      <c r="I536" s="5">
        <v>0</v>
      </c>
      <c r="J536" s="5">
        <v>1</v>
      </c>
      <c r="K536" s="5">
        <v>10.984857</v>
      </c>
      <c r="L536" s="7">
        <v>0.0</v>
      </c>
      <c r="M536" s="7">
        <v>0.0</v>
      </c>
      <c r="N536" s="7">
        <v>0.0</v>
      </c>
      <c r="O536" s="7">
        <v>0.0</v>
      </c>
    </row>
    <row r="537" outlineLevel="1">
      <c r="B537" s="0" t="inlineStr">
        <is>
          <t xml:space="preserve">2025-02-18</t>
        </is>
      </c>
      <c r="C537" s="0" t="inlineStr">
        <is>
          <t xml:space="preserve">N00024-25-C-4127</t>
        </is>
      </c>
      <c r="D537" s="0" t="inlineStr">
        <is>
          <t xml:space="preserve">non_sub</t>
        </is>
      </c>
      <c r="E537" s="0" t="inlineStr">
        <is>
          <t xml:space="preserve">engineering</t>
        </is>
      </c>
      <c r="F537" s="0" t="inlineStr">
        <is>
          <t xml:space="preserve">EXCLUDE_REVIEW</t>
        </is>
      </c>
      <c r="G537" s="0" t="inlineStr">
        <is>
          <t xml:space="preserve">BC</t>
        </is>
      </c>
      <c r="H537" s="5">
        <v>0</v>
      </c>
      <c r="I537" s="5">
        <v>0</v>
      </c>
      <c r="J537" s="5">
        <v>1</v>
      </c>
      <c r="K537" s="5">
        <v>10.976004</v>
      </c>
      <c r="L537" s="7">
        <v>0.0</v>
      </c>
      <c r="M537" s="7">
        <v>0.0</v>
      </c>
      <c r="N537" s="7">
        <v>1.0</v>
      </c>
      <c r="O537" s="7">
        <v>0.0</v>
      </c>
    </row>
    <row r="538" outlineLevel="1">
      <c r="B538" s="0" t="inlineStr">
        <is>
          <t xml:space="preserve">2025-11-12</t>
        </is>
      </c>
      <c r="C538" s="0" t="inlineStr">
        <is>
          <t xml:space="preserve">N00024-25-C-5409</t>
        </is>
      </c>
      <c r="D538" s="0" t="inlineStr">
        <is>
          <t xml:space="preserve">non_sub</t>
        </is>
      </c>
      <c r="E538" s="0" t="inlineStr">
        <is>
          <t xml:space="preserve">other</t>
        </is>
      </c>
      <c r="F538" s="0" t="inlineStr">
        <is>
          <t xml:space="preserve">EXCLUDE_REVIEW</t>
        </is>
      </c>
      <c r="G538" s="0" t="inlineStr">
        <is>
          <t xml:space="preserve">BC</t>
        </is>
      </c>
      <c r="H538" s="5">
        <v>0</v>
      </c>
      <c r="I538" s="5">
        <v>0</v>
      </c>
      <c r="J538" s="5">
        <v>1</v>
      </c>
      <c r="K538" s="5">
        <v>10.948646</v>
      </c>
      <c r="L538" s="7">
        <v>0.0</v>
      </c>
      <c r="M538" s="7">
        <v>0.0</v>
      </c>
      <c r="N538" s="7">
        <v>0.0</v>
      </c>
      <c r="O538" s="7">
        <v>0.0</v>
      </c>
    </row>
    <row r="539" outlineLevel="1">
      <c r="B539" s="0" t="inlineStr">
        <is>
          <t xml:space="preserve">2023-09-29</t>
        </is>
      </c>
      <c r="C539" s="0" t="inlineStr">
        <is>
          <t xml:space="preserve">-</t>
        </is>
      </c>
      <c r="D539" s="0" t="inlineStr">
        <is>
          <t xml:space="preserve">non_sub</t>
        </is>
      </c>
      <c r="E539" s="0" t="inlineStr">
        <is>
          <t xml:space="preserve">other</t>
        </is>
      </c>
      <c r="F539" s="0" t="inlineStr">
        <is>
          <t xml:space="preserve">EXCLUDE_REVIEW</t>
        </is>
      </c>
      <c r="G539" s="0" t="inlineStr">
        <is>
          <t xml:space="preserve">BC</t>
        </is>
      </c>
      <c r="H539" s="5">
        <v>0</v>
      </c>
      <c r="I539" s="5">
        <v>0</v>
      </c>
      <c r="J539" s="5">
        <v>1</v>
      </c>
      <c r="K539" s="5">
        <v>10.895364</v>
      </c>
      <c r="L539" s="7">
        <v>0.0</v>
      </c>
      <c r="M539" s="7">
        <v>0.0</v>
      </c>
      <c r="N539" s="7">
        <v>1.0</v>
      </c>
      <c r="O539" s="7">
        <v>0.0</v>
      </c>
    </row>
    <row r="540" outlineLevel="1">
      <c r="B540" s="0" t="inlineStr">
        <is>
          <t xml:space="preserve">2025-11-21</t>
        </is>
      </c>
      <c r="C540" s="0" t="inlineStr">
        <is>
          <t xml:space="preserve">N00024-23-G-5320</t>
        </is>
      </c>
      <c r="D540" s="0" t="inlineStr">
        <is>
          <t xml:space="preserve">non_sub</t>
        </is>
      </c>
      <c r="E540" s="0" t="inlineStr">
        <is>
          <t xml:space="preserve">other</t>
        </is>
      </c>
      <c r="F540" s="0" t="inlineStr">
        <is>
          <t xml:space="preserve">EXCLUDE_REVIEW</t>
        </is>
      </c>
      <c r="G540" s="0" t="inlineStr">
        <is>
          <t xml:space="preserve">BC</t>
        </is>
      </c>
      <c r="H540" s="5">
        <v>0</v>
      </c>
      <c r="I540" s="5">
        <v>0</v>
      </c>
      <c r="J540" s="5">
        <v>1</v>
      </c>
      <c r="K540" s="5">
        <v>10.847917</v>
      </c>
      <c r="L540" s="7">
        <v>0.0</v>
      </c>
      <c r="M540" s="7">
        <v>0.0</v>
      </c>
      <c r="N540" s="7">
        <v>0.0</v>
      </c>
      <c r="O540" s="7">
        <v>0.0</v>
      </c>
    </row>
    <row r="541" outlineLevel="1">
      <c r="B541" s="0" t="inlineStr">
        <is>
          <t xml:space="preserve">2024-09-27</t>
        </is>
      </c>
      <c r="C541" s="0" t="inlineStr">
        <is>
          <t xml:space="preserve">N00024-24-C-6311</t>
        </is>
      </c>
      <c r="D541" s="0" t="inlineStr">
        <is>
          <t xml:space="preserve">non_sub</t>
        </is>
      </c>
      <c r="E541" s="0" t="inlineStr">
        <is>
          <t xml:space="preserve">sustainment_maintenance</t>
        </is>
      </c>
      <c r="F541" s="0" t="inlineStr">
        <is>
          <t xml:space="preserve">EXCLUDE_REVIEW</t>
        </is>
      </c>
      <c r="G541" s="0" t="inlineStr">
        <is>
          <t xml:space="preserve">BC</t>
        </is>
      </c>
      <c r="H541" s="5">
        <v>0</v>
      </c>
      <c r="I541" s="5">
        <v>0</v>
      </c>
      <c r="J541" s="5">
        <v>1</v>
      </c>
      <c r="K541" s="5">
        <v>10.816454</v>
      </c>
      <c r="L541" s="7">
        <v>0.0</v>
      </c>
      <c r="M541" s="7">
        <v>0.0</v>
      </c>
      <c r="N541" s="7">
        <v>1.0</v>
      </c>
      <c r="O541" s="7">
        <v>0.0</v>
      </c>
    </row>
    <row r="542" outlineLevel="1">
      <c r="B542" s="0" t="inlineStr">
        <is>
          <t xml:space="preserve">2023-08-04</t>
        </is>
      </c>
      <c r="C542" s="0" t="inlineStr">
        <is>
          <t xml:space="preserve">-</t>
        </is>
      </c>
      <c r="D542" s="0" t="inlineStr">
        <is>
          <t xml:space="preserve">non_sub</t>
        </is>
      </c>
      <c r="E542" s="0" t="inlineStr">
        <is>
          <t xml:space="preserve">engineering</t>
        </is>
      </c>
      <c r="F542" s="0" t="inlineStr">
        <is>
          <t xml:space="preserve">EXCLUDE_REVIEW</t>
        </is>
      </c>
      <c r="G542" s="0" t="inlineStr">
        <is>
          <t xml:space="preserve">BC</t>
        </is>
      </c>
      <c r="H542" s="5">
        <v>0</v>
      </c>
      <c r="I542" s="5">
        <v>0</v>
      </c>
      <c r="J542" s="5">
        <v>1</v>
      </c>
      <c r="K542" s="5">
        <v>10.763572</v>
      </c>
      <c r="L542" s="7">
        <v>0.0</v>
      </c>
      <c r="M542" s="7">
        <v>0.0</v>
      </c>
      <c r="N542" s="7">
        <v>0.0</v>
      </c>
      <c r="O542" s="7">
        <v>0.0</v>
      </c>
    </row>
    <row r="543" outlineLevel="1">
      <c r="B543" s="0" t="inlineStr">
        <is>
          <t xml:space="preserve">2026-02-27</t>
        </is>
      </c>
      <c r="C543" s="0" t="inlineStr">
        <is>
          <t xml:space="preserve">N00024-23-C-5401</t>
        </is>
      </c>
      <c r="D543" s="0" t="inlineStr">
        <is>
          <t xml:space="preserve">non_sub</t>
        </is>
      </c>
      <c r="E543" s="0" t="inlineStr">
        <is>
          <t xml:space="preserve">lead_yard</t>
        </is>
      </c>
      <c r="F543" s="0" t="inlineStr">
        <is>
          <t xml:space="preserve">EXCLUDE_REVIEW</t>
        </is>
      </c>
      <c r="G543" s="0" t="inlineStr">
        <is>
          <t xml:space="preserve">BC</t>
        </is>
      </c>
      <c r="H543" s="5">
        <v>0</v>
      </c>
      <c r="I543" s="5">
        <v>0</v>
      </c>
      <c r="J543" s="5">
        <v>1</v>
      </c>
      <c r="K543" s="5">
        <v>10.762308</v>
      </c>
      <c r="L543" s="7">
        <v>0.0</v>
      </c>
      <c r="M543" s="7">
        <v>0.0</v>
      </c>
      <c r="N543" s="7">
        <v>0.0</v>
      </c>
      <c r="O543" s="7">
        <v>0.0</v>
      </c>
    </row>
    <row r="544" outlineLevel="1">
      <c r="B544" s="0" t="inlineStr">
        <is>
          <t xml:space="preserve">2023-10-04</t>
        </is>
      </c>
      <c r="C544" s="0" t="inlineStr">
        <is>
          <t xml:space="preserve">N00024-20-C-2120</t>
        </is>
      </c>
      <c r="D544" s="0" t="inlineStr">
        <is>
          <t xml:space="preserve">va</t>
        </is>
      </c>
      <c r="E544" s="0" t="inlineStr">
        <is>
          <t xml:space="preserve">design</t>
        </is>
      </c>
      <c r="F544" s="0" t="inlineStr">
        <is>
          <t xml:space="preserve">EXCLUDE_REVIEW</t>
        </is>
      </c>
      <c r="G544" s="0" t="inlineStr">
        <is>
          <t xml:space="preserve">BC</t>
        </is>
      </c>
      <c r="H544" s="5">
        <v>0</v>
      </c>
      <c r="I544" s="5">
        <v>0</v>
      </c>
      <c r="J544" s="5">
        <v>1</v>
      </c>
      <c r="K544" s="5">
        <v>10.682315</v>
      </c>
      <c r="L544" s="7">
        <v>0.0</v>
      </c>
      <c r="M544" s="7">
        <v>0.0</v>
      </c>
      <c r="N544" s="7">
        <v>0.0</v>
      </c>
      <c r="O544" s="7">
        <v>0.0</v>
      </c>
    </row>
    <row r="545" outlineLevel="1">
      <c r="B545" s="0" t="inlineStr">
        <is>
          <t xml:space="preserve">2023-09-29</t>
        </is>
      </c>
      <c r="C545" s="0" t="inlineStr">
        <is>
          <t xml:space="preserve">-</t>
        </is>
      </c>
      <c r="D545" s="0" t="inlineStr">
        <is>
          <t xml:space="preserve">non_sub</t>
        </is>
      </c>
      <c r="E545" s="0" t="inlineStr">
        <is>
          <t xml:space="preserve">other</t>
        </is>
      </c>
      <c r="F545" s="0" t="inlineStr">
        <is>
          <t xml:space="preserve">EXCLUDE_REVIEW</t>
        </is>
      </c>
      <c r="G545" s="0" t="inlineStr">
        <is>
          <t xml:space="preserve">BC</t>
        </is>
      </c>
      <c r="H545" s="5">
        <v>0</v>
      </c>
      <c r="I545" s="5">
        <v>0</v>
      </c>
      <c r="J545" s="5">
        <v>1</v>
      </c>
      <c r="K545" s="5">
        <v>10.67388</v>
      </c>
      <c r="L545" s="7">
        <v>0.0</v>
      </c>
      <c r="M545" s="7">
        <v>0.0</v>
      </c>
      <c r="N545" s="7">
        <v>1.0</v>
      </c>
      <c r="O545" s="7">
        <v>0.0</v>
      </c>
    </row>
    <row r="546" outlineLevel="1">
      <c r="B546" s="0" t="inlineStr">
        <is>
          <t xml:space="preserve">2025-05-06</t>
        </is>
      </c>
      <c r="C546" s="0" t="inlineStr">
        <is>
          <t xml:space="preserve">N00024-23-C-5300</t>
        </is>
      </c>
      <c r="D546" s="0" t="inlineStr">
        <is>
          <t xml:space="preserve">non_sub</t>
        </is>
      </c>
      <c r="E546" s="0" t="inlineStr">
        <is>
          <t xml:space="preserve">other</t>
        </is>
      </c>
      <c r="F546" s="0" t="inlineStr">
        <is>
          <t xml:space="preserve">EXCLUDE_REVIEW</t>
        </is>
      </c>
      <c r="G546" s="0" t="inlineStr">
        <is>
          <t xml:space="preserve">BC</t>
        </is>
      </c>
      <c r="H546" s="5">
        <v>0</v>
      </c>
      <c r="I546" s="5">
        <v>0</v>
      </c>
      <c r="J546" s="5">
        <v>1</v>
      </c>
      <c r="K546" s="5">
        <v>10.662488</v>
      </c>
      <c r="L546" s="7">
        <v>0.0</v>
      </c>
      <c r="M546" s="7">
        <v>0.0</v>
      </c>
      <c r="N546" s="7">
        <v>1.0</v>
      </c>
      <c r="O546" s="7">
        <v>0.0</v>
      </c>
    </row>
    <row r="547" outlineLevel="1">
      <c r="B547" s="0" t="inlineStr">
        <is>
          <t xml:space="preserve">2025-04-11</t>
        </is>
      </c>
      <c r="C547" s="0" t="inlineStr">
        <is>
          <t xml:space="preserve">N69316-25-F-4001</t>
        </is>
      </c>
      <c r="D547" s="0" t="inlineStr">
        <is>
          <t xml:space="preserve">non_sub</t>
        </is>
      </c>
      <c r="E547" s="0" t="inlineStr">
        <is>
          <t xml:space="preserve">sustainment_maintenance</t>
        </is>
      </c>
      <c r="F547" s="0" t="inlineStr">
        <is>
          <t xml:space="preserve">EXCLUDE_REVIEW</t>
        </is>
      </c>
      <c r="G547" s="0" t="inlineStr">
        <is>
          <t xml:space="preserve">BC</t>
        </is>
      </c>
      <c r="H547" s="5">
        <v>0</v>
      </c>
      <c r="I547" s="5">
        <v>0</v>
      </c>
      <c r="J547" s="5">
        <v>1</v>
      </c>
      <c r="K547" s="5">
        <v>10.659217</v>
      </c>
      <c r="L547" s="7">
        <v>0.0</v>
      </c>
      <c r="M547" s="7">
        <v>0.0</v>
      </c>
      <c r="N547" s="7">
        <v>0.0</v>
      </c>
      <c r="O547" s="7">
        <v>0.0</v>
      </c>
    </row>
    <row r="548" outlineLevel="1">
      <c r="B548" s="0" t="inlineStr">
        <is>
          <t xml:space="preserve">2026-04-10</t>
        </is>
      </c>
      <c r="C548" s="0" t="inlineStr">
        <is>
          <t xml:space="preserve">N00024-26-C-4311</t>
        </is>
      </c>
      <c r="D548" s="0" t="inlineStr">
        <is>
          <t xml:space="preserve">sub_repair</t>
        </is>
      </c>
      <c r="E548" s="0" t="inlineStr">
        <is>
          <t xml:space="preserve">repair_overhaul</t>
        </is>
      </c>
      <c r="F548" s="0" t="inlineStr">
        <is>
          <t xml:space="preserve">EXCLUDE_REVIEW</t>
        </is>
      </c>
      <c r="G548" s="0" t="inlineStr">
        <is>
          <t xml:space="preserve">BC</t>
        </is>
      </c>
      <c r="H548" s="5">
        <v>0</v>
      </c>
      <c r="I548" s="5">
        <v>0</v>
      </c>
      <c r="J548" s="5">
        <v>1</v>
      </c>
      <c r="K548" s="5">
        <v>10.610029</v>
      </c>
      <c r="L548" s="7">
        <v>0.0</v>
      </c>
      <c r="M548" s="7">
        <v>0.0</v>
      </c>
      <c r="N548" s="7">
        <v>0.0</v>
      </c>
      <c r="O548" s="7">
        <v>0.0</v>
      </c>
    </row>
    <row r="549" outlineLevel="1">
      <c r="B549" s="0" t="inlineStr">
        <is>
          <t xml:space="preserve">2025-06-06</t>
        </is>
      </c>
      <c r="C549" s="0" t="inlineStr">
        <is>
          <t xml:space="preserve">-</t>
        </is>
      </c>
      <c r="D549" s="0" t="inlineStr">
        <is>
          <t xml:space="preserve">non_sub</t>
        </is>
      </c>
      <c r="E549" s="0" t="inlineStr">
        <is>
          <t xml:space="preserve">other</t>
        </is>
      </c>
      <c r="F549" s="0" t="inlineStr">
        <is>
          <t xml:space="preserve">EXCLUDE_REVIEW</t>
        </is>
      </c>
      <c r="G549" s="0" t="inlineStr">
        <is>
          <t xml:space="preserve">BC</t>
        </is>
      </c>
      <c r="H549" s="5">
        <v>0</v>
      </c>
      <c r="I549" s="5">
        <v>0</v>
      </c>
      <c r="J549" s="5">
        <v>1</v>
      </c>
      <c r="K549" s="5">
        <v>10.519547</v>
      </c>
      <c r="L549" s="7">
        <v>0.0</v>
      </c>
      <c r="M549" s="7">
        <v>0.0</v>
      </c>
      <c r="N549" s="7">
        <v>0.0</v>
      </c>
      <c r="O549" s="7">
        <v>0.0</v>
      </c>
    </row>
    <row r="550" outlineLevel="1">
      <c r="B550" s="0" t="inlineStr">
        <is>
          <t xml:space="preserve">2023-03-20</t>
        </is>
      </c>
      <c r="C550" s="0" t="inlineStr">
        <is>
          <t xml:space="preserve">N00024-22-C-6418</t>
        </is>
      </c>
      <c r="D550" s="0" t="inlineStr">
        <is>
          <t xml:space="preserve">non_sub</t>
        </is>
      </c>
      <c r="E550" s="0" t="inlineStr">
        <is>
          <t xml:space="preserve">other</t>
        </is>
      </c>
      <c r="F550" s="0" t="inlineStr">
        <is>
          <t xml:space="preserve">EXCLUDE_REVIEW</t>
        </is>
      </c>
      <c r="G550" s="0" t="inlineStr">
        <is>
          <t xml:space="preserve">BC</t>
        </is>
      </c>
      <c r="H550" s="5">
        <v>0</v>
      </c>
      <c r="I550" s="5">
        <v>0</v>
      </c>
      <c r="J550" s="5">
        <v>1</v>
      </c>
      <c r="K550" s="5">
        <v>10.51796</v>
      </c>
      <c r="L550" s="7">
        <v>0.0</v>
      </c>
      <c r="M550" s="7">
        <v>0.0</v>
      </c>
      <c r="N550" s="7">
        <v>0.0</v>
      </c>
      <c r="O550" s="7">
        <v>0.0</v>
      </c>
    </row>
    <row r="551" outlineLevel="1">
      <c r="B551" s="0" t="inlineStr">
        <is>
          <t xml:space="preserve">2024-09-27</t>
        </is>
      </c>
      <c r="C551" s="0" t="inlineStr">
        <is>
          <t xml:space="preserve">-</t>
        </is>
      </c>
      <c r="D551" s="0" t="inlineStr">
        <is>
          <t xml:space="preserve">va</t>
        </is>
      </c>
      <c r="E551" s="0" t="inlineStr">
        <is>
          <t xml:space="preserve">other</t>
        </is>
      </c>
      <c r="F551" s="0" t="inlineStr">
        <is>
          <t xml:space="preserve">EXCLUDE_REVIEW</t>
        </is>
      </c>
      <c r="G551" s="0" t="inlineStr">
        <is>
          <t xml:space="preserve">BC</t>
        </is>
      </c>
      <c r="H551" s="5">
        <v>0</v>
      </c>
      <c r="I551" s="5">
        <v>0</v>
      </c>
      <c r="J551" s="5">
        <v>1</v>
      </c>
      <c r="K551" s="5">
        <v>10.509115</v>
      </c>
      <c r="L551" s="7">
        <v>0.0</v>
      </c>
      <c r="M551" s="7">
        <v>0.0</v>
      </c>
      <c r="N551" s="7">
        <v>0.0</v>
      </c>
      <c r="O551" s="7">
        <v>0.0</v>
      </c>
    </row>
    <row r="552" outlineLevel="1">
      <c r="B552" s="0" t="inlineStr">
        <is>
          <t xml:space="preserve">2025-12-30</t>
        </is>
      </c>
      <c r="C552" s="0" t="inlineStr">
        <is>
          <t xml:space="preserve">N00024-25-C-4412</t>
        </is>
      </c>
      <c r="D552" s="0" t="inlineStr">
        <is>
          <t xml:space="preserve">non_sub</t>
        </is>
      </c>
      <c r="E552" s="0" t="inlineStr">
        <is>
          <t xml:space="preserve">sustainment_maintenance</t>
        </is>
      </c>
      <c r="F552" s="0" t="inlineStr">
        <is>
          <t xml:space="preserve">EXCLUDE_REVIEW</t>
        </is>
      </c>
      <c r="G552" s="0" t="inlineStr">
        <is>
          <t xml:space="preserve">BC</t>
        </is>
      </c>
      <c r="H552" s="5">
        <v>0</v>
      </c>
      <c r="I552" s="5">
        <v>0</v>
      </c>
      <c r="J552" s="5">
        <v>1</v>
      </c>
      <c r="K552" s="5">
        <v>10.398203</v>
      </c>
      <c r="L552" s="7">
        <v>0.0</v>
      </c>
      <c r="M552" s="7">
        <v>0.0</v>
      </c>
      <c r="N552" s="7">
        <v>0.0</v>
      </c>
      <c r="O552" s="7">
        <v>0.0</v>
      </c>
    </row>
    <row r="553" outlineLevel="1">
      <c r="B553" s="0" t="inlineStr">
        <is>
          <t xml:space="preserve">2025-06-27</t>
        </is>
      </c>
      <c r="C553" s="0" t="inlineStr">
        <is>
          <t xml:space="preserve">N39040-25-C-2936</t>
        </is>
      </c>
      <c r="D553" s="0" t="inlineStr">
        <is>
          <t xml:space="preserve">non_sub</t>
        </is>
      </c>
      <c r="E553" s="0" t="inlineStr">
        <is>
          <t xml:space="preserve">sustainment_maintenance</t>
        </is>
      </c>
      <c r="F553" s="0" t="inlineStr">
        <is>
          <t xml:space="preserve">EXCLUDE_REVIEW</t>
        </is>
      </c>
      <c r="G553" s="0" t="inlineStr">
        <is>
          <t xml:space="preserve">BC</t>
        </is>
      </c>
      <c r="H553" s="5">
        <v>0</v>
      </c>
      <c r="I553" s="5">
        <v>0</v>
      </c>
      <c r="J553" s="5">
        <v>1</v>
      </c>
      <c r="K553" s="5">
        <v>10.337676</v>
      </c>
      <c r="L553" s="7">
        <v>0.0</v>
      </c>
      <c r="M553" s="7">
        <v>0.0</v>
      </c>
      <c r="N553" s="7">
        <v>0.0</v>
      </c>
      <c r="O553" s="7">
        <v>0.0</v>
      </c>
    </row>
    <row r="554" outlineLevel="1">
      <c r="B554" s="0" t="inlineStr">
        <is>
          <t xml:space="preserve">2025-07-15</t>
        </is>
      </c>
      <c r="C554" s="0" t="inlineStr">
        <is>
          <t xml:space="preserve">N00024-24-C-5324</t>
        </is>
      </c>
      <c r="D554" s="0" t="inlineStr">
        <is>
          <t xml:space="preserve">non_sub</t>
        </is>
      </c>
      <c r="E554" s="0" t="inlineStr">
        <is>
          <t xml:space="preserve">other</t>
        </is>
      </c>
      <c r="F554" s="0" t="inlineStr">
        <is>
          <t xml:space="preserve">EXCLUDE_REVIEW</t>
        </is>
      </c>
      <c r="G554" s="0" t="inlineStr">
        <is>
          <t xml:space="preserve">BC</t>
        </is>
      </c>
      <c r="H554" s="5">
        <v>0</v>
      </c>
      <c r="I554" s="5">
        <v>0</v>
      </c>
      <c r="J554" s="5">
        <v>1</v>
      </c>
      <c r="K554" s="5">
        <v>10.332144</v>
      </c>
      <c r="L554" s="7">
        <v>0.0</v>
      </c>
      <c r="M554" s="7">
        <v>0.0</v>
      </c>
      <c r="N554" s="7">
        <v>1.0</v>
      </c>
      <c r="O554" s="7">
        <v>0.0</v>
      </c>
    </row>
    <row r="555" outlineLevel="1">
      <c r="B555" s="0" t="inlineStr">
        <is>
          <t xml:space="preserve">2024-03-29</t>
        </is>
      </c>
      <c r="C555" s="0" t="inlineStr">
        <is>
          <t xml:space="preserve">N00024-22-C-6418</t>
        </is>
      </c>
      <c r="D555" s="0" t="inlineStr">
        <is>
          <t xml:space="preserve">non_sub</t>
        </is>
      </c>
      <c r="E555" s="0" t="inlineStr">
        <is>
          <t xml:space="preserve">other</t>
        </is>
      </c>
      <c r="F555" s="0" t="inlineStr">
        <is>
          <t xml:space="preserve">EXCLUDE_REVIEW</t>
        </is>
      </c>
      <c r="G555" s="0" t="inlineStr">
        <is>
          <t xml:space="preserve">BC</t>
        </is>
      </c>
      <c r="H555" s="5">
        <v>0</v>
      </c>
      <c r="I555" s="5">
        <v>0</v>
      </c>
      <c r="J555" s="5">
        <v>1</v>
      </c>
      <c r="K555" s="5">
        <v>10.268848</v>
      </c>
      <c r="L555" s="7">
        <v>0.0</v>
      </c>
      <c r="M555" s="7">
        <v>0.0</v>
      </c>
      <c r="N555" s="7">
        <v>0.0</v>
      </c>
      <c r="O555" s="7">
        <v>0.0</v>
      </c>
    </row>
    <row r="556" outlineLevel="1">
      <c r="B556" s="0" t="inlineStr">
        <is>
          <t xml:space="preserve">2025-03-28</t>
        </is>
      </c>
      <c r="C556" s="0" t="inlineStr">
        <is>
          <t xml:space="preserve">-</t>
        </is>
      </c>
      <c r="D556" s="0" t="inlineStr">
        <is>
          <t xml:space="preserve">va</t>
        </is>
      </c>
      <c r="E556" s="0" t="inlineStr">
        <is>
          <t xml:space="preserve">component_procurement</t>
        </is>
      </c>
      <c r="F556" s="0" t="inlineStr">
        <is>
          <t xml:space="preserve">INCLUDE_BC</t>
        </is>
      </c>
      <c r="G556" s="0" t="inlineStr">
        <is>
          <t xml:space="preserve">BC</t>
        </is>
      </c>
      <c r="H556" s="5">
        <v>1</v>
      </c>
      <c r="I556" s="5">
        <v>0</v>
      </c>
      <c r="J556" s="5">
        <v>1</v>
      </c>
      <c r="K556" s="5">
        <v>10.246959</v>
      </c>
      <c r="L556" s="7">
        <v>0.0</v>
      </c>
      <c r="M556" s="7">
        <v>0.0</v>
      </c>
      <c r="N556" s="7">
        <v>0.0</v>
      </c>
      <c r="O556" s="7">
        <v>0.0</v>
      </c>
    </row>
    <row r="557" outlineLevel="1">
      <c r="B557" s="0" t="inlineStr">
        <is>
          <t xml:space="preserve">2022-09-22</t>
        </is>
      </c>
      <c r="C557" s="0" t="inlineStr">
        <is>
          <t xml:space="preserve">-</t>
        </is>
      </c>
      <c r="D557" s="0" t="inlineStr">
        <is>
          <t xml:space="preserve">non_sub</t>
        </is>
      </c>
      <c r="E557" s="0" t="inlineStr">
        <is>
          <t xml:space="preserve">sustainment_maintenance</t>
        </is>
      </c>
      <c r="F557" s="0" t="inlineStr">
        <is>
          <t xml:space="preserve">EXCLUDE_REVIEW</t>
        </is>
      </c>
      <c r="G557" s="0" t="inlineStr">
        <is>
          <t xml:space="preserve">BC</t>
        </is>
      </c>
      <c r="H557" s="5">
        <v>0</v>
      </c>
      <c r="I557" s="5">
        <v>0</v>
      </c>
      <c r="J557" s="5">
        <v>1</v>
      </c>
      <c r="K557" s="5">
        <v>10.214192</v>
      </c>
      <c r="L557" s="7">
        <v>0.0</v>
      </c>
      <c r="M557" s="7">
        <v>0.0</v>
      </c>
      <c r="N557" s="7">
        <v>1.0</v>
      </c>
      <c r="O557" s="7">
        <v>0.0</v>
      </c>
    </row>
    <row r="558" outlineLevel="1">
      <c r="B558" s="0" t="inlineStr">
        <is>
          <t xml:space="preserve">2022-12-21</t>
        </is>
      </c>
      <c r="C558" s="0" t="inlineStr">
        <is>
          <t xml:space="preserve">N69316-23-F-6000</t>
        </is>
      </c>
      <c r="D558" s="0" t="inlineStr">
        <is>
          <t xml:space="preserve">non_sub</t>
        </is>
      </c>
      <c r="E558" s="0" t="inlineStr">
        <is>
          <t xml:space="preserve">sustainment_maintenance</t>
        </is>
      </c>
      <c r="F558" s="0" t="inlineStr">
        <is>
          <t xml:space="preserve">EXCLUDE_REVIEW</t>
        </is>
      </c>
      <c r="G558" s="0" t="inlineStr">
        <is>
          <t xml:space="preserve">BC</t>
        </is>
      </c>
      <c r="H558" s="5">
        <v>0</v>
      </c>
      <c r="I558" s="5">
        <v>0</v>
      </c>
      <c r="J558" s="5">
        <v>1</v>
      </c>
      <c r="K558" s="5">
        <v>10.132041</v>
      </c>
      <c r="L558" s="7">
        <v>0.0</v>
      </c>
      <c r="M558" s="7">
        <v>0.0</v>
      </c>
      <c r="N558" s="7">
        <v>1.0</v>
      </c>
      <c r="O558" s="7">
        <v>0.0</v>
      </c>
    </row>
    <row r="559" outlineLevel="1">
      <c r="B559" s="0" t="inlineStr">
        <is>
          <t xml:space="preserve">2025-02-10</t>
        </is>
      </c>
      <c r="C559" s="0" t="inlineStr">
        <is>
          <t xml:space="preserve">N00024-23-C-4122</t>
        </is>
      </c>
      <c r="D559" s="0" t="inlineStr">
        <is>
          <t xml:space="preserve">non_sub</t>
        </is>
      </c>
      <c r="E559" s="0" t="inlineStr">
        <is>
          <t xml:space="preserve">fms</t>
        </is>
      </c>
      <c r="F559" s="0" t="inlineStr">
        <is>
          <t xml:space="preserve">EXCLUDE_REVIEW</t>
        </is>
      </c>
      <c r="G559" s="0" t="inlineStr">
        <is>
          <t xml:space="preserve">BC</t>
        </is>
      </c>
      <c r="H559" s="5">
        <v>0</v>
      </c>
      <c r="I559" s="5">
        <v>0</v>
      </c>
      <c r="J559" s="5">
        <v>1</v>
      </c>
      <c r="K559" s="5">
        <v>10.059842</v>
      </c>
      <c r="L559" s="7">
        <v>0.0</v>
      </c>
      <c r="M559" s="7">
        <v>0.0</v>
      </c>
      <c r="N559" s="7">
        <v>0.0</v>
      </c>
      <c r="O559" s="7">
        <v>0.0</v>
      </c>
    </row>
    <row r="560" outlineLevel="1">
      <c r="B560" s="0" t="inlineStr">
        <is>
          <t xml:space="preserve">2025-08-04</t>
        </is>
      </c>
      <c r="C560" s="0" t="inlineStr">
        <is>
          <t xml:space="preserve">N00024-21-C-5434</t>
        </is>
      </c>
      <c r="D560" s="0" t="inlineStr">
        <is>
          <t xml:space="preserve">non_sub</t>
        </is>
      </c>
      <c r="E560" s="0" t="inlineStr">
        <is>
          <t xml:space="preserve">lead_yard</t>
        </is>
      </c>
      <c r="F560" s="0" t="inlineStr">
        <is>
          <t xml:space="preserve">EXCLUDE_REVIEW</t>
        </is>
      </c>
      <c r="G560" s="0" t="inlineStr">
        <is>
          <t xml:space="preserve">BC</t>
        </is>
      </c>
      <c r="H560" s="5">
        <v>0</v>
      </c>
      <c r="I560" s="5">
        <v>0</v>
      </c>
      <c r="J560" s="5">
        <v>1</v>
      </c>
      <c r="K560" s="5">
        <v>10.052768</v>
      </c>
      <c r="L560" s="7">
        <v>0.0</v>
      </c>
      <c r="M560" s="7">
        <v>0.0</v>
      </c>
      <c r="N560" s="7">
        <v>0.99</v>
      </c>
      <c r="O560" s="7">
        <v>0.0</v>
      </c>
    </row>
    <row r="561" outlineLevel="1">
      <c r="B561" s="0" t="inlineStr">
        <is>
          <t xml:space="preserve">2024-10-21</t>
        </is>
      </c>
      <c r="C561" s="0" t="inlineStr">
        <is>
          <t xml:space="preserve">N64498-25-D-0006</t>
        </is>
      </c>
      <c r="D561" s="0" t="inlineStr">
        <is>
          <t xml:space="preserve">sub_other</t>
        </is>
      </c>
      <c r="E561" s="0" t="inlineStr">
        <is>
          <t xml:space="preserve">other</t>
        </is>
      </c>
      <c r="F561" s="0" t="inlineStr">
        <is>
          <t xml:space="preserve">EXCLUDE_REVIEW</t>
        </is>
      </c>
      <c r="G561" s="0" t="inlineStr">
        <is>
          <t xml:space="preserve">BC</t>
        </is>
      </c>
      <c r="H561" s="5">
        <v>0</v>
      </c>
      <c r="I561" s="5">
        <v>0</v>
      </c>
      <c r="J561" s="5">
        <v>1</v>
      </c>
      <c r="K561" s="5">
        <v>10.01061</v>
      </c>
      <c r="L561" s="7">
        <v>0.0</v>
      </c>
      <c r="M561" s="7">
        <v>0.0</v>
      </c>
      <c r="N561" s="7">
        <v>0.0</v>
      </c>
      <c r="O561" s="7">
        <v>0.0</v>
      </c>
    </row>
    <row r="562" outlineLevel="1">
      <c r="B562" s="0" t="inlineStr">
        <is>
          <t xml:space="preserve">2023-09-29</t>
        </is>
      </c>
      <c r="C562" s="0" t="inlineStr">
        <is>
          <t xml:space="preserve">-</t>
        </is>
      </c>
      <c r="D562" s="0" t="inlineStr">
        <is>
          <t xml:space="preserve">non_sub</t>
        </is>
      </c>
      <c r="E562" s="0" t="inlineStr">
        <is>
          <t xml:space="preserve">sustainment_maintenance</t>
        </is>
      </c>
      <c r="F562" s="0" t="inlineStr">
        <is>
          <t xml:space="preserve">EXCLUDE_REVIEW</t>
        </is>
      </c>
      <c r="G562" s="0" t="inlineStr">
        <is>
          <t xml:space="preserve">BC</t>
        </is>
      </c>
      <c r="H562" s="5">
        <v>0</v>
      </c>
      <c r="I562" s="5">
        <v>0</v>
      </c>
      <c r="J562" s="5">
        <v>1</v>
      </c>
      <c r="K562" s="5">
        <v>10.0</v>
      </c>
      <c r="L562" s="7">
        <v>0.0</v>
      </c>
      <c r="M562" s="7">
        <v>0.0</v>
      </c>
      <c r="N562" s="7">
        <v>0.0</v>
      </c>
      <c r="O562" s="7">
        <v>0.0</v>
      </c>
    </row>
    <row r="563" outlineLevel="1">
      <c r="B563" s="0" t="inlineStr">
        <is>
          <t xml:space="preserve">2022-09-30</t>
        </is>
      </c>
      <c r="C563" s="0" t="inlineStr">
        <is>
          <t xml:space="preserve">N00024-19-C-6311</t>
        </is>
      </c>
      <c r="D563" s="0" t="inlineStr">
        <is>
          <t xml:space="preserve">non_sub</t>
        </is>
      </c>
      <c r="E563" s="0" t="inlineStr">
        <is>
          <t xml:space="preserve">engineering</t>
        </is>
      </c>
      <c r="F563" s="0" t="inlineStr">
        <is>
          <t xml:space="preserve">EXCLUDE_REVIEW</t>
        </is>
      </c>
      <c r="G563" s="0" t="inlineStr">
        <is>
          <t xml:space="preserve">BC</t>
        </is>
      </c>
      <c r="H563" s="5">
        <v>0</v>
      </c>
      <c r="I563" s="5">
        <v>0</v>
      </c>
      <c r="J563" s="5">
        <v>1</v>
      </c>
      <c r="K563" s="5">
        <v>9.987324</v>
      </c>
      <c r="L563" s="7">
        <v>0.0</v>
      </c>
      <c r="M563" s="7">
        <v>0.0</v>
      </c>
      <c r="N563" s="7">
        <v>1.0</v>
      </c>
      <c r="O563" s="7">
        <v>0.0</v>
      </c>
    </row>
    <row r="564" outlineLevel="1">
      <c r="B564" s="0" t="inlineStr">
        <is>
          <t xml:space="preserve">2024-09-19</t>
        </is>
      </c>
      <c r="C564" s="0" t="inlineStr">
        <is>
          <t xml:space="preserve">N00024-20-C-6117</t>
        </is>
      </c>
      <c r="D564" s="0" t="inlineStr">
        <is>
          <t xml:space="preserve">non_sub</t>
        </is>
      </c>
      <c r="E564" s="0" t="inlineStr">
        <is>
          <t xml:space="preserve">lltm_early_mfg</t>
        </is>
      </c>
      <c r="F564" s="0" t="inlineStr">
        <is>
          <t xml:space="preserve">INCLUDE_AP_LLTM</t>
        </is>
      </c>
      <c r="G564" s="0" t="inlineStr">
        <is>
          <t xml:space="preserve">AP_LLTM</t>
        </is>
      </c>
      <c r="H564" s="5">
        <v>0</v>
      </c>
      <c r="I564" s="5">
        <v>0</v>
      </c>
      <c r="J564" s="5">
        <v>1</v>
      </c>
      <c r="K564" s="5">
        <v>9.982161</v>
      </c>
      <c r="L564" s="7">
        <v>0.0</v>
      </c>
      <c r="M564" s="7">
        <v>0.0</v>
      </c>
      <c r="N564" s="7">
        <v>1.0</v>
      </c>
      <c r="O564" s="7">
        <v>0.0</v>
      </c>
    </row>
    <row r="565" outlineLevel="1">
      <c r="B565" s="0" t="inlineStr">
        <is>
          <t xml:space="preserve">2025-05-01</t>
        </is>
      </c>
      <c r="C565" s="0" t="inlineStr">
        <is>
          <t xml:space="preserve">N00024-23-C-5123</t>
        </is>
      </c>
      <c r="D565" s="0" t="inlineStr">
        <is>
          <t xml:space="preserve">non_sub</t>
        </is>
      </c>
      <c r="E565" s="0" t="inlineStr">
        <is>
          <t xml:space="preserve">fms</t>
        </is>
      </c>
      <c r="F565" s="0" t="inlineStr">
        <is>
          <t xml:space="preserve">EXCLUDE_REVIEW</t>
        </is>
      </c>
      <c r="G565" s="0" t="inlineStr">
        <is>
          <t xml:space="preserve">BC</t>
        </is>
      </c>
      <c r="H565" s="5">
        <v>0</v>
      </c>
      <c r="I565" s="5">
        <v>0</v>
      </c>
      <c r="J565" s="5">
        <v>1</v>
      </c>
      <c r="K565" s="5">
        <v>9.962815</v>
      </c>
      <c r="L565" s="7">
        <v>0.0</v>
      </c>
      <c r="M565" s="7">
        <v>0.0</v>
      </c>
      <c r="N565" s="7">
        <v>0.0</v>
      </c>
      <c r="O565" s="7">
        <v>0.0</v>
      </c>
    </row>
    <row r="566" outlineLevel="1">
      <c r="B566" s="0" t="inlineStr">
        <is>
          <t xml:space="preserve">2023-05-01</t>
        </is>
      </c>
      <c r="C566" s="0" t="inlineStr">
        <is>
          <t xml:space="preserve">N00024-23-C-5300</t>
        </is>
      </c>
      <c r="D566" s="0" t="inlineStr">
        <is>
          <t xml:space="preserve">non_sub</t>
        </is>
      </c>
      <c r="E566" s="0" t="inlineStr">
        <is>
          <t xml:space="preserve">other</t>
        </is>
      </c>
      <c r="F566" s="0" t="inlineStr">
        <is>
          <t xml:space="preserve">EXCLUDE_REVIEW</t>
        </is>
      </c>
      <c r="G566" s="0" t="inlineStr">
        <is>
          <t xml:space="preserve">BC</t>
        </is>
      </c>
      <c r="H566" s="5">
        <v>0</v>
      </c>
      <c r="I566" s="5">
        <v>0</v>
      </c>
      <c r="J566" s="5">
        <v>1</v>
      </c>
      <c r="K566" s="5">
        <v>9.948433</v>
      </c>
      <c r="L566" s="7">
        <v>0.0</v>
      </c>
      <c r="M566" s="7">
        <v>0.0</v>
      </c>
      <c r="N566" s="7">
        <v>1.0</v>
      </c>
      <c r="O566" s="7">
        <v>0.0</v>
      </c>
    </row>
    <row r="567" outlineLevel="1">
      <c r="B567" s="0" t="inlineStr">
        <is>
          <t xml:space="preserve">2025-06-30</t>
        </is>
      </c>
      <c r="C567" s="0" t="inlineStr">
        <is>
          <t xml:space="preserve">N00024-23-C-5325</t>
        </is>
      </c>
      <c r="D567" s="0" t="inlineStr">
        <is>
          <t xml:space="preserve">non_sub</t>
        </is>
      </c>
      <c r="E567" s="0" t="inlineStr">
        <is>
          <t xml:space="preserve">other</t>
        </is>
      </c>
      <c r="F567" s="0" t="inlineStr">
        <is>
          <t xml:space="preserve">EXCLUDE_REVIEW</t>
        </is>
      </c>
      <c r="G567" s="0" t="inlineStr">
        <is>
          <t xml:space="preserve">BC</t>
        </is>
      </c>
      <c r="H567" s="5">
        <v>0</v>
      </c>
      <c r="I567" s="5">
        <v>0</v>
      </c>
      <c r="J567" s="5">
        <v>1</v>
      </c>
      <c r="K567" s="5">
        <v>9.935387</v>
      </c>
      <c r="L567" s="7">
        <v>0.0</v>
      </c>
      <c r="M567" s="7">
        <v>0.0</v>
      </c>
      <c r="N567" s="7">
        <v>0.77</v>
      </c>
      <c r="O567" s="7">
        <v>0.0</v>
      </c>
    </row>
    <row r="568" outlineLevel="1">
      <c r="B568" s="0" t="inlineStr">
        <is>
          <t xml:space="preserve">2023-09-29</t>
        </is>
      </c>
      <c r="C568" s="0" t="inlineStr">
        <is>
          <t xml:space="preserve">N00024-22-C-5500</t>
        </is>
      </c>
      <c r="D568" s="0" t="inlineStr">
        <is>
          <t xml:space="preserve">non_sub</t>
        </is>
      </c>
      <c r="E568" s="0" t="inlineStr">
        <is>
          <t xml:space="preserve">other</t>
        </is>
      </c>
      <c r="F568" s="0" t="inlineStr">
        <is>
          <t xml:space="preserve">EXCLUDE_REVIEW</t>
        </is>
      </c>
      <c r="G568" s="0" t="inlineStr">
        <is>
          <t xml:space="preserve">BC</t>
        </is>
      </c>
      <c r="H568" s="5">
        <v>0</v>
      </c>
      <c r="I568" s="5">
        <v>0</v>
      </c>
      <c r="J568" s="5">
        <v>1</v>
      </c>
      <c r="K568" s="5">
        <v>9.897098</v>
      </c>
      <c r="L568" s="7">
        <v>0.0</v>
      </c>
      <c r="M568" s="7">
        <v>0.0</v>
      </c>
      <c r="N568" s="7">
        <v>0.71</v>
      </c>
      <c r="O568" s="7">
        <v>0.0</v>
      </c>
    </row>
    <row r="569" outlineLevel="1">
      <c r="B569" s="0" t="inlineStr">
        <is>
          <t xml:space="preserve">2025-08-22</t>
        </is>
      </c>
      <c r="C569" s="0" t="inlineStr">
        <is>
          <t xml:space="preserve">-</t>
        </is>
      </c>
      <c r="D569" s="0" t="inlineStr">
        <is>
          <t xml:space="preserve">va</t>
        </is>
      </c>
      <c r="E569" s="0" t="inlineStr">
        <is>
          <t xml:space="preserve">component_procurement</t>
        </is>
      </c>
      <c r="F569" s="0" t="inlineStr">
        <is>
          <t xml:space="preserve">INCLUDE_BC</t>
        </is>
      </c>
      <c r="G569" s="0" t="inlineStr">
        <is>
          <t xml:space="preserve">BC</t>
        </is>
      </c>
      <c r="H569" s="5">
        <v>1</v>
      </c>
      <c r="I569" s="5">
        <v>0</v>
      </c>
      <c r="J569" s="5">
        <v>1</v>
      </c>
      <c r="K569" s="5">
        <v>9.877737</v>
      </c>
      <c r="L569" s="7">
        <v>0.0</v>
      </c>
      <c r="M569" s="7">
        <v>0.0</v>
      </c>
      <c r="N569" s="7">
        <v>0.0</v>
      </c>
      <c r="O569" s="7">
        <v>0.0</v>
      </c>
    </row>
    <row r="570" outlineLevel="1">
      <c r="B570" s="0" t="inlineStr">
        <is>
          <t xml:space="preserve">2022-09-30</t>
        </is>
      </c>
      <c r="C570" s="0" t="inlineStr">
        <is>
          <t xml:space="preserve">N00024-19-C-5388</t>
        </is>
      </c>
      <c r="D570" s="0" t="inlineStr">
        <is>
          <t xml:space="preserve">non_sub</t>
        </is>
      </c>
      <c r="E570" s="0" t="inlineStr">
        <is>
          <t xml:space="preserve">component_procurement</t>
        </is>
      </c>
      <c r="F570" s="0" t="inlineStr">
        <is>
          <t xml:space="preserve">INCLUDE_BC</t>
        </is>
      </c>
      <c r="G570" s="0" t="inlineStr">
        <is>
          <t xml:space="preserve">BC</t>
        </is>
      </c>
      <c r="H570" s="5">
        <v>0</v>
      </c>
      <c r="I570" s="5">
        <v>0</v>
      </c>
      <c r="J570" s="5">
        <v>1</v>
      </c>
      <c r="K570" s="5">
        <v>9.837129</v>
      </c>
      <c r="L570" s="7">
        <v>0.0</v>
      </c>
      <c r="M570" s="7">
        <v>0.0</v>
      </c>
      <c r="N570" s="7">
        <v>0.0</v>
      </c>
      <c r="O570" s="7">
        <v>0.0</v>
      </c>
    </row>
    <row r="571" outlineLevel="1">
      <c r="B571" s="0" t="inlineStr">
        <is>
          <t xml:space="preserve">2025-03-19</t>
        </is>
      </c>
      <c r="C571" s="0" t="inlineStr">
        <is>
          <t xml:space="preserve">N00024-21-D-4114</t>
        </is>
      </c>
      <c r="D571" s="0" t="inlineStr">
        <is>
          <t xml:space="preserve">non_sub</t>
        </is>
      </c>
      <c r="E571" s="0" t="inlineStr">
        <is>
          <t xml:space="preserve">other</t>
        </is>
      </c>
      <c r="F571" s="0" t="inlineStr">
        <is>
          <t xml:space="preserve">EXCLUDE_REVIEW</t>
        </is>
      </c>
      <c r="G571" s="0" t="inlineStr">
        <is>
          <t xml:space="preserve">BC</t>
        </is>
      </c>
      <c r="H571" s="5">
        <v>0</v>
      </c>
      <c r="I571" s="5">
        <v>0</v>
      </c>
      <c r="J571" s="5">
        <v>1</v>
      </c>
      <c r="K571" s="5">
        <v>9.774058</v>
      </c>
      <c r="L571" s="7">
        <v>0.0</v>
      </c>
      <c r="M571" s="7">
        <v>0.0</v>
      </c>
      <c r="N571" s="7">
        <v>0.0</v>
      </c>
      <c r="O571" s="7">
        <v>0.0</v>
      </c>
    </row>
    <row r="572" outlineLevel="1">
      <c r="B572" s="0" t="inlineStr">
        <is>
          <t xml:space="preserve">2025-12-10</t>
        </is>
      </c>
      <c r="C572" s="0" t="inlineStr">
        <is>
          <t xml:space="preserve">-</t>
        </is>
      </c>
      <c r="D572" s="0" t="inlineStr">
        <is>
          <t xml:space="preserve">non_sub</t>
        </is>
      </c>
      <c r="E572" s="0" t="inlineStr">
        <is>
          <t xml:space="preserve">design</t>
        </is>
      </c>
      <c r="F572" s="0" t="inlineStr">
        <is>
          <t xml:space="preserve">EXCLUDE_REVIEW</t>
        </is>
      </c>
      <c r="G572" s="0" t="inlineStr">
        <is>
          <t xml:space="preserve">BC</t>
        </is>
      </c>
      <c r="H572" s="5">
        <v>0</v>
      </c>
      <c r="I572" s="5">
        <v>0</v>
      </c>
      <c r="J572" s="5">
        <v>1</v>
      </c>
      <c r="K572" s="5">
        <v>9.767295</v>
      </c>
      <c r="L572" s="7">
        <v>0.0</v>
      </c>
      <c r="M572" s="7">
        <v>0.0</v>
      </c>
      <c r="N572" s="7">
        <v>1.0</v>
      </c>
      <c r="O572" s="7">
        <v>0.0</v>
      </c>
    </row>
    <row r="573" outlineLevel="1">
      <c r="B573" s="0" t="inlineStr">
        <is>
          <t xml:space="preserve">2026-02-19</t>
        </is>
      </c>
      <c r="C573" s="0" t="inlineStr">
        <is>
          <t xml:space="preserve">N00024-25-C-2400</t>
        </is>
      </c>
      <c r="D573" s="0" t="inlineStr">
        <is>
          <t xml:space="preserve">non_sub</t>
        </is>
      </c>
      <c r="E573" s="0" t="inlineStr">
        <is>
          <t xml:space="preserve">sustainment_maintenance</t>
        </is>
      </c>
      <c r="F573" s="0" t="inlineStr">
        <is>
          <t xml:space="preserve">EXCLUDE_REVIEW</t>
        </is>
      </c>
      <c r="G573" s="0" t="inlineStr">
        <is>
          <t xml:space="preserve">BC</t>
        </is>
      </c>
      <c r="H573" s="5">
        <v>0</v>
      </c>
      <c r="I573" s="5">
        <v>0</v>
      </c>
      <c r="J573" s="5">
        <v>1</v>
      </c>
      <c r="K573" s="5">
        <v>9.7085</v>
      </c>
      <c r="L573" s="7">
        <v>0.0</v>
      </c>
      <c r="M573" s="7">
        <v>0.0</v>
      </c>
      <c r="N573" s="7">
        <v>0.0</v>
      </c>
      <c r="O573" s="7">
        <v>0.0</v>
      </c>
    </row>
    <row r="574" outlineLevel="1">
      <c r="B574" s="0" t="inlineStr">
        <is>
          <t xml:space="preserve">2024-02-29</t>
        </is>
      </c>
      <c r="C574" s="0" t="inlineStr">
        <is>
          <t xml:space="preserve">N00024-24-C-4201</t>
        </is>
      </c>
      <c r="D574" s="0" t="inlineStr">
        <is>
          <t xml:space="preserve">non_sub</t>
        </is>
      </c>
      <c r="E574" s="0" t="inlineStr">
        <is>
          <t xml:space="preserve">sustainment_maintenance</t>
        </is>
      </c>
      <c r="F574" s="0" t="inlineStr">
        <is>
          <t xml:space="preserve">EXCLUDE_REVIEW</t>
        </is>
      </c>
      <c r="G574" s="0" t="inlineStr">
        <is>
          <t xml:space="preserve">BC</t>
        </is>
      </c>
      <c r="H574" s="5">
        <v>0</v>
      </c>
      <c r="I574" s="5">
        <v>0</v>
      </c>
      <c r="J574" s="5">
        <v>1</v>
      </c>
      <c r="K574" s="5">
        <v>9.698632</v>
      </c>
      <c r="L574" s="7">
        <v>0.0</v>
      </c>
      <c r="M574" s="7">
        <v>0.0</v>
      </c>
      <c r="N574" s="7">
        <v>1.0</v>
      </c>
      <c r="O574" s="7">
        <v>0.0</v>
      </c>
    </row>
    <row r="575" outlineLevel="1">
      <c r="B575" s="0" t="inlineStr">
        <is>
          <t xml:space="preserve">2023-03-20</t>
        </is>
      </c>
      <c r="C575" s="0" t="inlineStr">
        <is>
          <t xml:space="preserve">N00024-13-C-2305</t>
        </is>
      </c>
      <c r="D575" s="0" t="inlineStr">
        <is>
          <t xml:space="preserve">non_sub</t>
        </is>
      </c>
      <c r="E575" s="0" t="inlineStr">
        <is>
          <t xml:space="preserve">sustainment_maintenance</t>
        </is>
      </c>
      <c r="F575" s="0" t="inlineStr">
        <is>
          <t xml:space="preserve">EXCLUDE_REVIEW</t>
        </is>
      </c>
      <c r="G575" s="0" t="inlineStr">
        <is>
          <t xml:space="preserve">BC</t>
        </is>
      </c>
      <c r="H575" s="5">
        <v>0</v>
      </c>
      <c r="I575" s="5">
        <v>0</v>
      </c>
      <c r="J575" s="5">
        <v>1</v>
      </c>
      <c r="K575" s="5">
        <v>9.609633</v>
      </c>
      <c r="L575" s="7">
        <v>0.0</v>
      </c>
      <c r="M575" s="7">
        <v>0.0</v>
      </c>
      <c r="N575" s="7">
        <v>0.99</v>
      </c>
      <c r="O575" s="7">
        <v>0.0</v>
      </c>
    </row>
    <row r="576" outlineLevel="1">
      <c r="B576" s="0" t="inlineStr">
        <is>
          <t xml:space="preserve">2023-11-03</t>
        </is>
      </c>
      <c r="C576" s="0" t="inlineStr">
        <is>
          <t xml:space="preserve">-</t>
        </is>
      </c>
      <c r="D576" s="0" t="inlineStr">
        <is>
          <t xml:space="preserve">sub_other</t>
        </is>
      </c>
      <c r="E576" s="0" t="inlineStr">
        <is>
          <t xml:space="preserve">other</t>
        </is>
      </c>
      <c r="F576" s="0" t="inlineStr">
        <is>
          <t xml:space="preserve">EXCLUDE_REVIEW</t>
        </is>
      </c>
      <c r="G576" s="0" t="inlineStr">
        <is>
          <t xml:space="preserve">BC</t>
        </is>
      </c>
      <c r="H576" s="5">
        <v>0</v>
      </c>
      <c r="I576" s="5">
        <v>0</v>
      </c>
      <c r="J576" s="5">
        <v>1</v>
      </c>
      <c r="K576" s="5">
        <v>9.590245</v>
      </c>
      <c r="L576" s="7">
        <v>0.0</v>
      </c>
      <c r="M576" s="7">
        <v>0.0</v>
      </c>
      <c r="N576" s="7">
        <v>0.0</v>
      </c>
      <c r="O576" s="7">
        <v>0.0</v>
      </c>
    </row>
    <row r="577" outlineLevel="1">
      <c r="B577" s="0" t="inlineStr">
        <is>
          <t xml:space="preserve">2025-01-23</t>
        </is>
      </c>
      <c r="C577" s="0" t="inlineStr">
        <is>
          <t xml:space="preserve">-</t>
        </is>
      </c>
      <c r="D577" s="0" t="inlineStr">
        <is>
          <t xml:space="preserve">sub_other</t>
        </is>
      </c>
      <c r="E577" s="0" t="inlineStr">
        <is>
          <t xml:space="preserve">other</t>
        </is>
      </c>
      <c r="F577" s="0" t="inlineStr">
        <is>
          <t xml:space="preserve">EXCLUDE_REVIEW</t>
        </is>
      </c>
      <c r="G577" s="0" t="inlineStr">
        <is>
          <t xml:space="preserve">BC</t>
        </is>
      </c>
      <c r="H577" s="5">
        <v>0</v>
      </c>
      <c r="I577" s="5">
        <v>0</v>
      </c>
      <c r="J577" s="5">
        <v>1</v>
      </c>
      <c r="K577" s="5">
        <v>9.588463</v>
      </c>
      <c r="L577" s="7">
        <v>0.0</v>
      </c>
      <c r="M577" s="7">
        <v>0.0</v>
      </c>
      <c r="N577" s="7">
        <v>0.0</v>
      </c>
      <c r="O577" s="7">
        <v>0.0</v>
      </c>
    </row>
    <row r="578" outlineLevel="1">
      <c r="B578" s="0" t="inlineStr">
        <is>
          <t xml:space="preserve">2026-01-22</t>
        </is>
      </c>
      <c r="C578" s="0" t="inlineStr">
        <is>
          <t xml:space="preserve">N00024-21-C-5105</t>
        </is>
      </c>
      <c r="D578" s="0" t="inlineStr">
        <is>
          <t xml:space="preserve">non_sub</t>
        </is>
      </c>
      <c r="E578" s="0" t="inlineStr">
        <is>
          <t xml:space="preserve">other</t>
        </is>
      </c>
      <c r="F578" s="0" t="inlineStr">
        <is>
          <t xml:space="preserve">EXCLUDE_REVIEW</t>
        </is>
      </c>
      <c r="G578" s="0" t="inlineStr">
        <is>
          <t xml:space="preserve">BC</t>
        </is>
      </c>
      <c r="H578" s="5">
        <v>0</v>
      </c>
      <c r="I578" s="5">
        <v>0</v>
      </c>
      <c r="J578" s="5">
        <v>1</v>
      </c>
      <c r="K578" s="5">
        <v>9.582053</v>
      </c>
      <c r="L578" s="7">
        <v>0.0</v>
      </c>
      <c r="M578" s="7">
        <v>0.0</v>
      </c>
      <c r="N578" s="7">
        <v>1.0</v>
      </c>
      <c r="O578" s="7">
        <v>0.0</v>
      </c>
    </row>
    <row r="579" outlineLevel="1">
      <c r="B579" s="0" t="inlineStr">
        <is>
          <t xml:space="preserve">2026-04-24</t>
        </is>
      </c>
      <c r="C579" s="0" t="inlineStr">
        <is>
          <t xml:space="preserve">-</t>
        </is>
      </c>
      <c r="D579" s="0" t="inlineStr">
        <is>
          <t xml:space="preserve">sub_gfe_electronics</t>
        </is>
      </c>
      <c r="E579" s="0" t="inlineStr">
        <is>
          <t xml:space="preserve">engineering</t>
        </is>
      </c>
      <c r="F579" s="0" t="inlineStr">
        <is>
          <t xml:space="preserve">EXCLUDE_GFE</t>
        </is>
      </c>
      <c r="G579" s="0" t="inlineStr">
        <is>
          <t xml:space="preserve">BC</t>
        </is>
      </c>
      <c r="H579" s="5">
        <v>0</v>
      </c>
      <c r="I579" s="5">
        <v>1</v>
      </c>
      <c r="J579" s="5">
        <v>1</v>
      </c>
      <c r="K579" s="5">
        <v>9.568357</v>
      </c>
      <c r="L579" s="7">
        <v>0.0</v>
      </c>
      <c r="M579" s="7">
        <v>0.0</v>
      </c>
      <c r="N579" s="7">
        <v>1.0</v>
      </c>
      <c r="O579" s="7">
        <v>0.0</v>
      </c>
    </row>
    <row r="580" outlineLevel="1">
      <c r="B580" s="0" t="inlineStr">
        <is>
          <t xml:space="preserve">2025-12-02</t>
        </is>
      </c>
      <c r="C580" s="0" t="inlineStr">
        <is>
          <t xml:space="preserve">N00024-20-C-4203</t>
        </is>
      </c>
      <c r="D580" s="0" t="inlineStr">
        <is>
          <t xml:space="preserve">non_sub</t>
        </is>
      </c>
      <c r="E580" s="0" t="inlineStr">
        <is>
          <t xml:space="preserve">lead_yard</t>
        </is>
      </c>
      <c r="F580" s="0" t="inlineStr">
        <is>
          <t xml:space="preserve">EXCLUDE_REVIEW</t>
        </is>
      </c>
      <c r="G580" s="0" t="inlineStr">
        <is>
          <t xml:space="preserve">BC</t>
        </is>
      </c>
      <c r="H580" s="5">
        <v>0</v>
      </c>
      <c r="I580" s="5">
        <v>0</v>
      </c>
      <c r="J580" s="5">
        <v>1</v>
      </c>
      <c r="K580" s="5">
        <v>9.541379</v>
      </c>
      <c r="L580" s="7">
        <v>0.0</v>
      </c>
      <c r="M580" s="7">
        <v>0.0</v>
      </c>
      <c r="N580" s="7">
        <v>0.0</v>
      </c>
      <c r="O580" s="7">
        <v>0.0</v>
      </c>
    </row>
    <row r="581" outlineLevel="1">
      <c r="B581" s="0" t="inlineStr">
        <is>
          <t xml:space="preserve">2026-01-28</t>
        </is>
      </c>
      <c r="C581" s="0" t="inlineStr">
        <is>
          <t xml:space="preserve">N00024-25-F-6260</t>
        </is>
      </c>
      <c r="D581" s="0" t="inlineStr">
        <is>
          <t xml:space="preserve">sub_gfe_electronics</t>
        </is>
      </c>
      <c r="E581" s="0" t="inlineStr">
        <is>
          <t xml:space="preserve">component_procurement</t>
        </is>
      </c>
      <c r="F581" s="0" t="inlineStr">
        <is>
          <t xml:space="preserve">EXCLUDE_GFE</t>
        </is>
      </c>
      <c r="G581" s="0" t="inlineStr">
        <is>
          <t xml:space="preserve">BC</t>
        </is>
      </c>
      <c r="H581" s="5">
        <v>1</v>
      </c>
      <c r="I581" s="5">
        <v>1</v>
      </c>
      <c r="J581" s="5">
        <v>1</v>
      </c>
      <c r="K581" s="5">
        <v>9.5</v>
      </c>
      <c r="L581" s="7">
        <v>0.0</v>
      </c>
      <c r="M581" s="7">
        <v>0.0</v>
      </c>
      <c r="N581" s="7">
        <v>0.0</v>
      </c>
      <c r="O581" s="7">
        <v>0.0</v>
      </c>
    </row>
    <row r="582" outlineLevel="1">
      <c r="B582" s="0" t="inlineStr">
        <is>
          <t xml:space="preserve">2025-04-29</t>
        </is>
      </c>
      <c r="C582" s="0" t="inlineStr">
        <is>
          <t xml:space="preserve">N00024-21-C-2427</t>
        </is>
      </c>
      <c r="D582" s="0" t="inlineStr">
        <is>
          <t xml:space="preserve">non_sub</t>
        </is>
      </c>
      <c r="E582" s="0" t="inlineStr">
        <is>
          <t xml:space="preserve">other</t>
        </is>
      </c>
      <c r="F582" s="0" t="inlineStr">
        <is>
          <t xml:space="preserve">EXCLUDE_REVIEW</t>
        </is>
      </c>
      <c r="G582" s="0" t="inlineStr">
        <is>
          <t xml:space="preserve">BC</t>
        </is>
      </c>
      <c r="H582" s="5">
        <v>0</v>
      </c>
      <c r="I582" s="5">
        <v>0</v>
      </c>
      <c r="J582" s="5">
        <v>1</v>
      </c>
      <c r="K582" s="5">
        <v>9.449613</v>
      </c>
      <c r="L582" s="7">
        <v>0.0</v>
      </c>
      <c r="M582" s="7">
        <v>0.0</v>
      </c>
      <c r="N582" s="7">
        <v>0.0</v>
      </c>
      <c r="O582" s="7">
        <v>0.0</v>
      </c>
    </row>
    <row r="583" outlineLevel="1">
      <c r="B583" s="0" t="inlineStr">
        <is>
          <t xml:space="preserve">2025-12-12</t>
        </is>
      </c>
      <c r="C583" s="0" t="inlineStr">
        <is>
          <t xml:space="preserve">N00024-22-C-2105</t>
        </is>
      </c>
      <c r="D583" s="0" t="inlineStr">
        <is>
          <t xml:space="preserve">sub_repair</t>
        </is>
      </c>
      <c r="E583" s="0" t="inlineStr">
        <is>
          <t xml:space="preserve">design</t>
        </is>
      </c>
      <c r="F583" s="0" t="inlineStr">
        <is>
          <t xml:space="preserve">EXCLUDE_REVIEW</t>
        </is>
      </c>
      <c r="G583" s="0" t="inlineStr">
        <is>
          <t xml:space="preserve">BC</t>
        </is>
      </c>
      <c r="H583" s="5">
        <v>0</v>
      </c>
      <c r="I583" s="5">
        <v>0</v>
      </c>
      <c r="J583" s="5">
        <v>1</v>
      </c>
      <c r="K583" s="5">
        <v>9.434758</v>
      </c>
      <c r="L583" s="7">
        <v>0.0</v>
      </c>
      <c r="M583" s="7">
        <v>0.0</v>
      </c>
      <c r="N583" s="7">
        <v>0.0</v>
      </c>
      <c r="O583" s="7">
        <v>0.0</v>
      </c>
    </row>
    <row r="584" outlineLevel="1">
      <c r="B584" s="0" t="inlineStr">
        <is>
          <t xml:space="preserve">2025-04-29</t>
        </is>
      </c>
      <c r="C584" s="0" t="inlineStr">
        <is>
          <t xml:space="preserve">N00024-24-C-6201</t>
        </is>
      </c>
      <c r="D584" s="0" t="inlineStr">
        <is>
          <t xml:space="preserve">sub_gfe_electronics</t>
        </is>
      </c>
      <c r="E584" s="0" t="inlineStr">
        <is>
          <t xml:space="preserve">engineering</t>
        </is>
      </c>
      <c r="F584" s="0" t="inlineStr">
        <is>
          <t xml:space="preserve">EXCLUDE_GFE</t>
        </is>
      </c>
      <c r="G584" s="0" t="inlineStr">
        <is>
          <t xml:space="preserve">BC</t>
        </is>
      </c>
      <c r="H584" s="5">
        <v>0</v>
      </c>
      <c r="I584" s="5">
        <v>1</v>
      </c>
      <c r="J584" s="5">
        <v>1</v>
      </c>
      <c r="K584" s="5">
        <v>9.428855</v>
      </c>
      <c r="L584" s="7">
        <v>0.0</v>
      </c>
      <c r="M584" s="7">
        <v>0.0</v>
      </c>
      <c r="N584" s="7">
        <v>1.0</v>
      </c>
      <c r="O584" s="7">
        <v>0.0</v>
      </c>
    </row>
    <row r="585" outlineLevel="1">
      <c r="B585" s="0" t="inlineStr">
        <is>
          <t xml:space="preserve">2026-03-09</t>
        </is>
      </c>
      <c r="C585" s="0" t="inlineStr">
        <is>
          <t xml:space="preserve">N00024-26-F-6229</t>
        </is>
      </c>
      <c r="D585" s="0" t="inlineStr">
        <is>
          <t xml:space="preserve">sub_gfe_components</t>
        </is>
      </c>
      <c r="E585" s="0" t="inlineStr">
        <is>
          <t xml:space="preserve">component_procurement</t>
        </is>
      </c>
      <c r="F585" s="0" t="inlineStr">
        <is>
          <t xml:space="preserve">EXCLUDE_GFE</t>
        </is>
      </c>
      <c r="G585" s="0" t="inlineStr">
        <is>
          <t xml:space="preserve">BC</t>
        </is>
      </c>
      <c r="H585" s="5">
        <v>1</v>
      </c>
      <c r="I585" s="5">
        <v>1</v>
      </c>
      <c r="J585" s="5">
        <v>1</v>
      </c>
      <c r="K585" s="5">
        <v>9.355203</v>
      </c>
      <c r="L585" s="7">
        <v>0.0</v>
      </c>
      <c r="M585" s="7">
        <v>0.0</v>
      </c>
      <c r="N585" s="7">
        <v>0.0</v>
      </c>
      <c r="O585" s="7">
        <v>0.0</v>
      </c>
    </row>
    <row r="586" outlineLevel="1">
      <c r="B586" s="0" t="inlineStr">
        <is>
          <t xml:space="preserve">2023-12-14</t>
        </is>
      </c>
      <c r="C586" s="0" t="inlineStr">
        <is>
          <t xml:space="preserve">-</t>
        </is>
      </c>
      <c r="D586" s="0" t="inlineStr">
        <is>
          <t xml:space="preserve">non_sub</t>
        </is>
      </c>
      <c r="E586" s="0" t="inlineStr">
        <is>
          <t xml:space="preserve">component_procurement</t>
        </is>
      </c>
      <c r="F586" s="0" t="inlineStr">
        <is>
          <t xml:space="preserve">INCLUDE_BC</t>
        </is>
      </c>
      <c r="G586" s="0" t="inlineStr">
        <is>
          <t xml:space="preserve">BC</t>
        </is>
      </c>
      <c r="H586" s="5">
        <v>0</v>
      </c>
      <c r="I586" s="5">
        <v>0</v>
      </c>
      <c r="J586" s="5">
        <v>1</v>
      </c>
      <c r="K586" s="5">
        <v>9.337704</v>
      </c>
      <c r="L586" s="7">
        <v>0.0</v>
      </c>
      <c r="M586" s="7">
        <v>0.0</v>
      </c>
      <c r="N586" s="7">
        <v>0.0</v>
      </c>
      <c r="O586" s="7">
        <v>0.0</v>
      </c>
    </row>
    <row r="587" outlineLevel="1">
      <c r="B587" s="0" t="inlineStr">
        <is>
          <t xml:space="preserve">2025-09-05</t>
        </is>
      </c>
      <c r="C587" s="0" t="inlineStr">
        <is>
          <t xml:space="preserve">N00024-25-C-5243</t>
        </is>
      </c>
      <c r="D587" s="0" t="inlineStr">
        <is>
          <t xml:space="preserve">sub_gfe_electronics</t>
        </is>
      </c>
      <c r="E587" s="0" t="inlineStr">
        <is>
          <t xml:space="preserve">engineering</t>
        </is>
      </c>
      <c r="F587" s="0" t="inlineStr">
        <is>
          <t xml:space="preserve">EXCLUDE_GFE</t>
        </is>
      </c>
      <c r="G587" s="0" t="inlineStr">
        <is>
          <t xml:space="preserve">BC</t>
        </is>
      </c>
      <c r="H587" s="5">
        <v>0</v>
      </c>
      <c r="I587" s="5">
        <v>1</v>
      </c>
      <c r="J587" s="5">
        <v>1</v>
      </c>
      <c r="K587" s="5">
        <v>9.281811</v>
      </c>
      <c r="L587" s="7">
        <v>0.0</v>
      </c>
      <c r="M587" s="7">
        <v>0.0</v>
      </c>
      <c r="N587" s="7">
        <v>1.0</v>
      </c>
      <c r="O587" s="7">
        <v>0.0</v>
      </c>
    </row>
    <row r="588" outlineLevel="1">
      <c r="B588" s="0" t="inlineStr">
        <is>
          <t xml:space="preserve">2025-01-24</t>
        </is>
      </c>
      <c r="C588" s="0" t="inlineStr">
        <is>
          <t xml:space="preserve">N00024-25-C-6113</t>
        </is>
      </c>
      <c r="D588" s="0" t="inlineStr">
        <is>
          <t xml:space="preserve">non_sub</t>
        </is>
      </c>
      <c r="E588" s="0" t="inlineStr">
        <is>
          <t xml:space="preserve">design</t>
        </is>
      </c>
      <c r="F588" s="0" t="inlineStr">
        <is>
          <t xml:space="preserve">EXCLUDE_REVIEW</t>
        </is>
      </c>
      <c r="G588" s="0" t="inlineStr">
        <is>
          <t xml:space="preserve">BC</t>
        </is>
      </c>
      <c r="H588" s="5">
        <v>0</v>
      </c>
      <c r="I588" s="5">
        <v>0</v>
      </c>
      <c r="J588" s="5">
        <v>1</v>
      </c>
      <c r="K588" s="5">
        <v>9.265787</v>
      </c>
      <c r="L588" s="7">
        <v>0.0</v>
      </c>
      <c r="M588" s="7">
        <v>0.0</v>
      </c>
      <c r="N588" s="7">
        <v>1.0</v>
      </c>
      <c r="O588" s="7">
        <v>0.0</v>
      </c>
    </row>
    <row r="589" outlineLevel="1">
      <c r="B589" s="0" t="inlineStr">
        <is>
          <t xml:space="preserve">2025-02-12</t>
        </is>
      </c>
      <c r="C589" s="0" t="inlineStr">
        <is>
          <t xml:space="preserve">-</t>
        </is>
      </c>
      <c r="D589" s="0" t="inlineStr">
        <is>
          <t xml:space="preserve">non_sub</t>
        </is>
      </c>
      <c r="E589" s="0" t="inlineStr">
        <is>
          <t xml:space="preserve">sustainment_maintenance</t>
        </is>
      </c>
      <c r="F589" s="0" t="inlineStr">
        <is>
          <t xml:space="preserve">EXCLUDE_REVIEW</t>
        </is>
      </c>
      <c r="G589" s="0" t="inlineStr">
        <is>
          <t xml:space="preserve">BC</t>
        </is>
      </c>
      <c r="H589" s="5">
        <v>0</v>
      </c>
      <c r="I589" s="5">
        <v>0</v>
      </c>
      <c r="J589" s="5">
        <v>1</v>
      </c>
      <c r="K589" s="5">
        <v>9.177837</v>
      </c>
      <c r="L589" s="7">
        <v>0.0</v>
      </c>
      <c r="M589" s="7">
        <v>0.0</v>
      </c>
      <c r="N589" s="7">
        <v>0.0</v>
      </c>
      <c r="O589" s="7">
        <v>0.0</v>
      </c>
    </row>
    <row r="590" outlineLevel="1">
      <c r="B590" s="0" t="inlineStr">
        <is>
          <t xml:space="preserve">2026-01-16</t>
        </is>
      </c>
      <c r="C590" s="0" t="inlineStr">
        <is>
          <t xml:space="preserve">N00024-25-C-5434</t>
        </is>
      </c>
      <c r="D590" s="0" t="inlineStr">
        <is>
          <t xml:space="preserve">non_sub</t>
        </is>
      </c>
      <c r="E590" s="0" t="inlineStr">
        <is>
          <t xml:space="preserve">other</t>
        </is>
      </c>
      <c r="F590" s="0" t="inlineStr">
        <is>
          <t xml:space="preserve">EXCLUDE_REVIEW</t>
        </is>
      </c>
      <c r="G590" s="0" t="inlineStr">
        <is>
          <t xml:space="preserve">BC</t>
        </is>
      </c>
      <c r="H590" s="5">
        <v>0</v>
      </c>
      <c r="I590" s="5">
        <v>0</v>
      </c>
      <c r="J590" s="5">
        <v>1</v>
      </c>
      <c r="K590" s="5">
        <v>9.17261</v>
      </c>
      <c r="L590" s="7">
        <v>0.0</v>
      </c>
      <c r="M590" s="7">
        <v>0.0</v>
      </c>
      <c r="N590" s="7">
        <v>0.77</v>
      </c>
      <c r="O590" s="7">
        <v>0.0</v>
      </c>
    </row>
    <row r="591" outlineLevel="1">
      <c r="B591" s="0" t="inlineStr">
        <is>
          <t xml:space="preserve">2025-01-29</t>
        </is>
      </c>
      <c r="C591" s="0" t="inlineStr">
        <is>
          <t xml:space="preserve">-</t>
        </is>
      </c>
      <c r="D591" s="0" t="inlineStr">
        <is>
          <t xml:space="preserve">non_sub</t>
        </is>
      </c>
      <c r="E591" s="0" t="inlineStr">
        <is>
          <t xml:space="preserve">sustainment_maintenance</t>
        </is>
      </c>
      <c r="F591" s="0" t="inlineStr">
        <is>
          <t xml:space="preserve">EXCLUDE_REVIEW</t>
        </is>
      </c>
      <c r="G591" s="0" t="inlineStr">
        <is>
          <t xml:space="preserve">BC</t>
        </is>
      </c>
      <c r="H591" s="5">
        <v>0</v>
      </c>
      <c r="I591" s="5">
        <v>0</v>
      </c>
      <c r="J591" s="5">
        <v>1</v>
      </c>
      <c r="K591" s="5">
        <v>9.165174</v>
      </c>
      <c r="L591" s="7">
        <v>0.0</v>
      </c>
      <c r="M591" s="7">
        <v>0.0</v>
      </c>
      <c r="N591" s="7">
        <v>1.0</v>
      </c>
      <c r="O591" s="7">
        <v>0.0</v>
      </c>
    </row>
    <row r="592" outlineLevel="1">
      <c r="B592" s="0" t="inlineStr">
        <is>
          <t xml:space="preserve">2023-05-12</t>
        </is>
      </c>
      <c r="C592" s="0" t="inlineStr">
        <is>
          <t xml:space="preserve">N55236-23-D-0002</t>
        </is>
      </c>
      <c r="D592" s="0" t="inlineStr">
        <is>
          <t xml:space="preserve">non_sub</t>
        </is>
      </c>
      <c r="E592" s="0" t="inlineStr">
        <is>
          <t xml:space="preserve">other</t>
        </is>
      </c>
      <c r="F592" s="0" t="inlineStr">
        <is>
          <t xml:space="preserve">EXCLUDE_REVIEW</t>
        </is>
      </c>
      <c r="G592" s="0" t="inlineStr">
        <is>
          <t xml:space="preserve">BC</t>
        </is>
      </c>
      <c r="H592" s="5">
        <v>0</v>
      </c>
      <c r="I592" s="5">
        <v>0</v>
      </c>
      <c r="J592" s="5">
        <v>1</v>
      </c>
      <c r="K592" s="5">
        <v>9.135942</v>
      </c>
      <c r="L592" s="7">
        <v>0.0</v>
      </c>
      <c r="M592" s="7">
        <v>0.0</v>
      </c>
      <c r="N592" s="7">
        <v>0.0</v>
      </c>
      <c r="O592" s="7">
        <v>0.0</v>
      </c>
    </row>
    <row r="593" outlineLevel="1">
      <c r="B593" s="0" t="inlineStr">
        <is>
          <t xml:space="preserve">2023-03-15</t>
        </is>
      </c>
      <c r="C593" s="0" t="inlineStr">
        <is>
          <t xml:space="preserve">-</t>
        </is>
      </c>
      <c r="D593" s="0" t="inlineStr">
        <is>
          <t xml:space="preserve">non_sub</t>
        </is>
      </c>
      <c r="E593" s="0" t="inlineStr">
        <is>
          <t xml:space="preserve">other</t>
        </is>
      </c>
      <c r="F593" s="0" t="inlineStr">
        <is>
          <t xml:space="preserve">EXCLUDE_REVIEW</t>
        </is>
      </c>
      <c r="G593" s="0" t="inlineStr">
        <is>
          <t xml:space="preserve">BC</t>
        </is>
      </c>
      <c r="H593" s="5">
        <v>0</v>
      </c>
      <c r="I593" s="5">
        <v>0</v>
      </c>
      <c r="J593" s="5">
        <v>1</v>
      </c>
      <c r="K593" s="5">
        <v>9.104053</v>
      </c>
      <c r="L593" s="7">
        <v>0.0</v>
      </c>
      <c r="M593" s="7">
        <v>0.0</v>
      </c>
      <c r="N593" s="7">
        <v>0.0</v>
      </c>
      <c r="O593" s="7">
        <v>0.0</v>
      </c>
    </row>
    <row r="594" outlineLevel="1">
      <c r="B594" s="0" t="inlineStr">
        <is>
          <t xml:space="preserve">2025-04-08</t>
        </is>
      </c>
      <c r="C594" s="0" t="inlineStr">
        <is>
          <t xml:space="preserve">N00024-23-C-6109</t>
        </is>
      </c>
      <c r="D594" s="0" t="inlineStr">
        <is>
          <t xml:space="preserve">non_sub</t>
        </is>
      </c>
      <c r="E594" s="0" t="inlineStr">
        <is>
          <t xml:space="preserve">fms</t>
        </is>
      </c>
      <c r="F594" s="0" t="inlineStr">
        <is>
          <t xml:space="preserve">EXCLUDE_REVIEW</t>
        </is>
      </c>
      <c r="G594" s="0" t="inlineStr">
        <is>
          <t xml:space="preserve">BC</t>
        </is>
      </c>
      <c r="H594" s="5">
        <v>0</v>
      </c>
      <c r="I594" s="5">
        <v>0</v>
      </c>
      <c r="J594" s="5">
        <v>1</v>
      </c>
      <c r="K594" s="5">
        <v>9.1</v>
      </c>
      <c r="L594" s="7">
        <v>0.0</v>
      </c>
      <c r="M594" s="7">
        <v>0.0</v>
      </c>
      <c r="N594" s="7">
        <v>0.0</v>
      </c>
      <c r="O594" s="7">
        <v>0.0</v>
      </c>
    </row>
    <row r="595" outlineLevel="1">
      <c r="B595" s="0" t="inlineStr">
        <is>
          <t xml:space="preserve">2026-04-22</t>
        </is>
      </c>
      <c r="C595" s="0" t="inlineStr">
        <is>
          <t xml:space="preserve">N00024-23-C-6109</t>
        </is>
      </c>
      <c r="D595" s="0" t="inlineStr">
        <is>
          <t xml:space="preserve">non_sub</t>
        </is>
      </c>
      <c r="E595" s="0" t="inlineStr">
        <is>
          <t xml:space="preserve">other</t>
        </is>
      </c>
      <c r="F595" s="0" t="inlineStr">
        <is>
          <t xml:space="preserve">EXCLUDE_REVIEW</t>
        </is>
      </c>
      <c r="G595" s="0" t="inlineStr">
        <is>
          <t xml:space="preserve">BC</t>
        </is>
      </c>
      <c r="H595" s="5">
        <v>0</v>
      </c>
      <c r="I595" s="5">
        <v>0</v>
      </c>
      <c r="J595" s="5">
        <v>1</v>
      </c>
      <c r="K595" s="5">
        <v>9.1</v>
      </c>
      <c r="L595" s="7">
        <v>0.0</v>
      </c>
      <c r="M595" s="7">
        <v>0.0</v>
      </c>
      <c r="N595" s="7">
        <v>0.0</v>
      </c>
      <c r="O595" s="7">
        <v>0.0</v>
      </c>
    </row>
    <row r="596" outlineLevel="1">
      <c r="B596" s="0" t="inlineStr">
        <is>
          <t xml:space="preserve">2025-02-25</t>
        </is>
      </c>
      <c r="C596" s="0" t="inlineStr">
        <is>
          <t xml:space="preserve">N00024-25-F-6260</t>
        </is>
      </c>
      <c r="D596" s="0" t="inlineStr">
        <is>
          <t xml:space="preserve">sub_gfe_electronics</t>
        </is>
      </c>
      <c r="E596" s="0" t="inlineStr">
        <is>
          <t xml:space="preserve">component_procurement</t>
        </is>
      </c>
      <c r="F596" s="0" t="inlineStr">
        <is>
          <t xml:space="preserve">EXCLUDE_GFE</t>
        </is>
      </c>
      <c r="G596" s="0" t="inlineStr">
        <is>
          <t xml:space="preserve">BC</t>
        </is>
      </c>
      <c r="H596" s="5">
        <v>1</v>
      </c>
      <c r="I596" s="5">
        <v>1</v>
      </c>
      <c r="J596" s="5">
        <v>1</v>
      </c>
      <c r="K596" s="5">
        <v>9.0</v>
      </c>
      <c r="L596" s="7">
        <v>0.0</v>
      </c>
      <c r="M596" s="7">
        <v>0.0</v>
      </c>
      <c r="N596" s="7">
        <v>0.0</v>
      </c>
      <c r="O596" s="7">
        <v>0.0</v>
      </c>
    </row>
    <row r="597" outlineLevel="1">
      <c r="B597" s="0" t="inlineStr">
        <is>
          <t xml:space="preserve">2023-03-15</t>
        </is>
      </c>
      <c r="C597" s="0" t="inlineStr">
        <is>
          <t xml:space="preserve">-</t>
        </is>
      </c>
      <c r="D597" s="0" t="inlineStr">
        <is>
          <t xml:space="preserve">non_sub</t>
        </is>
      </c>
      <c r="E597" s="0" t="inlineStr">
        <is>
          <t xml:space="preserve">sustainment_maintenance</t>
        </is>
      </c>
      <c r="F597" s="0" t="inlineStr">
        <is>
          <t xml:space="preserve">EXCLUDE_REVIEW</t>
        </is>
      </c>
      <c r="G597" s="0" t="inlineStr">
        <is>
          <t xml:space="preserve">BC</t>
        </is>
      </c>
      <c r="H597" s="5">
        <v>0</v>
      </c>
      <c r="I597" s="5">
        <v>0</v>
      </c>
      <c r="J597" s="5">
        <v>1</v>
      </c>
      <c r="K597" s="5">
        <v>8.997563</v>
      </c>
      <c r="L597" s="7">
        <v>0.0</v>
      </c>
      <c r="M597" s="7">
        <v>0.0</v>
      </c>
      <c r="N597" s="7">
        <v>0.0</v>
      </c>
      <c r="O597" s="7">
        <v>0.0</v>
      </c>
    </row>
    <row r="598" outlineLevel="1">
      <c r="B598" s="0" t="inlineStr">
        <is>
          <t xml:space="preserve">2023-05-25</t>
        </is>
      </c>
      <c r="C598" s="0" t="inlineStr">
        <is>
          <t xml:space="preserve">-</t>
        </is>
      </c>
      <c r="D598" s="0" t="inlineStr">
        <is>
          <t xml:space="preserve">sub_other</t>
        </is>
      </c>
      <c r="E598" s="0" t="inlineStr">
        <is>
          <t xml:space="preserve">other</t>
        </is>
      </c>
      <c r="F598" s="0" t="inlineStr">
        <is>
          <t xml:space="preserve">EXCLUDE_REVIEW</t>
        </is>
      </c>
      <c r="G598" s="0" t="inlineStr">
        <is>
          <t xml:space="preserve">BC</t>
        </is>
      </c>
      <c r="H598" s="5">
        <v>0</v>
      </c>
      <c r="I598" s="5">
        <v>0</v>
      </c>
      <c r="J598" s="5">
        <v>1</v>
      </c>
      <c r="K598" s="5">
        <v>8.94135</v>
      </c>
      <c r="L598" s="7">
        <v>0.0</v>
      </c>
      <c r="M598" s="7">
        <v>0.0</v>
      </c>
      <c r="N598" s="7">
        <v>0.0</v>
      </c>
      <c r="O598" s="7">
        <v>0.0</v>
      </c>
    </row>
    <row r="599" outlineLevel="1">
      <c r="B599" s="0" t="inlineStr">
        <is>
          <t xml:space="preserve">2022-09-22</t>
        </is>
      </c>
      <c r="C599" s="0" t="inlineStr">
        <is>
          <t xml:space="preserve">-</t>
        </is>
      </c>
      <c r="D599" s="0" t="inlineStr">
        <is>
          <t xml:space="preserve">non_sub</t>
        </is>
      </c>
      <c r="E599" s="0" t="inlineStr">
        <is>
          <t xml:space="preserve">component_procurement</t>
        </is>
      </c>
      <c r="F599" s="0" t="inlineStr">
        <is>
          <t xml:space="preserve">INCLUDE_BC</t>
        </is>
      </c>
      <c r="G599" s="0" t="inlineStr">
        <is>
          <t xml:space="preserve">BC</t>
        </is>
      </c>
      <c r="H599" s="5">
        <v>0</v>
      </c>
      <c r="I599" s="5">
        <v>0</v>
      </c>
      <c r="J599" s="5">
        <v>1</v>
      </c>
      <c r="K599" s="5">
        <v>8.9172</v>
      </c>
      <c r="L599" s="7">
        <v>0.0</v>
      </c>
      <c r="M599" s="7">
        <v>0.0</v>
      </c>
      <c r="N599" s="7">
        <v>0.0</v>
      </c>
      <c r="O599" s="7">
        <v>0.0</v>
      </c>
    </row>
    <row r="600" outlineLevel="1">
      <c r="B600" s="0" t="inlineStr">
        <is>
          <t xml:space="preserve">2025-05-05</t>
        </is>
      </c>
      <c r="C600" s="0" t="inlineStr">
        <is>
          <t xml:space="preserve">N00024-25-C-5212</t>
        </is>
      </c>
      <c r="D600" s="0" t="inlineStr">
        <is>
          <t xml:space="preserve">non_sub</t>
        </is>
      </c>
      <c r="E600" s="0" t="inlineStr">
        <is>
          <t xml:space="preserve">other</t>
        </is>
      </c>
      <c r="F600" s="0" t="inlineStr">
        <is>
          <t xml:space="preserve">EXCLUDE_REVIEW</t>
        </is>
      </c>
      <c r="G600" s="0" t="inlineStr">
        <is>
          <t xml:space="preserve">BC</t>
        </is>
      </c>
      <c r="H600" s="5">
        <v>0</v>
      </c>
      <c r="I600" s="5">
        <v>0</v>
      </c>
      <c r="J600" s="5">
        <v>1</v>
      </c>
      <c r="K600" s="5">
        <v>8.906422</v>
      </c>
      <c r="L600" s="7">
        <v>0.0</v>
      </c>
      <c r="M600" s="7">
        <v>0.0</v>
      </c>
      <c r="N600" s="7">
        <v>1.0</v>
      </c>
      <c r="O600" s="7">
        <v>0.0</v>
      </c>
    </row>
    <row r="601" outlineLevel="1">
      <c r="B601" s="0" t="inlineStr">
        <is>
          <t xml:space="preserve">2024-08-06</t>
        </is>
      </c>
      <c r="C601" s="0" t="inlineStr">
        <is>
          <t xml:space="preserve">-</t>
        </is>
      </c>
      <c r="D601" s="0" t="inlineStr">
        <is>
          <t xml:space="preserve">va</t>
        </is>
      </c>
      <c r="E601" s="0" t="inlineStr">
        <is>
          <t xml:space="preserve">other</t>
        </is>
      </c>
      <c r="F601" s="0" t="inlineStr">
        <is>
          <t xml:space="preserve">EXCLUDE_REVIEW</t>
        </is>
      </c>
      <c r="G601" s="0" t="inlineStr">
        <is>
          <t xml:space="preserve">BC</t>
        </is>
      </c>
      <c r="H601" s="5">
        <v>0</v>
      </c>
      <c r="I601" s="5">
        <v>0</v>
      </c>
      <c r="J601" s="5">
        <v>1</v>
      </c>
      <c r="K601" s="5">
        <v>8.871225</v>
      </c>
      <c r="L601" s="7">
        <v>0.0</v>
      </c>
      <c r="M601" s="7">
        <v>0.0</v>
      </c>
      <c r="N601" s="7">
        <v>0.0</v>
      </c>
      <c r="O601" s="7">
        <v>0.0</v>
      </c>
    </row>
    <row r="602" outlineLevel="1">
      <c r="B602" s="0" t="inlineStr">
        <is>
          <t xml:space="preserve">2023-09-29</t>
        </is>
      </c>
      <c r="C602" s="0" t="inlineStr">
        <is>
          <t xml:space="preserve">-</t>
        </is>
      </c>
      <c r="D602" s="0" t="inlineStr">
        <is>
          <t xml:space="preserve">non_sub</t>
        </is>
      </c>
      <c r="E602" s="0" t="inlineStr">
        <is>
          <t xml:space="preserve">other</t>
        </is>
      </c>
      <c r="F602" s="0" t="inlineStr">
        <is>
          <t xml:space="preserve">EXCLUDE_REVIEW</t>
        </is>
      </c>
      <c r="G602" s="0" t="inlineStr">
        <is>
          <t xml:space="preserve">BC</t>
        </is>
      </c>
      <c r="H602" s="5">
        <v>0</v>
      </c>
      <c r="I602" s="5">
        <v>0</v>
      </c>
      <c r="J602" s="5">
        <v>1</v>
      </c>
      <c r="K602" s="5">
        <v>8.868545</v>
      </c>
      <c r="L602" s="7">
        <v>0.0</v>
      </c>
      <c r="M602" s="7">
        <v>0.0</v>
      </c>
      <c r="N602" s="7">
        <v>1.0</v>
      </c>
      <c r="O602" s="7">
        <v>0.0</v>
      </c>
    </row>
    <row r="603" outlineLevel="1">
      <c r="B603" s="0" t="inlineStr">
        <is>
          <t xml:space="preserve">2024-07-12</t>
        </is>
      </c>
      <c r="C603" s="0" t="inlineStr">
        <is>
          <t xml:space="preserve">N62793-24-F-0006</t>
        </is>
      </c>
      <c r="D603" s="0" t="inlineStr">
        <is>
          <t xml:space="preserve">non_sub</t>
        </is>
      </c>
      <c r="E603" s="0" t="inlineStr">
        <is>
          <t xml:space="preserve">repair_overhaul</t>
        </is>
      </c>
      <c r="F603" s="0" t="inlineStr">
        <is>
          <t xml:space="preserve">EXCLUDE_REVIEW</t>
        </is>
      </c>
      <c r="G603" s="0" t="inlineStr">
        <is>
          <t xml:space="preserve">BC</t>
        </is>
      </c>
      <c r="H603" s="5">
        <v>0</v>
      </c>
      <c r="I603" s="5">
        <v>0</v>
      </c>
      <c r="J603" s="5">
        <v>1</v>
      </c>
      <c r="K603" s="5">
        <v>8.867613</v>
      </c>
      <c r="L603" s="7">
        <v>0.0</v>
      </c>
      <c r="M603" s="7">
        <v>0.0</v>
      </c>
      <c r="N603" s="7">
        <v>0.0</v>
      </c>
      <c r="O603" s="7">
        <v>0.0</v>
      </c>
    </row>
    <row r="604" outlineLevel="1">
      <c r="B604" s="0" t="inlineStr">
        <is>
          <t xml:space="preserve">2023-04-18</t>
        </is>
      </c>
      <c r="C604" s="0" t="inlineStr">
        <is>
          <t xml:space="preserve">-</t>
        </is>
      </c>
      <c r="D604" s="0" t="inlineStr">
        <is>
          <t xml:space="preserve">non_sub</t>
        </is>
      </c>
      <c r="E604" s="0" t="inlineStr">
        <is>
          <t xml:space="preserve">other</t>
        </is>
      </c>
      <c r="F604" s="0" t="inlineStr">
        <is>
          <t xml:space="preserve">EXCLUDE_REVIEW</t>
        </is>
      </c>
      <c r="G604" s="0" t="inlineStr">
        <is>
          <t xml:space="preserve">BC</t>
        </is>
      </c>
      <c r="H604" s="5">
        <v>0</v>
      </c>
      <c r="I604" s="5">
        <v>0</v>
      </c>
      <c r="J604" s="5">
        <v>1</v>
      </c>
      <c r="K604" s="5">
        <v>8.811028</v>
      </c>
      <c r="L604" s="7">
        <v>0.0</v>
      </c>
      <c r="M604" s="7">
        <v>0.0</v>
      </c>
      <c r="N604" s="7">
        <v>1.0</v>
      </c>
      <c r="O604" s="7">
        <v>0.0</v>
      </c>
    </row>
    <row r="605" outlineLevel="1">
      <c r="B605" s="0" t="inlineStr">
        <is>
          <t xml:space="preserve">2025-01-21</t>
        </is>
      </c>
      <c r="C605" s="0" t="inlineStr">
        <is>
          <t xml:space="preserve">N00024-25-F-5319</t>
        </is>
      </c>
      <c r="D605" s="0" t="inlineStr">
        <is>
          <t xml:space="preserve">non_sub</t>
        </is>
      </c>
      <c r="E605" s="0" t="inlineStr">
        <is>
          <t xml:space="preserve">other</t>
        </is>
      </c>
      <c r="F605" s="0" t="inlineStr">
        <is>
          <t xml:space="preserve">EXCLUDE_REVIEW</t>
        </is>
      </c>
      <c r="G605" s="0" t="inlineStr">
        <is>
          <t xml:space="preserve">BC</t>
        </is>
      </c>
      <c r="H605" s="5">
        <v>0</v>
      </c>
      <c r="I605" s="5">
        <v>0</v>
      </c>
      <c r="J605" s="5">
        <v>1</v>
      </c>
      <c r="K605" s="5">
        <v>8.808973</v>
      </c>
      <c r="L605" s="7">
        <v>0.0</v>
      </c>
      <c r="M605" s="7">
        <v>0.0</v>
      </c>
      <c r="N605" s="7">
        <v>0.71</v>
      </c>
      <c r="O605" s="7">
        <v>0.0</v>
      </c>
    </row>
    <row r="606" outlineLevel="1">
      <c r="B606" s="0" t="inlineStr">
        <is>
          <t xml:space="preserve">2023-11-03</t>
        </is>
      </c>
      <c r="C606" s="0" t="inlineStr">
        <is>
          <t xml:space="preserve">N00024-22-C-2105</t>
        </is>
      </c>
      <c r="D606" s="0" t="inlineStr">
        <is>
          <t xml:space="preserve">sub_repair</t>
        </is>
      </c>
      <c r="E606" s="0" t="inlineStr">
        <is>
          <t xml:space="preserve">design</t>
        </is>
      </c>
      <c r="F606" s="0" t="inlineStr">
        <is>
          <t xml:space="preserve">EXCLUDE_REVIEW</t>
        </is>
      </c>
      <c r="G606" s="0" t="inlineStr">
        <is>
          <t xml:space="preserve">BC</t>
        </is>
      </c>
      <c r="H606" s="5">
        <v>0</v>
      </c>
      <c r="I606" s="5">
        <v>0</v>
      </c>
      <c r="J606" s="5">
        <v>1</v>
      </c>
      <c r="K606" s="5">
        <v>8.791995</v>
      </c>
      <c r="L606" s="7">
        <v>0.0</v>
      </c>
      <c r="M606" s="7">
        <v>0.0</v>
      </c>
      <c r="N606" s="7">
        <v>0.0</v>
      </c>
      <c r="O606" s="7">
        <v>0.0</v>
      </c>
    </row>
    <row r="607" outlineLevel="1">
      <c r="B607" s="0" t="inlineStr">
        <is>
          <t xml:space="preserve">2025-05-07</t>
        </is>
      </c>
      <c r="C607" s="0" t="inlineStr">
        <is>
          <t xml:space="preserve">N00024-25-C-4303</t>
        </is>
      </c>
      <c r="D607" s="0" t="inlineStr">
        <is>
          <t xml:space="preserve">sub_gfe_components</t>
        </is>
      </c>
      <c r="E607" s="0" t="inlineStr">
        <is>
          <t xml:space="preserve">component_procurement</t>
        </is>
      </c>
      <c r="F607" s="0" t="inlineStr">
        <is>
          <t xml:space="preserve">EXCLUDE_GFE</t>
        </is>
      </c>
      <c r="G607" s="0" t="inlineStr">
        <is>
          <t xml:space="preserve">BC</t>
        </is>
      </c>
      <c r="H607" s="5">
        <v>1</v>
      </c>
      <c r="I607" s="5">
        <v>1</v>
      </c>
      <c r="J607" s="5">
        <v>1</v>
      </c>
      <c r="K607" s="5">
        <v>8.784248</v>
      </c>
      <c r="L607" s="7">
        <v>0.0</v>
      </c>
      <c r="M607" s="7">
        <v>0.0</v>
      </c>
      <c r="N607" s="7">
        <v>0.0</v>
      </c>
      <c r="O607" s="7">
        <v>0.0</v>
      </c>
    </row>
    <row r="608" outlineLevel="1">
      <c r="B608" s="0" t="inlineStr">
        <is>
          <t xml:space="preserve">2023-03-23</t>
        </is>
      </c>
      <c r="C608" s="0" t="inlineStr">
        <is>
          <t xml:space="preserve">-</t>
        </is>
      </c>
      <c r="D608" s="0" t="inlineStr">
        <is>
          <t xml:space="preserve">non_sub</t>
        </is>
      </c>
      <c r="E608" s="0" t="inlineStr">
        <is>
          <t xml:space="preserve">lead_yard</t>
        </is>
      </c>
      <c r="F608" s="0" t="inlineStr">
        <is>
          <t xml:space="preserve">EXCLUDE_REVIEW</t>
        </is>
      </c>
      <c r="G608" s="0" t="inlineStr">
        <is>
          <t xml:space="preserve">BC</t>
        </is>
      </c>
      <c r="H608" s="5">
        <v>0</v>
      </c>
      <c r="I608" s="5">
        <v>0</v>
      </c>
      <c r="J608" s="5">
        <v>1</v>
      </c>
      <c r="K608" s="5">
        <v>8.703236</v>
      </c>
      <c r="L608" s="7">
        <v>0.0</v>
      </c>
      <c r="M608" s="7">
        <v>0.0</v>
      </c>
      <c r="N608" s="7">
        <v>0.0</v>
      </c>
      <c r="O608" s="7">
        <v>0.0</v>
      </c>
    </row>
    <row r="609" outlineLevel="1">
      <c r="B609" s="0" t="inlineStr">
        <is>
          <t xml:space="preserve">2025-05-28</t>
        </is>
      </c>
      <c r="C609" s="0" t="inlineStr">
        <is>
          <t xml:space="preserve">N00024-21-C-2451</t>
        </is>
      </c>
      <c r="D609" s="0" t="inlineStr">
        <is>
          <t xml:space="preserve">non_sub</t>
        </is>
      </c>
      <c r="E609" s="0" t="inlineStr">
        <is>
          <t xml:space="preserve">sustainment_maintenance</t>
        </is>
      </c>
      <c r="F609" s="0" t="inlineStr">
        <is>
          <t xml:space="preserve">EXCLUDE_REVIEW</t>
        </is>
      </c>
      <c r="G609" s="0" t="inlineStr">
        <is>
          <t xml:space="preserve">BC</t>
        </is>
      </c>
      <c r="H609" s="5">
        <v>0</v>
      </c>
      <c r="I609" s="5">
        <v>0</v>
      </c>
      <c r="J609" s="5">
        <v>1</v>
      </c>
      <c r="K609" s="5">
        <v>8.641351</v>
      </c>
      <c r="L609" s="7">
        <v>0.0</v>
      </c>
      <c r="M609" s="7">
        <v>0.0</v>
      </c>
      <c r="N609" s="7">
        <v>0.0</v>
      </c>
      <c r="O609" s="7">
        <v>0.0</v>
      </c>
    </row>
    <row r="610" outlineLevel="1">
      <c r="B610" s="0" t="inlineStr">
        <is>
          <t xml:space="preserve">2024-09-27</t>
        </is>
      </c>
      <c r="C610" s="0" t="inlineStr">
        <is>
          <t xml:space="preserve">-</t>
        </is>
      </c>
      <c r="D610" s="0" t="inlineStr">
        <is>
          <t xml:space="preserve">non_sub</t>
        </is>
      </c>
      <c r="E610" s="0" t="inlineStr">
        <is>
          <t xml:space="preserve">engineering</t>
        </is>
      </c>
      <c r="F610" s="0" t="inlineStr">
        <is>
          <t xml:space="preserve">EXCLUDE_REVIEW</t>
        </is>
      </c>
      <c r="G610" s="0" t="inlineStr">
        <is>
          <t xml:space="preserve">BC</t>
        </is>
      </c>
      <c r="H610" s="5">
        <v>0</v>
      </c>
      <c r="I610" s="5">
        <v>0</v>
      </c>
      <c r="J610" s="5">
        <v>1</v>
      </c>
      <c r="K610" s="5">
        <v>8.508914</v>
      </c>
      <c r="L610" s="7">
        <v>0.0</v>
      </c>
      <c r="M610" s="7">
        <v>0.0</v>
      </c>
      <c r="N610" s="7">
        <v>0.0</v>
      </c>
      <c r="O610" s="7">
        <v>0.0</v>
      </c>
    </row>
    <row r="611" outlineLevel="1">
      <c r="B611" s="0" t="inlineStr">
        <is>
          <t xml:space="preserve">2023-03-20</t>
        </is>
      </c>
      <c r="C611" s="0" t="inlineStr">
        <is>
          <t xml:space="preserve">N00024-22-C-2300</t>
        </is>
      </c>
      <c r="D611" s="0" t="inlineStr">
        <is>
          <t xml:space="preserve">non_sub</t>
        </is>
      </c>
      <c r="E611" s="0" t="inlineStr">
        <is>
          <t xml:space="preserve">sustainment_maintenance</t>
        </is>
      </c>
      <c r="F611" s="0" t="inlineStr">
        <is>
          <t xml:space="preserve">EXCLUDE_REVIEW</t>
        </is>
      </c>
      <c r="G611" s="0" t="inlineStr">
        <is>
          <t xml:space="preserve">BC</t>
        </is>
      </c>
      <c r="H611" s="5">
        <v>0</v>
      </c>
      <c r="I611" s="5">
        <v>0</v>
      </c>
      <c r="J611" s="5">
        <v>1</v>
      </c>
      <c r="K611" s="5">
        <v>8.506601</v>
      </c>
      <c r="L611" s="7">
        <v>0.0</v>
      </c>
      <c r="M611" s="7">
        <v>0.0</v>
      </c>
      <c r="N611" s="7">
        <v>1.0</v>
      </c>
      <c r="O611" s="7">
        <v>0.0</v>
      </c>
    </row>
    <row r="612" outlineLevel="1">
      <c r="B612" s="0" t="inlineStr">
        <is>
          <t xml:space="preserve">2023-05-09</t>
        </is>
      </c>
      <c r="C612" s="0" t="inlineStr">
        <is>
          <t xml:space="preserve">-</t>
        </is>
      </c>
      <c r="D612" s="0" t="inlineStr">
        <is>
          <t xml:space="preserve">non_sub</t>
        </is>
      </c>
      <c r="E612" s="0" t="inlineStr">
        <is>
          <t xml:space="preserve">sustainment_maintenance</t>
        </is>
      </c>
      <c r="F612" s="0" t="inlineStr">
        <is>
          <t xml:space="preserve">EXCLUDE_REVIEW</t>
        </is>
      </c>
      <c r="G612" s="0" t="inlineStr">
        <is>
          <t xml:space="preserve">BC</t>
        </is>
      </c>
      <c r="H612" s="5">
        <v>0</v>
      </c>
      <c r="I612" s="5">
        <v>0</v>
      </c>
      <c r="J612" s="5">
        <v>1</v>
      </c>
      <c r="K612" s="5">
        <v>8.469847</v>
      </c>
      <c r="L612" s="7">
        <v>0.0</v>
      </c>
      <c r="M612" s="7">
        <v>0.0</v>
      </c>
      <c r="N612" s="7">
        <v>0.0</v>
      </c>
      <c r="O612" s="7">
        <v>0.0</v>
      </c>
    </row>
    <row r="613" outlineLevel="1">
      <c r="B613" s="0" t="inlineStr">
        <is>
          <t xml:space="preserve">2023-03-07</t>
        </is>
      </c>
      <c r="C613" s="0" t="inlineStr">
        <is>
          <t xml:space="preserve">-</t>
        </is>
      </c>
      <c r="D613" s="0" t="inlineStr">
        <is>
          <t xml:space="preserve">non_sub</t>
        </is>
      </c>
      <c r="E613" s="0" t="inlineStr">
        <is>
          <t xml:space="preserve">engineering</t>
        </is>
      </c>
      <c r="F613" s="0" t="inlineStr">
        <is>
          <t xml:space="preserve">EXCLUDE_REVIEW</t>
        </is>
      </c>
      <c r="G613" s="0" t="inlineStr">
        <is>
          <t xml:space="preserve">BC</t>
        </is>
      </c>
      <c r="H613" s="5">
        <v>0</v>
      </c>
      <c r="I613" s="5">
        <v>0</v>
      </c>
      <c r="J613" s="5">
        <v>1</v>
      </c>
      <c r="K613" s="5">
        <v>8.444082</v>
      </c>
      <c r="L613" s="7">
        <v>0.0</v>
      </c>
      <c r="M613" s="7">
        <v>0.0</v>
      </c>
      <c r="N613" s="7">
        <v>1.0</v>
      </c>
      <c r="O613" s="7">
        <v>0.0</v>
      </c>
    </row>
    <row r="614" outlineLevel="1">
      <c r="B614" s="0" t="inlineStr">
        <is>
          <t xml:space="preserve">2025-07-18</t>
        </is>
      </c>
      <c r="C614" s="0" t="inlineStr">
        <is>
          <t xml:space="preserve">N00167-25-D-0007</t>
        </is>
      </c>
      <c r="D614" s="0" t="inlineStr">
        <is>
          <t xml:space="preserve">va</t>
        </is>
      </c>
      <c r="E614" s="0" t="inlineStr">
        <is>
          <t xml:space="preserve">other</t>
        </is>
      </c>
      <c r="F614" s="0" t="inlineStr">
        <is>
          <t xml:space="preserve">EXCLUDE_REVIEW</t>
        </is>
      </c>
      <c r="G614" s="0" t="inlineStr">
        <is>
          <t xml:space="preserve">BC</t>
        </is>
      </c>
      <c r="H614" s="5">
        <v>0</v>
      </c>
      <c r="I614" s="5">
        <v>0</v>
      </c>
      <c r="J614" s="5">
        <v>1</v>
      </c>
      <c r="K614" s="5">
        <v>8.441591</v>
      </c>
      <c r="L614" s="7">
        <v>0.0</v>
      </c>
      <c r="M614" s="7">
        <v>0.0</v>
      </c>
      <c r="N614" s="7">
        <v>0.0</v>
      </c>
      <c r="O614" s="7">
        <v>0.0</v>
      </c>
    </row>
    <row r="615" outlineLevel="1">
      <c r="B615" s="0" t="inlineStr">
        <is>
          <t xml:space="preserve">2025-07-23</t>
        </is>
      </c>
      <c r="C615" s="0" t="inlineStr">
        <is>
          <t xml:space="preserve">N00024-21-D-4114</t>
        </is>
      </c>
      <c r="D615" s="0" t="inlineStr">
        <is>
          <t xml:space="preserve">non_sub</t>
        </is>
      </c>
      <c r="E615" s="0" t="inlineStr">
        <is>
          <t xml:space="preserve">other</t>
        </is>
      </c>
      <c r="F615" s="0" t="inlineStr">
        <is>
          <t xml:space="preserve">EXCLUDE_REVIEW</t>
        </is>
      </c>
      <c r="G615" s="0" t="inlineStr">
        <is>
          <t xml:space="preserve">BC</t>
        </is>
      </c>
      <c r="H615" s="5">
        <v>0</v>
      </c>
      <c r="I615" s="5">
        <v>0</v>
      </c>
      <c r="J615" s="5">
        <v>1</v>
      </c>
      <c r="K615" s="5">
        <v>8.429649</v>
      </c>
      <c r="L615" s="7">
        <v>0.0</v>
      </c>
      <c r="M615" s="7">
        <v>0.0</v>
      </c>
      <c r="N615" s="7">
        <v>0.0</v>
      </c>
      <c r="O615" s="7">
        <v>0.0</v>
      </c>
    </row>
    <row r="616" outlineLevel="1">
      <c r="B616" s="0" t="inlineStr">
        <is>
          <t xml:space="preserve">2025-04-17</t>
        </is>
      </c>
      <c r="C616" s="0" t="inlineStr">
        <is>
          <t xml:space="preserve">N00024-22-C-5235</t>
        </is>
      </c>
      <c r="D616" s="0" t="inlineStr">
        <is>
          <t xml:space="preserve">non_sub</t>
        </is>
      </c>
      <c r="E616" s="0" t="inlineStr">
        <is>
          <t xml:space="preserve">engineering</t>
        </is>
      </c>
      <c r="F616" s="0" t="inlineStr">
        <is>
          <t xml:space="preserve">EXCLUDE_REVIEW</t>
        </is>
      </c>
      <c r="G616" s="0" t="inlineStr">
        <is>
          <t xml:space="preserve">BC</t>
        </is>
      </c>
      <c r="H616" s="5">
        <v>0</v>
      </c>
      <c r="I616" s="5">
        <v>0</v>
      </c>
      <c r="J616" s="5">
        <v>1</v>
      </c>
      <c r="K616" s="5">
        <v>8.407839</v>
      </c>
      <c r="L616" s="7">
        <v>0.0</v>
      </c>
      <c r="M616" s="7">
        <v>0.0</v>
      </c>
      <c r="N616" s="7">
        <v>0.0</v>
      </c>
      <c r="O616" s="7">
        <v>0.0</v>
      </c>
    </row>
    <row r="617" outlineLevel="1">
      <c r="B617" s="0" t="inlineStr">
        <is>
          <t xml:space="preserve">2024-02-02</t>
        </is>
      </c>
      <c r="C617" s="0" t="inlineStr">
        <is>
          <t xml:space="preserve">-</t>
        </is>
      </c>
      <c r="D617" s="0" t="inlineStr">
        <is>
          <t xml:space="preserve">non_sub</t>
        </is>
      </c>
      <c r="E617" s="0" t="inlineStr">
        <is>
          <t xml:space="preserve">sustainment_maintenance</t>
        </is>
      </c>
      <c r="F617" s="0" t="inlineStr">
        <is>
          <t xml:space="preserve">EXCLUDE_REVIEW</t>
        </is>
      </c>
      <c r="G617" s="0" t="inlineStr">
        <is>
          <t xml:space="preserve">BC</t>
        </is>
      </c>
      <c r="H617" s="5">
        <v>0</v>
      </c>
      <c r="I617" s="5">
        <v>0</v>
      </c>
      <c r="J617" s="5">
        <v>1</v>
      </c>
      <c r="K617" s="5">
        <v>8.305446</v>
      </c>
      <c r="L617" s="7">
        <v>0.0</v>
      </c>
      <c r="M617" s="7">
        <v>0.0</v>
      </c>
      <c r="N617" s="7">
        <v>0.0</v>
      </c>
      <c r="O617" s="7">
        <v>0.0</v>
      </c>
    </row>
    <row r="618" outlineLevel="1">
      <c r="B618" s="0" t="inlineStr">
        <is>
          <t xml:space="preserve">2024-02-02</t>
        </is>
      </c>
      <c r="C618" s="0" t="inlineStr">
        <is>
          <t xml:space="preserve">-</t>
        </is>
      </c>
      <c r="D618" s="0" t="inlineStr">
        <is>
          <t xml:space="preserve">sub_other</t>
        </is>
      </c>
      <c r="E618" s="0" t="inlineStr">
        <is>
          <t xml:space="preserve">engineering</t>
        </is>
      </c>
      <c r="F618" s="0" t="inlineStr">
        <is>
          <t xml:space="preserve">EXCLUDE_REVIEW</t>
        </is>
      </c>
      <c r="G618" s="0" t="inlineStr">
        <is>
          <t xml:space="preserve">BC</t>
        </is>
      </c>
      <c r="H618" s="5">
        <v>0</v>
      </c>
      <c r="I618" s="5">
        <v>0</v>
      </c>
      <c r="J618" s="5">
        <v>1</v>
      </c>
      <c r="K618" s="5">
        <v>8.234682</v>
      </c>
      <c r="L618" s="7">
        <v>0.0</v>
      </c>
      <c r="M618" s="7">
        <v>0.0</v>
      </c>
      <c r="N618" s="7">
        <v>1.0</v>
      </c>
      <c r="O618" s="7">
        <v>0.0</v>
      </c>
    </row>
    <row r="619" outlineLevel="1">
      <c r="B619" s="0" t="inlineStr">
        <is>
          <t xml:space="preserve">2025-02-26</t>
        </is>
      </c>
      <c r="C619" s="0" t="inlineStr">
        <is>
          <t xml:space="preserve">N00024-02-C-2905</t>
        </is>
      </c>
      <c r="D619" s="0" t="inlineStr">
        <is>
          <t xml:space="preserve">non_sub</t>
        </is>
      </c>
      <c r="E619" s="0" t="inlineStr">
        <is>
          <t xml:space="preserve">other</t>
        </is>
      </c>
      <c r="F619" s="0" t="inlineStr">
        <is>
          <t xml:space="preserve">EXCLUDE_REVIEW</t>
        </is>
      </c>
      <c r="G619" s="0" t="inlineStr">
        <is>
          <t xml:space="preserve">BC</t>
        </is>
      </c>
      <c r="H619" s="5">
        <v>0</v>
      </c>
      <c r="I619" s="5">
        <v>0</v>
      </c>
      <c r="J619" s="5">
        <v>1</v>
      </c>
      <c r="K619" s="5">
        <v>8.208962</v>
      </c>
      <c r="L619" s="7">
        <v>0.0</v>
      </c>
      <c r="M619" s="7">
        <v>0.0</v>
      </c>
      <c r="N619" s="7">
        <v>0.0</v>
      </c>
      <c r="O619" s="7">
        <v>0.0</v>
      </c>
    </row>
    <row r="620" outlineLevel="1">
      <c r="B620" s="0" t="inlineStr">
        <is>
          <t xml:space="preserve">2025-01-10</t>
        </is>
      </c>
      <c r="C620" s="0" t="inlineStr">
        <is>
          <t xml:space="preserve">N00024-23-C-5401</t>
        </is>
      </c>
      <c r="D620" s="0" t="inlineStr">
        <is>
          <t xml:space="preserve">non_sub</t>
        </is>
      </c>
      <c r="E620" s="0" t="inlineStr">
        <is>
          <t xml:space="preserve">lead_yard</t>
        </is>
      </c>
      <c r="F620" s="0" t="inlineStr">
        <is>
          <t xml:space="preserve">EXCLUDE_REVIEW</t>
        </is>
      </c>
      <c r="G620" s="0" t="inlineStr">
        <is>
          <t xml:space="preserve">BC</t>
        </is>
      </c>
      <c r="H620" s="5">
        <v>0</v>
      </c>
      <c r="I620" s="5">
        <v>0</v>
      </c>
      <c r="J620" s="5">
        <v>1</v>
      </c>
      <c r="K620" s="5">
        <v>8.188022</v>
      </c>
      <c r="L620" s="7">
        <v>0.0</v>
      </c>
      <c r="M620" s="7">
        <v>0.0</v>
      </c>
      <c r="N620" s="7">
        <v>0.0</v>
      </c>
      <c r="O620" s="7">
        <v>0.0</v>
      </c>
    </row>
    <row r="621" outlineLevel="1">
      <c r="B621" s="0" t="inlineStr">
        <is>
          <t xml:space="preserve">2022-11-01</t>
        </is>
      </c>
      <c r="C621" s="0" t="inlineStr">
        <is>
          <t xml:space="preserve">-</t>
        </is>
      </c>
      <c r="D621" s="0" t="inlineStr">
        <is>
          <t xml:space="preserve">non_sub</t>
        </is>
      </c>
      <c r="E621" s="0" t="inlineStr">
        <is>
          <t xml:space="preserve">other</t>
        </is>
      </c>
      <c r="F621" s="0" t="inlineStr">
        <is>
          <t xml:space="preserve">EXCLUDE_REVIEW</t>
        </is>
      </c>
      <c r="G621" s="0" t="inlineStr">
        <is>
          <t xml:space="preserve">BC</t>
        </is>
      </c>
      <c r="H621" s="5">
        <v>0</v>
      </c>
      <c r="I621" s="5">
        <v>0</v>
      </c>
      <c r="J621" s="5">
        <v>1</v>
      </c>
      <c r="K621" s="5">
        <v>8.163409</v>
      </c>
      <c r="L621" s="7">
        <v>0.0</v>
      </c>
      <c r="M621" s="7">
        <v>0.0</v>
      </c>
      <c r="N621" s="7">
        <v>0.0</v>
      </c>
      <c r="O621" s="7">
        <v>0.0</v>
      </c>
    </row>
    <row r="622" outlineLevel="1">
      <c r="B622" s="0" t="inlineStr">
        <is>
          <t xml:space="preserve">2022-08-26</t>
        </is>
      </c>
      <c r="C622" s="0" t="inlineStr">
        <is>
          <t xml:space="preserve">N00024-22-C-4202</t>
        </is>
      </c>
      <c r="D622" s="0" t="inlineStr">
        <is>
          <t xml:space="preserve">non_sub</t>
        </is>
      </c>
      <c r="E622" s="0" t="inlineStr">
        <is>
          <t xml:space="preserve">other</t>
        </is>
      </c>
      <c r="F622" s="0" t="inlineStr">
        <is>
          <t xml:space="preserve">EXCLUDE_REVIEW</t>
        </is>
      </c>
      <c r="G622" s="0" t="inlineStr">
        <is>
          <t xml:space="preserve">BC</t>
        </is>
      </c>
      <c r="H622" s="5">
        <v>0</v>
      </c>
      <c r="I622" s="5">
        <v>0</v>
      </c>
      <c r="J622" s="5">
        <v>1</v>
      </c>
      <c r="K622" s="5">
        <v>8.136035</v>
      </c>
      <c r="L622" s="7">
        <v>0.0</v>
      </c>
      <c r="M622" s="7">
        <v>0.0</v>
      </c>
      <c r="N622" s="7">
        <v>1.0</v>
      </c>
      <c r="O622" s="7">
        <v>0.0</v>
      </c>
    </row>
    <row r="623" outlineLevel="1">
      <c r="B623" s="0" t="inlineStr">
        <is>
          <t xml:space="preserve">2023-12-19</t>
        </is>
      </c>
      <c r="C623" s="0" t="inlineStr">
        <is>
          <t xml:space="preserve">N32253-24-C-0002</t>
        </is>
      </c>
      <c r="D623" s="0" t="inlineStr">
        <is>
          <t xml:space="preserve">va</t>
        </is>
      </c>
      <c r="E623" s="0" t="inlineStr">
        <is>
          <t xml:space="preserve">repair_overhaul</t>
        </is>
      </c>
      <c r="F623" s="0" t="inlineStr">
        <is>
          <t xml:space="preserve">EXCLUDE_REVIEW</t>
        </is>
      </c>
      <c r="G623" s="0" t="inlineStr">
        <is>
          <t xml:space="preserve">BC</t>
        </is>
      </c>
      <c r="H623" s="5">
        <v>0</v>
      </c>
      <c r="I623" s="5">
        <v>0</v>
      </c>
      <c r="J623" s="5">
        <v>1</v>
      </c>
      <c r="K623" s="5">
        <v>8.118948</v>
      </c>
      <c r="L623" s="7">
        <v>0.0</v>
      </c>
      <c r="M623" s="7">
        <v>0.0</v>
      </c>
      <c r="N623" s="7">
        <v>0.0</v>
      </c>
      <c r="O623" s="7">
        <v>0.0</v>
      </c>
    </row>
    <row r="624" outlineLevel="1">
      <c r="B624" s="0" t="inlineStr">
        <is>
          <t xml:space="preserve">2025-03-14</t>
        </is>
      </c>
      <c r="C624" s="0" t="inlineStr">
        <is>
          <t xml:space="preserve">N00024-24-C-5408</t>
        </is>
      </c>
      <c r="D624" s="0" t="inlineStr">
        <is>
          <t xml:space="preserve">non_sub</t>
        </is>
      </c>
      <c r="E624" s="0" t="inlineStr">
        <is>
          <t xml:space="preserve">other</t>
        </is>
      </c>
      <c r="F624" s="0" t="inlineStr">
        <is>
          <t xml:space="preserve">EXCLUDE_REVIEW</t>
        </is>
      </c>
      <c r="G624" s="0" t="inlineStr">
        <is>
          <t xml:space="preserve">BC</t>
        </is>
      </c>
      <c r="H624" s="5">
        <v>0</v>
      </c>
      <c r="I624" s="5">
        <v>0</v>
      </c>
      <c r="J624" s="5">
        <v>1</v>
      </c>
      <c r="K624" s="5">
        <v>8.106</v>
      </c>
      <c r="L624" s="7">
        <v>0.0</v>
      </c>
      <c r="M624" s="7">
        <v>0.0</v>
      </c>
      <c r="N624" s="7">
        <v>0.9</v>
      </c>
      <c r="O624" s="7">
        <v>0.0</v>
      </c>
    </row>
    <row r="625" outlineLevel="1">
      <c r="B625" s="0" t="inlineStr">
        <is>
          <t xml:space="preserve">2025-03-17</t>
        </is>
      </c>
      <c r="C625" s="0" t="inlineStr">
        <is>
          <t xml:space="preserve">-</t>
        </is>
      </c>
      <c r="D625" s="0" t="inlineStr">
        <is>
          <t xml:space="preserve">non_sub</t>
        </is>
      </c>
      <c r="E625" s="0" t="inlineStr">
        <is>
          <t xml:space="preserve">other</t>
        </is>
      </c>
      <c r="F625" s="0" t="inlineStr">
        <is>
          <t xml:space="preserve">EXCLUDE_REVIEW</t>
        </is>
      </c>
      <c r="G625" s="0" t="inlineStr">
        <is>
          <t xml:space="preserve">BC</t>
        </is>
      </c>
      <c r="H625" s="5">
        <v>0</v>
      </c>
      <c r="I625" s="5">
        <v>0</v>
      </c>
      <c r="J625" s="5">
        <v>1</v>
      </c>
      <c r="K625" s="5">
        <v>8.097844</v>
      </c>
      <c r="L625" s="7">
        <v>0.0</v>
      </c>
      <c r="M625" s="7">
        <v>0.0</v>
      </c>
      <c r="N625" s="7">
        <v>1.0</v>
      </c>
      <c r="O625" s="7">
        <v>0.0</v>
      </c>
    </row>
    <row r="626" outlineLevel="1">
      <c r="B626" s="0" t="inlineStr">
        <is>
          <t xml:space="preserve">2025-06-10</t>
        </is>
      </c>
      <c r="C626" s="0" t="inlineStr">
        <is>
          <t xml:space="preserve">N00024-16-C-2116</t>
        </is>
      </c>
      <c r="D626" s="0" t="inlineStr">
        <is>
          <t xml:space="preserve">non_sub</t>
        </is>
      </c>
      <c r="E626" s="0" t="inlineStr">
        <is>
          <t xml:space="preserve">other</t>
        </is>
      </c>
      <c r="F626" s="0" t="inlineStr">
        <is>
          <t xml:space="preserve">EXCLUDE_REVIEW</t>
        </is>
      </c>
      <c r="G626" s="0" t="inlineStr">
        <is>
          <t xml:space="preserve">BC</t>
        </is>
      </c>
      <c r="H626" s="5">
        <v>0</v>
      </c>
      <c r="I626" s="5">
        <v>0</v>
      </c>
      <c r="J626" s="5">
        <v>1</v>
      </c>
      <c r="K626" s="5">
        <v>8.056338</v>
      </c>
      <c r="L626" s="7">
        <v>0.0</v>
      </c>
      <c r="M626" s="7">
        <v>0.0</v>
      </c>
      <c r="N626" s="7">
        <v>0.0</v>
      </c>
      <c r="O626" s="7">
        <v>0.0</v>
      </c>
    </row>
    <row r="627" outlineLevel="1">
      <c r="B627" s="0" t="inlineStr">
        <is>
          <t xml:space="preserve">2023-01-31</t>
        </is>
      </c>
      <c r="C627" s="0" t="inlineStr">
        <is>
          <t xml:space="preserve">N64498-23-D-4000</t>
        </is>
      </c>
      <c r="D627" s="0" t="inlineStr">
        <is>
          <t xml:space="preserve">sub_other</t>
        </is>
      </c>
      <c r="E627" s="0" t="inlineStr">
        <is>
          <t xml:space="preserve">other</t>
        </is>
      </c>
      <c r="F627" s="0" t="inlineStr">
        <is>
          <t xml:space="preserve">EXCLUDE_REVIEW</t>
        </is>
      </c>
      <c r="G627" s="0" t="inlineStr">
        <is>
          <t xml:space="preserve">BC</t>
        </is>
      </c>
      <c r="H627" s="5">
        <v>0</v>
      </c>
      <c r="I627" s="5">
        <v>0</v>
      </c>
      <c r="J627" s="5">
        <v>1</v>
      </c>
      <c r="K627" s="5">
        <v>8.052851</v>
      </c>
      <c r="L627" s="7">
        <v>0.08</v>
      </c>
      <c r="M627" s="7">
        <v>0.0</v>
      </c>
      <c r="N627" s="7">
        <v>0.76</v>
      </c>
      <c r="O627" s="7">
        <v>0.0</v>
      </c>
    </row>
    <row r="628" outlineLevel="1">
      <c r="B628" s="0" t="inlineStr">
        <is>
          <t xml:space="preserve">2025-08-14</t>
        </is>
      </c>
      <c r="C628" s="0" t="inlineStr">
        <is>
          <t xml:space="preserve">N00024-24-F-6220</t>
        </is>
      </c>
      <c r="D628" s="0" t="inlineStr">
        <is>
          <t xml:space="preserve">sub_gfe_electronics</t>
        </is>
      </c>
      <c r="E628" s="0" t="inlineStr">
        <is>
          <t xml:space="preserve">component_procurement</t>
        </is>
      </c>
      <c r="F628" s="0" t="inlineStr">
        <is>
          <t xml:space="preserve">EXCLUDE_GFE</t>
        </is>
      </c>
      <c r="G628" s="0" t="inlineStr">
        <is>
          <t xml:space="preserve">BC</t>
        </is>
      </c>
      <c r="H628" s="5">
        <v>1</v>
      </c>
      <c r="I628" s="5">
        <v>1</v>
      </c>
      <c r="J628" s="5">
        <v>1</v>
      </c>
      <c r="K628" s="5">
        <v>8.044741</v>
      </c>
      <c r="L628" s="7">
        <v>0.0</v>
      </c>
      <c r="M628" s="7">
        <v>0.0</v>
      </c>
      <c r="N628" s="7">
        <v>0.0</v>
      </c>
      <c r="O628" s="7">
        <v>0.0</v>
      </c>
    </row>
    <row r="629" outlineLevel="1">
      <c r="B629" s="0" t="inlineStr">
        <is>
          <t xml:space="preserve">2023-12-22</t>
        </is>
      </c>
      <c r="C629" s="0" t="inlineStr">
        <is>
          <t xml:space="preserve">-</t>
        </is>
      </c>
      <c r="D629" s="0" t="inlineStr">
        <is>
          <t xml:space="preserve">non_sub</t>
        </is>
      </c>
      <c r="E629" s="0" t="inlineStr">
        <is>
          <t xml:space="preserve">other</t>
        </is>
      </c>
      <c r="F629" s="0" t="inlineStr">
        <is>
          <t xml:space="preserve">EXCLUDE_REVIEW</t>
        </is>
      </c>
      <c r="G629" s="0" t="inlineStr">
        <is>
          <t xml:space="preserve">BC</t>
        </is>
      </c>
      <c r="H629" s="5">
        <v>0</v>
      </c>
      <c r="I629" s="5">
        <v>0</v>
      </c>
      <c r="J629" s="5">
        <v>1</v>
      </c>
      <c r="K629" s="5">
        <v>8.041578</v>
      </c>
      <c r="L629" s="7">
        <v>0.0</v>
      </c>
      <c r="M629" s="7">
        <v>0.0</v>
      </c>
      <c r="N629" s="7">
        <v>0.0</v>
      </c>
      <c r="O629" s="7">
        <v>0.0</v>
      </c>
    </row>
    <row r="630" outlineLevel="1">
      <c r="B630" s="0" t="inlineStr">
        <is>
          <t xml:space="preserve">2024-03-26</t>
        </is>
      </c>
      <c r="C630" s="0" t="inlineStr">
        <is>
          <t xml:space="preserve">N00024-19-C-2322</t>
        </is>
      </c>
      <c r="D630" s="0" t="inlineStr">
        <is>
          <t xml:space="preserve">non_sub</t>
        </is>
      </c>
      <c r="E630" s="0" t="inlineStr">
        <is>
          <t xml:space="preserve">other</t>
        </is>
      </c>
      <c r="F630" s="0" t="inlineStr">
        <is>
          <t xml:space="preserve">EXCLUDE_REVIEW</t>
        </is>
      </c>
      <c r="G630" s="0" t="inlineStr">
        <is>
          <t xml:space="preserve">BC</t>
        </is>
      </c>
      <c r="H630" s="5">
        <v>0</v>
      </c>
      <c r="I630" s="5">
        <v>0</v>
      </c>
      <c r="J630" s="5">
        <v>1</v>
      </c>
      <c r="K630" s="5">
        <v>8.037986</v>
      </c>
      <c r="L630" s="7">
        <v>0.0</v>
      </c>
      <c r="M630" s="7">
        <v>0.0</v>
      </c>
      <c r="N630" s="7">
        <v>0.64</v>
      </c>
      <c r="O630" s="7">
        <v>0.0</v>
      </c>
    </row>
    <row r="631" outlineLevel="1">
      <c r="B631" s="0" t="inlineStr">
        <is>
          <t xml:space="preserve">2022-12-02</t>
        </is>
      </c>
      <c r="C631" s="0" t="inlineStr">
        <is>
          <t xml:space="preserve">-</t>
        </is>
      </c>
      <c r="D631" s="0" t="inlineStr">
        <is>
          <t xml:space="preserve">non_sub</t>
        </is>
      </c>
      <c r="E631" s="0" t="inlineStr">
        <is>
          <t xml:space="preserve">lltm_early_mfg</t>
        </is>
      </c>
      <c r="F631" s="0" t="inlineStr">
        <is>
          <t xml:space="preserve">INCLUDE_AP_LLTM</t>
        </is>
      </c>
      <c r="G631" s="0" t="inlineStr">
        <is>
          <t xml:space="preserve">AP_LLTM</t>
        </is>
      </c>
      <c r="H631" s="5">
        <v>0</v>
      </c>
      <c r="I631" s="5">
        <v>0</v>
      </c>
      <c r="J631" s="5">
        <v>1</v>
      </c>
      <c r="K631" s="5">
        <v>8.000905</v>
      </c>
      <c r="L631" s="7">
        <v>0.0</v>
      </c>
      <c r="M631" s="7">
        <v>0.0</v>
      </c>
      <c r="N631" s="7">
        <v>1.0</v>
      </c>
      <c r="O631" s="7">
        <v>0.0</v>
      </c>
    </row>
    <row r="632" outlineLevel="1">
      <c r="B632" s="0" t="inlineStr">
        <is>
          <t xml:space="preserve">2025-04-10</t>
        </is>
      </c>
      <c r="C632" s="0" t="inlineStr">
        <is>
          <t xml:space="preserve">N00024-21-C-4311</t>
        </is>
      </c>
      <c r="D632" s="0" t="inlineStr">
        <is>
          <t xml:space="preserve">sub_repair</t>
        </is>
      </c>
      <c r="E632" s="0" t="inlineStr">
        <is>
          <t xml:space="preserve">repair_overhaul</t>
        </is>
      </c>
      <c r="F632" s="0" t="inlineStr">
        <is>
          <t xml:space="preserve">EXCLUDE_REVIEW</t>
        </is>
      </c>
      <c r="G632" s="0" t="inlineStr">
        <is>
          <t xml:space="preserve">BC</t>
        </is>
      </c>
      <c r="H632" s="5">
        <v>0</v>
      </c>
      <c r="I632" s="5">
        <v>0</v>
      </c>
      <c r="J632" s="5">
        <v>1</v>
      </c>
      <c r="K632" s="5">
        <v>7.971837</v>
      </c>
      <c r="L632" s="7">
        <v>0.0</v>
      </c>
      <c r="M632" s="7">
        <v>0.0</v>
      </c>
      <c r="N632" s="7">
        <v>0.0</v>
      </c>
      <c r="O632" s="7">
        <v>0.0</v>
      </c>
    </row>
    <row r="633" outlineLevel="1">
      <c r="B633" s="0" t="inlineStr">
        <is>
          <t xml:space="preserve">2025-05-01</t>
        </is>
      </c>
      <c r="C633" s="0" t="inlineStr">
        <is>
          <t xml:space="preserve">N00024-24-C-6110</t>
        </is>
      </c>
      <c r="D633" s="0" t="inlineStr">
        <is>
          <t xml:space="preserve">non_sub</t>
        </is>
      </c>
      <c r="E633" s="0" t="inlineStr">
        <is>
          <t xml:space="preserve">engineering</t>
        </is>
      </c>
      <c r="F633" s="0" t="inlineStr">
        <is>
          <t xml:space="preserve">EXCLUDE_REVIEW</t>
        </is>
      </c>
      <c r="G633" s="0" t="inlineStr">
        <is>
          <t xml:space="preserve">BC</t>
        </is>
      </c>
      <c r="H633" s="5">
        <v>0</v>
      </c>
      <c r="I633" s="5">
        <v>0</v>
      </c>
      <c r="J633" s="5">
        <v>1</v>
      </c>
      <c r="K633" s="5">
        <v>7.970268</v>
      </c>
      <c r="L633" s="7">
        <v>0.0</v>
      </c>
      <c r="M633" s="7">
        <v>0.0</v>
      </c>
      <c r="N633" s="7">
        <v>0.0</v>
      </c>
      <c r="O633" s="7">
        <v>0.0</v>
      </c>
    </row>
    <row r="634" outlineLevel="1">
      <c r="B634" s="0" t="inlineStr">
        <is>
          <t xml:space="preserve">2024-03-29</t>
        </is>
      </c>
      <c r="C634" s="0" t="inlineStr">
        <is>
          <t xml:space="preserve">N00024-23-C-5307</t>
        </is>
      </c>
      <c r="D634" s="0" t="inlineStr">
        <is>
          <t xml:space="preserve">non_sub</t>
        </is>
      </c>
      <c r="E634" s="0" t="inlineStr">
        <is>
          <t xml:space="preserve">fms</t>
        </is>
      </c>
      <c r="F634" s="0" t="inlineStr">
        <is>
          <t xml:space="preserve">EXCLUDE_REVIEW</t>
        </is>
      </c>
      <c r="G634" s="0" t="inlineStr">
        <is>
          <t xml:space="preserve">BC</t>
        </is>
      </c>
      <c r="H634" s="5">
        <v>0</v>
      </c>
      <c r="I634" s="5">
        <v>0</v>
      </c>
      <c r="J634" s="5">
        <v>1</v>
      </c>
      <c r="K634" s="5">
        <v>7.879295</v>
      </c>
      <c r="L634" s="7">
        <v>0.0</v>
      </c>
      <c r="M634" s="7">
        <v>0.0</v>
      </c>
      <c r="N634" s="7">
        <v>0.0</v>
      </c>
      <c r="O634" s="7">
        <v>0.0</v>
      </c>
    </row>
    <row r="635" outlineLevel="1">
      <c r="B635" s="0" t="inlineStr">
        <is>
          <t xml:space="preserve">2024-08-27</t>
        </is>
      </c>
      <c r="C635" s="0" t="inlineStr">
        <is>
          <t xml:space="preserve">N00024-13-C-2305</t>
        </is>
      </c>
      <c r="D635" s="0" t="inlineStr">
        <is>
          <t xml:space="preserve">non_sub</t>
        </is>
      </c>
      <c r="E635" s="0" t="inlineStr">
        <is>
          <t xml:space="preserve">sustainment_maintenance</t>
        </is>
      </c>
      <c r="F635" s="0" t="inlineStr">
        <is>
          <t xml:space="preserve">EXCLUDE_REVIEW</t>
        </is>
      </c>
      <c r="G635" s="0" t="inlineStr">
        <is>
          <t xml:space="preserve">BC</t>
        </is>
      </c>
      <c r="H635" s="5">
        <v>0</v>
      </c>
      <c r="I635" s="5">
        <v>0</v>
      </c>
      <c r="J635" s="5">
        <v>1</v>
      </c>
      <c r="K635" s="5">
        <v>7.802168</v>
      </c>
      <c r="L635" s="7">
        <v>0.0</v>
      </c>
      <c r="M635" s="7">
        <v>0.0</v>
      </c>
      <c r="N635" s="7">
        <v>0.99</v>
      </c>
      <c r="O635" s="7">
        <v>0.0</v>
      </c>
    </row>
    <row r="636" outlineLevel="1">
      <c r="B636" s="0" t="inlineStr">
        <is>
          <t xml:space="preserve">2025-06-12</t>
        </is>
      </c>
      <c r="C636" s="0" t="inlineStr">
        <is>
          <t xml:space="preserve">N00024-19-G-2319</t>
        </is>
      </c>
      <c r="D636" s="0" t="inlineStr">
        <is>
          <t xml:space="preserve">non_sub</t>
        </is>
      </c>
      <c r="E636" s="0" t="inlineStr">
        <is>
          <t xml:space="preserve">sustainment_maintenance</t>
        </is>
      </c>
      <c r="F636" s="0" t="inlineStr">
        <is>
          <t xml:space="preserve">EXCLUDE_REVIEW</t>
        </is>
      </c>
      <c r="G636" s="0" t="inlineStr">
        <is>
          <t xml:space="preserve">BC</t>
        </is>
      </c>
      <c r="H636" s="5">
        <v>0</v>
      </c>
      <c r="I636" s="5">
        <v>0</v>
      </c>
      <c r="J636" s="5">
        <v>1</v>
      </c>
      <c r="K636" s="5">
        <v>7.755462</v>
      </c>
      <c r="L636" s="7">
        <v>0.0</v>
      </c>
      <c r="M636" s="7">
        <v>0.0</v>
      </c>
      <c r="N636" s="7">
        <v>1.0</v>
      </c>
      <c r="O636" s="7">
        <v>0.0</v>
      </c>
    </row>
    <row r="637" outlineLevel="1">
      <c r="B637" s="0" t="inlineStr">
        <is>
          <t xml:space="preserve">2025-09-11</t>
        </is>
      </c>
      <c r="C637" s="0" t="inlineStr">
        <is>
          <t xml:space="preserve">-</t>
        </is>
      </c>
      <c r="D637" s="0" t="inlineStr">
        <is>
          <t xml:space="preserve">non_sub</t>
        </is>
      </c>
      <c r="E637" s="0" t="inlineStr">
        <is>
          <t xml:space="preserve">lead_yard</t>
        </is>
      </c>
      <c r="F637" s="0" t="inlineStr">
        <is>
          <t xml:space="preserve">EXCLUDE_REVIEW</t>
        </is>
      </c>
      <c r="G637" s="0" t="inlineStr">
        <is>
          <t xml:space="preserve">BC</t>
        </is>
      </c>
      <c r="H637" s="5">
        <v>0</v>
      </c>
      <c r="I637" s="5">
        <v>0</v>
      </c>
      <c r="J637" s="5">
        <v>1</v>
      </c>
      <c r="K637" s="5">
        <v>7.72985</v>
      </c>
      <c r="L637" s="7">
        <v>0.0</v>
      </c>
      <c r="M637" s="7">
        <v>0.0</v>
      </c>
      <c r="N637" s="7">
        <v>0.0</v>
      </c>
      <c r="O637" s="7">
        <v>0.0</v>
      </c>
    </row>
    <row r="638" outlineLevel="1">
      <c r="B638" s="0" t="inlineStr">
        <is>
          <t xml:space="preserve">2025-08-28</t>
        </is>
      </c>
      <c r="C638" s="0" t="inlineStr">
        <is>
          <t xml:space="preserve">N00024-23-F-6311</t>
        </is>
      </c>
      <c r="D638" s="0" t="inlineStr">
        <is>
          <t xml:space="preserve">non_sub</t>
        </is>
      </c>
      <c r="E638" s="0" t="inlineStr">
        <is>
          <t xml:space="preserve">sustainment_maintenance</t>
        </is>
      </c>
      <c r="F638" s="0" t="inlineStr">
        <is>
          <t xml:space="preserve">EXCLUDE_REVIEW</t>
        </is>
      </c>
      <c r="G638" s="0" t="inlineStr">
        <is>
          <t xml:space="preserve">BC</t>
        </is>
      </c>
      <c r="H638" s="5">
        <v>0</v>
      </c>
      <c r="I638" s="5">
        <v>0</v>
      </c>
      <c r="J638" s="5">
        <v>1</v>
      </c>
      <c r="K638" s="5">
        <v>7.682433</v>
      </c>
      <c r="L638" s="7">
        <v>0.0</v>
      </c>
      <c r="M638" s="7">
        <v>0.0</v>
      </c>
      <c r="N638" s="7">
        <v>0.98</v>
      </c>
      <c r="O638" s="7">
        <v>0.0</v>
      </c>
    </row>
    <row r="639" outlineLevel="1">
      <c r="B639" s="0" t="inlineStr">
        <is>
          <t xml:space="preserve">2025-07-23</t>
        </is>
      </c>
      <c r="C639" s="0" t="inlineStr">
        <is>
          <t xml:space="preserve">N00024-22-C-5218</t>
        </is>
      </c>
      <c r="D639" s="0" t="inlineStr">
        <is>
          <t xml:space="preserve">non_sub</t>
        </is>
      </c>
      <c r="E639" s="0" t="inlineStr">
        <is>
          <t xml:space="preserve">other</t>
        </is>
      </c>
      <c r="F639" s="0" t="inlineStr">
        <is>
          <t xml:space="preserve">EXCLUDE_REVIEW</t>
        </is>
      </c>
      <c r="G639" s="0" t="inlineStr">
        <is>
          <t xml:space="preserve">BC</t>
        </is>
      </c>
      <c r="H639" s="5">
        <v>0</v>
      </c>
      <c r="I639" s="5">
        <v>0</v>
      </c>
      <c r="J639" s="5">
        <v>1</v>
      </c>
      <c r="K639" s="5">
        <v>7.64603</v>
      </c>
      <c r="L639" s="7">
        <v>0.0</v>
      </c>
      <c r="M639" s="7">
        <v>0.0</v>
      </c>
      <c r="N639" s="7">
        <v>1.0</v>
      </c>
      <c r="O639" s="7">
        <v>0.0</v>
      </c>
    </row>
    <row r="640" outlineLevel="1">
      <c r="B640" s="0" t="inlineStr">
        <is>
          <t xml:space="preserve">2023-09-13</t>
        </is>
      </c>
      <c r="C640" s="0" t="inlineStr">
        <is>
          <t xml:space="preserve">-</t>
        </is>
      </c>
      <c r="D640" s="0" t="inlineStr">
        <is>
          <t xml:space="preserve">non_sub</t>
        </is>
      </c>
      <c r="E640" s="0" t="inlineStr">
        <is>
          <t xml:space="preserve">sustainment_maintenance</t>
        </is>
      </c>
      <c r="F640" s="0" t="inlineStr">
        <is>
          <t xml:space="preserve">EXCLUDE_REVIEW</t>
        </is>
      </c>
      <c r="G640" s="0" t="inlineStr">
        <is>
          <t xml:space="preserve">BC</t>
        </is>
      </c>
      <c r="H640" s="5">
        <v>0</v>
      </c>
      <c r="I640" s="5">
        <v>0</v>
      </c>
      <c r="J640" s="5">
        <v>1</v>
      </c>
      <c r="K640" s="5">
        <v>7.634599</v>
      </c>
      <c r="L640" s="7">
        <v>0.0</v>
      </c>
      <c r="M640" s="7">
        <v>0.0</v>
      </c>
      <c r="N640" s="7">
        <v>0.0</v>
      </c>
      <c r="O640" s="7">
        <v>0.0</v>
      </c>
    </row>
    <row r="641" outlineLevel="1">
      <c r="B641" s="0" t="inlineStr">
        <is>
          <t xml:space="preserve">2022-09-27</t>
        </is>
      </c>
      <c r="C641" s="0" t="inlineStr">
        <is>
          <t xml:space="preserve">N32253-22-C-0008</t>
        </is>
      </c>
      <c r="D641" s="0" t="inlineStr">
        <is>
          <t xml:space="preserve">va</t>
        </is>
      </c>
      <c r="E641" s="0" t="inlineStr">
        <is>
          <t xml:space="preserve">other</t>
        </is>
      </c>
      <c r="F641" s="0" t="inlineStr">
        <is>
          <t xml:space="preserve">EXCLUDE_REVIEW</t>
        </is>
      </c>
      <c r="G641" s="0" t="inlineStr">
        <is>
          <t xml:space="preserve">BC</t>
        </is>
      </c>
      <c r="H641" s="5">
        <v>0</v>
      </c>
      <c r="I641" s="5">
        <v>0</v>
      </c>
      <c r="J641" s="5">
        <v>1</v>
      </c>
      <c r="K641" s="5">
        <v>7.612324</v>
      </c>
      <c r="L641" s="7">
        <v>0.0</v>
      </c>
      <c r="M641" s="7">
        <v>0.0</v>
      </c>
      <c r="N641" s="7">
        <v>0.0</v>
      </c>
      <c r="O641" s="7">
        <v>0.0</v>
      </c>
    </row>
    <row r="642" outlineLevel="1">
      <c r="B642" s="0" t="inlineStr">
        <is>
          <t xml:space="preserve">2024-09-27</t>
        </is>
      </c>
      <c r="C642" s="0" t="inlineStr">
        <is>
          <t xml:space="preserve">-</t>
        </is>
      </c>
      <c r="D642" s="0" t="inlineStr">
        <is>
          <t xml:space="preserve">non_sub</t>
        </is>
      </c>
      <c r="E642" s="0" t="inlineStr">
        <is>
          <t xml:space="preserve">sustainment_maintenance</t>
        </is>
      </c>
      <c r="F642" s="0" t="inlineStr">
        <is>
          <t xml:space="preserve">EXCLUDE_REVIEW</t>
        </is>
      </c>
      <c r="G642" s="0" t="inlineStr">
        <is>
          <t xml:space="preserve">BC</t>
        </is>
      </c>
      <c r="H642" s="5">
        <v>0</v>
      </c>
      <c r="I642" s="5">
        <v>0</v>
      </c>
      <c r="J642" s="5">
        <v>1</v>
      </c>
      <c r="K642" s="5">
        <v>7.604996</v>
      </c>
      <c r="L642" s="7">
        <v>0.0</v>
      </c>
      <c r="M642" s="7">
        <v>0.0</v>
      </c>
      <c r="N642" s="7">
        <v>1.0</v>
      </c>
      <c r="O642" s="7">
        <v>0.0</v>
      </c>
    </row>
    <row r="643" outlineLevel="1">
      <c r="B643" s="0" t="inlineStr">
        <is>
          <t xml:space="preserve">2024-08-01</t>
        </is>
      </c>
      <c r="C643" s="0" t="inlineStr">
        <is>
          <t xml:space="preserve">N00024-24-F-6218</t>
        </is>
      </c>
      <c r="D643" s="0" t="inlineStr">
        <is>
          <t xml:space="preserve">sub_other</t>
        </is>
      </c>
      <c r="E643" s="0" t="inlineStr">
        <is>
          <t xml:space="preserve">other</t>
        </is>
      </c>
      <c r="F643" s="0" t="inlineStr">
        <is>
          <t xml:space="preserve">EXCLUDE_REVIEW</t>
        </is>
      </c>
      <c r="G643" s="0" t="inlineStr">
        <is>
          <t xml:space="preserve">BC</t>
        </is>
      </c>
      <c r="H643" s="5">
        <v>0</v>
      </c>
      <c r="I643" s="5">
        <v>0</v>
      </c>
      <c r="J643" s="5">
        <v>1</v>
      </c>
      <c r="K643" s="5">
        <v>7.600363</v>
      </c>
      <c r="L643" s="7">
        <v>0.0</v>
      </c>
      <c r="M643" s="7">
        <v>0.0</v>
      </c>
      <c r="N643" s="7">
        <v>0.0</v>
      </c>
      <c r="O643" s="7">
        <v>0.0</v>
      </c>
    </row>
    <row r="644" outlineLevel="1">
      <c r="B644" s="0" t="inlineStr">
        <is>
          <t xml:space="preserve">2025-07-31</t>
        </is>
      </c>
      <c r="C644" s="0" t="inlineStr">
        <is>
          <t xml:space="preserve">N00024-23-C-6110</t>
        </is>
      </c>
      <c r="D644" s="0" t="inlineStr">
        <is>
          <t xml:space="preserve">non_sub</t>
        </is>
      </c>
      <c r="E644" s="0" t="inlineStr">
        <is>
          <t xml:space="preserve">repair_overhaul</t>
        </is>
      </c>
      <c r="F644" s="0" t="inlineStr">
        <is>
          <t xml:space="preserve">EXCLUDE_REVIEW</t>
        </is>
      </c>
      <c r="G644" s="0" t="inlineStr">
        <is>
          <t xml:space="preserve">BC</t>
        </is>
      </c>
      <c r="H644" s="5">
        <v>0</v>
      </c>
      <c r="I644" s="5">
        <v>0</v>
      </c>
      <c r="J644" s="5">
        <v>1</v>
      </c>
      <c r="K644" s="5">
        <v>7.558892</v>
      </c>
      <c r="L644" s="7">
        <v>0.0</v>
      </c>
      <c r="M644" s="7">
        <v>0.0</v>
      </c>
      <c r="N644" s="7">
        <v>0.0</v>
      </c>
      <c r="O644" s="7">
        <v>0.0</v>
      </c>
    </row>
    <row r="645" outlineLevel="1">
      <c r="B645" s="0" t="inlineStr">
        <is>
          <t xml:space="preserve">2024-12-13</t>
        </is>
      </c>
      <c r="C645" s="0" t="inlineStr">
        <is>
          <t xml:space="preserve">-</t>
        </is>
      </c>
      <c r="D645" s="0" t="inlineStr">
        <is>
          <t xml:space="preserve">non_sub</t>
        </is>
      </c>
      <c r="E645" s="0" t="inlineStr">
        <is>
          <t xml:space="preserve">sustainment_maintenance</t>
        </is>
      </c>
      <c r="F645" s="0" t="inlineStr">
        <is>
          <t xml:space="preserve">EXCLUDE_REVIEW</t>
        </is>
      </c>
      <c r="G645" s="0" t="inlineStr">
        <is>
          <t xml:space="preserve">BC</t>
        </is>
      </c>
      <c r="H645" s="5">
        <v>0</v>
      </c>
      <c r="I645" s="5">
        <v>0</v>
      </c>
      <c r="J645" s="5">
        <v>1</v>
      </c>
      <c r="K645" s="5">
        <v>7.556155980000001</v>
      </c>
      <c r="L645" s="7">
        <v>0.0</v>
      </c>
      <c r="M645" s="7">
        <v>0.0</v>
      </c>
      <c r="N645" s="7">
        <v>1.0</v>
      </c>
      <c r="O645" s="7">
        <v>0.0</v>
      </c>
    </row>
    <row r="646" outlineLevel="1">
      <c r="B646" s="0" t="inlineStr">
        <is>
          <t xml:space="preserve">2023-06-08</t>
        </is>
      </c>
      <c r="C646" s="0" t="inlineStr">
        <is>
          <t xml:space="preserve">-</t>
        </is>
      </c>
      <c r="D646" s="0" t="inlineStr">
        <is>
          <t xml:space="preserve">sub_repair</t>
        </is>
      </c>
      <c r="E646" s="0" t="inlineStr">
        <is>
          <t xml:space="preserve">repair_overhaul</t>
        </is>
      </c>
      <c r="F646" s="0" t="inlineStr">
        <is>
          <t xml:space="preserve">EXCLUDE_REVIEW</t>
        </is>
      </c>
      <c r="G646" s="0" t="inlineStr">
        <is>
          <t xml:space="preserve">BC</t>
        </is>
      </c>
      <c r="H646" s="5">
        <v>0</v>
      </c>
      <c r="I646" s="5">
        <v>0</v>
      </c>
      <c r="J646" s="5">
        <v>1</v>
      </c>
      <c r="K646" s="5">
        <v>7.550232</v>
      </c>
      <c r="L646" s="7">
        <v>0.0</v>
      </c>
      <c r="M646" s="7">
        <v>0.0</v>
      </c>
      <c r="N646" s="7">
        <v>0.0</v>
      </c>
      <c r="O646" s="7">
        <v>0.0</v>
      </c>
    </row>
    <row r="647" outlineLevel="1">
      <c r="B647" s="0" t="inlineStr">
        <is>
          <t xml:space="preserve">2023-09-21</t>
        </is>
      </c>
      <c r="C647" s="0" t="inlineStr">
        <is>
          <t xml:space="preserve">-</t>
        </is>
      </c>
      <c r="D647" s="0" t="inlineStr">
        <is>
          <t xml:space="preserve">non_sub</t>
        </is>
      </c>
      <c r="E647" s="0" t="inlineStr">
        <is>
          <t xml:space="preserve">construction</t>
        </is>
      </c>
      <c r="F647" s="0" t="inlineStr">
        <is>
          <t xml:space="preserve">INCLUDE_BC</t>
        </is>
      </c>
      <c r="G647" s="0" t="inlineStr">
        <is>
          <t xml:space="preserve">BC</t>
        </is>
      </c>
      <c r="H647" s="5">
        <v>0</v>
      </c>
      <c r="I647" s="5">
        <v>0</v>
      </c>
      <c r="J647" s="5">
        <v>1</v>
      </c>
      <c r="K647" s="5">
        <v>7.546645</v>
      </c>
      <c r="L647" s="7">
        <v>0.0</v>
      </c>
      <c r="M647" s="7">
        <v>0.0</v>
      </c>
      <c r="N647" s="7">
        <v>0.0</v>
      </c>
      <c r="O647" s="7">
        <v>0.0</v>
      </c>
    </row>
    <row r="648" outlineLevel="1">
      <c r="B648" s="0" t="inlineStr">
        <is>
          <t xml:space="preserve">2025-03-14</t>
        </is>
      </c>
      <c r="C648" s="0" t="inlineStr">
        <is>
          <t xml:space="preserve">N00024-24-C-2301</t>
        </is>
      </c>
      <c r="D648" s="0" t="inlineStr">
        <is>
          <t xml:space="preserve">non_sub</t>
        </is>
      </c>
      <c r="E648" s="0" t="inlineStr">
        <is>
          <t xml:space="preserve">other</t>
        </is>
      </c>
      <c r="F648" s="0" t="inlineStr">
        <is>
          <t xml:space="preserve">EXCLUDE_REVIEW</t>
        </is>
      </c>
      <c r="G648" s="0" t="inlineStr">
        <is>
          <t xml:space="preserve">BC</t>
        </is>
      </c>
      <c r="H648" s="5">
        <v>0</v>
      </c>
      <c r="I648" s="5">
        <v>0</v>
      </c>
      <c r="J648" s="5">
        <v>1</v>
      </c>
      <c r="K648" s="5">
        <v>7.545897</v>
      </c>
      <c r="L648" s="7">
        <v>0.0</v>
      </c>
      <c r="M648" s="7">
        <v>0.0</v>
      </c>
      <c r="N648" s="7">
        <v>0.0</v>
      </c>
      <c r="O648" s="7">
        <v>0.0</v>
      </c>
    </row>
    <row r="649" outlineLevel="1">
      <c r="B649" s="0" t="inlineStr">
        <is>
          <t xml:space="preserve">2026-01-16</t>
        </is>
      </c>
      <c r="C649" s="0" t="inlineStr">
        <is>
          <t xml:space="preserve">-</t>
        </is>
      </c>
      <c r="D649" s="0" t="inlineStr">
        <is>
          <t xml:space="preserve">non_sub</t>
        </is>
      </c>
      <c r="E649" s="0" t="inlineStr">
        <is>
          <t xml:space="preserve">sustainment_maintenance</t>
        </is>
      </c>
      <c r="F649" s="0" t="inlineStr">
        <is>
          <t xml:space="preserve">EXCLUDE_REVIEW</t>
        </is>
      </c>
      <c r="G649" s="0" t="inlineStr">
        <is>
          <t xml:space="preserve">BC</t>
        </is>
      </c>
      <c r="H649" s="5">
        <v>0</v>
      </c>
      <c r="I649" s="5">
        <v>0</v>
      </c>
      <c r="J649" s="5">
        <v>1</v>
      </c>
      <c r="K649" s="5">
        <v>5.394939</v>
      </c>
      <c r="L649" s="7">
        <v>0.0</v>
      </c>
      <c r="M649" s="7">
        <v>0.0</v>
      </c>
      <c r="N649" s="7">
        <v>0.0</v>
      </c>
      <c r="O649" s="7">
        <v>0.0</v>
      </c>
    </row>
    <row r="650" outlineLevel="1">
      <c r="B650" s="0" t="inlineStr">
        <is>
          <t xml:space="preserve">2025-03-26</t>
        </is>
      </c>
      <c r="C650" s="0" t="inlineStr">
        <is>
          <t xml:space="preserve">-</t>
        </is>
      </c>
      <c r="D650" s="0" t="inlineStr">
        <is>
          <t xml:space="preserve">sub_other</t>
        </is>
      </c>
      <c r="E650" s="0" t="inlineStr">
        <is>
          <t xml:space="preserve">sustainment_maintenance</t>
        </is>
      </c>
      <c r="F650" s="0" t="inlineStr">
        <is>
          <t xml:space="preserve">EXCLUDE_REVIEW</t>
        </is>
      </c>
      <c r="G650" s="0" t="inlineStr">
        <is>
          <t xml:space="preserve">BC</t>
        </is>
      </c>
      <c r="H650" s="5">
        <v>0</v>
      </c>
      <c r="I650" s="5">
        <v>0</v>
      </c>
      <c r="J650" s="5">
        <v>1</v>
      </c>
      <c r="K650" s="5">
        <v>0.001</v>
      </c>
      <c r="L650" s="7">
        <v>0.0</v>
      </c>
      <c r="M650" s="7">
        <v>0.0</v>
      </c>
      <c r="N650" s="7">
        <v>0.0</v>
      </c>
      <c r="O650" s="7">
        <v>0.0</v>
      </c>
    </row>
    <row r="651" outlineLevel="1">
      <c r="B651" s="0" t="inlineStr">
        <is>
          <t xml:space="preserve">2025-02-03</t>
        </is>
      </c>
      <c r="C651" s="0" t="inlineStr">
        <is>
          <t xml:space="preserve">-</t>
        </is>
      </c>
      <c r="D651" s="0" t="inlineStr">
        <is>
          <t xml:space="preserve">non_sub</t>
        </is>
      </c>
      <c r="E651" s="0" t="inlineStr">
        <is>
          <t xml:space="preserve">other</t>
        </is>
      </c>
      <c r="F651" s="0" t="inlineStr">
        <is>
          <t xml:space="preserve">EXCLUDE_REVIEW</t>
        </is>
      </c>
      <c r="G651" s="0" t="inlineStr">
        <is>
          <t xml:space="preserve">BC</t>
        </is>
      </c>
      <c r="H651" s="5">
        <v>0</v>
      </c>
      <c r="I651" s="5">
        <v>0</v>
      </c>
      <c r="J651" s="5">
        <v>1</v>
      </c>
      <c r="K651" s="5">
        <v>0.0</v>
      </c>
      <c r="L651" s="7">
        <v>0.0</v>
      </c>
      <c r="M651" s="7">
        <v>0.0</v>
      </c>
      <c r="N651" s="7">
        <v>1.0</v>
      </c>
      <c r="O651" s="7">
        <v>0.0</v>
      </c>
    </row>
    <row r="652" outlineLevel="1">
      <c r="B652" s="0" t="inlineStr">
        <is>
          <t xml:space="preserve">2025-02-20</t>
        </is>
      </c>
      <c r="C652" s="0" t="inlineStr">
        <is>
          <t xml:space="preserve">N00024-22-C-2319</t>
        </is>
      </c>
      <c r="D652" s="0" t="inlineStr">
        <is>
          <t xml:space="preserve">non_sub</t>
        </is>
      </c>
      <c r="E652" s="0" t="inlineStr">
        <is>
          <t xml:space="preserve">other</t>
        </is>
      </c>
      <c r="F652" s="0" t="inlineStr">
        <is>
          <t xml:space="preserve">EXCLUDE_REVIEW</t>
        </is>
      </c>
      <c r="G652" s="0" t="inlineStr">
        <is>
          <t xml:space="preserve">BC</t>
        </is>
      </c>
      <c r="H652" s="5">
        <v>0</v>
      </c>
      <c r="I652" s="5">
        <v>0</v>
      </c>
      <c r="J652" s="5">
        <v>1</v>
      </c>
      <c r="K652" s="5">
        <v>0.0</v>
      </c>
      <c r="L652" s="7">
        <v>0.0</v>
      </c>
      <c r="M652" s="7">
        <v>0.0</v>
      </c>
      <c r="N652" s="7">
        <v>0.0</v>
      </c>
      <c r="O652" s="7">
        <v>0.0</v>
      </c>
    </row>
    <row r="653" outlineLevel="1">
      <c r="B653" s="0" t="inlineStr">
        <is>
          <t xml:space="preserve">2025-02-21</t>
        </is>
      </c>
      <c r="C653" s="0" t="inlineStr">
        <is>
          <t xml:space="preserve">N00024-22-C-2319</t>
        </is>
      </c>
      <c r="D653" s="0" t="inlineStr">
        <is>
          <t xml:space="preserve">non_sub</t>
        </is>
      </c>
      <c r="E653" s="0" t="inlineStr">
        <is>
          <t xml:space="preserve">component_procurement</t>
        </is>
      </c>
      <c r="F653" s="0" t="inlineStr">
        <is>
          <t xml:space="preserve">INCLUDE_BC</t>
        </is>
      </c>
      <c r="G653" s="0" t="inlineStr">
        <is>
          <t xml:space="preserve">BC</t>
        </is>
      </c>
      <c r="H653" s="5">
        <v>0</v>
      </c>
      <c r="I653" s="5">
        <v>0</v>
      </c>
      <c r="J653" s="5">
        <v>1</v>
      </c>
      <c r="K653" s="5">
        <v>0.0</v>
      </c>
      <c r="L653" s="7">
        <v>0.0</v>
      </c>
      <c r="M653" s="7">
        <v>0.0</v>
      </c>
      <c r="N653" s="7">
        <v>0.0</v>
      </c>
      <c r="O653" s="7">
        <v>0.0</v>
      </c>
    </row>
    <row r="654" outlineLevel="1">
      <c r="B654" s="0" t="inlineStr">
        <is>
          <t xml:space="preserve">2025-05-16</t>
        </is>
      </c>
      <c r="C654" s="0" t="inlineStr">
        <is>
          <t xml:space="preserve">N00024-23-C-2305</t>
        </is>
      </c>
      <c r="D654" s="0" t="inlineStr">
        <is>
          <t xml:space="preserve">non_sub</t>
        </is>
      </c>
      <c r="E654" s="0" t="inlineStr">
        <is>
          <t xml:space="preserve">other</t>
        </is>
      </c>
      <c r="F654" s="0" t="inlineStr">
        <is>
          <t xml:space="preserve">EXCLUDE_REVIEW</t>
        </is>
      </c>
      <c r="G654" s="0" t="inlineStr">
        <is>
          <t xml:space="preserve">BC</t>
        </is>
      </c>
      <c r="H654" s="5">
        <v>0</v>
      </c>
      <c r="I654" s="5">
        <v>0</v>
      </c>
      <c r="J654" s="5">
        <v>1</v>
      </c>
      <c r="K654" s="5">
        <v>0.0</v>
      </c>
      <c r="L654" s="7">
        <v>0.0</v>
      </c>
      <c r="M654" s="7">
        <v>0.0</v>
      </c>
      <c r="N654" s="7">
        <v>0.0</v>
      </c>
      <c r="O654" s="7">
        <v>0.0</v>
      </c>
    </row>
    <row r="655" outlineLevel="1">
      <c r="B655" s="0" t="inlineStr">
        <is>
          <t xml:space="preserve">2025-06-13</t>
        </is>
      </c>
      <c r="C655" s="0" t="inlineStr">
        <is>
          <t xml:space="preserve">N00024-18-C-2307</t>
        </is>
      </c>
      <c r="D655" s="0" t="inlineStr">
        <is>
          <t xml:space="preserve">non_sub</t>
        </is>
      </c>
      <c r="E655" s="0" t="inlineStr">
        <is>
          <t xml:space="preserve">other</t>
        </is>
      </c>
      <c r="F655" s="0" t="inlineStr">
        <is>
          <t xml:space="preserve">EXCLUDE_REVIEW</t>
        </is>
      </c>
      <c r="G655" s="0" t="inlineStr">
        <is>
          <t xml:space="preserve">BC</t>
        </is>
      </c>
      <c r="H655" s="5">
        <v>0</v>
      </c>
      <c r="I655" s="5">
        <v>0</v>
      </c>
      <c r="J655" s="5">
        <v>1</v>
      </c>
      <c r="K655" s="5">
        <v>0.0</v>
      </c>
      <c r="L655" s="7">
        <v>0.0</v>
      </c>
      <c r="M655" s="7">
        <v>0.0</v>
      </c>
      <c r="N655" s="7">
        <v>0.0</v>
      </c>
      <c r="O655" s="7">
        <v>0.0</v>
      </c>
    </row>
    <row r="656" outlineLevel="1">
      <c r="B656" s="0" t="inlineStr">
        <is>
          <t xml:space="preserve">2025-06-18</t>
        </is>
      </c>
      <c r="C656" s="0" t="inlineStr">
        <is>
          <t xml:space="preserve">N00024-18-C-2406</t>
        </is>
      </c>
      <c r="D656" s="0" t="inlineStr">
        <is>
          <t xml:space="preserve">non_sub</t>
        </is>
      </c>
      <c r="E656" s="0" t="inlineStr">
        <is>
          <t xml:space="preserve">other</t>
        </is>
      </c>
      <c r="F656" s="0" t="inlineStr">
        <is>
          <t xml:space="preserve">EXCLUDE_REVIEW</t>
        </is>
      </c>
      <c r="G656" s="0" t="inlineStr">
        <is>
          <t xml:space="preserve">BC</t>
        </is>
      </c>
      <c r="H656" s="5">
        <v>0</v>
      </c>
      <c r="I656" s="5">
        <v>0</v>
      </c>
      <c r="J656" s="5">
        <v>1</v>
      </c>
      <c r="K656" s="5">
        <v>0.0</v>
      </c>
      <c r="L656" s="7">
        <v>0.0</v>
      </c>
      <c r="M656" s="7">
        <v>0.0</v>
      </c>
      <c r="N656" s="7">
        <v>0.87</v>
      </c>
      <c r="O656" s="7">
        <v>0.0</v>
      </c>
    </row>
    <row r="657" outlineLevel="1">
      <c r="B657" s="0" t="inlineStr">
        <is>
          <t xml:space="preserve">2025-07-01</t>
        </is>
      </c>
      <c r="C657" s="0" t="inlineStr">
        <is>
          <t xml:space="preserve">N00024-18-C-2307</t>
        </is>
      </c>
      <c r="D657" s="0" t="inlineStr">
        <is>
          <t xml:space="preserve">non_sub</t>
        </is>
      </c>
      <c r="E657" s="0" t="inlineStr">
        <is>
          <t xml:space="preserve">other</t>
        </is>
      </c>
      <c r="F657" s="0" t="inlineStr">
        <is>
          <t xml:space="preserve">EXCLUDE_REVIEW</t>
        </is>
      </c>
      <c r="G657" s="0" t="inlineStr">
        <is>
          <t xml:space="preserve">BC</t>
        </is>
      </c>
      <c r="H657" s="5">
        <v>0</v>
      </c>
      <c r="I657" s="5">
        <v>0</v>
      </c>
      <c r="J657" s="5">
        <v>1</v>
      </c>
      <c r="K657" s="5">
        <v>0.0</v>
      </c>
      <c r="L657" s="7">
        <v>0.0</v>
      </c>
      <c r="M657" s="7">
        <v>0.0</v>
      </c>
      <c r="N657" s="7">
        <v>1.0</v>
      </c>
      <c r="O657" s="7">
        <v>0.0</v>
      </c>
    </row>
    <row r="658" outlineLevel="1">
      <c r="B658" s="0" t="inlineStr">
        <is>
          <t xml:space="preserve">2025-07-17</t>
        </is>
      </c>
      <c r="C658" s="0" t="inlineStr">
        <is>
          <t xml:space="preserve">N00024-22-C-2318</t>
        </is>
      </c>
      <c r="D658" s="0" t="inlineStr">
        <is>
          <t xml:space="preserve">non_sub</t>
        </is>
      </c>
      <c r="E658" s="0" t="inlineStr">
        <is>
          <t xml:space="preserve">other</t>
        </is>
      </c>
      <c r="F658" s="0" t="inlineStr">
        <is>
          <t xml:space="preserve">EXCLUDE_REVIEW</t>
        </is>
      </c>
      <c r="G658" s="0" t="inlineStr">
        <is>
          <t xml:space="preserve">BC</t>
        </is>
      </c>
      <c r="H658" s="5">
        <v>0</v>
      </c>
      <c r="I658" s="5">
        <v>0</v>
      </c>
      <c r="J658" s="5">
        <v>1</v>
      </c>
      <c r="K658" s="5">
        <v>0.0</v>
      </c>
      <c r="L658" s="7">
        <v>0.0</v>
      </c>
      <c r="M658" s="7">
        <v>0.04</v>
      </c>
      <c r="N658" s="7">
        <v>1.96</v>
      </c>
      <c r="O658" s="7">
        <v>0.0</v>
      </c>
    </row>
    <row r="659" outlineLevel="1">
      <c r="B659" s="0" t="inlineStr">
        <is>
          <t xml:space="preserve">2025-07-31</t>
        </is>
      </c>
      <c r="C659" s="0" t="inlineStr">
        <is>
          <t xml:space="preserve">N00024-23-C-2305</t>
        </is>
      </c>
      <c r="D659" s="0" t="inlineStr">
        <is>
          <t xml:space="preserve">non_sub</t>
        </is>
      </c>
      <c r="E659" s="0" t="inlineStr">
        <is>
          <t xml:space="preserve">construction</t>
        </is>
      </c>
      <c r="F659" s="0" t="inlineStr">
        <is>
          <t xml:space="preserve">INCLUDE_BC</t>
        </is>
      </c>
      <c r="G659" s="0" t="inlineStr">
        <is>
          <t xml:space="preserve">BC</t>
        </is>
      </c>
      <c r="H659" s="5">
        <v>0</v>
      </c>
      <c r="I659" s="5">
        <v>0</v>
      </c>
      <c r="J659" s="5">
        <v>1</v>
      </c>
      <c r="K659" s="5">
        <v>0.0</v>
      </c>
      <c r="L659" s="7">
        <v>0.0</v>
      </c>
      <c r="M659" s="7">
        <v>0.0</v>
      </c>
      <c r="N659" s="7">
        <v>0.81</v>
      </c>
      <c r="O659" s="7">
        <v>0.0</v>
      </c>
    </row>
    <row r="660" outlineLevel="1">
      <c r="B660" s="0" t="inlineStr">
        <is>
          <t xml:space="preserve">2025-12-05</t>
        </is>
      </c>
      <c r="C660" s="0" t="inlineStr">
        <is>
          <t xml:space="preserve">N00024-18-C-2307</t>
        </is>
      </c>
      <c r="D660" s="0" t="inlineStr">
        <is>
          <t xml:space="preserve">non_sub</t>
        </is>
      </c>
      <c r="E660" s="0" t="inlineStr">
        <is>
          <t xml:space="preserve">other</t>
        </is>
      </c>
      <c r="F660" s="0" t="inlineStr">
        <is>
          <t xml:space="preserve">EXCLUDE_REVIEW</t>
        </is>
      </c>
      <c r="G660" s="0" t="inlineStr">
        <is>
          <t xml:space="preserve">BC</t>
        </is>
      </c>
      <c r="H660" s="5">
        <v>0</v>
      </c>
      <c r="I660" s="5">
        <v>0</v>
      </c>
      <c r="J660" s="5">
        <v>1</v>
      </c>
      <c r="K660" s="5">
        <v>0.0</v>
      </c>
      <c r="L660" s="7">
        <v>0.0</v>
      </c>
      <c r="M660" s="7">
        <v>0.0</v>
      </c>
      <c r="N660" s="7">
        <v>0.0</v>
      </c>
      <c r="O660" s="7">
        <v>0.0</v>
      </c>
    </row>
    <row r="661" outlineLevel="1">
      <c r="B661" s="0" t="inlineStr">
        <is>
          <t xml:space="preserve">2026-03-27</t>
        </is>
      </c>
      <c r="C661" s="0" t="inlineStr">
        <is>
          <t xml:space="preserve">-</t>
        </is>
      </c>
      <c r="D661" s="0" t="inlineStr">
        <is>
          <t xml:space="preserve">non_sub</t>
        </is>
      </c>
      <c r="E661" s="0" t="inlineStr">
        <is>
          <t xml:space="preserve">other</t>
        </is>
      </c>
      <c r="F661" s="0" t="inlineStr">
        <is>
          <t xml:space="preserve">EXCLUDE_REVIEW</t>
        </is>
      </c>
      <c r="G661" s="0" t="inlineStr">
        <is>
          <t xml:space="preserve">BC</t>
        </is>
      </c>
      <c r="H661" s="5">
        <v>0</v>
      </c>
      <c r="I661" s="5">
        <v>0</v>
      </c>
      <c r="J661" s="5">
        <v>1</v>
      </c>
      <c r="K661" s="5">
        <v>0.0</v>
      </c>
      <c r="L661" s="7">
        <v>0.0</v>
      </c>
      <c r="M661" s="7">
        <v>0.0</v>
      </c>
      <c r="N661" s="7">
        <v>0.0</v>
      </c>
      <c r="O661" s="7">
        <v>0.0</v>
      </c>
    </row>
    <row r="662" outlineLevel="1">
      <c r="B662" s="0" t="inlineStr">
        <is>
          <t xml:space="preserve">2026-03-30</t>
        </is>
      </c>
      <c r="C662" s="0" t="inlineStr">
        <is>
          <t xml:space="preserve">-</t>
        </is>
      </c>
      <c r="D662" s="0" t="inlineStr">
        <is>
          <t xml:space="preserve">sub_other</t>
        </is>
      </c>
      <c r="E662" s="0" t="inlineStr">
        <is>
          <t xml:space="preserve">sustainment_maintenance</t>
        </is>
      </c>
      <c r="F662" s="0" t="inlineStr">
        <is>
          <t xml:space="preserve">EXCLUDE_REVIEW</t>
        </is>
      </c>
      <c r="G662" s="0" t="inlineStr">
        <is>
          <t xml:space="preserve">BC</t>
        </is>
      </c>
      <c r="H662" s="5">
        <v>0</v>
      </c>
      <c r="I662" s="5">
        <v>0</v>
      </c>
      <c r="J662" s="5">
        <v>1</v>
      </c>
      <c r="K662" s="5">
        <v>0.0</v>
      </c>
      <c r="L662" s="7">
        <v>0.0</v>
      </c>
      <c r="M662" s="7">
        <v>0.0</v>
      </c>
      <c r="N662" s="7">
        <v>0.0</v>
      </c>
      <c r="O662" s="7">
        <v>0.0</v>
      </c>
    </row>
    <row r="663" outlineLevel="1">
      <c r="B663" s="0" t="inlineStr">
        <is>
          <t xml:space="preserve">2026-05-01</t>
        </is>
      </c>
      <c r="C663" s="0" t="inlineStr">
        <is>
          <t xml:space="preserve">N00024-18-C-2307</t>
        </is>
      </c>
      <c r="D663" s="0" t="inlineStr">
        <is>
          <t xml:space="preserve">non_sub</t>
        </is>
      </c>
      <c r="E663" s="0" t="inlineStr">
        <is>
          <t xml:space="preserve">other</t>
        </is>
      </c>
      <c r="F663" s="0" t="inlineStr">
        <is>
          <t xml:space="preserve">EXCLUDE_REVIEW</t>
        </is>
      </c>
      <c r="G663" s="0" t="inlineStr">
        <is>
          <t xml:space="preserve">BC</t>
        </is>
      </c>
      <c r="H663" s="5">
        <v>0</v>
      </c>
      <c r="I663" s="5">
        <v>0</v>
      </c>
      <c r="J663" s="5">
        <v>1</v>
      </c>
      <c r="K663" s="5">
        <v>0.0</v>
      </c>
      <c r="L663" s="7">
        <v>0.0</v>
      </c>
      <c r="M663" s="7">
        <v>0.0</v>
      </c>
      <c r="N663" s="7">
        <v>0.0</v>
      </c>
      <c r="O663" s="7">
        <v>0.0</v>
      </c>
    </row>
    <row r="664" outlineLevel="1">
      <c r="B664" s="0" t="inlineStr">
        <is>
          <t xml:space="preserve">2026-05-07</t>
        </is>
      </c>
      <c r="C664" s="0" t="inlineStr">
        <is>
          <t xml:space="preserve">N00024-16-C-2116</t>
        </is>
      </c>
      <c r="D664" s="0" t="inlineStr">
        <is>
          <t xml:space="preserve">non_sub</t>
        </is>
      </c>
      <c r="E664" s="0" t="inlineStr">
        <is>
          <t xml:space="preserve">lltm_early_mfg</t>
        </is>
      </c>
      <c r="F664" s="0" t="inlineStr">
        <is>
          <t xml:space="preserve">INCLUDE_AP_LLTM</t>
        </is>
      </c>
      <c r="G664" s="0" t="inlineStr">
        <is>
          <t xml:space="preserve">AP_LLTM</t>
        </is>
      </c>
      <c r="H664" s="5">
        <v>0</v>
      </c>
      <c r="I664" s="5">
        <v>0</v>
      </c>
      <c r="J664" s="5">
        <v>1</v>
      </c>
      <c r="K664" s="5">
        <v>0.0</v>
      </c>
      <c r="L664" s="7">
        <v>0.0</v>
      </c>
      <c r="M664" s="7">
        <v>0.0</v>
      </c>
      <c r="N664" s="7">
        <v>1.0</v>
      </c>
      <c r="O664" s="7">
        <v>0.0</v>
      </c>
    </row>
    <row r="665" outlineLevel="1">
      <c r="B665" s="0" t="inlineStr">
        <is>
          <t xml:space="preserve">2023-01-12</t>
        </is>
      </c>
      <c r="C665" s="0" t="inlineStr">
        <is>
          <t xml:space="preserve">N00024-23-F-5445</t>
        </is>
      </c>
      <c r="D665" s="0" t="inlineStr">
        <is>
          <t xml:space="preserve">non_sub</t>
        </is>
      </c>
      <c r="E665" s="0" t="inlineStr">
        <is>
          <t xml:space="preserve">other</t>
        </is>
      </c>
      <c r="F665" s="0" t="inlineStr">
        <is>
          <t xml:space="preserve">EXCLUDE_REVIEW</t>
        </is>
      </c>
      <c r="G665" s="0" t="inlineStr">
        <is>
          <t xml:space="preserve">BC</t>
        </is>
      </c>
      <c r="H665" s="5">
        <v>0</v>
      </c>
      <c r="I665" s="5">
        <v>0</v>
      </c>
      <c r="J665" s="5">
        <v>1</v>
      </c>
      <c r="K665" s="5">
        <v>0.0</v>
      </c>
      <c r="L665" s="7">
        <v>0.0</v>
      </c>
      <c r="M665" s="7">
        <v>0.0</v>
      </c>
      <c r="N665" s="7">
        <v>1.0</v>
      </c>
      <c r="O665" s="7">
        <v>0.0</v>
      </c>
    </row>
    <row r="666" outlineLevel="1">
      <c r="B666" s="0" t="inlineStr">
        <is>
          <t xml:space="preserve">2022-10-11</t>
        </is>
      </c>
      <c r="C666" s="0" t="inlineStr">
        <is>
          <t xml:space="preserve">N00024-20-C-2300</t>
        </is>
      </c>
      <c r="D666" s="0" t="inlineStr">
        <is>
          <t xml:space="preserve">non_sub</t>
        </is>
      </c>
      <c r="E666" s="0" t="inlineStr">
        <is>
          <t xml:space="preserve">lltm_early_mfg</t>
        </is>
      </c>
      <c r="F666" s="0" t="inlineStr">
        <is>
          <t xml:space="preserve">INCLUDE_AP_LLTM</t>
        </is>
      </c>
      <c r="G666" s="0" t="inlineStr">
        <is>
          <t xml:space="preserve">AP_LLTM</t>
        </is>
      </c>
      <c r="H666" s="5">
        <v>0</v>
      </c>
      <c r="I666" s="5">
        <v>0</v>
      </c>
      <c r="J666" s="5">
        <v>1</v>
      </c>
      <c r="K666" s="5">
        <v>0.0</v>
      </c>
      <c r="L666" s="7">
        <v>0.0</v>
      </c>
      <c r="M666" s="7">
        <v>0.0</v>
      </c>
      <c r="N666" s="7">
        <v>0.0</v>
      </c>
      <c r="O666" s="7">
        <v>0.0</v>
      </c>
    </row>
    <row r="667" outlineLevel="1">
      <c r="B667" s="0" t="inlineStr">
        <is>
          <t xml:space="preserve">2023-01-04</t>
        </is>
      </c>
      <c r="C667" s="0" t="inlineStr">
        <is>
          <t xml:space="preserve">N00024-18-D-4325</t>
        </is>
      </c>
      <c r="D667" s="0" t="inlineStr">
        <is>
          <t xml:space="preserve">non_sub</t>
        </is>
      </c>
      <c r="E667" s="0" t="inlineStr">
        <is>
          <t xml:space="preserve">sustainment_maintenance</t>
        </is>
      </c>
      <c r="F667" s="0" t="inlineStr">
        <is>
          <t xml:space="preserve">EXCLUDE_REVIEW</t>
        </is>
      </c>
      <c r="G667" s="0" t="inlineStr">
        <is>
          <t xml:space="preserve">BC</t>
        </is>
      </c>
      <c r="H667" s="5">
        <v>0</v>
      </c>
      <c r="I667" s="5">
        <v>0</v>
      </c>
      <c r="J667" s="5">
        <v>1</v>
      </c>
      <c r="K667" s="5">
        <v>0.0</v>
      </c>
      <c r="L667" s="7">
        <v>0.0</v>
      </c>
      <c r="M667" s="7">
        <v>0.0</v>
      </c>
      <c r="N667" s="7">
        <v>0.95</v>
      </c>
      <c r="O667" s="7">
        <v>0.0</v>
      </c>
    </row>
    <row r="668" outlineLevel="1">
      <c r="B668" s="0" t="inlineStr">
        <is>
          <t xml:space="preserve">2023-01-04</t>
        </is>
      </c>
      <c r="C668" s="0" t="inlineStr">
        <is>
          <t xml:space="preserve">N00024-18-D-4331</t>
        </is>
      </c>
      <c r="D668" s="0" t="inlineStr">
        <is>
          <t xml:space="preserve">non_sub</t>
        </is>
      </c>
      <c r="E668" s="0" t="inlineStr">
        <is>
          <t xml:space="preserve">sustainment_maintenance</t>
        </is>
      </c>
      <c r="F668" s="0" t="inlineStr">
        <is>
          <t xml:space="preserve">EXCLUDE_REVIEW</t>
        </is>
      </c>
      <c r="G668" s="0" t="inlineStr">
        <is>
          <t xml:space="preserve">BC</t>
        </is>
      </c>
      <c r="H668" s="5">
        <v>0</v>
      </c>
      <c r="I668" s="5">
        <v>0</v>
      </c>
      <c r="J668" s="5">
        <v>1</v>
      </c>
      <c r="K668" s="5">
        <v>0.0</v>
      </c>
      <c r="L668" s="7">
        <v>0.0</v>
      </c>
      <c r="M668" s="7">
        <v>0.0</v>
      </c>
      <c r="N668" s="7">
        <v>0.95</v>
      </c>
      <c r="O668" s="7">
        <v>0.0</v>
      </c>
    </row>
    <row r="669" outlineLevel="1">
      <c r="B669" s="0" t="inlineStr">
        <is>
          <t xml:space="preserve">2023-02-22</t>
        </is>
      </c>
      <c r="C669" s="0" t="inlineStr">
        <is>
          <t xml:space="preserve">N00024-23-C-5404</t>
        </is>
      </c>
      <c r="D669" s="0" t="inlineStr">
        <is>
          <t xml:space="preserve">non_sub</t>
        </is>
      </c>
      <c r="E669" s="0" t="inlineStr">
        <is>
          <t xml:space="preserve">other</t>
        </is>
      </c>
      <c r="F669" s="0" t="inlineStr">
        <is>
          <t xml:space="preserve">EXCLUDE_REVIEW</t>
        </is>
      </c>
      <c r="G669" s="0" t="inlineStr">
        <is>
          <t xml:space="preserve">BC</t>
        </is>
      </c>
      <c r="H669" s="5">
        <v>0</v>
      </c>
      <c r="I669" s="5">
        <v>0</v>
      </c>
      <c r="J669" s="5">
        <v>1</v>
      </c>
      <c r="K669" s="5">
        <v>0.0</v>
      </c>
      <c r="L669" s="7">
        <v>0.0</v>
      </c>
      <c r="M669" s="7">
        <v>0.0</v>
      </c>
      <c r="N669" s="7">
        <v>1.0</v>
      </c>
      <c r="O669" s="7">
        <v>0.0</v>
      </c>
    </row>
    <row r="670" outlineLevel="1">
      <c r="B670" s="0" t="inlineStr">
        <is>
          <t xml:space="preserve">2023-08-01</t>
        </is>
      </c>
      <c r="C670" s="0" t="inlineStr">
        <is>
          <t xml:space="preserve">N00024-23-C-2305</t>
        </is>
      </c>
      <c r="D670" s="0" t="inlineStr">
        <is>
          <t xml:space="preserve">non_sub</t>
        </is>
      </c>
      <c r="E670" s="0" t="inlineStr">
        <is>
          <t xml:space="preserve">sustainment_maintenance</t>
        </is>
      </c>
      <c r="F670" s="0" t="inlineStr">
        <is>
          <t xml:space="preserve">EXCLUDE_REVIEW</t>
        </is>
      </c>
      <c r="G670" s="0" t="inlineStr">
        <is>
          <t xml:space="preserve">BC</t>
        </is>
      </c>
      <c r="H670" s="5">
        <v>0</v>
      </c>
      <c r="I670" s="5">
        <v>0</v>
      </c>
      <c r="J670" s="5">
        <v>1</v>
      </c>
      <c r="K670" s="5">
        <v>0.0</v>
      </c>
      <c r="L670" s="7">
        <v>0.0</v>
      </c>
      <c r="M670" s="7">
        <v>0.0</v>
      </c>
      <c r="N670" s="7">
        <v>0.79</v>
      </c>
      <c r="O670" s="7">
        <v>0.0</v>
      </c>
    </row>
    <row r="671" outlineLevel="1">
      <c r="B671" s="0" t="inlineStr">
        <is>
          <t xml:space="preserve">2023-08-01</t>
        </is>
      </c>
      <c r="C671" s="0" t="inlineStr">
        <is>
          <t xml:space="preserve">N00024-23-C-2307</t>
        </is>
      </c>
      <c r="D671" s="0" t="inlineStr">
        <is>
          <t xml:space="preserve">non_sub</t>
        </is>
      </c>
      <c r="E671" s="0" t="inlineStr">
        <is>
          <t xml:space="preserve">sustainment_maintenance</t>
        </is>
      </c>
      <c r="F671" s="0" t="inlineStr">
        <is>
          <t xml:space="preserve">EXCLUDE_REVIEW</t>
        </is>
      </c>
      <c r="G671" s="0" t="inlineStr">
        <is>
          <t xml:space="preserve">BC</t>
        </is>
      </c>
      <c r="H671" s="5">
        <v>0</v>
      </c>
      <c r="I671" s="5">
        <v>0</v>
      </c>
      <c r="J671" s="5">
        <v>1</v>
      </c>
      <c r="K671" s="5">
        <v>0.0</v>
      </c>
      <c r="L671" s="7">
        <v>0.0</v>
      </c>
      <c r="M671" s="7">
        <v>0.0</v>
      </c>
      <c r="N671" s="7">
        <v>0.77</v>
      </c>
      <c r="O671" s="7">
        <v>0.0</v>
      </c>
    </row>
    <row r="672" outlineLevel="1">
      <c r="B672" s="0" t="inlineStr">
        <is>
          <t xml:space="preserve">2023-09-29</t>
        </is>
      </c>
      <c r="C672" s="0" t="inlineStr">
        <is>
          <t xml:space="preserve">N00030-21-C-6019</t>
        </is>
      </c>
      <c r="D672" s="0" t="inlineStr">
        <is>
          <t xml:space="preserve">non_sub</t>
        </is>
      </c>
      <c r="E672" s="0" t="inlineStr">
        <is>
          <t xml:space="preserve">sustainment_maintenance</t>
        </is>
      </c>
      <c r="F672" s="0" t="inlineStr">
        <is>
          <t xml:space="preserve">EXCLUDE_REVIEW</t>
        </is>
      </c>
      <c r="G672" s="0" t="inlineStr">
        <is>
          <t xml:space="preserve">BC</t>
        </is>
      </c>
      <c r="H672" s="5">
        <v>0</v>
      </c>
      <c r="I672" s="5">
        <v>0</v>
      </c>
      <c r="J672" s="5">
        <v>1</v>
      </c>
      <c r="K672" s="5">
        <v>0.0</v>
      </c>
      <c r="L672" s="7">
        <v>0.0</v>
      </c>
      <c r="M672" s="7">
        <v>0.0</v>
      </c>
      <c r="N672" s="7">
        <v>1.0</v>
      </c>
      <c r="O672" s="7">
        <v>0.0</v>
      </c>
    </row>
    <row r="673" outlineLevel="1">
      <c r="B673" s="0" t="inlineStr">
        <is>
          <t xml:space="preserve">2024-04-03</t>
        </is>
      </c>
      <c r="C673" s="0" t="inlineStr">
        <is>
          <t xml:space="preserve">-</t>
        </is>
      </c>
      <c r="D673" s="0" t="inlineStr">
        <is>
          <t xml:space="preserve">non_sub</t>
        </is>
      </c>
      <c r="E673" s="0" t="inlineStr">
        <is>
          <t xml:space="preserve">other</t>
        </is>
      </c>
      <c r="F673" s="0" t="inlineStr">
        <is>
          <t xml:space="preserve">EXCLUDE_REVIEW</t>
        </is>
      </c>
      <c r="G673" s="0" t="inlineStr">
        <is>
          <t xml:space="preserve">BC</t>
        </is>
      </c>
      <c r="H673" s="5">
        <v>0</v>
      </c>
      <c r="I673" s="5">
        <v>0</v>
      </c>
      <c r="J673" s="5">
        <v>1</v>
      </c>
      <c r="K673" s="5">
        <v>0.0</v>
      </c>
      <c r="L673" s="7">
        <v>0.0</v>
      </c>
      <c r="M673" s="7">
        <v>0.0</v>
      </c>
      <c r="N673" s="7">
        <v>0.0</v>
      </c>
      <c r="O673" s="7">
        <v>0.0</v>
      </c>
    </row>
    <row r="674" outlineLevel="1">
      <c r="B674" s="0" t="inlineStr">
        <is>
          <t xml:space="preserve">2024-07-17</t>
        </is>
      </c>
      <c r="C674" s="0" t="inlineStr">
        <is>
          <t xml:space="preserve">N00024-22-C-2318</t>
        </is>
      </c>
      <c r="D674" s="0" t="inlineStr">
        <is>
          <t xml:space="preserve">non_sub</t>
        </is>
      </c>
      <c r="E674" s="0" t="inlineStr">
        <is>
          <t xml:space="preserve">other</t>
        </is>
      </c>
      <c r="F674" s="0" t="inlineStr">
        <is>
          <t xml:space="preserve">EXCLUDE_REVIEW</t>
        </is>
      </c>
      <c r="G674" s="0" t="inlineStr">
        <is>
          <t xml:space="preserve">BC</t>
        </is>
      </c>
      <c r="H674" s="5">
        <v>0</v>
      </c>
      <c r="I674" s="5">
        <v>0</v>
      </c>
      <c r="J674" s="5">
        <v>1</v>
      </c>
      <c r="K674" s="5">
        <v>0.0</v>
      </c>
      <c r="L674" s="7">
        <v>0.0</v>
      </c>
      <c r="M674" s="7">
        <v>0.04</v>
      </c>
      <c r="N674" s="7">
        <v>1.96</v>
      </c>
      <c r="O674" s="7">
        <v>0.0</v>
      </c>
    </row>
  </sheetData>
  <tableParts count="1">
    <tablePart r:id="rId1"/>
  </tableParts>
</worksheet>
</file>

<file path=xl/worksheets/sheet23.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4" customWidth="1"/>
    <col min="3" max="3" width="12" customWidth="1"/>
    <col min="4" max="4" width="12" customWidth="1"/>
    <col min="5" max="5" width="12" customWidth="1"/>
    <col min="6" max="6" width="12" customWidth="1"/>
    <col min="7" max="7" width="12" customWidth="1"/>
    <col min="8" max="8" width="12" customWidth="1"/>
  </cols>
  <sheetData>
    <row r="1"/>
    <row r="2">
      <c r="B2" s="8" t="inlineStr">
        <is>
          <t xml:space="preserve">DDG SCN Budget</t>
        </is>
      </c>
      <c r="C2" s="8"/>
      <c r="D2" s="8"/>
      <c r="E2" s="8"/>
      <c r="F2" s="8"/>
      <c r="G2" s="8"/>
      <c r="H2" s="8"/>
    </row>
    <row r="4">
      <c r="A4" s="0" t="inlineStr">
        <is>
          <t xml:space="preserve">x</t>
        </is>
      </c>
      <c r="B4" s="9" t="inlineStr">
        <is>
          <t xml:space="preserve">§1 - Cost categories (DDG-51 LI 2122, $M per FY)</t>
        </is>
      </c>
      <c r="C4" s="9"/>
      <c r="D4" s="9"/>
      <c r="E4" s="9"/>
      <c r="F4" s="9"/>
      <c r="G4" s="9"/>
      <c r="H4" s="9"/>
    </row>
    <row r="6">
      <c r="B6" s="2" t="inlineStr">
        <is>
          <t xml:space="preserve">Metric</t>
        </is>
      </c>
      <c r="C6" s="22">
        <v>2022</v>
      </c>
      <c r="D6" s="22">
        <v>2023</v>
      </c>
      <c r="E6" s="22">
        <v>2024</v>
      </c>
      <c r="F6" s="22">
        <v>2025</v>
      </c>
      <c r="G6" s="22">
        <v>2026</v>
      </c>
      <c r="H6" s="22">
        <v>2027</v>
      </c>
    </row>
    <row r="7" outlineLevel="1">
      <c r="B7" s="1" t="inlineStr">
        <is>
          <t xml:space="preserve">Total Ship Estimate</t>
        </is>
      </c>
      <c r="C7" s="5">
        <v>4072.882</v>
      </c>
      <c r="D7" s="5">
        <v>7949.54</v>
      </c>
      <c r="E7" s="5">
        <v>5492.33</v>
      </c>
      <c r="F7" s="5">
        <v>7858.814</v>
      </c>
      <c r="G7" s="5">
        <v>306.125</v>
      </c>
      <c r="H7" s="5">
        <v>4256.914</v>
      </c>
    </row>
    <row r="8" outlineLevel="1">
      <c r="B8" s="1" t="inlineStr">
        <is>
          <t xml:space="preserve">Plans Costs</t>
        </is>
      </c>
      <c r="C8" s="5">
        <v>86.682</v>
      </c>
      <c r="D8" s="5">
        <v>92.152</v>
      </c>
      <c r="E8" s="5">
        <v>82.697</v>
      </c>
      <c r="F8" s="5">
        <v>83.596</v>
      </c>
      <c r="G8" s="5"/>
      <c r="H8" s="5">
        <v>87.927</v>
      </c>
    </row>
    <row r="9" outlineLevel="1">
      <c r="B9" s="1" t="inlineStr">
        <is>
          <t xml:space="preserve">Electronics</t>
        </is>
      </c>
      <c r="C9" s="5">
        <v>546.096</v>
      </c>
      <c r="D9" s="5">
        <v>949.051</v>
      </c>
      <c r="E9" s="5">
        <v>619.811</v>
      </c>
      <c r="F9" s="5">
        <v>950.971</v>
      </c>
      <c r="G9" s="5">
        <v>23.521</v>
      </c>
      <c r="H9" s="5">
        <v>414.741</v>
      </c>
    </row>
    <row r="10" outlineLevel="1">
      <c r="B10" s="1" t="inlineStr">
        <is>
          <t xml:space="preserve">Ordnance</t>
        </is>
      </c>
      <c r="C10" s="5">
        <v>1161.682</v>
      </c>
      <c r="D10" s="5">
        <v>1835.479</v>
      </c>
      <c r="E10" s="5">
        <v>1187.455</v>
      </c>
      <c r="F10" s="5">
        <v>1816.641</v>
      </c>
      <c r="G10" s="5"/>
      <c r="H10" s="5">
        <v>784.486</v>
      </c>
    </row>
    <row r="11" outlineLevel="1">
      <c r="B11" s="1" t="inlineStr">
        <is>
          <t xml:space="preserve">Hull, Mechanical, Electrical (HM&amp;E; missing pre-FY24)</t>
        </is>
      </c>
      <c r="C11" s="5">
        <v>164.03</v>
      </c>
      <c r="D11" s="5">
        <v>295.732</v>
      </c>
      <c r="E11" s="5">
        <v>100.673</v>
      </c>
      <c r="F11" s="5">
        <v>154.029</v>
      </c>
      <c r="G11" s="5"/>
      <c r="H11" s="5">
        <v>66.009</v>
      </c>
    </row>
    <row r="12" outlineLevel="1">
      <c r="B12" s="1" t="inlineStr">
        <is>
          <t xml:space="preserve">Other Cost</t>
        </is>
      </c>
      <c r="C12" s="5">
        <v>76.985</v>
      </c>
      <c r="D12" s="5">
        <v>82.196</v>
      </c>
      <c r="E12" s="5">
        <v>87.684</v>
      </c>
      <c r="F12" s="5">
        <v>88.492</v>
      </c>
      <c r="G12" s="5"/>
      <c r="H12" s="5">
        <v>89.974</v>
      </c>
    </row>
    <row r="13" outlineLevel="1">
      <c r="B13" s="1" t="inlineStr">
        <is>
          <t xml:space="preserve">GFE Sum (Electronics + Ordnance)</t>
        </is>
      </c>
      <c r="C13" s="5">
        <v>1707.778</v>
      </c>
      <c r="D13" s="5">
        <v>2784.53</v>
      </c>
      <c r="E13" s="5">
        <v>1807.266</v>
      </c>
      <c r="F13" s="5">
        <v>2767.612</v>
      </c>
      <c r="G13" s="5">
        <v>23.521</v>
      </c>
      <c r="H13" s="5">
        <v>1199.227</v>
      </c>
    </row>
    <row r="14" outlineLevel="1">
      <c r="B14" s="1" t="inlineStr">
        <is>
          <t xml:space="preserve">Change Orders</t>
        </is>
      </c>
      <c r="C14" s="5">
        <v>77.417</v>
      </c>
      <c r="D14" s="5">
        <v>136.767</v>
      </c>
      <c r="E14" s="5">
        <v>91.552</v>
      </c>
      <c r="F14" s="5">
        <v>136.872</v>
      </c>
      <c r="G14" s="5"/>
      <c r="H14" s="5">
        <v>94.222</v>
      </c>
    </row>
    <row r="15" outlineLevel="1">
      <c r="B15" s="1" t="inlineStr">
        <is>
          <t xml:space="preserve">Basic Construction (BC base -&gt; TAM Build)</t>
        </is>
      </c>
      <c r="C15" s="5">
        <v>1959.99</v>
      </c>
      <c r="D15" s="5">
        <v>4558.163</v>
      </c>
      <c r="E15" s="5">
        <v>3322.458</v>
      </c>
      <c r="F15" s="5">
        <v>4628.213</v>
      </c>
      <c r="G15" s="5">
        <v>282.604</v>
      </c>
      <c r="H15" s="5">
        <v>2719.555</v>
      </c>
    </row>
    <row r="16" outlineLevel="1">
      <c r="B16" s="0" t="inlineStr">
        <is>
          <t xml:space="preserve">FY2026 is discretionary-only; the two FY2026 ships (DDG 147/149) are funded via OBBBA Sec. 20002(17) (see OBBBA Mandatory tab).</t>
        </is>
      </c>
    </row>
    <row r="19">
      <c r="A19" s="0" t="inlineStr">
        <is>
          <t xml:space="preserve">x</t>
        </is>
      </c>
      <c r="B19" s="10" t="inlineStr">
        <is>
          <t xml:space="preserve">§1b - Constant FY2026 $M (then-year x deflator)</t>
        </is>
      </c>
      <c r="C19" s="10"/>
      <c r="D19" s="10"/>
      <c r="E19" s="10"/>
      <c r="F19" s="10"/>
      <c r="G19" s="10"/>
      <c r="H19" s="10"/>
    </row>
    <row r="21">
      <c r="B21" s="2" t="inlineStr">
        <is>
          <t xml:space="preserve">Metric</t>
        </is>
      </c>
      <c r="C21" s="22">
        <v>2022</v>
      </c>
      <c r="D21" s="22">
        <v>2023</v>
      </c>
      <c r="E21" s="22">
        <v>2024</v>
      </c>
      <c r="F21" s="22">
        <v>2025</v>
      </c>
      <c r="G21" s="22">
        <v>2026</v>
      </c>
      <c r="H21" s="22">
        <v>2027</v>
      </c>
    </row>
    <row r="22" outlineLevel="1">
      <c r="B22" s="1" t="inlineStr">
        <is>
          <t xml:space="preserve">Total Ship Estimate</t>
        </is>
      </c>
      <c r="C22" s="11">
        <f>C7*'Deflators'!D7</f>
      </c>
      <c r="D22" s="11">
        <f>D7*'Deflators'!D8</f>
      </c>
      <c r="E22" s="11">
        <f>E7*'Deflators'!D9</f>
      </c>
      <c r="F22" s="11">
        <f>F7*'Deflators'!D10</f>
      </c>
      <c r="G22" s="11">
        <f>G7*'Deflators'!D11</f>
      </c>
      <c r="H22" s="11">
        <f>H7*'Deflators'!D12</f>
      </c>
    </row>
    <row r="23" outlineLevel="1">
      <c r="B23" s="1" t="inlineStr">
        <is>
          <t xml:space="preserve">Plans Costs</t>
        </is>
      </c>
      <c r="C23" s="11">
        <f>C8*'Deflators'!D7</f>
      </c>
      <c r="D23" s="11">
        <f>D8*'Deflators'!D8</f>
      </c>
      <c r="E23" s="11">
        <f>E8*'Deflators'!D9</f>
      </c>
      <c r="F23" s="11">
        <f>F8*'Deflators'!D10</f>
      </c>
      <c r="G23" s="11">
        <f>G8*'Deflators'!D11</f>
      </c>
      <c r="H23" s="11">
        <f>H8*'Deflators'!D12</f>
      </c>
    </row>
    <row r="24" outlineLevel="1">
      <c r="B24" s="1" t="inlineStr">
        <is>
          <t xml:space="preserve">Electronics</t>
        </is>
      </c>
      <c r="C24" s="11">
        <f>C9*'Deflators'!D7</f>
      </c>
      <c r="D24" s="11">
        <f>D9*'Deflators'!D8</f>
      </c>
      <c r="E24" s="11">
        <f>E9*'Deflators'!D9</f>
      </c>
      <c r="F24" s="11">
        <f>F9*'Deflators'!D10</f>
      </c>
      <c r="G24" s="11">
        <f>G9*'Deflators'!D11</f>
      </c>
      <c r="H24" s="11">
        <f>H9*'Deflators'!D12</f>
      </c>
    </row>
    <row r="25" outlineLevel="1">
      <c r="B25" s="1" t="inlineStr">
        <is>
          <t xml:space="preserve">Ordnance</t>
        </is>
      </c>
      <c r="C25" s="11">
        <f>C10*'Deflators'!D7</f>
      </c>
      <c r="D25" s="11">
        <f>D10*'Deflators'!D8</f>
      </c>
      <c r="E25" s="11">
        <f>E10*'Deflators'!D9</f>
      </c>
      <c r="F25" s="11">
        <f>F10*'Deflators'!D10</f>
      </c>
      <c r="G25" s="11">
        <f>G10*'Deflators'!D11</f>
      </c>
      <c r="H25" s="11">
        <f>H10*'Deflators'!D12</f>
      </c>
    </row>
    <row r="26" outlineLevel="1">
      <c r="B26" s="1" t="inlineStr">
        <is>
          <t xml:space="preserve">Hull, Mechanical, Electrical (HM&amp;E)</t>
        </is>
      </c>
      <c r="C26" s="11">
        <f>C11*'Deflators'!D7</f>
      </c>
      <c r="D26" s="11">
        <f>D11*'Deflators'!D8</f>
      </c>
      <c r="E26" s="11">
        <f>E11*'Deflators'!D9</f>
      </c>
      <c r="F26" s="11">
        <f>F11*'Deflators'!D10</f>
      </c>
      <c r="G26" s="11">
        <f>G11*'Deflators'!D11</f>
      </c>
      <c r="H26" s="11">
        <f>H11*'Deflators'!D12</f>
      </c>
    </row>
    <row r="27" outlineLevel="1">
      <c r="B27" s="1" t="inlineStr">
        <is>
          <t xml:space="preserve">Other Cost</t>
        </is>
      </c>
      <c r="C27" s="11">
        <f>C12*'Deflators'!D7</f>
      </c>
      <c r="D27" s="11">
        <f>D12*'Deflators'!D8</f>
      </c>
      <c r="E27" s="11">
        <f>E12*'Deflators'!D9</f>
      </c>
      <c r="F27" s="11">
        <f>F12*'Deflators'!D10</f>
      </c>
      <c r="G27" s="11">
        <f>G12*'Deflators'!D11</f>
      </c>
      <c r="H27" s="11">
        <f>H12*'Deflators'!D12</f>
      </c>
    </row>
    <row r="28" outlineLevel="1">
      <c r="B28" s="1" t="inlineStr">
        <is>
          <t xml:space="preserve">GFE Sum (Electronics + Ordnance)</t>
        </is>
      </c>
      <c r="C28" s="11">
        <f>C13*'Deflators'!D7</f>
      </c>
      <c r="D28" s="11">
        <f>D13*'Deflators'!D8</f>
      </c>
      <c r="E28" s="11">
        <f>E13*'Deflators'!D9</f>
      </c>
      <c r="F28" s="11">
        <f>F13*'Deflators'!D10</f>
      </c>
      <c r="G28" s="11">
        <f>G13*'Deflators'!D11</f>
      </c>
      <c r="H28" s="11">
        <f>H13*'Deflators'!D12</f>
      </c>
    </row>
    <row r="29" outlineLevel="1">
      <c r="B29" s="1" t="inlineStr">
        <is>
          <t xml:space="preserve">Change Orders</t>
        </is>
      </c>
      <c r="C29" s="11">
        <f>C14*'Deflators'!D7</f>
      </c>
      <c r="D29" s="11">
        <f>D14*'Deflators'!D8</f>
      </c>
      <c r="E29" s="11">
        <f>E14*'Deflators'!D9</f>
      </c>
      <c r="F29" s="11">
        <f>F14*'Deflators'!D10</f>
      </c>
      <c r="G29" s="11">
        <f>G14*'Deflators'!D11</f>
      </c>
      <c r="H29" s="11">
        <f>H14*'Deflators'!D12</f>
      </c>
    </row>
    <row r="30" outlineLevel="1">
      <c r="B30" s="1" t="inlineStr">
        <is>
          <t xml:space="preserve">Basic Construction (BC base -&gt; TAM Build)</t>
        </is>
      </c>
      <c r="C30" s="11">
        <f>C15*'Deflators'!D7</f>
      </c>
      <c r="D30" s="11">
        <f>D15*'Deflators'!D8</f>
      </c>
      <c r="E30" s="11">
        <f>E15*'Deflators'!D9</f>
      </c>
      <c r="F30" s="11">
        <f>F15*'Deflators'!D10</f>
      </c>
      <c r="G30" s="11">
        <f>G15*'Deflators'!D11</f>
      </c>
      <c r="H30" s="11">
        <f>H15*'Deflators'!D12</f>
      </c>
    </row>
    <row r="33">
      <c r="A33" s="0" t="inlineStr">
        <is>
          <t xml:space="preserve">x</t>
        </is>
      </c>
      <c r="B33" s="9" t="inlineStr">
        <is>
          <t xml:space="preserve">§2 - Derived ratios</t>
        </is>
      </c>
      <c r="C33" s="9"/>
      <c r="D33" s="9"/>
      <c r="E33" s="9"/>
      <c r="F33" s="9"/>
      <c r="G33" s="9"/>
      <c r="H33" s="9"/>
    </row>
    <row r="35">
      <c r="B35" s="2" t="inlineStr">
        <is>
          <t xml:space="preserve">Ratio</t>
        </is>
      </c>
      <c r="C35" s="22">
        <v>2022</v>
      </c>
      <c r="D35" s="22">
        <v>2023</v>
      </c>
      <c r="E35" s="22">
        <v>2024</v>
      </c>
      <c r="F35" s="22">
        <v>2025</v>
      </c>
      <c r="G35" s="22">
        <v>2026</v>
      </c>
      <c r="H35" s="22">
        <v>2027</v>
      </c>
    </row>
    <row r="36" outlineLevel="1">
      <c r="B36" s="1" t="inlineStr">
        <is>
          <t xml:space="preserve">BC % of Total</t>
        </is>
      </c>
      <c r="C36" s="6">
        <f>IF(C22=0,"",C30/C22)</f>
      </c>
      <c r="D36" s="6">
        <f>IF(D22=0,"",D30/D22)</f>
      </c>
      <c r="E36" s="6">
        <f>IF(E22=0,"",E30/E22)</f>
      </c>
      <c r="F36" s="6">
        <f>IF(F22=0,"",F30/F22)</f>
      </c>
      <c r="G36" s="6">
        <f>IF(G22=0,"",G30/G22)</f>
      </c>
      <c r="H36" s="6">
        <f>IF(H22=0,"",H30/H22)</f>
      </c>
    </row>
    <row r="37" outlineLevel="1">
      <c r="B37" s="1" t="inlineStr">
        <is>
          <t xml:space="preserve">GFE % of Total</t>
        </is>
      </c>
      <c r="C37" s="6">
        <f>IF(C22=0,"",C28/C22)</f>
      </c>
      <c r="D37" s="6">
        <f>IF(D22=0,"",D28/D22)</f>
      </c>
      <c r="E37" s="6">
        <f>IF(E22=0,"",E28/E22)</f>
      </c>
      <c r="F37" s="6">
        <f>IF(F22=0,"",F28/F22)</f>
      </c>
      <c r="G37" s="6">
        <f>IF(G22=0,"",G28/G22)</f>
      </c>
      <c r="H37" s="6">
        <f>IF(H22=0,"",H28/H22)</f>
      </c>
    </row>
    <row r="40">
      <c r="A40" s="0" t="inlineStr">
        <is>
          <t xml:space="preserve">x</t>
        </is>
      </c>
      <c r="B40" s="9" t="inlineStr">
        <is>
          <t xml:space="preserve">§3 - Portfolio cost funnel (FY2022-FY2027 cumulative, $M)</t>
        </is>
      </c>
      <c r="C40" s="9"/>
      <c r="D40" s="9"/>
      <c r="E40" s="9"/>
      <c r="F40" s="9"/>
      <c r="G40" s="9"/>
      <c r="H40" s="9"/>
    </row>
    <row r="42">
      <c r="B42" s="2" t="inlineStr">
        <is>
          <t xml:space="preserve">Metric</t>
        </is>
      </c>
      <c r="C42" s="22" t="inlineStr">
        <is>
          <t xml:space="preserve">FY2022-FY2027</t>
        </is>
      </c>
    </row>
    <row r="43" outlineLevel="1">
      <c r="B43" s="1" t="inlineStr">
        <is>
          <t xml:space="preserve">Total ship estimate</t>
        </is>
      </c>
      <c r="C43" s="4">
        <f>SUM(C22:H22)</f>
      </c>
    </row>
    <row r="44" outlineLevel="1">
      <c r="B44" s="0" t="inlineStr">
        <is>
          <t xml:space="preserve">Less GFE / directed equipment</t>
        </is>
      </c>
      <c r="C44" s="4">
        <f>SUM(C28:H28)</f>
      </c>
    </row>
    <row r="45" outlineLevel="1">
      <c r="B45" s="0" t="inlineStr">
        <is>
          <t xml:space="preserve">Less other non-BC categories</t>
        </is>
      </c>
      <c r="C45" s="4">
        <f>C43-C44-SUM(C30:H30)</f>
      </c>
    </row>
    <row r="46" outlineLevel="1">
      <c r="B46" s="1" t="inlineStr">
        <is>
          <t xml:space="preserve">Basic Construction base</t>
        </is>
      </c>
      <c r="C46" s="4">
        <f>SUM(C30:H30)</f>
      </c>
    </row>
    <row r="47" outlineLevel="1">
      <c r="B47" s="0" t="inlineStr">
        <is>
          <t xml:space="preserve">BC % of Total</t>
        </is>
      </c>
      <c r="C47" s="6">
        <f>IF(C43=0,"",C46/C43)</f>
      </c>
    </row>
    <row r="48" outlineLevel="1">
      <c r="B48" s="0" t="inlineStr">
        <is>
          <t xml:space="preserve">GFE % of Total</t>
        </is>
      </c>
      <c r="C48" s="6">
        <f>IF(C43=0,"",C44/C43)</f>
      </c>
    </row>
  </sheetData>
</worksheet>
</file>

<file path=xl/worksheets/sheet24.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4" customWidth="1"/>
    <col min="3" max="3" width="12" customWidth="1"/>
    <col min="4" max="4" width="12" customWidth="1"/>
    <col min="5" max="5" width="12" customWidth="1"/>
    <col min="6" max="6" width="12" customWidth="1"/>
    <col min="7" max="7" width="12" customWidth="1"/>
    <col min="8" max="8" width="12" customWidth="1"/>
  </cols>
  <sheetData>
    <row r="1"/>
    <row r="2">
      <c r="B2" s="8" t="inlineStr">
        <is>
          <t xml:space="preserve">DDG OBBBA Mandatory</t>
        </is>
      </c>
      <c r="C2" s="8"/>
      <c r="D2" s="8"/>
      <c r="E2" s="8"/>
      <c r="F2" s="8"/>
      <c r="G2" s="8"/>
      <c r="H2" s="8"/>
    </row>
    <row r="4">
      <c r="A4" s="0" t="inlineStr">
        <is>
          <t xml:space="preserve">x</t>
        </is>
      </c>
      <c r="B4" s="9" t="inlineStr">
        <is>
          <t xml:space="preserve">§1 - Source line (OBBBA Sec. 20002, line 17)</t>
        </is>
      </c>
      <c r="C4" s="9"/>
      <c r="D4" s="9"/>
      <c r="E4" s="9"/>
      <c r="F4" s="9"/>
      <c r="G4" s="9"/>
      <c r="H4" s="9"/>
    </row>
    <row r="6">
      <c r="B6" s="2" t="inlineStr">
        <is>
          <t xml:space="preserve">Field</t>
        </is>
      </c>
      <c r="C6" s="2" t="inlineStr">
        <is>
          <t xml:space="preserve">Value</t>
        </is>
      </c>
    </row>
    <row r="7" outlineLevel="1">
      <c r="B7" s="0" t="inlineStr">
        <is>
          <t xml:space="preserve">Authority</t>
        </is>
      </c>
      <c r="C7" s="0" t="inlineStr">
        <is>
          <t xml:space="preserve">PL 119-21 Title II (OBBBA), Sec. 20002 Shipbuilding, line 17</t>
        </is>
      </c>
    </row>
    <row r="8" outlineLevel="1">
      <c r="B8" s="0" t="inlineStr">
        <is>
          <t xml:space="preserve">Title</t>
        </is>
      </c>
      <c r="C8" s="0" t="inlineStr">
        <is>
          <t xml:space="preserve">Two additional Guided Missile Destroyer (DDG) ships</t>
        </is>
      </c>
    </row>
    <row r="9" outlineLevel="1">
      <c r="B9" s="0" t="inlineStr">
        <is>
          <t xml:space="preserve">Program</t>
        </is>
      </c>
      <c r="C9" s="0" t="inlineStr">
        <is>
          <t xml:space="preserve">DDG-51 Arleigh Burke (LI 2122) - DDG 147 / DDG 149</t>
        </is>
      </c>
    </row>
    <row r="10" outlineLevel="1">
      <c r="B10" s="0" t="inlineStr">
        <is>
          <t xml:space="preserve">Funding type</t>
        </is>
      </c>
      <c r="C10" s="0" t="inlineStr">
        <is>
          <t xml:space="preserve">Mandatory appropriation (reconciliation)</t>
        </is>
      </c>
    </row>
    <row r="11" outlineLevel="1">
      <c r="B11" s="0" t="inlineStr">
        <is>
          <t xml:space="preserve">Scope</t>
        </is>
      </c>
      <c r="C11" s="0" t="inlineStr">
        <is>
          <t xml:space="preserve">Basic construction and government furnished equipment (no source breakout)</t>
        </is>
      </c>
    </row>
    <row r="12" outlineLevel="1">
      <c r="B12" s="0" t="inlineStr">
        <is>
          <t xml:space="preserve">Award timing</t>
        </is>
      </c>
      <c r="C12" s="0" t="inlineStr">
        <is>
          <t xml:space="preserve">Starting Q2 FY2026, under the current MYP contract</t>
        </is>
      </c>
    </row>
    <row r="13" outlineLevel="1">
      <c r="B13" s="0" t="inlineStr">
        <is>
          <t xml:space="preserve">Obligation availability</t>
        </is>
      </c>
      <c r="C13" s="0" t="inlineStr">
        <is>
          <t xml:space="preserve">Through 2029-09-30</t>
        </is>
      </c>
    </row>
    <row r="14" outlineLevel="1">
      <c r="B14" s="0" t="inlineStr">
        <is>
          <t xml:space="preserve">Booking basis</t>
        </is>
      </c>
      <c r="C14" s="0" t="inlineStr">
        <is>
          <t xml:space="preserve">Budget-year (all in FY2026)</t>
        </is>
      </c>
    </row>
    <row r="16">
      <c r="B16" s="2" t="inlineStr">
        <is>
          <t xml:space="preserve">Metric</t>
        </is>
      </c>
      <c r="C16" s="22">
        <v>2022</v>
      </c>
      <c r="D16" s="22">
        <v>2023</v>
      </c>
      <c r="E16" s="22">
        <v>2024</v>
      </c>
      <c r="F16" s="22">
        <v>2025</v>
      </c>
      <c r="G16" s="22">
        <v>2026</v>
      </c>
      <c r="H16" s="22">
        <v>2027</v>
      </c>
    </row>
    <row r="17" outlineLevel="1">
      <c r="B17" s="1" t="inlineStr">
        <is>
          <t xml:space="preserve">Sec. 20002(17) award, then-year $M</t>
        </is>
      </c>
      <c r="C17" s="5">
        <v>0</v>
      </c>
      <c r="D17" s="5">
        <v>0</v>
      </c>
      <c r="E17" s="5">
        <v>0</v>
      </c>
      <c r="F17" s="5">
        <v>0</v>
      </c>
      <c r="G17" s="5">
        <v>5400.0</v>
      </c>
      <c r="H17" s="5">
        <v>0</v>
      </c>
    </row>
    <row r="20">
      <c r="A20" s="0" t="inlineStr">
        <is>
          <t xml:space="preserve">x</t>
        </is>
      </c>
      <c r="B20" s="10" t="inlineStr">
        <is>
          <t xml:space="preserve">§1b - Constant FY2026 $M (then-year x deflator)</t>
        </is>
      </c>
      <c r="C20" s="10"/>
      <c r="D20" s="10"/>
      <c r="E20" s="10"/>
      <c r="F20" s="10"/>
      <c r="G20" s="10"/>
      <c r="H20" s="10"/>
    </row>
    <row r="22">
      <c r="B22" s="2" t="inlineStr">
        <is>
          <t xml:space="preserve">Metric</t>
        </is>
      </c>
      <c r="C22" s="22">
        <v>2022</v>
      </c>
      <c r="D22" s="22">
        <v>2023</v>
      </c>
      <c r="E22" s="22">
        <v>2024</v>
      </c>
      <c r="F22" s="22">
        <v>2025</v>
      </c>
      <c r="G22" s="22">
        <v>2026</v>
      </c>
      <c r="H22" s="22">
        <v>2027</v>
      </c>
    </row>
    <row r="23" outlineLevel="1">
      <c r="B23" s="1" t="inlineStr">
        <is>
          <t xml:space="preserve">Sec. 20002(17) award, constant FY2026 $M</t>
        </is>
      </c>
      <c r="C23" s="11">
        <f>C17*'Deflators'!D7</f>
      </c>
      <c r="D23" s="11">
        <f>D17*'Deflators'!D8</f>
      </c>
      <c r="E23" s="11">
        <f>E17*'Deflators'!D9</f>
      </c>
      <c r="F23" s="11">
        <f>F17*'Deflators'!D10</f>
      </c>
      <c r="G23" s="11">
        <f>G17*'Deflators'!D11</f>
      </c>
      <c r="H23" s="11">
        <f>H17*'Deflators'!D12</f>
      </c>
    </row>
    <row r="26">
      <c r="A26" s="0" t="inlineStr">
        <is>
          <t xml:space="preserve">x</t>
        </is>
      </c>
      <c r="B26" s="9" t="inlineStr">
        <is>
          <t xml:space="preserve">§2 - BC/GFE bridge</t>
        </is>
      </c>
      <c r="C26" s="9"/>
      <c r="D26" s="9"/>
      <c r="E26" s="9"/>
      <c r="F26" s="9"/>
      <c r="G26" s="9"/>
      <c r="H26" s="9"/>
    </row>
    <row r="28">
      <c r="B28" s="2" t="inlineStr">
        <is>
          <t xml:space="preserve">Metric</t>
        </is>
      </c>
      <c r="C28" s="22">
        <v>2022</v>
      </c>
      <c r="D28" s="22">
        <v>2023</v>
      </c>
      <c r="E28" s="22">
        <v>2024</v>
      </c>
      <c r="F28" s="22">
        <v>2025</v>
      </c>
      <c r="G28" s="22">
        <v>2026</v>
      </c>
      <c r="H28" s="22">
        <v>2027</v>
      </c>
    </row>
    <row r="29" outlineLevel="1">
      <c r="B29" s="1" t="inlineStr">
        <is>
          <t xml:space="preserve">OBBBA BC base ($M, constant FY2026)</t>
        </is>
      </c>
      <c r="C29" s="4">
        <f>IF(C23=0,"",C23*'DDG Assumptions'!C42)</f>
      </c>
      <c r="D29" s="4">
        <f>IF(D23=0,"",D23*'DDG Assumptions'!C42)</f>
      </c>
      <c r="E29" s="4">
        <f>IF(E23=0,"",E23*'DDG Assumptions'!C42)</f>
      </c>
      <c r="F29" s="4">
        <f>IF(F23=0,"",F23*'DDG Assumptions'!C42)</f>
      </c>
      <c r="G29" s="4">
        <f>IF(G23=0,"",G23*'DDG Assumptions'!C42)</f>
      </c>
      <c r="H29" s="4">
        <f>IF(H23=0,"",H23*'DDG Assumptions'!C42)</f>
      </c>
    </row>
    <row r="30" outlineLevel="1">
      <c r="B30" s="0" t="inlineStr">
        <is>
          <t xml:space="preserve">GFE / non-BC remainder ($M; excluded from TAM)</t>
        </is>
      </c>
      <c r="C30" s="4">
        <f>IF(C23=0,"",C23-N(C29))</f>
      </c>
      <c r="D30" s="4">
        <f>IF(D23=0,"",D23-N(D29))</f>
      </c>
      <c r="E30" s="4">
        <f>IF(E23=0,"",E23-N(E29))</f>
      </c>
      <c r="F30" s="4">
        <f>IF(F23=0,"",F23-N(F29))</f>
      </c>
      <c r="G30" s="4">
        <f>IF(G23=0,"",G23-N(G29))</f>
      </c>
      <c r="H30" s="4">
        <f>IF(H23=0,"",H23-N(H29))</f>
      </c>
    </row>
  </sheetData>
</worksheet>
</file>

<file path=xl/worksheets/sheet25.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26" customWidth="1"/>
    <col min="3" max="3" width="18" customWidth="1"/>
    <col min="4" max="4" width="8" customWidth="1"/>
    <col min="5" max="5" width="20" customWidth="1"/>
    <col min="6" max="6" width="20" customWidth="1"/>
    <col min="7" max="7" width="16" customWidth="1"/>
  </cols>
  <sheetData>
    <row r="1"/>
    <row r="2">
      <c r="B2" s="8" t="inlineStr">
        <is>
          <t xml:space="preserve">DDG Production Schedule</t>
        </is>
      </c>
      <c r="C2" s="8"/>
      <c r="D2" s="8"/>
      <c r="E2" s="8"/>
      <c r="F2" s="8"/>
      <c r="G2" s="8"/>
    </row>
    <row r="4">
      <c r="A4" s="0" t="inlineStr">
        <is>
          <t xml:space="preserve">x</t>
        </is>
      </c>
      <c r="B4" s="9" t="inlineStr">
        <is>
          <t xml:space="preserve">§1 - Hull schedule (hull -&gt; yard -&gt; FY)</t>
        </is>
      </c>
      <c r="C4" s="9"/>
      <c r="D4" s="9"/>
      <c r="E4" s="9"/>
      <c r="F4" s="9"/>
      <c r="G4" s="9"/>
    </row>
    <row r="6">
      <c r="B6" s="2" t="inlineStr">
        <is>
          <t xml:space="preserve">Ship</t>
        </is>
      </c>
      <c r="C6" s="2" t="inlineStr">
        <is>
          <t xml:space="preserve">Shipbuilder</t>
        </is>
      </c>
      <c r="D6" s="2" t="inlineStr">
        <is>
          <t xml:space="preserve">FY</t>
        </is>
      </c>
      <c r="E6" s="2" t="inlineStr">
        <is>
          <t xml:space="preserve">Contract award</t>
        </is>
      </c>
      <c r="F6" s="2" t="inlineStr">
        <is>
          <t xml:space="preserve">Start construction</t>
        </is>
      </c>
      <c r="G6" s="2" t="inlineStr">
        <is>
          <t xml:space="preserve">Delivery</t>
        </is>
      </c>
    </row>
    <row r="7" outlineLevel="1">
      <c r="B7" s="0" t="inlineStr">
        <is>
          <t xml:space="preserve">DDG 127</t>
        </is>
      </c>
      <c r="C7" s="0" t="inlineStr">
        <is>
          <t xml:space="preserve">Bath Iron Works</t>
        </is>
      </c>
      <c r="D7" s="0" t="inlineStr">
        <is>
          <t xml:space="preserve">2016</t>
        </is>
      </c>
      <c r="E7" s="0" t="inlineStr">
        <is>
          <t xml:space="preserve">Sep 2017</t>
        </is>
      </c>
      <c r="F7" s="0" t="inlineStr">
        <is>
          <t xml:space="preserve">Apr 2019</t>
        </is>
      </c>
      <c r="G7" s="0" t="inlineStr">
        <is>
          <t xml:space="preserve">Sep 2026</t>
        </is>
      </c>
    </row>
    <row r="8" outlineLevel="1">
      <c r="B8" s="0" t="inlineStr">
        <is>
          <t xml:space="preserve">DDG 126</t>
        </is>
      </c>
      <c r="C8" s="0" t="inlineStr">
        <is>
          <t xml:space="preserve">Bath Iron Works</t>
        </is>
      </c>
      <c r="D8" s="0" t="inlineStr">
        <is>
          <t xml:space="preserve">2017</t>
        </is>
      </c>
      <c r="E8" s="0" t="inlineStr">
        <is>
          <t xml:space="preserve">Jun 2013</t>
        </is>
      </c>
      <c r="F8" s="0" t="inlineStr">
        <is>
          <t xml:space="preserve">Mar 2020</t>
        </is>
      </c>
      <c r="G8" s="0" t="inlineStr">
        <is>
          <t xml:space="preserve">Sep 2027</t>
        </is>
      </c>
    </row>
    <row r="9" outlineLevel="1">
      <c r="B9" s="0" t="inlineStr">
        <is>
          <t xml:space="preserve">DDG 129</t>
        </is>
      </c>
      <c r="C9" s="0" t="inlineStr">
        <is>
          <t xml:space="preserve">Huntington Ingalls Industries</t>
        </is>
      </c>
      <c r="D9" s="0" t="inlineStr">
        <is>
          <t xml:space="preserve">2018</t>
        </is>
      </c>
      <c r="E9" s="0" t="inlineStr">
        <is>
          <t xml:space="preserve">Sep 2018</t>
        </is>
      </c>
      <c r="F9" s="0" t="inlineStr">
        <is>
          <t xml:space="preserve">Jan 2021</t>
        </is>
      </c>
      <c r="G9" s="0" t="inlineStr">
        <is>
          <t xml:space="preserve">Aug 2027</t>
        </is>
      </c>
    </row>
    <row r="10" outlineLevel="1">
      <c r="B10" s="0" t="inlineStr">
        <is>
          <t xml:space="preserve">DDG 130</t>
        </is>
      </c>
      <c r="C10" s="0" t="inlineStr">
        <is>
          <t xml:space="preserve">Bath Iron Works</t>
        </is>
      </c>
      <c r="D10" s="0" t="inlineStr">
        <is>
          <t xml:space="preserve">2019</t>
        </is>
      </c>
      <c r="E10" s="0" t="inlineStr">
        <is>
          <t xml:space="preserve">Sep 2018</t>
        </is>
      </c>
      <c r="F10" s="0" t="inlineStr">
        <is>
          <t xml:space="preserve">May 2021</t>
        </is>
      </c>
      <c r="G10" s="0" t="inlineStr">
        <is>
          <t xml:space="preserve">Nov 2028</t>
        </is>
      </c>
    </row>
    <row r="11" outlineLevel="1">
      <c r="B11" s="0" t="inlineStr">
        <is>
          <t xml:space="preserve">DDG 131</t>
        </is>
      </c>
      <c r="C11" s="0" t="inlineStr">
        <is>
          <t xml:space="preserve">Huntington Ingalls Industries</t>
        </is>
      </c>
      <c r="D11" s="0" t="inlineStr">
        <is>
          <t xml:space="preserve">2019</t>
        </is>
      </c>
      <c r="E11" s="0" t="inlineStr">
        <is>
          <t xml:space="preserve">Sep 2018</t>
        </is>
      </c>
      <c r="F11" s="0" t="inlineStr">
        <is>
          <t xml:space="preserve">Nov 2021</t>
        </is>
      </c>
      <c r="G11" s="0" t="inlineStr">
        <is>
          <t xml:space="preserve">Nov 2028</t>
        </is>
      </c>
    </row>
    <row r="12" outlineLevel="1">
      <c r="B12" s="0" t="inlineStr">
        <is>
          <t xml:space="preserve">DDG 132</t>
        </is>
      </c>
      <c r="C12" s="0" t="inlineStr">
        <is>
          <t xml:space="preserve">Bath Iron Works</t>
        </is>
      </c>
      <c r="D12" s="0" t="inlineStr">
        <is>
          <t xml:space="preserve">2019</t>
        </is>
      </c>
      <c r="E12" s="0" t="inlineStr">
        <is>
          <t xml:space="preserve">Dec 2018</t>
        </is>
      </c>
      <c r="F12" s="0" t="inlineStr">
        <is>
          <t xml:space="preserve">Feb 2022</t>
        </is>
      </c>
      <c r="G12" s="0" t="inlineStr">
        <is>
          <t xml:space="preserve">Sep 2029</t>
        </is>
      </c>
    </row>
    <row r="13" outlineLevel="1">
      <c r="B13" s="0" t="inlineStr">
        <is>
          <t xml:space="preserve">DDG 133</t>
        </is>
      </c>
      <c r="C13" s="0" t="inlineStr">
        <is>
          <t xml:space="preserve">Huntington Ingalls Industries</t>
        </is>
      </c>
      <c r="D13" s="0" t="inlineStr">
        <is>
          <t xml:space="preserve">2020</t>
        </is>
      </c>
      <c r="E13" s="0" t="inlineStr">
        <is>
          <t xml:space="preserve">Sep 2018</t>
        </is>
      </c>
      <c r="F13" s="0" t="inlineStr">
        <is>
          <t xml:space="preserve">Dec 2022</t>
        </is>
      </c>
      <c r="G13" s="0" t="inlineStr">
        <is>
          <t xml:space="preserve">Feb 2030</t>
        </is>
      </c>
    </row>
    <row r="14" outlineLevel="1">
      <c r="B14" s="0" t="inlineStr">
        <is>
          <t xml:space="preserve">DDG 134</t>
        </is>
      </c>
      <c r="C14" s="0" t="inlineStr">
        <is>
          <t xml:space="preserve">Bath Iron Works</t>
        </is>
      </c>
      <c r="D14" s="0" t="inlineStr">
        <is>
          <t xml:space="preserve">2020</t>
        </is>
      </c>
      <c r="E14" s="0" t="inlineStr">
        <is>
          <t xml:space="preserve">Sep 2018</t>
        </is>
      </c>
      <c r="F14" s="0" t="inlineStr">
        <is>
          <t xml:space="preserve">Nov 2023</t>
        </is>
      </c>
      <c r="G14" s="0" t="inlineStr">
        <is>
          <t xml:space="preserve">Oct 2030</t>
        </is>
      </c>
    </row>
    <row r="15" outlineLevel="1">
      <c r="B15" s="0" t="inlineStr">
        <is>
          <t xml:space="preserve">DDG 135</t>
        </is>
      </c>
      <c r="C15" s="0" t="inlineStr">
        <is>
          <t xml:space="preserve">Huntington Ingalls Industries</t>
        </is>
      </c>
      <c r="D15" s="0" t="inlineStr">
        <is>
          <t xml:space="preserve">2020</t>
        </is>
      </c>
      <c r="E15" s="0" t="inlineStr">
        <is>
          <t xml:space="preserve">Jun 2020</t>
        </is>
      </c>
      <c r="F15" s="0" t="inlineStr">
        <is>
          <t xml:space="preserve">Nov 2023</t>
        </is>
      </c>
      <c r="G15" s="0" t="inlineStr">
        <is>
          <t xml:space="preserve">Feb 2031</t>
        </is>
      </c>
    </row>
    <row r="16" outlineLevel="1">
      <c r="B16" s="0" t="inlineStr">
        <is>
          <t xml:space="preserve">DDG 136</t>
        </is>
      </c>
      <c r="C16" s="0" t="inlineStr">
        <is>
          <t xml:space="preserve">Bath Iron Works</t>
        </is>
      </c>
      <c r="D16" s="0" t="inlineStr">
        <is>
          <t xml:space="preserve">2021</t>
        </is>
      </c>
      <c r="E16" s="0" t="inlineStr">
        <is>
          <t xml:space="preserve">Sep 2018</t>
        </is>
      </c>
      <c r="F16" s="0" t="inlineStr">
        <is>
          <t xml:space="preserve">Apr 2024</t>
        </is>
      </c>
      <c r="G16" s="0" t="inlineStr">
        <is>
          <t xml:space="preserve">Jun 2031</t>
        </is>
      </c>
    </row>
    <row r="17" outlineLevel="1">
      <c r="B17" s="0" t="inlineStr">
        <is>
          <t xml:space="preserve">DDG 137</t>
        </is>
      </c>
      <c r="C17" s="0" t="inlineStr">
        <is>
          <t xml:space="preserve">Huntington Ingalls Industries</t>
        </is>
      </c>
      <c r="D17" s="0" t="inlineStr">
        <is>
          <t xml:space="preserve">2021</t>
        </is>
      </c>
      <c r="E17" s="0" t="inlineStr">
        <is>
          <t xml:space="preserve">Sep 2018</t>
        </is>
      </c>
      <c r="F17" s="0" t="inlineStr">
        <is>
          <t xml:space="preserve">Mar 2026</t>
        </is>
      </c>
      <c r="G17" s="0" t="inlineStr">
        <is>
          <t xml:space="preserve">Feb 2032</t>
        </is>
      </c>
    </row>
    <row r="18" outlineLevel="1">
      <c r="B18" s="0" t="inlineStr">
        <is>
          <t xml:space="preserve">DDG 138</t>
        </is>
      </c>
      <c r="C18" s="0" t="inlineStr">
        <is>
          <t xml:space="preserve">Bath Iron Works</t>
        </is>
      </c>
      <c r="D18" s="0" t="inlineStr">
        <is>
          <t xml:space="preserve">2022</t>
        </is>
      </c>
      <c r="E18" s="0" t="inlineStr">
        <is>
          <t xml:space="preserve">Sep 2018</t>
        </is>
      </c>
      <c r="F18" s="0" t="inlineStr">
        <is>
          <t xml:space="preserve">Mar 2025</t>
        </is>
      </c>
      <c r="G18" s="0" t="inlineStr">
        <is>
          <t xml:space="preserve">Oct 2032</t>
        </is>
      </c>
    </row>
    <row r="19" outlineLevel="1">
      <c r="B19" s="0" t="inlineStr">
        <is>
          <t xml:space="preserve">DDG 139</t>
        </is>
      </c>
      <c r="C19" s="0" t="inlineStr">
        <is>
          <t xml:space="preserve">Huntington Ingalls Industries</t>
        </is>
      </c>
      <c r="D19" s="0" t="inlineStr">
        <is>
          <t xml:space="preserve">2022</t>
        </is>
      </c>
      <c r="E19" s="0" t="inlineStr">
        <is>
          <t xml:space="preserve">Sep 2018</t>
        </is>
      </c>
      <c r="F19" s="0" t="inlineStr">
        <is>
          <t xml:space="preserve">Sep 2027</t>
        </is>
      </c>
      <c r="G19" s="0" t="inlineStr">
        <is>
          <t xml:space="preserve">Aug 2033</t>
        </is>
      </c>
    </row>
    <row r="20" outlineLevel="1">
      <c r="B20" s="0" t="inlineStr">
        <is>
          <t xml:space="preserve">DDG 140</t>
        </is>
      </c>
      <c r="C20" s="0" t="inlineStr">
        <is>
          <t xml:space="preserve">Bath Iron Works</t>
        </is>
      </c>
      <c r="D20" s="0" t="inlineStr">
        <is>
          <t xml:space="preserve">2023</t>
        </is>
      </c>
      <c r="E20" s="0" t="inlineStr">
        <is>
          <t xml:space="preserve">Aug 2023</t>
        </is>
      </c>
      <c r="F20" s="0" t="inlineStr">
        <is>
          <t xml:space="preserve">Jul 2026</t>
        </is>
      </c>
      <c r="G20" s="0" t="inlineStr">
        <is>
          <t xml:space="preserve">Dec 2033</t>
        </is>
      </c>
    </row>
    <row r="21" outlineLevel="1">
      <c r="B21" s="0" t="inlineStr">
        <is>
          <t xml:space="preserve">DDG 141</t>
        </is>
      </c>
      <c r="C21" s="0" t="inlineStr">
        <is>
          <t xml:space="preserve">Huntington Ingalls Industries</t>
        </is>
      </c>
      <c r="D21" s="0" t="inlineStr">
        <is>
          <t xml:space="preserve">2023</t>
        </is>
      </c>
      <c r="E21" s="0" t="inlineStr">
        <is>
          <t xml:space="preserve">Aug 2023</t>
        </is>
      </c>
      <c r="F21" s="0" t="inlineStr">
        <is>
          <t xml:space="preserve">Sep 2028</t>
        </is>
      </c>
      <c r="G21" s="0" t="inlineStr">
        <is>
          <t xml:space="preserve">Aug 2034</t>
        </is>
      </c>
    </row>
    <row r="22" outlineLevel="1">
      <c r="B22" s="0" t="inlineStr">
        <is>
          <t xml:space="preserve">DDG 142</t>
        </is>
      </c>
      <c r="C22" s="0" t="inlineStr">
        <is>
          <t xml:space="preserve">Huntington Ingalls Industries</t>
        </is>
      </c>
      <c r="D22" s="0" t="inlineStr">
        <is>
          <t xml:space="preserve">2023</t>
        </is>
      </c>
      <c r="E22" s="0" t="inlineStr">
        <is>
          <t xml:space="preserve">Aug 2023</t>
        </is>
      </c>
      <c r="F22" s="0" t="inlineStr">
        <is>
          <t xml:space="preserve">Sep 2029</t>
        </is>
      </c>
      <c r="G22" s="0" t="inlineStr">
        <is>
          <t xml:space="preserve">Aug 2035</t>
        </is>
      </c>
    </row>
    <row r="23" outlineLevel="1">
      <c r="B23" s="0" t="inlineStr">
        <is>
          <t xml:space="preserve">DDG 143</t>
        </is>
      </c>
      <c r="C23" s="0" t="inlineStr">
        <is>
          <t xml:space="preserve">Huntington Ingalls Industries</t>
        </is>
      </c>
      <c r="D23" s="0" t="inlineStr">
        <is>
          <t xml:space="preserve">2024</t>
        </is>
      </c>
      <c r="E23" s="0" t="inlineStr">
        <is>
          <t xml:space="preserve">Aug 2023</t>
        </is>
      </c>
      <c r="F23" s="0" t="inlineStr">
        <is>
          <t xml:space="preserve">Sep 2030</t>
        </is>
      </c>
      <c r="G23" s="0" t="inlineStr">
        <is>
          <t xml:space="preserve">Aug 2036</t>
        </is>
      </c>
    </row>
    <row r="24" outlineLevel="1">
      <c r="B24" s="0" t="inlineStr">
        <is>
          <t xml:space="preserve">DDG 144</t>
        </is>
      </c>
      <c r="C24" s="0" t="inlineStr">
        <is>
          <t xml:space="preserve">Bath Iron Works</t>
        </is>
      </c>
      <c r="D24" s="0" t="inlineStr">
        <is>
          <t xml:space="preserve">2024</t>
        </is>
      </c>
      <c r="E24" s="0" t="inlineStr">
        <is>
          <t xml:space="preserve">Aug 2023</t>
        </is>
      </c>
      <c r="F24" s="0" t="inlineStr">
        <is>
          <t xml:space="preserve">Aug 2027</t>
        </is>
      </c>
      <c r="G24" s="0" t="inlineStr">
        <is>
          <t xml:space="preserve">Jan 2035</t>
        </is>
      </c>
    </row>
    <row r="25" outlineLevel="1">
      <c r="B25" s="0" t="inlineStr">
        <is>
          <t xml:space="preserve">DDG 145</t>
        </is>
      </c>
      <c r="C25" s="0" t="inlineStr">
        <is>
          <t xml:space="preserve">Huntington Ingalls Industries</t>
        </is>
      </c>
      <c r="D25" s="0" t="inlineStr">
        <is>
          <t xml:space="preserve">2025</t>
        </is>
      </c>
      <c r="E25" s="0" t="inlineStr">
        <is>
          <t xml:space="preserve">Aug 2023</t>
        </is>
      </c>
      <c r="F25" s="0" t="inlineStr">
        <is>
          <t xml:space="preserve">Sep 2031</t>
        </is>
      </c>
      <c r="G25" s="0" t="inlineStr">
        <is>
          <t xml:space="preserve">Aug 2037</t>
        </is>
      </c>
    </row>
    <row r="26" outlineLevel="1">
      <c r="B26" s="0" t="inlineStr">
        <is>
          <t xml:space="preserve">DDG 146</t>
        </is>
      </c>
      <c r="C26" s="0" t="inlineStr">
        <is>
          <t xml:space="preserve">Huntington Ingalls Industries</t>
        </is>
      </c>
      <c r="D26" s="0" t="inlineStr">
        <is>
          <t xml:space="preserve">2025</t>
        </is>
      </c>
      <c r="E26" s="0" t="inlineStr">
        <is>
          <t xml:space="preserve">Aug 2023</t>
        </is>
      </c>
      <c r="F26" s="0" t="inlineStr">
        <is>
          <t xml:space="preserve">Sep 2032</t>
        </is>
      </c>
      <c r="G26" s="0" t="inlineStr">
        <is>
          <t xml:space="preserve">Aug 2038</t>
        </is>
      </c>
    </row>
    <row r="27" outlineLevel="1">
      <c r="B27" s="0" t="inlineStr">
        <is>
          <t xml:space="preserve">DDG 148</t>
        </is>
      </c>
      <c r="C27" s="0" t="inlineStr">
        <is>
          <t xml:space="preserve">Bath Iron Works</t>
        </is>
      </c>
      <c r="D27" s="0" t="inlineStr">
        <is>
          <t xml:space="preserve">2025</t>
        </is>
      </c>
      <c r="E27" s="0" t="inlineStr">
        <is>
          <t xml:space="preserve">Jul 2025</t>
        </is>
      </c>
      <c r="F27" s="0" t="inlineStr">
        <is>
          <t xml:space="preserve">Aug 2028</t>
        </is>
      </c>
      <c r="G27" s="0" t="inlineStr">
        <is>
          <t xml:space="preserve">Nov 2035</t>
        </is>
      </c>
    </row>
    <row r="28" outlineLevel="1">
      <c r="B28" s="0" t="inlineStr">
        <is>
          <t xml:space="preserve">DDG 147</t>
        </is>
      </c>
      <c r="C28" s="0" t="inlineStr">
        <is>
          <t xml:space="preserve">Huntington Ingalls Industries</t>
        </is>
      </c>
      <c r="D28" s="0" t="inlineStr">
        <is>
          <t xml:space="preserve">2026</t>
        </is>
      </c>
      <c r="E28" s="0" t="inlineStr">
        <is>
          <t xml:space="preserve">Aug 2023</t>
        </is>
      </c>
      <c r="F28" s="0" t="inlineStr">
        <is>
          <t xml:space="preserve">Sep 2033</t>
        </is>
      </c>
      <c r="G28" s="0" t="inlineStr">
        <is>
          <t xml:space="preserve">Aug 2039</t>
        </is>
      </c>
    </row>
    <row r="29" outlineLevel="1">
      <c r="B29" s="0" t="inlineStr">
        <is>
          <t xml:space="preserve">DDG 149</t>
        </is>
      </c>
      <c r="C29" s="0" t="inlineStr">
        <is>
          <t xml:space="preserve">Bath Iron Works</t>
        </is>
      </c>
      <c r="D29" s="0" t="inlineStr">
        <is>
          <t xml:space="preserve">2026</t>
        </is>
      </c>
      <c r="E29" s="0" t="inlineStr">
        <is>
          <t xml:space="preserve">Aug 2023</t>
        </is>
      </c>
      <c r="F29" s="0" t="inlineStr">
        <is>
          <t xml:space="preserve">Aug 2029</t>
        </is>
      </c>
      <c r="G29" s="0" t="inlineStr">
        <is>
          <t xml:space="preserve">Sep 2036</t>
        </is>
      </c>
    </row>
    <row r="30" outlineLevel="1">
      <c r="B30" s="0" t="inlineStr">
        <is>
          <t xml:space="preserve">DDG 150</t>
        </is>
      </c>
      <c r="C30" s="0" t="inlineStr">
        <is>
          <t xml:space="preserve">Huntington Ingalls Industries</t>
        </is>
      </c>
      <c r="D30" s="0" t="inlineStr">
        <is>
          <t xml:space="preserve">2027</t>
        </is>
      </c>
      <c r="E30" s="0" t="inlineStr">
        <is>
          <t xml:space="preserve">Aug 2023</t>
        </is>
      </c>
      <c r="F30" s="0" t="inlineStr">
        <is>
          <t xml:space="preserve">Sep 2034</t>
        </is>
      </c>
      <c r="G30" s="0" t="inlineStr">
        <is>
          <t xml:space="preserve">Aug 2040</t>
        </is>
      </c>
    </row>
    <row r="31" outlineLevel="1">
      <c r="B31" s="0" t="inlineStr">
        <is>
          <t xml:space="preserve">DDG 151</t>
        </is>
      </c>
      <c r="C31" s="0" t="inlineStr">
        <is>
          <t xml:space="preserve">TBD</t>
        </is>
      </c>
      <c r="D31" s="0" t="inlineStr">
        <is>
          <t xml:space="preserve">2028</t>
        </is>
      </c>
      <c r="E31" s="0" t="inlineStr">
        <is>
          <t xml:space="preserve">Sep 2028</t>
        </is>
      </c>
      <c r="F31" s="0" t="inlineStr">
        <is>
          <t xml:space="preserve">Aug 2036</t>
        </is>
      </c>
      <c r="G31" s="0" t="inlineStr">
        <is>
          <t xml:space="preserve">Aug 2041</t>
        </is>
      </c>
    </row>
    <row r="32" outlineLevel="1">
      <c r="B32" s="0" t="inlineStr">
        <is>
          <t xml:space="preserve">DDG 152</t>
        </is>
      </c>
      <c r="C32" s="0" t="inlineStr">
        <is>
          <t xml:space="preserve">TBD</t>
        </is>
      </c>
      <c r="D32" s="0" t="inlineStr">
        <is>
          <t xml:space="preserve">2029</t>
        </is>
      </c>
      <c r="E32" s="0" t="inlineStr">
        <is>
          <t xml:space="preserve">Sep 2028</t>
        </is>
      </c>
      <c r="F32" s="0" t="inlineStr">
        <is>
          <t xml:space="preserve">Aug 2037</t>
        </is>
      </c>
      <c r="G32" s="0" t="inlineStr">
        <is>
          <t xml:space="preserve">Aug 2042</t>
        </is>
      </c>
    </row>
    <row r="33" outlineLevel="1">
      <c r="B33" s="0" t="inlineStr">
        <is>
          <t xml:space="preserve">DDG 153</t>
        </is>
      </c>
      <c r="C33" s="0" t="inlineStr">
        <is>
          <t xml:space="preserve">TBD</t>
        </is>
      </c>
      <c r="D33" s="0" t="inlineStr">
        <is>
          <t xml:space="preserve">2030</t>
        </is>
      </c>
      <c r="E33" s="0" t="inlineStr">
        <is>
          <t xml:space="preserve">Sep 2028</t>
        </is>
      </c>
      <c r="F33" s="0" t="inlineStr">
        <is>
          <t xml:space="preserve">Aug 2038</t>
        </is>
      </c>
      <c r="G33" s="0" t="inlineStr">
        <is>
          <t xml:space="preserve">Aug 2043</t>
        </is>
      </c>
    </row>
    <row r="34" outlineLevel="1">
      <c r="B34" s="0" t="inlineStr">
        <is>
          <t xml:space="preserve">DDG 154</t>
        </is>
      </c>
      <c r="C34" s="0" t="inlineStr">
        <is>
          <t xml:space="preserve">TBD</t>
        </is>
      </c>
      <c r="D34" s="0" t="inlineStr">
        <is>
          <t xml:space="preserve">2030</t>
        </is>
      </c>
      <c r="E34" s="0" t="inlineStr">
        <is>
          <t xml:space="preserve">Sep 2028</t>
        </is>
      </c>
      <c r="F34" s="0" t="inlineStr">
        <is>
          <t xml:space="preserve">Aug 2038</t>
        </is>
      </c>
      <c r="G34" s="0" t="inlineStr">
        <is>
          <t xml:space="preserve">Aug 2043</t>
        </is>
      </c>
    </row>
    <row r="35" outlineLevel="1">
      <c r="B35" s="0" t="inlineStr">
        <is>
          <t xml:space="preserve">DDG 155</t>
        </is>
      </c>
      <c r="C35" s="0" t="inlineStr">
        <is>
          <t xml:space="preserve">TBD</t>
        </is>
      </c>
      <c r="D35" s="0" t="inlineStr">
        <is>
          <t xml:space="preserve">2031</t>
        </is>
      </c>
      <c r="E35" s="0" t="inlineStr">
        <is>
          <t xml:space="preserve">Sep 2028</t>
        </is>
      </c>
      <c r="F35" s="0" t="inlineStr">
        <is>
          <t xml:space="preserve">Aug 2039</t>
        </is>
      </c>
      <c r="G35" s="0" t="inlineStr">
        <is>
          <t xml:space="preserve">Aug 2044</t>
        </is>
      </c>
    </row>
    <row r="36" outlineLevel="1">
      <c r="B36" s="0" t="inlineStr">
        <is>
          <t xml:space="preserve">DDG 156</t>
        </is>
      </c>
      <c r="C36" s="0" t="inlineStr">
        <is>
          <t xml:space="preserve">TBD</t>
        </is>
      </c>
      <c r="D36" s="0" t="inlineStr">
        <is>
          <t xml:space="preserve">2031</t>
        </is>
      </c>
      <c r="E36" s="0" t="inlineStr">
        <is>
          <t xml:space="preserve">Sep 2028</t>
        </is>
      </c>
      <c r="F36" s="0" t="inlineStr">
        <is>
          <t xml:space="preserve">Aug 2039</t>
        </is>
      </c>
      <c r="G36" s="0" t="inlineStr">
        <is>
          <t xml:space="preserve">Aug 2044</t>
        </is>
      </c>
    </row>
    <row r="39">
      <c r="A39" s="0" t="inlineStr">
        <is>
          <t xml:space="preserve">x</t>
        </is>
      </c>
      <c r="B39" s="9" t="inlineStr">
        <is>
          <t xml:space="preserve">§2 - Hull count by yard</t>
        </is>
      </c>
      <c r="C39" s="9"/>
      <c r="D39" s="9"/>
      <c r="E39" s="9"/>
      <c r="F39" s="9"/>
      <c r="G39" s="9"/>
    </row>
    <row r="41">
      <c r="B41" s="2" t="inlineStr">
        <is>
          <t xml:space="preserve">Yard</t>
        </is>
      </c>
      <c r="C41" s="2" t="inlineStr">
        <is>
          <t xml:space="preserve">Hulls</t>
        </is>
      </c>
      <c r="D41" s="2"/>
      <c r="E41" s="2"/>
      <c r="F41" s="2"/>
      <c r="G41" s="2"/>
    </row>
    <row r="42" outlineLevel="1">
      <c r="B42" s="0" t="inlineStr">
        <is>
          <t xml:space="preserve">Huntington Ingalls Industries</t>
        </is>
      </c>
      <c r="C42" s="0" t="inlineStr">
        <is>
          <t xml:space="preserve">13</t>
        </is>
      </c>
    </row>
    <row r="43" outlineLevel="1">
      <c r="B43" s="0" t="inlineStr">
        <is>
          <t xml:space="preserve">Bath Iron Works</t>
        </is>
      </c>
      <c r="C43" s="0" t="inlineStr">
        <is>
          <t xml:space="preserve">11</t>
        </is>
      </c>
    </row>
    <row r="44" outlineLevel="1">
      <c r="B44" s="0" t="inlineStr">
        <is>
          <t xml:space="preserve">TBD</t>
        </is>
      </c>
      <c r="C44" s="0" t="inlineStr">
        <is>
          <t xml:space="preserve">6</t>
        </is>
      </c>
    </row>
    <row r="47">
      <c r="A47" s="0" t="inlineStr">
        <is>
          <t xml:space="preserve">x</t>
        </is>
      </c>
      <c r="B47" s="9" t="inlineStr">
        <is>
          <t xml:space="preserve">§3 - Model window</t>
        </is>
      </c>
      <c r="C47" s="9"/>
      <c r="D47" s="9"/>
      <c r="E47" s="9"/>
      <c r="F47" s="9"/>
      <c r="G47" s="9"/>
    </row>
    <row r="49">
      <c r="B49" s="2" t="inlineStr">
        <is>
          <t xml:space="preserve">Measure</t>
        </is>
      </c>
      <c r="C49" s="22" t="inlineStr">
        <is>
          <t xml:space="preserve">Value</t>
        </is>
      </c>
    </row>
    <row r="50" outlineLevel="1">
      <c r="B50" s="0" t="inlineStr">
        <is>
          <t xml:space="preserve">Hulls in schedule (all FY)</t>
        </is>
      </c>
      <c r="C50" s="0">
        <v>30</v>
      </c>
    </row>
    <row r="51" outlineLevel="1">
      <c r="B51" s="1" t="inlineStr">
        <is>
          <t xml:space="preserve">In-window hulls (award FY22-27)</t>
        </is>
      </c>
      <c r="C51" s="0">
        <v>13</v>
      </c>
    </row>
    <row r="52" outlineLevel="1">
      <c r="B52" s="0" t="inlineStr">
        <is>
          <t xml:space="preserve">FY2026 award hulls (DDG 147, DDG 149): funded by OBBBA Sec. 20002(17) mandatory appropriation.</t>
        </is>
      </c>
    </row>
  </sheetData>
  <tableParts count="1">
    <tablePart r:id="rId1"/>
  </tableParts>
</worksheet>
</file>

<file path=xl/worksheets/sheet26.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0" customWidth="1"/>
    <col min="3" max="3" width="12" customWidth="1"/>
    <col min="4" max="4" width="12" customWidth="1"/>
    <col min="5" max="5" width="12" customWidth="1"/>
    <col min="6" max="6" width="12" customWidth="1"/>
    <col min="7" max="7" width="12" customWidth="1"/>
    <col min="8" max="8" width="12" customWidth="1"/>
    <col min="9" max="9" width="11" customWidth="1"/>
    <col min="10" max="10" width="11" customWidth="1"/>
    <col min="11" max="11" width="11" customWidth="1"/>
    <col min="12" max="12" width="11" customWidth="1"/>
  </cols>
  <sheetData>
    <row r="1"/>
    <row r="2">
      <c r="B2" s="8" t="inlineStr">
        <is>
          <t xml:space="preserve">DDG AP Bridge</t>
        </is>
      </c>
      <c r="C2" s="8"/>
      <c r="D2" s="8"/>
      <c r="E2" s="8"/>
      <c r="F2" s="8"/>
      <c r="G2" s="8"/>
      <c r="H2" s="8"/>
      <c r="I2" s="8"/>
      <c r="J2" s="8"/>
      <c r="K2" s="8"/>
      <c r="L2" s="8"/>
    </row>
    <row r="4">
      <c r="A4" s="0" t="inlineStr">
        <is>
          <t xml:space="preserve">x</t>
        </is>
      </c>
      <c r="B4" s="9" t="inlineStr">
        <is>
          <t xml:space="preserve">§1 - Resource summary ($M, FY27 PB; P-1/P-10 view)</t>
        </is>
      </c>
      <c r="C4" s="9"/>
      <c r="D4" s="9"/>
      <c r="E4" s="9"/>
      <c r="F4" s="9"/>
      <c r="G4" s="9"/>
      <c r="H4" s="9"/>
      <c r="I4" s="9"/>
      <c r="J4" s="9"/>
      <c r="K4" s="9"/>
      <c r="L4" s="9"/>
    </row>
    <row r="6">
      <c r="B6" s="2" t="inlineStr">
        <is>
          <t xml:space="preserve">Row Label</t>
        </is>
      </c>
      <c r="C6" s="22" t="inlineStr">
        <is>
          <t xml:space="preserve">Prior</t>
        </is>
      </c>
      <c r="D6" s="22" t="inlineStr">
        <is>
          <t xml:space="preserve">FY25</t>
        </is>
      </c>
      <c r="E6" s="22" t="inlineStr">
        <is>
          <t xml:space="preserve">FY26</t>
        </is>
      </c>
      <c r="F6" s="22" t="inlineStr">
        <is>
          <t xml:space="preserve">FY27</t>
        </is>
      </c>
      <c r="G6" s="22" t="inlineStr">
        <is>
          <t xml:space="preserve">FY28</t>
        </is>
      </c>
      <c r="H6" s="22" t="inlineStr">
        <is>
          <t xml:space="preserve">FY29</t>
        </is>
      </c>
      <c r="I6" s="22" t="inlineStr">
        <is>
          <t xml:space="preserve">FY30</t>
        </is>
      </c>
      <c r="J6" s="22" t="inlineStr">
        <is>
          <t xml:space="preserve">FY31</t>
        </is>
      </c>
      <c r="K6" s="22" t="inlineStr">
        <is>
          <t xml:space="preserve">ToCompl</t>
        </is>
      </c>
      <c r="L6" s="22" t="inlineStr">
        <is>
          <t xml:space="preserve">Total</t>
        </is>
      </c>
    </row>
    <row r="7" outlineLevel="1">
      <c r="B7" s="1" t="inlineStr">
        <is>
          <t xml:space="preserve">Gross / Weapon System Cost</t>
        </is>
      </c>
      <c r="C7" s="5">
        <v>117822.879</v>
      </c>
      <c r="D7" s="5">
        <v>7858.814</v>
      </c>
      <c r="E7" s="5">
        <v>306.125</v>
      </c>
      <c r="F7" s="5">
        <v>4256.914</v>
      </c>
      <c r="G7" s="5">
        <v>4026.201</v>
      </c>
      <c r="H7" s="5">
        <v>4209.44</v>
      </c>
      <c r="I7" s="5">
        <v>6613.151</v>
      </c>
      <c r="J7" s="5">
        <v>6964.218</v>
      </c>
      <c r="K7" s="5">
        <v>15080.837</v>
      </c>
      <c r="L7" s="5">
        <v>167138.579</v>
      </c>
    </row>
    <row r="8" outlineLevel="1">
      <c r="B8" s="1" t="inlineStr">
        <is>
          <t xml:space="preserve">Plus CY Advance Procurement (AP)</t>
        </is>
      </c>
      <c r="C8" s="5">
        <v>3340.411</v>
      </c>
      <c r="D8" s="5">
        <v>83.224</v>
      </c>
      <c r="E8" s="5">
        <v>1750.0</v>
      </c>
      <c r="F8" s="5"/>
      <c r="G8" s="5">
        <v>1758.004</v>
      </c>
      <c r="H8" s="5"/>
      <c r="I8" s="5"/>
      <c r="J8" s="5"/>
      <c r="K8" s="5"/>
      <c r="L8" s="5">
        <v>6931.639</v>
      </c>
    </row>
    <row r="9" outlineLevel="1">
      <c r="B9" s="1" t="inlineStr">
        <is>
          <t xml:space="preserve">Plus EOQ (Economic Order Qty)</t>
        </is>
      </c>
      <c r="C9" s="5">
        <v>3826.3</v>
      </c>
      <c r="D9" s="5"/>
      <c r="E9" s="5"/>
      <c r="F9" s="5"/>
      <c r="G9" s="5"/>
      <c r="H9" s="5"/>
      <c r="I9" s="5"/>
      <c r="J9" s="5"/>
      <c r="K9" s="5"/>
      <c r="L9" s="5">
        <v>3826.3</v>
      </c>
    </row>
    <row r="10" outlineLevel="1">
      <c r="B10" s="1" t="inlineStr">
        <is>
          <t xml:space="preserve">Less PY Advance Procurement</t>
        </is>
      </c>
      <c r="C10" s="5">
        <v>2910.85</v>
      </c>
      <c r="D10" s="5">
        <v>2.659</v>
      </c>
      <c r="E10" s="5">
        <v>65.021</v>
      </c>
      <c r="F10" s="5">
        <v>1023.521</v>
      </c>
      <c r="G10" s="5"/>
      <c r="H10" s="5">
        <v>502.271</v>
      </c>
      <c r="I10" s="5">
        <v>502.271</v>
      </c>
      <c r="J10" s="5">
        <v>502.305</v>
      </c>
      <c r="K10" s="5">
        <v>1001.157</v>
      </c>
      <c r="L10" s="5">
        <v>6510.055</v>
      </c>
    </row>
    <row r="11" outlineLevel="1">
      <c r="B11" s="1" t="inlineStr">
        <is>
          <t xml:space="preserve">Less EOQ</t>
        </is>
      </c>
      <c r="C11" s="5">
        <v>2150.761</v>
      </c>
      <c r="D11" s="5">
        <v>1587.636</v>
      </c>
      <c r="E11" s="5">
        <v>230.331</v>
      </c>
      <c r="F11" s="5">
        <v>279.155</v>
      </c>
      <c r="G11" s="5"/>
      <c r="H11" s="5"/>
      <c r="I11" s="5"/>
      <c r="J11" s="5"/>
      <c r="K11" s="5"/>
      <c r="L11" s="5">
        <v>4247.883</v>
      </c>
    </row>
    <row r="12" outlineLevel="1">
      <c r="B12" s="1" t="inlineStr">
        <is>
          <t xml:space="preserve">Net Procurement (P-1)</t>
        </is>
      </c>
      <c r="C12" s="5">
        <v>106913.494</v>
      </c>
      <c r="D12" s="5">
        <v>6268.519</v>
      </c>
      <c r="E12" s="5">
        <v>10.773</v>
      </c>
      <c r="F12" s="5">
        <v>2954.238</v>
      </c>
      <c r="G12" s="5">
        <v>4026.201</v>
      </c>
      <c r="H12" s="5">
        <v>3707.169</v>
      </c>
      <c r="I12" s="5">
        <v>6110.88</v>
      </c>
      <c r="J12" s="5">
        <v>6461.913</v>
      </c>
      <c r="K12" s="5">
        <v>14079.68</v>
      </c>
      <c r="L12" s="5">
        <v>150532.867</v>
      </c>
    </row>
    <row r="13" outlineLevel="1">
      <c r="B13" s="1" t="inlineStr">
        <is>
          <t xml:space="preserve">Total Obligation Authority (TOA)</t>
        </is>
      </c>
      <c r="C13" s="5">
        <v>116656.338</v>
      </c>
      <c r="D13" s="5">
        <v>8268.628</v>
      </c>
      <c r="E13" s="5">
        <v>1942.268</v>
      </c>
      <c r="F13" s="5">
        <v>3132.462</v>
      </c>
      <c r="G13" s="5">
        <v>6124.325</v>
      </c>
      <c r="H13" s="5">
        <v>3993.544</v>
      </c>
      <c r="I13" s="5">
        <v>6375.629</v>
      </c>
      <c r="J13" s="5">
        <v>6565.705</v>
      </c>
      <c r="K13" s="5">
        <v>14079.68</v>
      </c>
      <c r="L13" s="5">
        <v>167138.579</v>
      </c>
    </row>
    <row r="16">
      <c r="A16" s="0" t="inlineStr">
        <is>
          <t xml:space="preserve">x</t>
        </is>
      </c>
      <c r="B16" s="9" t="inlineStr">
        <is>
          <t xml:space="preserve">§2 - TAM-base derivation</t>
        </is>
      </c>
      <c r="C16" s="9"/>
      <c r="D16" s="9"/>
      <c r="E16" s="9"/>
      <c r="F16" s="9"/>
      <c r="G16" s="9"/>
      <c r="H16" s="9"/>
      <c r="I16" s="9"/>
      <c r="J16" s="9"/>
      <c r="K16" s="9"/>
      <c r="L16" s="9"/>
    </row>
    <row r="18">
      <c r="B18" s="2" t="inlineStr">
        <is>
          <t xml:space="preserve">Step</t>
        </is>
      </c>
      <c r="C18" s="22" t="inlineStr">
        <is>
          <t xml:space="preserve">Value $M (basis per row)</t>
        </is>
      </c>
    </row>
    <row r="19" outlineLevel="1">
      <c r="B19" s="1" t="inlineStr">
        <is>
          <t xml:space="preserve">CY Advance Procurement gross, in-window (then-year)</t>
        </is>
      </c>
      <c r="C19" s="4">
        <f>N('DDG Assumptions'!C24)+N('DDG Assumptions'!D24)+N('DDG Assumptions'!E24)+N('DDG Assumptions'!F24)+N('DDG Assumptions'!G24)+N('DDG Assumptions'!H24)</f>
      </c>
    </row>
    <row r="20" outlineLevel="1">
      <c r="B20" s="20" t="inlineStr">
        <is>
          <t xml:space="preserve">of which Ship Construction EOQ = AP/LLTM base (P-10; constant FY2026)</t>
        </is>
      </c>
      <c r="C20" s="4">
        <f>N('DDG Assumptions'!C26)+N('DDG Assumptions'!D26)+N('DDG Assumptions'!E26)+N('DDG Assumptions'!F26)+N('DDG Assumptions'!G26)+N('DDG Assumptions'!H26)</f>
      </c>
    </row>
    <row r="21">
      <c r="B21" s="3" t="inlineStr">
        <is>
          <t xml:space="preserve">x AP/LLTM supplier coeff = AP/LLTM stream TAM</t>
        </is>
      </c>
      <c r="C21" s="13">
        <f>C20*'DDG Assumptions'!C41</f>
      </c>
    </row>
    <row r="24">
      <c r="A24" s="0" t="inlineStr">
        <is>
          <t xml:space="preserve">x</t>
        </is>
      </c>
      <c r="B24" s="9" t="inlineStr">
        <is>
          <t xml:space="preserve">§3 - Line-level classification (DDG P-10 structure)</t>
        </is>
      </c>
      <c r="C24" s="9"/>
      <c r="D24" s="9"/>
      <c r="E24" s="9"/>
      <c r="F24" s="9"/>
      <c r="G24" s="9"/>
      <c r="H24" s="9"/>
      <c r="I24" s="9"/>
      <c r="J24" s="9"/>
      <c r="K24" s="9"/>
      <c r="L24" s="9"/>
    </row>
    <row r="26">
      <c r="B26" s="2" t="inlineStr">
        <is>
          <t xml:space="preserve">AP / EOQ line</t>
        </is>
      </c>
      <c r="C26" s="2" t="inlineStr">
        <is>
          <t xml:space="preserve">TAM treatment</t>
        </is>
      </c>
      <c r="D26" s="2" t="inlineStr">
        <is>
          <t xml:space="preserve">Rationale</t>
        </is>
      </c>
    </row>
    <row r="27" outlineLevel="1">
      <c r="B27" s="0" t="inlineStr">
        <is>
          <t xml:space="preserve">Ship Construction EOQ</t>
        </is>
      </c>
      <c r="C27" s="1" t="inlineStr">
        <is>
          <t xml:space="preserve">INCLUDE</t>
        </is>
      </c>
      <c r="D27" s="0" t="inlineStr">
        <is>
          <t xml:space="preserve">P-10 EOQ procurements of material items (vendor-purchased); included in full</t>
        </is>
      </c>
    </row>
    <row r="28" outlineLevel="1">
      <c r="B28" s="0" t="inlineStr">
        <is>
          <t xml:space="preserve">AWS EOQ (Aegis Weapon System)</t>
        </is>
      </c>
      <c r="C28" s="1" t="inlineStr">
        <is>
          <t xml:space="preserve">EXCLUDE</t>
        </is>
      </c>
      <c r="D28" s="0" t="inlineStr">
        <is>
          <t xml:space="preserve">GFE-controlled combat system (default out)</t>
        </is>
      </c>
    </row>
    <row r="29" outlineLevel="1">
      <c r="B29" s="0" t="inlineStr">
        <is>
          <t xml:space="preserve">Other GFE (CBSP / NMT terminals)</t>
        </is>
      </c>
      <c r="C29" s="1" t="inlineStr">
        <is>
          <t xml:space="preserve">EXCLUDE</t>
        </is>
      </c>
      <c r="D29" s="0" t="inlineStr">
        <is>
          <t xml:space="preserve">Navy-furnished equipment</t>
        </is>
      </c>
    </row>
    <row r="30" outlineLevel="1">
      <c r="B30" s="0" t="inlineStr">
        <is>
          <t xml:space="preserve">Congressional adds: shipyard infrastructure / wage enhancements</t>
        </is>
      </c>
      <c r="C30" s="1" t="inlineStr">
        <is>
          <t xml:space="preserve">EXCLUDE</t>
        </is>
      </c>
      <c r="D30" s="0" t="inlineStr">
        <is>
          <t xml:space="preserve">FY26 $450.0M + $300.0M; yard capex and wages, not ship material</t>
        </is>
      </c>
    </row>
    <row r="31" outlineLevel="1">
      <c r="B31" s="0" t="inlineStr">
        <is>
          <t xml:space="preserve">VLS / weapons / ordnance AP</t>
        </is>
      </c>
      <c r="C31" s="1" t="inlineStr">
        <is>
          <t xml:space="preserve">EXCLUDE</t>
        </is>
      </c>
      <c r="D31" s="0" t="inlineStr">
        <is>
          <t xml:space="preserve">WPN/OPN appropriation; not SCN ship construction</t>
        </is>
      </c>
    </row>
    <row r="32" outlineLevel="1">
      <c r="B32" s="0" t="inlineStr">
        <is>
          <t xml:space="preserve">Power Conversion Modules</t>
        </is>
      </c>
      <c r="C32" s="1" t="inlineStr">
        <is>
          <t xml:space="preserve">IN BC ALREADY</t>
        </is>
      </c>
      <c r="D32" s="0" t="inlineStr">
        <is>
          <t xml:space="preserve">moved GFE -&gt; Basic Construction in FY23 (no re-add)</t>
        </is>
      </c>
    </row>
    <row r="35">
      <c r="A35" s="0" t="inlineStr">
        <is>
          <t xml:space="preserve">x</t>
        </is>
      </c>
      <c r="B35" s="9" t="inlineStr">
        <is>
          <t xml:space="preserve">§4 - Caveats</t>
        </is>
      </c>
      <c r="C35" s="9"/>
      <c r="D35" s="9"/>
      <c r="E35" s="9"/>
      <c r="F35" s="9"/>
      <c r="G35" s="9"/>
      <c r="H35" s="9"/>
      <c r="I35" s="9"/>
      <c r="J35" s="9"/>
      <c r="K35" s="9"/>
      <c r="L35" s="9"/>
    </row>
    <row r="37" outlineLevel="1">
      <c r="B37" s="0" t="inlineStr">
        <is>
          <t xml:space="preserve">AP/LLTM base = the P-10 'Ship Construction EOQ' line per FY (Inputs §3, cited); AWS EOQ, terminal GFE, and congressional adds are excluded at the line level.</t>
        </is>
      </c>
    </row>
    <row r="38" outlineLevel="1">
      <c r="B38" s="0" t="inlineStr">
        <is>
          <t xml:space="preserve">No double-count: P-5c BC is net of prior-yr AP, so CY AP is additive (PY-AP-credit in TAM stream bases = 0).</t>
        </is>
      </c>
    </row>
  </sheetData>
</worksheet>
</file>

<file path=xl/worksheets/sheet27.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46" customWidth="1"/>
    <col min="3" max="3" width="12" customWidth="1"/>
    <col min="4" max="4" width="12" customWidth="1"/>
    <col min="5" max="5" width="12" customWidth="1"/>
    <col min="6" max="6" width="12" customWidth="1"/>
    <col min="7" max="7" width="12" customWidth="1"/>
    <col min="8" max="8" width="12" customWidth="1"/>
    <col min="9" max="9" width="12" customWidth="1"/>
  </cols>
  <sheetData>
    <row r="1"/>
    <row r="2">
      <c r="B2" s="8" t="inlineStr">
        <is>
          <t xml:space="preserve">DDG FYDP Outyears</t>
        </is>
      </c>
      <c r="C2" s="8"/>
      <c r="D2" s="8"/>
      <c r="E2" s="8"/>
      <c r="F2" s="8"/>
      <c r="G2" s="8"/>
      <c r="H2" s="8"/>
      <c r="I2" s="8"/>
    </row>
    <row r="4">
      <c r="A4" s="0" t="inlineStr">
        <is>
          <t xml:space="preserve">x</t>
        </is>
      </c>
      <c r="B4" s="9" t="inlineStr">
        <is>
          <t xml:space="preserve">§1 - Source exhibit (P-40 Resource Summary, PB2027)</t>
        </is>
      </c>
      <c r="C4" s="9"/>
      <c r="D4" s="9"/>
      <c r="E4" s="9"/>
      <c r="F4" s="9"/>
      <c r="G4" s="9"/>
      <c r="H4" s="9"/>
      <c r="I4" s="9"/>
    </row>
    <row r="6">
      <c r="B6" s="2" t="inlineStr">
        <is>
          <t xml:space="preserve">Field</t>
        </is>
      </c>
      <c r="C6" s="2" t="inlineStr">
        <is>
          <t xml:space="preserve">Value</t>
        </is>
      </c>
    </row>
    <row r="7" outlineLevel="1">
      <c r="B7" s="0" t="inlineStr">
        <is>
          <t xml:space="preserve">Exhibit</t>
        </is>
      </c>
      <c r="C7" s="0" t="inlineStr">
        <is>
          <t xml:space="preserve">PB 2027 Navy, Exhibit P-40 (1611N Shipbuilding and Conversion, Navy)</t>
        </is>
      </c>
    </row>
    <row r="8" outlineLevel="1">
      <c r="B8" s="0" t="inlineStr">
        <is>
          <t xml:space="preserve">Program</t>
        </is>
      </c>
      <c r="C8" s="0" t="inlineStr">
        <is>
          <t xml:space="preserve">DDG-51 Arleigh Burke (LI 2122), P-1 line 13</t>
        </is>
      </c>
    </row>
    <row r="9" outlineLevel="1">
      <c r="B9" s="0" t="inlineStr">
        <is>
          <t xml:space="preserve">Vintage</t>
        </is>
      </c>
      <c r="C9" s="0" t="inlineStr">
        <is>
          <t xml:space="preserve">PB2027 (April 2026); FY2028-FY2031 are the budget request, not appropriation</t>
        </is>
      </c>
    </row>
    <row r="10" outlineLevel="1">
      <c r="B10" s="0" t="inlineStr">
        <is>
          <t xml:space="preserve">Columns</t>
        </is>
      </c>
      <c r="C10" s="0" t="inlineStr">
        <is>
          <t xml:space="preserve">FY2027 = FY 2027 Total (Base + OOC); FY2028-FY2031 = FYDP outyears</t>
        </is>
      </c>
    </row>
    <row r="11" outlineLevel="1">
      <c r="B11" s="0" t="inlineStr">
        <is>
          <t xml:space="preserve">Refresh</t>
        </is>
      </c>
      <c r="C11" s="0" t="inlineStr">
        <is>
          <t xml:space="preserve">At PB2028: re-tie FY2027 gross to SCN Budget and re-base the outyears</t>
        </is>
      </c>
    </row>
    <row r="13">
      <c r="B13" s="2" t="inlineStr">
        <is>
          <t xml:space="preserve">Metric</t>
        </is>
      </c>
      <c r="C13" s="22">
        <v>2025</v>
      </c>
      <c r="D13" s="22">
        <v>2026</v>
      </c>
      <c r="E13" s="22">
        <v>2027</v>
      </c>
      <c r="F13" s="22">
        <v>2028</v>
      </c>
      <c r="G13" s="22">
        <v>2029</v>
      </c>
      <c r="H13" s="22">
        <v>2030</v>
      </c>
      <c r="I13" s="22">
        <v>2031</v>
      </c>
    </row>
    <row r="14" outlineLevel="1">
      <c r="B14" s="1" t="inlineStr">
        <is>
          <t xml:space="preserve">Gross / Weapon System Cost, then-year $M</t>
        </is>
      </c>
      <c r="C14" s="5">
        <v>7858.814</v>
      </c>
      <c r="D14" s="5">
        <v>306.125</v>
      </c>
      <c r="E14" s="5">
        <v>4256.914</v>
      </c>
      <c r="F14" s="5">
        <v>4026.201</v>
      </c>
      <c r="G14" s="5">
        <v>4209.44</v>
      </c>
      <c r="H14" s="5">
        <v>6613.151</v>
      </c>
      <c r="I14" s="5">
        <v>6964.218</v>
      </c>
    </row>
    <row r="15" outlineLevel="1">
      <c r="B15" s="0" t="inlineStr">
        <is>
          <t xml:space="preserve">Procurement quantity (ships)</t>
        </is>
      </c>
      <c r="C15" s="5">
        <v>3.0</v>
      </c>
      <c r="D15" s="5"/>
      <c r="E15" s="5">
        <v>1.0</v>
      </c>
      <c r="F15" s="5">
        <v>1.0</v>
      </c>
      <c r="G15" s="5">
        <v>1.0</v>
      </c>
      <c r="H15" s="5">
        <v>2.0</v>
      </c>
      <c r="I15" s="5">
        <v>2.0</v>
      </c>
    </row>
    <row r="16" outlineLevel="1">
      <c r="B16" s="0" t="inlineStr">
        <is>
          <t xml:space="preserve">Net Procurement (P-1), then-year $M (memo)</t>
        </is>
      </c>
      <c r="C16" s="5">
        <v>6268.519</v>
      </c>
      <c r="D16" s="5">
        <v>10.773</v>
      </c>
      <c r="E16" s="5">
        <v>2954.238</v>
      </c>
      <c r="F16" s="5">
        <v>4026.201</v>
      </c>
      <c r="G16" s="5">
        <v>3707.169</v>
      </c>
      <c r="H16" s="5">
        <v>6110.88</v>
      </c>
      <c r="I16" s="5">
        <v>6461.913</v>
      </c>
    </row>
    <row r="17" outlineLevel="1">
      <c r="B17" s="0" t="inlineStr">
        <is>
          <t xml:space="preserve">Total Obligation Authority, then-year $M (memo)</t>
        </is>
      </c>
      <c r="C17" s="5">
        <v>8268.628</v>
      </c>
      <c r="D17" s="5">
        <v>1942.268</v>
      </c>
      <c r="E17" s="5">
        <v>3132.462</v>
      </c>
      <c r="F17" s="5">
        <v>6124.325</v>
      </c>
      <c r="G17" s="5">
        <v>3993.544</v>
      </c>
      <c r="H17" s="5">
        <v>6375.629</v>
      </c>
      <c r="I17" s="5">
        <v>6565.705</v>
      </c>
    </row>
    <row r="20">
      <c r="A20" s="0" t="inlineStr">
        <is>
          <t xml:space="preserve">x</t>
        </is>
      </c>
      <c r="B20" s="9" t="inlineStr">
        <is>
          <t xml:space="preserve">§2 - Constant FY2026 $M (then-year x deflator)</t>
        </is>
      </c>
      <c r="C20" s="9"/>
      <c r="D20" s="9"/>
      <c r="E20" s="9"/>
      <c r="F20" s="9"/>
      <c r="G20" s="9"/>
      <c r="H20" s="9"/>
      <c r="I20" s="9"/>
    </row>
    <row r="22">
      <c r="B22" s="2" t="inlineStr">
        <is>
          <t xml:space="preserve">Metric</t>
        </is>
      </c>
      <c r="C22" s="22">
        <v>2025</v>
      </c>
      <c r="D22" s="22">
        <v>2026</v>
      </c>
      <c r="E22" s="22">
        <v>2027</v>
      </c>
      <c r="F22" s="22">
        <v>2028</v>
      </c>
      <c r="G22" s="22">
        <v>2029</v>
      </c>
      <c r="H22" s="22">
        <v>2030</v>
      </c>
      <c r="I22" s="22">
        <v>2031</v>
      </c>
    </row>
    <row r="23" outlineLevel="1">
      <c r="B23" s="1" t="inlineStr">
        <is>
          <t xml:space="preserve">Gross / Weapon System Cost, constant FY2026 $M</t>
        </is>
      </c>
      <c r="C23" s="11">
        <f>C14*'Deflators'!D10</f>
      </c>
      <c r="D23" s="11">
        <f>D14*'Deflators'!D11</f>
      </c>
      <c r="E23" s="11">
        <f>E14*'Deflators'!D12</f>
      </c>
      <c r="F23" s="11">
        <f>F14*'Deflators'!D13</f>
      </c>
      <c r="G23" s="11">
        <f>G14*'Deflators'!D14</f>
      </c>
      <c r="H23" s="11">
        <f>H14*'Deflators'!D15</f>
      </c>
      <c r="I23" s="11">
        <f>I14*'Deflators'!D16</f>
      </c>
    </row>
  </sheetData>
</worksheet>
</file>

<file path=xl/worksheets/sheet28.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12" customWidth="1"/>
    <col min="3" max="3" width="18" customWidth="1"/>
    <col min="4" max="4" width="20" customWidth="1"/>
    <col min="5" max="5" width="18" customWidth="1"/>
    <col min="6" max="6" width="18" customWidth="1"/>
    <col min="7" max="7" width="14" customWidth="1"/>
    <col min="8" max="8" width="8" customWidth="1"/>
    <col min="9" max="9" width="7" customWidth="1"/>
    <col min="10" max="10" width="9" customWidth="1"/>
    <col min="11" max="11" width="11" customWidth="1"/>
    <col min="12" max="12" width="11" customWidth="1"/>
    <col min="13" max="13" width="11" customWidth="1"/>
    <col min="14" max="14" width="9" customWidth="1"/>
    <col min="15" max="15" width="10" customWidth="1"/>
    <col min="16" max="16" width="10" customWidth="1"/>
    <col min="17" max="17" width="10" customWidth="1"/>
  </cols>
  <sheetData>
    <row r="1"/>
    <row r="2">
      <c r="B2" s="8" t="inlineStr">
        <is>
          <t xml:space="preserve">DDG POP Corpus</t>
        </is>
      </c>
      <c r="C2" s="8"/>
      <c r="D2" s="8"/>
      <c r="E2" s="8"/>
      <c r="F2" s="8"/>
      <c r="G2" s="8"/>
      <c r="H2" s="8"/>
      <c r="I2" s="8"/>
      <c r="J2" s="8"/>
      <c r="K2" s="8"/>
      <c r="L2" s="8"/>
      <c r="M2" s="8"/>
      <c r="N2" s="8"/>
      <c r="O2" s="8"/>
      <c r="P2" s="8"/>
      <c r="Q2" s="8"/>
    </row>
    <row r="4">
      <c r="A4" s="0" t="inlineStr">
        <is>
          <t xml:space="preserve">x</t>
        </is>
      </c>
      <c r="B4" s="9" t="inlineStr">
        <is>
          <t xml:space="preserve">§1 - POP corpus (gated award place-of-performance)</t>
        </is>
      </c>
      <c r="C4" s="9"/>
      <c r="D4" s="9"/>
      <c r="E4" s="9"/>
      <c r="F4" s="9"/>
      <c r="G4" s="9"/>
      <c r="H4" s="9"/>
      <c r="I4" s="9"/>
      <c r="J4" s="9"/>
      <c r="K4" s="9"/>
      <c r="L4" s="9"/>
      <c r="M4" s="9"/>
      <c r="N4" s="9"/>
      <c r="O4" s="9"/>
      <c r="P4" s="9"/>
      <c r="Q4" s="9"/>
    </row>
    <row r="6">
      <c r="B6" s="2" t="inlineStr">
        <is>
          <t xml:space="preserve">Date</t>
        </is>
      </c>
      <c r="C6" s="2" t="inlineStr">
        <is>
          <t xml:space="preserve">PIID</t>
        </is>
      </c>
      <c r="D6" s="2" t="inlineStr">
        <is>
          <t xml:space="preserve">Prime</t>
        </is>
      </c>
      <c r="E6" s="2" t="inlineStr">
        <is>
          <t xml:space="preserve">Program</t>
        </is>
      </c>
      <c r="F6" s="2" t="inlineStr">
        <is>
          <t xml:space="preserve">Work Type</t>
        </is>
      </c>
      <c r="G6" s="2" t="inlineStr">
        <is>
          <t xml:space="preserve">Scope Class</t>
        </is>
      </c>
      <c r="H6" s="2" t="inlineStr">
        <is>
          <t xml:space="preserve">Stream</t>
        </is>
      </c>
      <c r="I6" s="22" t="inlineStr">
        <is>
          <t xml:space="preserve">Gate</t>
        </is>
      </c>
      <c r="J6" s="22" t="inlineStr">
        <is>
          <t xml:space="preserve">GFE/Excl</t>
        </is>
      </c>
      <c r="K6" s="22" t="inlineStr">
        <is>
          <t xml:space="preserve">Confirmed</t>
        </is>
      </c>
      <c r="L6" s="22" t="inlineStr">
        <is>
          <t xml:space="preserve">MYP master</t>
        </is>
      </c>
      <c r="M6" s="22" t="inlineStr">
        <is>
          <t xml:space="preserve">$M</t>
        </is>
      </c>
      <c r="N6" s="22" t="inlineStr">
        <is>
          <t xml:space="preserve">BIW %</t>
        </is>
      </c>
      <c r="O6" s="22" t="inlineStr">
        <is>
          <t xml:space="preserve">Ingalls %</t>
        </is>
      </c>
      <c r="P6" s="22" t="inlineStr">
        <is>
          <t xml:space="preserve">Other US %</t>
        </is>
      </c>
      <c r="Q6" s="22" t="inlineStr">
        <is>
          <t xml:space="preserve">Foreign %</t>
        </is>
      </c>
    </row>
    <row r="7" outlineLevel="1">
      <c r="B7" s="0" t="inlineStr">
        <is>
          <t xml:space="preserve">(MYP master)</t>
        </is>
      </c>
      <c r="C7" s="0" t="inlineStr">
        <is>
          <t xml:space="preserve">N00024-23-C-2305</t>
        </is>
      </c>
      <c r="D7" s="0" t="inlineStr">
        <is>
          <t xml:space="preserve">Bath Iron Works</t>
        </is>
      </c>
      <c r="E7" s="0" t="inlineStr">
        <is>
          <t xml:space="preserve">ddg51</t>
        </is>
      </c>
      <c r="F7" s="0" t="inlineStr">
        <is>
          <t xml:space="preserve">construction</t>
        </is>
      </c>
      <c r="G7" s="0" t="inlineStr">
        <is>
          <t xml:space="preserve">INCLUDE_BC</t>
        </is>
      </c>
      <c r="H7" s="0" t="inlineStr">
        <is>
          <t xml:space="preserve">BC</t>
        </is>
      </c>
      <c r="I7" s="5">
        <v>1</v>
      </c>
      <c r="J7" s="5">
        <v>0</v>
      </c>
      <c r="K7" s="5">
        <v>1</v>
      </c>
      <c r="L7" s="5">
        <v>1</v>
      </c>
      <c r="M7" s="11">
        <f>'DDG Assumptions'!D32</f>
      </c>
      <c r="N7" s="12">
        <f>'DDG Assumptions'!E32</f>
      </c>
      <c r="O7" s="12">
        <f>'DDG Assumptions'!F32</f>
      </c>
      <c r="P7" s="12">
        <f>'DDG Assumptions'!G32</f>
      </c>
      <c r="Q7" s="12">
        <f>'DDG Assumptions'!H32</f>
      </c>
    </row>
    <row r="8" outlineLevel="1">
      <c r="B8" s="0" t="inlineStr">
        <is>
          <t xml:space="preserve">(MYP master)</t>
        </is>
      </c>
      <c r="C8" s="0" t="inlineStr">
        <is>
          <t xml:space="preserve">N00024-23-C-2307</t>
        </is>
      </c>
      <c r="D8" s="0" t="inlineStr">
        <is>
          <t xml:space="preserve">Huntington Ingalls Industries</t>
        </is>
      </c>
      <c r="E8" s="0" t="inlineStr">
        <is>
          <t xml:space="preserve">ddg51</t>
        </is>
      </c>
      <c r="F8" s="0" t="inlineStr">
        <is>
          <t xml:space="preserve">construction</t>
        </is>
      </c>
      <c r="G8" s="0" t="inlineStr">
        <is>
          <t xml:space="preserve">INCLUDE_BC</t>
        </is>
      </c>
      <c r="H8" s="0" t="inlineStr">
        <is>
          <t xml:space="preserve">BC</t>
        </is>
      </c>
      <c r="I8" s="5">
        <v>1</v>
      </c>
      <c r="J8" s="5">
        <v>0</v>
      </c>
      <c r="K8" s="5">
        <v>1</v>
      </c>
      <c r="L8" s="5">
        <v>1</v>
      </c>
      <c r="M8" s="11">
        <f>'DDG Assumptions'!D33</f>
      </c>
      <c r="N8" s="12">
        <f>'DDG Assumptions'!E33</f>
      </c>
      <c r="O8" s="12">
        <f>'DDG Assumptions'!F33</f>
      </c>
      <c r="P8" s="12">
        <f>'DDG Assumptions'!G33</f>
      </c>
      <c r="Q8" s="12">
        <f>'DDG Assumptions'!H33</f>
      </c>
    </row>
    <row r="9" outlineLevel="1">
      <c r="B9" s="0" t="inlineStr">
        <is>
          <t xml:space="preserve">2024-06-07</t>
        </is>
      </c>
      <c r="C9" s="0" t="inlineStr">
        <is>
          <t xml:space="preserve">-</t>
        </is>
      </c>
      <c r="D9" s="0" t="inlineStr">
        <is>
          <t xml:space="preserve">Raytheon Missiles &amp; Defense</t>
        </is>
      </c>
      <c r="E9" s="0" t="inlineStr">
        <is>
          <t xml:space="preserve">ddg_gfe_radar</t>
        </is>
      </c>
      <c r="F9" s="0" t="inlineStr">
        <is>
          <t xml:space="preserve">component_procurement</t>
        </is>
      </c>
      <c r="G9" s="0" t="inlineStr">
        <is>
          <t xml:space="preserve">EXCLUDE_GFE</t>
        </is>
      </c>
      <c r="H9" s="0" t="inlineStr">
        <is>
          <t xml:space="preserve">BC</t>
        </is>
      </c>
      <c r="I9" s="5">
        <v>1</v>
      </c>
      <c r="J9" s="5">
        <v>1</v>
      </c>
      <c r="K9" s="5">
        <v>1</v>
      </c>
      <c r="L9" s="5">
        <v>0</v>
      </c>
      <c r="M9" s="5">
        <v>677.715433</v>
      </c>
      <c r="N9" s="7">
        <v>0.0</v>
      </c>
      <c r="O9" s="7">
        <v>0.0</v>
      </c>
      <c r="P9" s="7">
        <v>0.81</v>
      </c>
      <c r="Q9" s="7">
        <v>0.0</v>
      </c>
    </row>
    <row r="10" outlineLevel="1">
      <c r="B10" s="0" t="inlineStr">
        <is>
          <t xml:space="preserve">2025-06-06</t>
        </is>
      </c>
      <c r="C10" s="0" t="inlineStr">
        <is>
          <t xml:space="preserve">N00024-22-C-5500</t>
        </is>
      </c>
      <c r="D10" s="0" t="inlineStr">
        <is>
          <t xml:space="preserve">Raytheon Missiles &amp; Defense</t>
        </is>
      </c>
      <c r="E10" s="0" t="inlineStr">
        <is>
          <t xml:space="preserve">ddg_gfe_radar</t>
        </is>
      </c>
      <c r="F10" s="0" t="inlineStr">
        <is>
          <t xml:space="preserve">component_procurement</t>
        </is>
      </c>
      <c r="G10" s="0" t="inlineStr">
        <is>
          <t xml:space="preserve">EXCLUDE_GFE</t>
        </is>
      </c>
      <c r="H10" s="0" t="inlineStr">
        <is>
          <t xml:space="preserve">BC</t>
        </is>
      </c>
      <c r="I10" s="5">
        <v>1</v>
      </c>
      <c r="J10" s="5">
        <v>1</v>
      </c>
      <c r="K10" s="5">
        <v>1</v>
      </c>
      <c r="L10" s="5">
        <v>0</v>
      </c>
      <c r="M10" s="5">
        <v>646.519738</v>
      </c>
      <c r="N10" s="7">
        <v>0.0</v>
      </c>
      <c r="O10" s="7">
        <v>0.0</v>
      </c>
      <c r="P10" s="7">
        <v>0.81</v>
      </c>
      <c r="Q10" s="7">
        <v>0.0</v>
      </c>
    </row>
    <row r="11" outlineLevel="1">
      <c r="B11" s="0" t="inlineStr">
        <is>
          <t xml:space="preserve">2025-12-30</t>
        </is>
      </c>
      <c r="C11" s="0" t="inlineStr">
        <is>
          <t xml:space="preserve">N00024-23-C-5123</t>
        </is>
      </c>
      <c r="D11" s="0" t="inlineStr">
        <is>
          <t xml:space="preserve">Lockheed Martin Rotary and Mission Systems</t>
        </is>
      </c>
      <c r="E11" s="0" t="inlineStr">
        <is>
          <t xml:space="preserve">ddg_gfe_aegis</t>
        </is>
      </c>
      <c r="F11" s="0" t="inlineStr">
        <is>
          <t xml:space="preserve">component_procurement</t>
        </is>
      </c>
      <c r="G11" s="0" t="inlineStr">
        <is>
          <t xml:space="preserve">EXCLUDE_GFE</t>
        </is>
      </c>
      <c r="H11" s="0" t="inlineStr">
        <is>
          <t xml:space="preserve">BC</t>
        </is>
      </c>
      <c r="I11" s="5">
        <v>1</v>
      </c>
      <c r="J11" s="5">
        <v>1</v>
      </c>
      <c r="K11" s="5">
        <v>1</v>
      </c>
      <c r="L11" s="5">
        <v>0</v>
      </c>
      <c r="M11" s="5">
        <v>297.491836</v>
      </c>
      <c r="N11" s="7">
        <v>0.0</v>
      </c>
      <c r="O11" s="7">
        <v>0.0</v>
      </c>
      <c r="P11" s="7">
        <v>1.0</v>
      </c>
      <c r="Q11" s="7">
        <v>0.0</v>
      </c>
    </row>
    <row r="12" outlineLevel="1">
      <c r="B12" s="0" t="inlineStr">
        <is>
          <t xml:space="preserve">2026-04-22</t>
        </is>
      </c>
      <c r="C12" s="0" t="inlineStr">
        <is>
          <t xml:space="preserve">N00024-24-C-4212</t>
        </is>
      </c>
      <c r="D12" s="0" t="inlineStr">
        <is>
          <t xml:space="preserve">-</t>
        </is>
      </c>
      <c r="E12" s="0" t="inlineStr">
        <is>
          <t xml:space="preserve">ddg51</t>
        </is>
      </c>
      <c r="F12" s="0" t="inlineStr">
        <is>
          <t xml:space="preserve">construction</t>
        </is>
      </c>
      <c r="G12" s="0" t="inlineStr">
        <is>
          <t xml:space="preserve">INCLUDE_BC</t>
        </is>
      </c>
      <c r="H12" s="0" t="inlineStr">
        <is>
          <t xml:space="preserve">BC</t>
        </is>
      </c>
      <c r="I12" s="5">
        <v>1</v>
      </c>
      <c r="J12" s="5">
        <v>0</v>
      </c>
      <c r="K12" s="5">
        <v>1</v>
      </c>
      <c r="L12" s="5">
        <v>0</v>
      </c>
      <c r="M12" s="5">
        <v>230.495111</v>
      </c>
      <c r="N12" s="7">
        <v>1.0</v>
      </c>
      <c r="O12" s="7">
        <v>0.0</v>
      </c>
      <c r="P12" s="7">
        <v>0.0</v>
      </c>
      <c r="Q12" s="7">
        <v>0.0</v>
      </c>
    </row>
    <row r="13" outlineLevel="1">
      <c r="B13" s="0" t="inlineStr">
        <is>
          <t xml:space="preserve">2025-05-14</t>
        </is>
      </c>
      <c r="C13" s="0" t="inlineStr">
        <is>
          <t xml:space="preserve">N00024-24-C-4212</t>
        </is>
      </c>
      <c r="D13" s="0" t="inlineStr">
        <is>
          <t xml:space="preserve">-</t>
        </is>
      </c>
      <c r="E13" s="0" t="inlineStr">
        <is>
          <t xml:space="preserve">ddg51</t>
        </is>
      </c>
      <c r="F13" s="0" t="inlineStr">
        <is>
          <t xml:space="preserve">construction</t>
        </is>
      </c>
      <c r="G13" s="0" t="inlineStr">
        <is>
          <t xml:space="preserve">INCLUDE_BC</t>
        </is>
      </c>
      <c r="H13" s="0" t="inlineStr">
        <is>
          <t xml:space="preserve">BC</t>
        </is>
      </c>
      <c r="I13" s="5">
        <v>1</v>
      </c>
      <c r="J13" s="5">
        <v>0</v>
      </c>
      <c r="K13" s="5">
        <v>1</v>
      </c>
      <c r="L13" s="5">
        <v>0</v>
      </c>
      <c r="M13" s="5">
        <v>216.493753</v>
      </c>
      <c r="N13" s="7">
        <v>1.0</v>
      </c>
      <c r="O13" s="7">
        <v>0.0</v>
      </c>
      <c r="P13" s="7">
        <v>0.0</v>
      </c>
      <c r="Q13" s="7">
        <v>0.0</v>
      </c>
    </row>
    <row r="14" outlineLevel="1">
      <c r="B14" s="0" t="inlineStr">
        <is>
          <t xml:space="preserve">2024-06-14</t>
        </is>
      </c>
      <c r="C14" s="0" t="inlineStr">
        <is>
          <t xml:space="preserve">N00024-24-C-4212</t>
        </is>
      </c>
      <c r="D14" s="0" t="inlineStr">
        <is>
          <t xml:space="preserve">-</t>
        </is>
      </c>
      <c r="E14" s="0" t="inlineStr">
        <is>
          <t xml:space="preserve">ddg51</t>
        </is>
      </c>
      <c r="F14" s="0" t="inlineStr">
        <is>
          <t xml:space="preserve">construction</t>
        </is>
      </c>
      <c r="G14" s="0" t="inlineStr">
        <is>
          <t xml:space="preserve">INCLUDE_BC</t>
        </is>
      </c>
      <c r="H14" s="0" t="inlineStr">
        <is>
          <t xml:space="preserve">BC</t>
        </is>
      </c>
      <c r="I14" s="5">
        <v>1</v>
      </c>
      <c r="J14" s="5">
        <v>0</v>
      </c>
      <c r="K14" s="5">
        <v>1</v>
      </c>
      <c r="L14" s="5">
        <v>0</v>
      </c>
      <c r="M14" s="5">
        <v>202.73309</v>
      </c>
      <c r="N14" s="7">
        <v>1.0</v>
      </c>
      <c r="O14" s="7">
        <v>0.0</v>
      </c>
      <c r="P14" s="7">
        <v>0.0</v>
      </c>
      <c r="Q14" s="7">
        <v>0.0</v>
      </c>
    </row>
    <row r="15" outlineLevel="1">
      <c r="B15" s="0" t="inlineStr">
        <is>
          <t xml:space="preserve">2024-07-12</t>
        </is>
      </c>
      <c r="C15" s="0" t="inlineStr">
        <is>
          <t xml:space="preserve">N00024-18-C-5218</t>
        </is>
      </c>
      <c r="D15" s="0" t="inlineStr">
        <is>
          <t xml:space="preserve">Lockheed Martin Rotary and Mission Systems</t>
        </is>
      </c>
      <c r="E15" s="0" t="inlineStr">
        <is>
          <t xml:space="preserve">ddg_gfe_aegis</t>
        </is>
      </c>
      <c r="F15" s="0" t="inlineStr">
        <is>
          <t xml:space="preserve">component_procurement</t>
        </is>
      </c>
      <c r="G15" s="0" t="inlineStr">
        <is>
          <t xml:space="preserve">EXCLUDE_GFE</t>
        </is>
      </c>
      <c r="H15" s="0" t="inlineStr">
        <is>
          <t xml:space="preserve">BC</t>
        </is>
      </c>
      <c r="I15" s="5">
        <v>1</v>
      </c>
      <c r="J15" s="5">
        <v>1</v>
      </c>
      <c r="K15" s="5">
        <v>1</v>
      </c>
      <c r="L15" s="5">
        <v>0</v>
      </c>
      <c r="M15" s="5">
        <v>180.49647</v>
      </c>
      <c r="N15" s="7">
        <v>0.0</v>
      </c>
      <c r="O15" s="7">
        <v>0.0</v>
      </c>
      <c r="P15" s="7">
        <v>1.0</v>
      </c>
      <c r="Q15" s="7">
        <v>0.0</v>
      </c>
    </row>
    <row r="16" outlineLevel="1">
      <c r="B16" s="0" t="inlineStr">
        <is>
          <t xml:space="preserve">2023-12-22</t>
        </is>
      </c>
      <c r="C16" s="0" t="inlineStr">
        <is>
          <t xml:space="preserve">-</t>
        </is>
      </c>
      <c r="D16" s="0" t="inlineStr">
        <is>
          <t xml:space="preserve">Lockheed Martin Rotary and Mission Systems</t>
        </is>
      </c>
      <c r="E16" s="0" t="inlineStr">
        <is>
          <t xml:space="preserve">ddg_gfe_aegis</t>
        </is>
      </c>
      <c r="F16" s="0" t="inlineStr">
        <is>
          <t xml:space="preserve">component_procurement</t>
        </is>
      </c>
      <c r="G16" s="0" t="inlineStr">
        <is>
          <t xml:space="preserve">EXCLUDE_GFE</t>
        </is>
      </c>
      <c r="H16" s="0" t="inlineStr">
        <is>
          <t xml:space="preserve">BC</t>
        </is>
      </c>
      <c r="I16" s="5">
        <v>1</v>
      </c>
      <c r="J16" s="5">
        <v>1</v>
      </c>
      <c r="K16" s="5">
        <v>1</v>
      </c>
      <c r="L16" s="5">
        <v>0</v>
      </c>
      <c r="M16" s="5">
        <v>141.510746</v>
      </c>
      <c r="N16" s="7">
        <v>0.0</v>
      </c>
      <c r="O16" s="7">
        <v>0.0</v>
      </c>
      <c r="P16" s="7">
        <v>1.0</v>
      </c>
      <c r="Q16" s="7">
        <v>0.0</v>
      </c>
    </row>
    <row r="17" outlineLevel="1">
      <c r="B17" s="0" t="inlineStr">
        <is>
          <t xml:space="preserve">2023-03-31</t>
        </is>
      </c>
      <c r="C17" s="0" t="inlineStr">
        <is>
          <t xml:space="preserve">-</t>
        </is>
      </c>
      <c r="D17" s="0" t="inlineStr">
        <is>
          <t xml:space="preserve">BAE Systems Land &amp; Armaments L.P.</t>
        </is>
      </c>
      <c r="E17" s="0" t="inlineStr">
        <is>
          <t xml:space="preserve">ddg_gfe_vls</t>
        </is>
      </c>
      <c r="F17" s="0" t="inlineStr">
        <is>
          <t xml:space="preserve">component_procurement</t>
        </is>
      </c>
      <c r="G17" s="0" t="inlineStr">
        <is>
          <t xml:space="preserve">EXCLUDE_GFE</t>
        </is>
      </c>
      <c r="H17" s="0" t="inlineStr">
        <is>
          <t xml:space="preserve">BC</t>
        </is>
      </c>
      <c r="I17" s="5">
        <v>1</v>
      </c>
      <c r="J17" s="5">
        <v>1</v>
      </c>
      <c r="K17" s="5">
        <v>1</v>
      </c>
      <c r="L17" s="5">
        <v>0</v>
      </c>
      <c r="M17" s="5">
        <v>132.485525</v>
      </c>
      <c r="N17" s="7">
        <v>0.0</v>
      </c>
      <c r="O17" s="7">
        <v>0.0</v>
      </c>
      <c r="P17" s="7">
        <v>1.0</v>
      </c>
      <c r="Q17" s="7">
        <v>0.0</v>
      </c>
    </row>
    <row r="18" outlineLevel="1">
      <c r="B18" s="0" t="inlineStr">
        <is>
          <t xml:space="preserve">2024-04-11</t>
        </is>
      </c>
      <c r="C18" s="0" t="inlineStr">
        <is>
          <t xml:space="preserve">-</t>
        </is>
      </c>
      <c r="D18" s="0" t="inlineStr">
        <is>
          <t xml:space="preserve">-</t>
        </is>
      </c>
      <c r="E18" s="0" t="inlineStr">
        <is>
          <t xml:space="preserve">ddg_gfe_aegis</t>
        </is>
      </c>
      <c r="F18" s="0" t="inlineStr">
        <is>
          <t xml:space="preserve">component_procurement</t>
        </is>
      </c>
      <c r="G18" s="0" t="inlineStr">
        <is>
          <t xml:space="preserve">EXCLUDE_GFE</t>
        </is>
      </c>
      <c r="H18" s="0" t="inlineStr">
        <is>
          <t xml:space="preserve">BC</t>
        </is>
      </c>
      <c r="I18" s="5">
        <v>1</v>
      </c>
      <c r="J18" s="5">
        <v>1</v>
      </c>
      <c r="K18" s="5">
        <v>1</v>
      </c>
      <c r="L18" s="5">
        <v>0</v>
      </c>
      <c r="M18" s="5">
        <v>126.989166</v>
      </c>
      <c r="N18" s="7">
        <v>0.0</v>
      </c>
      <c r="O18" s="7">
        <v>0.0</v>
      </c>
      <c r="P18" s="7">
        <v>1.0</v>
      </c>
      <c r="Q18" s="7">
        <v>0.0</v>
      </c>
    </row>
    <row r="19" outlineLevel="1">
      <c r="B19" s="0" t="inlineStr">
        <is>
          <t xml:space="preserve">2025-12-11</t>
        </is>
      </c>
      <c r="C19" s="0" t="inlineStr">
        <is>
          <t xml:space="preserve">N00024-23-C-5101</t>
        </is>
      </c>
      <c r="D19" s="0" t="inlineStr">
        <is>
          <t xml:space="preserve">-</t>
        </is>
      </c>
      <c r="E19" s="0" t="inlineStr">
        <is>
          <t xml:space="preserve">ddg_gfe_aegis</t>
        </is>
      </c>
      <c r="F19" s="0" t="inlineStr">
        <is>
          <t xml:space="preserve">component_procurement</t>
        </is>
      </c>
      <c r="G19" s="0" t="inlineStr">
        <is>
          <t xml:space="preserve">EXCLUDE_GFE</t>
        </is>
      </c>
      <c r="H19" s="0" t="inlineStr">
        <is>
          <t xml:space="preserve">BC</t>
        </is>
      </c>
      <c r="I19" s="5">
        <v>1</v>
      </c>
      <c r="J19" s="5">
        <v>1</v>
      </c>
      <c r="K19" s="5">
        <v>1</v>
      </c>
      <c r="L19" s="5">
        <v>0</v>
      </c>
      <c r="M19" s="5">
        <v>104.623274</v>
      </c>
      <c r="N19" s="7">
        <v>0.0</v>
      </c>
      <c r="O19" s="7">
        <v>0.0</v>
      </c>
      <c r="P19" s="7">
        <v>1.0</v>
      </c>
      <c r="Q19" s="7">
        <v>0.0</v>
      </c>
    </row>
    <row r="20" outlineLevel="1">
      <c r="B20" s="0" t="inlineStr">
        <is>
          <t xml:space="preserve">2024-01-09</t>
        </is>
      </c>
      <c r="C20" s="0" t="inlineStr">
        <is>
          <t xml:space="preserve">N00024-24-C-5131</t>
        </is>
      </c>
      <c r="D20" s="0" t="inlineStr">
        <is>
          <t xml:space="preserve">-</t>
        </is>
      </c>
      <c r="E20" s="0" t="inlineStr">
        <is>
          <t xml:space="preserve">ddg_gfe_aegis</t>
        </is>
      </c>
      <c r="F20" s="0" t="inlineStr">
        <is>
          <t xml:space="preserve">component_procurement</t>
        </is>
      </c>
      <c r="G20" s="0" t="inlineStr">
        <is>
          <t xml:space="preserve">EXCLUDE_GFE</t>
        </is>
      </c>
      <c r="H20" s="0" t="inlineStr">
        <is>
          <t xml:space="preserve">BC</t>
        </is>
      </c>
      <c r="I20" s="5">
        <v>1</v>
      </c>
      <c r="J20" s="5">
        <v>1</v>
      </c>
      <c r="K20" s="5">
        <v>1</v>
      </c>
      <c r="L20" s="5">
        <v>0</v>
      </c>
      <c r="M20" s="5">
        <v>101.508183</v>
      </c>
      <c r="N20" s="7">
        <v>0.0</v>
      </c>
      <c r="O20" s="7">
        <v>0.0</v>
      </c>
      <c r="P20" s="7">
        <v>0.0</v>
      </c>
      <c r="Q20" s="7">
        <v>0.0</v>
      </c>
    </row>
    <row r="21" outlineLevel="1">
      <c r="B21" s="0" t="inlineStr">
        <is>
          <t xml:space="preserve">2023-10-20</t>
        </is>
      </c>
      <c r="C21" s="0" t="inlineStr">
        <is>
          <t xml:space="preserve">-</t>
        </is>
      </c>
      <c r="D21" s="0" t="inlineStr">
        <is>
          <t xml:space="preserve">Raytheon Co.</t>
        </is>
      </c>
      <c r="E21" s="0" t="inlineStr">
        <is>
          <t xml:space="preserve">ddg_gfe_combat_systems</t>
        </is>
      </c>
      <c r="F21" s="0" t="inlineStr">
        <is>
          <t xml:space="preserve">component_procurement</t>
        </is>
      </c>
      <c r="G21" s="0" t="inlineStr">
        <is>
          <t xml:space="preserve">EXCLUDE_GFE</t>
        </is>
      </c>
      <c r="H21" s="0" t="inlineStr">
        <is>
          <t xml:space="preserve">BC</t>
        </is>
      </c>
      <c r="I21" s="5">
        <v>1</v>
      </c>
      <c r="J21" s="5">
        <v>1</v>
      </c>
      <c r="K21" s="5">
        <v>1</v>
      </c>
      <c r="L21" s="5">
        <v>0</v>
      </c>
      <c r="M21" s="5">
        <v>96.333349</v>
      </c>
      <c r="N21" s="7">
        <v>0.0</v>
      </c>
      <c r="O21" s="7">
        <v>0.0</v>
      </c>
      <c r="P21" s="7">
        <v>1.0</v>
      </c>
      <c r="Q21" s="7">
        <v>0.0</v>
      </c>
    </row>
    <row r="22" outlineLevel="1">
      <c r="B22" s="0" t="inlineStr">
        <is>
          <t xml:space="preserve">2025-12-29</t>
        </is>
      </c>
      <c r="C22" s="0" t="inlineStr">
        <is>
          <t xml:space="preserve">N00024-23-C-5123</t>
        </is>
      </c>
      <c r="D22" s="0" t="inlineStr">
        <is>
          <t xml:space="preserve">Lockheed Martin Rotary and Mission Systems</t>
        </is>
      </c>
      <c r="E22" s="0" t="inlineStr">
        <is>
          <t xml:space="preserve">ddg_gfe_aegis</t>
        </is>
      </c>
      <c r="F22" s="0" t="inlineStr">
        <is>
          <t xml:space="preserve">component_procurement</t>
        </is>
      </c>
      <c r="G22" s="0" t="inlineStr">
        <is>
          <t xml:space="preserve">EXCLUDE_GFE</t>
        </is>
      </c>
      <c r="H22" s="0" t="inlineStr">
        <is>
          <t xml:space="preserve">BC</t>
        </is>
      </c>
      <c r="I22" s="5">
        <v>1</v>
      </c>
      <c r="J22" s="5">
        <v>1</v>
      </c>
      <c r="K22" s="5">
        <v>1</v>
      </c>
      <c r="L22" s="5">
        <v>0</v>
      </c>
      <c r="M22" s="5">
        <v>92.783864</v>
      </c>
      <c r="N22" s="7">
        <v>0.0</v>
      </c>
      <c r="O22" s="7">
        <v>0.0</v>
      </c>
      <c r="P22" s="7">
        <v>1.0</v>
      </c>
      <c r="Q22" s="7">
        <v>0.0</v>
      </c>
    </row>
    <row r="23" outlineLevel="1">
      <c r="B23" s="0" t="inlineStr">
        <is>
          <t xml:space="preserve">2025-01-21</t>
        </is>
      </c>
      <c r="C23" s="0" t="inlineStr">
        <is>
          <t xml:space="preserve">-</t>
        </is>
      </c>
      <c r="D23" s="0" t="inlineStr">
        <is>
          <t xml:space="preserve">Lockheed Martin Rotary and Mission Systems</t>
        </is>
      </c>
      <c r="E23" s="0" t="inlineStr">
        <is>
          <t xml:space="preserve">ddg_gfe_aegis</t>
        </is>
      </c>
      <c r="F23" s="0" t="inlineStr">
        <is>
          <t xml:space="preserve">component_procurement</t>
        </is>
      </c>
      <c r="G23" s="0" t="inlineStr">
        <is>
          <t xml:space="preserve">EXCLUDE_GFE</t>
        </is>
      </c>
      <c r="H23" s="0" t="inlineStr">
        <is>
          <t xml:space="preserve">BC</t>
        </is>
      </c>
      <c r="I23" s="5">
        <v>1</v>
      </c>
      <c r="J23" s="5">
        <v>1</v>
      </c>
      <c r="K23" s="5">
        <v>1</v>
      </c>
      <c r="L23" s="5">
        <v>0</v>
      </c>
      <c r="M23" s="5">
        <v>92.674215</v>
      </c>
      <c r="N23" s="7">
        <v>0.0</v>
      </c>
      <c r="O23" s="7">
        <v>0.0</v>
      </c>
      <c r="P23" s="7">
        <v>1.0</v>
      </c>
      <c r="Q23" s="7">
        <v>0.0</v>
      </c>
    </row>
    <row r="24" outlineLevel="1">
      <c r="B24" s="0" t="inlineStr">
        <is>
          <t xml:space="preserve">2025-07-01</t>
        </is>
      </c>
      <c r="C24" s="0" t="inlineStr">
        <is>
          <t xml:space="preserve">N00024-23-C-5123</t>
        </is>
      </c>
      <c r="D24" s="0" t="inlineStr">
        <is>
          <t xml:space="preserve">Lockheed Martin Rotary and Mission Systems</t>
        </is>
      </c>
      <c r="E24" s="0" t="inlineStr">
        <is>
          <t xml:space="preserve">ddg_gfe_aegis</t>
        </is>
      </c>
      <c r="F24" s="0" t="inlineStr">
        <is>
          <t xml:space="preserve">component_procurement</t>
        </is>
      </c>
      <c r="G24" s="0" t="inlineStr">
        <is>
          <t xml:space="preserve">EXCLUDE_GFE</t>
        </is>
      </c>
      <c r="H24" s="0" t="inlineStr">
        <is>
          <t xml:space="preserve">BC</t>
        </is>
      </c>
      <c r="I24" s="5">
        <v>1</v>
      </c>
      <c r="J24" s="5">
        <v>1</v>
      </c>
      <c r="K24" s="5">
        <v>1</v>
      </c>
      <c r="L24" s="5">
        <v>0</v>
      </c>
      <c r="M24" s="5">
        <v>92.188802</v>
      </c>
      <c r="N24" s="7">
        <v>0.0</v>
      </c>
      <c r="O24" s="7">
        <v>0.0</v>
      </c>
      <c r="P24" s="7">
        <v>1.0</v>
      </c>
      <c r="Q24" s="7">
        <v>0.0</v>
      </c>
    </row>
    <row r="25" outlineLevel="1">
      <c r="B25" s="0" t="inlineStr">
        <is>
          <t xml:space="preserve">2024-01-25</t>
        </is>
      </c>
      <c r="C25" s="0" t="inlineStr">
        <is>
          <t xml:space="preserve">N00024-23-C-5325</t>
        </is>
      </c>
      <c r="D25" s="0" t="inlineStr">
        <is>
          <t xml:space="preserve">Lockheed Martin Rotary and Mission Systems</t>
        </is>
      </c>
      <c r="E25" s="0" t="inlineStr">
        <is>
          <t xml:space="preserve">ddg_gfe_aegis</t>
        </is>
      </c>
      <c r="F25" s="0" t="inlineStr">
        <is>
          <t xml:space="preserve">component_procurement</t>
        </is>
      </c>
      <c r="G25" s="0" t="inlineStr">
        <is>
          <t xml:space="preserve">EXCLUDE_GFE</t>
        </is>
      </c>
      <c r="H25" s="0" t="inlineStr">
        <is>
          <t xml:space="preserve">BC</t>
        </is>
      </c>
      <c r="I25" s="5">
        <v>1</v>
      </c>
      <c r="J25" s="5">
        <v>1</v>
      </c>
      <c r="K25" s="5">
        <v>1</v>
      </c>
      <c r="L25" s="5">
        <v>0</v>
      </c>
      <c r="M25" s="5">
        <v>90.27148</v>
      </c>
      <c r="N25" s="7">
        <v>0.0</v>
      </c>
      <c r="O25" s="7">
        <v>0.0</v>
      </c>
      <c r="P25" s="7">
        <v>0.77</v>
      </c>
      <c r="Q25" s="7">
        <v>0.0</v>
      </c>
    </row>
    <row r="26" outlineLevel="1">
      <c r="B26" s="0" t="inlineStr">
        <is>
          <t xml:space="preserve">2025-01-14</t>
        </is>
      </c>
      <c r="C26" s="0" t="inlineStr">
        <is>
          <t xml:space="preserve">N00024-24-C-5131</t>
        </is>
      </c>
      <c r="D26" s="0" t="inlineStr">
        <is>
          <t xml:space="preserve">Lockheed Martin Rotary and Mission Systems</t>
        </is>
      </c>
      <c r="E26" s="0" t="inlineStr">
        <is>
          <t xml:space="preserve">ddg_gfe_aegis</t>
        </is>
      </c>
      <c r="F26" s="0" t="inlineStr">
        <is>
          <t xml:space="preserve">component_procurement</t>
        </is>
      </c>
      <c r="G26" s="0" t="inlineStr">
        <is>
          <t xml:space="preserve">EXCLUDE_GFE</t>
        </is>
      </c>
      <c r="H26" s="0" t="inlineStr">
        <is>
          <t xml:space="preserve">BC</t>
        </is>
      </c>
      <c r="I26" s="5">
        <v>1</v>
      </c>
      <c r="J26" s="5">
        <v>1</v>
      </c>
      <c r="K26" s="5">
        <v>1</v>
      </c>
      <c r="L26" s="5">
        <v>0</v>
      </c>
      <c r="M26" s="5">
        <v>82.292467</v>
      </c>
      <c r="N26" s="7">
        <v>0.0</v>
      </c>
      <c r="O26" s="7">
        <v>0.0</v>
      </c>
      <c r="P26" s="7">
        <v>1.0</v>
      </c>
      <c r="Q26" s="7">
        <v>0.0</v>
      </c>
    </row>
    <row r="27" outlineLevel="1">
      <c r="B27" s="0" t="inlineStr">
        <is>
          <t xml:space="preserve">2024-07-12</t>
        </is>
      </c>
      <c r="C27" s="0" t="inlineStr">
        <is>
          <t xml:space="preserve">N00024-24-C-5324</t>
        </is>
      </c>
      <c r="D27" s="0" t="inlineStr">
        <is>
          <t xml:space="preserve">BAE Systems Land &amp; Armaments L.P.</t>
        </is>
      </c>
      <c r="E27" s="0" t="inlineStr">
        <is>
          <t xml:space="preserve">ddg_gfe_vls</t>
        </is>
      </c>
      <c r="F27" s="0" t="inlineStr">
        <is>
          <t xml:space="preserve">component_procurement</t>
        </is>
      </c>
      <c r="G27" s="0" t="inlineStr">
        <is>
          <t xml:space="preserve">EXCLUDE_GFE</t>
        </is>
      </c>
      <c r="H27" s="0" t="inlineStr">
        <is>
          <t xml:space="preserve">BC</t>
        </is>
      </c>
      <c r="I27" s="5">
        <v>1</v>
      </c>
      <c r="J27" s="5">
        <v>1</v>
      </c>
      <c r="K27" s="5">
        <v>1</v>
      </c>
      <c r="L27" s="5">
        <v>0</v>
      </c>
      <c r="M27" s="5">
        <v>78.845434</v>
      </c>
      <c r="N27" s="7">
        <v>0.0</v>
      </c>
      <c r="O27" s="7">
        <v>0.0</v>
      </c>
      <c r="P27" s="7">
        <v>1.0</v>
      </c>
      <c r="Q27" s="7">
        <v>0.0</v>
      </c>
    </row>
    <row r="28" outlineLevel="1">
      <c r="B28" s="0" t="inlineStr">
        <is>
          <t xml:space="preserve">2025-06-30</t>
        </is>
      </c>
      <c r="C28" s="0" t="inlineStr">
        <is>
          <t xml:space="preserve">N00024-18-C-5218</t>
        </is>
      </c>
      <c r="D28" s="0" t="inlineStr">
        <is>
          <t xml:space="preserve">Lockheed Martin Rotary and Mission Systems</t>
        </is>
      </c>
      <c r="E28" s="0" t="inlineStr">
        <is>
          <t xml:space="preserve">ddg_gfe_aegis</t>
        </is>
      </c>
      <c r="F28" s="0" t="inlineStr">
        <is>
          <t xml:space="preserve">component_procurement</t>
        </is>
      </c>
      <c r="G28" s="0" t="inlineStr">
        <is>
          <t xml:space="preserve">EXCLUDE_GFE</t>
        </is>
      </c>
      <c r="H28" s="0" t="inlineStr">
        <is>
          <t xml:space="preserve">BC</t>
        </is>
      </c>
      <c r="I28" s="5">
        <v>1</v>
      </c>
      <c r="J28" s="5">
        <v>1</v>
      </c>
      <c r="K28" s="5">
        <v>1</v>
      </c>
      <c r="L28" s="5">
        <v>0</v>
      </c>
      <c r="M28" s="5">
        <v>78.471591</v>
      </c>
      <c r="N28" s="7">
        <v>0.0</v>
      </c>
      <c r="O28" s="7">
        <v>0.0</v>
      </c>
      <c r="P28" s="7">
        <v>1.0</v>
      </c>
      <c r="Q28" s="7">
        <v>0.0</v>
      </c>
    </row>
    <row r="29" outlineLevel="1">
      <c r="B29" s="0" t="inlineStr">
        <is>
          <t xml:space="preserve">2026-02-20</t>
        </is>
      </c>
      <c r="C29" s="0" t="inlineStr">
        <is>
          <t xml:space="preserve">N00024-26-C-5203</t>
        </is>
      </c>
      <c r="D29" s="0" t="inlineStr">
        <is>
          <t xml:space="preserve">-</t>
        </is>
      </c>
      <c r="E29" s="0" t="inlineStr">
        <is>
          <t xml:space="preserve">ddg_gfe_aegis</t>
        </is>
      </c>
      <c r="F29" s="0" t="inlineStr">
        <is>
          <t xml:space="preserve">component_procurement</t>
        </is>
      </c>
      <c r="G29" s="0" t="inlineStr">
        <is>
          <t xml:space="preserve">EXCLUDE_GFE</t>
        </is>
      </c>
      <c r="H29" s="0" t="inlineStr">
        <is>
          <t xml:space="preserve">BC</t>
        </is>
      </c>
      <c r="I29" s="5">
        <v>1</v>
      </c>
      <c r="J29" s="5">
        <v>1</v>
      </c>
      <c r="K29" s="5">
        <v>1</v>
      </c>
      <c r="L29" s="5">
        <v>0</v>
      </c>
      <c r="M29" s="5">
        <v>78.429802</v>
      </c>
      <c r="N29" s="7">
        <v>0.0</v>
      </c>
      <c r="O29" s="7">
        <v>0.0</v>
      </c>
      <c r="P29" s="7">
        <v>1.0</v>
      </c>
      <c r="Q29" s="7">
        <v>0.0</v>
      </c>
    </row>
    <row r="30" outlineLevel="1">
      <c r="B30" s="0" t="inlineStr">
        <is>
          <t xml:space="preserve">2024-12-13</t>
        </is>
      </c>
      <c r="C30" s="0" t="inlineStr">
        <is>
          <t xml:space="preserve">-</t>
        </is>
      </c>
      <c r="D30" s="0" t="inlineStr">
        <is>
          <t xml:space="preserve">Lockheed Martin Rotary and Mission Systems</t>
        </is>
      </c>
      <c r="E30" s="0" t="inlineStr">
        <is>
          <t xml:space="preserve">ddg_gfe_aegis</t>
        </is>
      </c>
      <c r="F30" s="0" t="inlineStr">
        <is>
          <t xml:space="preserve">component_procurement</t>
        </is>
      </c>
      <c r="G30" s="0" t="inlineStr">
        <is>
          <t xml:space="preserve">EXCLUDE_GFE</t>
        </is>
      </c>
      <c r="H30" s="0" t="inlineStr">
        <is>
          <t xml:space="preserve">BC</t>
        </is>
      </c>
      <c r="I30" s="5">
        <v>1</v>
      </c>
      <c r="J30" s="5">
        <v>1</v>
      </c>
      <c r="K30" s="5">
        <v>1</v>
      </c>
      <c r="L30" s="5">
        <v>0</v>
      </c>
      <c r="M30" s="5">
        <v>73.102951</v>
      </c>
      <c r="N30" s="7">
        <v>0.0</v>
      </c>
      <c r="O30" s="7">
        <v>0.0</v>
      </c>
      <c r="P30" s="7">
        <v>0.77</v>
      </c>
      <c r="Q30" s="7">
        <v>0.0</v>
      </c>
    </row>
    <row r="31" outlineLevel="1">
      <c r="B31" s="0" t="inlineStr">
        <is>
          <t xml:space="preserve">2025-01-08</t>
        </is>
      </c>
      <c r="C31" s="0" t="inlineStr">
        <is>
          <t xml:space="preserve">N00024-18-C-5218</t>
        </is>
      </c>
      <c r="D31" s="0" t="inlineStr">
        <is>
          <t xml:space="preserve">Lockheed Martin Rotary and Mission Systems</t>
        </is>
      </c>
      <c r="E31" s="0" t="inlineStr">
        <is>
          <t xml:space="preserve">ddg_gfe_aegis</t>
        </is>
      </c>
      <c r="F31" s="0" t="inlineStr">
        <is>
          <t xml:space="preserve">component_procurement</t>
        </is>
      </c>
      <c r="G31" s="0" t="inlineStr">
        <is>
          <t xml:space="preserve">EXCLUDE_GFE</t>
        </is>
      </c>
      <c r="H31" s="0" t="inlineStr">
        <is>
          <t xml:space="preserve">BC</t>
        </is>
      </c>
      <c r="I31" s="5">
        <v>1</v>
      </c>
      <c r="J31" s="5">
        <v>1</v>
      </c>
      <c r="K31" s="5">
        <v>1</v>
      </c>
      <c r="L31" s="5">
        <v>0</v>
      </c>
      <c r="M31" s="5">
        <v>70.971132</v>
      </c>
      <c r="N31" s="7">
        <v>0.0</v>
      </c>
      <c r="O31" s="7">
        <v>0.0</v>
      </c>
      <c r="P31" s="7">
        <v>1.0</v>
      </c>
      <c r="Q31" s="7">
        <v>0.0</v>
      </c>
    </row>
    <row r="32" outlineLevel="1">
      <c r="B32" s="0" t="inlineStr">
        <is>
          <t xml:space="preserve">2023-09-01</t>
        </is>
      </c>
      <c r="C32" s="0" t="inlineStr">
        <is>
          <t xml:space="preserve">-</t>
        </is>
      </c>
      <c r="D32" s="0" t="inlineStr">
        <is>
          <t xml:space="preserve">-</t>
        </is>
      </c>
      <c r="E32" s="0" t="inlineStr">
        <is>
          <t xml:space="preserve">ddg_gfe_aegis</t>
        </is>
      </c>
      <c r="F32" s="0" t="inlineStr">
        <is>
          <t xml:space="preserve">component_procurement</t>
        </is>
      </c>
      <c r="G32" s="0" t="inlineStr">
        <is>
          <t xml:space="preserve">EXCLUDE_GFE</t>
        </is>
      </c>
      <c r="H32" s="0" t="inlineStr">
        <is>
          <t xml:space="preserve">BC</t>
        </is>
      </c>
      <c r="I32" s="5">
        <v>1</v>
      </c>
      <c r="J32" s="5">
        <v>1</v>
      </c>
      <c r="K32" s="5">
        <v>1</v>
      </c>
      <c r="L32" s="5">
        <v>0</v>
      </c>
      <c r="M32" s="5">
        <v>67.811401</v>
      </c>
      <c r="N32" s="7">
        <v>0.09</v>
      </c>
      <c r="O32" s="7">
        <v>0.09</v>
      </c>
      <c r="P32" s="7">
        <v>0.74</v>
      </c>
      <c r="Q32" s="7">
        <v>0.0</v>
      </c>
    </row>
    <row r="33" outlineLevel="1">
      <c r="B33" s="0" t="inlineStr">
        <is>
          <t xml:space="preserve">2025-04-04</t>
        </is>
      </c>
      <c r="C33" s="0" t="inlineStr">
        <is>
          <t xml:space="preserve">-</t>
        </is>
      </c>
      <c r="D33" s="0" t="inlineStr">
        <is>
          <t xml:space="preserve">-</t>
        </is>
      </c>
      <c r="E33" s="0" t="inlineStr">
        <is>
          <t xml:space="preserve">ddg_gfe_propulsion</t>
        </is>
      </c>
      <c r="F33" s="0" t="inlineStr">
        <is>
          <t xml:space="preserve">component_procurement</t>
        </is>
      </c>
      <c r="G33" s="0" t="inlineStr">
        <is>
          <t xml:space="preserve">EXCLUDE_GFE</t>
        </is>
      </c>
      <c r="H33" s="0" t="inlineStr">
        <is>
          <t xml:space="preserve">BC</t>
        </is>
      </c>
      <c r="I33" s="5">
        <v>1</v>
      </c>
      <c r="J33" s="5">
        <v>1</v>
      </c>
      <c r="K33" s="5">
        <v>1</v>
      </c>
      <c r="L33" s="5">
        <v>0</v>
      </c>
      <c r="M33" s="5">
        <v>67.589498</v>
      </c>
      <c r="N33" s="7">
        <v>0.0</v>
      </c>
      <c r="O33" s="7">
        <v>0.0</v>
      </c>
      <c r="P33" s="7">
        <v>0.0</v>
      </c>
      <c r="Q33" s="7">
        <v>0.0</v>
      </c>
    </row>
    <row r="34" outlineLevel="1">
      <c r="B34" s="0" t="inlineStr">
        <is>
          <t xml:space="preserve">2023-09-21</t>
        </is>
      </c>
      <c r="C34" s="0" t="inlineStr">
        <is>
          <t xml:space="preserve">-</t>
        </is>
      </c>
      <c r="D34" s="0" t="inlineStr">
        <is>
          <t xml:space="preserve">L3 Technologies Inc.</t>
        </is>
      </c>
      <c r="E34" s="0" t="inlineStr">
        <is>
          <t xml:space="preserve">ddg_gfe_combat_systems</t>
        </is>
      </c>
      <c r="F34" s="0" t="inlineStr">
        <is>
          <t xml:space="preserve">component_procurement</t>
        </is>
      </c>
      <c r="G34" s="0" t="inlineStr">
        <is>
          <t xml:space="preserve">EXCLUDE_GFE</t>
        </is>
      </c>
      <c r="H34" s="0" t="inlineStr">
        <is>
          <t xml:space="preserve">BC</t>
        </is>
      </c>
      <c r="I34" s="5">
        <v>1</v>
      </c>
      <c r="J34" s="5">
        <v>1</v>
      </c>
      <c r="K34" s="5">
        <v>1</v>
      </c>
      <c r="L34" s="5">
        <v>0</v>
      </c>
      <c r="M34" s="5">
        <v>67.428655</v>
      </c>
      <c r="N34" s="7">
        <v>0.0</v>
      </c>
      <c r="O34" s="7">
        <v>0.0</v>
      </c>
      <c r="P34" s="7">
        <v>1.0</v>
      </c>
      <c r="Q34" s="7">
        <v>0.0</v>
      </c>
    </row>
    <row r="35" outlineLevel="1">
      <c r="B35" s="0" t="inlineStr">
        <is>
          <t xml:space="preserve">2024-09-03</t>
        </is>
      </c>
      <c r="C35" s="0" t="inlineStr">
        <is>
          <t xml:space="preserve">N00024-15-C-5151</t>
        </is>
      </c>
      <c r="D35" s="0" t="inlineStr">
        <is>
          <t xml:space="preserve">Lockheed Martin Rotary and Mission Systems</t>
        </is>
      </c>
      <c r="E35" s="0" t="inlineStr">
        <is>
          <t xml:space="preserve">ddg_gfe_aegis</t>
        </is>
      </c>
      <c r="F35" s="0" t="inlineStr">
        <is>
          <t xml:space="preserve">component_procurement</t>
        </is>
      </c>
      <c r="G35" s="0" t="inlineStr">
        <is>
          <t xml:space="preserve">EXCLUDE_GFE</t>
        </is>
      </c>
      <c r="H35" s="0" t="inlineStr">
        <is>
          <t xml:space="preserve">BC</t>
        </is>
      </c>
      <c r="I35" s="5">
        <v>1</v>
      </c>
      <c r="J35" s="5">
        <v>1</v>
      </c>
      <c r="K35" s="5">
        <v>1</v>
      </c>
      <c r="L35" s="5">
        <v>0</v>
      </c>
      <c r="M35" s="5">
        <v>66.633889</v>
      </c>
      <c r="N35" s="7">
        <v>0.1</v>
      </c>
      <c r="O35" s="7">
        <v>0.09</v>
      </c>
      <c r="P35" s="7">
        <v>0.81</v>
      </c>
      <c r="Q35" s="7">
        <v>0.0</v>
      </c>
    </row>
    <row r="36" outlineLevel="1">
      <c r="B36" s="0" t="inlineStr">
        <is>
          <t xml:space="preserve">2025-12-02</t>
        </is>
      </c>
      <c r="C36" s="0" t="inlineStr">
        <is>
          <t xml:space="preserve">N00024-19-C-5603</t>
        </is>
      </c>
      <c r="D36" s="0" t="inlineStr">
        <is>
          <t xml:space="preserve">-</t>
        </is>
      </c>
      <c r="E36" s="0" t="inlineStr">
        <is>
          <t xml:space="preserve">ddg_gfe_aegis</t>
        </is>
      </c>
      <c r="F36" s="0" t="inlineStr">
        <is>
          <t xml:space="preserve">component_procurement</t>
        </is>
      </c>
      <c r="G36" s="0" t="inlineStr">
        <is>
          <t xml:space="preserve">EXCLUDE_GFE</t>
        </is>
      </c>
      <c r="H36" s="0" t="inlineStr">
        <is>
          <t xml:space="preserve">BC</t>
        </is>
      </c>
      <c r="I36" s="5">
        <v>1</v>
      </c>
      <c r="J36" s="5">
        <v>1</v>
      </c>
      <c r="K36" s="5">
        <v>1</v>
      </c>
      <c r="L36" s="5">
        <v>0</v>
      </c>
      <c r="M36" s="5">
        <v>64.131178</v>
      </c>
      <c r="N36" s="7">
        <v>0.0</v>
      </c>
      <c r="O36" s="7">
        <v>0.0</v>
      </c>
      <c r="P36" s="7">
        <v>1.0</v>
      </c>
      <c r="Q36" s="7">
        <v>0.0</v>
      </c>
    </row>
    <row r="37" outlineLevel="1">
      <c r="B37" s="0" t="inlineStr">
        <is>
          <t xml:space="preserve">2023-09-18</t>
        </is>
      </c>
      <c r="C37" s="0" t="inlineStr">
        <is>
          <t xml:space="preserve">N00024-23-C-5101</t>
        </is>
      </c>
      <c r="D37" s="0" t="inlineStr">
        <is>
          <t xml:space="preserve">Lockheed Martin Rotary and Mission Systems</t>
        </is>
      </c>
      <c r="E37" s="0" t="inlineStr">
        <is>
          <t xml:space="preserve">ddg_gfe_aegis</t>
        </is>
      </c>
      <c r="F37" s="0" t="inlineStr">
        <is>
          <t xml:space="preserve">component_procurement</t>
        </is>
      </c>
      <c r="G37" s="0" t="inlineStr">
        <is>
          <t xml:space="preserve">EXCLUDE_GFE</t>
        </is>
      </c>
      <c r="H37" s="0" t="inlineStr">
        <is>
          <t xml:space="preserve">BC</t>
        </is>
      </c>
      <c r="I37" s="5">
        <v>1</v>
      </c>
      <c r="J37" s="5">
        <v>1</v>
      </c>
      <c r="K37" s="5">
        <v>1</v>
      </c>
      <c r="L37" s="5">
        <v>0</v>
      </c>
      <c r="M37" s="5">
        <v>63.820154</v>
      </c>
      <c r="N37" s="7">
        <v>0.0</v>
      </c>
      <c r="O37" s="7">
        <v>0.0</v>
      </c>
      <c r="P37" s="7">
        <v>0.97</v>
      </c>
      <c r="Q37" s="7">
        <v>0.0</v>
      </c>
    </row>
    <row r="38" outlineLevel="1">
      <c r="B38" s="0" t="inlineStr">
        <is>
          <t xml:space="preserve">2024-12-13</t>
        </is>
      </c>
      <c r="C38" s="0" t="inlineStr">
        <is>
          <t xml:space="preserve">-</t>
        </is>
      </c>
      <c r="D38" s="0" t="inlineStr">
        <is>
          <t xml:space="preserve">-</t>
        </is>
      </c>
      <c r="E38" s="0" t="inlineStr">
        <is>
          <t xml:space="preserve">ddg_gfe_aegis</t>
        </is>
      </c>
      <c r="F38" s="0" t="inlineStr">
        <is>
          <t xml:space="preserve">component_procurement</t>
        </is>
      </c>
      <c r="G38" s="0" t="inlineStr">
        <is>
          <t xml:space="preserve">EXCLUDE_GFE</t>
        </is>
      </c>
      <c r="H38" s="0" t="inlineStr">
        <is>
          <t xml:space="preserve">BC</t>
        </is>
      </c>
      <c r="I38" s="5">
        <v>1</v>
      </c>
      <c r="J38" s="5">
        <v>1</v>
      </c>
      <c r="K38" s="5">
        <v>1</v>
      </c>
      <c r="L38" s="5">
        <v>0</v>
      </c>
      <c r="M38" s="5">
        <v>63.075265</v>
      </c>
      <c r="N38" s="7">
        <v>0.0</v>
      </c>
      <c r="O38" s="7">
        <v>0.0</v>
      </c>
      <c r="P38" s="7">
        <v>1.0</v>
      </c>
      <c r="Q38" s="7">
        <v>0.0</v>
      </c>
    </row>
    <row r="39" outlineLevel="1">
      <c r="B39" s="0" t="inlineStr">
        <is>
          <t xml:space="preserve">2024-01-04</t>
        </is>
      </c>
      <c r="C39" s="0" t="inlineStr">
        <is>
          <t xml:space="preserve">N00024-19-C-5603</t>
        </is>
      </c>
      <c r="D39" s="0" t="inlineStr">
        <is>
          <t xml:space="preserve">-</t>
        </is>
      </c>
      <c r="E39" s="0" t="inlineStr">
        <is>
          <t xml:space="preserve">ddg_gfe_aegis</t>
        </is>
      </c>
      <c r="F39" s="0" t="inlineStr">
        <is>
          <t xml:space="preserve">component_procurement</t>
        </is>
      </c>
      <c r="G39" s="0" t="inlineStr">
        <is>
          <t xml:space="preserve">EXCLUDE_GFE</t>
        </is>
      </c>
      <c r="H39" s="0" t="inlineStr">
        <is>
          <t xml:space="preserve">BC</t>
        </is>
      </c>
      <c r="I39" s="5">
        <v>1</v>
      </c>
      <c r="J39" s="5">
        <v>1</v>
      </c>
      <c r="K39" s="5">
        <v>1</v>
      </c>
      <c r="L39" s="5">
        <v>0</v>
      </c>
      <c r="M39" s="5">
        <v>61.763178</v>
      </c>
      <c r="N39" s="7">
        <v>0.0</v>
      </c>
      <c r="O39" s="7">
        <v>0.0</v>
      </c>
      <c r="P39" s="7">
        <v>1.0</v>
      </c>
      <c r="Q39" s="7">
        <v>0.0</v>
      </c>
    </row>
    <row r="40" outlineLevel="1">
      <c r="B40" s="0" t="inlineStr">
        <is>
          <t xml:space="preserve">2024-10-21</t>
        </is>
      </c>
      <c r="C40" s="0" t="inlineStr">
        <is>
          <t xml:space="preserve">N00024-25-C-5314</t>
        </is>
      </c>
      <c r="D40" s="0" t="inlineStr">
        <is>
          <t xml:space="preserve">Stark Aerospace Inc.</t>
        </is>
      </c>
      <c r="E40" s="0" t="inlineStr">
        <is>
          <t xml:space="preserve">ddg_gfe_vls</t>
        </is>
      </c>
      <c r="F40" s="0" t="inlineStr">
        <is>
          <t xml:space="preserve">component_procurement</t>
        </is>
      </c>
      <c r="G40" s="0" t="inlineStr">
        <is>
          <t xml:space="preserve">EXCLUDE_GFE</t>
        </is>
      </c>
      <c r="H40" s="0" t="inlineStr">
        <is>
          <t xml:space="preserve">BC</t>
        </is>
      </c>
      <c r="I40" s="5">
        <v>1</v>
      </c>
      <c r="J40" s="5">
        <v>1</v>
      </c>
      <c r="K40" s="5">
        <v>1</v>
      </c>
      <c r="L40" s="5">
        <v>0</v>
      </c>
      <c r="M40" s="5">
        <v>61.45423</v>
      </c>
      <c r="N40" s="7">
        <v>0.0</v>
      </c>
      <c r="O40" s="7">
        <v>0.0</v>
      </c>
      <c r="P40" s="7">
        <v>1.0</v>
      </c>
      <c r="Q40" s="7">
        <v>0.0</v>
      </c>
    </row>
    <row r="41" outlineLevel="1">
      <c r="B41" s="0" t="inlineStr">
        <is>
          <t xml:space="preserve">2023-09-06</t>
        </is>
      </c>
      <c r="C41" s="0" t="inlineStr">
        <is>
          <t xml:space="preserve">N00024-23-C-2305</t>
        </is>
      </c>
      <c r="D41" s="0" t="inlineStr">
        <is>
          <t xml:space="preserve">-</t>
        </is>
      </c>
      <c r="E41" s="0" t="inlineStr">
        <is>
          <t xml:space="preserve">ddg51</t>
        </is>
      </c>
      <c r="F41" s="0" t="inlineStr">
        <is>
          <t xml:space="preserve">construction</t>
        </is>
      </c>
      <c r="G41" s="0" t="inlineStr">
        <is>
          <t xml:space="preserve">INCLUDE_BC</t>
        </is>
      </c>
      <c r="H41" s="0" t="inlineStr">
        <is>
          <t xml:space="preserve">BC</t>
        </is>
      </c>
      <c r="I41" s="5">
        <v>1</v>
      </c>
      <c r="J41" s="5">
        <v>0</v>
      </c>
      <c r="K41" s="5">
        <v>1</v>
      </c>
      <c r="L41" s="5">
        <v>0</v>
      </c>
      <c r="M41" s="5">
        <v>61.08845</v>
      </c>
      <c r="N41" s="7">
        <v>0.0</v>
      </c>
      <c r="O41" s="7">
        <v>0.0</v>
      </c>
      <c r="P41" s="7">
        <v>0.0</v>
      </c>
      <c r="Q41" s="7">
        <v>0.0</v>
      </c>
    </row>
    <row r="42" outlineLevel="1">
      <c r="B42" s="0" t="inlineStr">
        <is>
          <t xml:space="preserve">2024-08-19</t>
        </is>
      </c>
      <c r="C42" s="0" t="inlineStr">
        <is>
          <t xml:space="preserve">N00024-20-C-5392</t>
        </is>
      </c>
      <c r="D42" s="0" t="inlineStr">
        <is>
          <t xml:space="preserve">Lockheed Martin Rotary and Mission Systems</t>
        </is>
      </c>
      <c r="E42" s="0" t="inlineStr">
        <is>
          <t xml:space="preserve">ddg_gfe_aegis</t>
        </is>
      </c>
      <c r="F42" s="0" t="inlineStr">
        <is>
          <t xml:space="preserve">component_procurement</t>
        </is>
      </c>
      <c r="G42" s="0" t="inlineStr">
        <is>
          <t xml:space="preserve">EXCLUDE_GFE</t>
        </is>
      </c>
      <c r="H42" s="0" t="inlineStr">
        <is>
          <t xml:space="preserve">BC</t>
        </is>
      </c>
      <c r="I42" s="5">
        <v>1</v>
      </c>
      <c r="J42" s="5">
        <v>1</v>
      </c>
      <c r="K42" s="5">
        <v>1</v>
      </c>
      <c r="L42" s="5">
        <v>0</v>
      </c>
      <c r="M42" s="5">
        <v>61.0</v>
      </c>
      <c r="N42" s="7">
        <v>0.0</v>
      </c>
      <c r="O42" s="7">
        <v>0.0</v>
      </c>
      <c r="P42" s="7">
        <v>1.0</v>
      </c>
      <c r="Q42" s="7">
        <v>0.0</v>
      </c>
    </row>
    <row r="43" outlineLevel="1">
      <c r="B43" s="0" t="inlineStr">
        <is>
          <t xml:space="preserve">2026-03-09</t>
        </is>
      </c>
      <c r="C43" s="0" t="inlineStr">
        <is>
          <t xml:space="preserve">N00104-26-D-0001</t>
        </is>
      </c>
      <c r="D43" s="0" t="inlineStr">
        <is>
          <t xml:space="preserve">-</t>
        </is>
      </c>
      <c r="E43" s="0" t="inlineStr">
        <is>
          <t xml:space="preserve">ddg_gfe_aegis</t>
        </is>
      </c>
      <c r="F43" s="0" t="inlineStr">
        <is>
          <t xml:space="preserve">component_procurement</t>
        </is>
      </c>
      <c r="G43" s="0" t="inlineStr">
        <is>
          <t xml:space="preserve">EXCLUDE_GFE</t>
        </is>
      </c>
      <c r="H43" s="0" t="inlineStr">
        <is>
          <t xml:space="preserve">BC</t>
        </is>
      </c>
      <c r="I43" s="5">
        <v>1</v>
      </c>
      <c r="J43" s="5">
        <v>1</v>
      </c>
      <c r="K43" s="5">
        <v>1</v>
      </c>
      <c r="L43" s="5">
        <v>0</v>
      </c>
      <c r="M43" s="5">
        <v>60.643363</v>
      </c>
      <c r="N43" s="7">
        <v>0.0</v>
      </c>
      <c r="O43" s="7">
        <v>0.0</v>
      </c>
      <c r="P43" s="7">
        <v>0.0</v>
      </c>
      <c r="Q43" s="7">
        <v>0.0</v>
      </c>
    </row>
    <row r="44" outlineLevel="1">
      <c r="B44" s="0" t="inlineStr">
        <is>
          <t xml:space="preserve">2023-12-06</t>
        </is>
      </c>
      <c r="C44" s="0" t="inlineStr">
        <is>
          <t xml:space="preserve">-</t>
        </is>
      </c>
      <c r="D44" s="0" t="inlineStr">
        <is>
          <t xml:space="preserve">Lockheed Martin Rotary and Mission Systems</t>
        </is>
      </c>
      <c r="E44" s="0" t="inlineStr">
        <is>
          <t xml:space="preserve">ddg_gfe_aegis</t>
        </is>
      </c>
      <c r="F44" s="0" t="inlineStr">
        <is>
          <t xml:space="preserve">component_procurement</t>
        </is>
      </c>
      <c r="G44" s="0" t="inlineStr">
        <is>
          <t xml:space="preserve">EXCLUDE_GFE</t>
        </is>
      </c>
      <c r="H44" s="0" t="inlineStr">
        <is>
          <t xml:space="preserve">BC</t>
        </is>
      </c>
      <c r="I44" s="5">
        <v>1</v>
      </c>
      <c r="J44" s="5">
        <v>1</v>
      </c>
      <c r="K44" s="5">
        <v>1</v>
      </c>
      <c r="L44" s="5">
        <v>0</v>
      </c>
      <c r="M44" s="5">
        <v>60.299575</v>
      </c>
      <c r="N44" s="7">
        <v>0.0</v>
      </c>
      <c r="O44" s="7">
        <v>0.0</v>
      </c>
      <c r="P44" s="7">
        <v>1.0</v>
      </c>
      <c r="Q44" s="7">
        <v>0.0</v>
      </c>
    </row>
    <row r="45" outlineLevel="1">
      <c r="B45" s="0" t="inlineStr">
        <is>
          <t xml:space="preserve">2025-12-30</t>
        </is>
      </c>
      <c r="C45" s="0" t="inlineStr">
        <is>
          <t xml:space="preserve">N00024-20-C-5392</t>
        </is>
      </c>
      <c r="D45" s="0" t="inlineStr">
        <is>
          <t xml:space="preserve">Lockheed Martin Rotary and Mission Systems</t>
        </is>
      </c>
      <c r="E45" s="0" t="inlineStr">
        <is>
          <t xml:space="preserve">ddg_gfe_aegis</t>
        </is>
      </c>
      <c r="F45" s="0" t="inlineStr">
        <is>
          <t xml:space="preserve">component_procurement</t>
        </is>
      </c>
      <c r="G45" s="0" t="inlineStr">
        <is>
          <t xml:space="preserve">EXCLUDE_GFE</t>
        </is>
      </c>
      <c r="H45" s="0" t="inlineStr">
        <is>
          <t xml:space="preserve">BC</t>
        </is>
      </c>
      <c r="I45" s="5">
        <v>1</v>
      </c>
      <c r="J45" s="5">
        <v>1</v>
      </c>
      <c r="K45" s="5">
        <v>1</v>
      </c>
      <c r="L45" s="5">
        <v>0</v>
      </c>
      <c r="M45" s="5">
        <v>60.06831</v>
      </c>
      <c r="N45" s="7">
        <v>0.0</v>
      </c>
      <c r="O45" s="7">
        <v>0.0</v>
      </c>
      <c r="P45" s="7">
        <v>0.9</v>
      </c>
      <c r="Q45" s="7">
        <v>0.0</v>
      </c>
    </row>
    <row r="46" outlineLevel="1">
      <c r="B46" s="0" t="inlineStr">
        <is>
          <t xml:space="preserve">2023-11-17</t>
        </is>
      </c>
      <c r="C46" s="0" t="inlineStr">
        <is>
          <t xml:space="preserve">N00024-24-C-2313</t>
        </is>
      </c>
      <c r="D46" s="0" t="inlineStr">
        <is>
          <t xml:space="preserve">-</t>
        </is>
      </c>
      <c r="E46" s="0" t="inlineStr">
        <is>
          <t xml:space="preserve">ddg51</t>
        </is>
      </c>
      <c r="F46" s="0" t="inlineStr">
        <is>
          <t xml:space="preserve">construction</t>
        </is>
      </c>
      <c r="G46" s="0" t="inlineStr">
        <is>
          <t xml:space="preserve">INCLUDE_BC</t>
        </is>
      </c>
      <c r="H46" s="0" t="inlineStr">
        <is>
          <t xml:space="preserve">BC</t>
        </is>
      </c>
      <c r="I46" s="5">
        <v>1</v>
      </c>
      <c r="J46" s="5">
        <v>0</v>
      </c>
      <c r="K46" s="5">
        <v>1</v>
      </c>
      <c r="L46" s="5">
        <v>0</v>
      </c>
      <c r="M46" s="5">
        <v>58.891505</v>
      </c>
      <c r="N46" s="7">
        <v>0.99</v>
      </c>
      <c r="O46" s="7">
        <v>0.0</v>
      </c>
      <c r="P46" s="7">
        <v>0.0</v>
      </c>
      <c r="Q46" s="7">
        <v>0.0</v>
      </c>
    </row>
    <row r="47" outlineLevel="1">
      <c r="B47" s="0" t="inlineStr">
        <is>
          <t xml:space="preserve">2026-01-15</t>
        </is>
      </c>
      <c r="C47" s="0" t="inlineStr">
        <is>
          <t xml:space="preserve">N00024-24-C-5131</t>
        </is>
      </c>
      <c r="D47" s="0" t="inlineStr">
        <is>
          <t xml:space="preserve">Lockheed Martin Rotary and Mission Systems</t>
        </is>
      </c>
      <c r="E47" s="0" t="inlineStr">
        <is>
          <t xml:space="preserve">ddg_gfe_aegis</t>
        </is>
      </c>
      <c r="F47" s="0" t="inlineStr">
        <is>
          <t xml:space="preserve">component_procurement</t>
        </is>
      </c>
      <c r="G47" s="0" t="inlineStr">
        <is>
          <t xml:space="preserve">EXCLUDE_GFE</t>
        </is>
      </c>
      <c r="H47" s="0" t="inlineStr">
        <is>
          <t xml:space="preserve">BC</t>
        </is>
      </c>
      <c r="I47" s="5">
        <v>1</v>
      </c>
      <c r="J47" s="5">
        <v>1</v>
      </c>
      <c r="K47" s="5">
        <v>1</v>
      </c>
      <c r="L47" s="5">
        <v>0</v>
      </c>
      <c r="M47" s="5">
        <v>57.379638</v>
      </c>
      <c r="N47" s="7">
        <v>0.0</v>
      </c>
      <c r="O47" s="7">
        <v>0.0</v>
      </c>
      <c r="P47" s="7">
        <v>1.0</v>
      </c>
      <c r="Q47" s="7">
        <v>0.0</v>
      </c>
    </row>
    <row r="48" outlineLevel="1">
      <c r="B48" s="0" t="inlineStr">
        <is>
          <t xml:space="preserve">2022-09-30</t>
        </is>
      </c>
      <c r="C48" s="0" t="inlineStr">
        <is>
          <t xml:space="preserve">-</t>
        </is>
      </c>
      <c r="D48" s="0" t="inlineStr">
        <is>
          <t xml:space="preserve">-</t>
        </is>
      </c>
      <c r="E48" s="0" t="inlineStr">
        <is>
          <t xml:space="preserve">ddg_gfe_aegis</t>
        </is>
      </c>
      <c r="F48" s="0" t="inlineStr">
        <is>
          <t xml:space="preserve">component_procurement</t>
        </is>
      </c>
      <c r="G48" s="0" t="inlineStr">
        <is>
          <t xml:space="preserve">EXCLUDE_GFE</t>
        </is>
      </c>
      <c r="H48" s="0" t="inlineStr">
        <is>
          <t xml:space="preserve">BC</t>
        </is>
      </c>
      <c r="I48" s="5">
        <v>1</v>
      </c>
      <c r="J48" s="5">
        <v>1</v>
      </c>
      <c r="K48" s="5">
        <v>1</v>
      </c>
      <c r="L48" s="5">
        <v>0</v>
      </c>
      <c r="M48" s="5">
        <v>56.911091</v>
      </c>
      <c r="N48" s="7">
        <v>0.0</v>
      </c>
      <c r="O48" s="7">
        <v>0.0</v>
      </c>
      <c r="P48" s="7">
        <v>1.0</v>
      </c>
      <c r="Q48" s="7">
        <v>0.0</v>
      </c>
    </row>
    <row r="49" outlineLevel="1">
      <c r="B49" s="0" t="inlineStr">
        <is>
          <t xml:space="preserve">2025-11-12</t>
        </is>
      </c>
      <c r="C49" s="0" t="inlineStr">
        <is>
          <t xml:space="preserve">N00024-22-C-5500</t>
        </is>
      </c>
      <c r="D49" s="0" t="inlineStr">
        <is>
          <t xml:space="preserve">-</t>
        </is>
      </c>
      <c r="E49" s="0" t="inlineStr">
        <is>
          <t xml:space="preserve">ddg_gfe_radar</t>
        </is>
      </c>
      <c r="F49" s="0" t="inlineStr">
        <is>
          <t xml:space="preserve">component_procurement</t>
        </is>
      </c>
      <c r="G49" s="0" t="inlineStr">
        <is>
          <t xml:space="preserve">EXCLUDE_GFE</t>
        </is>
      </c>
      <c r="H49" s="0" t="inlineStr">
        <is>
          <t xml:space="preserve">BC</t>
        </is>
      </c>
      <c r="I49" s="5">
        <v>1</v>
      </c>
      <c r="J49" s="5">
        <v>1</v>
      </c>
      <c r="K49" s="5">
        <v>1</v>
      </c>
      <c r="L49" s="5">
        <v>0</v>
      </c>
      <c r="M49" s="5">
        <v>53.793482</v>
      </c>
      <c r="N49" s="7">
        <v>0.0</v>
      </c>
      <c r="O49" s="7">
        <v>0.0</v>
      </c>
      <c r="P49" s="7">
        <v>1.0</v>
      </c>
      <c r="Q49" s="7">
        <v>0.0</v>
      </c>
    </row>
    <row r="50" outlineLevel="1">
      <c r="B50" s="0" t="inlineStr">
        <is>
          <t xml:space="preserve">2025-08-21</t>
        </is>
      </c>
      <c r="C50" s="0" t="inlineStr">
        <is>
          <t xml:space="preserve">N00024-22-C-5500</t>
        </is>
      </c>
      <c r="D50" s="0" t="inlineStr">
        <is>
          <t xml:space="preserve">Raytheon Missiles &amp; Defense</t>
        </is>
      </c>
      <c r="E50" s="0" t="inlineStr">
        <is>
          <t xml:space="preserve">ddg_gfe_radar</t>
        </is>
      </c>
      <c r="F50" s="0" t="inlineStr">
        <is>
          <t xml:space="preserve">component_procurement</t>
        </is>
      </c>
      <c r="G50" s="0" t="inlineStr">
        <is>
          <t xml:space="preserve">EXCLUDE_GFE</t>
        </is>
      </c>
      <c r="H50" s="0" t="inlineStr">
        <is>
          <t xml:space="preserve">BC</t>
        </is>
      </c>
      <c r="I50" s="5">
        <v>1</v>
      </c>
      <c r="J50" s="5">
        <v>1</v>
      </c>
      <c r="K50" s="5">
        <v>1</v>
      </c>
      <c r="L50" s="5">
        <v>0</v>
      </c>
      <c r="M50" s="5">
        <v>52.981009</v>
      </c>
      <c r="N50" s="7">
        <v>0.0</v>
      </c>
      <c r="O50" s="7">
        <v>0.0</v>
      </c>
      <c r="P50" s="7">
        <v>0.81</v>
      </c>
      <c r="Q50" s="7">
        <v>0.0</v>
      </c>
    </row>
    <row r="51" outlineLevel="1">
      <c r="B51" s="0" t="inlineStr">
        <is>
          <t xml:space="preserve">2025-09-03</t>
        </is>
      </c>
      <c r="C51" s="0" t="inlineStr">
        <is>
          <t xml:space="preserve">N00024-15-C-5151</t>
        </is>
      </c>
      <c r="D51" s="0" t="inlineStr">
        <is>
          <t xml:space="preserve">-</t>
        </is>
      </c>
      <c r="E51" s="0" t="inlineStr">
        <is>
          <t xml:space="preserve">ddg_gfe_aegis</t>
        </is>
      </c>
      <c r="F51" s="0" t="inlineStr">
        <is>
          <t xml:space="preserve">component_procurement</t>
        </is>
      </c>
      <c r="G51" s="0" t="inlineStr">
        <is>
          <t xml:space="preserve">EXCLUDE_GFE</t>
        </is>
      </c>
      <c r="H51" s="0" t="inlineStr">
        <is>
          <t xml:space="preserve">BC</t>
        </is>
      </c>
      <c r="I51" s="5">
        <v>1</v>
      </c>
      <c r="J51" s="5">
        <v>1</v>
      </c>
      <c r="K51" s="5">
        <v>1</v>
      </c>
      <c r="L51" s="5">
        <v>0</v>
      </c>
      <c r="M51" s="5">
        <v>52.966176</v>
      </c>
      <c r="N51" s="7">
        <v>0.1</v>
      </c>
      <c r="O51" s="7">
        <v>0.09</v>
      </c>
      <c r="P51" s="7">
        <v>0.81</v>
      </c>
      <c r="Q51" s="7">
        <v>0.0</v>
      </c>
    </row>
    <row r="52" outlineLevel="1">
      <c r="B52" s="0" t="inlineStr">
        <is>
          <t xml:space="preserve">2024-06-28</t>
        </is>
      </c>
      <c r="C52" s="0" t="inlineStr">
        <is>
          <t xml:space="preserve">N00024-23-C-5325</t>
        </is>
      </c>
      <c r="D52" s="0" t="inlineStr">
        <is>
          <t xml:space="preserve">Lockheed Martin Rotary and Mission Systems</t>
        </is>
      </c>
      <c r="E52" s="0" t="inlineStr">
        <is>
          <t xml:space="preserve">ddg_gfe_aegis</t>
        </is>
      </c>
      <c r="F52" s="0" t="inlineStr">
        <is>
          <t xml:space="preserve">component_procurement</t>
        </is>
      </c>
      <c r="G52" s="0" t="inlineStr">
        <is>
          <t xml:space="preserve">EXCLUDE_GFE</t>
        </is>
      </c>
      <c r="H52" s="0" t="inlineStr">
        <is>
          <t xml:space="preserve">BC</t>
        </is>
      </c>
      <c r="I52" s="5">
        <v>1</v>
      </c>
      <c r="J52" s="5">
        <v>1</v>
      </c>
      <c r="K52" s="5">
        <v>1</v>
      </c>
      <c r="L52" s="5">
        <v>0</v>
      </c>
      <c r="M52" s="5">
        <v>50.462612</v>
      </c>
      <c r="N52" s="7">
        <v>0.0</v>
      </c>
      <c r="O52" s="7">
        <v>0.0</v>
      </c>
      <c r="P52" s="7">
        <v>0.77</v>
      </c>
      <c r="Q52" s="7">
        <v>0.0</v>
      </c>
    </row>
    <row r="53" outlineLevel="1">
      <c r="B53" s="0" t="inlineStr">
        <is>
          <t xml:space="preserve">2025-07-10</t>
        </is>
      </c>
      <c r="C53" s="0" t="inlineStr">
        <is>
          <t xml:space="preserve">N00024-24-C-5324</t>
        </is>
      </c>
      <c r="D53" s="0" t="inlineStr">
        <is>
          <t xml:space="preserve">BAE Systems Land &amp; Armaments L.P</t>
        </is>
      </c>
      <c r="E53" s="0" t="inlineStr">
        <is>
          <t xml:space="preserve">ddg_gfe_vls</t>
        </is>
      </c>
      <c r="F53" s="0" t="inlineStr">
        <is>
          <t xml:space="preserve">component_procurement</t>
        </is>
      </c>
      <c r="G53" s="0" t="inlineStr">
        <is>
          <t xml:space="preserve">EXCLUDE_GFE</t>
        </is>
      </c>
      <c r="H53" s="0" t="inlineStr">
        <is>
          <t xml:space="preserve">BC</t>
        </is>
      </c>
      <c r="I53" s="5">
        <v>1</v>
      </c>
      <c r="J53" s="5">
        <v>1</v>
      </c>
      <c r="K53" s="5">
        <v>1</v>
      </c>
      <c r="L53" s="5">
        <v>0</v>
      </c>
      <c r="M53" s="5">
        <v>48.035288</v>
      </c>
      <c r="N53" s="7">
        <v>0.0</v>
      </c>
      <c r="O53" s="7">
        <v>0.0</v>
      </c>
      <c r="P53" s="7">
        <v>1.0</v>
      </c>
      <c r="Q53" s="7">
        <v>0.0</v>
      </c>
    </row>
    <row r="54" outlineLevel="1">
      <c r="B54" s="0" t="inlineStr">
        <is>
          <t xml:space="preserve">2024-07-31</t>
        </is>
      </c>
      <c r="C54" s="0" t="inlineStr">
        <is>
          <t xml:space="preserve">N00024-24-F-5322</t>
        </is>
      </c>
      <c r="D54" s="0" t="inlineStr">
        <is>
          <t xml:space="preserve">BAE Systems Land &amp; Armaments L.P.</t>
        </is>
      </c>
      <c r="E54" s="0" t="inlineStr">
        <is>
          <t xml:space="preserve">ddg_gfe_guns</t>
        </is>
      </c>
      <c r="F54" s="0" t="inlineStr">
        <is>
          <t xml:space="preserve">component_procurement</t>
        </is>
      </c>
      <c r="G54" s="0" t="inlineStr">
        <is>
          <t xml:space="preserve">EXCLUDE_GFE</t>
        </is>
      </c>
      <c r="H54" s="0" t="inlineStr">
        <is>
          <t xml:space="preserve">BC</t>
        </is>
      </c>
      <c r="I54" s="5">
        <v>1</v>
      </c>
      <c r="J54" s="5">
        <v>1</v>
      </c>
      <c r="K54" s="5">
        <v>1</v>
      </c>
      <c r="L54" s="5">
        <v>0</v>
      </c>
      <c r="M54" s="5">
        <v>47.0</v>
      </c>
      <c r="N54" s="7">
        <v>0.0</v>
      </c>
      <c r="O54" s="7">
        <v>0.0</v>
      </c>
      <c r="P54" s="7">
        <v>1.0</v>
      </c>
      <c r="Q54" s="7">
        <v>0.0</v>
      </c>
    </row>
    <row r="55" outlineLevel="1">
      <c r="B55" s="0" t="inlineStr">
        <is>
          <t xml:space="preserve">2024-03-27</t>
        </is>
      </c>
      <c r="C55" s="0" t="inlineStr">
        <is>
          <t xml:space="preserve">N00024-23-C-5101</t>
        </is>
      </c>
      <c r="D55" s="0" t="inlineStr">
        <is>
          <t xml:space="preserve">Lockheed Martin Rotary and Mission Systems</t>
        </is>
      </c>
      <c r="E55" s="0" t="inlineStr">
        <is>
          <t xml:space="preserve">ddg_gfe_aegis</t>
        </is>
      </c>
      <c r="F55" s="0" t="inlineStr">
        <is>
          <t xml:space="preserve">component_procurement</t>
        </is>
      </c>
      <c r="G55" s="0" t="inlineStr">
        <is>
          <t xml:space="preserve">EXCLUDE_GFE</t>
        </is>
      </c>
      <c r="H55" s="0" t="inlineStr">
        <is>
          <t xml:space="preserve">BC</t>
        </is>
      </c>
      <c r="I55" s="5">
        <v>1</v>
      </c>
      <c r="J55" s="5">
        <v>1</v>
      </c>
      <c r="K55" s="5">
        <v>1</v>
      </c>
      <c r="L55" s="5">
        <v>0</v>
      </c>
      <c r="M55" s="5">
        <v>46.882249</v>
      </c>
      <c r="N55" s="7">
        <v>0.0</v>
      </c>
      <c r="O55" s="7">
        <v>0.0</v>
      </c>
      <c r="P55" s="7">
        <v>1.0</v>
      </c>
      <c r="Q55" s="7">
        <v>0.0</v>
      </c>
    </row>
    <row r="56" outlineLevel="1">
      <c r="B56" s="0" t="inlineStr">
        <is>
          <t xml:space="preserve">2024-02-20</t>
        </is>
      </c>
      <c r="C56" s="0" t="inlineStr">
        <is>
          <t xml:space="preserve">-</t>
        </is>
      </c>
      <c r="D56" s="0" t="inlineStr">
        <is>
          <t xml:space="preserve">-</t>
        </is>
      </c>
      <c r="E56" s="0" t="inlineStr">
        <is>
          <t xml:space="preserve">ddg_gfe_aegis</t>
        </is>
      </c>
      <c r="F56" s="0" t="inlineStr">
        <is>
          <t xml:space="preserve">component_procurement</t>
        </is>
      </c>
      <c r="G56" s="0" t="inlineStr">
        <is>
          <t xml:space="preserve">EXCLUDE_GFE</t>
        </is>
      </c>
      <c r="H56" s="0" t="inlineStr">
        <is>
          <t xml:space="preserve">BC</t>
        </is>
      </c>
      <c r="I56" s="5">
        <v>1</v>
      </c>
      <c r="J56" s="5">
        <v>1</v>
      </c>
      <c r="K56" s="5">
        <v>1</v>
      </c>
      <c r="L56" s="5">
        <v>0</v>
      </c>
      <c r="M56" s="5">
        <v>46.578579</v>
      </c>
      <c r="N56" s="7">
        <v>0.0</v>
      </c>
      <c r="O56" s="7">
        <v>0.0</v>
      </c>
      <c r="P56" s="7">
        <v>0.0</v>
      </c>
      <c r="Q56" s="7">
        <v>0.0</v>
      </c>
    </row>
    <row r="57" outlineLevel="1">
      <c r="B57" s="0" t="inlineStr">
        <is>
          <t xml:space="preserve">2024-02-29</t>
        </is>
      </c>
      <c r="C57" s="0" t="inlineStr">
        <is>
          <t xml:space="preserve">N64498-24-D-4006</t>
        </is>
      </c>
      <c r="D57" s="0" t="inlineStr">
        <is>
          <t xml:space="preserve">-</t>
        </is>
      </c>
      <c r="E57" s="0" t="inlineStr">
        <is>
          <t xml:space="preserve">ddg_gfe_propulsion</t>
        </is>
      </c>
      <c r="F57" s="0" t="inlineStr">
        <is>
          <t xml:space="preserve">component_procurement</t>
        </is>
      </c>
      <c r="G57" s="0" t="inlineStr">
        <is>
          <t xml:space="preserve">EXCLUDE_GFE</t>
        </is>
      </c>
      <c r="H57" s="0" t="inlineStr">
        <is>
          <t xml:space="preserve">BC</t>
        </is>
      </c>
      <c r="I57" s="5">
        <v>1</v>
      </c>
      <c r="J57" s="5">
        <v>1</v>
      </c>
      <c r="K57" s="5">
        <v>1</v>
      </c>
      <c r="L57" s="5">
        <v>0</v>
      </c>
      <c r="M57" s="5">
        <v>45.643682</v>
      </c>
      <c r="N57" s="7">
        <v>0.0</v>
      </c>
      <c r="O57" s="7">
        <v>0.0</v>
      </c>
      <c r="P57" s="7">
        <v>0.0</v>
      </c>
      <c r="Q57" s="7">
        <v>0.0</v>
      </c>
    </row>
    <row r="58" outlineLevel="1">
      <c r="B58" s="0" t="inlineStr">
        <is>
          <t xml:space="preserve">2024-05-31</t>
        </is>
      </c>
      <c r="C58" s="0" t="inlineStr">
        <is>
          <t xml:space="preserve">N00024-23-C-5123</t>
        </is>
      </c>
      <c r="D58" s="0" t="inlineStr">
        <is>
          <t xml:space="preserve">Lockheed Martin Rotary and Mission Systems</t>
        </is>
      </c>
      <c r="E58" s="0" t="inlineStr">
        <is>
          <t xml:space="preserve">ddg_gfe_aegis</t>
        </is>
      </c>
      <c r="F58" s="0" t="inlineStr">
        <is>
          <t xml:space="preserve">component_procurement</t>
        </is>
      </c>
      <c r="G58" s="0" t="inlineStr">
        <is>
          <t xml:space="preserve">EXCLUDE_GFE</t>
        </is>
      </c>
      <c r="H58" s="0" t="inlineStr">
        <is>
          <t xml:space="preserve">BC</t>
        </is>
      </c>
      <c r="I58" s="5">
        <v>1</v>
      </c>
      <c r="J58" s="5">
        <v>1</v>
      </c>
      <c r="K58" s="5">
        <v>1</v>
      </c>
      <c r="L58" s="5">
        <v>0</v>
      </c>
      <c r="M58" s="5">
        <v>44.896319</v>
      </c>
      <c r="N58" s="7">
        <v>0.0</v>
      </c>
      <c r="O58" s="7">
        <v>0.0</v>
      </c>
      <c r="P58" s="7">
        <v>1.0</v>
      </c>
      <c r="Q58" s="7">
        <v>0.0</v>
      </c>
    </row>
    <row r="59" outlineLevel="1">
      <c r="B59" s="0" t="inlineStr">
        <is>
          <t xml:space="preserve">2024-03-21</t>
        </is>
      </c>
      <c r="C59" s="0" t="inlineStr">
        <is>
          <t xml:space="preserve">N00024-19-C-4452</t>
        </is>
      </c>
      <c r="D59" s="0" t="inlineStr">
        <is>
          <t xml:space="preserve">General Dynamics Bath Iron Works</t>
        </is>
      </c>
      <c r="E59" s="0" t="inlineStr">
        <is>
          <t xml:space="preserve">ddg51</t>
        </is>
      </c>
      <c r="F59" s="0" t="inlineStr">
        <is>
          <t xml:space="preserve">construction</t>
        </is>
      </c>
      <c r="G59" s="0" t="inlineStr">
        <is>
          <t xml:space="preserve">INCLUDE_BC</t>
        </is>
      </c>
      <c r="H59" s="0" t="inlineStr">
        <is>
          <t xml:space="preserve">BC</t>
        </is>
      </c>
      <c r="I59" s="5">
        <v>1</v>
      </c>
      <c r="J59" s="5">
        <v>0</v>
      </c>
      <c r="K59" s="5">
        <v>1</v>
      </c>
      <c r="L59" s="5">
        <v>0</v>
      </c>
      <c r="M59" s="5">
        <v>44.492212</v>
      </c>
      <c r="N59" s="7">
        <v>1.0</v>
      </c>
      <c r="O59" s="7">
        <v>0.0</v>
      </c>
      <c r="P59" s="7">
        <v>0.0</v>
      </c>
      <c r="Q59" s="7">
        <v>0.0</v>
      </c>
    </row>
    <row r="60" outlineLevel="1">
      <c r="B60" s="0" t="inlineStr">
        <is>
          <t xml:space="preserve">2024-02-20</t>
        </is>
      </c>
      <c r="C60" s="0" t="inlineStr">
        <is>
          <t xml:space="preserve">N00024-22-G-5311</t>
        </is>
      </c>
      <c r="D60" s="0" t="inlineStr">
        <is>
          <t xml:space="preserve">Raytheon Missiles and Defense</t>
        </is>
      </c>
      <c r="E60" s="0" t="inlineStr">
        <is>
          <t xml:space="preserve">ddg_gfe_aegis</t>
        </is>
      </c>
      <c r="F60" s="0" t="inlineStr">
        <is>
          <t xml:space="preserve">component_procurement</t>
        </is>
      </c>
      <c r="G60" s="0" t="inlineStr">
        <is>
          <t xml:space="preserve">EXCLUDE_GFE</t>
        </is>
      </c>
      <c r="H60" s="0" t="inlineStr">
        <is>
          <t xml:space="preserve">BC</t>
        </is>
      </c>
      <c r="I60" s="5">
        <v>1</v>
      </c>
      <c r="J60" s="5">
        <v>1</v>
      </c>
      <c r="K60" s="5">
        <v>1</v>
      </c>
      <c r="L60" s="5">
        <v>0</v>
      </c>
      <c r="M60" s="5">
        <v>38.151861</v>
      </c>
      <c r="N60" s="7">
        <v>0.0</v>
      </c>
      <c r="O60" s="7">
        <v>0.0</v>
      </c>
      <c r="P60" s="7">
        <v>1.0</v>
      </c>
      <c r="Q60" s="7">
        <v>0.0</v>
      </c>
    </row>
    <row r="61" outlineLevel="1">
      <c r="B61" s="0" t="inlineStr">
        <is>
          <t xml:space="preserve">2026-04-10</t>
        </is>
      </c>
      <c r="C61" s="0" t="inlineStr">
        <is>
          <t xml:space="preserve">N00024-15-C-5151</t>
        </is>
      </c>
      <c r="D61" s="0" t="inlineStr">
        <is>
          <t xml:space="preserve">-</t>
        </is>
      </c>
      <c r="E61" s="0" t="inlineStr">
        <is>
          <t xml:space="preserve">ddg_gfe_aegis</t>
        </is>
      </c>
      <c r="F61" s="0" t="inlineStr">
        <is>
          <t xml:space="preserve">component_procurement</t>
        </is>
      </c>
      <c r="G61" s="0" t="inlineStr">
        <is>
          <t xml:space="preserve">EXCLUDE_GFE</t>
        </is>
      </c>
      <c r="H61" s="0" t="inlineStr">
        <is>
          <t xml:space="preserve">BC</t>
        </is>
      </c>
      <c r="I61" s="5">
        <v>1</v>
      </c>
      <c r="J61" s="5">
        <v>1</v>
      </c>
      <c r="K61" s="5">
        <v>1</v>
      </c>
      <c r="L61" s="5">
        <v>0</v>
      </c>
      <c r="M61" s="5">
        <v>36.43922</v>
      </c>
      <c r="N61" s="7">
        <v>0.1</v>
      </c>
      <c r="O61" s="7">
        <v>0.09</v>
      </c>
      <c r="P61" s="7">
        <v>0.81</v>
      </c>
      <c r="Q61" s="7">
        <v>0.0</v>
      </c>
    </row>
    <row r="62" outlineLevel="1">
      <c r="B62" s="0" t="inlineStr">
        <is>
          <t xml:space="preserve">2025-12-05</t>
        </is>
      </c>
      <c r="C62" s="0" t="inlineStr">
        <is>
          <t xml:space="preserve">N00024-24-C-2312</t>
        </is>
      </c>
      <c r="D62" s="0" t="inlineStr">
        <is>
          <t xml:space="preserve">Huntington Ingalls Inc.</t>
        </is>
      </c>
      <c r="E62" s="0" t="inlineStr">
        <is>
          <t xml:space="preserve">ddg51</t>
        </is>
      </c>
      <c r="F62" s="0" t="inlineStr">
        <is>
          <t xml:space="preserve">construction</t>
        </is>
      </c>
      <c r="G62" s="0" t="inlineStr">
        <is>
          <t xml:space="preserve">INCLUDE_BC</t>
        </is>
      </c>
      <c r="H62" s="0" t="inlineStr">
        <is>
          <t xml:space="preserve">BC</t>
        </is>
      </c>
      <c r="I62" s="5">
        <v>1</v>
      </c>
      <c r="J62" s="5">
        <v>0</v>
      </c>
      <c r="K62" s="5">
        <v>1</v>
      </c>
      <c r="L62" s="5">
        <v>0</v>
      </c>
      <c r="M62" s="5">
        <v>36.38761</v>
      </c>
      <c r="N62" s="7">
        <v>0.0</v>
      </c>
      <c r="O62" s="7">
        <v>0.98</v>
      </c>
      <c r="P62" s="7">
        <v>0.0</v>
      </c>
      <c r="Q62" s="7">
        <v>0.0</v>
      </c>
    </row>
    <row r="63" outlineLevel="1">
      <c r="B63" s="0" t="inlineStr">
        <is>
          <t xml:space="preserve">2025-09-29</t>
        </is>
      </c>
      <c r="C63" s="0" t="inlineStr">
        <is>
          <t xml:space="preserve">N00024-13-C-5116</t>
        </is>
      </c>
      <c r="D63" s="0" t="inlineStr">
        <is>
          <t xml:space="preserve">Lockheed Martin Rotary and Mission Systems</t>
        </is>
      </c>
      <c r="E63" s="0" t="inlineStr">
        <is>
          <t xml:space="preserve">ddg_gfe_aegis</t>
        </is>
      </c>
      <c r="F63" s="0" t="inlineStr">
        <is>
          <t xml:space="preserve">component_procurement</t>
        </is>
      </c>
      <c r="G63" s="0" t="inlineStr">
        <is>
          <t xml:space="preserve">EXCLUDE_GFE</t>
        </is>
      </c>
      <c r="H63" s="0" t="inlineStr">
        <is>
          <t xml:space="preserve">BC</t>
        </is>
      </c>
      <c r="I63" s="5">
        <v>1</v>
      </c>
      <c r="J63" s="5">
        <v>1</v>
      </c>
      <c r="K63" s="5">
        <v>1</v>
      </c>
      <c r="L63" s="5">
        <v>0</v>
      </c>
      <c r="M63" s="5">
        <v>35.517687</v>
      </c>
      <c r="N63" s="7">
        <v>0.0</v>
      </c>
      <c r="O63" s="7">
        <v>0.0</v>
      </c>
      <c r="P63" s="7">
        <v>0.0</v>
      </c>
      <c r="Q63" s="7">
        <v>0.0</v>
      </c>
    </row>
    <row r="64" outlineLevel="1">
      <c r="B64" s="0" t="inlineStr">
        <is>
          <t xml:space="preserve">2024-03-04</t>
        </is>
      </c>
      <c r="C64" s="0" t="inlineStr">
        <is>
          <t xml:space="preserve">N00024-24-C-5131</t>
        </is>
      </c>
      <c r="D64" s="0" t="inlineStr">
        <is>
          <t xml:space="preserve">-</t>
        </is>
      </c>
      <c r="E64" s="0" t="inlineStr">
        <is>
          <t xml:space="preserve">ddg_gfe_aegis</t>
        </is>
      </c>
      <c r="F64" s="0" t="inlineStr">
        <is>
          <t xml:space="preserve">component_procurement</t>
        </is>
      </c>
      <c r="G64" s="0" t="inlineStr">
        <is>
          <t xml:space="preserve">EXCLUDE_GFE</t>
        </is>
      </c>
      <c r="H64" s="0" t="inlineStr">
        <is>
          <t xml:space="preserve">BC</t>
        </is>
      </c>
      <c r="I64" s="5">
        <v>1</v>
      </c>
      <c r="J64" s="5">
        <v>1</v>
      </c>
      <c r="K64" s="5">
        <v>1</v>
      </c>
      <c r="L64" s="5">
        <v>0</v>
      </c>
      <c r="M64" s="5">
        <v>34.142015</v>
      </c>
      <c r="N64" s="7">
        <v>0.0</v>
      </c>
      <c r="O64" s="7">
        <v>0.0</v>
      </c>
      <c r="P64" s="7">
        <v>1.0</v>
      </c>
      <c r="Q64" s="7">
        <v>0.0</v>
      </c>
    </row>
    <row r="65" outlineLevel="1">
      <c r="B65" s="0" t="inlineStr">
        <is>
          <t xml:space="preserve">2025-03-31</t>
        </is>
      </c>
      <c r="C65" s="0" t="inlineStr">
        <is>
          <t xml:space="preserve">N00024-23-C-5101</t>
        </is>
      </c>
      <c r="D65" s="0" t="inlineStr">
        <is>
          <t xml:space="preserve">Lockheed Martin Rotary and Mission Systems</t>
        </is>
      </c>
      <c r="E65" s="0" t="inlineStr">
        <is>
          <t xml:space="preserve">ddg_gfe_aegis</t>
        </is>
      </c>
      <c r="F65" s="0" t="inlineStr">
        <is>
          <t xml:space="preserve">component_procurement</t>
        </is>
      </c>
      <c r="G65" s="0" t="inlineStr">
        <is>
          <t xml:space="preserve">EXCLUDE_GFE</t>
        </is>
      </c>
      <c r="H65" s="0" t="inlineStr">
        <is>
          <t xml:space="preserve">BC</t>
        </is>
      </c>
      <c r="I65" s="5">
        <v>1</v>
      </c>
      <c r="J65" s="5">
        <v>1</v>
      </c>
      <c r="K65" s="5">
        <v>1</v>
      </c>
      <c r="L65" s="5">
        <v>0</v>
      </c>
      <c r="M65" s="5">
        <v>34.004309</v>
      </c>
      <c r="N65" s="7">
        <v>0.0</v>
      </c>
      <c r="O65" s="7">
        <v>0.0</v>
      </c>
      <c r="P65" s="7">
        <v>1.0</v>
      </c>
      <c r="Q65" s="7">
        <v>0.0</v>
      </c>
    </row>
    <row r="66" outlineLevel="1">
      <c r="B66" s="0" t="inlineStr">
        <is>
          <t xml:space="preserve">2023-11-17</t>
        </is>
      </c>
      <c r="C66" s="0" t="inlineStr">
        <is>
          <t xml:space="preserve">N00024-23-C-5123</t>
        </is>
      </c>
      <c r="D66" s="0" t="inlineStr">
        <is>
          <t xml:space="preserve">Lockheed Martin Rotary and Mission Systems</t>
        </is>
      </c>
      <c r="E66" s="0" t="inlineStr">
        <is>
          <t xml:space="preserve">ddg_gfe_aegis</t>
        </is>
      </c>
      <c r="F66" s="0" t="inlineStr">
        <is>
          <t xml:space="preserve">component_procurement</t>
        </is>
      </c>
      <c r="G66" s="0" t="inlineStr">
        <is>
          <t xml:space="preserve">EXCLUDE_GFE</t>
        </is>
      </c>
      <c r="H66" s="0" t="inlineStr">
        <is>
          <t xml:space="preserve">BC</t>
        </is>
      </c>
      <c r="I66" s="5">
        <v>1</v>
      </c>
      <c r="J66" s="5">
        <v>1</v>
      </c>
      <c r="K66" s="5">
        <v>1</v>
      </c>
      <c r="L66" s="5">
        <v>0</v>
      </c>
      <c r="M66" s="5">
        <v>30.478466</v>
      </c>
      <c r="N66" s="7">
        <v>0.0</v>
      </c>
      <c r="O66" s="7">
        <v>0.0</v>
      </c>
      <c r="P66" s="7">
        <v>1.0</v>
      </c>
      <c r="Q66" s="7">
        <v>0.0</v>
      </c>
    </row>
    <row r="67" outlineLevel="1">
      <c r="B67" s="0" t="inlineStr">
        <is>
          <t xml:space="preserve">2024-09-19</t>
        </is>
      </c>
      <c r="C67" s="0" t="inlineStr">
        <is>
          <t xml:space="preserve">N00024-20-C-5101</t>
        </is>
      </c>
      <c r="D67" s="0" t="inlineStr">
        <is>
          <t xml:space="preserve">Lockheed Martin Rotary and Mission Systems</t>
        </is>
      </c>
      <c r="E67" s="0" t="inlineStr">
        <is>
          <t xml:space="preserve">ddg_gfe_aegis</t>
        </is>
      </c>
      <c r="F67" s="0" t="inlineStr">
        <is>
          <t xml:space="preserve">component_procurement</t>
        </is>
      </c>
      <c r="G67" s="0" t="inlineStr">
        <is>
          <t xml:space="preserve">EXCLUDE_GFE</t>
        </is>
      </c>
      <c r="H67" s="0" t="inlineStr">
        <is>
          <t xml:space="preserve">BC</t>
        </is>
      </c>
      <c r="I67" s="5">
        <v>1</v>
      </c>
      <c r="J67" s="5">
        <v>1</v>
      </c>
      <c r="K67" s="5">
        <v>1</v>
      </c>
      <c r="L67" s="5">
        <v>0</v>
      </c>
      <c r="M67" s="5">
        <v>30.208</v>
      </c>
      <c r="N67" s="7">
        <v>0.0</v>
      </c>
      <c r="O67" s="7">
        <v>0.0</v>
      </c>
      <c r="P67" s="7">
        <v>1.0</v>
      </c>
      <c r="Q67" s="7">
        <v>0.0</v>
      </c>
    </row>
    <row r="68" outlineLevel="1">
      <c r="B68" s="0" t="inlineStr">
        <is>
          <t xml:space="preserve">2025-07-03</t>
        </is>
      </c>
      <c r="C68" s="0" t="inlineStr">
        <is>
          <t xml:space="preserve">N00024-19-C-5102</t>
        </is>
      </c>
      <c r="D68" s="0" t="inlineStr">
        <is>
          <t xml:space="preserve">-</t>
        </is>
      </c>
      <c r="E68" s="0" t="inlineStr">
        <is>
          <t xml:space="preserve">ddg_gfe_aegis</t>
        </is>
      </c>
      <c r="F68" s="0" t="inlineStr">
        <is>
          <t xml:space="preserve">component_procurement</t>
        </is>
      </c>
      <c r="G68" s="0" t="inlineStr">
        <is>
          <t xml:space="preserve">EXCLUDE_GFE</t>
        </is>
      </c>
      <c r="H68" s="0" t="inlineStr">
        <is>
          <t xml:space="preserve">BC</t>
        </is>
      </c>
      <c r="I68" s="5">
        <v>1</v>
      </c>
      <c r="J68" s="5">
        <v>1</v>
      </c>
      <c r="K68" s="5">
        <v>1</v>
      </c>
      <c r="L68" s="5">
        <v>0</v>
      </c>
      <c r="M68" s="5">
        <v>28.643657</v>
      </c>
      <c r="N68" s="7">
        <v>0.0</v>
      </c>
      <c r="O68" s="7">
        <v>0.0</v>
      </c>
      <c r="P68" s="7">
        <v>1.0</v>
      </c>
      <c r="Q68" s="7">
        <v>0.0</v>
      </c>
    </row>
    <row r="69" outlineLevel="1">
      <c r="B69" s="0" t="inlineStr">
        <is>
          <t xml:space="preserve">2024-06-28</t>
        </is>
      </c>
      <c r="C69" s="0" t="inlineStr">
        <is>
          <t xml:space="preserve">N00024-23-F-5100</t>
        </is>
      </c>
      <c r="D69" s="0" t="inlineStr">
        <is>
          <t xml:space="preserve">-</t>
        </is>
      </c>
      <c r="E69" s="0" t="inlineStr">
        <is>
          <t xml:space="preserve">ddg_gfe_aegis</t>
        </is>
      </c>
      <c r="F69" s="0" t="inlineStr">
        <is>
          <t xml:space="preserve">component_procurement</t>
        </is>
      </c>
      <c r="G69" s="0" t="inlineStr">
        <is>
          <t xml:space="preserve">EXCLUDE_GFE</t>
        </is>
      </c>
      <c r="H69" s="0" t="inlineStr">
        <is>
          <t xml:space="preserve">BC</t>
        </is>
      </c>
      <c r="I69" s="5">
        <v>1</v>
      </c>
      <c r="J69" s="5">
        <v>1</v>
      </c>
      <c r="K69" s="5">
        <v>1</v>
      </c>
      <c r="L69" s="5">
        <v>0</v>
      </c>
      <c r="M69" s="5">
        <v>28.329633</v>
      </c>
      <c r="N69" s="7">
        <v>0.0</v>
      </c>
      <c r="O69" s="7">
        <v>0.0</v>
      </c>
      <c r="P69" s="7">
        <v>1.0</v>
      </c>
      <c r="Q69" s="7">
        <v>0.0</v>
      </c>
    </row>
    <row r="70" outlineLevel="1">
      <c r="B70" s="0" t="inlineStr">
        <is>
          <t xml:space="preserve">2023-09-14</t>
        </is>
      </c>
      <c r="C70" s="0" t="inlineStr">
        <is>
          <t xml:space="preserve">-</t>
        </is>
      </c>
      <c r="D70" s="0" t="inlineStr">
        <is>
          <t xml:space="preserve">Communication &amp; Power Industries (Econco division)</t>
        </is>
      </c>
      <c r="E70" s="0" t="inlineStr">
        <is>
          <t xml:space="preserve">ddg_gfe_aegis</t>
        </is>
      </c>
      <c r="F70" s="0" t="inlineStr">
        <is>
          <t xml:space="preserve">component_procurement</t>
        </is>
      </c>
      <c r="G70" s="0" t="inlineStr">
        <is>
          <t xml:space="preserve">EXCLUDE_GFE</t>
        </is>
      </c>
      <c r="H70" s="0" t="inlineStr">
        <is>
          <t xml:space="preserve">BC</t>
        </is>
      </c>
      <c r="I70" s="5">
        <v>1</v>
      </c>
      <c r="J70" s="5">
        <v>1</v>
      </c>
      <c r="K70" s="5">
        <v>1</v>
      </c>
      <c r="L70" s="5">
        <v>0</v>
      </c>
      <c r="M70" s="5">
        <v>28.152432</v>
      </c>
      <c r="N70" s="7">
        <v>0.0</v>
      </c>
      <c r="O70" s="7">
        <v>0.0</v>
      </c>
      <c r="P70" s="7">
        <v>0.0</v>
      </c>
      <c r="Q70" s="7">
        <v>0.0</v>
      </c>
    </row>
    <row r="71" outlineLevel="1">
      <c r="B71" s="0" t="inlineStr">
        <is>
          <t xml:space="preserve">2024-05-06</t>
        </is>
      </c>
      <c r="C71" s="0" t="inlineStr">
        <is>
          <t xml:space="preserve">-</t>
        </is>
      </c>
      <c r="D71" s="0" t="inlineStr">
        <is>
          <t xml:space="preserve">-</t>
        </is>
      </c>
      <c r="E71" s="0" t="inlineStr">
        <is>
          <t xml:space="preserve">ddg_gfe_aegis</t>
        </is>
      </c>
      <c r="F71" s="0" t="inlineStr">
        <is>
          <t xml:space="preserve">component_procurement</t>
        </is>
      </c>
      <c r="G71" s="0" t="inlineStr">
        <is>
          <t xml:space="preserve">EXCLUDE_GFE</t>
        </is>
      </c>
      <c r="H71" s="0" t="inlineStr">
        <is>
          <t xml:space="preserve">BC</t>
        </is>
      </c>
      <c r="I71" s="5">
        <v>1</v>
      </c>
      <c r="J71" s="5">
        <v>1</v>
      </c>
      <c r="K71" s="5">
        <v>1</v>
      </c>
      <c r="L71" s="5">
        <v>0</v>
      </c>
      <c r="M71" s="5">
        <v>27.555755</v>
      </c>
      <c r="N71" s="7">
        <v>0.0</v>
      </c>
      <c r="O71" s="7">
        <v>0.0</v>
      </c>
      <c r="P71" s="7">
        <v>0.0</v>
      </c>
      <c r="Q71" s="7">
        <v>0.0</v>
      </c>
    </row>
    <row r="72" outlineLevel="1">
      <c r="B72" s="0" t="inlineStr">
        <is>
          <t xml:space="preserve">2024-08-28</t>
        </is>
      </c>
      <c r="C72" s="0" t="inlineStr">
        <is>
          <t xml:space="preserve">-</t>
        </is>
      </c>
      <c r="D72" s="0" t="inlineStr">
        <is>
          <t xml:space="preserve">-</t>
        </is>
      </c>
      <c r="E72" s="0" t="inlineStr">
        <is>
          <t xml:space="preserve">ddg_gfe_vls</t>
        </is>
      </c>
      <c r="F72" s="0" t="inlineStr">
        <is>
          <t xml:space="preserve">component_procurement</t>
        </is>
      </c>
      <c r="G72" s="0" t="inlineStr">
        <is>
          <t xml:space="preserve">EXCLUDE_GFE</t>
        </is>
      </c>
      <c r="H72" s="0" t="inlineStr">
        <is>
          <t xml:space="preserve">BC</t>
        </is>
      </c>
      <c r="I72" s="5">
        <v>1</v>
      </c>
      <c r="J72" s="5">
        <v>1</v>
      </c>
      <c r="K72" s="5">
        <v>1</v>
      </c>
      <c r="L72" s="5">
        <v>0</v>
      </c>
      <c r="M72" s="5">
        <v>27.000584</v>
      </c>
      <c r="N72" s="7">
        <v>0.0</v>
      </c>
      <c r="O72" s="7">
        <v>0.0</v>
      </c>
      <c r="P72" s="7">
        <v>1.0</v>
      </c>
      <c r="Q72" s="7">
        <v>0.0</v>
      </c>
    </row>
    <row r="73" outlineLevel="1">
      <c r="B73" s="0" t="inlineStr">
        <is>
          <t xml:space="preserve">2023-09-22</t>
        </is>
      </c>
      <c r="C73" s="0" t="inlineStr">
        <is>
          <t xml:space="preserve">-</t>
        </is>
      </c>
      <c r="D73" s="0" t="inlineStr">
        <is>
          <t xml:space="preserve">-</t>
        </is>
      </c>
      <c r="E73" s="0" t="inlineStr">
        <is>
          <t xml:space="preserve">ddg_gfe_aegis</t>
        </is>
      </c>
      <c r="F73" s="0" t="inlineStr">
        <is>
          <t xml:space="preserve">component_procurement</t>
        </is>
      </c>
      <c r="G73" s="0" t="inlineStr">
        <is>
          <t xml:space="preserve">EXCLUDE_GFE</t>
        </is>
      </c>
      <c r="H73" s="0" t="inlineStr">
        <is>
          <t xml:space="preserve">BC</t>
        </is>
      </c>
      <c r="I73" s="5">
        <v>1</v>
      </c>
      <c r="J73" s="5">
        <v>1</v>
      </c>
      <c r="K73" s="5">
        <v>1</v>
      </c>
      <c r="L73" s="5">
        <v>0</v>
      </c>
      <c r="M73" s="5">
        <v>26.924626</v>
      </c>
      <c r="N73" s="7">
        <v>0.0</v>
      </c>
      <c r="O73" s="7">
        <v>0.0</v>
      </c>
      <c r="P73" s="7">
        <v>1.0</v>
      </c>
      <c r="Q73" s="7">
        <v>0.0</v>
      </c>
    </row>
    <row r="74" outlineLevel="1">
      <c r="B74" s="0" t="inlineStr">
        <is>
          <t xml:space="preserve">2025-07-09</t>
        </is>
      </c>
      <c r="C74" s="0" t="inlineStr">
        <is>
          <t xml:space="preserve">-</t>
        </is>
      </c>
      <c r="D74" s="0" t="inlineStr">
        <is>
          <t xml:space="preserve">DRS Laurel Technologies</t>
        </is>
      </c>
      <c r="E74" s="0" t="inlineStr">
        <is>
          <t xml:space="preserve">ddg_gfe_vls</t>
        </is>
      </c>
      <c r="F74" s="0" t="inlineStr">
        <is>
          <t xml:space="preserve">component_procurement</t>
        </is>
      </c>
      <c r="G74" s="0" t="inlineStr">
        <is>
          <t xml:space="preserve">EXCLUDE_GFE</t>
        </is>
      </c>
      <c r="H74" s="0" t="inlineStr">
        <is>
          <t xml:space="preserve">BC</t>
        </is>
      </c>
      <c r="I74" s="5">
        <v>1</v>
      </c>
      <c r="J74" s="5">
        <v>1</v>
      </c>
      <c r="K74" s="5">
        <v>1</v>
      </c>
      <c r="L74" s="5">
        <v>0</v>
      </c>
      <c r="M74" s="5">
        <v>26.63147</v>
      </c>
      <c r="N74" s="7">
        <v>0.0</v>
      </c>
      <c r="O74" s="7">
        <v>0.0</v>
      </c>
      <c r="P74" s="7">
        <v>1.0</v>
      </c>
      <c r="Q74" s="7">
        <v>0.0</v>
      </c>
    </row>
    <row r="75" outlineLevel="1">
      <c r="B75" s="0" t="inlineStr">
        <is>
          <t xml:space="preserve">2024-07-31</t>
        </is>
      </c>
      <c r="C75" s="0" t="inlineStr">
        <is>
          <t xml:space="preserve">-</t>
        </is>
      </c>
      <c r="D75" s="0" t="inlineStr">
        <is>
          <t xml:space="preserve">BAE Systems Land &amp; Armaments L.P.</t>
        </is>
      </c>
      <c r="E75" s="0" t="inlineStr">
        <is>
          <t xml:space="preserve">ddg_gfe_guns</t>
        </is>
      </c>
      <c r="F75" s="0" t="inlineStr">
        <is>
          <t xml:space="preserve">component_procurement</t>
        </is>
      </c>
      <c r="G75" s="0" t="inlineStr">
        <is>
          <t xml:space="preserve">EXCLUDE_GFE</t>
        </is>
      </c>
      <c r="H75" s="0" t="inlineStr">
        <is>
          <t xml:space="preserve">BC</t>
        </is>
      </c>
      <c r="I75" s="5">
        <v>1</v>
      </c>
      <c r="J75" s="5">
        <v>1</v>
      </c>
      <c r="K75" s="5">
        <v>1</v>
      </c>
      <c r="L75" s="5">
        <v>0</v>
      </c>
      <c r="M75" s="5">
        <v>26.329545</v>
      </c>
      <c r="N75" s="7">
        <v>0.0</v>
      </c>
      <c r="O75" s="7">
        <v>0.0</v>
      </c>
      <c r="P75" s="7">
        <v>1.0</v>
      </c>
      <c r="Q75" s="7">
        <v>0.0</v>
      </c>
    </row>
    <row r="76" outlineLevel="1">
      <c r="B76" s="0" t="inlineStr">
        <is>
          <t xml:space="preserve">2023-11-17</t>
        </is>
      </c>
      <c r="C76" s="0" t="inlineStr">
        <is>
          <t xml:space="preserve">N00024-24-C-2312</t>
        </is>
      </c>
      <c r="D76" s="0" t="inlineStr">
        <is>
          <t xml:space="preserve">Huntington Ingalls Inc.</t>
        </is>
      </c>
      <c r="E76" s="0" t="inlineStr">
        <is>
          <t xml:space="preserve">ddg51</t>
        </is>
      </c>
      <c r="F76" s="0" t="inlineStr">
        <is>
          <t xml:space="preserve">construction</t>
        </is>
      </c>
      <c r="G76" s="0" t="inlineStr">
        <is>
          <t xml:space="preserve">INCLUDE_BC</t>
        </is>
      </c>
      <c r="H76" s="0" t="inlineStr">
        <is>
          <t xml:space="preserve">BC</t>
        </is>
      </c>
      <c r="I76" s="5">
        <v>1</v>
      </c>
      <c r="J76" s="5">
        <v>0</v>
      </c>
      <c r="K76" s="5">
        <v>1</v>
      </c>
      <c r="L76" s="5">
        <v>0</v>
      </c>
      <c r="M76" s="5">
        <v>25.781609</v>
      </c>
      <c r="N76" s="7">
        <v>0.0</v>
      </c>
      <c r="O76" s="7">
        <v>0.98</v>
      </c>
      <c r="P76" s="7">
        <v>0.0</v>
      </c>
      <c r="Q76" s="7">
        <v>0.0</v>
      </c>
    </row>
    <row r="77" outlineLevel="1">
      <c r="B77" s="0" t="inlineStr">
        <is>
          <t xml:space="preserve">2024-08-16</t>
        </is>
      </c>
      <c r="C77" s="0" t="inlineStr">
        <is>
          <t xml:space="preserve">-</t>
        </is>
      </c>
      <c r="D77" s="0" t="inlineStr">
        <is>
          <t xml:space="preserve">-</t>
        </is>
      </c>
      <c r="E77" s="0" t="inlineStr">
        <is>
          <t xml:space="preserve">ddg_gfe_vls</t>
        </is>
      </c>
      <c r="F77" s="0" t="inlineStr">
        <is>
          <t xml:space="preserve">component_procurement</t>
        </is>
      </c>
      <c r="G77" s="0" t="inlineStr">
        <is>
          <t xml:space="preserve">EXCLUDE_GFE</t>
        </is>
      </c>
      <c r="H77" s="0" t="inlineStr">
        <is>
          <t xml:space="preserve">BC</t>
        </is>
      </c>
      <c r="I77" s="5">
        <v>1</v>
      </c>
      <c r="J77" s="5">
        <v>1</v>
      </c>
      <c r="K77" s="5">
        <v>1</v>
      </c>
      <c r="L77" s="5">
        <v>0</v>
      </c>
      <c r="M77" s="5">
        <v>25.688451</v>
      </c>
      <c r="N77" s="7">
        <v>0.0</v>
      </c>
      <c r="O77" s="7">
        <v>0.0</v>
      </c>
      <c r="P77" s="7">
        <v>1.0</v>
      </c>
      <c r="Q77" s="7">
        <v>0.0</v>
      </c>
    </row>
    <row r="78" outlineLevel="1">
      <c r="B78" s="0" t="inlineStr">
        <is>
          <t xml:space="preserve">2024-08-23</t>
        </is>
      </c>
      <c r="C78" s="0" t="inlineStr">
        <is>
          <t xml:space="preserve">N00024-23-C-5123</t>
        </is>
      </c>
      <c r="D78" s="0" t="inlineStr">
        <is>
          <t xml:space="preserve">-</t>
        </is>
      </c>
      <c r="E78" s="0" t="inlineStr">
        <is>
          <t xml:space="preserve">ddg_gfe_aegis</t>
        </is>
      </c>
      <c r="F78" s="0" t="inlineStr">
        <is>
          <t xml:space="preserve">component_procurement</t>
        </is>
      </c>
      <c r="G78" s="0" t="inlineStr">
        <is>
          <t xml:space="preserve">EXCLUDE_GFE</t>
        </is>
      </c>
      <c r="H78" s="0" t="inlineStr">
        <is>
          <t xml:space="preserve">BC</t>
        </is>
      </c>
      <c r="I78" s="5">
        <v>1</v>
      </c>
      <c r="J78" s="5">
        <v>1</v>
      </c>
      <c r="K78" s="5">
        <v>1</v>
      </c>
      <c r="L78" s="5">
        <v>0</v>
      </c>
      <c r="M78" s="5">
        <v>24.995517</v>
      </c>
      <c r="N78" s="7">
        <v>0.0</v>
      </c>
      <c r="O78" s="7">
        <v>0.0</v>
      </c>
      <c r="P78" s="7">
        <v>0.0</v>
      </c>
      <c r="Q78" s="7">
        <v>0.0</v>
      </c>
    </row>
    <row r="79" outlineLevel="1">
      <c r="B79" s="0" t="inlineStr">
        <is>
          <t xml:space="preserve">2025-02-03</t>
        </is>
      </c>
      <c r="C79" s="0" t="inlineStr">
        <is>
          <t xml:space="preserve">-</t>
        </is>
      </c>
      <c r="D79" s="0" t="inlineStr">
        <is>
          <t xml:space="preserve">Lockheed Martin Rotary and Mission Systems</t>
        </is>
      </c>
      <c r="E79" s="0" t="inlineStr">
        <is>
          <t xml:space="preserve">ddg_gfe_aegis</t>
        </is>
      </c>
      <c r="F79" s="0" t="inlineStr">
        <is>
          <t xml:space="preserve">component_procurement</t>
        </is>
      </c>
      <c r="G79" s="0" t="inlineStr">
        <is>
          <t xml:space="preserve">EXCLUDE_GFE</t>
        </is>
      </c>
      <c r="H79" s="0" t="inlineStr">
        <is>
          <t xml:space="preserve">BC</t>
        </is>
      </c>
      <c r="I79" s="5">
        <v>1</v>
      </c>
      <c r="J79" s="5">
        <v>1</v>
      </c>
      <c r="K79" s="5">
        <v>1</v>
      </c>
      <c r="L79" s="5">
        <v>0</v>
      </c>
      <c r="M79" s="5">
        <v>24.980584</v>
      </c>
      <c r="N79" s="7">
        <v>0.0</v>
      </c>
      <c r="O79" s="7">
        <v>0.0</v>
      </c>
      <c r="P79" s="7">
        <v>1.0</v>
      </c>
      <c r="Q79" s="7">
        <v>0.0</v>
      </c>
    </row>
    <row r="80" outlineLevel="1">
      <c r="B80" s="0" t="inlineStr">
        <is>
          <t xml:space="preserve">2024-09-23</t>
        </is>
      </c>
      <c r="C80" s="0" t="inlineStr">
        <is>
          <t xml:space="preserve">N00024-20-C-5203</t>
        </is>
      </c>
      <c r="D80" s="0" t="inlineStr">
        <is>
          <t xml:space="preserve">-</t>
        </is>
      </c>
      <c r="E80" s="0" t="inlineStr">
        <is>
          <t xml:space="preserve">ddg_gfe_combat_systems</t>
        </is>
      </c>
      <c r="F80" s="0" t="inlineStr">
        <is>
          <t xml:space="preserve">component_procurement</t>
        </is>
      </c>
      <c r="G80" s="0" t="inlineStr">
        <is>
          <t xml:space="preserve">EXCLUDE_GFE</t>
        </is>
      </c>
      <c r="H80" s="0" t="inlineStr">
        <is>
          <t xml:space="preserve">BC</t>
        </is>
      </c>
      <c r="I80" s="5">
        <v>1</v>
      </c>
      <c r="J80" s="5">
        <v>1</v>
      </c>
      <c r="K80" s="5">
        <v>1</v>
      </c>
      <c r="L80" s="5">
        <v>0</v>
      </c>
      <c r="M80" s="5">
        <v>24.800621</v>
      </c>
      <c r="N80" s="7">
        <v>0.0</v>
      </c>
      <c r="O80" s="7">
        <v>0.0</v>
      </c>
      <c r="P80" s="7">
        <v>1.0</v>
      </c>
      <c r="Q80" s="7">
        <v>0.0</v>
      </c>
    </row>
    <row r="81" outlineLevel="1">
      <c r="B81" s="0" t="inlineStr">
        <is>
          <t xml:space="preserve">2025-04-09</t>
        </is>
      </c>
      <c r="C81" s="0" t="inlineStr">
        <is>
          <t xml:space="preserve">-</t>
        </is>
      </c>
      <c r="D81" s="0" t="inlineStr">
        <is>
          <t xml:space="preserve">-</t>
        </is>
      </c>
      <c r="E81" s="0" t="inlineStr">
        <is>
          <t xml:space="preserve">ddg_gfe_aegis</t>
        </is>
      </c>
      <c r="F81" s="0" t="inlineStr">
        <is>
          <t xml:space="preserve">component_procurement</t>
        </is>
      </c>
      <c r="G81" s="0" t="inlineStr">
        <is>
          <t xml:space="preserve">EXCLUDE_GFE</t>
        </is>
      </c>
      <c r="H81" s="0" t="inlineStr">
        <is>
          <t xml:space="preserve">BC</t>
        </is>
      </c>
      <c r="I81" s="5">
        <v>1</v>
      </c>
      <c r="J81" s="5">
        <v>1</v>
      </c>
      <c r="K81" s="5">
        <v>1</v>
      </c>
      <c r="L81" s="5">
        <v>0</v>
      </c>
      <c r="M81" s="5">
        <v>23.825884</v>
      </c>
      <c r="N81" s="7">
        <v>0.0</v>
      </c>
      <c r="O81" s="7">
        <v>0.0</v>
      </c>
      <c r="P81" s="7">
        <v>1.0</v>
      </c>
      <c r="Q81" s="7">
        <v>0.0</v>
      </c>
    </row>
    <row r="82" outlineLevel="1">
      <c r="B82" s="0" t="inlineStr">
        <is>
          <t xml:space="preserve">2024-05-13</t>
        </is>
      </c>
      <c r="C82" s="0" t="inlineStr">
        <is>
          <t xml:space="preserve">N00024-17-C-4109</t>
        </is>
      </c>
      <c r="D82" s="0" t="inlineStr">
        <is>
          <t xml:space="preserve">DRS Laurel Technologies</t>
        </is>
      </c>
      <c r="E82" s="0" t="inlineStr">
        <is>
          <t xml:space="preserve">ddg51</t>
        </is>
      </c>
      <c r="F82" s="0" t="inlineStr">
        <is>
          <t xml:space="preserve">construction</t>
        </is>
      </c>
      <c r="G82" s="0" t="inlineStr">
        <is>
          <t xml:space="preserve">INCLUDE_BC</t>
        </is>
      </c>
      <c r="H82" s="0" t="inlineStr">
        <is>
          <t xml:space="preserve">BC</t>
        </is>
      </c>
      <c r="I82" s="5">
        <v>1</v>
      </c>
      <c r="J82" s="5">
        <v>0</v>
      </c>
      <c r="K82" s="5">
        <v>1</v>
      </c>
      <c r="L82" s="5">
        <v>0</v>
      </c>
      <c r="M82" s="5">
        <v>23.802296</v>
      </c>
      <c r="N82" s="7">
        <v>0.0</v>
      </c>
      <c r="O82" s="7">
        <v>0.0</v>
      </c>
      <c r="P82" s="7">
        <v>1.0</v>
      </c>
      <c r="Q82" s="7">
        <v>0.0</v>
      </c>
    </row>
    <row r="83" outlineLevel="1">
      <c r="B83" s="0" t="inlineStr">
        <is>
          <t xml:space="preserve">2024-09-30</t>
        </is>
      </c>
      <c r="C83" s="0" t="inlineStr">
        <is>
          <t xml:space="preserve">-</t>
        </is>
      </c>
      <c r="D83" s="0" t="inlineStr">
        <is>
          <t xml:space="preserve">BAE Systems Land &amp; Armaments L.P.</t>
        </is>
      </c>
      <c r="E83" s="0" t="inlineStr">
        <is>
          <t xml:space="preserve">ddg_gfe_guns</t>
        </is>
      </c>
      <c r="F83" s="0" t="inlineStr">
        <is>
          <t xml:space="preserve">component_procurement</t>
        </is>
      </c>
      <c r="G83" s="0" t="inlineStr">
        <is>
          <t xml:space="preserve">EXCLUDE_GFE</t>
        </is>
      </c>
      <c r="H83" s="0" t="inlineStr">
        <is>
          <t xml:space="preserve">BC</t>
        </is>
      </c>
      <c r="I83" s="5">
        <v>1</v>
      </c>
      <c r="J83" s="5">
        <v>1</v>
      </c>
      <c r="K83" s="5">
        <v>1</v>
      </c>
      <c r="L83" s="5">
        <v>0</v>
      </c>
      <c r="M83" s="5">
        <v>23.5</v>
      </c>
      <c r="N83" s="7">
        <v>0.0</v>
      </c>
      <c r="O83" s="7">
        <v>0.0</v>
      </c>
      <c r="P83" s="7">
        <v>1.0</v>
      </c>
      <c r="Q83" s="7">
        <v>0.0</v>
      </c>
    </row>
    <row r="84" outlineLevel="1">
      <c r="B84" s="0" t="inlineStr">
        <is>
          <t xml:space="preserve">2025-05-21</t>
        </is>
      </c>
      <c r="C84" s="0" t="inlineStr">
        <is>
          <t xml:space="preserve">-</t>
        </is>
      </c>
      <c r="D84" s="0" t="inlineStr">
        <is>
          <t xml:space="preserve">-</t>
        </is>
      </c>
      <c r="E84" s="0" t="inlineStr">
        <is>
          <t xml:space="preserve">ddg_gfe_aegis</t>
        </is>
      </c>
      <c r="F84" s="0" t="inlineStr">
        <is>
          <t xml:space="preserve">component_procurement</t>
        </is>
      </c>
      <c r="G84" s="0" t="inlineStr">
        <is>
          <t xml:space="preserve">EXCLUDE_GFE</t>
        </is>
      </c>
      <c r="H84" s="0" t="inlineStr">
        <is>
          <t xml:space="preserve">BC</t>
        </is>
      </c>
      <c r="I84" s="5">
        <v>1</v>
      </c>
      <c r="J84" s="5">
        <v>1</v>
      </c>
      <c r="K84" s="5">
        <v>1</v>
      </c>
      <c r="L84" s="5">
        <v>0</v>
      </c>
      <c r="M84" s="5">
        <v>23.4555</v>
      </c>
      <c r="N84" s="7">
        <v>0.0</v>
      </c>
      <c r="O84" s="7">
        <v>0.0</v>
      </c>
      <c r="P84" s="7">
        <v>1.0</v>
      </c>
      <c r="Q84" s="7">
        <v>0.0</v>
      </c>
    </row>
    <row r="85" outlineLevel="1">
      <c r="B85" s="0" t="inlineStr">
        <is>
          <t xml:space="preserve">2022-11-18</t>
        </is>
      </c>
      <c r="C85" s="0" t="inlineStr">
        <is>
          <t xml:space="preserve">-</t>
        </is>
      </c>
      <c r="D85" s="0" t="inlineStr">
        <is>
          <t xml:space="preserve">Raytheon Missiles and Defense</t>
        </is>
      </c>
      <c r="E85" s="0" t="inlineStr">
        <is>
          <t xml:space="preserve">ddg_gfe_aegis</t>
        </is>
      </c>
      <c r="F85" s="0" t="inlineStr">
        <is>
          <t xml:space="preserve">component_procurement</t>
        </is>
      </c>
      <c r="G85" s="0" t="inlineStr">
        <is>
          <t xml:space="preserve">EXCLUDE_GFE</t>
        </is>
      </c>
      <c r="H85" s="0" t="inlineStr">
        <is>
          <t xml:space="preserve">BC</t>
        </is>
      </c>
      <c r="I85" s="5">
        <v>1</v>
      </c>
      <c r="J85" s="5">
        <v>1</v>
      </c>
      <c r="K85" s="5">
        <v>1</v>
      </c>
      <c r="L85" s="5">
        <v>0</v>
      </c>
      <c r="M85" s="5">
        <v>23.345867</v>
      </c>
      <c r="N85" s="7">
        <v>0.0</v>
      </c>
      <c r="O85" s="7">
        <v>0.0</v>
      </c>
      <c r="P85" s="7">
        <v>1.0</v>
      </c>
      <c r="Q85" s="7">
        <v>0.0</v>
      </c>
    </row>
    <row r="86" outlineLevel="1">
      <c r="B86" s="0" t="inlineStr">
        <is>
          <t xml:space="preserve">2022-12-02</t>
        </is>
      </c>
      <c r="C86" s="0" t="inlineStr">
        <is>
          <t xml:space="preserve">N00024-23-F-5135</t>
        </is>
      </c>
      <c r="D86" s="0" t="inlineStr">
        <is>
          <t xml:space="preserve">-</t>
        </is>
      </c>
      <c r="E86" s="0" t="inlineStr">
        <is>
          <t xml:space="preserve">ddg_gfe_aegis</t>
        </is>
      </c>
      <c r="F86" s="0" t="inlineStr">
        <is>
          <t xml:space="preserve">component_procurement</t>
        </is>
      </c>
      <c r="G86" s="0" t="inlineStr">
        <is>
          <t xml:space="preserve">EXCLUDE_GFE</t>
        </is>
      </c>
      <c r="H86" s="0" t="inlineStr">
        <is>
          <t xml:space="preserve">BC</t>
        </is>
      </c>
      <c r="I86" s="5">
        <v>1</v>
      </c>
      <c r="J86" s="5">
        <v>1</v>
      </c>
      <c r="K86" s="5">
        <v>1</v>
      </c>
      <c r="L86" s="5">
        <v>0</v>
      </c>
      <c r="M86" s="5">
        <v>22.947125</v>
      </c>
      <c r="N86" s="7">
        <v>0.0</v>
      </c>
      <c r="O86" s="7">
        <v>0.0</v>
      </c>
      <c r="P86" s="7">
        <v>1.0</v>
      </c>
      <c r="Q86" s="7">
        <v>0.0</v>
      </c>
    </row>
    <row r="87" outlineLevel="1">
      <c r="B87" s="0" t="inlineStr">
        <is>
          <t xml:space="preserve">2025-04-29</t>
        </is>
      </c>
      <c r="C87" s="0" t="inlineStr">
        <is>
          <t xml:space="preserve">-</t>
        </is>
      </c>
      <c r="D87" s="0" t="inlineStr">
        <is>
          <t xml:space="preserve">Lockheed Martin Rotary and Mission Systems</t>
        </is>
      </c>
      <c r="E87" s="0" t="inlineStr">
        <is>
          <t xml:space="preserve">ddg_gfe_aegis</t>
        </is>
      </c>
      <c r="F87" s="0" t="inlineStr">
        <is>
          <t xml:space="preserve">component_procurement</t>
        </is>
      </c>
      <c r="G87" s="0" t="inlineStr">
        <is>
          <t xml:space="preserve">EXCLUDE_GFE</t>
        </is>
      </c>
      <c r="H87" s="0" t="inlineStr">
        <is>
          <t xml:space="preserve">BC</t>
        </is>
      </c>
      <c r="I87" s="5">
        <v>1</v>
      </c>
      <c r="J87" s="5">
        <v>1</v>
      </c>
      <c r="K87" s="5">
        <v>1</v>
      </c>
      <c r="L87" s="5">
        <v>0</v>
      </c>
      <c r="M87" s="5">
        <v>22.520919</v>
      </c>
      <c r="N87" s="7">
        <v>0.0</v>
      </c>
      <c r="O87" s="7">
        <v>0.0</v>
      </c>
      <c r="P87" s="7">
        <v>1.0</v>
      </c>
      <c r="Q87" s="7">
        <v>0.0</v>
      </c>
    </row>
    <row r="88" outlineLevel="1">
      <c r="B88" s="0" t="inlineStr">
        <is>
          <t xml:space="preserve">2024-09-30</t>
        </is>
      </c>
      <c r="C88" s="0" t="inlineStr">
        <is>
          <t xml:space="preserve">N00024-24-F-5322</t>
        </is>
      </c>
      <c r="D88" s="0" t="inlineStr">
        <is>
          <t xml:space="preserve">-</t>
        </is>
      </c>
      <c r="E88" s="0" t="inlineStr">
        <is>
          <t xml:space="preserve">ddg_gfe_propulsion</t>
        </is>
      </c>
      <c r="F88" s="0" t="inlineStr">
        <is>
          <t xml:space="preserve">component_procurement</t>
        </is>
      </c>
      <c r="G88" s="0" t="inlineStr">
        <is>
          <t xml:space="preserve">EXCLUDE_GFE</t>
        </is>
      </c>
      <c r="H88" s="0" t="inlineStr">
        <is>
          <t xml:space="preserve">BC</t>
        </is>
      </c>
      <c r="I88" s="5">
        <v>1</v>
      </c>
      <c r="J88" s="5">
        <v>1</v>
      </c>
      <c r="K88" s="5">
        <v>1</v>
      </c>
      <c r="L88" s="5">
        <v>0</v>
      </c>
      <c r="M88" s="5">
        <v>21.529705</v>
      </c>
      <c r="N88" s="7">
        <v>0.0</v>
      </c>
      <c r="O88" s="7">
        <v>0.0</v>
      </c>
      <c r="P88" s="7">
        <v>0.0</v>
      </c>
      <c r="Q88" s="7">
        <v>0.0</v>
      </c>
    </row>
    <row r="89" outlineLevel="1">
      <c r="B89" s="0" t="inlineStr">
        <is>
          <t xml:space="preserve">2024-03-07</t>
        </is>
      </c>
      <c r="C89" s="0" t="inlineStr">
        <is>
          <t xml:space="preserve">-</t>
        </is>
      </c>
      <c r="D89" s="0" t="inlineStr">
        <is>
          <t xml:space="preserve">Triman Industries Inc.</t>
        </is>
      </c>
      <c r="E89" s="0" t="inlineStr">
        <is>
          <t xml:space="preserve">ddg_gfe_aegis</t>
        </is>
      </c>
      <c r="F89" s="0" t="inlineStr">
        <is>
          <t xml:space="preserve">component_procurement</t>
        </is>
      </c>
      <c r="G89" s="0" t="inlineStr">
        <is>
          <t xml:space="preserve">EXCLUDE_GFE</t>
        </is>
      </c>
      <c r="H89" s="0" t="inlineStr">
        <is>
          <t xml:space="preserve">BC</t>
        </is>
      </c>
      <c r="I89" s="5">
        <v>1</v>
      </c>
      <c r="J89" s="5">
        <v>1</v>
      </c>
      <c r="K89" s="5">
        <v>1</v>
      </c>
      <c r="L89" s="5">
        <v>0</v>
      </c>
      <c r="M89" s="5">
        <v>21.521228</v>
      </c>
      <c r="N89" s="7">
        <v>0.0</v>
      </c>
      <c r="O89" s="7">
        <v>0.0</v>
      </c>
      <c r="P89" s="7">
        <v>0.0</v>
      </c>
      <c r="Q89" s="7">
        <v>0.0</v>
      </c>
    </row>
    <row r="90" outlineLevel="1">
      <c r="B90" s="0" t="inlineStr">
        <is>
          <t xml:space="preserve">2024-03-29</t>
        </is>
      </c>
      <c r="C90" s="0" t="inlineStr">
        <is>
          <t xml:space="preserve">N00024-23-F-5100</t>
        </is>
      </c>
      <c r="D90" s="0" t="inlineStr">
        <is>
          <t xml:space="preserve">-</t>
        </is>
      </c>
      <c r="E90" s="0" t="inlineStr">
        <is>
          <t xml:space="preserve">ddg_gfe_aegis</t>
        </is>
      </c>
      <c r="F90" s="0" t="inlineStr">
        <is>
          <t xml:space="preserve">component_procurement</t>
        </is>
      </c>
      <c r="G90" s="0" t="inlineStr">
        <is>
          <t xml:space="preserve">EXCLUDE_GFE</t>
        </is>
      </c>
      <c r="H90" s="0" t="inlineStr">
        <is>
          <t xml:space="preserve">BC</t>
        </is>
      </c>
      <c r="I90" s="5">
        <v>1</v>
      </c>
      <c r="J90" s="5">
        <v>1</v>
      </c>
      <c r="K90" s="5">
        <v>1</v>
      </c>
      <c r="L90" s="5">
        <v>0</v>
      </c>
      <c r="M90" s="5">
        <v>21.457275</v>
      </c>
      <c r="N90" s="7">
        <v>0.0</v>
      </c>
      <c r="O90" s="7">
        <v>0.0</v>
      </c>
      <c r="P90" s="7">
        <v>1.0</v>
      </c>
      <c r="Q90" s="7">
        <v>0.0</v>
      </c>
    </row>
    <row r="91" outlineLevel="1">
      <c r="B91" s="0" t="inlineStr">
        <is>
          <t xml:space="preserve">2023-05-31</t>
        </is>
      </c>
      <c r="C91" s="0" t="inlineStr">
        <is>
          <t xml:space="preserve">-</t>
        </is>
      </c>
      <c r="D91" s="0" t="inlineStr">
        <is>
          <t xml:space="preserve">Raytheon Co.</t>
        </is>
      </c>
      <c r="E91" s="0" t="inlineStr">
        <is>
          <t xml:space="preserve">ddg_gfe_combat_systems</t>
        </is>
      </c>
      <c r="F91" s="0" t="inlineStr">
        <is>
          <t xml:space="preserve">component_procurement</t>
        </is>
      </c>
      <c r="G91" s="0" t="inlineStr">
        <is>
          <t xml:space="preserve">EXCLUDE_GFE</t>
        </is>
      </c>
      <c r="H91" s="0" t="inlineStr">
        <is>
          <t xml:space="preserve">BC</t>
        </is>
      </c>
      <c r="I91" s="5">
        <v>1</v>
      </c>
      <c r="J91" s="5">
        <v>1</v>
      </c>
      <c r="K91" s="5">
        <v>1</v>
      </c>
      <c r="L91" s="5">
        <v>0</v>
      </c>
      <c r="M91" s="5">
        <v>19.186754</v>
      </c>
      <c r="N91" s="7">
        <v>0.0</v>
      </c>
      <c r="O91" s="7">
        <v>0.0</v>
      </c>
      <c r="P91" s="7">
        <v>1.0</v>
      </c>
      <c r="Q91" s="7">
        <v>0.0</v>
      </c>
    </row>
    <row r="92" outlineLevel="1">
      <c r="B92" s="0" t="inlineStr">
        <is>
          <t xml:space="preserve">2024-05-01</t>
        </is>
      </c>
      <c r="C92" s="0" t="inlineStr">
        <is>
          <t xml:space="preserve">-</t>
        </is>
      </c>
      <c r="D92" s="0" t="inlineStr">
        <is>
          <t xml:space="preserve">DRS Laurel Technologies</t>
        </is>
      </c>
      <c r="E92" s="0" t="inlineStr">
        <is>
          <t xml:space="preserve">ddg_gfe_vls</t>
        </is>
      </c>
      <c r="F92" s="0" t="inlineStr">
        <is>
          <t xml:space="preserve">component_procurement</t>
        </is>
      </c>
      <c r="G92" s="0" t="inlineStr">
        <is>
          <t xml:space="preserve">EXCLUDE_GFE</t>
        </is>
      </c>
      <c r="H92" s="0" t="inlineStr">
        <is>
          <t xml:space="preserve">BC</t>
        </is>
      </c>
      <c r="I92" s="5">
        <v>1</v>
      </c>
      <c r="J92" s="5">
        <v>1</v>
      </c>
      <c r="K92" s="5">
        <v>1</v>
      </c>
      <c r="L92" s="5">
        <v>0</v>
      </c>
      <c r="M92" s="5">
        <v>18.996848</v>
      </c>
      <c r="N92" s="7">
        <v>0.0</v>
      </c>
      <c r="O92" s="7">
        <v>0.0</v>
      </c>
      <c r="P92" s="7">
        <v>1.0</v>
      </c>
      <c r="Q92" s="7">
        <v>0.0</v>
      </c>
    </row>
    <row r="93" outlineLevel="1">
      <c r="B93" s="0" t="inlineStr">
        <is>
          <t xml:space="preserve">2024-06-28</t>
        </is>
      </c>
      <c r="C93" s="0" t="inlineStr">
        <is>
          <t xml:space="preserve">-</t>
        </is>
      </c>
      <c r="D93" s="0" t="inlineStr">
        <is>
          <t xml:space="preserve">Laurel Technologies Partnership</t>
        </is>
      </c>
      <c r="E93" s="0" t="inlineStr">
        <is>
          <t xml:space="preserve">ddg_gfe_vls</t>
        </is>
      </c>
      <c r="F93" s="0" t="inlineStr">
        <is>
          <t xml:space="preserve">component_procurement</t>
        </is>
      </c>
      <c r="G93" s="0" t="inlineStr">
        <is>
          <t xml:space="preserve">EXCLUDE_GFE</t>
        </is>
      </c>
      <c r="H93" s="0" t="inlineStr">
        <is>
          <t xml:space="preserve">BC</t>
        </is>
      </c>
      <c r="I93" s="5">
        <v>1</v>
      </c>
      <c r="J93" s="5">
        <v>1</v>
      </c>
      <c r="K93" s="5">
        <v>1</v>
      </c>
      <c r="L93" s="5">
        <v>0</v>
      </c>
      <c r="M93" s="5">
        <v>18.955631</v>
      </c>
      <c r="N93" s="7">
        <v>0.0</v>
      </c>
      <c r="O93" s="7">
        <v>0.0</v>
      </c>
      <c r="P93" s="7">
        <v>1.0</v>
      </c>
      <c r="Q93" s="7">
        <v>0.0</v>
      </c>
    </row>
    <row r="94" outlineLevel="1">
      <c r="B94" s="0" t="inlineStr">
        <is>
          <t xml:space="preserve">2026-04-06</t>
        </is>
      </c>
      <c r="C94" s="0" t="inlineStr">
        <is>
          <t xml:space="preserve">N64498-26-D-1002</t>
        </is>
      </c>
      <c r="D94" s="0" t="inlineStr">
        <is>
          <t xml:space="preserve">Component Repair Technologies Inc.</t>
        </is>
      </c>
      <c r="E94" s="0" t="inlineStr">
        <is>
          <t xml:space="preserve">ddg_gfe_propulsion</t>
        </is>
      </c>
      <c r="F94" s="0" t="inlineStr">
        <is>
          <t xml:space="preserve">component_procurement</t>
        </is>
      </c>
      <c r="G94" s="0" t="inlineStr">
        <is>
          <t xml:space="preserve">EXCLUDE_GFE</t>
        </is>
      </c>
      <c r="H94" s="0" t="inlineStr">
        <is>
          <t xml:space="preserve">BC</t>
        </is>
      </c>
      <c r="I94" s="5">
        <v>1</v>
      </c>
      <c r="J94" s="5">
        <v>1</v>
      </c>
      <c r="K94" s="5">
        <v>1</v>
      </c>
      <c r="L94" s="5">
        <v>0</v>
      </c>
      <c r="M94" s="5">
        <v>18.850639</v>
      </c>
      <c r="N94" s="7">
        <v>0.0</v>
      </c>
      <c r="O94" s="7">
        <v>0.0</v>
      </c>
      <c r="P94" s="7">
        <v>1.0</v>
      </c>
      <c r="Q94" s="7">
        <v>0.0</v>
      </c>
    </row>
    <row r="95" outlineLevel="1">
      <c r="B95" s="0" t="inlineStr">
        <is>
          <t xml:space="preserve">2025-08-08</t>
        </is>
      </c>
      <c r="C95" s="0" t="inlineStr">
        <is>
          <t xml:space="preserve">N00024-23-C-5101</t>
        </is>
      </c>
      <c r="D95" s="0" t="inlineStr">
        <is>
          <t xml:space="preserve">-</t>
        </is>
      </c>
      <c r="E95" s="0" t="inlineStr">
        <is>
          <t xml:space="preserve">ddg_gfe_aegis</t>
        </is>
      </c>
      <c r="F95" s="0" t="inlineStr">
        <is>
          <t xml:space="preserve">component_procurement</t>
        </is>
      </c>
      <c r="G95" s="0" t="inlineStr">
        <is>
          <t xml:space="preserve">EXCLUDE_GFE</t>
        </is>
      </c>
      <c r="H95" s="0" t="inlineStr">
        <is>
          <t xml:space="preserve">BC</t>
        </is>
      </c>
      <c r="I95" s="5">
        <v>1</v>
      </c>
      <c r="J95" s="5">
        <v>1</v>
      </c>
      <c r="K95" s="5">
        <v>1</v>
      </c>
      <c r="L95" s="5">
        <v>0</v>
      </c>
      <c r="M95" s="5">
        <v>18.601447</v>
      </c>
      <c r="N95" s="7">
        <v>0.0</v>
      </c>
      <c r="O95" s="7">
        <v>0.0</v>
      </c>
      <c r="P95" s="7">
        <v>0.0</v>
      </c>
      <c r="Q95" s="7">
        <v>0.0</v>
      </c>
    </row>
    <row r="96" outlineLevel="1">
      <c r="B96" s="0" t="inlineStr">
        <is>
          <t xml:space="preserve">2025-04-28</t>
        </is>
      </c>
      <c r="C96" s="0" t="inlineStr">
        <is>
          <t xml:space="preserve">N00024-21-C-5393</t>
        </is>
      </c>
      <c r="D96" s="0" t="inlineStr">
        <is>
          <t xml:space="preserve">BAE Systems Land &amp; Armaments L.P</t>
        </is>
      </c>
      <c r="E96" s="0" t="inlineStr">
        <is>
          <t xml:space="preserve">ddg_gfe_vls</t>
        </is>
      </c>
      <c r="F96" s="0" t="inlineStr">
        <is>
          <t xml:space="preserve">component_procurement</t>
        </is>
      </c>
      <c r="G96" s="0" t="inlineStr">
        <is>
          <t xml:space="preserve">EXCLUDE_GFE</t>
        </is>
      </c>
      <c r="H96" s="0" t="inlineStr">
        <is>
          <t xml:space="preserve">BC</t>
        </is>
      </c>
      <c r="I96" s="5">
        <v>1</v>
      </c>
      <c r="J96" s="5">
        <v>1</v>
      </c>
      <c r="K96" s="5">
        <v>1</v>
      </c>
      <c r="L96" s="5">
        <v>0</v>
      </c>
      <c r="M96" s="5">
        <v>18.419651</v>
      </c>
      <c r="N96" s="7">
        <v>0.06</v>
      </c>
      <c r="O96" s="7">
        <v>0.06</v>
      </c>
      <c r="P96" s="7">
        <v>0.52</v>
      </c>
      <c r="Q96" s="7">
        <v>0.0</v>
      </c>
    </row>
    <row r="97" outlineLevel="1">
      <c r="B97" s="0" t="inlineStr">
        <is>
          <t xml:space="preserve">2025-09-11</t>
        </is>
      </c>
      <c r="C97" s="0" t="inlineStr">
        <is>
          <t xml:space="preserve">-</t>
        </is>
      </c>
      <c r="D97" s="0" t="inlineStr">
        <is>
          <t xml:space="preserve">-</t>
        </is>
      </c>
      <c r="E97" s="0" t="inlineStr">
        <is>
          <t xml:space="preserve">ddg_gfe_aegis</t>
        </is>
      </c>
      <c r="F97" s="0" t="inlineStr">
        <is>
          <t xml:space="preserve">component_procurement</t>
        </is>
      </c>
      <c r="G97" s="0" t="inlineStr">
        <is>
          <t xml:space="preserve">EXCLUDE_GFE</t>
        </is>
      </c>
      <c r="H97" s="0" t="inlineStr">
        <is>
          <t xml:space="preserve">BC</t>
        </is>
      </c>
      <c r="I97" s="5">
        <v>1</v>
      </c>
      <c r="J97" s="5">
        <v>1</v>
      </c>
      <c r="K97" s="5">
        <v>1</v>
      </c>
      <c r="L97" s="5">
        <v>0</v>
      </c>
      <c r="M97" s="5">
        <v>18.31575</v>
      </c>
      <c r="N97" s="7">
        <v>0.0</v>
      </c>
      <c r="O97" s="7">
        <v>0.0</v>
      </c>
      <c r="P97" s="7">
        <v>1.0</v>
      </c>
      <c r="Q97" s="7">
        <v>0.0</v>
      </c>
    </row>
    <row r="98" outlineLevel="1">
      <c r="B98" s="0" t="inlineStr">
        <is>
          <t xml:space="preserve">2025-09-15</t>
        </is>
      </c>
      <c r="C98" s="0" t="inlineStr">
        <is>
          <t xml:space="preserve">-</t>
        </is>
      </c>
      <c r="D98" s="0" t="inlineStr">
        <is>
          <t xml:space="preserve">-</t>
        </is>
      </c>
      <c r="E98" s="0" t="inlineStr">
        <is>
          <t xml:space="preserve">ddg_gfe_aegis</t>
        </is>
      </c>
      <c r="F98" s="0" t="inlineStr">
        <is>
          <t xml:space="preserve">component_procurement</t>
        </is>
      </c>
      <c r="G98" s="0" t="inlineStr">
        <is>
          <t xml:space="preserve">EXCLUDE_GFE</t>
        </is>
      </c>
      <c r="H98" s="0" t="inlineStr">
        <is>
          <t xml:space="preserve">BC</t>
        </is>
      </c>
      <c r="I98" s="5">
        <v>1</v>
      </c>
      <c r="J98" s="5">
        <v>1</v>
      </c>
      <c r="K98" s="5">
        <v>1</v>
      </c>
      <c r="L98" s="5">
        <v>0</v>
      </c>
      <c r="M98" s="5">
        <v>18.31575</v>
      </c>
      <c r="N98" s="7">
        <v>0.0</v>
      </c>
      <c r="O98" s="7">
        <v>0.0</v>
      </c>
      <c r="P98" s="7">
        <v>1.0</v>
      </c>
      <c r="Q98" s="7">
        <v>0.0</v>
      </c>
    </row>
    <row r="99" outlineLevel="1">
      <c r="B99" s="0" t="inlineStr">
        <is>
          <t xml:space="preserve">2024-05-30</t>
        </is>
      </c>
      <c r="C99" s="0" t="inlineStr">
        <is>
          <t xml:space="preserve">-</t>
        </is>
      </c>
      <c r="D99" s="0" t="inlineStr">
        <is>
          <t xml:space="preserve">General Electric (GE)</t>
        </is>
      </c>
      <c r="E99" s="0" t="inlineStr">
        <is>
          <t xml:space="preserve">ddg_gfe_propulsion</t>
        </is>
      </c>
      <c r="F99" s="0" t="inlineStr">
        <is>
          <t xml:space="preserve">component_procurement</t>
        </is>
      </c>
      <c r="G99" s="0" t="inlineStr">
        <is>
          <t xml:space="preserve">EXCLUDE_GFE</t>
        </is>
      </c>
      <c r="H99" s="0" t="inlineStr">
        <is>
          <t xml:space="preserve">BC</t>
        </is>
      </c>
      <c r="I99" s="5">
        <v>1</v>
      </c>
      <c r="J99" s="5">
        <v>1</v>
      </c>
      <c r="K99" s="5">
        <v>1</v>
      </c>
      <c r="L99" s="5">
        <v>0</v>
      </c>
      <c r="M99" s="5">
        <v>18.0</v>
      </c>
      <c r="N99" s="7">
        <v>0.0</v>
      </c>
      <c r="O99" s="7">
        <v>0.0</v>
      </c>
      <c r="P99" s="7">
        <v>1.0</v>
      </c>
      <c r="Q99" s="7">
        <v>0.0</v>
      </c>
    </row>
    <row r="100" outlineLevel="1">
      <c r="B100" s="0" t="inlineStr">
        <is>
          <t xml:space="preserve">2024-09-24</t>
        </is>
      </c>
      <c r="C100" s="0" t="inlineStr">
        <is>
          <t xml:space="preserve">-</t>
        </is>
      </c>
      <c r="D100" s="0" t="inlineStr">
        <is>
          <t xml:space="preserve">-</t>
        </is>
      </c>
      <c r="E100" s="0" t="inlineStr">
        <is>
          <t xml:space="preserve">ddg_gfe_radar</t>
        </is>
      </c>
      <c r="F100" s="0" t="inlineStr">
        <is>
          <t xml:space="preserve">component_procurement</t>
        </is>
      </c>
      <c r="G100" s="0" t="inlineStr">
        <is>
          <t xml:space="preserve">EXCLUDE_GFE</t>
        </is>
      </c>
      <c r="H100" s="0" t="inlineStr">
        <is>
          <t xml:space="preserve">BC</t>
        </is>
      </c>
      <c r="I100" s="5">
        <v>1</v>
      </c>
      <c r="J100" s="5">
        <v>1</v>
      </c>
      <c r="K100" s="5">
        <v>1</v>
      </c>
      <c r="L100" s="5">
        <v>0</v>
      </c>
      <c r="M100" s="5">
        <v>17.996</v>
      </c>
      <c r="N100" s="7">
        <v>0.0</v>
      </c>
      <c r="O100" s="7">
        <v>0.0</v>
      </c>
      <c r="P100" s="7">
        <v>1.0</v>
      </c>
      <c r="Q100" s="7">
        <v>0.0</v>
      </c>
    </row>
    <row r="101" outlineLevel="1">
      <c r="B101" s="0" t="inlineStr">
        <is>
          <t xml:space="preserve">2026-03-19</t>
        </is>
      </c>
      <c r="C101" s="0" t="inlineStr">
        <is>
          <t xml:space="preserve">N00024-23-C-5123</t>
        </is>
      </c>
      <c r="D101" s="0" t="inlineStr">
        <is>
          <t xml:space="preserve">Lockheed Martin Rotary and Mission Systems</t>
        </is>
      </c>
      <c r="E101" s="0" t="inlineStr">
        <is>
          <t xml:space="preserve">ddg_gfe_aegis</t>
        </is>
      </c>
      <c r="F101" s="0" t="inlineStr">
        <is>
          <t xml:space="preserve">component_procurement</t>
        </is>
      </c>
      <c r="G101" s="0" t="inlineStr">
        <is>
          <t xml:space="preserve">EXCLUDE_GFE</t>
        </is>
      </c>
      <c r="H101" s="0" t="inlineStr">
        <is>
          <t xml:space="preserve">BC</t>
        </is>
      </c>
      <c r="I101" s="5">
        <v>1</v>
      </c>
      <c r="J101" s="5">
        <v>1</v>
      </c>
      <c r="K101" s="5">
        <v>1</v>
      </c>
      <c r="L101" s="5">
        <v>0</v>
      </c>
      <c r="M101" s="5">
        <v>16.921471</v>
      </c>
      <c r="N101" s="7">
        <v>0.0</v>
      </c>
      <c r="O101" s="7">
        <v>0.0</v>
      </c>
      <c r="P101" s="7">
        <v>1.0</v>
      </c>
      <c r="Q101" s="7">
        <v>0.0</v>
      </c>
    </row>
    <row r="102" outlineLevel="1">
      <c r="B102" s="0" t="inlineStr">
        <is>
          <t xml:space="preserve">2024-09-27</t>
        </is>
      </c>
      <c r="C102" s="0" t="inlineStr">
        <is>
          <t xml:space="preserve">-</t>
        </is>
      </c>
      <c r="D102" s="0" t="inlineStr">
        <is>
          <t xml:space="preserve">Raytheon Missiles &amp; Defense</t>
        </is>
      </c>
      <c r="E102" s="0" t="inlineStr">
        <is>
          <t xml:space="preserve">ddg_gfe_radar</t>
        </is>
      </c>
      <c r="F102" s="0" t="inlineStr">
        <is>
          <t xml:space="preserve">component_procurement</t>
        </is>
      </c>
      <c r="G102" s="0" t="inlineStr">
        <is>
          <t xml:space="preserve">EXCLUDE_GFE</t>
        </is>
      </c>
      <c r="H102" s="0" t="inlineStr">
        <is>
          <t xml:space="preserve">BC</t>
        </is>
      </c>
      <c r="I102" s="5">
        <v>1</v>
      </c>
      <c r="J102" s="5">
        <v>1</v>
      </c>
      <c r="K102" s="5">
        <v>1</v>
      </c>
      <c r="L102" s="5">
        <v>0</v>
      </c>
      <c r="M102" s="5">
        <v>16.199197</v>
      </c>
      <c r="N102" s="7">
        <v>0.0</v>
      </c>
      <c r="O102" s="7">
        <v>0.0</v>
      </c>
      <c r="P102" s="7">
        <v>0.93</v>
      </c>
      <c r="Q102" s="7">
        <v>0.0</v>
      </c>
    </row>
    <row r="103" outlineLevel="1">
      <c r="B103" s="0" t="inlineStr">
        <is>
          <t xml:space="preserve">2024-09-27</t>
        </is>
      </c>
      <c r="C103" s="0" t="inlineStr">
        <is>
          <t xml:space="preserve">-</t>
        </is>
      </c>
      <c r="D103" s="0" t="inlineStr">
        <is>
          <t xml:space="preserve">General Dynamics Information Technology Inc.</t>
        </is>
      </c>
      <c r="E103" s="0" t="inlineStr">
        <is>
          <t xml:space="preserve">ddg_gfe_vls</t>
        </is>
      </c>
      <c r="F103" s="0" t="inlineStr">
        <is>
          <t xml:space="preserve">component_procurement</t>
        </is>
      </c>
      <c r="G103" s="0" t="inlineStr">
        <is>
          <t xml:space="preserve">EXCLUDE_GFE</t>
        </is>
      </c>
      <c r="H103" s="0" t="inlineStr">
        <is>
          <t xml:space="preserve">BC</t>
        </is>
      </c>
      <c r="I103" s="5">
        <v>1</v>
      </c>
      <c r="J103" s="5">
        <v>1</v>
      </c>
      <c r="K103" s="5">
        <v>1</v>
      </c>
      <c r="L103" s="5">
        <v>0</v>
      </c>
      <c r="M103" s="5">
        <v>16.166621</v>
      </c>
      <c r="N103" s="7">
        <v>0.0</v>
      </c>
      <c r="O103" s="7">
        <v>0.0</v>
      </c>
      <c r="P103" s="7">
        <v>0.85</v>
      </c>
      <c r="Q103" s="7">
        <v>0.0</v>
      </c>
    </row>
    <row r="104" outlineLevel="1">
      <c r="B104" s="0" t="inlineStr">
        <is>
          <t xml:space="preserve">2022-12-12</t>
        </is>
      </c>
      <c r="C104" s="0" t="inlineStr">
        <is>
          <t xml:space="preserve">-</t>
        </is>
      </c>
      <c r="D104" s="0" t="inlineStr">
        <is>
          <t xml:space="preserve">-</t>
        </is>
      </c>
      <c r="E104" s="0" t="inlineStr">
        <is>
          <t xml:space="preserve">ddg_gfe_aegis</t>
        </is>
      </c>
      <c r="F104" s="0" t="inlineStr">
        <is>
          <t xml:space="preserve">component_procurement</t>
        </is>
      </c>
      <c r="G104" s="0" t="inlineStr">
        <is>
          <t xml:space="preserve">EXCLUDE_GFE</t>
        </is>
      </c>
      <c r="H104" s="0" t="inlineStr">
        <is>
          <t xml:space="preserve">BC</t>
        </is>
      </c>
      <c r="I104" s="5">
        <v>1</v>
      </c>
      <c r="J104" s="5">
        <v>1</v>
      </c>
      <c r="K104" s="5">
        <v>1</v>
      </c>
      <c r="L104" s="5">
        <v>0</v>
      </c>
      <c r="M104" s="5">
        <v>14.931368</v>
      </c>
      <c r="N104" s="7">
        <v>0.0</v>
      </c>
      <c r="O104" s="7">
        <v>0.0</v>
      </c>
      <c r="P104" s="7">
        <v>1.0</v>
      </c>
      <c r="Q104" s="7">
        <v>0.0</v>
      </c>
    </row>
    <row r="105" outlineLevel="1">
      <c r="B105" s="0" t="inlineStr">
        <is>
          <t xml:space="preserve">2024-09-27</t>
        </is>
      </c>
      <c r="C105" s="0" t="inlineStr">
        <is>
          <t xml:space="preserve">-</t>
        </is>
      </c>
      <c r="D105" s="0" t="inlineStr">
        <is>
          <t xml:space="preserve">L3 Technologies Inc.</t>
        </is>
      </c>
      <c r="E105" s="0" t="inlineStr">
        <is>
          <t xml:space="preserve">ddg_gfe_combat_systems</t>
        </is>
      </c>
      <c r="F105" s="0" t="inlineStr">
        <is>
          <t xml:space="preserve">component_procurement</t>
        </is>
      </c>
      <c r="G105" s="0" t="inlineStr">
        <is>
          <t xml:space="preserve">EXCLUDE_GFE</t>
        </is>
      </c>
      <c r="H105" s="0" t="inlineStr">
        <is>
          <t xml:space="preserve">BC</t>
        </is>
      </c>
      <c r="I105" s="5">
        <v>1</v>
      </c>
      <c r="J105" s="5">
        <v>1</v>
      </c>
      <c r="K105" s="5">
        <v>1</v>
      </c>
      <c r="L105" s="5">
        <v>0</v>
      </c>
      <c r="M105" s="5">
        <v>14.565198</v>
      </c>
      <c r="N105" s="7">
        <v>0.0</v>
      </c>
      <c r="O105" s="7">
        <v>0.0</v>
      </c>
      <c r="P105" s="7">
        <v>1.0</v>
      </c>
      <c r="Q105" s="7">
        <v>0.0</v>
      </c>
    </row>
    <row r="106" outlineLevel="1">
      <c r="B106" s="0" t="inlineStr">
        <is>
          <t xml:space="preserve">2025-03-14</t>
        </is>
      </c>
      <c r="C106" s="0" t="inlineStr">
        <is>
          <t xml:space="preserve">N00024-15-C-5151</t>
        </is>
      </c>
      <c r="D106" s="0" t="inlineStr">
        <is>
          <t xml:space="preserve">Lockheed Martin Rotary and Mission Systems</t>
        </is>
      </c>
      <c r="E106" s="0" t="inlineStr">
        <is>
          <t xml:space="preserve">ddg_gfe_aegis</t>
        </is>
      </c>
      <c r="F106" s="0" t="inlineStr">
        <is>
          <t xml:space="preserve">component_procurement</t>
        </is>
      </c>
      <c r="G106" s="0" t="inlineStr">
        <is>
          <t xml:space="preserve">EXCLUDE_GFE</t>
        </is>
      </c>
      <c r="H106" s="0" t="inlineStr">
        <is>
          <t xml:space="preserve">BC</t>
        </is>
      </c>
      <c r="I106" s="5">
        <v>1</v>
      </c>
      <c r="J106" s="5">
        <v>1</v>
      </c>
      <c r="K106" s="5">
        <v>1</v>
      </c>
      <c r="L106" s="5">
        <v>0</v>
      </c>
      <c r="M106" s="5">
        <v>13.907941</v>
      </c>
      <c r="N106" s="7">
        <v>0.1</v>
      </c>
      <c r="O106" s="7">
        <v>0.09</v>
      </c>
      <c r="P106" s="7">
        <v>0.81</v>
      </c>
      <c r="Q106" s="7">
        <v>0.0</v>
      </c>
    </row>
    <row r="107" outlineLevel="1">
      <c r="B107" s="0" t="inlineStr">
        <is>
          <t xml:space="preserve">2024-09-03</t>
        </is>
      </c>
      <c r="C107" s="0" t="inlineStr">
        <is>
          <t xml:space="preserve">N00024-24-C-2321</t>
        </is>
      </c>
      <c r="D107" s="0" t="inlineStr">
        <is>
          <t xml:space="preserve">BAE Systems Jacksonville Ship Repair LLC</t>
        </is>
      </c>
      <c r="E107" s="0" t="inlineStr">
        <is>
          <t xml:space="preserve">ddg51</t>
        </is>
      </c>
      <c r="F107" s="0" t="inlineStr">
        <is>
          <t xml:space="preserve">construction</t>
        </is>
      </c>
      <c r="G107" s="0" t="inlineStr">
        <is>
          <t xml:space="preserve">INCLUDE_BC</t>
        </is>
      </c>
      <c r="H107" s="0" t="inlineStr">
        <is>
          <t xml:space="preserve">BC</t>
        </is>
      </c>
      <c r="I107" s="5">
        <v>1</v>
      </c>
      <c r="J107" s="5">
        <v>0</v>
      </c>
      <c r="K107" s="5">
        <v>1</v>
      </c>
      <c r="L107" s="5">
        <v>0</v>
      </c>
      <c r="M107" s="5">
        <v>13.820527</v>
      </c>
      <c r="N107" s="7">
        <v>0.0</v>
      </c>
      <c r="O107" s="7">
        <v>0.0</v>
      </c>
      <c r="P107" s="7">
        <v>1.0</v>
      </c>
      <c r="Q107" s="7">
        <v>0.0</v>
      </c>
    </row>
    <row r="108" outlineLevel="1">
      <c r="B108" s="0" t="inlineStr">
        <is>
          <t xml:space="preserve">2023-09-29</t>
        </is>
      </c>
      <c r="C108" s="0" t="inlineStr">
        <is>
          <t xml:space="preserve">-</t>
        </is>
      </c>
      <c r="D108" s="0" t="inlineStr">
        <is>
          <t xml:space="preserve">General Dynamics Information Technology Inc.</t>
        </is>
      </c>
      <c r="E108" s="0" t="inlineStr">
        <is>
          <t xml:space="preserve">ddg_gfe_vls</t>
        </is>
      </c>
      <c r="F108" s="0" t="inlineStr">
        <is>
          <t xml:space="preserve">component_procurement</t>
        </is>
      </c>
      <c r="G108" s="0" t="inlineStr">
        <is>
          <t xml:space="preserve">EXCLUDE_GFE</t>
        </is>
      </c>
      <c r="H108" s="0" t="inlineStr">
        <is>
          <t xml:space="preserve">BC</t>
        </is>
      </c>
      <c r="I108" s="5">
        <v>1</v>
      </c>
      <c r="J108" s="5">
        <v>1</v>
      </c>
      <c r="K108" s="5">
        <v>1</v>
      </c>
      <c r="L108" s="5">
        <v>0</v>
      </c>
      <c r="M108" s="5">
        <v>13.753992</v>
      </c>
      <c r="N108" s="7">
        <v>0.0</v>
      </c>
      <c r="O108" s="7">
        <v>0.0</v>
      </c>
      <c r="P108" s="7">
        <v>0.81</v>
      </c>
      <c r="Q108" s="7">
        <v>0.0</v>
      </c>
    </row>
    <row r="109" outlineLevel="1">
      <c r="B109" s="0" t="inlineStr">
        <is>
          <t xml:space="preserve">2024-06-24</t>
        </is>
      </c>
      <c r="C109" s="0" t="inlineStr">
        <is>
          <t xml:space="preserve">-</t>
        </is>
      </c>
      <c r="D109" s="0" t="inlineStr">
        <is>
          <t xml:space="preserve">-</t>
        </is>
      </c>
      <c r="E109" s="0" t="inlineStr">
        <is>
          <t xml:space="preserve">ddg_gfe_aegis</t>
        </is>
      </c>
      <c r="F109" s="0" t="inlineStr">
        <is>
          <t xml:space="preserve">component_procurement</t>
        </is>
      </c>
      <c r="G109" s="0" t="inlineStr">
        <is>
          <t xml:space="preserve">EXCLUDE_GFE</t>
        </is>
      </c>
      <c r="H109" s="0" t="inlineStr">
        <is>
          <t xml:space="preserve">BC</t>
        </is>
      </c>
      <c r="I109" s="5">
        <v>1</v>
      </c>
      <c r="J109" s="5">
        <v>1</v>
      </c>
      <c r="K109" s="5">
        <v>1</v>
      </c>
      <c r="L109" s="5">
        <v>0</v>
      </c>
      <c r="M109" s="5">
        <v>13.68648</v>
      </c>
      <c r="N109" s="7">
        <v>0.0</v>
      </c>
      <c r="O109" s="7">
        <v>0.0</v>
      </c>
      <c r="P109" s="7">
        <v>1.0</v>
      </c>
      <c r="Q109" s="7">
        <v>0.0</v>
      </c>
    </row>
    <row r="110" outlineLevel="1">
      <c r="B110" s="0" t="inlineStr">
        <is>
          <t xml:space="preserve">2024-07-25</t>
        </is>
      </c>
      <c r="C110" s="0" t="inlineStr">
        <is>
          <t xml:space="preserve">-</t>
        </is>
      </c>
      <c r="D110" s="0" t="inlineStr">
        <is>
          <t xml:space="preserve">-</t>
        </is>
      </c>
      <c r="E110" s="0" t="inlineStr">
        <is>
          <t xml:space="preserve">ddg_gfe_vls</t>
        </is>
      </c>
      <c r="F110" s="0" t="inlineStr">
        <is>
          <t xml:space="preserve">component_procurement</t>
        </is>
      </c>
      <c r="G110" s="0" t="inlineStr">
        <is>
          <t xml:space="preserve">EXCLUDE_GFE</t>
        </is>
      </c>
      <c r="H110" s="0" t="inlineStr">
        <is>
          <t xml:space="preserve">BC</t>
        </is>
      </c>
      <c r="I110" s="5">
        <v>1</v>
      </c>
      <c r="J110" s="5">
        <v>1</v>
      </c>
      <c r="K110" s="5">
        <v>1</v>
      </c>
      <c r="L110" s="5">
        <v>0</v>
      </c>
      <c r="M110" s="5">
        <v>13.669843</v>
      </c>
      <c r="N110" s="7">
        <v>0.0</v>
      </c>
      <c r="O110" s="7">
        <v>0.0</v>
      </c>
      <c r="P110" s="7">
        <v>1.0</v>
      </c>
      <c r="Q110" s="7">
        <v>0.0</v>
      </c>
    </row>
    <row r="111" outlineLevel="1">
      <c r="B111" s="0" t="inlineStr">
        <is>
          <t xml:space="preserve">2022-08-23</t>
        </is>
      </c>
      <c r="C111" s="0" t="inlineStr">
        <is>
          <t xml:space="preserve">-</t>
        </is>
      </c>
      <c r="D111" s="0" t="inlineStr">
        <is>
          <t xml:space="preserve">-</t>
        </is>
      </c>
      <c r="E111" s="0" t="inlineStr">
        <is>
          <t xml:space="preserve">ddg_gfe_aegis</t>
        </is>
      </c>
      <c r="F111" s="0" t="inlineStr">
        <is>
          <t xml:space="preserve">component_procurement</t>
        </is>
      </c>
      <c r="G111" s="0" t="inlineStr">
        <is>
          <t xml:space="preserve">EXCLUDE_GFE</t>
        </is>
      </c>
      <c r="H111" s="0" t="inlineStr">
        <is>
          <t xml:space="preserve">BC</t>
        </is>
      </c>
      <c r="I111" s="5">
        <v>1</v>
      </c>
      <c r="J111" s="5">
        <v>1</v>
      </c>
      <c r="K111" s="5">
        <v>1</v>
      </c>
      <c r="L111" s="5">
        <v>0</v>
      </c>
      <c r="M111" s="5">
        <v>13.542835</v>
      </c>
      <c r="N111" s="7">
        <v>0.0</v>
      </c>
      <c r="O111" s="7">
        <v>0.0</v>
      </c>
      <c r="P111" s="7">
        <v>1.0</v>
      </c>
      <c r="Q111" s="7">
        <v>0.0</v>
      </c>
    </row>
    <row r="112" outlineLevel="1">
      <c r="B112" s="0" t="inlineStr">
        <is>
          <t xml:space="preserve">2023-02-27</t>
        </is>
      </c>
      <c r="C112" s="0" t="inlineStr">
        <is>
          <t xml:space="preserve">-</t>
        </is>
      </c>
      <c r="D112" s="0" t="inlineStr">
        <is>
          <t xml:space="preserve">-</t>
        </is>
      </c>
      <c r="E112" s="0" t="inlineStr">
        <is>
          <t xml:space="preserve">ddg_gfe_aegis</t>
        </is>
      </c>
      <c r="F112" s="0" t="inlineStr">
        <is>
          <t xml:space="preserve">component_procurement</t>
        </is>
      </c>
      <c r="G112" s="0" t="inlineStr">
        <is>
          <t xml:space="preserve">EXCLUDE_GFE</t>
        </is>
      </c>
      <c r="H112" s="0" t="inlineStr">
        <is>
          <t xml:space="preserve">BC</t>
        </is>
      </c>
      <c r="I112" s="5">
        <v>1</v>
      </c>
      <c r="J112" s="5">
        <v>1</v>
      </c>
      <c r="K112" s="5">
        <v>1</v>
      </c>
      <c r="L112" s="5">
        <v>0</v>
      </c>
      <c r="M112" s="5">
        <v>13.174736</v>
      </c>
      <c r="N112" s="7">
        <v>0.0</v>
      </c>
      <c r="O112" s="7">
        <v>0.0</v>
      </c>
      <c r="P112" s="7">
        <v>1.0</v>
      </c>
      <c r="Q112" s="7">
        <v>0.0</v>
      </c>
    </row>
    <row r="113" outlineLevel="1">
      <c r="B113" s="0" t="inlineStr">
        <is>
          <t xml:space="preserve">2025-06-30</t>
        </is>
      </c>
      <c r="C113" s="0" t="inlineStr">
        <is>
          <t xml:space="preserve">N00024-19-C-5602</t>
        </is>
      </c>
      <c r="D113" s="0" t="inlineStr">
        <is>
          <t xml:space="preserve">Lockheed Martin Rotary and Mission Systems</t>
        </is>
      </c>
      <c r="E113" s="0" t="inlineStr">
        <is>
          <t xml:space="preserve">ddg_gfe_aegis</t>
        </is>
      </c>
      <c r="F113" s="0" t="inlineStr">
        <is>
          <t xml:space="preserve">component_procurement</t>
        </is>
      </c>
      <c r="G113" s="0" t="inlineStr">
        <is>
          <t xml:space="preserve">EXCLUDE_GFE</t>
        </is>
      </c>
      <c r="H113" s="0" t="inlineStr">
        <is>
          <t xml:space="preserve">BC</t>
        </is>
      </c>
      <c r="I113" s="5">
        <v>1</v>
      </c>
      <c r="J113" s="5">
        <v>1</v>
      </c>
      <c r="K113" s="5">
        <v>1</v>
      </c>
      <c r="L113" s="5">
        <v>0</v>
      </c>
      <c r="M113" s="5">
        <v>13.137998</v>
      </c>
      <c r="N113" s="7">
        <v>0.0</v>
      </c>
      <c r="O113" s="7">
        <v>0.0</v>
      </c>
      <c r="P113" s="7">
        <v>0.43</v>
      </c>
      <c r="Q113" s="7">
        <v>0.0</v>
      </c>
    </row>
    <row r="114" outlineLevel="1">
      <c r="B114" s="0" t="inlineStr">
        <is>
          <t xml:space="preserve">2025-02-26</t>
        </is>
      </c>
      <c r="C114" s="0" t="inlineStr">
        <is>
          <t xml:space="preserve">-</t>
        </is>
      </c>
      <c r="D114" s="0" t="inlineStr">
        <is>
          <t xml:space="preserve">-</t>
        </is>
      </c>
      <c r="E114" s="0" t="inlineStr">
        <is>
          <t xml:space="preserve">ddg51</t>
        </is>
      </c>
      <c r="F114" s="0" t="inlineStr">
        <is>
          <t xml:space="preserve">construction</t>
        </is>
      </c>
      <c r="G114" s="0" t="inlineStr">
        <is>
          <t xml:space="preserve">INCLUDE_BC</t>
        </is>
      </c>
      <c r="H114" s="0" t="inlineStr">
        <is>
          <t xml:space="preserve">BC</t>
        </is>
      </c>
      <c r="I114" s="5">
        <v>1</v>
      </c>
      <c r="J114" s="5">
        <v>0</v>
      </c>
      <c r="K114" s="5">
        <v>1</v>
      </c>
      <c r="L114" s="5">
        <v>0</v>
      </c>
      <c r="M114" s="5">
        <v>13.06478</v>
      </c>
      <c r="N114" s="7">
        <v>0.0</v>
      </c>
      <c r="O114" s="7">
        <v>0.0</v>
      </c>
      <c r="P114" s="7">
        <v>0.0</v>
      </c>
      <c r="Q114" s="7">
        <v>0.0</v>
      </c>
    </row>
    <row r="115" outlineLevel="1">
      <c r="B115" s="0" t="inlineStr">
        <is>
          <t xml:space="preserve">2022-08-10</t>
        </is>
      </c>
      <c r="C115" s="0" t="inlineStr">
        <is>
          <t xml:space="preserve">-</t>
        </is>
      </c>
      <c r="D115" s="0" t="inlineStr">
        <is>
          <t xml:space="preserve">Lockheed Martin Corp. Rotary and Mission Systems</t>
        </is>
      </c>
      <c r="E115" s="0" t="inlineStr">
        <is>
          <t xml:space="preserve">ddg_gfe_aegis</t>
        </is>
      </c>
      <c r="F115" s="0" t="inlineStr">
        <is>
          <t xml:space="preserve">component_procurement</t>
        </is>
      </c>
      <c r="G115" s="0" t="inlineStr">
        <is>
          <t xml:space="preserve">EXCLUDE_GFE</t>
        </is>
      </c>
      <c r="H115" s="0" t="inlineStr">
        <is>
          <t xml:space="preserve">BC</t>
        </is>
      </c>
      <c r="I115" s="5">
        <v>1</v>
      </c>
      <c r="J115" s="5">
        <v>1</v>
      </c>
      <c r="K115" s="5">
        <v>1</v>
      </c>
      <c r="L115" s="5">
        <v>0</v>
      </c>
      <c r="M115" s="5">
        <v>12.872086</v>
      </c>
      <c r="N115" s="7">
        <v>0.0</v>
      </c>
      <c r="O115" s="7">
        <v>0.0</v>
      </c>
      <c r="P115" s="7">
        <v>1.0</v>
      </c>
      <c r="Q115" s="7">
        <v>0.0</v>
      </c>
    </row>
    <row r="116" outlineLevel="1">
      <c r="B116" s="0" t="inlineStr">
        <is>
          <t xml:space="preserve">2025-12-23</t>
        </is>
      </c>
      <c r="C116" s="0" t="inlineStr">
        <is>
          <t xml:space="preserve">-</t>
        </is>
      </c>
      <c r="D116" s="0" t="inlineStr">
        <is>
          <t xml:space="preserve">-</t>
        </is>
      </c>
      <c r="E116" s="0" t="inlineStr">
        <is>
          <t xml:space="preserve">ddg_gfe_vls</t>
        </is>
      </c>
      <c r="F116" s="0" t="inlineStr">
        <is>
          <t xml:space="preserve">component_procurement</t>
        </is>
      </c>
      <c r="G116" s="0" t="inlineStr">
        <is>
          <t xml:space="preserve">EXCLUDE_GFE</t>
        </is>
      </c>
      <c r="H116" s="0" t="inlineStr">
        <is>
          <t xml:space="preserve">BC</t>
        </is>
      </c>
      <c r="I116" s="5">
        <v>1</v>
      </c>
      <c r="J116" s="5">
        <v>1</v>
      </c>
      <c r="K116" s="5">
        <v>1</v>
      </c>
      <c r="L116" s="5">
        <v>0</v>
      </c>
      <c r="M116" s="5">
        <v>12.584393</v>
      </c>
      <c r="N116" s="7">
        <v>0.0</v>
      </c>
      <c r="O116" s="7">
        <v>0.0</v>
      </c>
      <c r="P116" s="7">
        <v>0.0</v>
      </c>
      <c r="Q116" s="7">
        <v>0.0</v>
      </c>
    </row>
    <row r="117" outlineLevel="1">
      <c r="B117" s="0" t="inlineStr">
        <is>
          <t xml:space="preserve">2024-06-12</t>
        </is>
      </c>
      <c r="C117" s="0" t="inlineStr">
        <is>
          <t xml:space="preserve">-</t>
        </is>
      </c>
      <c r="D117" s="0" t="inlineStr">
        <is>
          <t xml:space="preserve">Lockheed Martin Rotary and Mission Systems</t>
        </is>
      </c>
      <c r="E117" s="0" t="inlineStr">
        <is>
          <t xml:space="preserve">ddg_gfe_aegis</t>
        </is>
      </c>
      <c r="F117" s="0" t="inlineStr">
        <is>
          <t xml:space="preserve">component_procurement</t>
        </is>
      </c>
      <c r="G117" s="0" t="inlineStr">
        <is>
          <t xml:space="preserve">EXCLUDE_GFE</t>
        </is>
      </c>
      <c r="H117" s="0" t="inlineStr">
        <is>
          <t xml:space="preserve">BC</t>
        </is>
      </c>
      <c r="I117" s="5">
        <v>1</v>
      </c>
      <c r="J117" s="5">
        <v>1</v>
      </c>
      <c r="K117" s="5">
        <v>1</v>
      </c>
      <c r="L117" s="5">
        <v>0</v>
      </c>
      <c r="M117" s="5">
        <v>12.483446</v>
      </c>
      <c r="N117" s="7">
        <v>0.0</v>
      </c>
      <c r="O117" s="7">
        <v>0.0</v>
      </c>
      <c r="P117" s="7">
        <v>1.0</v>
      </c>
      <c r="Q117" s="7">
        <v>0.0</v>
      </c>
    </row>
    <row r="118" outlineLevel="1">
      <c r="B118" s="0" t="inlineStr">
        <is>
          <t xml:space="preserve">2026-05-20</t>
        </is>
      </c>
      <c r="C118" s="0" t="inlineStr">
        <is>
          <t xml:space="preserve">-</t>
        </is>
      </c>
      <c r="D118" s="0" t="inlineStr">
        <is>
          <t xml:space="preserve">Huntington-Ingalls Industries - Ingalls Shipbuilding</t>
        </is>
      </c>
      <c r="E118" s="0" t="inlineStr">
        <is>
          <t xml:space="preserve">ddg51</t>
        </is>
      </c>
      <c r="F118" s="0" t="inlineStr">
        <is>
          <t xml:space="preserve">construction</t>
        </is>
      </c>
      <c r="G118" s="0" t="inlineStr">
        <is>
          <t xml:space="preserve">INCLUDE_BC</t>
        </is>
      </c>
      <c r="H118" s="0" t="inlineStr">
        <is>
          <t xml:space="preserve">BC</t>
        </is>
      </c>
      <c r="I118" s="5">
        <v>1</v>
      </c>
      <c r="J118" s="5">
        <v>0</v>
      </c>
      <c r="K118" s="5">
        <v>1</v>
      </c>
      <c r="L118" s="5">
        <v>0</v>
      </c>
      <c r="M118" s="5">
        <v>12.475983</v>
      </c>
      <c r="N118" s="7">
        <v>0.0</v>
      </c>
      <c r="O118" s="7">
        <v>0.0</v>
      </c>
      <c r="P118" s="7">
        <v>0.0</v>
      </c>
      <c r="Q118" s="7">
        <v>0.0</v>
      </c>
    </row>
    <row r="119" outlineLevel="1">
      <c r="B119" s="0" t="inlineStr">
        <is>
          <t xml:space="preserve">2023-10-18</t>
        </is>
      </c>
      <c r="C119" s="0" t="inlineStr">
        <is>
          <t xml:space="preserve">N00024-20-C-5203</t>
        </is>
      </c>
      <c r="D119" s="0" t="inlineStr">
        <is>
          <t xml:space="preserve">Raytheon Co.</t>
        </is>
      </c>
      <c r="E119" s="0" t="inlineStr">
        <is>
          <t xml:space="preserve">ddg_gfe_combat_systems</t>
        </is>
      </c>
      <c r="F119" s="0" t="inlineStr">
        <is>
          <t xml:space="preserve">component_procurement</t>
        </is>
      </c>
      <c r="G119" s="0" t="inlineStr">
        <is>
          <t xml:space="preserve">EXCLUDE_GFE</t>
        </is>
      </c>
      <c r="H119" s="0" t="inlineStr">
        <is>
          <t xml:space="preserve">BC</t>
        </is>
      </c>
      <c r="I119" s="5">
        <v>1</v>
      </c>
      <c r="J119" s="5">
        <v>1</v>
      </c>
      <c r="K119" s="5">
        <v>1</v>
      </c>
      <c r="L119" s="5">
        <v>0</v>
      </c>
      <c r="M119" s="5">
        <v>12.415389</v>
      </c>
      <c r="N119" s="7">
        <v>0.0</v>
      </c>
      <c r="O119" s="7">
        <v>0.0</v>
      </c>
      <c r="P119" s="7">
        <v>1.0</v>
      </c>
      <c r="Q119" s="7">
        <v>0.0</v>
      </c>
    </row>
    <row r="120" outlineLevel="1">
      <c r="B120" s="0" t="inlineStr">
        <is>
          <t xml:space="preserve">2023-10-20</t>
        </is>
      </c>
      <c r="C120" s="0" t="inlineStr">
        <is>
          <t xml:space="preserve">-</t>
        </is>
      </c>
      <c r="D120" s="0" t="inlineStr">
        <is>
          <t xml:space="preserve">Lockheed Martin Rotary and Mission Systems</t>
        </is>
      </c>
      <c r="E120" s="0" t="inlineStr">
        <is>
          <t xml:space="preserve">ddg_gfe_aegis</t>
        </is>
      </c>
      <c r="F120" s="0" t="inlineStr">
        <is>
          <t xml:space="preserve">component_procurement</t>
        </is>
      </c>
      <c r="G120" s="0" t="inlineStr">
        <is>
          <t xml:space="preserve">EXCLUDE_GFE</t>
        </is>
      </c>
      <c r="H120" s="0" t="inlineStr">
        <is>
          <t xml:space="preserve">BC</t>
        </is>
      </c>
      <c r="I120" s="5">
        <v>1</v>
      </c>
      <c r="J120" s="5">
        <v>1</v>
      </c>
      <c r="K120" s="5">
        <v>1</v>
      </c>
      <c r="L120" s="5">
        <v>0</v>
      </c>
      <c r="M120" s="5">
        <v>12.289747</v>
      </c>
      <c r="N120" s="7">
        <v>0.0</v>
      </c>
      <c r="O120" s="7">
        <v>0.0</v>
      </c>
      <c r="P120" s="7">
        <v>1.0</v>
      </c>
      <c r="Q120" s="7">
        <v>0.0</v>
      </c>
    </row>
    <row r="121" outlineLevel="1">
      <c r="B121" s="0" t="inlineStr">
        <is>
          <t xml:space="preserve">2025-01-24</t>
        </is>
      </c>
      <c r="C121" s="0" t="inlineStr">
        <is>
          <t xml:space="preserve">N00024-24-C-5105</t>
        </is>
      </c>
      <c r="D121" s="0" t="inlineStr">
        <is>
          <t xml:space="preserve">Lockheed Martin Rotary and Mission Systems</t>
        </is>
      </c>
      <c r="E121" s="0" t="inlineStr">
        <is>
          <t xml:space="preserve">ddg_gfe_aegis</t>
        </is>
      </c>
      <c r="F121" s="0" t="inlineStr">
        <is>
          <t xml:space="preserve">component_procurement</t>
        </is>
      </c>
      <c r="G121" s="0" t="inlineStr">
        <is>
          <t xml:space="preserve">EXCLUDE_GFE</t>
        </is>
      </c>
      <c r="H121" s="0" t="inlineStr">
        <is>
          <t xml:space="preserve">BC</t>
        </is>
      </c>
      <c r="I121" s="5">
        <v>1</v>
      </c>
      <c r="J121" s="5">
        <v>1</v>
      </c>
      <c r="K121" s="5">
        <v>1</v>
      </c>
      <c r="L121" s="5">
        <v>0</v>
      </c>
      <c r="M121" s="5">
        <v>12.010982</v>
      </c>
      <c r="N121" s="7">
        <v>0.0</v>
      </c>
      <c r="O121" s="7">
        <v>0.15</v>
      </c>
      <c r="P121" s="7">
        <v>0.85</v>
      </c>
      <c r="Q121" s="7">
        <v>0.0</v>
      </c>
    </row>
    <row r="122" outlineLevel="1">
      <c r="B122" s="0" t="inlineStr">
        <is>
          <t xml:space="preserve">2025-07-31</t>
        </is>
      </c>
      <c r="C122" s="0" t="inlineStr">
        <is>
          <t xml:space="preserve">N00024-17-C-4109</t>
        </is>
      </c>
      <c r="D122" s="0" t="inlineStr">
        <is>
          <t xml:space="preserve">DRS Laurel Technologies Inc.</t>
        </is>
      </c>
      <c r="E122" s="0" t="inlineStr">
        <is>
          <t xml:space="preserve">ddg51</t>
        </is>
      </c>
      <c r="F122" s="0" t="inlineStr">
        <is>
          <t xml:space="preserve">construction</t>
        </is>
      </c>
      <c r="G122" s="0" t="inlineStr">
        <is>
          <t xml:space="preserve">INCLUDE_BC</t>
        </is>
      </c>
      <c r="H122" s="0" t="inlineStr">
        <is>
          <t xml:space="preserve">BC</t>
        </is>
      </c>
      <c r="I122" s="5">
        <v>1</v>
      </c>
      <c r="J122" s="5">
        <v>0</v>
      </c>
      <c r="K122" s="5">
        <v>1</v>
      </c>
      <c r="L122" s="5">
        <v>0</v>
      </c>
      <c r="M122" s="5">
        <v>11.526652</v>
      </c>
      <c r="N122" s="7">
        <v>0.0</v>
      </c>
      <c r="O122" s="7">
        <v>0.0</v>
      </c>
      <c r="P122" s="7">
        <v>1.0</v>
      </c>
      <c r="Q122" s="7">
        <v>0.0</v>
      </c>
    </row>
    <row r="123" outlineLevel="1">
      <c r="B123" s="0" t="inlineStr">
        <is>
          <t xml:space="preserve">2023-08-04</t>
        </is>
      </c>
      <c r="C123" s="0" t="inlineStr">
        <is>
          <t xml:space="preserve">-</t>
        </is>
      </c>
      <c r="D123" s="0" t="inlineStr">
        <is>
          <t xml:space="preserve">-</t>
        </is>
      </c>
      <c r="E123" s="0" t="inlineStr">
        <is>
          <t xml:space="preserve">ddg_gfe_aegis</t>
        </is>
      </c>
      <c r="F123" s="0" t="inlineStr">
        <is>
          <t xml:space="preserve">component_procurement</t>
        </is>
      </c>
      <c r="G123" s="0" t="inlineStr">
        <is>
          <t xml:space="preserve">EXCLUDE_GFE</t>
        </is>
      </c>
      <c r="H123" s="0" t="inlineStr">
        <is>
          <t xml:space="preserve">BC</t>
        </is>
      </c>
      <c r="I123" s="5">
        <v>1</v>
      </c>
      <c r="J123" s="5">
        <v>1</v>
      </c>
      <c r="K123" s="5">
        <v>1</v>
      </c>
      <c r="L123" s="5">
        <v>0</v>
      </c>
      <c r="M123" s="5">
        <v>10.763572</v>
      </c>
      <c r="N123" s="7">
        <v>0.0</v>
      </c>
      <c r="O123" s="7">
        <v>0.0</v>
      </c>
      <c r="P123" s="7">
        <v>1.0</v>
      </c>
      <c r="Q123" s="7">
        <v>0.0</v>
      </c>
    </row>
    <row r="124" outlineLevel="1">
      <c r="B124" s="0" t="inlineStr">
        <is>
          <t xml:space="preserve">2025-05-06</t>
        </is>
      </c>
      <c r="C124" s="0" t="inlineStr">
        <is>
          <t xml:space="preserve">N00024-23-C-5300</t>
        </is>
      </c>
      <c r="D124" s="0" t="inlineStr">
        <is>
          <t xml:space="preserve">BAE Systems Land &amp; Armaments L.P.</t>
        </is>
      </c>
      <c r="E124" s="0" t="inlineStr">
        <is>
          <t xml:space="preserve">ddg_gfe_guns</t>
        </is>
      </c>
      <c r="F124" s="0" t="inlineStr">
        <is>
          <t xml:space="preserve">component_procurement</t>
        </is>
      </c>
      <c r="G124" s="0" t="inlineStr">
        <is>
          <t xml:space="preserve">EXCLUDE_GFE</t>
        </is>
      </c>
      <c r="H124" s="0" t="inlineStr">
        <is>
          <t xml:space="preserve">BC</t>
        </is>
      </c>
      <c r="I124" s="5">
        <v>1</v>
      </c>
      <c r="J124" s="5">
        <v>1</v>
      </c>
      <c r="K124" s="5">
        <v>1</v>
      </c>
      <c r="L124" s="5">
        <v>0</v>
      </c>
      <c r="M124" s="5">
        <v>10.662488</v>
      </c>
      <c r="N124" s="7">
        <v>0.0</v>
      </c>
      <c r="O124" s="7">
        <v>0.0</v>
      </c>
      <c r="P124" s="7">
        <v>1.0</v>
      </c>
      <c r="Q124" s="7">
        <v>0.0</v>
      </c>
    </row>
    <row r="125" outlineLevel="1">
      <c r="B125" s="0" t="inlineStr">
        <is>
          <t xml:space="preserve">2024-01-29</t>
        </is>
      </c>
      <c r="C125" s="0" t="inlineStr">
        <is>
          <t xml:space="preserve">N00024-24-C-5105</t>
        </is>
      </c>
      <c r="D125" s="0" t="inlineStr">
        <is>
          <t xml:space="preserve">-</t>
        </is>
      </c>
      <c r="E125" s="0" t="inlineStr">
        <is>
          <t xml:space="preserve">ddg_gfe_aegis</t>
        </is>
      </c>
      <c r="F125" s="0" t="inlineStr">
        <is>
          <t xml:space="preserve">component_procurement</t>
        </is>
      </c>
      <c r="G125" s="0" t="inlineStr">
        <is>
          <t xml:space="preserve">EXCLUDE_GFE</t>
        </is>
      </c>
      <c r="H125" s="0" t="inlineStr">
        <is>
          <t xml:space="preserve">BC</t>
        </is>
      </c>
      <c r="I125" s="5">
        <v>1</v>
      </c>
      <c r="J125" s="5">
        <v>1</v>
      </c>
      <c r="K125" s="5">
        <v>1</v>
      </c>
      <c r="L125" s="5">
        <v>0</v>
      </c>
      <c r="M125" s="5">
        <v>10.600354</v>
      </c>
      <c r="N125" s="7">
        <v>0.0</v>
      </c>
      <c r="O125" s="7">
        <v>0.15</v>
      </c>
      <c r="P125" s="7">
        <v>0.85</v>
      </c>
      <c r="Q125" s="7">
        <v>0.0</v>
      </c>
    </row>
    <row r="126" outlineLevel="1">
      <c r="B126" s="0" t="inlineStr">
        <is>
          <t xml:space="preserve">2024-06-26</t>
        </is>
      </c>
      <c r="C126" s="0" t="inlineStr">
        <is>
          <t xml:space="preserve">N00024-23-C-5123</t>
        </is>
      </c>
      <c r="D126" s="0" t="inlineStr">
        <is>
          <t xml:space="preserve">Lockheed Martin Rotary and Mission Systems</t>
        </is>
      </c>
      <c r="E126" s="0" t="inlineStr">
        <is>
          <t xml:space="preserve">ddg_gfe_aegis</t>
        </is>
      </c>
      <c r="F126" s="0" t="inlineStr">
        <is>
          <t xml:space="preserve">component_procurement</t>
        </is>
      </c>
      <c r="G126" s="0" t="inlineStr">
        <is>
          <t xml:space="preserve">EXCLUDE_GFE</t>
        </is>
      </c>
      <c r="H126" s="0" t="inlineStr">
        <is>
          <t xml:space="preserve">BC</t>
        </is>
      </c>
      <c r="I126" s="5">
        <v>1</v>
      </c>
      <c r="J126" s="5">
        <v>1</v>
      </c>
      <c r="K126" s="5">
        <v>1</v>
      </c>
      <c r="L126" s="5">
        <v>0</v>
      </c>
      <c r="M126" s="5">
        <v>10.541342</v>
      </c>
      <c r="N126" s="7">
        <v>0.0</v>
      </c>
      <c r="O126" s="7">
        <v>0.0</v>
      </c>
      <c r="P126" s="7">
        <v>0.0</v>
      </c>
      <c r="Q126" s="7">
        <v>0.0</v>
      </c>
    </row>
    <row r="127" outlineLevel="1">
      <c r="B127" s="0" t="inlineStr">
        <is>
          <t xml:space="preserve">2023-06-22</t>
        </is>
      </c>
      <c r="C127" s="0" t="inlineStr">
        <is>
          <t xml:space="preserve">-</t>
        </is>
      </c>
      <c r="D127" s="0" t="inlineStr">
        <is>
          <t xml:space="preserve">Laurel Technologies Partnership</t>
        </is>
      </c>
      <c r="E127" s="0" t="inlineStr">
        <is>
          <t xml:space="preserve">ddg_gfe_vls</t>
        </is>
      </c>
      <c r="F127" s="0" t="inlineStr">
        <is>
          <t xml:space="preserve">component_procurement</t>
        </is>
      </c>
      <c r="G127" s="0" t="inlineStr">
        <is>
          <t xml:space="preserve">EXCLUDE_GFE</t>
        </is>
      </c>
      <c r="H127" s="0" t="inlineStr">
        <is>
          <t xml:space="preserve">BC</t>
        </is>
      </c>
      <c r="I127" s="5">
        <v>1</v>
      </c>
      <c r="J127" s="5">
        <v>1</v>
      </c>
      <c r="K127" s="5">
        <v>1</v>
      </c>
      <c r="L127" s="5">
        <v>0</v>
      </c>
      <c r="M127" s="5">
        <v>10.370712</v>
      </c>
      <c r="N127" s="7">
        <v>0.0</v>
      </c>
      <c r="O127" s="7">
        <v>0.0</v>
      </c>
      <c r="P127" s="7">
        <v>1.0</v>
      </c>
      <c r="Q127" s="7">
        <v>0.0</v>
      </c>
    </row>
    <row r="128" outlineLevel="1">
      <c r="B128" s="0" t="inlineStr">
        <is>
          <t xml:space="preserve">2025-07-15</t>
        </is>
      </c>
      <c r="C128" s="0" t="inlineStr">
        <is>
          <t xml:space="preserve">N00024-24-C-5324</t>
        </is>
      </c>
      <c r="D128" s="0" t="inlineStr">
        <is>
          <t xml:space="preserve">BAE Systems Land &amp; Armaments L.P</t>
        </is>
      </c>
      <c r="E128" s="0" t="inlineStr">
        <is>
          <t xml:space="preserve">ddg_gfe_vls</t>
        </is>
      </c>
      <c r="F128" s="0" t="inlineStr">
        <is>
          <t xml:space="preserve">component_procurement</t>
        </is>
      </c>
      <c r="G128" s="0" t="inlineStr">
        <is>
          <t xml:space="preserve">EXCLUDE_GFE</t>
        </is>
      </c>
      <c r="H128" s="0" t="inlineStr">
        <is>
          <t xml:space="preserve">BC</t>
        </is>
      </c>
      <c r="I128" s="5">
        <v>1</v>
      </c>
      <c r="J128" s="5">
        <v>1</v>
      </c>
      <c r="K128" s="5">
        <v>1</v>
      </c>
      <c r="L128" s="5">
        <v>0</v>
      </c>
      <c r="M128" s="5">
        <v>10.332144</v>
      </c>
      <c r="N128" s="7">
        <v>0.0</v>
      </c>
      <c r="O128" s="7">
        <v>0.0</v>
      </c>
      <c r="P128" s="7">
        <v>1.0</v>
      </c>
      <c r="Q128" s="7">
        <v>0.0</v>
      </c>
    </row>
    <row r="129" outlineLevel="1">
      <c r="B129" s="0" t="inlineStr">
        <is>
          <t xml:space="preserve">2024-04-29</t>
        </is>
      </c>
      <c r="C129" s="0" t="inlineStr">
        <is>
          <t xml:space="preserve">N64498-24-F-5039</t>
        </is>
      </c>
      <c r="D129" s="0" t="inlineStr">
        <is>
          <t xml:space="preserve">General Electric</t>
        </is>
      </c>
      <c r="E129" s="0" t="inlineStr">
        <is>
          <t xml:space="preserve">ddg_gfe_propulsion</t>
        </is>
      </c>
      <c r="F129" s="0" t="inlineStr">
        <is>
          <t xml:space="preserve">component_procurement</t>
        </is>
      </c>
      <c r="G129" s="0" t="inlineStr">
        <is>
          <t xml:space="preserve">EXCLUDE_GFE</t>
        </is>
      </c>
      <c r="H129" s="0" t="inlineStr">
        <is>
          <t xml:space="preserve">BC</t>
        </is>
      </c>
      <c r="I129" s="5">
        <v>1</v>
      </c>
      <c r="J129" s="5">
        <v>1</v>
      </c>
      <c r="K129" s="5">
        <v>1</v>
      </c>
      <c r="L129" s="5">
        <v>0</v>
      </c>
      <c r="M129" s="5">
        <v>10.300895</v>
      </c>
      <c r="N129" s="7">
        <v>0.0</v>
      </c>
      <c r="O129" s="7">
        <v>0.0</v>
      </c>
      <c r="P129" s="7">
        <v>0.0</v>
      </c>
      <c r="Q129" s="7">
        <v>0.0</v>
      </c>
    </row>
    <row r="130" outlineLevel="1">
      <c r="B130" s="0" t="inlineStr">
        <is>
          <t xml:space="preserve">2024-07-24</t>
        </is>
      </c>
      <c r="C130" s="0" t="inlineStr">
        <is>
          <t xml:space="preserve">N66498-24-D-4026</t>
        </is>
      </c>
      <c r="D130" s="0" t="inlineStr">
        <is>
          <t xml:space="preserve">Chromalloy Gas Turbine LLC (Chromalloy)</t>
        </is>
      </c>
      <c r="E130" s="0" t="inlineStr">
        <is>
          <t xml:space="preserve">ddg_gfe_propulsion</t>
        </is>
      </c>
      <c r="F130" s="0" t="inlineStr">
        <is>
          <t xml:space="preserve">component_procurement</t>
        </is>
      </c>
      <c r="G130" s="0" t="inlineStr">
        <is>
          <t xml:space="preserve">EXCLUDE_GFE</t>
        </is>
      </c>
      <c r="H130" s="0" t="inlineStr">
        <is>
          <t xml:space="preserve">BC</t>
        </is>
      </c>
      <c r="I130" s="5">
        <v>1</v>
      </c>
      <c r="J130" s="5">
        <v>1</v>
      </c>
      <c r="K130" s="5">
        <v>1</v>
      </c>
      <c r="L130" s="5">
        <v>0</v>
      </c>
      <c r="M130" s="5">
        <v>10.27881</v>
      </c>
      <c r="N130" s="7">
        <v>0.0</v>
      </c>
      <c r="O130" s="7">
        <v>0.0</v>
      </c>
      <c r="P130" s="7">
        <v>0.0</v>
      </c>
      <c r="Q130" s="7">
        <v>0.0</v>
      </c>
    </row>
    <row r="131" outlineLevel="1">
      <c r="B131" s="0" t="inlineStr">
        <is>
          <t xml:space="preserve">2022-09-22</t>
        </is>
      </c>
      <c r="C131" s="0" t="inlineStr">
        <is>
          <t xml:space="preserve">-</t>
        </is>
      </c>
      <c r="D131" s="0" t="inlineStr">
        <is>
          <t xml:space="preserve">-</t>
        </is>
      </c>
      <c r="E131" s="0" t="inlineStr">
        <is>
          <t xml:space="preserve">ddg51</t>
        </is>
      </c>
      <c r="F131" s="0" t="inlineStr">
        <is>
          <t xml:space="preserve">construction</t>
        </is>
      </c>
      <c r="G131" s="0" t="inlineStr">
        <is>
          <t xml:space="preserve">INCLUDE_BC</t>
        </is>
      </c>
      <c r="H131" s="0" t="inlineStr">
        <is>
          <t xml:space="preserve">BC</t>
        </is>
      </c>
      <c r="I131" s="5">
        <v>1</v>
      </c>
      <c r="J131" s="5">
        <v>0</v>
      </c>
      <c r="K131" s="5">
        <v>1</v>
      </c>
      <c r="L131" s="5">
        <v>0</v>
      </c>
      <c r="M131" s="5">
        <v>10.214192</v>
      </c>
      <c r="N131" s="7">
        <v>0.3</v>
      </c>
      <c r="O131" s="7">
        <v>0.0</v>
      </c>
      <c r="P131" s="7">
        <v>0.7</v>
      </c>
      <c r="Q131" s="7">
        <v>0.0</v>
      </c>
    </row>
    <row r="132" outlineLevel="1">
      <c r="B132" s="0" t="inlineStr">
        <is>
          <t xml:space="preserve">2023-09-28</t>
        </is>
      </c>
      <c r="C132" s="0" t="inlineStr">
        <is>
          <t xml:space="preserve">-</t>
        </is>
      </c>
      <c r="D132" s="0" t="inlineStr">
        <is>
          <t xml:space="preserve">Raytheon Co.</t>
        </is>
      </c>
      <c r="E132" s="0" t="inlineStr">
        <is>
          <t xml:space="preserve">ddg_gfe_combat_systems</t>
        </is>
      </c>
      <c r="F132" s="0" t="inlineStr">
        <is>
          <t xml:space="preserve">component_procurement</t>
        </is>
      </c>
      <c r="G132" s="0" t="inlineStr">
        <is>
          <t xml:space="preserve">EXCLUDE_GFE</t>
        </is>
      </c>
      <c r="H132" s="0" t="inlineStr">
        <is>
          <t xml:space="preserve">BC</t>
        </is>
      </c>
      <c r="I132" s="5">
        <v>1</v>
      </c>
      <c r="J132" s="5">
        <v>1</v>
      </c>
      <c r="K132" s="5">
        <v>1</v>
      </c>
      <c r="L132" s="5">
        <v>0</v>
      </c>
      <c r="M132" s="5">
        <v>10.144158</v>
      </c>
      <c r="N132" s="7">
        <v>0.0</v>
      </c>
      <c r="O132" s="7">
        <v>0.0</v>
      </c>
      <c r="P132" s="7">
        <v>1.0</v>
      </c>
      <c r="Q132" s="7">
        <v>0.0</v>
      </c>
    </row>
    <row r="133" outlineLevel="1">
      <c r="B133" s="0" t="inlineStr">
        <is>
          <t xml:space="preserve">2022-12-21</t>
        </is>
      </c>
      <c r="C133" s="0" t="inlineStr">
        <is>
          <t xml:space="preserve">N69316-23-F-6000</t>
        </is>
      </c>
      <c r="D133" s="0" t="inlineStr">
        <is>
          <t xml:space="preserve">Huntington-Ingalls Industries - Ingalls Shipbuilding</t>
        </is>
      </c>
      <c r="E133" s="0" t="inlineStr">
        <is>
          <t xml:space="preserve">ddg51</t>
        </is>
      </c>
      <c r="F133" s="0" t="inlineStr">
        <is>
          <t xml:space="preserve">construction</t>
        </is>
      </c>
      <c r="G133" s="0" t="inlineStr">
        <is>
          <t xml:space="preserve">INCLUDE_BC</t>
        </is>
      </c>
      <c r="H133" s="0" t="inlineStr">
        <is>
          <t xml:space="preserve">BC</t>
        </is>
      </c>
      <c r="I133" s="5">
        <v>1</v>
      </c>
      <c r="J133" s="5">
        <v>0</v>
      </c>
      <c r="K133" s="5">
        <v>1</v>
      </c>
      <c r="L133" s="5">
        <v>0</v>
      </c>
      <c r="M133" s="5">
        <v>10.132041</v>
      </c>
      <c r="N133" s="7">
        <v>0.0</v>
      </c>
      <c r="O133" s="7">
        <v>0.7</v>
      </c>
      <c r="P133" s="7">
        <v>0.3</v>
      </c>
      <c r="Q133" s="7">
        <v>0.0</v>
      </c>
    </row>
    <row r="134" outlineLevel="1">
      <c r="B134" s="0" t="inlineStr">
        <is>
          <t xml:space="preserve">2023-05-01</t>
        </is>
      </c>
      <c r="C134" s="0" t="inlineStr">
        <is>
          <t xml:space="preserve">N00024-23-C-5300</t>
        </is>
      </c>
      <c r="D134" s="0" t="inlineStr">
        <is>
          <t xml:space="preserve">BAE Systems Land &amp; Armaments L.P.</t>
        </is>
      </c>
      <c r="E134" s="0" t="inlineStr">
        <is>
          <t xml:space="preserve">ddg_gfe_guns</t>
        </is>
      </c>
      <c r="F134" s="0" t="inlineStr">
        <is>
          <t xml:space="preserve">component_procurement</t>
        </is>
      </c>
      <c r="G134" s="0" t="inlineStr">
        <is>
          <t xml:space="preserve">EXCLUDE_GFE</t>
        </is>
      </c>
      <c r="H134" s="0" t="inlineStr">
        <is>
          <t xml:space="preserve">BC</t>
        </is>
      </c>
      <c r="I134" s="5">
        <v>1</v>
      </c>
      <c r="J134" s="5">
        <v>1</v>
      </c>
      <c r="K134" s="5">
        <v>1</v>
      </c>
      <c r="L134" s="5">
        <v>0</v>
      </c>
      <c r="M134" s="5">
        <v>9.948433</v>
      </c>
      <c r="N134" s="7">
        <v>0.0</v>
      </c>
      <c r="O134" s="7">
        <v>0.0</v>
      </c>
      <c r="P134" s="7">
        <v>1.0</v>
      </c>
      <c r="Q134" s="7">
        <v>0.0</v>
      </c>
    </row>
    <row r="135" outlineLevel="1">
      <c r="B135" s="0" t="inlineStr">
        <is>
          <t xml:space="preserve">2025-06-30</t>
        </is>
      </c>
      <c r="C135" s="0" t="inlineStr">
        <is>
          <t xml:space="preserve">N00024-23-C-5325</t>
        </is>
      </c>
      <c r="D135" s="0" t="inlineStr">
        <is>
          <t xml:space="preserve">Lockheed Martin Rotary and Mission Systems</t>
        </is>
      </c>
      <c r="E135" s="0" t="inlineStr">
        <is>
          <t xml:space="preserve">ddg_gfe_aegis</t>
        </is>
      </c>
      <c r="F135" s="0" t="inlineStr">
        <is>
          <t xml:space="preserve">component_procurement</t>
        </is>
      </c>
      <c r="G135" s="0" t="inlineStr">
        <is>
          <t xml:space="preserve">EXCLUDE_GFE</t>
        </is>
      </c>
      <c r="H135" s="0" t="inlineStr">
        <is>
          <t xml:space="preserve">BC</t>
        </is>
      </c>
      <c r="I135" s="5">
        <v>1</v>
      </c>
      <c r="J135" s="5">
        <v>1</v>
      </c>
      <c r="K135" s="5">
        <v>1</v>
      </c>
      <c r="L135" s="5">
        <v>0</v>
      </c>
      <c r="M135" s="5">
        <v>9.935387</v>
      </c>
      <c r="N135" s="7">
        <v>0.0</v>
      </c>
      <c r="O135" s="7">
        <v>0.0</v>
      </c>
      <c r="P135" s="7">
        <v>0.77</v>
      </c>
      <c r="Q135" s="7">
        <v>0.0</v>
      </c>
    </row>
    <row r="136" outlineLevel="1">
      <c r="B136" s="0" t="inlineStr">
        <is>
          <t xml:space="preserve">2023-09-29</t>
        </is>
      </c>
      <c r="C136" s="0" t="inlineStr">
        <is>
          <t xml:space="preserve">N00024-22-C-5500</t>
        </is>
      </c>
      <c r="D136" s="0" t="inlineStr">
        <is>
          <t xml:space="preserve">Raytheon Missiles &amp; Defense</t>
        </is>
      </c>
      <c r="E136" s="0" t="inlineStr">
        <is>
          <t xml:space="preserve">ddg_gfe_radar</t>
        </is>
      </c>
      <c r="F136" s="0" t="inlineStr">
        <is>
          <t xml:space="preserve">component_procurement</t>
        </is>
      </c>
      <c r="G136" s="0" t="inlineStr">
        <is>
          <t xml:space="preserve">EXCLUDE_GFE</t>
        </is>
      </c>
      <c r="H136" s="0" t="inlineStr">
        <is>
          <t xml:space="preserve">BC</t>
        </is>
      </c>
      <c r="I136" s="5">
        <v>1</v>
      </c>
      <c r="J136" s="5">
        <v>1</v>
      </c>
      <c r="K136" s="5">
        <v>1</v>
      </c>
      <c r="L136" s="5">
        <v>0</v>
      </c>
      <c r="M136" s="5">
        <v>9.897098</v>
      </c>
      <c r="N136" s="7">
        <v>0.0</v>
      </c>
      <c r="O136" s="7">
        <v>0.0</v>
      </c>
      <c r="P136" s="7">
        <v>0.71</v>
      </c>
      <c r="Q136" s="7">
        <v>0.0</v>
      </c>
    </row>
    <row r="137" outlineLevel="1">
      <c r="B137" s="0" t="inlineStr">
        <is>
          <t xml:space="preserve">2023-03-20</t>
        </is>
      </c>
      <c r="C137" s="0" t="inlineStr">
        <is>
          <t xml:space="preserve">N00024-13-C-2305</t>
        </is>
      </c>
      <c r="D137" s="0" t="inlineStr">
        <is>
          <t xml:space="preserve">Bath Iron Works</t>
        </is>
      </c>
      <c r="E137" s="0" t="inlineStr">
        <is>
          <t xml:space="preserve">ddg51</t>
        </is>
      </c>
      <c r="F137" s="0" t="inlineStr">
        <is>
          <t xml:space="preserve">construction</t>
        </is>
      </c>
      <c r="G137" s="0" t="inlineStr">
        <is>
          <t xml:space="preserve">INCLUDE_BC</t>
        </is>
      </c>
      <c r="H137" s="0" t="inlineStr">
        <is>
          <t xml:space="preserve">BC</t>
        </is>
      </c>
      <c r="I137" s="5">
        <v>1</v>
      </c>
      <c r="J137" s="5">
        <v>0</v>
      </c>
      <c r="K137" s="5">
        <v>1</v>
      </c>
      <c r="L137" s="5">
        <v>0</v>
      </c>
      <c r="M137" s="5">
        <v>9.609633</v>
      </c>
      <c r="N137" s="7">
        <v>0.99</v>
      </c>
      <c r="O137" s="7">
        <v>0.0</v>
      </c>
      <c r="P137" s="7">
        <v>0.0</v>
      </c>
      <c r="Q137" s="7">
        <v>0.0</v>
      </c>
    </row>
    <row r="138" outlineLevel="1">
      <c r="B138" s="0" t="inlineStr">
        <is>
          <t xml:space="preserve">2025-02-12</t>
        </is>
      </c>
      <c r="C138" s="0" t="inlineStr">
        <is>
          <t xml:space="preserve">-</t>
        </is>
      </c>
      <c r="D138" s="0" t="inlineStr">
        <is>
          <t xml:space="preserve">Lockheed Martin Rotary and Mission Systems</t>
        </is>
      </c>
      <c r="E138" s="0" t="inlineStr">
        <is>
          <t xml:space="preserve">ddg_gfe_aegis</t>
        </is>
      </c>
      <c r="F138" s="0" t="inlineStr">
        <is>
          <t xml:space="preserve">component_procurement</t>
        </is>
      </c>
      <c r="G138" s="0" t="inlineStr">
        <is>
          <t xml:space="preserve">EXCLUDE_GFE</t>
        </is>
      </c>
      <c r="H138" s="0" t="inlineStr">
        <is>
          <t xml:space="preserve">BC</t>
        </is>
      </c>
      <c r="I138" s="5">
        <v>1</v>
      </c>
      <c r="J138" s="5">
        <v>1</v>
      </c>
      <c r="K138" s="5">
        <v>1</v>
      </c>
      <c r="L138" s="5">
        <v>0</v>
      </c>
      <c r="M138" s="5">
        <v>9.177837</v>
      </c>
      <c r="N138" s="7">
        <v>0.0</v>
      </c>
      <c r="O138" s="7">
        <v>0.0</v>
      </c>
      <c r="P138" s="7">
        <v>1.0</v>
      </c>
      <c r="Q138" s="7">
        <v>0.0</v>
      </c>
    </row>
    <row r="139" outlineLevel="1">
      <c r="B139" s="0" t="inlineStr">
        <is>
          <t xml:space="preserve">2025-01-29</t>
        </is>
      </c>
      <c r="C139" s="0" t="inlineStr">
        <is>
          <t xml:space="preserve">-</t>
        </is>
      </c>
      <c r="D139" s="0" t="inlineStr">
        <is>
          <t xml:space="preserve">-</t>
        </is>
      </c>
      <c r="E139" s="0" t="inlineStr">
        <is>
          <t xml:space="preserve">ddg51</t>
        </is>
      </c>
      <c r="F139" s="0" t="inlineStr">
        <is>
          <t xml:space="preserve">construction</t>
        </is>
      </c>
      <c r="G139" s="0" t="inlineStr">
        <is>
          <t xml:space="preserve">INCLUDE_BC</t>
        </is>
      </c>
      <c r="H139" s="0" t="inlineStr">
        <is>
          <t xml:space="preserve">BC</t>
        </is>
      </c>
      <c r="I139" s="5">
        <v>1</v>
      </c>
      <c r="J139" s="5">
        <v>0</v>
      </c>
      <c r="K139" s="5">
        <v>1</v>
      </c>
      <c r="L139" s="5">
        <v>0</v>
      </c>
      <c r="M139" s="5">
        <v>9.165174</v>
      </c>
      <c r="N139" s="7">
        <v>0.3</v>
      </c>
      <c r="O139" s="7">
        <v>0.0</v>
      </c>
      <c r="P139" s="7">
        <v>0.7</v>
      </c>
      <c r="Q139" s="7">
        <v>0.0</v>
      </c>
    </row>
    <row r="140" outlineLevel="1">
      <c r="B140" s="0" t="inlineStr">
        <is>
          <t xml:space="preserve">2023-07-26</t>
        </is>
      </c>
      <c r="C140" s="0" t="inlineStr">
        <is>
          <t xml:space="preserve">-</t>
        </is>
      </c>
      <c r="D140" s="0" t="inlineStr">
        <is>
          <t xml:space="preserve">Lockheed Martin Rotary and Mission Systems</t>
        </is>
      </c>
      <c r="E140" s="0" t="inlineStr">
        <is>
          <t xml:space="preserve">ddg_gfe_aegis</t>
        </is>
      </c>
      <c r="F140" s="0" t="inlineStr">
        <is>
          <t xml:space="preserve">component_procurement</t>
        </is>
      </c>
      <c r="G140" s="0" t="inlineStr">
        <is>
          <t xml:space="preserve">EXCLUDE_GFE</t>
        </is>
      </c>
      <c r="H140" s="0" t="inlineStr">
        <is>
          <t xml:space="preserve">BC</t>
        </is>
      </c>
      <c r="I140" s="5">
        <v>1</v>
      </c>
      <c r="J140" s="5">
        <v>1</v>
      </c>
      <c r="K140" s="5">
        <v>1</v>
      </c>
      <c r="L140" s="5">
        <v>0</v>
      </c>
      <c r="M140" s="5">
        <v>8.349013</v>
      </c>
      <c r="N140" s="7">
        <v>0.03</v>
      </c>
      <c r="O140" s="7">
        <v>0.06</v>
      </c>
      <c r="P140" s="7">
        <v>0.83</v>
      </c>
      <c r="Q140" s="7">
        <v>0.0</v>
      </c>
    </row>
    <row r="141" outlineLevel="1">
      <c r="B141" s="0" t="inlineStr">
        <is>
          <t xml:space="preserve">2024-03-26</t>
        </is>
      </c>
      <c r="C141" s="0" t="inlineStr">
        <is>
          <t xml:space="preserve">N00024-19-C-2322</t>
        </is>
      </c>
      <c r="D141" s="0" t="inlineStr">
        <is>
          <t xml:space="preserve">General Dynamics Bath Iron Works</t>
        </is>
      </c>
      <c r="E141" s="0" t="inlineStr">
        <is>
          <t xml:space="preserve">ddg51</t>
        </is>
      </c>
      <c r="F141" s="0" t="inlineStr">
        <is>
          <t xml:space="preserve">construction</t>
        </is>
      </c>
      <c r="G141" s="0" t="inlineStr">
        <is>
          <t xml:space="preserve">INCLUDE_BC</t>
        </is>
      </c>
      <c r="H141" s="0" t="inlineStr">
        <is>
          <t xml:space="preserve">BC</t>
        </is>
      </c>
      <c r="I141" s="5">
        <v>1</v>
      </c>
      <c r="J141" s="5">
        <v>0</v>
      </c>
      <c r="K141" s="5">
        <v>1</v>
      </c>
      <c r="L141" s="5">
        <v>0</v>
      </c>
      <c r="M141" s="5">
        <v>8.037986</v>
      </c>
      <c r="N141" s="7">
        <v>0.0</v>
      </c>
      <c r="O141" s="7">
        <v>0.0</v>
      </c>
      <c r="P141" s="7">
        <v>0.64</v>
      </c>
      <c r="Q141" s="7">
        <v>0.0</v>
      </c>
    </row>
    <row r="142" outlineLevel="1">
      <c r="B142" s="0" t="inlineStr">
        <is>
          <t xml:space="preserve">2022-12-02</t>
        </is>
      </c>
      <c r="C142" s="0" t="inlineStr">
        <is>
          <t xml:space="preserve">-</t>
        </is>
      </c>
      <c r="D142" s="0" t="inlineStr">
        <is>
          <t xml:space="preserve">-</t>
        </is>
      </c>
      <c r="E142" s="0" t="inlineStr">
        <is>
          <t xml:space="preserve">ddg51</t>
        </is>
      </c>
      <c r="F142" s="0" t="inlineStr">
        <is>
          <t xml:space="preserve">construction</t>
        </is>
      </c>
      <c r="G142" s="0" t="inlineStr">
        <is>
          <t xml:space="preserve">INCLUDE_BC</t>
        </is>
      </c>
      <c r="H142" s="0" t="inlineStr">
        <is>
          <t xml:space="preserve">BC</t>
        </is>
      </c>
      <c r="I142" s="5">
        <v>1</v>
      </c>
      <c r="J142" s="5">
        <v>0</v>
      </c>
      <c r="K142" s="5">
        <v>1</v>
      </c>
      <c r="L142" s="5">
        <v>0</v>
      </c>
      <c r="M142" s="5">
        <v>8.000905</v>
      </c>
      <c r="N142" s="7">
        <v>0.0</v>
      </c>
      <c r="O142" s="7">
        <v>0.0</v>
      </c>
      <c r="P142" s="7">
        <v>1.0</v>
      </c>
      <c r="Q142" s="7">
        <v>0.0</v>
      </c>
    </row>
    <row r="143" outlineLevel="1">
      <c r="B143" s="0" t="inlineStr">
        <is>
          <t xml:space="preserve">2024-08-27</t>
        </is>
      </c>
      <c r="C143" s="0" t="inlineStr">
        <is>
          <t xml:space="preserve">N00024-13-C-2305</t>
        </is>
      </c>
      <c r="D143" s="0" t="inlineStr">
        <is>
          <t xml:space="preserve">Bath Iron Works</t>
        </is>
      </c>
      <c r="E143" s="0" t="inlineStr">
        <is>
          <t xml:space="preserve">ddg51</t>
        </is>
      </c>
      <c r="F143" s="0" t="inlineStr">
        <is>
          <t xml:space="preserve">construction</t>
        </is>
      </c>
      <c r="G143" s="0" t="inlineStr">
        <is>
          <t xml:space="preserve">INCLUDE_BC</t>
        </is>
      </c>
      <c r="H143" s="0" t="inlineStr">
        <is>
          <t xml:space="preserve">BC</t>
        </is>
      </c>
      <c r="I143" s="5">
        <v>1</v>
      </c>
      <c r="J143" s="5">
        <v>0</v>
      </c>
      <c r="K143" s="5">
        <v>1</v>
      </c>
      <c r="L143" s="5">
        <v>0</v>
      </c>
      <c r="M143" s="5">
        <v>7.802168</v>
      </c>
      <c r="N143" s="7">
        <v>0.99</v>
      </c>
      <c r="O143" s="7">
        <v>0.0</v>
      </c>
      <c r="P143" s="7">
        <v>0.0</v>
      </c>
      <c r="Q143" s="7">
        <v>0.0</v>
      </c>
    </row>
    <row r="144" outlineLevel="1">
      <c r="B144" s="0" t="inlineStr">
        <is>
          <t xml:space="preserve">2025-07-23</t>
        </is>
      </c>
      <c r="C144" s="0" t="inlineStr">
        <is>
          <t xml:space="preserve">N00024-22-C-5218</t>
        </is>
      </c>
      <c r="D144" s="0" t="inlineStr">
        <is>
          <t xml:space="preserve">-</t>
        </is>
      </c>
      <c r="E144" s="0" t="inlineStr">
        <is>
          <t xml:space="preserve">ddg_gfe_combat_systems</t>
        </is>
      </c>
      <c r="F144" s="0" t="inlineStr">
        <is>
          <t xml:space="preserve">component_procurement</t>
        </is>
      </c>
      <c r="G144" s="0" t="inlineStr">
        <is>
          <t xml:space="preserve">EXCLUDE_GFE</t>
        </is>
      </c>
      <c r="H144" s="0" t="inlineStr">
        <is>
          <t xml:space="preserve">BC</t>
        </is>
      </c>
      <c r="I144" s="5">
        <v>1</v>
      </c>
      <c r="J144" s="5">
        <v>1</v>
      </c>
      <c r="K144" s="5">
        <v>1</v>
      </c>
      <c r="L144" s="5">
        <v>0</v>
      </c>
      <c r="M144" s="5">
        <v>7.64603</v>
      </c>
      <c r="N144" s="7">
        <v>0.0</v>
      </c>
      <c r="O144" s="7">
        <v>0.0</v>
      </c>
      <c r="P144" s="7">
        <v>1.0</v>
      </c>
      <c r="Q144" s="7">
        <v>0.0</v>
      </c>
    </row>
    <row r="145" outlineLevel="1">
      <c r="B145" s="0" t="inlineStr">
        <is>
          <t xml:space="preserve">2023-09-21</t>
        </is>
      </c>
      <c r="C145" s="0" t="inlineStr">
        <is>
          <t xml:space="preserve">-</t>
        </is>
      </c>
      <c r="D145" s="0" t="inlineStr">
        <is>
          <t xml:space="preserve">Lockheed Martin Rotary and Mission Systems</t>
        </is>
      </c>
      <c r="E145" s="0" t="inlineStr">
        <is>
          <t xml:space="preserve">ddg_gfe_aegis</t>
        </is>
      </c>
      <c r="F145" s="0" t="inlineStr">
        <is>
          <t xml:space="preserve">component_procurement</t>
        </is>
      </c>
      <c r="G145" s="0" t="inlineStr">
        <is>
          <t xml:space="preserve">EXCLUDE_GFE</t>
        </is>
      </c>
      <c r="H145" s="0" t="inlineStr">
        <is>
          <t xml:space="preserve">BC</t>
        </is>
      </c>
      <c r="I145" s="5">
        <v>1</v>
      </c>
      <c r="J145" s="5">
        <v>1</v>
      </c>
      <c r="K145" s="5">
        <v>1</v>
      </c>
      <c r="L145" s="5">
        <v>0</v>
      </c>
      <c r="M145" s="5">
        <v>7.546645</v>
      </c>
      <c r="N145" s="7">
        <v>0.0</v>
      </c>
      <c r="O145" s="7">
        <v>0.0</v>
      </c>
      <c r="P145" s="7">
        <v>1.0</v>
      </c>
      <c r="Q145" s="7">
        <v>0.0</v>
      </c>
    </row>
    <row r="146" outlineLevel="1">
      <c r="B146" s="0" t="inlineStr">
        <is>
          <t xml:space="preserve">2025-02-20</t>
        </is>
      </c>
      <c r="C146" s="0" t="inlineStr">
        <is>
          <t xml:space="preserve">N00024-22-C-2319</t>
        </is>
      </c>
      <c r="D146" s="0" t="inlineStr">
        <is>
          <t xml:space="preserve">-</t>
        </is>
      </c>
      <c r="E146" s="0" t="inlineStr">
        <is>
          <t xml:space="preserve">ddg51</t>
        </is>
      </c>
      <c r="F146" s="0" t="inlineStr">
        <is>
          <t xml:space="preserve">construction</t>
        </is>
      </c>
      <c r="G146" s="0" t="inlineStr">
        <is>
          <t xml:space="preserve">INCLUDE_BC</t>
        </is>
      </c>
      <c r="H146" s="0" t="inlineStr">
        <is>
          <t xml:space="preserve">BC</t>
        </is>
      </c>
      <c r="I146" s="5">
        <v>1</v>
      </c>
      <c r="J146" s="5">
        <v>0</v>
      </c>
      <c r="K146" s="5">
        <v>1</v>
      </c>
      <c r="L146" s="5">
        <v>0</v>
      </c>
      <c r="M146" s="5">
        <v>0.0</v>
      </c>
      <c r="N146" s="7">
        <v>0.0</v>
      </c>
      <c r="O146" s="7">
        <v>1.0</v>
      </c>
      <c r="P146" s="7">
        <v>0.0</v>
      </c>
      <c r="Q146" s="7">
        <v>0.0</v>
      </c>
    </row>
    <row r="147" outlineLevel="1">
      <c r="B147" s="0" t="inlineStr">
        <is>
          <t xml:space="preserve">2025-02-21</t>
        </is>
      </c>
      <c r="C147" s="0" t="inlineStr">
        <is>
          <t xml:space="preserve">N00024-22-C-2319</t>
        </is>
      </c>
      <c r="D147" s="0" t="inlineStr">
        <is>
          <t xml:space="preserve">-</t>
        </is>
      </c>
      <c r="E147" s="0" t="inlineStr">
        <is>
          <t xml:space="preserve">ddg51</t>
        </is>
      </c>
      <c r="F147" s="0" t="inlineStr">
        <is>
          <t xml:space="preserve">construction</t>
        </is>
      </c>
      <c r="G147" s="0" t="inlineStr">
        <is>
          <t xml:space="preserve">INCLUDE_BC</t>
        </is>
      </c>
      <c r="H147" s="0" t="inlineStr">
        <is>
          <t xml:space="preserve">BC</t>
        </is>
      </c>
      <c r="I147" s="5">
        <v>1</v>
      </c>
      <c r="J147" s="5">
        <v>0</v>
      </c>
      <c r="K147" s="5">
        <v>1</v>
      </c>
      <c r="L147" s="5">
        <v>0</v>
      </c>
      <c r="M147" s="5">
        <v>0.0</v>
      </c>
      <c r="N147" s="7">
        <v>0.0</v>
      </c>
      <c r="O147" s="7">
        <v>1.0</v>
      </c>
      <c r="P147" s="7">
        <v>0.0</v>
      </c>
      <c r="Q147" s="7">
        <v>0.0</v>
      </c>
    </row>
    <row r="148" outlineLevel="1">
      <c r="B148" s="0" t="inlineStr">
        <is>
          <t xml:space="preserve">2025-05-16</t>
        </is>
      </c>
      <c r="C148" s="0" t="inlineStr">
        <is>
          <t xml:space="preserve">N00024-23-C-2305</t>
        </is>
      </c>
      <c r="D148" s="0" t="inlineStr">
        <is>
          <t xml:space="preserve">-</t>
        </is>
      </c>
      <c r="E148" s="0" t="inlineStr">
        <is>
          <t xml:space="preserve">ddg51</t>
        </is>
      </c>
      <c r="F148" s="0" t="inlineStr">
        <is>
          <t xml:space="preserve">construction</t>
        </is>
      </c>
      <c r="G148" s="0" t="inlineStr">
        <is>
          <t xml:space="preserve">INCLUDE_BC</t>
        </is>
      </c>
      <c r="H148" s="0" t="inlineStr">
        <is>
          <t xml:space="preserve">BC</t>
        </is>
      </c>
      <c r="I148" s="5">
        <v>1</v>
      </c>
      <c r="J148" s="5">
        <v>0</v>
      </c>
      <c r="K148" s="5">
        <v>1</v>
      </c>
      <c r="L148" s="5">
        <v>0</v>
      </c>
      <c r="M148" s="5">
        <v>0.0</v>
      </c>
      <c r="N148" s="7">
        <v>1.0</v>
      </c>
      <c r="O148" s="7">
        <v>0.0</v>
      </c>
      <c r="P148" s="7">
        <v>0.0</v>
      </c>
      <c r="Q148" s="7">
        <v>0.0</v>
      </c>
    </row>
    <row r="149" outlineLevel="1">
      <c r="B149" s="0" t="inlineStr">
        <is>
          <t xml:space="preserve">2025-07-09</t>
        </is>
      </c>
      <c r="C149" s="0" t="inlineStr">
        <is>
          <t xml:space="preserve">-</t>
        </is>
      </c>
      <c r="D149" s="0" t="inlineStr">
        <is>
          <t xml:space="preserve">-</t>
        </is>
      </c>
      <c r="E149" s="0" t="inlineStr">
        <is>
          <t xml:space="preserve">ddg_gfe_aegis</t>
        </is>
      </c>
      <c r="F149" s="0" t="inlineStr">
        <is>
          <t xml:space="preserve">component_procurement</t>
        </is>
      </c>
      <c r="G149" s="0" t="inlineStr">
        <is>
          <t xml:space="preserve">EXCLUDE_GFE</t>
        </is>
      </c>
      <c r="H149" s="0" t="inlineStr">
        <is>
          <t xml:space="preserve">BC</t>
        </is>
      </c>
      <c r="I149" s="5">
        <v>1</v>
      </c>
      <c r="J149" s="5">
        <v>1</v>
      </c>
      <c r="K149" s="5">
        <v>1</v>
      </c>
      <c r="L149" s="5">
        <v>0</v>
      </c>
      <c r="M149" s="5">
        <v>0.0</v>
      </c>
      <c r="N149" s="7">
        <v>0.0</v>
      </c>
      <c r="O149" s="7">
        <v>0.0</v>
      </c>
      <c r="P149" s="7">
        <v>0.0</v>
      </c>
      <c r="Q149" s="7">
        <v>0.0</v>
      </c>
    </row>
    <row r="150" outlineLevel="1">
      <c r="B150" s="0" t="inlineStr">
        <is>
          <t xml:space="preserve">2025-07-17</t>
        </is>
      </c>
      <c r="C150" s="0" t="inlineStr">
        <is>
          <t xml:space="preserve">N00024-22-C-2318</t>
        </is>
      </c>
      <c r="D150" s="0" t="inlineStr">
        <is>
          <t xml:space="preserve">-</t>
        </is>
      </c>
      <c r="E150" s="0" t="inlineStr">
        <is>
          <t xml:space="preserve">ddg51</t>
        </is>
      </c>
      <c r="F150" s="0" t="inlineStr">
        <is>
          <t xml:space="preserve">construction</t>
        </is>
      </c>
      <c r="G150" s="0" t="inlineStr">
        <is>
          <t xml:space="preserve">INCLUDE_BC</t>
        </is>
      </c>
      <c r="H150" s="0" t="inlineStr">
        <is>
          <t xml:space="preserve">BC</t>
        </is>
      </c>
      <c r="I150" s="5">
        <v>1</v>
      </c>
      <c r="J150" s="5">
        <v>0</v>
      </c>
      <c r="K150" s="5">
        <v>1</v>
      </c>
      <c r="L150" s="5">
        <v>0</v>
      </c>
      <c r="M150" s="5">
        <v>0.0</v>
      </c>
      <c r="N150" s="7">
        <v>0.99</v>
      </c>
      <c r="O150" s="7">
        <v>0.84</v>
      </c>
      <c r="P150" s="7">
        <v>0.17</v>
      </c>
      <c r="Q150" s="7">
        <v>0.0</v>
      </c>
    </row>
    <row r="151" outlineLevel="1">
      <c r="B151" s="0" t="inlineStr">
        <is>
          <t xml:space="preserve">2025-07-31</t>
        </is>
      </c>
      <c r="C151" s="0" t="inlineStr">
        <is>
          <t xml:space="preserve">N00024-23-C-2305</t>
        </is>
      </c>
      <c r="D151" s="0" t="inlineStr">
        <is>
          <t xml:space="preserve">-</t>
        </is>
      </c>
      <c r="E151" s="0" t="inlineStr">
        <is>
          <t xml:space="preserve">ddg51</t>
        </is>
      </c>
      <c r="F151" s="0" t="inlineStr">
        <is>
          <t xml:space="preserve">construction</t>
        </is>
      </c>
      <c r="G151" s="0" t="inlineStr">
        <is>
          <t xml:space="preserve">INCLUDE_BC</t>
        </is>
      </c>
      <c r="H151" s="0" t="inlineStr">
        <is>
          <t xml:space="preserve">BC</t>
        </is>
      </c>
      <c r="I151" s="5">
        <v>1</v>
      </c>
      <c r="J151" s="5">
        <v>0</v>
      </c>
      <c r="K151" s="5">
        <v>1</v>
      </c>
      <c r="L151" s="5">
        <v>0</v>
      </c>
      <c r="M151" s="5">
        <v>0.0</v>
      </c>
      <c r="N151" s="7">
        <v>0.69</v>
      </c>
      <c r="O151" s="7">
        <v>0.0</v>
      </c>
      <c r="P151" s="7">
        <v>0.12</v>
      </c>
      <c r="Q151" s="7">
        <v>0.0</v>
      </c>
    </row>
    <row r="152" outlineLevel="1">
      <c r="B152" s="0" t="inlineStr">
        <is>
          <t xml:space="preserve">2025-12-11</t>
        </is>
      </c>
      <c r="C152" s="0" t="inlineStr">
        <is>
          <t xml:space="preserve">-</t>
        </is>
      </c>
      <c r="D152" s="0" t="inlineStr">
        <is>
          <t xml:space="preserve">-</t>
        </is>
      </c>
      <c r="E152" s="0" t="inlineStr">
        <is>
          <t xml:space="preserve">ddg_gfe_aegis</t>
        </is>
      </c>
      <c r="F152" s="0" t="inlineStr">
        <is>
          <t xml:space="preserve">component_procurement</t>
        </is>
      </c>
      <c r="G152" s="0" t="inlineStr">
        <is>
          <t xml:space="preserve">EXCLUDE_GFE</t>
        </is>
      </c>
      <c r="H152" s="0" t="inlineStr">
        <is>
          <t xml:space="preserve">BC</t>
        </is>
      </c>
      <c r="I152" s="5">
        <v>1</v>
      </c>
      <c r="J152" s="5">
        <v>1</v>
      </c>
      <c r="K152" s="5">
        <v>1</v>
      </c>
      <c r="L152" s="5">
        <v>0</v>
      </c>
      <c r="M152" s="5">
        <v>0.0</v>
      </c>
      <c r="N152" s="7">
        <v>0.0</v>
      </c>
      <c r="O152" s="7">
        <v>0.0</v>
      </c>
      <c r="P152" s="7">
        <v>0.0</v>
      </c>
      <c r="Q152" s="7">
        <v>0.0</v>
      </c>
    </row>
    <row r="153" outlineLevel="1">
      <c r="B153" s="0" t="inlineStr">
        <is>
          <t xml:space="preserve">2026-04-17</t>
        </is>
      </c>
      <c r="C153" s="0" t="inlineStr">
        <is>
          <t xml:space="preserve">-</t>
        </is>
      </c>
      <c r="D153" s="0" t="inlineStr">
        <is>
          <t xml:space="preserve">Raytheon Co.</t>
        </is>
      </c>
      <c r="E153" s="0" t="inlineStr">
        <is>
          <t xml:space="preserve">ddg_gfe_radar</t>
        </is>
      </c>
      <c r="F153" s="0" t="inlineStr">
        <is>
          <t xml:space="preserve">component_procurement</t>
        </is>
      </c>
      <c r="G153" s="0" t="inlineStr">
        <is>
          <t xml:space="preserve">EXCLUDE_GFE</t>
        </is>
      </c>
      <c r="H153" s="0" t="inlineStr">
        <is>
          <t xml:space="preserve">BC</t>
        </is>
      </c>
      <c r="I153" s="5">
        <v>1</v>
      </c>
      <c r="J153" s="5">
        <v>1</v>
      </c>
      <c r="K153" s="5">
        <v>1</v>
      </c>
      <c r="L153" s="5">
        <v>0</v>
      </c>
      <c r="M153" s="5">
        <v>0.0</v>
      </c>
      <c r="N153" s="7">
        <v>0.0</v>
      </c>
      <c r="O153" s="7">
        <v>0.0</v>
      </c>
      <c r="P153" s="7">
        <v>1.0</v>
      </c>
      <c r="Q153" s="7">
        <v>0.0</v>
      </c>
    </row>
    <row r="154" outlineLevel="1">
      <c r="B154" s="0" t="inlineStr">
        <is>
          <t xml:space="preserve">2023-08-01</t>
        </is>
      </c>
      <c r="C154" s="0" t="inlineStr">
        <is>
          <t xml:space="preserve">N00024-23-C-2305</t>
        </is>
      </c>
      <c r="D154" s="0" t="inlineStr">
        <is>
          <t xml:space="preserve">Bath Iron Works</t>
        </is>
      </c>
      <c r="E154" s="0" t="inlineStr">
        <is>
          <t xml:space="preserve">ddg51</t>
        </is>
      </c>
      <c r="F154" s="0" t="inlineStr">
        <is>
          <t xml:space="preserve">construction</t>
        </is>
      </c>
      <c r="G154" s="0" t="inlineStr">
        <is>
          <t xml:space="preserve">INCLUDE_BC</t>
        </is>
      </c>
      <c r="H154" s="0" t="inlineStr">
        <is>
          <t xml:space="preserve">BC</t>
        </is>
      </c>
      <c r="I154" s="5">
        <v>1</v>
      </c>
      <c r="J154" s="5">
        <v>0</v>
      </c>
      <c r="K154" s="5">
        <v>1</v>
      </c>
      <c r="L154" s="5">
        <v>0</v>
      </c>
      <c r="M154" s="5">
        <v>0.0</v>
      </c>
      <c r="N154" s="7">
        <v>0.69</v>
      </c>
      <c r="O154" s="7">
        <v>0.0</v>
      </c>
      <c r="P154" s="7">
        <v>0.1</v>
      </c>
      <c r="Q154" s="7">
        <v>0.0</v>
      </c>
    </row>
    <row r="155" outlineLevel="1">
      <c r="B155" s="0" t="inlineStr">
        <is>
          <t xml:space="preserve">2023-08-01</t>
        </is>
      </c>
      <c r="C155" s="0" t="inlineStr">
        <is>
          <t xml:space="preserve">N00024-23-C-2307</t>
        </is>
      </c>
      <c r="D155" s="0" t="inlineStr">
        <is>
          <t xml:space="preserve">-</t>
        </is>
      </c>
      <c r="E155" s="0" t="inlineStr">
        <is>
          <t xml:space="preserve">ddg51</t>
        </is>
      </c>
      <c r="F155" s="0" t="inlineStr">
        <is>
          <t xml:space="preserve">construction</t>
        </is>
      </c>
      <c r="G155" s="0" t="inlineStr">
        <is>
          <t xml:space="preserve">INCLUDE_BC</t>
        </is>
      </c>
      <c r="H155" s="0" t="inlineStr">
        <is>
          <t xml:space="preserve">BC</t>
        </is>
      </c>
      <c r="I155" s="5">
        <v>1</v>
      </c>
      <c r="J155" s="5">
        <v>0</v>
      </c>
      <c r="K155" s="5">
        <v>1</v>
      </c>
      <c r="L155" s="5">
        <v>0</v>
      </c>
      <c r="M155" s="5">
        <v>0.0</v>
      </c>
      <c r="N155" s="7">
        <v>0.0</v>
      </c>
      <c r="O155" s="7">
        <v>0.77</v>
      </c>
      <c r="P155" s="7">
        <v>0.0</v>
      </c>
      <c r="Q155" s="7">
        <v>0.0</v>
      </c>
    </row>
    <row r="156" outlineLevel="1">
      <c r="B156" s="0" t="inlineStr">
        <is>
          <t xml:space="preserve">2023-08-11</t>
        </is>
      </c>
      <c r="C156" s="0" t="inlineStr">
        <is>
          <t xml:space="preserve">N00024-23-C-2307</t>
        </is>
      </c>
      <c r="D156" s="0" t="inlineStr">
        <is>
          <t xml:space="preserve">Huntington Ingalls Inc.</t>
        </is>
      </c>
      <c r="E156" s="0" t="inlineStr">
        <is>
          <t xml:space="preserve">ddg51</t>
        </is>
      </c>
      <c r="F156" s="0" t="inlineStr">
        <is>
          <t xml:space="preserve">construction</t>
        </is>
      </c>
      <c r="G156" s="0" t="inlineStr">
        <is>
          <t xml:space="preserve">INCLUDE_BC</t>
        </is>
      </c>
      <c r="H156" s="0" t="inlineStr">
        <is>
          <t xml:space="preserve">BC</t>
        </is>
      </c>
      <c r="I156" s="5">
        <v>1</v>
      </c>
      <c r="J156" s="5">
        <v>0</v>
      </c>
      <c r="K156" s="5">
        <v>1</v>
      </c>
      <c r="L156" s="5">
        <v>0</v>
      </c>
      <c r="M156" s="5">
        <v>0.0</v>
      </c>
      <c r="N156" s="7">
        <v>0.0</v>
      </c>
      <c r="O156" s="7">
        <v>0.79</v>
      </c>
      <c r="P156" s="7">
        <v>0.0</v>
      </c>
      <c r="Q156" s="7">
        <v>0.0</v>
      </c>
    </row>
    <row r="157" outlineLevel="1">
      <c r="B157" s="0" t="inlineStr">
        <is>
          <t xml:space="preserve">2024-06-03</t>
        </is>
      </c>
      <c r="C157" s="0" t="inlineStr">
        <is>
          <t xml:space="preserve">-</t>
        </is>
      </c>
      <c r="D157" s="0" t="inlineStr">
        <is>
          <t xml:space="preserve">-</t>
        </is>
      </c>
      <c r="E157" s="0" t="inlineStr">
        <is>
          <t xml:space="preserve">ddg_gfe_aegis</t>
        </is>
      </c>
      <c r="F157" s="0" t="inlineStr">
        <is>
          <t xml:space="preserve">component_procurement</t>
        </is>
      </c>
      <c r="G157" s="0" t="inlineStr">
        <is>
          <t xml:space="preserve">EXCLUDE_GFE</t>
        </is>
      </c>
      <c r="H157" s="0" t="inlineStr">
        <is>
          <t xml:space="preserve">BC</t>
        </is>
      </c>
      <c r="I157" s="5">
        <v>1</v>
      </c>
      <c r="J157" s="5">
        <v>1</v>
      </c>
      <c r="K157" s="5">
        <v>1</v>
      </c>
      <c r="L157" s="5">
        <v>0</v>
      </c>
      <c r="M157" s="5">
        <v>0.0</v>
      </c>
      <c r="N157" s="7">
        <v>0.0</v>
      </c>
      <c r="O157" s="7">
        <v>0.0</v>
      </c>
      <c r="P157" s="7">
        <v>1.0</v>
      </c>
      <c r="Q157" s="7">
        <v>0.0</v>
      </c>
    </row>
    <row r="158" outlineLevel="1">
      <c r="B158" s="0" t="inlineStr">
        <is>
          <t xml:space="preserve">2024-06-07</t>
        </is>
      </c>
      <c r="C158" s="0" t="inlineStr">
        <is>
          <t xml:space="preserve">-</t>
        </is>
      </c>
      <c r="D158" s="0" t="inlineStr">
        <is>
          <t xml:space="preserve">-</t>
        </is>
      </c>
      <c r="E158" s="0" t="inlineStr">
        <is>
          <t xml:space="preserve">ddg_gfe_aegis</t>
        </is>
      </c>
      <c r="F158" s="0" t="inlineStr">
        <is>
          <t xml:space="preserve">component_procurement</t>
        </is>
      </c>
      <c r="G158" s="0" t="inlineStr">
        <is>
          <t xml:space="preserve">EXCLUDE_GFE</t>
        </is>
      </c>
      <c r="H158" s="0" t="inlineStr">
        <is>
          <t xml:space="preserve">BC</t>
        </is>
      </c>
      <c r="I158" s="5">
        <v>1</v>
      </c>
      <c r="J158" s="5">
        <v>1</v>
      </c>
      <c r="K158" s="5">
        <v>1</v>
      </c>
      <c r="L158" s="5">
        <v>0</v>
      </c>
      <c r="M158" s="5">
        <v>0.0</v>
      </c>
      <c r="N158" s="7">
        <v>0.0</v>
      </c>
      <c r="O158" s="7">
        <v>0.0</v>
      </c>
      <c r="P158" s="7">
        <v>0.0</v>
      </c>
      <c r="Q158" s="7">
        <v>0.0</v>
      </c>
    </row>
    <row r="159" outlineLevel="1">
      <c r="B159" s="0" t="inlineStr">
        <is>
          <t xml:space="preserve">2024-07-17</t>
        </is>
      </c>
      <c r="C159" s="0" t="inlineStr">
        <is>
          <t xml:space="preserve">N00024-22-C-2318</t>
        </is>
      </c>
      <c r="D159" s="0" t="inlineStr">
        <is>
          <t xml:space="preserve">-</t>
        </is>
      </c>
      <c r="E159" s="0" t="inlineStr">
        <is>
          <t xml:space="preserve">ddg51</t>
        </is>
      </c>
      <c r="F159" s="0" t="inlineStr">
        <is>
          <t xml:space="preserve">construction</t>
        </is>
      </c>
      <c r="G159" s="0" t="inlineStr">
        <is>
          <t xml:space="preserve">INCLUDE_BC</t>
        </is>
      </c>
      <c r="H159" s="0" t="inlineStr">
        <is>
          <t xml:space="preserve">BC</t>
        </is>
      </c>
      <c r="I159" s="5">
        <v>1</v>
      </c>
      <c r="J159" s="5">
        <v>0</v>
      </c>
      <c r="K159" s="5">
        <v>1</v>
      </c>
      <c r="L159" s="5">
        <v>0</v>
      </c>
      <c r="M159" s="5">
        <v>0.0</v>
      </c>
      <c r="N159" s="7">
        <v>0.99</v>
      </c>
      <c r="O159" s="7">
        <v>0.84</v>
      </c>
      <c r="P159" s="7">
        <v>0.17</v>
      </c>
      <c r="Q159" s="7">
        <v>0.0</v>
      </c>
    </row>
    <row r="160" outlineLevel="1">
      <c r="B160" s="0" t="inlineStr">
        <is>
          <t xml:space="preserve">2024-09-30</t>
        </is>
      </c>
      <c r="C160" s="0" t="inlineStr">
        <is>
          <t xml:space="preserve">-</t>
        </is>
      </c>
      <c r="D160" s="0" t="inlineStr">
        <is>
          <t xml:space="preserve">-</t>
        </is>
      </c>
      <c r="E160" s="0" t="inlineStr">
        <is>
          <t xml:space="preserve">ddg_gfe_aegis</t>
        </is>
      </c>
      <c r="F160" s="0" t="inlineStr">
        <is>
          <t xml:space="preserve">component_procurement</t>
        </is>
      </c>
      <c r="G160" s="0" t="inlineStr">
        <is>
          <t xml:space="preserve">EXCLUDE_GFE</t>
        </is>
      </c>
      <c r="H160" s="0" t="inlineStr">
        <is>
          <t xml:space="preserve">BC</t>
        </is>
      </c>
      <c r="I160" s="5">
        <v>1</v>
      </c>
      <c r="J160" s="5">
        <v>1</v>
      </c>
      <c r="K160" s="5">
        <v>1</v>
      </c>
      <c r="L160" s="5">
        <v>0</v>
      </c>
      <c r="M160" s="5">
        <v>0.0</v>
      </c>
      <c r="N160" s="7">
        <v>0.0</v>
      </c>
      <c r="O160" s="7">
        <v>0.0</v>
      </c>
      <c r="P160" s="7">
        <v>0.0</v>
      </c>
      <c r="Q160" s="7">
        <v>0.0</v>
      </c>
    </row>
    <row r="163">
      <c r="A163" s="0" t="inlineStr">
        <is>
          <t xml:space="preserve">x</t>
        </is>
      </c>
      <c r="B163" s="9" t="inlineStr">
        <is>
          <t xml:space="preserve">§2 - Field guide</t>
        </is>
      </c>
      <c r="C163" s="9"/>
      <c r="D163" s="9"/>
      <c r="E163" s="9"/>
      <c r="F163" s="9"/>
      <c r="G163" s="9"/>
      <c r="H163" s="9"/>
      <c r="I163" s="9"/>
      <c r="J163" s="9"/>
      <c r="K163" s="9"/>
      <c r="L163" s="9"/>
      <c r="M163" s="9"/>
      <c r="N163" s="9"/>
      <c r="O163" s="9"/>
      <c r="P163" s="9"/>
      <c r="Q163" s="9"/>
    </row>
    <row r="165">
      <c r="B165" s="2" t="inlineStr">
        <is>
          <t xml:space="preserve">Field</t>
        </is>
      </c>
      <c r="C165" s="2" t="inlineStr">
        <is>
          <t xml:space="preserve">Meaning</t>
        </is>
      </c>
    </row>
    <row r="166" outlineLevel="1">
      <c r="B166" s="0" t="inlineStr">
        <is>
          <t xml:space="preserve">Gate</t>
        </is>
      </c>
      <c r="C166" s="0" t="inlineStr">
        <is>
          <t xml:space="preserve">1 = DDG new-construction TAM-relevant action</t>
        </is>
      </c>
    </row>
    <row r="167" outlineLevel="1">
      <c r="B167" s="0" t="inlineStr">
        <is>
          <t xml:space="preserve">GFE/Excl</t>
        </is>
      </c>
      <c r="C167" s="0" t="inlineStr">
        <is>
          <t xml:space="preserve">1 = GFE / Navy-directed scope (ddg_gfe_*) dropped from the coefficient</t>
        </is>
      </c>
    </row>
    <row r="168" outlineLevel="1">
      <c r="B168" s="0" t="inlineStr">
        <is>
          <t xml:space="preserve">Confirmed</t>
        </is>
      </c>
      <c r="C168" s="0" t="inlineStr">
        <is>
          <t xml:space="preserve">1 = manual_review_status confirmed (default 1)</t>
        </is>
      </c>
    </row>
    <row r="169" outlineLevel="1">
      <c r="B169" s="0" t="inlineStr">
        <is>
          <t xml:space="preserve">MYP master</t>
        </is>
      </c>
      <c r="C169" s="0" t="inlineStr">
        <is>
          <t xml:space="preserve">1 = a $-redacted MYP master row ($ reconstructed; POP as announced; linked from Inputs)</t>
        </is>
      </c>
    </row>
    <row r="170" outlineLevel="1">
      <c r="B170" s="0" t="inlineStr">
        <is>
          <t xml:space="preserve">Scope Class</t>
        </is>
      </c>
      <c r="C170" s="0" t="inlineStr">
        <is>
          <t xml:space="preserve">INCLUDE_BC / EXCLUDE_GFE</t>
        </is>
      </c>
    </row>
    <row r="171" outlineLevel="1">
      <c r="B171" s="0" t="inlineStr">
        <is>
          <t xml:space="preserve">Stream</t>
        </is>
      </c>
      <c r="C171" s="0" t="inlineStr">
        <is>
          <t xml:space="preserve">BC (all DDG gated work is Basic Construction stream)</t>
        </is>
      </c>
    </row>
  </sheetData>
  <tableParts count="1">
    <tablePart r:id="rId1"/>
  </tableParts>
</worksheet>
</file>

<file path=xl/worksheets/sheet29.xml><?xml version="1.0" encoding="utf-8"?>
<worksheet xmlns="http://schemas.openxmlformats.org/spreadsheetml/2006/main" xmlns:r="http://schemas.openxmlformats.org/officeDocument/2006/relationships">
  <sheetPr>
    <tabColor rgb="FF7B1F3A"/>
    <outlinePr summaryBelow="0"/>
  </sheetPr>
  <sheetViews>
    <sheetView showGridLines="0" workbookViewId="0" showOutlineSymbols="0"/>
  </sheetViews>
  <sheetFormatPr defaultRowHeight="10" customHeight="1"/>
  <cols>
    <col min="1" max="1" width="2.2109375" customWidth="1"/>
    <col min="2" max="2" width="11" customWidth="1"/>
    <col min="3" max="3" width="7" customWidth="1"/>
    <col min="4" max="4" width="11" customWidth="1"/>
    <col min="5" max="5" width="11" customWidth="1"/>
    <col min="6" max="6" width="12" customWidth="1"/>
    <col min="7" max="7" width="13" customWidth="1"/>
    <col min="8" max="8" width="10" customWidth="1"/>
    <col min="9" max="9" width="11" customWidth="1"/>
  </cols>
  <sheetData>
    <row r="1"/>
    <row r="2">
      <c r="B2" s="8" t="inlineStr">
        <is>
          <t xml:space="preserve">Cost Base</t>
        </is>
      </c>
      <c r="C2" s="8"/>
      <c r="D2" s="8"/>
      <c r="E2" s="8"/>
      <c r="F2" s="8"/>
      <c r="G2" s="8"/>
      <c r="H2" s="8"/>
      <c r="I2" s="8"/>
    </row>
    <row r="4">
      <c r="A4" s="0" t="inlineStr">
        <is>
          <t xml:space="preserve">x</t>
        </is>
      </c>
      <c r="B4" s="9" t="inlineStr">
        <is>
          <t xml:space="preserve">§1 - P-5c cost base ($M then-year, FY22-27)</t>
        </is>
      </c>
      <c r="C4" s="9"/>
      <c r="D4" s="9"/>
      <c r="E4" s="9"/>
      <c r="F4" s="9"/>
      <c r="G4" s="9"/>
      <c r="H4" s="9"/>
      <c r="I4" s="9"/>
    </row>
    <row r="6">
      <c r="B6" s="2" t="inlineStr">
        <is>
          <t xml:space="preserve">Program</t>
        </is>
      </c>
      <c r="C6" s="22" t="inlineStr">
        <is>
          <t xml:space="preserve">FY</t>
        </is>
      </c>
      <c r="D6" s="2" t="inlineStr">
        <is>
          <t xml:space="preserve">BC</t>
        </is>
      </c>
      <c r="E6" s="2" t="inlineStr">
        <is>
          <t xml:space="preserve">GFE</t>
        </is>
      </c>
      <c r="F6" s="2" t="inlineStr">
        <is>
          <t xml:space="preserve">Total</t>
        </is>
      </c>
      <c r="G6" s="2" t="inlineStr">
        <is>
          <t xml:space="preserve">Plans+Other</t>
        </is>
      </c>
      <c r="H6" s="2" t="inlineStr">
        <is>
          <t xml:space="preserve">BC %</t>
        </is>
      </c>
      <c r="I6" s="2" t="inlineStr">
        <is>
          <t xml:space="preserve">FFATA</t>
        </is>
      </c>
    </row>
    <row r="7" outlineLevel="1">
      <c r="B7" s="0" t="inlineStr">
        <is>
          <t xml:space="preserve">Virginia</t>
        </is>
      </c>
      <c r="C7" s="0">
        <v>2022</v>
      </c>
      <c r="D7" s="5">
        <v>4758.283</v>
      </c>
      <c r="E7" s="5">
        <v>1587.366</v>
      </c>
      <c r="F7" s="5">
        <v>6915.757</v>
      </c>
      <c r="G7" s="4">
        <f>F7-D7-E7</f>
      </c>
      <c r="H7" s="6">
        <f>IF(F7=0,0,D7/F7)</f>
      </c>
      <c r="I7" s="5">
        <v>241.07</v>
      </c>
    </row>
    <row r="8" outlineLevel="1">
      <c r="B8" s="0" t="inlineStr">
        <is>
          <t xml:space="preserve">Virginia</t>
        </is>
      </c>
      <c r="C8" s="0">
        <v>2023</v>
      </c>
      <c r="D8" s="5">
        <v>5095.448</v>
      </c>
      <c r="E8" s="5">
        <v>1634.461</v>
      </c>
      <c r="F8" s="5">
        <v>7250.579</v>
      </c>
      <c r="G8" s="4">
        <f>F8-D8-E8</f>
      </c>
      <c r="H8" s="6">
        <f>IF(F8=0,0,D8/F8)</f>
      </c>
      <c r="I8" s="5">
        <v>939.9</v>
      </c>
    </row>
    <row r="9" outlineLevel="1">
      <c r="B9" s="0" t="inlineStr">
        <is>
          <t xml:space="preserve">Virginia</t>
        </is>
      </c>
      <c r="C9" s="0">
        <v>2024</v>
      </c>
      <c r="D9" s="5">
        <v>9070.762</v>
      </c>
      <c r="E9" s="5">
        <v>1683.842</v>
      </c>
      <c r="F9" s="5">
        <v>11377.643</v>
      </c>
      <c r="G9" s="4">
        <f>F9-D9-E9</f>
      </c>
      <c r="H9" s="6">
        <f>IF(F9=0,0,D9/F9)</f>
      </c>
      <c r="I9" s="5">
        <v>462.23</v>
      </c>
    </row>
    <row r="10" outlineLevel="1">
      <c r="B10" s="0" t="inlineStr">
        <is>
          <t xml:space="preserve">Virginia</t>
        </is>
      </c>
      <c r="C10" s="0">
        <v>2025</v>
      </c>
      <c r="D10" s="5">
        <v>5326.544</v>
      </c>
      <c r="E10" s="5">
        <v>1318.214</v>
      </c>
      <c r="F10" s="5">
        <v>9500.534</v>
      </c>
      <c r="G10" s="4">
        <f>F10-D10-E10</f>
      </c>
      <c r="H10" s="6">
        <f>IF(F10=0,0,D10/F10)</f>
      </c>
      <c r="I10" s="5">
        <v>261.86</v>
      </c>
    </row>
    <row r="11" outlineLevel="1">
      <c r="B11" s="0" t="inlineStr">
        <is>
          <t xml:space="preserve">Virginia</t>
        </is>
      </c>
      <c r="C11" s="0">
        <v>2026</v>
      </c>
      <c r="D11" s="5">
        <v>3136.792</v>
      </c>
      <c r="E11" s="5">
        <v>1633.585</v>
      </c>
      <c r="F11" s="5">
        <v>5389.109</v>
      </c>
      <c r="G11" s="4">
        <f>F11-D11-E11</f>
      </c>
      <c r="H11" s="6">
        <f>IF(F11=0,0,D11/F11)</f>
      </c>
      <c r="I11" s="5">
        <v>0.3</v>
      </c>
    </row>
    <row r="12" outlineLevel="1">
      <c r="B12" s="0" t="inlineStr">
        <is>
          <t xml:space="preserve">Virginia</t>
        </is>
      </c>
      <c r="C12" s="0">
        <v>2027</v>
      </c>
      <c r="D12" s="5">
        <v>8889.31</v>
      </c>
      <c r="E12" s="5">
        <v>1897.988</v>
      </c>
      <c r="F12" s="5">
        <v>11437.036</v>
      </c>
      <c r="G12" s="4">
        <f>F12-D12-E12</f>
      </c>
      <c r="H12" s="6">
        <f>IF(F12=0,0,D12/F12)</f>
      </c>
      <c r="I12" s="5">
        <v>0.0</v>
      </c>
    </row>
    <row r="13" outlineLevel="1">
      <c r="B13" s="0" t="inlineStr">
        <is>
          <t xml:space="preserve">Columbia</t>
        </is>
      </c>
      <c r="C13" s="0">
        <v>2024</v>
      </c>
      <c r="D13" s="5">
        <v>6356.087</v>
      </c>
      <c r="E13" s="5">
        <v>2560.457</v>
      </c>
      <c r="F13" s="5">
        <v>10688.811</v>
      </c>
      <c r="G13" s="4">
        <f>F13-D13-E13</f>
      </c>
      <c r="H13" s="6">
        <f>IF(F13=0,0,D13/F13)</f>
      </c>
      <c r="I13" s="5">
        <v>837.99</v>
      </c>
    </row>
    <row r="14" outlineLevel="1">
      <c r="B14" s="0" t="inlineStr">
        <is>
          <t xml:space="preserve">Columbia</t>
        </is>
      </c>
      <c r="C14" s="0">
        <v>2026</v>
      </c>
      <c r="D14" s="5">
        <v>7159.768</v>
      </c>
      <c r="E14" s="5">
        <v>2125.001</v>
      </c>
      <c r="F14" s="5">
        <v>10744.317</v>
      </c>
      <c r="G14" s="4">
        <f>F14-D14-E14</f>
      </c>
      <c r="H14" s="6">
        <f>IF(F14=0,0,D14/F14)</f>
      </c>
      <c r="I14" s="5">
        <v>0.0</v>
      </c>
    </row>
    <row r="15" outlineLevel="1">
      <c r="B15" s="0" t="inlineStr">
        <is>
          <t xml:space="preserve">Columbia</t>
        </is>
      </c>
      <c r="C15" s="0">
        <v>2027</v>
      </c>
      <c r="D15" s="5">
        <v>6853.733</v>
      </c>
      <c r="E15" s="5">
        <v>2422.192</v>
      </c>
      <c r="F15" s="5">
        <v>10486.369</v>
      </c>
      <c r="G15" s="4">
        <f>F15-D15-E15</f>
      </c>
      <c r="H15" s="6">
        <f>IF(F15=0,0,D15/F15)</f>
      </c>
      <c r="I15" s="5">
        <v>0.0</v>
      </c>
    </row>
    <row r="16" outlineLevel="1">
      <c r="B16" s="0" t="inlineStr">
        <is>
          <t xml:space="preserve">DDG-51</t>
        </is>
      </c>
      <c r="C16" s="0">
        <v>2022</v>
      </c>
      <c r="D16" s="5">
        <v>1959.99</v>
      </c>
      <c r="E16" s="5">
        <v>1707.778</v>
      </c>
      <c r="F16" s="5">
        <v>4072.882</v>
      </c>
      <c r="G16" s="4">
        <f>F16-D16-E16</f>
      </c>
      <c r="H16" s="6">
        <f>IF(F16=0,0,D16/F16)</f>
      </c>
      <c r="I16" s="5">
        <v>162.11</v>
      </c>
    </row>
    <row r="17" outlineLevel="1">
      <c r="B17" s="0" t="inlineStr">
        <is>
          <t xml:space="preserve">DDG-51</t>
        </is>
      </c>
      <c r="C17" s="0">
        <v>2023</v>
      </c>
      <c r="D17" s="5">
        <v>4558.163</v>
      </c>
      <c r="E17" s="5">
        <v>2784.53</v>
      </c>
      <c r="F17" s="5">
        <v>7949.54</v>
      </c>
      <c r="G17" s="4">
        <f>F17-D17-E17</f>
      </c>
      <c r="H17" s="6">
        <f>IF(F17=0,0,D17/F17)</f>
      </c>
      <c r="I17" s="5">
        <v>300.88</v>
      </c>
    </row>
    <row r="18" outlineLevel="1">
      <c r="B18" s="0" t="inlineStr">
        <is>
          <t xml:space="preserve">DDG-51</t>
        </is>
      </c>
      <c r="C18" s="0">
        <v>2024</v>
      </c>
      <c r="D18" s="5">
        <v>3322.458</v>
      </c>
      <c r="E18" s="5">
        <v>1807.266</v>
      </c>
      <c r="F18" s="5">
        <v>5492.33</v>
      </c>
      <c r="G18" s="4">
        <f>F18-D18-E18</f>
      </c>
      <c r="H18" s="6">
        <f>IF(F18=0,0,D18/F18)</f>
      </c>
      <c r="I18" s="5">
        <v>552.8</v>
      </c>
    </row>
    <row r="19" outlineLevel="1">
      <c r="B19" s="0" t="inlineStr">
        <is>
          <t xml:space="preserve">DDG-51</t>
        </is>
      </c>
      <c r="C19" s="0">
        <v>2025</v>
      </c>
      <c r="D19" s="5">
        <v>4628.213</v>
      </c>
      <c r="E19" s="5">
        <v>2767.612</v>
      </c>
      <c r="F19" s="5">
        <v>7858.814</v>
      </c>
      <c r="G19" s="4">
        <f>F19-D19-E19</f>
      </c>
      <c r="H19" s="6">
        <f>IF(F19=0,0,D19/F19)</f>
      </c>
      <c r="I19" s="5">
        <v>684.17</v>
      </c>
    </row>
    <row r="20" outlineLevel="1">
      <c r="B20" s="0" t="inlineStr">
        <is>
          <t xml:space="preserve">DDG-51</t>
        </is>
      </c>
      <c r="C20" s="0">
        <v>2026</v>
      </c>
      <c r="D20" s="5">
        <v>282.604</v>
      </c>
      <c r="E20" s="5">
        <v>23.521</v>
      </c>
      <c r="F20" s="5">
        <v>306.125</v>
      </c>
      <c r="G20" s="4">
        <f>F20-D20-E20</f>
      </c>
      <c r="H20" s="6">
        <f>IF(F20=0,0,D20/F20)</f>
      </c>
      <c r="I20" s="5">
        <v>62.68</v>
      </c>
    </row>
    <row r="21" outlineLevel="1">
      <c r="B21" s="0" t="inlineStr">
        <is>
          <t xml:space="preserve">DDG-51</t>
        </is>
      </c>
      <c r="C21" s="0">
        <v>2027</v>
      </c>
      <c r="D21" s="5">
        <v>2719.555</v>
      </c>
      <c r="E21" s="5">
        <v>1199.227</v>
      </c>
      <c r="F21" s="5">
        <v>4256.914</v>
      </c>
      <c r="G21" s="4">
        <f>F21-D21-E21</f>
      </c>
      <c r="H21" s="6">
        <f>IF(F21=0,0,D21/F21)</f>
      </c>
      <c r="I21" s="5">
        <v>0.0</v>
      </c>
    </row>
    <row r="22">
      <c r="B22" s="3" t="inlineStr">
        <is>
          <t xml:space="preserve">Portfolio (FY22-27)</t>
        </is>
      </c>
      <c r="C22" s="16"/>
      <c r="D22" s="13">
        <f>SUBTOTAL(109,D7:D21)</f>
      </c>
      <c r="E22" s="13">
        <f>SUBTOTAL(109,E7:E21)</f>
      </c>
      <c r="F22" s="13">
        <f>SUBTOTAL(109,F7:F21)</f>
      </c>
      <c r="G22" s="13">
        <f>SUBTOTAL(109,G7:G21)</f>
      </c>
      <c r="H22" s="14">
        <f>IF(F22=0,0,D22/F22)</f>
      </c>
      <c r="I22" s="13">
        <f>SUBTOTAL(109,I7:I21)</f>
      </c>
    </row>
  </sheetData>
  <tableParts count="1">
    <tablePart r:id="rId1"/>
  </tableParts>
</worksheet>
</file>

<file path=xl/worksheets/sheet30.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16" customWidth="1"/>
    <col min="3" max="3" width="40" customWidth="1"/>
    <col min="4" max="4" width="14" customWidth="1"/>
    <col min="5" max="5" width="14" customWidth="1"/>
    <col min="6" max="6" width="16" customWidth="1"/>
  </cols>
  <sheetData>
    <row r="1"/>
    <row r="2">
      <c r="B2" s="8" t="inlineStr">
        <is>
          <t xml:space="preserve">SIB Excluded</t>
        </is>
      </c>
      <c r="C2" s="8"/>
      <c r="D2" s="8"/>
      <c r="E2" s="8"/>
      <c r="F2" s="8"/>
    </row>
    <row r="4">
      <c r="B4" s="9" t="inlineStr">
        <is>
          <t xml:space="preserve">§1 - SIB exclusion</t>
        </is>
      </c>
      <c r="C4" s="9"/>
      <c r="D4" s="9"/>
      <c r="E4" s="9"/>
      <c r="F4" s="9"/>
    </row>
    <row r="6">
      <c r="B6" s="2" t="inlineStr">
        <is>
          <t xml:space="preserve">Measure</t>
        </is>
      </c>
      <c r="C6" s="22" t="inlineStr">
        <is>
          <t xml:space="preserve">Value</t>
        </is>
      </c>
    </row>
    <row r="7">
      <c r="B7" s="1" t="inlineStr">
        <is>
          <t xml:space="preserve">Total SIB exclusion $M</t>
        </is>
      </c>
      <c r="C7" s="4">
        <f>'Sub SIB Excluded'!D17</f>
      </c>
    </row>
    <row r="8">
      <c r="B8" s="0" t="inlineStr">
        <is>
          <t xml:space="preserve">Number of SIB entities</t>
        </is>
      </c>
      <c r="C8" s="0">
        <v>3</v>
      </c>
    </row>
    <row r="11">
      <c r="A11" s="0" t="inlineStr">
        <is>
          <t xml:space="preserve">x</t>
        </is>
      </c>
      <c r="B11" s="9" t="inlineStr">
        <is>
          <t xml:space="preserve">§2 - SIB exclusion (capacity grants, not construction outsourcing)</t>
        </is>
      </c>
      <c r="C11" s="9"/>
      <c r="D11" s="9"/>
      <c r="E11" s="9"/>
      <c r="F11" s="9"/>
    </row>
    <row r="13">
      <c r="B13" s="2" t="inlineStr">
        <is>
          <t xml:space="preserve">UEI</t>
        </is>
      </c>
      <c r="C13" s="2" t="inlineStr">
        <is>
          <t xml:space="preserve">Display name</t>
        </is>
      </c>
      <c r="D13" s="22" t="inlineStr">
        <is>
          <t xml:space="preserve">Total $M</t>
        </is>
      </c>
      <c r="E13" s="22" t="inlineStr">
        <is>
          <t xml:space="preserve">Action count</t>
        </is>
      </c>
      <c r="F13" s="22" t="inlineStr">
        <is>
          <t xml:space="preserve">% of SIB total</t>
        </is>
      </c>
    </row>
    <row r="14" outlineLevel="1">
      <c r="B14" s="0" t="inlineStr">
        <is>
          <t xml:space="preserve">F8PEZKXES8B1</t>
        </is>
      </c>
      <c r="C14" s="0" t="inlineStr">
        <is>
          <t xml:space="preserve">BlueForge Alliance</t>
        </is>
      </c>
      <c r="D14" s="5">
        <v>4173.27</v>
      </c>
      <c r="E14" s="0">
        <v>8</v>
      </c>
      <c r="F14" s="6">
        <f>D14/D17</f>
      </c>
    </row>
    <row r="15" outlineLevel="1">
      <c r="B15" s="0" t="inlineStr">
        <is>
          <t xml:space="preserve">QLJZVM6XKR71</t>
        </is>
      </c>
      <c r="C15" s="0" t="inlineStr">
        <is>
          <t xml:space="preserve">Training Modernization Group, Inc.</t>
        </is>
      </c>
      <c r="D15" s="5">
        <v>77.03</v>
      </c>
      <c r="E15" s="0">
        <v>7</v>
      </c>
      <c r="F15" s="6">
        <f>D15/D17</f>
      </c>
    </row>
    <row r="16" outlineLevel="1">
      <c r="B16" s="0" t="inlineStr">
        <is>
          <t xml:space="preserve">TCM3R4JPRKY4</t>
        </is>
      </c>
      <c r="C16" s="0" t="inlineStr">
        <is>
          <t xml:space="preserve">Institute for Advanced Learning and Research</t>
        </is>
      </c>
      <c r="D16" s="5">
        <v>1.502999109999763</v>
      </c>
      <c r="E16" s="0">
        <v>1</v>
      </c>
      <c r="F16" s="6">
        <f>D16/D17</f>
      </c>
    </row>
    <row r="17">
      <c r="B17" s="16"/>
      <c r="C17" s="3" t="inlineStr">
        <is>
          <t xml:space="preserve">Total (SIB exclusion)</t>
        </is>
      </c>
      <c r="D17" s="13">
        <f>SUM(D14:D16)</f>
      </c>
      <c r="E17" s="16">
        <f>SUM(E14:E16)</f>
      </c>
      <c r="F17" s="14">
        <f>SUM(F14:F16)</f>
      </c>
    </row>
  </sheetData>
</worksheet>
</file>

<file path=xl/worksheets/sheet31.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44" customWidth="1"/>
    <col min="3" max="3" width="16" customWidth="1"/>
  </cols>
  <sheetData>
    <row r="1"/>
    <row r="2">
      <c r="B2" s="8" t="inlineStr">
        <is>
          <t xml:space="preserve">Sensitivity</t>
        </is>
      </c>
      <c r="C2" s="8"/>
    </row>
    <row r="4">
      <c r="B4" s="9" t="inlineStr">
        <is>
          <t xml:space="preserve">§1 - The swings</t>
        </is>
      </c>
      <c r="C4" s="9"/>
    </row>
    <row r="6">
      <c r="B6" s="2" t="inlineStr">
        <is>
          <t xml:space="preserve">Measure</t>
        </is>
      </c>
      <c r="C6" s="22" t="inlineStr">
        <is>
          <t xml:space="preserve">Value</t>
        </is>
      </c>
    </row>
    <row r="7">
      <c r="B7" s="1" t="inlineStr">
        <is>
          <t xml:space="preserve">Pooled corpus supplier coefficient (reference)</t>
        </is>
      </c>
      <c r="C7" s="12">
        <f>'Sub TAM Build'!C64</f>
      </c>
    </row>
    <row r="8">
      <c r="B8" s="0" t="inlineStr">
        <is>
          <t xml:space="preserve">AP/LLTM reference coefficient</t>
        </is>
      </c>
      <c r="C8" s="12">
        <f>'Sub TAM Build'!C65</f>
      </c>
    </row>
    <row r="9">
      <c r="B9" s="0" t="inlineStr">
        <is>
          <t xml:space="preserve">Pre-boundary sensitivity TAM $M</t>
        </is>
      </c>
      <c r="C9" s="4">
        <f>'Sub Sensitivity'!C33</f>
      </c>
    </row>
    <row r="10">
      <c r="B10" s="0" t="inlineStr">
        <is>
          <t xml:space="preserve">Real P-10 gross AP $M (reference)</t>
        </is>
      </c>
      <c r="C10" s="4">
        <f>'Sub Sensitivity'!C34</f>
      </c>
    </row>
    <row r="13">
      <c r="A13" s="0" t="inlineStr">
        <is>
          <t xml:space="preserve">x</t>
        </is>
      </c>
      <c r="B13" s="9" t="inlineStr">
        <is>
          <t xml:space="preserve">§2 - Coefficient ladder (the swings that move TAM/SAM)</t>
        </is>
      </c>
      <c r="C13" s="9"/>
    </row>
    <row r="15">
      <c r="B15" s="2" t="inlineStr">
        <is>
          <t xml:space="preserve">Variant</t>
        </is>
      </c>
      <c r="C15" s="22" t="inlineStr">
        <is>
          <t xml:space="preserve">Value</t>
        </is>
      </c>
    </row>
    <row r="16" outlineLevel="1">
      <c r="B16" s="0" t="inlineStr">
        <is>
          <t xml:space="preserve">All-gated POP anchor (not applied)</t>
        </is>
      </c>
      <c r="C16" s="6">
        <f>IF(SUMPRODUCT('Sub POP Corpus'!H17:H674*'Sub POP Corpus'!K17:K674)=0,"",SUMPRODUCT('Sub POP Corpus'!H17:H674*'Sub POP Corpus'!K17:K674*('Sub POP Corpus'!N17:N674+'Sub POP Corpus'!O17:O674))/SUMPRODUCT('Sub POP Corpus'!H17:H674*'Sub POP Corpus'!K17:K674))</f>
      </c>
    </row>
    <row r="17" outlineLevel="1">
      <c r="B17" s="1" t="inlineStr">
        <is>
          <t xml:space="preserve">Pooled corpus coeff (non-nuclear; reference)</t>
        </is>
      </c>
      <c r="C17" s="12">
        <f>'Sub TAM Build'!C64</f>
      </c>
    </row>
    <row r="18" outlineLevel="1">
      <c r="B18" s="1" t="inlineStr">
        <is>
          <t xml:space="preserve">AP/LLTM coeff (reference; base=0)</t>
        </is>
      </c>
      <c r="C18" s="12">
        <f>'Sub TAM Build'!C65</f>
      </c>
    </row>
    <row r="19" outlineLevel="1">
      <c r="B19" s="0" t="inlineStr">
        <is>
          <t xml:space="preserve">BC - AP/LLTM delta</t>
        </is>
      </c>
      <c r="C19" s="6">
        <f>C17-C18</f>
      </c>
    </row>
    <row r="21">
      <c r="A21" s="0" t="inlineStr">
        <is>
          <t xml:space="preserve">x</t>
        </is>
      </c>
      <c r="B21" s="10" t="inlineStr">
        <is>
          <t xml:space="preserve">§2a - Nuclear-boundary BPMI exclusion (corpus measure)</t>
        </is>
      </c>
      <c r="C21" s="10"/>
    </row>
    <row r="23">
      <c r="B23" s="2" t="inlineStr">
        <is>
          <t xml:space="preserve">BC coefficient under each attribution</t>
        </is>
      </c>
      <c r="C23" s="22" t="inlineStr">
        <is>
          <t xml:space="preserve">Value</t>
        </is>
      </c>
    </row>
    <row r="24" outlineLevel="1">
      <c r="B24" s="0" t="inlineStr">
        <is>
          <t xml:space="preserve">BC coeff incl. BPMI (sensitivity)</t>
        </is>
      </c>
      <c r="C24" s="6">
        <f>IF(SUMPRODUCT('Sub POP Corpus'!H17:H674*'Sub POP Corpus'!J17:J674*((1-'Sub POP Corpus'!I17:I674)*('Sub POP Corpus'!G17:G674="BC")+('Sub POP Corpus'!D17:D674="bpmi_nuclear"))*'Sub POP Corpus'!K17:K674)=0,"",SUMPRODUCT('Sub POP Corpus'!H17:H674*'Sub POP Corpus'!J17:J674*((1-'Sub POP Corpus'!I17:I674)*('Sub POP Corpus'!G17:G674="BC")+('Sub POP Corpus'!D17:D674="bpmi_nuclear"))*'Sub POP Corpus'!K17:K674*('Sub POP Corpus'!N17:N674+'Sub POP Corpus'!O17:O674))/SUMPRODUCT('Sub POP Corpus'!H17:H674*'Sub POP Corpus'!J17:J674*((1-'Sub POP Corpus'!I17:I674)*('Sub POP Corpus'!G17:G674="BC")+('Sub POP Corpus'!D17:D674="bpmi_nuclear"))*'Sub POP Corpus'!K17:K674))</f>
      </c>
    </row>
    <row r="25" outlineLevel="1">
      <c r="B25" s="1" t="inlineStr">
        <is>
          <t xml:space="preserve">Pooled corpus coeff (BPMI excluded; reference)</t>
        </is>
      </c>
      <c r="C25" s="12">
        <f>'Sub TAM Build'!C64</f>
      </c>
    </row>
    <row r="26" outlineLevel="1">
      <c r="B26" s="0" t="inlineStr">
        <is>
          <t xml:space="preserve">BC swing (BPMI removal)</t>
        </is>
      </c>
      <c r="C26" s="6">
        <f>C24-C25</f>
      </c>
    </row>
    <row r="27" outlineLevel="1">
      <c r="B27" s="0" t="inlineStr">
        <is>
          <t xml:space="preserve">BPMI $ (now GFE-excluded)</t>
        </is>
      </c>
      <c r="C27" s="4">
        <f>SUMPRODUCT('Sub POP Corpus'!H17:H674*('Sub POP Corpus'!D17:D674="bpmi_nuclear")*'Sub POP Corpus'!K17:K674)</f>
      </c>
    </row>
    <row r="29">
      <c r="A29" s="0" t="inlineStr">
        <is>
          <t xml:space="preserve">x</t>
        </is>
      </c>
      <c r="B29" s="10" t="inlineStr">
        <is>
          <t xml:space="preserve">§2b - TAM impact (headline vs pre-boundary sensitivity; AP base=0)</t>
        </is>
      </c>
      <c r="C29" s="10"/>
    </row>
    <row r="31">
      <c r="B31" s="2" t="inlineStr">
        <is>
          <t xml:space="preserve">Measure</t>
        </is>
      </c>
      <c r="C31" s="22" t="inlineStr">
        <is>
          <t xml:space="preserve">$M</t>
        </is>
      </c>
    </row>
    <row r="32" outlineLevel="1">
      <c r="B32" s="1" t="inlineStr">
        <is>
          <t xml:space="preserve">Headline non-nuclear supplier TAM (cum.)</t>
        </is>
      </c>
      <c r="C32" s="4">
        <f>N('Sub TAM Build'!C132)+N('Sub TAM Build'!D132)+N('Sub TAM Build'!E132)+N('Sub TAM Build'!F132)+N('Sub TAM Build'!G132)+N('Sub TAM Build'!H132)</f>
      </c>
    </row>
    <row r="33" outlineLevel="1">
      <c r="B33" s="0" t="inlineStr">
        <is>
          <t xml:space="preserve">Pre-boundary sensitivity TAM</t>
        </is>
      </c>
      <c r="C33" s="4">
        <f>C32*(C24/C25)</f>
      </c>
    </row>
    <row r="34" outlineLevel="1">
      <c r="B34" s="0" t="inlineStr">
        <is>
          <t xml:space="preserve">Real P-10 gross AP (FY22-27, ref)</t>
        </is>
      </c>
      <c r="C34" s="4">
        <f>N('Sub Assumptions'!C38)+N('Sub Assumptions'!D38)+N('Sub Assumptions'!E38)+N('Sub Assumptions'!F38)+N('Sub Assumptions'!G38)+N('Sub Assumptions'!H38)+N('Sub Assumptions'!C39)+N('Sub Assumptions'!D39)+N('Sub Assumptions'!E39)+N('Sub Assumptions'!F39)+N('Sub Assumptions'!G39)+N('Sub Assumptions'!H39)</f>
      </c>
    </row>
    <row r="37">
      <c r="A37" s="0" t="inlineStr">
        <is>
          <t xml:space="preserve">x</t>
        </is>
      </c>
      <c r="B37" s="9" t="inlineStr">
        <is>
          <t xml:space="preserve">§3 - Sensitivity guardrails</t>
        </is>
      </c>
      <c r="C37" s="9"/>
    </row>
    <row r="39" outlineLevel="1">
      <c r="B39" s="0" t="inlineStr">
        <is>
          <t xml:space="preserve">Sensitivity values are not headline.</t>
        </is>
      </c>
    </row>
    <row r="40" outlineLevel="1">
      <c r="B40" s="0" t="inlineStr">
        <is>
          <t xml:space="preserve">The BPMI-included coefficient (~75.7%) is not applied.</t>
        </is>
      </c>
    </row>
    <row r="41" outlineLevel="1">
      <c r="B41" s="0" t="inlineStr">
        <is>
          <t xml:space="preserve">The AP/LLTM coefficient is reference-only while the additive base is zero.</t>
        </is>
      </c>
    </row>
  </sheetData>
</worksheet>
</file>

<file path=xl/worksheets/sheet32.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34" customWidth="1"/>
    <col min="3" max="3" width="14" customWidth="1"/>
    <col min="4" max="4" width="14" customWidth="1"/>
    <col min="5" max="5" width="30" customWidth="1"/>
    <col min="6" max="6" width="14" customWidth="1"/>
    <col min="7" max="7" width="14" customWidth="1"/>
    <col min="8" max="8" width="12" customWidth="1"/>
  </cols>
  <sheetData>
    <row r="1"/>
    <row r="2">
      <c r="B2" s="8" t="inlineStr">
        <is>
          <t xml:space="preserve">POP Source Audit</t>
        </is>
      </c>
      <c r="C2" s="8"/>
      <c r="D2" s="8"/>
      <c r="E2" s="8"/>
      <c r="F2" s="8"/>
      <c r="G2" s="8"/>
      <c r="H2" s="8"/>
    </row>
    <row r="4">
      <c r="B4" s="9" t="inlineStr">
        <is>
          <t xml:space="preserve">§1 - Confirmation &amp; risk</t>
        </is>
      </c>
      <c r="C4" s="9"/>
      <c r="D4" s="9"/>
      <c r="E4" s="9"/>
      <c r="F4" s="9"/>
      <c r="G4" s="9"/>
      <c r="H4" s="9"/>
    </row>
    <row r="6">
      <c r="B6" s="2" t="inlineStr">
        <is>
          <t xml:space="preserve">Measure</t>
        </is>
      </c>
      <c r="C6" s="22" t="inlineStr">
        <is>
          <t xml:space="preserve">Value</t>
        </is>
      </c>
      <c r="D6" s="2" t="inlineStr">
        <is>
          <t xml:space="preserve">Status / note</t>
        </is>
      </c>
    </row>
    <row r="7">
      <c r="B7" s="1" t="inlineStr">
        <is>
          <t xml:space="preserve">Gated TAM corpus $M</t>
        </is>
      </c>
      <c r="C7" s="4">
        <f>'Sub POP Source Audit'!D18</f>
      </c>
      <c r="D7" s="0" t="inlineStr">
        <is>
          <t xml:space="preserve">the gated POP pool</t>
        </is>
      </c>
    </row>
    <row r="8">
      <c r="B8" s="0" t="inlineStr">
        <is>
          <t xml:space="preserve">In-scope non-GFE $M</t>
        </is>
      </c>
      <c r="C8" s="4">
        <f>'Sub POP Source Audit'!D20</f>
      </c>
      <c r="D8" s="0" t="inlineStr">
        <is>
          <t xml:space="preserve">coefficient corpus</t>
        </is>
      </c>
    </row>
    <row r="9">
      <c r="B9" s="1" t="inlineStr">
        <is>
          <t xml:space="preserve">Confirmation coverage</t>
        </is>
      </c>
      <c r="C9" s="6">
        <f>'Sub POP Source Audit'!C30</f>
      </c>
      <c r="D9" s="0" t="inlineStr">
        <is>
          <t xml:space="preserve">% of in-scope $; target ~90%+</t>
        </is>
      </c>
    </row>
    <row r="10">
      <c r="B10" s="0" t="inlineStr">
        <is>
          <t xml:space="preserve">Unparsed share (gated)</t>
        </is>
      </c>
      <c r="C10" s="6">
        <f>'Sub POP Source Audit'!C31</f>
      </c>
      <c r="D10" s="0" t="inlineStr">
        <is>
          <t xml:space="preserve">&gt;1-2% warrants review</t>
        </is>
      </c>
    </row>
    <row r="11">
      <c r="B11" s="0" t="inlineStr">
        <is>
          <t xml:space="preserve">Largest-action concentration</t>
        </is>
      </c>
      <c r="C11" s="6">
        <f>'Sub POP Source Audit'!C32</f>
      </c>
      <c r="D11" s="0" t="inlineStr">
        <is>
          <t xml:space="preserve">top action / gated pool</t>
        </is>
      </c>
    </row>
    <row r="12">
      <c r="B12" s="0" t="inlineStr">
        <is>
          <t xml:space="preserve">Stream partition check</t>
        </is>
      </c>
      <c r="C12" s="0">
        <f>'Sub POP Source Audit'!C33</f>
      </c>
      <c r="D12" s="0" t="inlineStr">
        <is>
          <t xml:space="preserve">in-scope conf = BC + AP</t>
        </is>
      </c>
    </row>
    <row r="15">
      <c r="A15" s="0" t="inlineStr">
        <is>
          <t xml:space="preserve">x</t>
        </is>
      </c>
      <c r="B15" s="9" t="inlineStr">
        <is>
          <t xml:space="preserve">§2 - Confirmation coverage (gated corpus)</t>
        </is>
      </c>
      <c r="C15" s="9"/>
      <c r="D15" s="9"/>
      <c r="E15" s="9"/>
      <c r="F15" s="9"/>
      <c r="G15" s="9"/>
      <c r="H15" s="9"/>
    </row>
    <row r="17">
      <c r="B17" s="2" t="inlineStr">
        <is>
          <t xml:space="preserve">Metric</t>
        </is>
      </c>
      <c r="C17" s="22" t="inlineStr">
        <is>
          <t xml:space="preserve">Actions</t>
        </is>
      </c>
      <c r="D17" s="22" t="inlineStr">
        <is>
          <t xml:space="preserve">$M</t>
        </is>
      </c>
    </row>
    <row r="18" outlineLevel="1">
      <c r="B18" s="1" t="inlineStr">
        <is>
          <t xml:space="preserve">Gated TAM corpus</t>
        </is>
      </c>
      <c r="C18" s="4">
        <f>SUMPRODUCT('Sub POP Corpus'!H17:H674)</f>
      </c>
      <c r="D18" s="4">
        <f>SUMPRODUCT('Sub POP Corpus'!H17:H674*'Sub POP Corpus'!K17:K674)</f>
      </c>
    </row>
    <row r="19" outlineLevel="1">
      <c r="B19" s="20" t="inlineStr">
        <is>
          <t xml:space="preserve">less: GFE / excluded</t>
        </is>
      </c>
      <c r="C19" s="4">
        <f>SUMPRODUCT('Sub POP Corpus'!H17:H674*'Sub POP Corpus'!I17:I674)</f>
      </c>
      <c r="D19" s="4">
        <f>SUMPRODUCT('Sub POP Corpus'!H17:H674*'Sub POP Corpus'!I17:I674*'Sub POP Corpus'!K17:K674)</f>
      </c>
    </row>
    <row r="20" outlineLevel="1">
      <c r="B20" s="1" t="inlineStr">
        <is>
          <t xml:space="preserve">In-scope (non-GFE)</t>
        </is>
      </c>
      <c r="C20" s="4">
        <f>SUMPRODUCT('Sub POP Corpus'!H17:H674*(1-'Sub POP Corpus'!I17:I674))</f>
      </c>
      <c r="D20" s="4">
        <f>SUMPRODUCT('Sub POP Corpus'!H17:H674*(1-'Sub POP Corpus'!I17:I674)*'Sub POP Corpus'!K17:K674)</f>
      </c>
    </row>
    <row r="21" outlineLevel="1">
      <c r="B21" s="20" t="inlineStr">
        <is>
          <t xml:space="preserve">confirmed</t>
        </is>
      </c>
      <c r="C21" s="4">
        <f>SUMPRODUCT('Sub POP Corpus'!H17:H674*(1-'Sub POP Corpus'!I17:I674)*'Sub POP Corpus'!J17:J674)</f>
      </c>
      <c r="D21" s="4">
        <f>SUMPRODUCT('Sub POP Corpus'!H17:H674*(1-'Sub POP Corpus'!I17:I674)*'Sub POP Corpus'!J17:J674*'Sub POP Corpus'!K17:K674)</f>
      </c>
    </row>
    <row r="22" outlineLevel="1">
      <c r="B22" s="20" t="inlineStr">
        <is>
          <t xml:space="preserve">unresolved</t>
        </is>
      </c>
      <c r="C22" s="4">
        <f>SUMPRODUCT('Sub POP Corpus'!H17:H674*(1-'Sub POP Corpus'!I17:I674)*(1-'Sub POP Corpus'!J17:J674))</f>
      </c>
      <c r="D22" s="4">
        <f>SUMPRODUCT('Sub POP Corpus'!H17:H674*(1-'Sub POP Corpus'!I17:I674)*(1-'Sub POP Corpus'!J17:J674)*'Sub POP Corpus'!K17:K674)</f>
      </c>
    </row>
    <row r="23" outlineLevel="1">
      <c r="B23" s="0" t="inlineStr">
        <is>
          <t xml:space="preserve">BC stream (confirmed)</t>
        </is>
      </c>
      <c r="C23" s="4">
        <f>SUMPRODUCT('Sub POP Corpus'!H17:H674*(1-'Sub POP Corpus'!I17:I674)*'Sub POP Corpus'!J17:J674*('Sub POP Corpus'!G17:G674="BC"))</f>
      </c>
      <c r="D23" s="4">
        <f>SUMPRODUCT('Sub POP Corpus'!H17:H674*(1-'Sub POP Corpus'!I17:I674)*'Sub POP Corpus'!J17:J674*('Sub POP Corpus'!G17:G674="BC")*'Sub POP Corpus'!K17:K674)</f>
      </c>
    </row>
    <row r="24" outlineLevel="1">
      <c r="B24" s="0" t="inlineStr">
        <is>
          <t xml:space="preserve">AP/LLTM (confirmed)</t>
        </is>
      </c>
      <c r="C24" s="4">
        <f>SUMPRODUCT('Sub POP Corpus'!H17:H674*(1-'Sub POP Corpus'!I17:I674)*'Sub POP Corpus'!J17:J674*('Sub POP Corpus'!G17:G674="AP_LLTM"))</f>
      </c>
      <c r="D24" s="4">
        <f>SUMPRODUCT('Sub POP Corpus'!H17:H674*(1-'Sub POP Corpus'!I17:I674)*'Sub POP Corpus'!J17:J674*('Sub POP Corpus'!G17:G674="AP_LLTM")*'Sub POP Corpus'!K17:K674)</f>
      </c>
    </row>
    <row r="25" outlineLevel="1">
      <c r="B25" s="0" t="inlineStr">
        <is>
          <t xml:space="preserve">Redacted / missing-$</t>
        </is>
      </c>
      <c r="C25" s="4">
        <f>SUMPRODUCT('Sub POP Corpus'!H17:H674*('Sub POP Corpus'!K17:K674=0))</f>
      </c>
      <c r="D25" s="4">
        <f>SUMPRODUCT('Sub POP Corpus'!H17:H674*('Sub POP Corpus'!K17:K674=0)*'Sub POP Corpus'!K17:K674)</f>
      </c>
    </row>
    <row r="27">
      <c r="A27" s="0" t="inlineStr">
        <is>
          <t xml:space="preserve">x</t>
        </is>
      </c>
      <c r="B27" s="10" t="inlineStr">
        <is>
          <t xml:space="preserve">§2a - Risk ratios</t>
        </is>
      </c>
      <c r="C27" s="10"/>
      <c r="D27" s="10"/>
      <c r="E27" s="10"/>
      <c r="F27" s="10"/>
      <c r="G27" s="10"/>
      <c r="H27" s="10"/>
    </row>
    <row r="29">
      <c r="B29" s="2" t="inlineStr">
        <is>
          <t xml:space="preserve">Ratio</t>
        </is>
      </c>
      <c r="C29" s="22" t="inlineStr">
        <is>
          <t xml:space="preserve">Value</t>
        </is>
      </c>
    </row>
    <row r="30" outlineLevel="1">
      <c r="B30" s="0" t="inlineStr">
        <is>
          <t xml:space="preserve">Confirmation coverage</t>
        </is>
      </c>
      <c r="C30" s="6">
        <f>D21/D20</f>
      </c>
    </row>
    <row r="31" outlineLevel="1">
      <c r="B31" s="0" t="inlineStr">
        <is>
          <t xml:space="preserve">Unparsed share (gated)</t>
        </is>
      </c>
      <c r="C31" s="6">
        <f>SUMPRODUCT('Sub POP Corpus'!H17:H674*'Sub POP Corpus'!K17:K674*(1-'Sub POP Corpus'!L17:L674-'Sub POP Corpus'!M17:M674-'Sub POP Corpus'!N17:N674-'Sub POP Corpus'!O17:O674))/D18</f>
      </c>
    </row>
    <row r="32" outlineLevel="1">
      <c r="B32" s="0" t="inlineStr">
        <is>
          <t xml:space="preserve">Largest-action conc.</t>
        </is>
      </c>
      <c r="C32" s="6">
        <f>'Sub POP Corpus'!K18/D18</f>
      </c>
    </row>
    <row r="33" outlineLevel="1">
      <c r="B33" s="0" t="inlineStr">
        <is>
          <t xml:space="preserve">Stream partition check</t>
        </is>
      </c>
      <c r="C33" s="0">
        <f>IF(ABS(D21-(D23+D24))&lt;0.1,"OK","FAIL")</f>
      </c>
    </row>
    <row r="35">
      <c r="A35" s="0" t="inlineStr">
        <is>
          <t xml:space="preserve">x</t>
        </is>
      </c>
      <c r="B35" s="10" t="inlineStr">
        <is>
          <t xml:space="preserve">§2b - High-$ action register (top 10 by $, Tier-1 confirmed)</t>
        </is>
      </c>
      <c r="C35" s="10"/>
      <c r="D35" s="10"/>
      <c r="E35" s="10"/>
      <c r="F35" s="10"/>
      <c r="G35" s="10"/>
      <c r="H35" s="10"/>
    </row>
    <row r="37">
      <c r="B37" s="22" t="inlineStr">
        <is>
          <t xml:space="preserve">Rank</t>
        </is>
      </c>
      <c r="C37" s="2" t="inlineStr">
        <is>
          <t xml:space="preserve">PIID</t>
        </is>
      </c>
      <c r="D37" s="2" t="inlineStr">
        <is>
          <t xml:space="preserve">Program</t>
        </is>
      </c>
      <c r="E37" s="22" t="inlineStr">
        <is>
          <t xml:space="preserve">$M</t>
        </is>
      </c>
      <c r="F37" s="2" t="inlineStr">
        <is>
          <t xml:space="preserve">Stream</t>
        </is>
      </c>
      <c r="G37" s="2" t="inlineStr">
        <is>
          <t xml:space="preserve">Scope Class</t>
        </is>
      </c>
      <c r="H37" s="22" t="inlineStr">
        <is>
          <t xml:space="preserve">Conf</t>
        </is>
      </c>
    </row>
    <row r="38" outlineLevel="1">
      <c r="B38" s="0">
        <v>1</v>
      </c>
      <c r="C38" s="0">
        <f>'Sub POP Corpus'!C18</f>
      </c>
      <c r="D38" s="0">
        <f>'Sub POP Corpus'!D18</f>
      </c>
      <c r="E38" s="11">
        <f>'Sub POP Corpus'!K18</f>
      </c>
      <c r="F38" s="0">
        <f>'Sub POP Corpus'!G18</f>
      </c>
      <c r="G38" s="0">
        <f>'Sub POP Corpus'!F18</f>
      </c>
      <c r="H38" s="11">
        <f>'Sub POP Corpus'!J18</f>
      </c>
    </row>
    <row r="39" outlineLevel="1">
      <c r="B39" s="0">
        <v>2</v>
      </c>
      <c r="C39" s="0">
        <f>'Sub POP Corpus'!C23</f>
      </c>
      <c r="D39" s="0">
        <f>'Sub POP Corpus'!D23</f>
      </c>
      <c r="E39" s="11">
        <f>'Sub POP Corpus'!K23</f>
      </c>
      <c r="F39" s="0">
        <f>'Sub POP Corpus'!G23</f>
      </c>
      <c r="G39" s="0">
        <f>'Sub POP Corpus'!F23</f>
      </c>
      <c r="H39" s="11">
        <f>'Sub POP Corpus'!J23</f>
      </c>
    </row>
    <row r="40" outlineLevel="1">
      <c r="B40" s="0">
        <v>3</v>
      </c>
      <c r="C40" s="0">
        <f>'Sub POP Corpus'!C24</f>
      </c>
      <c r="D40" s="0">
        <f>'Sub POP Corpus'!D24</f>
      </c>
      <c r="E40" s="11">
        <f>'Sub POP Corpus'!K24</f>
      </c>
      <c r="F40" s="0">
        <f>'Sub POP Corpus'!G24</f>
      </c>
      <c r="G40" s="0">
        <f>'Sub POP Corpus'!F24</f>
      </c>
      <c r="H40" s="11">
        <f>'Sub POP Corpus'!J24</f>
      </c>
    </row>
    <row r="41" outlineLevel="1">
      <c r="B41" s="0">
        <v>4</v>
      </c>
      <c r="C41" s="0">
        <f>'Sub POP Corpus'!C31</f>
      </c>
      <c r="D41" s="0">
        <f>'Sub POP Corpus'!D31</f>
      </c>
      <c r="E41" s="11">
        <f>'Sub POP Corpus'!K31</f>
      </c>
      <c r="F41" s="0">
        <f>'Sub POP Corpus'!G31</f>
      </c>
      <c r="G41" s="0">
        <f>'Sub POP Corpus'!F31</f>
      </c>
      <c r="H41" s="11">
        <f>'Sub POP Corpus'!J31</f>
      </c>
    </row>
    <row r="42" outlineLevel="1">
      <c r="B42" s="0">
        <v>5</v>
      </c>
      <c r="C42" s="0">
        <f>'Sub POP Corpus'!C37</f>
      </c>
      <c r="D42" s="0">
        <f>'Sub POP Corpus'!D37</f>
      </c>
      <c r="E42" s="11">
        <f>'Sub POP Corpus'!K37</f>
      </c>
      <c r="F42" s="0">
        <f>'Sub POP Corpus'!G37</f>
      </c>
      <c r="G42" s="0">
        <f>'Sub POP Corpus'!F37</f>
      </c>
      <c r="H42" s="11">
        <f>'Sub POP Corpus'!J37</f>
      </c>
    </row>
    <row r="43" outlineLevel="1">
      <c r="B43" s="0">
        <v>6</v>
      </c>
      <c r="C43" s="0">
        <f>'Sub POP Corpus'!C40</f>
      </c>
      <c r="D43" s="0">
        <f>'Sub POP Corpus'!D40</f>
      </c>
      <c r="E43" s="11">
        <f>'Sub POP Corpus'!K40</f>
      </c>
      <c r="F43" s="0">
        <f>'Sub POP Corpus'!G40</f>
      </c>
      <c r="G43" s="0">
        <f>'Sub POP Corpus'!F40</f>
      </c>
      <c r="H43" s="11">
        <f>'Sub POP Corpus'!J40</f>
      </c>
    </row>
    <row r="44" outlineLevel="1">
      <c r="B44" s="0">
        <v>7</v>
      </c>
      <c r="C44" s="0">
        <f>'Sub POP Corpus'!C41</f>
      </c>
      <c r="D44" s="0">
        <f>'Sub POP Corpus'!D41</f>
      </c>
      <c r="E44" s="11">
        <f>'Sub POP Corpus'!K41</f>
      </c>
      <c r="F44" s="0">
        <f>'Sub POP Corpus'!G41</f>
      </c>
      <c r="G44" s="0">
        <f>'Sub POP Corpus'!F41</f>
      </c>
      <c r="H44" s="11">
        <f>'Sub POP Corpus'!J41</f>
      </c>
    </row>
    <row r="45" outlineLevel="1">
      <c r="B45" s="0">
        <v>8</v>
      </c>
      <c r="C45" s="0">
        <f>'Sub POP Corpus'!C42</f>
      </c>
      <c r="D45" s="0">
        <f>'Sub POP Corpus'!D42</f>
      </c>
      <c r="E45" s="11">
        <f>'Sub POP Corpus'!K42</f>
      </c>
      <c r="F45" s="0">
        <f>'Sub POP Corpus'!G42</f>
      </c>
      <c r="G45" s="0">
        <f>'Sub POP Corpus'!F42</f>
      </c>
      <c r="H45" s="11">
        <f>'Sub POP Corpus'!J42</f>
      </c>
    </row>
    <row r="46" outlineLevel="1">
      <c r="B46" s="0">
        <v>9</v>
      </c>
      <c r="C46" s="0">
        <f>'Sub POP Corpus'!C45</f>
      </c>
      <c r="D46" s="0">
        <f>'Sub POP Corpus'!D45</f>
      </c>
      <c r="E46" s="11">
        <f>'Sub POP Corpus'!K45</f>
      </c>
      <c r="F46" s="0">
        <f>'Sub POP Corpus'!G45</f>
      </c>
      <c r="G46" s="0">
        <f>'Sub POP Corpus'!F45</f>
      </c>
      <c r="H46" s="11">
        <f>'Sub POP Corpus'!J45</f>
      </c>
    </row>
    <row r="47" outlineLevel="1">
      <c r="B47" s="0">
        <v>10</v>
      </c>
      <c r="C47" s="0">
        <f>'Sub POP Corpus'!C50</f>
      </c>
      <c r="D47" s="0">
        <f>'Sub POP Corpus'!D50</f>
      </c>
      <c r="E47" s="11">
        <f>'Sub POP Corpus'!K50</f>
      </c>
      <c r="F47" s="0">
        <f>'Sub POP Corpus'!G50</f>
      </c>
      <c r="G47" s="0">
        <f>'Sub POP Corpus'!F50</f>
      </c>
      <c r="H47" s="11">
        <f>'Sub POP Corpus'!J50</f>
      </c>
    </row>
  </sheetData>
</worksheet>
</file>

<file path=xl/worksheets/sheet33.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44" customWidth="1"/>
    <col min="3" max="3" width="14" customWidth="1"/>
  </cols>
  <sheetData>
    <row r="1"/>
    <row r="2">
      <c r="B2" s="8" t="inlineStr">
        <is>
          <t xml:space="preserve">DDG Sensitivity</t>
        </is>
      </c>
      <c r="C2" s="8"/>
    </row>
    <row r="4">
      <c r="A4" s="0" t="inlineStr">
        <is>
          <t xml:space="preserve">x</t>
        </is>
      </c>
      <c r="B4" s="9" t="inlineStr">
        <is>
          <t xml:space="preserve">§1 - Coefficient ladder (BC coeff vs all-gated outside-yards POP)</t>
        </is>
      </c>
      <c r="C4" s="9"/>
    </row>
    <row r="6">
      <c r="B6" s="2" t="inlineStr">
        <is>
          <t xml:space="preserve">Coefficient</t>
        </is>
      </c>
      <c r="C6" s="22" t="inlineStr">
        <is>
          <t xml:space="preserve">Value</t>
        </is>
      </c>
    </row>
    <row r="7" outlineLevel="1">
      <c r="B7" s="1" t="inlineStr">
        <is>
          <t xml:space="preserve">BC supplier coeff (applied, MYP-corrected)</t>
        </is>
      </c>
      <c r="C7" s="12">
        <f>'DDG TAM Build'!C44</f>
      </c>
    </row>
    <row r="8" outlineLevel="1">
      <c r="B8" s="0" t="inlineStr">
        <is>
          <t xml:space="preserve">Outside-yards POP, MYP-corrected</t>
        </is>
      </c>
      <c r="C8" s="12">
        <f>'DDG TAM Build'!C55</f>
      </c>
    </row>
    <row r="9" outlineLevel="1">
      <c r="B9" s="0" t="inlineStr">
        <is>
          <t xml:space="preserve">Outside-yards POP, disclosed (artifact)</t>
        </is>
      </c>
      <c r="C9" s="12">
        <f>'DDG TAM Build'!C54</f>
      </c>
    </row>
    <row r="12">
      <c r="A12" s="0" t="inlineStr">
        <is>
          <t xml:space="preserve">x</t>
        </is>
      </c>
      <c r="B12" s="9" t="inlineStr">
        <is>
          <t xml:space="preserve">§2 - MYP swing</t>
        </is>
      </c>
      <c r="C12" s="9"/>
    </row>
    <row r="14">
      <c r="B14" s="2" t="inlineStr">
        <is>
          <t xml:space="preserve">Measure</t>
        </is>
      </c>
      <c r="C14" s="22" t="inlineStr">
        <is>
          <t xml:space="preserve">Value</t>
        </is>
      </c>
    </row>
    <row r="15" outlineLevel="1">
      <c r="B15" s="1" t="inlineStr">
        <is>
          <t xml:space="preserve">Outside-yards swing (disclosed - corrected)</t>
        </is>
      </c>
      <c r="C15" s="6">
        <f>C9-C8</f>
      </c>
    </row>
    <row r="16" outlineLevel="1">
      <c r="B16" s="0" t="inlineStr">
        <is>
          <t xml:space="preserve">MYP masters $M (reconstructed)</t>
        </is>
      </c>
      <c r="C16" s="11">
        <f>'DDG POP Source Audit'!D20</f>
      </c>
    </row>
    <row r="17" outlineLevel="1">
      <c r="B17" s="0" t="inlineStr">
        <is>
          <t xml:space="preserve">Masters as % of gated corpus $</t>
        </is>
      </c>
      <c r="C17" s="6">
        <f>C16/'DDG POP Source Audit'!D15</f>
      </c>
    </row>
    <row r="20">
      <c r="A20" s="0" t="inlineStr">
        <is>
          <t xml:space="preserve">x</t>
        </is>
      </c>
      <c r="B20" s="9" t="inlineStr">
        <is>
          <t xml:space="preserve">§3 - TAM sensitivity (MYP adjustment effect: corrected vs disclosed-only coeff)</t>
        </is>
      </c>
      <c r="C20" s="9"/>
    </row>
    <row r="22">
      <c r="B22" s="2" t="inlineStr">
        <is>
          <t xml:space="preserve">Measure</t>
        </is>
      </c>
      <c r="C22" s="22" t="inlineStr">
        <is>
          <t xml:space="preserve">$M</t>
        </is>
      </c>
    </row>
    <row r="23" outlineLevel="1">
      <c r="B23" s="1" t="inlineStr">
        <is>
          <t xml:space="preserve">Portfolio TAM (applied, MYP-corrected)</t>
        </is>
      </c>
      <c r="C23" s="11">
        <f>'DDG TAM Build'!I117</f>
      </c>
    </row>
    <row r="24" outlineLevel="1">
      <c r="B24" s="0" t="inlineStr">
        <is>
          <t xml:space="preserve">Portfolio TAM (disclosed-only BC coeff)</t>
        </is>
      </c>
      <c r="C24" s="4">
        <f>C23*('DDG TAM Build'!C48/'DDG TAM Build'!C44)</f>
      </c>
    </row>
    <row r="25" outlineLevel="1">
      <c r="B25" s="1" t="inlineStr">
        <is>
          <t xml:space="preserve">MYP adjustment uplift on TAM</t>
        </is>
      </c>
      <c r="C25" s="4">
        <f>C23-C24</f>
      </c>
    </row>
    <row r="26" outlineLevel="1">
      <c r="B26" s="0" t="inlineStr">
        <is>
          <t xml:space="preserve">Memo: masters' embedded content @ 42% band</t>
        </is>
      </c>
      <c r="C26" s="4">
        <f>'DDG POP Source Audit'!D20*0.42</f>
      </c>
    </row>
    <row r="29">
      <c r="A29" s="0" t="inlineStr">
        <is>
          <t xml:space="preserve">x</t>
        </is>
      </c>
      <c r="B29" s="9" t="inlineStr">
        <is>
          <t xml:space="preserve">§4 - AP/LLTM stream</t>
        </is>
      </c>
      <c r="C29" s="9"/>
    </row>
    <row r="31">
      <c r="B31" s="2" t="inlineStr">
        <is>
          <t xml:space="preserve">Measure</t>
        </is>
      </c>
      <c r="C31" s="22" t="inlineStr">
        <is>
          <t xml:space="preserve">Value</t>
        </is>
      </c>
    </row>
    <row r="32" outlineLevel="1">
      <c r="B32" s="0" t="inlineStr">
        <is>
          <t xml:space="preserve">AP/LLTM supplier coefficient (P-10 EOQ basis)</t>
        </is>
      </c>
      <c r="C32" s="12">
        <f>'DDG Assumptions'!C41</f>
      </c>
    </row>
    <row r="33" outlineLevel="1">
      <c r="B33" s="1" t="inlineStr">
        <is>
          <t xml:space="preserve">AP/LLTM stream TAM ($M)</t>
        </is>
      </c>
      <c r="C33" s="11">
        <f>'DDG TAM Build'!I116</f>
      </c>
    </row>
    <row r="34" outlineLevel="1">
      <c r="B34" s="0" t="inlineStr">
        <is>
          <t xml:space="preserve">Stream TAM at 85% coefficient haircut ($M)</t>
        </is>
      </c>
      <c r="C34" s="4">
        <f>N('DDG TAM Build'!I116)*0.85</f>
      </c>
    </row>
    <row r="35" outlineLevel="1">
      <c r="B35" s="0" t="inlineStr">
        <is>
          <t xml:space="preserve">Stream TAM at 70% coefficient haircut ($M)</t>
        </is>
      </c>
      <c r="C35" s="4">
        <f>N('DDG TAM Build'!I116)*0.70</f>
      </c>
    </row>
    <row r="36" outlineLevel="1">
      <c r="B36" s="0" t="inlineStr">
        <is>
          <t xml:space="preserve">AP/LLTM share of portfolio TAM</t>
        </is>
      </c>
      <c r="C36" s="6">
        <f>N('DDG TAM Build'!I116)/('DDG TAM Build'!I115+N('DDG TAM Build'!I116))</f>
      </c>
    </row>
    <row r="39">
      <c r="A39" s="0" t="inlineStr">
        <is>
          <t xml:space="preserve">x</t>
        </is>
      </c>
      <c r="B39" s="9" t="inlineStr">
        <is>
          <t xml:space="preserve">§5 - OBBBA BC-share sensitivity (Sec. 20002(17) BC/GFE split)</t>
        </is>
      </c>
      <c r="C39" s="9"/>
    </row>
    <row r="41">
      <c r="B41" s="2" t="inlineStr">
        <is>
          <t xml:space="preserve">Measure</t>
        </is>
      </c>
      <c r="C41" s="22" t="inlineStr">
        <is>
          <t xml:space="preserve">Value</t>
        </is>
      </c>
    </row>
    <row r="42" outlineLevel="1">
      <c r="B42" s="0" t="inlineStr">
        <is>
          <t xml:space="preserve">OBBBA gross award FY2026 ($M)</t>
        </is>
      </c>
      <c r="C42" s="11">
        <f>'DDG OBBBA Mandatory'!G23</f>
      </c>
    </row>
    <row r="43" outlineLevel="1">
      <c r="B43" s="0" t="inlineStr">
        <is>
          <t xml:space="preserve">Applied BC share (Assumptions knob)</t>
        </is>
      </c>
      <c r="C43" s="12">
        <f>'DDG Assumptions'!C42</f>
      </c>
    </row>
    <row r="44" outlineLevel="1">
      <c r="B44" s="1" t="inlineStr">
        <is>
          <t xml:space="preserve">OBBBA TAM uplift @ applied share ($M)</t>
        </is>
      </c>
      <c r="C44" s="4">
        <f>N('DDG OBBBA Mandatory'!G29)*N('DDG TAM Build'!C44)</f>
      </c>
    </row>
    <row r="45" outlineLevel="1">
      <c r="B45" s="0" t="inlineStr">
        <is>
          <t xml:space="preserve">OBBBA TAM uplift @ 55% BC share ($M)</t>
        </is>
      </c>
      <c r="C45" s="4">
        <f>C42*0.55*N('DDG TAM Build'!C44)</f>
      </c>
    </row>
    <row r="46" outlineLevel="1">
      <c r="B46" s="0" t="inlineStr">
        <is>
          <t xml:space="preserve">OBBBA TAM uplift @ 70% BC share ($M)</t>
        </is>
      </c>
      <c r="C46" s="4">
        <f>C42*0.70*N('DDG TAM Build'!C44)</f>
      </c>
    </row>
    <row r="47" outlineLevel="1">
      <c r="B47" s="0" t="inlineStr">
        <is>
          <t xml:space="preserve">Uplift band width (70% - 55%) ($M)</t>
        </is>
      </c>
      <c r="C47" s="4">
        <f>C46-C45</f>
      </c>
    </row>
    <row r="48" outlineLevel="1">
      <c r="B48" s="0" t="inlineStr">
        <is>
          <t xml:space="preserve">Uplift as % of portfolio TAM</t>
        </is>
      </c>
      <c r="C48" s="6">
        <f>C44/N('DDG TAM Build'!I117)</f>
      </c>
    </row>
  </sheetData>
</worksheet>
</file>

<file path=xl/worksheets/sheet34.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24" customWidth="1"/>
    <col min="3" max="3" width="40" customWidth="1"/>
    <col min="4" max="4" width="16" customWidth="1"/>
  </cols>
  <sheetData>
    <row r="1"/>
    <row r="2">
      <c r="B2" s="8" t="inlineStr">
        <is>
          <t xml:space="preserve">DDG Scope Exclusions</t>
        </is>
      </c>
      <c r="C2" s="8"/>
      <c r="D2" s="8"/>
    </row>
    <row r="4">
      <c r="A4" s="0" t="inlineStr">
        <is>
          <t xml:space="preserve">x</t>
        </is>
      </c>
      <c r="B4" s="9" t="inlineStr">
        <is>
          <t xml:space="preserve">§1 - Cleanup summary (after removing 16 contaminant PIIDs)</t>
        </is>
      </c>
      <c r="C4" s="9"/>
      <c r="D4" s="9"/>
    </row>
    <row r="6">
      <c r="B6" s="2" t="inlineStr">
        <is>
          <t xml:space="preserve">Metric</t>
        </is>
      </c>
      <c r="C6" s="22" t="inlineStr">
        <is>
          <t xml:space="preserve">Value</t>
        </is>
      </c>
    </row>
    <row r="7" outlineLevel="1">
      <c r="B7" s="0" t="inlineStr">
        <is>
          <t xml:space="preserve">Records kept (in-scope)</t>
        </is>
      </c>
      <c r="C7" s="0">
        <v>15720</v>
      </c>
    </row>
    <row r="8" outlineLevel="1">
      <c r="B8" s="0" t="inlineStr">
        <is>
          <t xml:space="preserve">Records excluded (out-of-scope PIIDs)</t>
        </is>
      </c>
      <c r="C8" s="0">
        <v>6515</v>
      </c>
    </row>
    <row r="9" outlineLevel="1">
      <c r="B9" s="0" t="inlineStr">
        <is>
          <t xml:space="preserve">Records pre-clean (kept + excluded)</t>
        </is>
      </c>
      <c r="C9" s="0">
        <f>C7+C8</f>
      </c>
    </row>
    <row r="10" outlineLevel="1">
      <c r="B10" s="0" t="inlineStr">
        <is>
          <t xml:space="preserve">In-scope dollars ($M)</t>
        </is>
      </c>
      <c r="C10" s="5">
        <v>11201.9</v>
      </c>
    </row>
    <row r="11" outlineLevel="1">
      <c r="B11" s="0" t="inlineStr">
        <is>
          <t xml:space="preserve">Unique in-scope parent UEIs</t>
        </is>
      </c>
      <c r="C11" s="0">
        <v>1554</v>
      </c>
    </row>
    <row r="14">
      <c r="A14" s="0" t="inlineStr">
        <is>
          <t xml:space="preserve">x</t>
        </is>
      </c>
      <c r="B14" s="9" t="inlineStr">
        <is>
          <t xml:space="preserve">§2 - Excluded PIIDs by class (FPDS obligated $M = size indicator)</t>
        </is>
      </c>
      <c r="C14" s="9"/>
      <c r="D14" s="9"/>
    </row>
    <row r="16">
      <c r="A16" s="0" t="inlineStr">
        <is>
          <t xml:space="preserve">x</t>
        </is>
      </c>
      <c r="B16" s="10" t="inlineStr">
        <is>
          <t xml:space="preserve">§2a - IVECO - Marine Corps Mk110 gun (not DDG) (1)</t>
        </is>
      </c>
      <c r="C16" s="10"/>
      <c r="D16" s="10"/>
    </row>
    <row r="18">
      <c r="B18" s="2" t="inlineStr">
        <is>
          <t xml:space="preserve">PIID</t>
        </is>
      </c>
      <c r="C18" s="2" t="inlineStr">
        <is>
          <t xml:space="preserve">Reason</t>
        </is>
      </c>
      <c r="D18" s="22" t="inlineStr">
        <is>
          <t xml:space="preserve">FPDS obligated $M</t>
        </is>
      </c>
    </row>
    <row r="19" outlineLevel="1">
      <c r="B19" s="0" t="inlineStr">
        <is>
          <t xml:space="preserve">M6785416C0006</t>
        </is>
      </c>
      <c r="C19" s="0" t="inlineStr">
        <is>
          <t xml:space="preserve">MARCORSYSCOM Mk110 gun (IVECO) - Marine Corps, not DDG</t>
        </is>
      </c>
      <c r="D19" s="5">
        <v>1108.35</v>
      </c>
    </row>
    <row r="20">
      <c r="B20" s="16"/>
      <c r="C20" s="3" t="inlineStr">
        <is>
          <t xml:space="preserve">Subtotal - IVECO</t>
        </is>
      </c>
      <c r="D20" s="13">
        <f>SUM(D19:D19)</f>
      </c>
    </row>
    <row r="23">
      <c r="A23" s="0" t="inlineStr">
        <is>
          <t xml:space="preserve">x</t>
        </is>
      </c>
      <c r="B23" s="10" t="inlineStr">
        <is>
          <t xml:space="preserve">§2b - DDG-1000 / Zumwalt - out of class (LI 2119, closed) (6)</t>
        </is>
      </c>
      <c r="C23" s="10"/>
      <c r="D23" s="10"/>
    </row>
    <row r="25">
      <c r="B25" s="2" t="inlineStr">
        <is>
          <t xml:space="preserve">PIID</t>
        </is>
      </c>
      <c r="C25" s="2" t="inlineStr">
        <is>
          <t xml:space="preserve">Reason</t>
        </is>
      </c>
      <c r="D25" s="22" t="inlineStr">
        <is>
          <t xml:space="preserve">FPDS obligated $M</t>
        </is>
      </c>
    </row>
    <row r="26" outlineLevel="1">
      <c r="B26" s="0" t="inlineStr">
        <is>
          <t xml:space="preserve">N0002410C5126</t>
        </is>
      </c>
      <c r="C26" s="0" t="inlineStr">
        <is>
          <t xml:space="preserve">DDG-1002 MSE - DDG-1000 out of class</t>
        </is>
      </c>
      <c r="D26" s="5">
        <v>1341.51</v>
      </c>
    </row>
    <row r="27" outlineLevel="1">
      <c r="B27" s="0" t="inlineStr">
        <is>
          <t xml:space="preserve">N0002413C5212</t>
        </is>
      </c>
      <c r="C27" s="0" t="inlineStr">
        <is>
          <t xml:space="preserve">DDG-1000 opt year 4 - out of class</t>
        </is>
      </c>
      <c r="D27" s="5">
        <v>379.9</v>
      </c>
    </row>
    <row r="28" outlineLevel="1">
      <c r="B28" s="0" t="inlineStr">
        <is>
          <t xml:space="preserve">N0002417C5145</t>
        </is>
      </c>
      <c r="C28" s="0" t="inlineStr">
        <is>
          <t xml:space="preserve">DDG-1000 MSE/TSCE - out of class</t>
        </is>
      </c>
      <c r="D28" s="5">
        <v>793.09</v>
      </c>
    </row>
    <row r="29" outlineLevel="1">
      <c r="B29" s="0" t="inlineStr">
        <is>
          <t xml:space="preserve">N0002422C2300</t>
        </is>
      </c>
      <c r="C29" s="0" t="inlineStr">
        <is>
          <t xml:space="preserve">DDG-1002 Zumwalt CSA - out of class</t>
        </is>
      </c>
      <c r="D29" s="5">
        <v>305.55</v>
      </c>
    </row>
    <row r="30" outlineLevel="1">
      <c r="B30" s="0" t="inlineStr">
        <is>
          <t xml:space="preserve">N0002422C5522</t>
        </is>
      </c>
      <c r="C30" s="0" t="inlineStr">
        <is>
          <t xml:space="preserve">DDG-1000 systems engineering - out of class</t>
        </is>
      </c>
      <c r="D30" s="5">
        <v>621.73</v>
      </c>
    </row>
    <row r="31" outlineLevel="1">
      <c r="B31" s="0" t="inlineStr">
        <is>
          <t xml:space="preserve">N0002423C2324</t>
        </is>
      </c>
      <c r="C31" s="0" t="inlineStr">
        <is>
          <t xml:space="preserve">DDG-1000 Zumwalt BYMP - out of class</t>
        </is>
      </c>
      <c r="D31" s="5">
        <v>344.05</v>
      </c>
    </row>
    <row r="32">
      <c r="B32" s="16"/>
      <c r="C32" s="3" t="inlineStr">
        <is>
          <t xml:space="preserve">Subtotal - DDG-1000 / Zumwalt</t>
        </is>
      </c>
      <c r="D32" s="13">
        <f>SUM(D26:D31)</f>
      </c>
    </row>
    <row r="35">
      <c r="A35" s="0" t="inlineStr">
        <is>
          <t xml:space="preserve">x</t>
        </is>
      </c>
      <c r="B35" s="10" t="inlineStr">
        <is>
          <t xml:space="preserve">§2c - WPN/OPN weapons - ESSM + CIWS, different appropriation (9)</t>
        </is>
      </c>
      <c r="C35" s="10"/>
      <c r="D35" s="10"/>
    </row>
    <row r="37">
      <c r="B37" s="2" t="inlineStr">
        <is>
          <t xml:space="preserve">PIID</t>
        </is>
      </c>
      <c r="C37" s="2" t="inlineStr">
        <is>
          <t xml:space="preserve">Reason</t>
        </is>
      </c>
      <c r="D37" s="22" t="inlineStr">
        <is>
          <t xml:space="preserve">FPDS obligated $M</t>
        </is>
      </c>
    </row>
    <row r="38" outlineLevel="1">
      <c r="B38" s="0" t="inlineStr">
        <is>
          <t xml:space="preserve">N0002415C5420</t>
        </is>
      </c>
      <c r="C38" s="0" t="inlineStr">
        <is>
          <t xml:space="preserve">ESSM Block 2 EMD - WPN/OPN weapon (also the Thales $4.2B artifact PIID)</t>
        </is>
      </c>
      <c r="D38" s="5">
        <v>533.31</v>
      </c>
    </row>
    <row r="39" outlineLevel="1">
      <c r="B39" s="0" t="inlineStr">
        <is>
          <t xml:space="preserve">N0002416C5433</t>
        </is>
      </c>
      <c r="C39" s="0" t="inlineStr">
        <is>
          <t xml:space="preserve">ESSM design agent - WPN/OPN weapon</t>
        </is>
      </c>
      <c r="D39" s="5">
        <v>188.4</v>
      </c>
    </row>
    <row r="40" outlineLevel="1">
      <c r="B40" s="0" t="inlineStr">
        <is>
          <t xml:space="preserve">N0002418C5406</t>
        </is>
      </c>
      <c r="C40" s="0" t="inlineStr">
        <is>
          <t xml:space="preserve">CIWS Mk15 Phalanx U&amp;C - WPN/OPN weapon</t>
        </is>
      </c>
      <c r="D40" s="5">
        <v>261.94</v>
      </c>
    </row>
    <row r="41" outlineLevel="1">
      <c r="B41" s="0" t="inlineStr">
        <is>
          <t xml:space="preserve">N0002421C5408</t>
        </is>
      </c>
      <c r="C41" s="0" t="inlineStr">
        <is>
          <t xml:space="preserve">ESSM Block 2 spares - WPN/OPN weapon</t>
        </is>
      </c>
      <c r="D41" s="5">
        <v>1391.8</v>
      </c>
    </row>
    <row r="42" outlineLevel="1">
      <c r="B42" s="0" t="inlineStr">
        <is>
          <t xml:space="preserve">N0002424C5406</t>
        </is>
      </c>
      <c r="C42" s="0" t="inlineStr">
        <is>
          <t xml:space="preserve">CIWS FY25 production - WPN/OPN weapon</t>
        </is>
      </c>
      <c r="D42" s="5">
        <v>377.34</v>
      </c>
    </row>
    <row r="43" outlineLevel="1">
      <c r="B43" s="0" t="inlineStr">
        <is>
          <t xml:space="preserve">N0002426C5434</t>
        </is>
      </c>
      <c r="C43" s="0" t="inlineStr">
        <is>
          <t xml:space="preserve">ESSM CY26-30 design agent - WPN/OPN weapon</t>
        </is>
      </c>
      <c r="D43" s="5">
        <v>70.5</v>
      </c>
    </row>
    <row r="44" outlineLevel="1">
      <c r="B44" s="0" t="inlineStr">
        <is>
          <t xml:space="preserve">N0010418F0E40</t>
        </is>
      </c>
      <c r="C44" s="0" t="inlineStr">
        <is>
          <t xml:space="preserve">CIWS PBL definitization - WPN/OPN weapon</t>
        </is>
      </c>
      <c r="D44" s="5">
        <v>79.46</v>
      </c>
    </row>
    <row r="45" outlineLevel="1">
      <c r="B45" s="0" t="inlineStr">
        <is>
          <t xml:space="preserve">N0038319F0VP0</t>
        </is>
      </c>
      <c r="C45" s="0" t="inlineStr">
        <is>
          <t xml:space="preserve">CIWS PBL support - WPN/OPN weapon (sustainment)</t>
        </is>
      </c>
      <c r="D45" s="5">
        <v>184.87</v>
      </c>
    </row>
    <row r="46" outlineLevel="1">
      <c r="B46" s="0" t="inlineStr">
        <is>
          <t xml:space="preserve">N0038321F0ZM0</t>
        </is>
      </c>
      <c r="C46" s="0" t="inlineStr">
        <is>
          <t xml:space="preserve">CIWS long-term contract - WPN/OPN weapon</t>
        </is>
      </c>
      <c r="D46" s="5">
        <v>62.6</v>
      </c>
    </row>
    <row r="47">
      <c r="B47" s="16"/>
      <c r="C47" s="3" t="inlineStr">
        <is>
          <t xml:space="preserve">Subtotal - WPN/OPN weapons</t>
        </is>
      </c>
      <c r="D47" s="13">
        <f>SUM(D38:D46)</f>
      </c>
    </row>
  </sheetData>
</worksheet>
</file>

<file path=xl/worksheets/sheet35.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44" customWidth="1"/>
    <col min="3" max="3" width="12" customWidth="1"/>
    <col min="4" max="4" width="12" customWidth="1"/>
  </cols>
  <sheetData>
    <row r="1"/>
    <row r="2">
      <c r="B2" s="8" t="inlineStr">
        <is>
          <t xml:space="preserve">DDG POP Source Audit</t>
        </is>
      </c>
      <c r="C2" s="8"/>
      <c r="D2" s="8"/>
    </row>
    <row r="4">
      <c r="A4" s="0" t="inlineStr">
        <is>
          <t xml:space="preserve">x</t>
        </is>
      </c>
      <c r="B4" s="9" t="inlineStr">
        <is>
          <t xml:space="preserve">§1 - Confirmation approach (risk-weighted)</t>
        </is>
      </c>
      <c r="C4" s="9"/>
      <c r="D4" s="9"/>
    </row>
    <row r="6" outlineLevel="1">
      <c r="B6" s="0" t="inlineStr">
        <is>
          <t xml:space="preserve">Tier 1 - top-$ actions covering ~90-95% of the weighted pool; all $250M+ / $100M+.</t>
        </is>
      </c>
    </row>
    <row r="7" outlineLevel="1">
      <c r="B7" s="0" t="inlineStr">
        <is>
          <t xml:space="preserve">Tier 2 - the two MYP masters ($ reconstructed from FPDS + trade press; POP as announced); all AP/EOQ.</t>
        </is>
      </c>
    </row>
    <row r="8" outlineLevel="1">
      <c r="B8" s="0" t="inlineStr">
        <is>
          <t xml:space="preserve">Tier 3 - POP not summing ~100% (high unparsed); GFE-suspect; any coefficient-mover.</t>
        </is>
      </c>
    </row>
    <row r="9" outlineLevel="1">
      <c r="B9" s="0" t="inlineStr">
        <is>
          <t xml:space="preserve">Confirmed = gated AND in-scope (non-GFE) AND manual_review_status&lt;&gt;unresolved (default 1).</t>
        </is>
      </c>
    </row>
    <row r="12">
      <c r="A12" s="0" t="inlineStr">
        <is>
          <t xml:space="preserve">x</t>
        </is>
      </c>
      <c r="B12" s="9" t="inlineStr">
        <is>
          <t xml:space="preserve">§2 - Coverage (gated corpus, incl. MYP masters)</t>
        </is>
      </c>
      <c r="C12" s="9"/>
      <c r="D12" s="9"/>
    </row>
    <row r="14">
      <c r="B14" s="2" t="inlineStr">
        <is>
          <t xml:space="preserve">Metric</t>
        </is>
      </c>
      <c r="C14" s="22" t="inlineStr">
        <is>
          <t xml:space="preserve">Actions</t>
        </is>
      </c>
      <c r="D14" s="22" t="inlineStr">
        <is>
          <t xml:space="preserve">$M</t>
        </is>
      </c>
    </row>
    <row r="15" outlineLevel="1">
      <c r="B15" s="1" t="inlineStr">
        <is>
          <t xml:space="preserve">Gated TAM corpus</t>
        </is>
      </c>
      <c r="C15" s="4">
        <f>SUMPRODUCT('DDG POP Corpus'!I7:I160)</f>
      </c>
      <c r="D15" s="4">
        <f>SUMPRODUCT('DDG POP Corpus'!I7:I160*'DDG POP Corpus'!M7:M160)</f>
      </c>
    </row>
    <row r="16" outlineLevel="1">
      <c r="B16" s="20" t="inlineStr">
        <is>
          <t xml:space="preserve">less: GFE / Navy-directed scope</t>
        </is>
      </c>
      <c r="C16" s="4">
        <f>SUMPRODUCT('DDG POP Corpus'!I7:I160*'DDG POP Corpus'!J7:J160)</f>
      </c>
      <c r="D16" s="4">
        <f>SUMPRODUCT('DDG POP Corpus'!I7:I160*'DDG POP Corpus'!J7:J160*'DDG POP Corpus'!M7:M160)</f>
      </c>
    </row>
    <row r="17" outlineLevel="1">
      <c r="B17" s="1" t="inlineStr">
        <is>
          <t xml:space="preserve">In-scope (non-GFE) gated</t>
        </is>
      </c>
      <c r="C17" s="4">
        <f>SUMPRODUCT('DDG POP Corpus'!I7:I160*(1-'DDG POP Corpus'!J7:J160))</f>
      </c>
      <c r="D17" s="4">
        <f>SUMPRODUCT('DDG POP Corpus'!I7:I160*(1-'DDG POP Corpus'!J7:J160)*'DDG POP Corpus'!M7:M160)</f>
      </c>
    </row>
    <row r="18" outlineLevel="1">
      <c r="B18" s="20" t="inlineStr">
        <is>
          <t xml:space="preserve">confirmed</t>
        </is>
      </c>
      <c r="C18" s="4">
        <f>SUMPRODUCT('DDG POP Corpus'!I7:I160*(1-'DDG POP Corpus'!J7:J160)*'DDG POP Corpus'!K7:K160)</f>
      </c>
      <c r="D18" s="4">
        <f>SUMPRODUCT('DDG POP Corpus'!I7:I160*(1-'DDG POP Corpus'!J7:J160)*'DDG POP Corpus'!K7:K160*'DDG POP Corpus'!M7:M160)</f>
      </c>
    </row>
    <row r="19" outlineLevel="1">
      <c r="B19" s="20" t="inlineStr">
        <is>
          <t xml:space="preserve">of which BC stream</t>
        </is>
      </c>
      <c r="C19" s="4">
        <f>SUMPRODUCT('DDG POP Corpus'!I7:I160*(1-'DDG POP Corpus'!J7:J160)*'DDG POP Corpus'!K7:K160*('DDG POP Corpus'!H7:H160="BC"))</f>
      </c>
      <c r="D19" s="4">
        <f>SUMPRODUCT('DDG POP Corpus'!I7:I160*(1-'DDG POP Corpus'!J7:J160)*'DDG POP Corpus'!K7:K160*('DDG POP Corpus'!H7:H160="BC")*'DDG POP Corpus'!M7:M160)</f>
      </c>
    </row>
    <row r="20" outlineLevel="1">
      <c r="B20" s="1" t="inlineStr">
        <is>
          <t xml:space="preserve">MYP masters (reconstructed)</t>
        </is>
      </c>
      <c r="C20" s="4">
        <f>SUMPRODUCT('DDG POP Corpus'!I7:I160*'DDG POP Corpus'!L7:L160)</f>
      </c>
      <c r="D20" s="4">
        <f>SUMPRODUCT('DDG POP Corpus'!I7:I160*'DDG POP Corpus'!L7:L160*'DDG POP Corpus'!M7:M160)</f>
      </c>
    </row>
    <row r="21" outlineLevel="1">
      <c r="B21" s="0" t="inlineStr">
        <is>
          <t xml:space="preserve">Disclosed (excl. masters)</t>
        </is>
      </c>
      <c r="C21" s="4">
        <f>SUMPRODUCT('DDG POP Corpus'!I7:I160*(1-'DDG POP Corpus'!L7:L160))</f>
      </c>
      <c r="D21" s="4">
        <f>SUMPRODUCT('DDG POP Corpus'!I7:I160*(1-'DDG POP Corpus'!L7:L160)*'DDG POP Corpus'!M7:M160)</f>
      </c>
    </row>
    <row r="24">
      <c r="A24" s="0" t="inlineStr">
        <is>
          <t xml:space="preserve">x</t>
        </is>
      </c>
      <c r="B24" s="9" t="inlineStr">
        <is>
          <t xml:space="preserve">§3 - Risk ratios + partition</t>
        </is>
      </c>
      <c r="C24" s="9"/>
      <c r="D24" s="9"/>
    </row>
    <row r="26" outlineLevel="1">
      <c r="B26" s="0" t="inlineStr">
        <is>
          <t xml:space="preserve">Confirmation coverage (% of in-scope $)</t>
        </is>
      </c>
      <c r="C26" s="6">
        <f>IF(C17=0,0,D18/D17)</f>
      </c>
    </row>
    <row r="27" outlineLevel="1">
      <c r="B27" s="0" t="inlineStr">
        <is>
          <t xml:space="preserve">Stream partition OK? (every in-scope action is BC)</t>
        </is>
      </c>
      <c r="C27" s="0">
        <f>IF(C19=C18,"OK","FAIL")</f>
      </c>
    </row>
    <row r="28" outlineLevel="1">
      <c r="B28" s="0" t="inlineStr">
        <is>
          <t xml:space="preserve">MYP masters as % of gated $</t>
        </is>
      </c>
      <c r="C28" s="6">
        <f>IF(D15=0,0,D20/D15)</f>
      </c>
    </row>
  </sheetData>
</worksheet>
</file>

<file path=xl/worksheets/sheet36.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20" customWidth="1"/>
    <col min="3" max="3" width="10" customWidth="1"/>
    <col min="4" max="4" width="10" customWidth="1"/>
    <col min="5" max="5" width="10" customWidth="1"/>
    <col min="6" max="6" width="10" customWidth="1"/>
    <col min="7" max="7" width="10" customWidth="1"/>
  </cols>
  <sheetData>
    <row r="1"/>
    <row r="2">
      <c r="B2" s="8" t="inlineStr">
        <is>
          <t xml:space="preserve">Ceiling Sensitivity</t>
        </is>
      </c>
      <c r="C2" s="8"/>
      <c r="D2" s="8"/>
      <c r="E2" s="8"/>
      <c r="F2" s="8"/>
      <c r="G2" s="8"/>
    </row>
    <row r="4">
      <c r="A4" s="0" t="inlineStr">
        <is>
          <t xml:space="preserve">x</t>
        </is>
      </c>
      <c r="B4" s="9" t="inlineStr">
        <is>
          <t xml:space="preserve">§1 - Ceiling % sensitivity (L down, h across)</t>
        </is>
      </c>
      <c r="C4" s="9"/>
      <c r="D4" s="9"/>
      <c r="E4" s="9"/>
      <c r="F4" s="9"/>
      <c r="G4" s="9"/>
    </row>
    <row r="6">
      <c r="B6" s="2" t="inlineStr">
        <is>
          <t xml:space="preserve">L \ h</t>
        </is>
      </c>
      <c r="C6" s="7">
        <v>0.3</v>
      </c>
      <c r="D6" s="7">
        <v>0.4</v>
      </c>
      <c r="E6" s="7">
        <v>0.5</v>
      </c>
      <c r="F6" s="7">
        <v>0.6</v>
      </c>
      <c r="G6" s="7">
        <v>0.7</v>
      </c>
    </row>
    <row r="7" outlineLevel="1">
      <c r="B7" s="7">
        <v>0.35</v>
      </c>
      <c r="C7" s="6">
        <f>1-$B7*(1-C$6)</f>
      </c>
      <c r="D7" s="6">
        <f>1-$B7*(1-D$6)</f>
      </c>
      <c r="E7" s="6">
        <f>1-$B7*(1-E$6)</f>
      </c>
      <c r="F7" s="6">
        <f>1-$B7*(1-F$6)</f>
      </c>
      <c r="G7" s="6">
        <f>1-$B7*(1-G$6)</f>
      </c>
    </row>
    <row r="8" outlineLevel="1">
      <c r="B8" s="7">
        <v>0.4</v>
      </c>
      <c r="C8" s="6">
        <f>1-$B8*(1-C$6)</f>
      </c>
      <c r="D8" s="6">
        <f>1-$B8*(1-D$6)</f>
      </c>
      <c r="E8" s="6">
        <f>1-$B8*(1-E$6)</f>
      </c>
      <c r="F8" s="6">
        <f>1-$B8*(1-F$6)</f>
      </c>
      <c r="G8" s="6">
        <f>1-$B8*(1-G$6)</f>
      </c>
    </row>
    <row r="9" outlineLevel="1">
      <c r="B9" s="7">
        <v>0.45</v>
      </c>
      <c r="C9" s="6">
        <f>1-$B9*(1-C$6)</f>
      </c>
      <c r="D9" s="6">
        <f>1-$B9*(1-D$6)</f>
      </c>
      <c r="E9" s="6">
        <f>1-$B9*(1-E$6)</f>
      </c>
      <c r="F9" s="6">
        <f>1-$B9*(1-F$6)</f>
      </c>
      <c r="G9" s="6">
        <f>1-$B9*(1-G$6)</f>
      </c>
    </row>
    <row r="10" outlineLevel="1">
      <c r="B10" s="7">
        <v>0.5</v>
      </c>
      <c r="C10" s="6">
        <f>1-$B10*(1-C$6)</f>
      </c>
      <c r="D10" s="6">
        <f>1-$B10*(1-D$6)</f>
      </c>
      <c r="E10" s="6">
        <f>1-$B10*(1-E$6)</f>
      </c>
      <c r="F10" s="6">
        <f>1-$B10*(1-F$6)</f>
      </c>
      <c r="G10" s="6">
        <f>1-$B10*(1-G$6)</f>
      </c>
    </row>
    <row r="11" outlineLevel="1">
      <c r="B11" s="7">
        <v>0.55</v>
      </c>
      <c r="C11" s="6">
        <f>1-$B11*(1-C$6)</f>
      </c>
      <c r="D11" s="6">
        <f>1-$B11*(1-D$6)</f>
      </c>
      <c r="E11" s="6">
        <f>1-$B11*(1-E$6)</f>
      </c>
      <c r="F11" s="6">
        <f>1-$B11*(1-F$6)</f>
      </c>
      <c r="G11" s="6">
        <f>1-$B11*(1-G$6)</f>
      </c>
    </row>
    <row r="12" outlineLevel="1">
      <c r="B12" s="7">
        <v>0.6</v>
      </c>
      <c r="C12" s="6">
        <f>1-$B12*(1-C$6)</f>
      </c>
      <c r="D12" s="6">
        <f>1-$B12*(1-D$6)</f>
      </c>
      <c r="E12" s="6">
        <f>1-$B12*(1-E$6)</f>
      </c>
      <c r="F12" s="6">
        <f>1-$B12*(1-F$6)</f>
      </c>
      <c r="G12" s="6">
        <f>1-$B12*(1-G$6)</f>
      </c>
    </row>
    <row r="15">
      <c r="A15" s="0" t="inlineStr">
        <is>
          <t xml:space="preserve">x</t>
        </is>
      </c>
      <c r="B15" s="9" t="inlineStr">
        <is>
          <t xml:space="preserve">§2 - Outsourced share vs pass-through p (Virginia params)</t>
        </is>
      </c>
      <c r="C15" s="9"/>
      <c r="D15" s="9"/>
      <c r="E15" s="9"/>
      <c r="F15" s="9"/>
      <c r="G15" s="9"/>
    </row>
    <row r="17">
      <c r="B17" s="2" t="inlineStr">
        <is>
          <t xml:space="preserve">Outsourced share \ p</t>
        </is>
      </c>
      <c r="C17" s="7">
        <v>0.0</v>
      </c>
      <c r="D17" s="7">
        <v>0.25</v>
      </c>
      <c r="E17" s="7">
        <v>0.5</v>
      </c>
      <c r="F17" s="7">
        <v>0.75</v>
      </c>
      <c r="G17" s="7">
        <v>1.0</v>
      </c>
    </row>
    <row r="18" outlineLevel="1">
      <c r="B18" s="1" t="inlineStr">
        <is>
          <t xml:space="preserve">hL + p*M (share of BC)</t>
        </is>
      </c>
      <c r="C18" s="6">
        <f>('Ceiling Assumptions'!C17*'Ceiling Assumptions'!C16)+C$17*(1-'Ceiling Assumptions'!C17)</f>
      </c>
      <c r="D18" s="6">
        <f>('Ceiling Assumptions'!C17*'Ceiling Assumptions'!C16)+D$17*(1-'Ceiling Assumptions'!C17)</f>
      </c>
      <c r="E18" s="6">
        <f>('Ceiling Assumptions'!C17*'Ceiling Assumptions'!C16)+E$17*(1-'Ceiling Assumptions'!C17)</f>
      </c>
      <c r="F18" s="6">
        <f>('Ceiling Assumptions'!C17*'Ceiling Assumptions'!C16)+F$17*(1-'Ceiling Assumptions'!C17)</f>
      </c>
      <c r="G18" s="6">
        <f>('Ceiling Assumptions'!C17*'Ceiling Assumptions'!C16)+G$17*(1-'Ceiling Assumptions'!C17)</f>
      </c>
    </row>
  </sheetData>
</worksheet>
</file>

<file path=xl/worksheets/sheet37.xml><?xml version="1.0" encoding="utf-8"?>
<worksheet xmlns="http://schemas.openxmlformats.org/spreadsheetml/2006/main" xmlns:r="http://schemas.openxmlformats.org/officeDocument/2006/relationships">
  <sheetPr>
    <tabColor rgb="FF6E6E6E"/>
    <outlinePr summaryBelow="0"/>
  </sheetPr>
  <sheetViews>
    <sheetView showGridLines="0" workbookViewId="0" showOutlineSymbols="0"/>
  </sheetViews>
  <sheetFormatPr defaultRowHeight="10" customHeight="1"/>
  <cols>
    <col min="1" max="1" width="2.2109375" customWidth="1"/>
    <col min="2" max="2" width="40" customWidth="1"/>
    <col min="3" max="3" width="12" customWidth="1"/>
    <col min="4" max="4" width="12" customWidth="1"/>
    <col min="5" max="5" width="12" customWidth="1"/>
    <col min="6" max="6" width="12" customWidth="1"/>
  </cols>
  <sheetData>
    <row r="1"/>
    <row r="2">
      <c r="B2" s="8" t="inlineStr">
        <is>
          <t xml:space="preserve">Tie-Outs</t>
        </is>
      </c>
      <c r="C2" s="8"/>
      <c r="D2" s="8"/>
      <c r="E2" s="8"/>
      <c r="F2" s="8"/>
    </row>
    <row r="4">
      <c r="A4" s="0" t="inlineStr">
        <is>
          <t xml:space="preserve">x</t>
        </is>
      </c>
      <c r="B4" s="9" t="inlineStr">
        <is>
          <t xml:space="preserve">§1 - Identity + sanity checks</t>
        </is>
      </c>
      <c r="C4" s="9"/>
      <c r="D4" s="9"/>
      <c r="E4" s="9"/>
      <c r="F4" s="9"/>
    </row>
    <row r="6">
      <c r="B6" s="2" t="inlineStr">
        <is>
          <t xml:space="preserve">Check</t>
        </is>
      </c>
      <c r="C6" s="2" t="inlineStr">
        <is>
          <t xml:space="preserve">Virginia</t>
        </is>
      </c>
      <c r="D6" s="2" t="inlineStr">
        <is>
          <t xml:space="preserve">Columbia</t>
        </is>
      </c>
      <c r="E6" s="2" t="inlineStr">
        <is>
          <t xml:space="preserve">DDG-51</t>
        </is>
      </c>
      <c r="F6" s="2" t="inlineStr">
        <is>
          <t xml:space="preserve">Portfolio</t>
        </is>
      </c>
    </row>
    <row r="7" outlineLevel="1">
      <c r="B7" s="0" t="inlineStr">
        <is>
          <t xml:space="preserve">Core $ + Ceiling $ = BC $</t>
        </is>
      </c>
      <c r="C7" s="0">
        <f>IF(ABS(('Ceiling Model'!C12+'Ceiling Model'!C13)-'Ceiling Model'!C7)&lt;0.5,"OK","FAIL")</f>
      </c>
      <c r="D7" s="0">
        <f>IF(ABS(('Ceiling Model'!D12+'Ceiling Model'!D13)-'Ceiling Model'!D7)&lt;0.5,"OK","FAIL")</f>
      </c>
      <c r="E7" s="0">
        <f>IF(ABS(('Ceiling Model'!E12+'Ceiling Model'!E13)-'Ceiling Model'!E7)&lt;0.5,"OK","FAIL")</f>
      </c>
      <c r="F7" s="0">
        <f>IF(ABS(('Ceiling Model'!F12+'Ceiling Model'!F13)-'Ceiling Model'!F7)&lt;0.5,"OK","FAIL")</f>
      </c>
    </row>
    <row r="8" outlineLevel="1">
      <c r="B8" s="0" t="inlineStr">
        <is>
          <t xml:space="preserve">Core % + Ceiling % = 1</t>
        </is>
      </c>
      <c r="C8" s="0">
        <f>IF(ABS(('Ceiling Model'!C10+'Ceiling Model'!C11)-1)&lt;0.001,"OK","FAIL")</f>
      </c>
      <c r="D8" s="0">
        <f>IF(ABS(('Ceiling Model'!D10+'Ceiling Model'!D11)-1)&lt;0.001,"OK","FAIL")</f>
      </c>
      <c r="E8" s="0">
        <f>IF(ABS(('Ceiling Model'!E10+'Ceiling Model'!E11)-1)&lt;0.001,"OK","FAIL")</f>
      </c>
      <c r="F8" s="0">
        <f>IF(ABS(('Ceiling Model'!F10+'Ceiling Model'!F11)-1)&lt;0.001,"OK","FAIL")</f>
      </c>
    </row>
    <row r="9" outlineLevel="1">
      <c r="B9" s="0" t="inlineStr">
        <is>
          <t xml:space="preserve">Ceiling % &gt;= current POP %</t>
        </is>
      </c>
      <c r="C9" s="0">
        <f>IF('Ceiling Model'!C11&gt;=('Ceiling Assumptions'!C32),"OK","FAIL")</f>
      </c>
      <c r="D9" s="0">
        <f>IF('Ceiling Model'!D11&gt;=('Ceiling Assumptions'!D32),"OK","FAIL")</f>
      </c>
      <c r="E9" s="0">
        <f>IF('Ceiling Model'!E11&gt;=('Ceiling Assumptions'!E32),"OK","FAIL")</f>
      </c>
      <c r="F9" s="0">
        <f>IF('Ceiling Model'!F11&gt;=(SUMPRODUCT('Ceiling Assumptions'!C32:E32,'Ceiling Model'!C7:E7)/'Ceiling Model'!F7),"OK","FAIL")</f>
      </c>
    </row>
    <row r="10" outlineLevel="1">
      <c r="B10" s="0" t="inlineStr">
        <is>
          <t xml:space="preserve">Ceiling $ &gt;= FFATA-visible $ (floor)</t>
        </is>
      </c>
      <c r="C10" s="0">
        <f>IF('Ceiling Model'!C13&gt;=(SUMIF('Cost Base'!$B$7:$B$21,"Virginia",'Cost Base'!$I$7:$I$21)),"OK","FAIL")</f>
      </c>
      <c r="D10" s="0">
        <f>IF('Ceiling Model'!D13&gt;=(SUMIF('Cost Base'!$B$7:$B$21,"Columbia",'Cost Base'!$I$7:$I$21)),"OK","FAIL")</f>
      </c>
      <c r="E10" s="0">
        <f>IF('Ceiling Model'!E13&gt;=(SUMIF('Cost Base'!$B$7:$B$21,"DDG-51",'Cost Base'!$I$7:$I$21)),"OK","FAIL")</f>
      </c>
      <c r="F10" s="0">
        <f>IF('Ceiling Model'!F13&gt;=(SUMIF('Cost Base'!$B$7:$B$21,"Virginia",'Cost Base'!$I$7:$I$21)+SUMIF('Cost Base'!$B$7:$B$21,"Columbia",'Cost Base'!$I$7:$I$21)+SUMIF('Cost Base'!$B$7:$B$21,"DDG-51",'Cost Base'!$I$7:$I$21)),"OK","FAIL")</f>
      </c>
    </row>
    <row r="11" outlineLevel="1">
      <c r="B11" s="0" t="inlineStr">
        <is>
          <t xml:space="preserve">Ceiling % = Bridge p=1 case</t>
        </is>
      </c>
      <c r="C11" s="0">
        <f>IF(ABS('Ceiling Model'!C11-'Conversion Bridge'!C14)&lt;0.001,"OK","FAIL")</f>
      </c>
      <c r="D11" s="0">
        <f>IF(ABS('Ceiling Model'!D11-'Conversion Bridge'!D14)&lt;0.001,"OK","FAIL")</f>
      </c>
      <c r="E11" s="0">
        <f>IF(ABS('Ceiling Model'!E11-'Conversion Bridge'!E14)&lt;0.001,"OK","FAIL")</f>
      </c>
      <c r="F11" s="0">
        <f>IF(ABS('Ceiling Model'!F11-'Conversion Bridge'!F14)&lt;0.001,"OK","FAIL")</f>
      </c>
    </row>
    <row r="13">
      <c r="B13" s="1" t="inlineStr">
        <is>
          <t xml:space="preserve">All-OK gate</t>
        </is>
      </c>
      <c r="C13" s="0">
        <f>IF(COUNTIF(C7:C11,"FAIL")=0,"OK","FAIL")</f>
      </c>
      <c r="D13" s="0">
        <f>IF(COUNTIF(D7:D11,"FAIL")=0,"OK","FAIL")</f>
      </c>
      <c r="E13" s="0">
        <f>IF(COUNTIF(E7:E11,"FAIL")=0,"OK","FAIL")</f>
      </c>
      <c r="F13" s="0">
        <f>IF(COUNTIF(F7:F11,"FAIL")=0,"OK","FAIL")</f>
      </c>
    </row>
  </sheetData>
</worksheet>
</file>

<file path=xl/worksheets/sheet38.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38" customWidth="1"/>
    <col min="3" max="3" width="16" customWidth="1"/>
    <col min="4" max="4" width="40" customWidth="1"/>
  </cols>
  <sheetData>
    <row r="1"/>
    <row r="2">
      <c r="B2" s="8" t="inlineStr">
        <is>
          <t xml:space="preserve">Source Index</t>
        </is>
      </c>
      <c r="C2" s="8"/>
      <c r="D2" s="8"/>
    </row>
    <row r="4">
      <c r="A4" s="0" t="inlineStr">
        <is>
          <t xml:space="preserve">x</t>
        </is>
      </c>
      <c r="B4" s="9" t="inlineStr">
        <is>
          <t xml:space="preserve">§1 - Data sources (extracted)</t>
        </is>
      </c>
      <c r="C4" s="9"/>
      <c r="D4" s="9"/>
    </row>
    <row r="6">
      <c r="B6" s="2" t="inlineStr">
        <is>
          <t xml:space="preserve">Source</t>
        </is>
      </c>
      <c r="C6" s="2" t="inlineStr">
        <is>
          <t xml:space="preserve">Retrieved</t>
        </is>
      </c>
      <c r="D6" s="2" t="inlineStr">
        <is>
          <t xml:space="preserve">Location</t>
        </is>
      </c>
    </row>
    <row r="7" outlineLevel="1">
      <c r="B7" s="0" t="inlineStr">
        <is>
          <t xml:space="preserve">dod_announcement_pop.csv</t>
        </is>
      </c>
      <c r="C7" s="0" t="inlineStr">
        <is>
          <t xml:space="preserve">2026-05</t>
        </is>
      </c>
      <c r="D7" s="0" t="inlineStr">
        <is>
          <t xml:space="preserve">extracted/ (DoD/DoW announcements)</t>
        </is>
      </c>
    </row>
    <row r="8" outlineLevel="1">
      <c r="B8" s="0" t="inlineStr">
        <is>
          <t xml:space="preserve">dod_action_pop_by_worktype.csv</t>
        </is>
      </c>
      <c r="C8" s="0" t="inlineStr">
        <is>
          <t xml:space="preserve">2026-05</t>
        </is>
      </c>
      <c r="D8" s="0" t="inlineStr">
        <is>
          <t xml:space="preserve">extracted/</t>
        </is>
      </c>
    </row>
    <row r="9" outlineLevel="1">
      <c r="B9" s="0" t="inlineStr">
        <is>
          <t xml:space="preserve">entity_naics_lookup.csv</t>
        </is>
      </c>
      <c r="C9" s="0" t="inlineStr">
        <is>
          <t xml:space="preserve">2026-05</t>
        </is>
      </c>
      <c r="D9" s="0" t="inlineStr">
        <is>
          <t xml:space="preserve">extracted/ (USAspending + SAM.gov)</t>
        </is>
      </c>
    </row>
    <row r="10" outlineLevel="1">
      <c r="B10" s="0" t="inlineStr">
        <is>
          <t xml:space="preserve">nc_records_long.csv</t>
        </is>
      </c>
      <c r="C10" s="0" t="inlineStr">
        <is>
          <t xml:space="preserve">2026-05</t>
        </is>
      </c>
      <c r="D10" s="0" t="inlineStr">
        <is>
          <t xml:space="preserve">extracted/ (FFATA subawards)</t>
        </is>
      </c>
    </row>
    <row r="11" outlineLevel="1">
      <c r="B11" s="0" t="inlineStr">
        <is>
          <t xml:space="preserve">subaward_top_recipients.csv</t>
        </is>
      </c>
      <c r="C11" s="0" t="inlineStr">
        <is>
          <t xml:space="preserve">2026-05</t>
        </is>
      </c>
      <c r="D11" s="0" t="inlineStr">
        <is>
          <t xml:space="preserve">extracted/</t>
        </is>
      </c>
    </row>
    <row r="12" outlineLevel="1">
      <c r="B12" s="0" t="inlineStr">
        <is>
          <t xml:space="preserve">nc_geo_by_state.csv / nc_geo_by_country.csv</t>
        </is>
      </c>
      <c r="C12" s="0" t="inlineStr">
        <is>
          <t xml:space="preserve">2026-05</t>
        </is>
      </c>
      <c r="D12" s="0" t="inlineStr">
        <is>
          <t xml:space="preserve">extracted/</t>
        </is>
      </c>
    </row>
    <row r="13" outlineLevel="1">
      <c r="B13" s="0" t="inlineStr">
        <is>
          <t xml:space="preserve">nc_scope_summary.json</t>
        </is>
      </c>
      <c r="C13" s="0" t="inlineStr">
        <is>
          <t xml:space="preserve">2026-05</t>
        </is>
      </c>
      <c r="D13" s="0" t="inlineStr">
        <is>
          <t xml:space="preserve">extracted/</t>
        </is>
      </c>
    </row>
    <row r="16">
      <c r="A16" s="0" t="inlineStr">
        <is>
          <t xml:space="preserve">x</t>
        </is>
      </c>
      <c r="B16" s="9" t="inlineStr">
        <is>
          <t xml:space="preserve">§2 - Budget exhibits (SCN P-5c / P-10 / TOA)</t>
        </is>
      </c>
      <c r="C16" s="9"/>
      <c r="D16" s="9"/>
    </row>
    <row r="18">
      <c r="B18" s="2" t="inlineStr">
        <is>
          <t xml:space="preserve">Source</t>
        </is>
      </c>
      <c r="C18" s="2" t="inlineStr">
        <is>
          <t xml:space="preserve">Retrieved</t>
        </is>
      </c>
      <c r="D18" s="2" t="inlineStr">
        <is>
          <t xml:space="preserve">Location</t>
        </is>
      </c>
    </row>
    <row r="19" outlineLevel="1">
      <c r="B19" s="0" t="inlineStr">
        <is>
          <t xml:space="preserve">SCN P-5c (Basic Construction)</t>
        </is>
      </c>
      <c r="C19" s="0" t="inlineStr">
        <is>
          <t xml:space="preserve">FY22-FY27 PB</t>
        </is>
      </c>
      <c r="D19" s="0" t="inlineStr">
        <is>
          <t xml:space="preserve">budget_books/SCN_Book_FY{22..27}</t>
        </is>
      </c>
    </row>
    <row r="20" outlineLevel="1">
      <c r="B20" s="0" t="inlineStr">
        <is>
          <t xml:space="preserve">SCN P-10 (Advance Procurement)</t>
        </is>
      </c>
      <c r="C20" s="0" t="inlineStr">
        <is>
          <t xml:space="preserve">FY22-FY27 PB</t>
        </is>
      </c>
      <c r="D20" s="0" t="inlineStr">
        <is>
          <t xml:space="preserve">budget_books/SCN_Book_FY{22..27}</t>
        </is>
      </c>
    </row>
    <row r="21" outlineLevel="1">
      <c r="B21" s="0" t="inlineStr">
        <is>
          <t xml:space="preserve">SCN per-FY actual TOA</t>
        </is>
      </c>
      <c r="C21" s="0" t="inlineStr">
        <is>
          <t xml:space="preserve">FY22-FY27</t>
        </is>
      </c>
      <c r="D21" s="0" t="inlineStr">
        <is>
          <t xml:space="preserve">extracted/scn_per_fy_actual_toa.csv</t>
        </is>
      </c>
    </row>
    <row r="22" outlineLevel="1">
      <c r="B22" s="0" t="inlineStr">
        <is>
          <t xml:space="preserve">FY 2026 Mandatory Funding Allocation Plan (OBBBA, Sec. 20002)</t>
        </is>
      </c>
      <c r="C22" s="0" t="inlineStr">
        <is>
          <t xml:space="preserve">2026-02-18</t>
        </is>
      </c>
      <c r="D22" s="0" t="inlineStr">
        <is>
          <t xml:space="preserve">docs/obbba_funding_allocation_narrative_20260218.txt</t>
        </is>
      </c>
    </row>
    <row r="23" outlineLevel="1">
      <c r="B23" s="0" t="inlineStr">
        <is>
          <t xml:space="preserve">SCN P-40 Resource Summary (FYDP outyears FY28-31)</t>
        </is>
      </c>
      <c r="C23" s="0" t="inlineStr">
        <is>
          <t xml:space="preserve">PB2027 (2026-04)</t>
        </is>
      </c>
      <c r="D23" s="0" t="inlineStr">
        <is>
          <t xml:space="preserve">extracted/scn_li_resource_summary.csv</t>
        </is>
      </c>
    </row>
    <row r="26">
      <c r="A26" s="0" t="inlineStr">
        <is>
          <t xml:space="preserve">x</t>
        </is>
      </c>
      <c r="B26" s="9" t="inlineStr">
        <is>
          <t xml:space="preserve">§3 - Methodology + reference docs</t>
        </is>
      </c>
      <c r="C26" s="9"/>
      <c r="D26" s="9"/>
    </row>
    <row r="28">
      <c r="B28" s="2" t="inlineStr">
        <is>
          <t xml:space="preserve">Source</t>
        </is>
      </c>
      <c r="C28" s="2" t="inlineStr">
        <is>
          <t xml:space="preserve">Retrieved</t>
        </is>
      </c>
      <c r="D28" s="2" t="inlineStr">
        <is>
          <t xml:space="preserve">Location</t>
        </is>
      </c>
    </row>
    <row r="29" outlineLevel="1">
      <c r="B29" s="0" t="inlineStr">
        <is>
          <t xml:space="preserve">METHODOLOGY (POP / subaward / budget)</t>
        </is>
      </c>
      <c r="C29" s="0" t="inlineStr">
        <is>
          <t xml:space="preserve">2026-05</t>
        </is>
      </c>
      <c r="D29" s="0" t="inlineStr">
        <is>
          <t xml:space="preserve">docs/distributed_shipbuilding_implementation_plan.md</t>
        </is>
      </c>
    </row>
    <row r="30" outlineLevel="1">
      <c r="B30" s="0" t="inlineStr">
        <is>
          <t xml:space="preserve">Implementation plan</t>
        </is>
      </c>
      <c r="C30" s="0" t="inlineStr">
        <is>
          <t xml:space="preserve">2026-05-29</t>
        </is>
      </c>
      <c r="D30" s="0" t="inlineStr">
        <is>
          <t xml:space="preserve">docs/distributed_shipbuilding_implementation_plan.md</t>
        </is>
      </c>
    </row>
    <row r="31" outlineLevel="1">
      <c r="B31" s="0" t="inlineStr">
        <is>
          <t xml:space="preserve">BPMI reconciliation</t>
        </is>
      </c>
      <c r="C31" s="0" t="inlineStr">
        <is>
          <t xml:space="preserve">2026-05-29</t>
        </is>
      </c>
      <c r="D31" s="0" t="inlineStr">
        <is>
          <t xml:space="preserve">docs/distributed_shipbuilding_sub_phase3_BPMI_reconciliation.md</t>
        </is>
      </c>
    </row>
    <row r="32" outlineLevel="1">
      <c r="B32" s="0" t="inlineStr">
        <is>
          <t xml:space="preserve">deck_specs.md</t>
        </is>
      </c>
      <c r="C32" s="0" t="inlineStr">
        <is>
          <t xml:space="preserve">2026-05</t>
        </is>
      </c>
      <c r="D32" s="0" t="inlineStr">
        <is>
          <t xml:space="preserve">docs/distributed_shipbuilding_deck_specs.md</t>
        </is>
      </c>
    </row>
    <row r="35">
      <c r="A35" s="0" t="inlineStr">
        <is>
          <t xml:space="preserve">x</t>
        </is>
      </c>
      <c r="B35" s="9" t="inlineStr">
        <is>
          <t xml:space="preserve">§4 - Refresh control</t>
        </is>
      </c>
      <c r="C35" s="9"/>
      <c r="D35" s="9"/>
    </row>
    <row r="37">
      <c r="B37" s="2" t="inlineStr">
        <is>
          <t xml:space="preserve">Area</t>
        </is>
      </c>
      <c r="C37" s="2" t="inlineStr">
        <is>
          <t xml:space="preserve">Last refreshed</t>
        </is>
      </c>
      <c r="D37" s="2" t="inlineStr">
        <is>
          <t xml:space="preserve">Source path</t>
        </is>
      </c>
    </row>
    <row r="38" outlineLevel="1">
      <c r="B38" s="0" t="inlineStr">
        <is>
          <t xml:space="preserve">POP corpus</t>
        </is>
      </c>
      <c r="C38" s="0" t="inlineStr">
        <is>
          <t xml:space="preserve">2026-05</t>
        </is>
      </c>
      <c r="D38" s="0" t="inlineStr">
        <is>
          <t xml:space="preserve">extracted/dod_announcement_pop.csv</t>
        </is>
      </c>
    </row>
    <row r="39" outlineLevel="1">
      <c r="B39" s="0" t="inlineStr">
        <is>
          <t xml:space="preserve">Subaward vendors</t>
        </is>
      </c>
      <c r="C39" s="0" t="inlineStr">
        <is>
          <t xml:space="preserve">2026-05</t>
        </is>
      </c>
      <c r="D39" s="0" t="inlineStr">
        <is>
          <t xml:space="preserve">extracted/entity_naics_lookup.csv</t>
        </is>
      </c>
    </row>
    <row r="40" outlineLevel="1">
      <c r="B40" s="0" t="inlineStr">
        <is>
          <t xml:space="preserve">Budget exhibits</t>
        </is>
      </c>
      <c r="C40" s="0" t="inlineStr">
        <is>
          <t xml:space="preserve">FY22-27 PB</t>
        </is>
      </c>
      <c r="D40" s="0" t="inlineStr">
        <is>
          <t xml:space="preserve">budget_books/</t>
        </is>
      </c>
    </row>
    <row r="41" outlineLevel="1">
      <c r="B41" s="0" t="inlineStr">
        <is>
          <t xml:space="preserve">OBBBA mandatory allocation plan</t>
        </is>
      </c>
      <c r="C41" s="0" t="inlineStr">
        <is>
          <t xml:space="preserve">2026-02-18</t>
        </is>
      </c>
      <c r="D41" s="0" t="inlineStr">
        <is>
          <t xml:space="preserve">docs/obbba_funding_allocation_narrative_20260218.txt</t>
        </is>
      </c>
    </row>
    <row r="42" outlineLevel="1">
      <c r="B42" s="0" t="inlineStr">
        <is>
          <t xml:space="preserve">FYDP outyears (P-40 gross)</t>
        </is>
      </c>
      <c r="C42" s="0" t="inlineStr">
        <is>
          <t xml:space="preserve">PB2027 (2026-04)</t>
        </is>
      </c>
      <c r="D42" s="0" t="inlineStr">
        <is>
          <t xml:space="preserve">extracted/scn_li_resource_summary.csv - refresh at PB2028; re-tie Va FY26 = 5,389.109</t>
        </is>
      </c>
    </row>
  </sheetData>
  <tableParts count="3">
    <tablePart r:id="rId1"/>
    <tablePart r:id="rId2"/>
    <tablePart r:id="rId3"/>
  </tableParts>
</worksheet>
</file>

<file path=xl/worksheets/sheet39.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34" customWidth="1"/>
    <col min="3" max="3" width="36" customWidth="1"/>
    <col min="4" max="4" width="18" customWidth="1"/>
    <col min="5" max="5" width="12" customWidth="1"/>
    <col min="6" max="6" width="18" customWidth="1"/>
    <col min="7" max="7" width="14" customWidth="1"/>
    <col min="8" max="8" width="40" customWidth="1"/>
    <col min="9" max="9" width="42" customWidth="1"/>
    <col min="10" max="10" width="44" customWidth="1"/>
  </cols>
  <sheetData>
    <row r="1"/>
    <row r="2">
      <c r="B2" s="8" t="inlineStr">
        <is>
          <t xml:space="preserve">References</t>
        </is>
      </c>
      <c r="C2" s="8"/>
      <c r="D2" s="8"/>
      <c r="E2" s="8"/>
      <c r="F2" s="8"/>
      <c r="G2" s="8"/>
      <c r="H2" s="8"/>
      <c r="I2" s="8"/>
      <c r="J2" s="8"/>
    </row>
    <row r="4">
      <c r="A4" s="0" t="inlineStr">
        <is>
          <t xml:space="preserve">x</t>
        </is>
      </c>
      <c r="B4" s="9" t="inlineStr">
        <is>
          <t xml:space="preserve">§1 - Industry-baseline primary-source claims (anchors the 50/60/65% band)</t>
        </is>
      </c>
      <c r="C4" s="9"/>
      <c r="D4" s="9"/>
      <c r="E4" s="9"/>
      <c r="F4" s="9"/>
      <c r="G4" s="9"/>
      <c r="H4" s="9"/>
      <c r="I4" s="9"/>
      <c r="J4" s="9"/>
    </row>
    <row r="6">
      <c r="B6" s="2" t="inlineStr">
        <is>
          <t xml:space="preserve">Claim ID</t>
        </is>
      </c>
      <c r="C6" s="2" t="inlineStr">
        <is>
          <t xml:space="preserve">Label</t>
        </is>
      </c>
      <c r="D6" s="22" t="inlineStr">
        <is>
          <t xml:space="preserve">Value</t>
        </is>
      </c>
      <c r="E6" s="2" t="inlineStr">
        <is>
          <t xml:space="preserve">Unit</t>
        </is>
      </c>
      <c r="F6" s="2" t="inlineStr">
        <is>
          <t xml:space="preserve">Source ID</t>
        </is>
      </c>
      <c r="G6" s="2" t="inlineStr">
        <is>
          <t xml:space="preserve">Date</t>
        </is>
      </c>
      <c r="H6" s="2" t="inlineStr">
        <is>
          <t xml:space="preserve">Source title</t>
        </is>
      </c>
      <c r="I6" s="2" t="inlineStr">
        <is>
          <t xml:space="preserve">Source URL</t>
        </is>
      </c>
      <c r="J6" s="2" t="inlineStr">
        <is>
          <t xml:space="preserve">Quoted text</t>
        </is>
      </c>
    </row>
    <row r="7" outlineLevel="1">
      <c r="B7" s="0" t="inlineStr">
        <is>
          <t xml:space="preserve">01</t>
        </is>
      </c>
      <c r="C7" s="0" t="inlineStr">
        <is>
          <t xml:space="preserve">Sole-source critical suppliers</t>
        </is>
      </c>
      <c r="D7" s="5">
        <v>70</v>
      </c>
      <c r="E7" s="0" t="inlineStr">
        <is>
          <t xml:space="preserve">percent</t>
        </is>
      </c>
      <c r="F7" s="0" t="inlineStr">
        <is>
          <t xml:space="preserve">CRS-RL32418</t>
        </is>
      </c>
      <c r="G7" s="0" t="inlineStr">
        <is>
          <t xml:space="preserve">2026-01-26</t>
        </is>
      </c>
      <c r="H7" s="0" t="inlineStr">
        <is>
          <t xml:space="preserve">Navy Virginia-Class Submarine Program and AUKUS Submarine (Pillar 1) Project: Background and Issues for Congress (R. O'Rourke)</t>
        </is>
      </c>
      <c r="I7" s="0" t="inlineStr">
        <is>
          <t xml:space="preserve">https://www.congress.gov/crs-product/RL32418</t>
        </is>
      </c>
      <c r="J7" s="0" t="inlineStr">
        <is>
          <t xml:space="preserve">About 70% of the critical suppliers for the construction of submarines are sole-source suppliers.</t>
        </is>
      </c>
    </row>
    <row r="8" outlineLevel="1">
      <c r="B8" s="0" t="inlineStr">
        <is>
          <t xml:space="preserve">02</t>
        </is>
      </c>
      <c r="C8" s="0" t="inlineStr">
        <is>
          <t xml:space="preserve">Total submarine suppliers</t>
        </is>
      </c>
      <c r="D8" s="5">
        <v>16000</v>
      </c>
      <c r="E8" s="0" t="inlineStr">
        <is>
          <t xml:space="preserve">count</t>
        </is>
      </c>
      <c r="F8" s="0" t="inlineStr">
        <is>
          <t xml:space="preserve">CRS-RL32418</t>
        </is>
      </c>
      <c r="G8" s="0" t="inlineStr">
        <is>
          <t xml:space="preserve">2026-01-26</t>
        </is>
      </c>
      <c r="H8" s="0" t="inlineStr">
        <is>
          <t xml:space="preserve">Navy Virginia-Class Submarine Program and AUKUS Submarine (Pillar 1) Project</t>
        </is>
      </c>
      <c r="I8" s="0" t="inlineStr">
        <is>
          <t xml:space="preserve">https://www.congress.gov/crs-product/RL32418</t>
        </is>
      </c>
      <c r="J8" s="0" t="inlineStr">
        <is>
          <t xml:space="preserve">In addition to GD/EB and HII/NNS, the submarine construction industrial base includes about 16,000 suppliers in all 50 states.</t>
        </is>
      </c>
    </row>
    <row r="9" outlineLevel="1">
      <c r="B9" s="0" t="inlineStr">
        <is>
          <t xml:space="preserve">03</t>
        </is>
      </c>
      <c r="C9" s="0" t="inlineStr">
        <is>
          <t xml:space="preserve">Submarine industrial base investment FY-FY28</t>
        </is>
      </c>
      <c r="D9" s="5">
        <v>9800</v>
      </c>
      <c r="E9" s="0" t="inlineStr">
        <is>
          <t xml:space="preserve">USD millions</t>
        </is>
      </c>
      <c r="F9" s="0" t="inlineStr">
        <is>
          <t xml:space="preserve">CRS-RL32418</t>
        </is>
      </c>
      <c r="G9" s="0" t="inlineStr">
        <is>
          <t xml:space="preserve">2026-01-26</t>
        </is>
      </c>
      <c r="H9" s="0" t="inlineStr">
        <is>
          <t xml:space="preserve">Navy Virginia-Class Submarine Program and AUKUS Submarine (Pillar 1) Project</t>
        </is>
      </c>
      <c r="I9" s="0" t="inlineStr">
        <is>
          <t xml:space="preserve">https://www.congress.gov/crs-product/RL32418</t>
        </is>
      </c>
      <c r="J9" s="0" t="inlineStr">
        <is>
          <t xml:space="preserve">The estimated total amount of funding appropriated through FY2024, requested for FY2025, and programmed for FY2026-FY2028 for the submarine construction industrial base is about $9.8 billion.</t>
        </is>
      </c>
    </row>
    <row r="10" outlineLevel="1">
      <c r="B10" s="0" t="inlineStr">
        <is>
          <t xml:space="preserve">04</t>
        </is>
      </c>
      <c r="C10" s="0" t="inlineStr">
        <is>
          <t xml:space="preserve">Total DOD submarine industrial base investment</t>
        </is>
      </c>
      <c r="D10" s="5">
        <v>10000</v>
      </c>
      <c r="E10" s="0" t="inlineStr">
        <is>
          <t xml:space="preserve">USD millions</t>
        </is>
      </c>
      <c r="F10" s="0" t="inlineStr">
        <is>
          <t xml:space="preserve">GAO-26-109068</t>
        </is>
      </c>
      <c r="G10" s="0" t="inlineStr">
        <is>
          <t xml:space="preserve">2026-04-22</t>
        </is>
      </c>
      <c r="H10" s="0" t="inlineStr">
        <is>
          <t xml:space="preserve">Navy and Coast Guard Shipbuilding: A Disciplined Strategy-Driven Approach Is Needed (Oakley testimony)</t>
        </is>
      </c>
      <c r="I10" s="0" t="inlineStr">
        <is>
          <t xml:space="preserve">https://www.gao.gov/products/gao-26-109068</t>
        </is>
      </c>
      <c r="J10" s="0" t="inlineStr">
        <is>
          <t xml:space="preserve">DOD does not know how much funding it expects to need-beyond the more than $10 billion DOD already invested-to solve submarine industrial base challenges.</t>
        </is>
      </c>
    </row>
    <row r="11" outlineLevel="1">
      <c r="B11" s="0" t="inlineStr">
        <is>
          <t xml:space="preserve">05</t>
        </is>
      </c>
      <c r="C11" s="0" t="inlineStr">
        <is>
          <t xml:space="preserve">Total DOD shipbuilding industrial base spending FY14-FY23</t>
        </is>
      </c>
      <c r="D11" s="5">
        <v>5800</v>
      </c>
      <c r="E11" s="0" t="inlineStr">
        <is>
          <t xml:space="preserve">USD millions</t>
        </is>
      </c>
      <c r="F11" s="0" t="inlineStr">
        <is>
          <t xml:space="preserve">GAO-25-106286</t>
        </is>
      </c>
      <c r="G11" s="0" t="inlineStr">
        <is>
          <t xml:space="preserve">2025-02-27</t>
        </is>
      </c>
      <c r="H11" s="0" t="inlineStr">
        <is>
          <t xml:space="preserve">Shipbuilding and Repair: Navy Needs a Strategic Approach for Private Sector Industrial Base Investments</t>
        </is>
      </c>
      <c r="I11" s="0" t="inlineStr">
        <is>
          <t xml:space="preserve">https://www.gao.gov/products/gao-25-106286</t>
        </is>
      </c>
      <c r="J11" s="0" t="inlineStr">
        <is>
          <t xml:space="preserve">DOD spent over $5.8 billion on the shipbuilding industrial base from fiscal years 2014 through 2023.</t>
        </is>
      </c>
    </row>
    <row r="12" outlineLevel="1">
      <c r="B12" s="0" t="inlineStr">
        <is>
          <t xml:space="preserve">06</t>
        </is>
      </c>
      <c r="C12" s="0" t="inlineStr">
        <is>
          <t xml:space="preserve">Planned additional shipbuilding IB spend FY through FY28</t>
        </is>
      </c>
      <c r="D12" s="5">
        <v>12600</v>
      </c>
      <c r="E12" s="0" t="inlineStr">
        <is>
          <t xml:space="preserve">USD millions</t>
        </is>
      </c>
      <c r="F12" s="0" t="inlineStr">
        <is>
          <t xml:space="preserve">GAO-25-106286</t>
        </is>
      </c>
      <c r="G12" s="0" t="inlineStr">
        <is>
          <t xml:space="preserve">2025-02-27</t>
        </is>
      </c>
      <c r="H12" s="0" t="inlineStr">
        <is>
          <t xml:space="preserve">Shipbuilding and Repair: Navy Needs a Strategic Approach for Private Sector Industrial Base Investments</t>
        </is>
      </c>
      <c r="I12" s="0" t="inlineStr">
        <is>
          <t xml:space="preserve">https://www.gao.gov/products/gao-25-106286</t>
        </is>
      </c>
      <c r="J12" s="0" t="inlineStr">
        <is>
          <t xml:space="preserve">It plans to spend an additional $12.6 billion through fiscal year 2028.</t>
        </is>
      </c>
    </row>
    <row r="13" outlineLevel="1">
      <c r="B13" s="0" t="inlineStr">
        <is>
          <t xml:space="preserve">07</t>
        </is>
      </c>
      <c r="C13" s="0" t="inlineStr">
        <is>
          <t xml:space="preserve">Supplier base size vs historical</t>
        </is>
      </c>
      <c r="D13" s="5">
        <v>-70</v>
      </c>
      <c r="E13" s="0" t="inlineStr">
        <is>
          <t xml:space="preserve">percent (atrophy)</t>
        </is>
      </c>
      <c r="F13" s="0" t="inlineStr">
        <is>
          <t xml:space="preserve">GAO-21-257</t>
        </is>
      </c>
      <c r="G13" s="0" t="inlineStr">
        <is>
          <t xml:space="preserve">2021-01-14</t>
        </is>
      </c>
      <c r="H13" s="0" t="inlineStr">
        <is>
          <t xml:space="preserve">Columbia Class Submarine: Delivery Hinges on Timely and Quality Materials from an Atrophied Supplier Base</t>
        </is>
      </c>
      <c r="I13" s="0" t="inlineStr">
        <is>
          <t xml:space="preserve">https://www.gao.gov/products/gao-21-257</t>
        </is>
      </c>
      <c r="J13" s="0" t="inlineStr">
        <is>
          <t xml:space="preserve">They plan to rely on materials produced by a supplier base that is roughly 70 percent smaller than in previous shipbuilding booms.</t>
        </is>
      </c>
    </row>
    <row r="14" outlineLevel="1">
      <c r="B14" s="0" t="inlineStr">
        <is>
          <t xml:space="preserve">08</t>
        </is>
      </c>
      <c r="C14" s="0" t="inlineStr">
        <is>
          <t xml:space="preserve">Shipbuilders expanding outsourcing</t>
        </is>
      </c>
      <c r="D14" s="0" t="inlineStr">
        <is>
          <t xml:space="preserve">N/A</t>
        </is>
      </c>
      <c r="E14" s="0" t="inlineStr">
        <is>
          <t xml:space="preserve">qualitative</t>
        </is>
      </c>
      <c r="F14" s="0" t="inlineStr">
        <is>
          <t xml:space="preserve">GAO-21-257</t>
        </is>
      </c>
      <c r="G14" s="0" t="inlineStr">
        <is>
          <t xml:space="preserve">2021-01-14</t>
        </is>
      </c>
      <c r="H14" s="0" t="inlineStr">
        <is>
          <t xml:space="preserve">Columbia Class Submarine: Delivery Hinges on Timely and Quality Materials from an Atrophied Supplier Base</t>
        </is>
      </c>
      <c r="I14" s="0" t="inlineStr">
        <is>
          <t xml:space="preserve">https://www.gao.gov/products/gao-21-257</t>
        </is>
      </c>
      <c r="J14" s="0" t="inlineStr">
        <is>
          <t xml:space="preserve">As the shipbuilders expand outsourcing to suppliers, quality assurance oversight at supplier facilities will be critical for avoiding further delays.</t>
        </is>
      </c>
    </row>
    <row r="15" outlineLevel="1">
      <c r="B15" s="0" t="inlineStr">
        <is>
          <t xml:space="preserve">09</t>
        </is>
      </c>
      <c r="C15" s="0" t="inlineStr">
        <is>
          <t xml:space="preserve">Outsourcing trend due to capacity</t>
        </is>
      </c>
      <c r="D15" s="0" t="inlineStr">
        <is>
          <t xml:space="preserve">N/A</t>
        </is>
      </c>
      <c r="E15" s="0" t="inlineStr">
        <is>
          <t xml:space="preserve">qualitative</t>
        </is>
      </c>
      <c r="F15" s="0" t="inlineStr">
        <is>
          <t xml:space="preserve">GAO-25-106286</t>
        </is>
      </c>
      <c r="G15" s="0" t="inlineStr">
        <is>
          <t xml:space="preserve">2025-02-27</t>
        </is>
      </c>
      <c r="H15" s="0" t="inlineStr">
        <is>
          <t xml:space="preserve">Shipbuilding and Repair: Navy Needs a Strategic Approach for Private Sector Industrial Base Investments</t>
        </is>
      </c>
      <c r="I15" s="0" t="inlineStr">
        <is>
          <t xml:space="preserve">https://www.gao.gov/products/gao-25-106286</t>
        </is>
      </c>
      <c r="J15" s="0" t="inlineStr">
        <is>
          <t xml:space="preserve">Two of the shipbuilders we spoke with are already outsourcing work that would normally be done at their shipyards to their suppliers to overcome constrained physical space, with plans to expand the volume of material they are outsourcing.</t>
        </is>
      </c>
    </row>
    <row r="16" outlineLevel="1">
      <c r="B16" s="0" t="inlineStr">
        <is>
          <t xml:space="preserve">10</t>
        </is>
      </c>
      <c r="C16" s="0" t="inlineStr">
        <is>
          <t xml:space="preserve">Va per-boat cost at 2/yr rate</t>
        </is>
      </c>
      <c r="D16" s="5">
        <v>5000</v>
      </c>
      <c r="E16" s="0" t="inlineStr">
        <is>
          <t xml:space="preserve">USD millions</t>
        </is>
      </c>
      <c r="F16" s="0" t="inlineStr">
        <is>
          <t xml:space="preserve">CRS-RL32418</t>
        </is>
      </c>
      <c r="G16" s="0" t="inlineStr">
        <is>
          <t xml:space="preserve">2026-01-26</t>
        </is>
      </c>
      <c r="H16" s="0" t="inlineStr">
        <is>
          <t xml:space="preserve">Navy Virginia-Class Submarine Program and AUKUS Submarine (Pillar 1) Project</t>
        </is>
      </c>
      <c r="I16" s="0" t="inlineStr">
        <is>
          <t xml:space="preserve">https://www.congress.gov/crs-product/RL32418</t>
        </is>
      </c>
      <c r="J16" s="0" t="inlineStr">
        <is>
          <t xml:space="preserve">When procured at a rate of two per year, they have an estimated procurement cost under the Navy's FY2026 budget submission of about $5.0 billion each.</t>
        </is>
      </c>
    </row>
    <row r="17" outlineLevel="1">
      <c r="B17" s="0" t="inlineStr">
        <is>
          <t xml:space="preserve">11</t>
        </is>
      </c>
      <c r="C17" s="0" t="inlineStr">
        <is>
          <t xml:space="preserve">Va actual production rate</t>
        </is>
      </c>
      <c r="D17" s="5">
        <v>1.3</v>
      </c>
      <c r="E17" s="0" t="inlineStr">
        <is>
          <t xml:space="preserve">boats per year</t>
        </is>
      </c>
      <c r="F17" s="0" t="inlineStr">
        <is>
          <t xml:space="preserve">Breaking-Defense-Raven-2024</t>
        </is>
      </c>
      <c r="G17" s="0" t="inlineStr">
        <is>
          <t xml:space="preserve">2024-04</t>
        </is>
      </c>
      <c r="H17" s="0" t="inlineStr">
        <is>
          <t xml:space="preserve">Invest in the US industrial base to support our Navy and AUKUS (Erik Raven op-ed)</t>
        </is>
      </c>
      <c r="I17" s="0" t="inlineStr">
        <is>
          <t xml:space="preserve">https://breakingdefense.com/2024/04/invest-in-the-us-industrial-base-to-support-our-navy-and-aukus-raven/</t>
        </is>
      </c>
      <c r="J17" s="0" t="inlineStr">
        <is>
          <t xml:space="preserve">Where we should be delivering two Virginia-class submarines a year, we are currently only on pace to deliver 1.3.</t>
        </is>
      </c>
    </row>
    <row r="18" outlineLevel="1">
      <c r="B18" s="0" t="inlineStr">
        <is>
          <t xml:space="preserve">12</t>
        </is>
      </c>
      <c r="C18" s="0" t="inlineStr">
        <is>
          <t xml:space="preserve">Va production target after AUKUS</t>
        </is>
      </c>
      <c r="D18" s="5">
        <v>2.33</v>
      </c>
      <c r="E18" s="0" t="inlineStr">
        <is>
          <t xml:space="preserve">boats per year</t>
        </is>
      </c>
      <c r="F18" s="0" t="inlineStr">
        <is>
          <t xml:space="preserve">CRS-RL32418</t>
        </is>
      </c>
      <c r="G18" s="0" t="inlineStr">
        <is>
          <t xml:space="preserve">2026-01-26</t>
        </is>
      </c>
      <c r="H18" s="0" t="inlineStr">
        <is>
          <t xml:space="preserve">Navy Virginia-Class Submarine Program and AUKUS Submarine (Pillar 1) Project</t>
        </is>
      </c>
      <c r="I18" s="0" t="inlineStr">
        <is>
          <t xml:space="preserve">https://www.congress.gov/crs-product/RL32418</t>
        </is>
      </c>
      <c r="J18" s="0" t="inlineStr">
        <is>
          <t xml:space="preserve">increasing the Virginia-class production rate to 2.0 boats per year, and subsequently to 2.33 boats per year, the rate the Navy states will be needed to not only execute the two-per-year procurement rate, but also build replacement SSNs for the three to five Virginia-class boats that are to be sold to Australia.</t>
        </is>
      </c>
    </row>
    <row r="19" outlineLevel="1">
      <c r="B19" s="0" t="inlineStr">
        <is>
          <t xml:space="preserve">13</t>
        </is>
      </c>
      <c r="C19" s="0" t="inlineStr">
        <is>
          <t xml:space="preserve">Col 12-ship program total cost</t>
        </is>
      </c>
      <c r="D19" s="5">
        <v>126400</v>
      </c>
      <c r="E19" s="0" t="inlineStr">
        <is>
          <t xml:space="preserve">USD millions</t>
        </is>
      </c>
      <c r="F19" s="0" t="inlineStr">
        <is>
          <t xml:space="preserve">CRS-R41129</t>
        </is>
      </c>
      <c r="G19" s="0" t="inlineStr">
        <is>
          <t xml:space="preserve">2025-12-04</t>
        </is>
      </c>
      <c r="H19" s="0" t="inlineStr">
        <is>
          <t xml:space="preserve">Navy Columbia (SSBN-826) Class Ballistic Missile Submarine Program: Background and Issues for Congress (R. O'Rourke)</t>
        </is>
      </c>
      <c r="I19" s="0" t="inlineStr">
        <is>
          <t xml:space="preserve">https://www.congress.gov/crs-product/R41129</t>
        </is>
      </c>
      <c r="J19" s="0" t="inlineStr">
        <is>
          <t xml:space="preserve">The Navy's FY2025 budget submission estimates the total procurement cost of the 12-ship class at $126.4 billion in then-year dollars, an increase of 15.2% over the figure in the FY2021 budget submission of $109.8 billion.</t>
        </is>
      </c>
    </row>
    <row r="20" outlineLevel="1">
      <c r="B20" s="0" t="inlineStr">
        <is>
          <t xml:space="preserve">14</t>
        </is>
      </c>
      <c r="C20" s="0" t="inlineStr">
        <is>
          <t xml:space="preserve">Col 12-ship total per CBO</t>
        </is>
      </c>
      <c r="D20" s="0" t="inlineStr">
        <is>
          <t xml:space="preserve">~146</t>
        </is>
      </c>
      <c r="E20" s="0" t="inlineStr">
        <is>
          <t xml:space="preserve">USD billions (~16% &gt; Navy)</t>
        </is>
      </c>
      <c r="F20" s="0" t="inlineStr">
        <is>
          <t xml:space="preserve">CRS-R41129</t>
        </is>
      </c>
      <c r="G20" s="0" t="inlineStr">
        <is>
          <t xml:space="preserve">2025-12-04</t>
        </is>
      </c>
      <c r="H20" s="0" t="inlineStr">
        <is>
          <t xml:space="preserve">Navy Columbia (SSBN-826) Class Ballistic Missile Submarine Program</t>
        </is>
      </c>
      <c r="I20" s="0" t="inlineStr">
        <is>
          <t xml:space="preserve">https://www.congress.gov/crs-product/R41129</t>
        </is>
      </c>
      <c r="J20" s="0" t="inlineStr">
        <is>
          <t xml:space="preserve">CBO's estimate for a program of 12 ships is 16 percent higher than the Navy's.</t>
        </is>
      </c>
    </row>
    <row r="21" outlineLevel="1">
      <c r="B21" s="0" t="inlineStr">
        <is>
          <t xml:space="preserve">15</t>
        </is>
      </c>
      <c r="C21" s="0" t="inlineStr">
        <is>
          <t xml:space="preserve">Col 1st boat (SSBN-826) cost</t>
        </is>
      </c>
      <c r="D21" s="5">
        <v>16121</v>
      </c>
      <c r="E21" s="0" t="inlineStr">
        <is>
          <t xml:space="preserve">USD millions</t>
        </is>
      </c>
      <c r="F21" s="0" t="inlineStr">
        <is>
          <t xml:space="preserve">CRS-R41129</t>
        </is>
      </c>
      <c r="G21" s="0" t="inlineStr">
        <is>
          <t xml:space="preserve">2025-12-04</t>
        </is>
      </c>
      <c r="H21" s="0" t="inlineStr">
        <is>
          <t xml:space="preserve">Navy Columbia (SSBN-826) Class Ballistic Missile Submarine Program</t>
        </is>
      </c>
      <c r="I21" s="0" t="inlineStr">
        <is>
          <t xml:space="preserve">https://www.congress.gov/crs-product/R41129</t>
        </is>
      </c>
      <c r="J21" s="0" t="inlineStr">
        <is>
          <t xml:space="preserve">First boat (SSBN-826): $16,121.3 million.</t>
        </is>
      </c>
    </row>
    <row r="22" outlineLevel="1">
      <c r="B22" s="0" t="inlineStr">
        <is>
          <t xml:space="preserve">16</t>
        </is>
      </c>
      <c r="C22" s="0" t="inlineStr">
        <is>
          <t xml:space="preserve">Col 2nd boat (SSBN-827) cost</t>
        </is>
      </c>
      <c r="D22" s="5">
        <v>10688</v>
      </c>
      <c r="E22" s="0" t="inlineStr">
        <is>
          <t xml:space="preserve">USD millions</t>
        </is>
      </c>
      <c r="F22" s="0" t="inlineStr">
        <is>
          <t xml:space="preserve">CRS-R41129</t>
        </is>
      </c>
      <c r="G22" s="0" t="inlineStr">
        <is>
          <t xml:space="preserve">2025-12-04</t>
        </is>
      </c>
      <c r="H22" s="0" t="inlineStr">
        <is>
          <t xml:space="preserve">Navy Columbia (SSBN-826) Class Ballistic Missile Submarine Program</t>
        </is>
      </c>
      <c r="I22" s="0" t="inlineStr">
        <is>
          <t xml:space="preserve">https://www.congress.gov/crs-product/R41129</t>
        </is>
      </c>
      <c r="J22" s="0" t="inlineStr">
        <is>
          <t xml:space="preserve">Second boat (SSBN-827): $10,688.5 million.</t>
        </is>
      </c>
    </row>
    <row r="23" outlineLevel="1">
      <c r="B23" s="0" t="inlineStr">
        <is>
          <t xml:space="preserve">17</t>
        </is>
      </c>
      <c r="C23" s="0" t="inlineStr">
        <is>
          <t xml:space="preserve">Col 3rd boat (SSBN-828) cost</t>
        </is>
      </c>
      <c r="D23" s="5">
        <v>10543</v>
      </c>
      <c r="E23" s="0" t="inlineStr">
        <is>
          <t xml:space="preserve">USD millions</t>
        </is>
      </c>
      <c r="F23" s="0" t="inlineStr">
        <is>
          <t xml:space="preserve">CRS-R41129</t>
        </is>
      </c>
      <c r="G23" s="0" t="inlineStr">
        <is>
          <t xml:space="preserve">2025-12-04</t>
        </is>
      </c>
      <c r="H23" s="0" t="inlineStr">
        <is>
          <t xml:space="preserve">Navy Columbia (SSBN-826) Class Ballistic Missile Submarine Program</t>
        </is>
      </c>
      <c r="I23" s="0" t="inlineStr">
        <is>
          <t xml:space="preserve">https://www.congress.gov/crs-product/R41129</t>
        </is>
      </c>
      <c r="J23" s="0" t="inlineStr">
        <is>
          <t xml:space="preserve">Third boat (SSBN-828): $10,543.7 million.</t>
        </is>
      </c>
    </row>
    <row r="24" outlineLevel="1">
      <c r="B24" s="0" t="inlineStr">
        <is>
          <t xml:space="preserve">18</t>
        </is>
      </c>
      <c r="C24" s="0" t="inlineStr">
        <is>
          <t xml:space="preserve">Col 1st boat delay</t>
        </is>
      </c>
      <c r="D24" s="5">
        <v>17</v>
      </c>
      <c r="E24" s="0" t="inlineStr">
        <is>
          <t xml:space="preserve">months</t>
        </is>
      </c>
      <c r="F24" s="0" t="inlineStr">
        <is>
          <t xml:space="preserve">CRS-R41129</t>
        </is>
      </c>
      <c r="G24" s="0" t="inlineStr">
        <is>
          <t xml:space="preserve">2025-12-04</t>
        </is>
      </c>
      <c r="H24" s="0" t="inlineStr">
        <is>
          <t xml:space="preserve">Navy Columbia (SSBN-826) Class Ballistic Missile Submarine Program</t>
        </is>
      </c>
      <c r="I24" s="0" t="inlineStr">
        <is>
          <t xml:space="preserve">https://www.congress.gov/crs-product/R41129</t>
        </is>
      </c>
      <c r="J24" s="0" t="inlineStr">
        <is>
          <t xml:space="preserve">The Navy's FY2026 budget submission updated the estimated delay in the delivery of the first Columbia-class boat to 17 months.</t>
        </is>
      </c>
    </row>
    <row r="25" outlineLevel="1">
      <c r="B25" s="0" t="inlineStr">
        <is>
          <t xml:space="preserve">19</t>
        </is>
      </c>
      <c r="C25" s="0" t="inlineStr">
        <is>
          <t xml:space="preserve">Col 1st boat build duration actual</t>
        </is>
      </c>
      <c r="D25" s="5">
        <v>96</v>
      </c>
      <c r="E25" s="0" t="inlineStr">
        <is>
          <t xml:space="preserve">months</t>
        </is>
      </c>
      <c r="F25" s="0" t="inlineStr">
        <is>
          <t xml:space="preserve">CRS-R41129</t>
        </is>
      </c>
      <c r="G25" s="0" t="inlineStr">
        <is>
          <t xml:space="preserve">2025-12-04</t>
        </is>
      </c>
      <c r="H25" s="0" t="inlineStr">
        <is>
          <t xml:space="preserve">Navy Columbia (SSBN-826) Class Ballistic Missile Submarine Program</t>
        </is>
      </c>
      <c r="I25" s="0" t="inlineStr">
        <is>
          <t xml:space="preserve">https://www.congress.gov/crs-product/R41129</t>
        </is>
      </c>
      <c r="J25" s="0" t="inlineStr">
        <is>
          <t xml:space="preserve">currently tracking to a 96-month build instead of the 84-month contract timeline.</t>
        </is>
      </c>
    </row>
    <row r="26" outlineLevel="1">
      <c r="B26" s="0" t="inlineStr">
        <is>
          <t xml:space="preserve">20</t>
        </is>
      </c>
      <c r="C26" s="0" t="inlineStr">
        <is>
          <t xml:space="preserve">Specific delay attribution NG turbine generator</t>
        </is>
      </c>
      <c r="D26" s="0" t="inlineStr">
        <is>
          <t xml:space="preserve">N/A</t>
        </is>
      </c>
      <c r="E26" s="0" t="inlineStr">
        <is>
          <t xml:space="preserve">qualitative</t>
        </is>
      </c>
      <c r="F26" s="0" t="inlineStr">
        <is>
          <t xml:space="preserve">CRS-R41129</t>
        </is>
      </c>
      <c r="G26" s="0" t="inlineStr">
        <is>
          <t xml:space="preserve">2025-12-04</t>
        </is>
      </c>
      <c r="H26" s="0" t="inlineStr">
        <is>
          <t xml:space="preserve">Navy Columbia (SSBN-826) Class Ballistic Missile Submarine Program</t>
        </is>
      </c>
      <c r="I26" s="0" t="inlineStr">
        <is>
          <t xml:space="preserve">https://www.congress.gov/crs-product/R41129</t>
        </is>
      </c>
      <c r="J26" s="0" t="inlineStr">
        <is>
          <t xml:space="preserve">One of the most significant challenges...is actually the late delivery of the turbine generator...by subcontractor Northrop Grumman.</t>
        </is>
      </c>
    </row>
    <row r="27" outlineLevel="1">
      <c r="B27" s="0" t="inlineStr">
        <is>
          <t xml:space="preserve">21</t>
        </is>
      </c>
      <c r="C27" s="0" t="inlineStr">
        <is>
          <t xml:space="preserve">Trade workers &lt;5 years experience</t>
        </is>
      </c>
      <c r="D27" s="5">
        <v>57</v>
      </c>
      <c r="E27" s="0" t="inlineStr">
        <is>
          <t xml:space="preserve">percent</t>
        </is>
      </c>
      <c r="F27" s="0" t="inlineStr">
        <is>
          <t xml:space="preserve">GAO-25-106286</t>
        </is>
      </c>
      <c r="G27" s="0" t="inlineStr">
        <is>
          <t xml:space="preserve">2025-02-27</t>
        </is>
      </c>
      <c r="H27" s="0" t="inlineStr">
        <is>
          <t xml:space="preserve">Shipbuilding and Repair: Navy Needs a Strategic Approach for Private Sector Industrial Base Investments</t>
        </is>
      </c>
      <c r="I27" s="0" t="inlineStr">
        <is>
          <t xml:space="preserve">https://www.gao.gov/products/gao-25-106286</t>
        </is>
      </c>
      <c r="J27" s="0" t="inlineStr">
        <is>
          <t xml:space="preserve">A shipbuilder we spoke with noted that they already have a high percentage of trade workers with fewer than 5 years of experience-at 57 percent.</t>
        </is>
      </c>
    </row>
    <row r="28" outlineLevel="1">
      <c r="B28" s="0" t="inlineStr">
        <is>
          <t xml:space="preserve">22</t>
        </is>
      </c>
      <c r="C28" s="0" t="inlineStr">
        <is>
          <t xml:space="preserve">BlueForge Alliance role</t>
        </is>
      </c>
      <c r="D28" s="0" t="inlineStr">
        <is>
          <t xml:space="preserve">N/A</t>
        </is>
      </c>
      <c r="E28" s="0" t="inlineStr">
        <is>
          <t xml:space="preserve">qualitative</t>
        </is>
      </c>
      <c r="F28" s="0" t="inlineStr">
        <is>
          <t xml:space="preserve">GAO-25-106286</t>
        </is>
      </c>
      <c r="G28" s="0" t="inlineStr">
        <is>
          <t xml:space="preserve">2025-02-27</t>
        </is>
      </c>
      <c r="H28" s="0" t="inlineStr">
        <is>
          <t xml:space="preserve">Shipbuilding and Repair: Navy Needs a Strategic Approach for Private Sector Industrial Base Investments</t>
        </is>
      </c>
      <c r="I28" s="0" t="inlineStr">
        <is>
          <t xml:space="preserve">https://www.gao.gov/products/gao-25-106286</t>
        </is>
      </c>
      <c r="J28" s="0" t="inlineStr">
        <is>
          <t xml:space="preserve">BlueForge Alliance, a nonprofit integrator, has supported the use of submarine supplier development funding for the shipbuilders.</t>
        </is>
      </c>
    </row>
    <row r="29" outlineLevel="1">
      <c r="B29" s="0" t="inlineStr">
        <is>
          <t xml:space="preserve">23</t>
        </is>
      </c>
      <c r="C29" s="0" t="inlineStr">
        <is>
          <t xml:space="preserve">Maritime Industrial Base Program Office established</t>
        </is>
      </c>
      <c r="D29" s="0" t="inlineStr">
        <is>
          <t xml:space="preserve">N/A</t>
        </is>
      </c>
      <c r="E29" s="0" t="inlineStr">
        <is>
          <t xml:space="preserve">event</t>
        </is>
      </c>
      <c r="F29" s="0" t="inlineStr">
        <is>
          <t xml:space="preserve">GAO-25-106286</t>
        </is>
      </c>
      <c r="G29" s="0" t="inlineStr">
        <is>
          <t xml:space="preserve">2025-02-27</t>
        </is>
      </c>
      <c r="H29" s="0" t="inlineStr">
        <is>
          <t xml:space="preserve">Shipbuilding and Repair: Navy Needs a Strategic Approach for Private Sector Industrial Base Investments</t>
        </is>
      </c>
      <c r="I29" s="0" t="inlineStr">
        <is>
          <t xml:space="preserve">https://www.gao.gov/products/gao-25-106286</t>
        </is>
      </c>
      <c r="J29" s="0" t="inlineStr">
        <is>
          <t xml:space="preserve">The Navy released a memorandum in June 2024...directed the establishment of a Maritime Industrial Base Program Office...began operating in September 2024.</t>
        </is>
      </c>
    </row>
    <row r="30" outlineLevel="1">
      <c r="B30" s="0" t="inlineStr">
        <is>
          <t xml:space="preserve">24</t>
        </is>
      </c>
      <c r="C30" s="0" t="inlineStr">
        <is>
          <t xml:space="preserve">Va Block VI LLTM contract place-of-performance</t>
        </is>
      </c>
      <c r="D30" s="5">
        <v>30</v>
      </c>
      <c r="E30" s="0" t="inlineStr">
        <is>
          <t xml:space="preserve">percent at Sunnyvale CA</t>
        </is>
      </c>
      <c r="F30" s="0" t="inlineStr">
        <is>
          <t xml:space="preserve">Naval-Technology-2024</t>
        </is>
      </c>
      <c r="G30" s="0" t="inlineStr">
        <is>
          <t xml:space="preserve">2024</t>
        </is>
      </c>
      <c r="H30" s="0" t="inlineStr">
        <is>
          <t xml:space="preserve">GDEB awarded $2.3bn contract modification for Virginia-class submarines</t>
        </is>
      </c>
      <c r="I30" s="0" t="inlineStr">
        <is>
          <t xml:space="preserve">https://www.naval-technology.com/news/gdeb-virginia-class-submarines-contract/</t>
        </is>
      </c>
      <c r="J30" s="0" t="inlineStr">
        <is>
          <t xml:space="preserve">The bulk of the work will take place in Sunnyvale, California, accounting for 30% of the effort, with other significant sites including Chesapeake in Virginia, Minneapolis in Minnesota, York in Pennsylvania and Tucson in Arizona, each contributing between 3 and 4%.</t>
        </is>
      </c>
    </row>
    <row r="31" outlineLevel="1">
      <c r="B31" s="0" t="inlineStr">
        <is>
          <t xml:space="preserve">25</t>
        </is>
      </c>
      <c r="C31" s="0" t="inlineStr">
        <is>
          <t xml:space="preserve">AUKUS Australian contribution to US submarine industrial base</t>
        </is>
      </c>
      <c r="D31" s="5">
        <v>3000</v>
      </c>
      <c r="E31" s="0" t="inlineStr">
        <is>
          <t xml:space="preserve">USD millions</t>
        </is>
      </c>
      <c r="F31" s="0" t="inlineStr">
        <is>
          <t xml:space="preserve">CRS-RL32418</t>
        </is>
      </c>
      <c r="G31" s="0" t="inlineStr">
        <is>
          <t xml:space="preserve">2026-01-26</t>
        </is>
      </c>
      <c r="H31" s="0" t="inlineStr">
        <is>
          <t xml:space="preserve">Navy Virginia-Class Submarine Program and AUKUS Submarine (Pillar 1) Project</t>
        </is>
      </c>
      <c r="I31" s="0" t="inlineStr">
        <is>
          <t xml:space="preserve">https://www.congress.gov/crs-product/RL32418</t>
        </is>
      </c>
      <c r="J31" s="0" t="inlineStr">
        <is>
          <t xml:space="preserve">Australia is to invest at least $3 billion in its own industrial base to establish an Australian capacity for building and maintaining SSNs. In addition to that $3 billion…Australia is to make a $3 billion contribution to the U.S. submarine industrial base.</t>
        </is>
      </c>
    </row>
    <row r="32" outlineLevel="1">
      <c r="B32" s="0" t="inlineStr">
        <is>
          <t xml:space="preserve">26</t>
        </is>
      </c>
      <c r="C32" s="0" t="inlineStr">
        <is>
          <t xml:space="preserve">Make/buy ratio for submarine prime contract</t>
        </is>
      </c>
      <c r="D32" s="0" t="inlineStr">
        <is>
          <t xml:space="preserve">NOT FOUND</t>
        </is>
      </c>
      <c r="E32" s="0" t="inlineStr">
        <is>
          <t xml:space="preserve">placeholder</t>
        </is>
      </c>
      <c r="F32" s="0" t="inlineStr">
        <is>
          <t xml:space="preserve">N/A</t>
        </is>
      </c>
      <c r="G32" s="0" t="inlineStr">
        <is>
          <t xml:space="preserve">N/A</t>
        </is>
      </c>
      <c r="H32" s="0" t="inlineStr">
        <is>
          <t xml:space="preserve">No primary-source statement located</t>
        </is>
      </c>
      <c r="I32" s="0" t="inlineStr">
        <is>
          <t xml:space="preserve">N/A</t>
        </is>
      </c>
      <c r="J32" s="0" t="inlineStr">
        <is>
          <t xml:space="preserve">None of the GAO/CRS/CBO reports we reviewed explicitly states the make/buy ratio for the Virginia or Columbia prime contracts. Industry analyst consensus places complex-shipbuilding purchased+subbed content at 50-65 percent of contract value; our deck uses ~60 percent as a working baseline derived from this synthesis plus the supporting evidence in claims 01, 02, 07, 08, 09.</t>
        </is>
      </c>
    </row>
    <row r="33" outlineLevel="1">
      <c r="B33" s="0" t="inlineStr">
        <is>
          <t xml:space="preserve">27</t>
        </is>
      </c>
      <c r="C33" s="0" t="inlineStr">
        <is>
          <t xml:space="preserve">FY27 shipbuilding budget request</t>
        </is>
      </c>
      <c r="D33" s="5">
        <v>65000</v>
      </c>
      <c r="E33" s="0" t="inlineStr">
        <is>
          <t xml:space="preserve">USD millions</t>
        </is>
      </c>
      <c r="F33" s="0" t="inlineStr">
        <is>
          <t xml:space="preserve">GAO-26-109068</t>
        </is>
      </c>
      <c r="G33" s="0" t="inlineStr">
        <is>
          <t xml:space="preserve">2026-04-22</t>
        </is>
      </c>
      <c r="H33" s="0" t="inlineStr">
        <is>
          <t xml:space="preserve">Navy and Coast Guard Shipbuilding: A Disciplined Strategy-Driven Approach Is Needed</t>
        </is>
      </c>
      <c r="I33" s="0" t="inlineStr">
        <is>
          <t xml:space="preserve">https://www.gao.gov/products/gao-26-109068</t>
        </is>
      </c>
      <c r="J33" s="0" t="inlineStr">
        <is>
          <t xml:space="preserve">The President's Budget for fiscal year 2027-released in April 2026-requested over $65 billion in shipbuilding funding, in part to support recently announced plans for the Golden Fleet.</t>
        </is>
      </c>
    </row>
    <row r="34" outlineLevel="1">
      <c r="B34" s="0" t="inlineStr">
        <is>
          <t xml:space="preserve">28</t>
        </is>
      </c>
      <c r="C34" s="0" t="inlineStr">
        <is>
          <t xml:space="preserve">One Big Beautiful Bill Act shipbuilding funds</t>
        </is>
      </c>
      <c r="D34" s="5">
        <v>30000</v>
      </c>
      <c r="E34" s="0" t="inlineStr">
        <is>
          <t xml:space="preserve">USD millions</t>
        </is>
      </c>
      <c r="F34" s="0" t="inlineStr">
        <is>
          <t xml:space="preserve">GAO-26-109068</t>
        </is>
      </c>
      <c r="G34" s="0" t="inlineStr">
        <is>
          <t xml:space="preserve">2026-04-22</t>
        </is>
      </c>
      <c r="H34" s="0" t="inlineStr">
        <is>
          <t xml:space="preserve">Navy and Coast Guard Shipbuilding: A Disciplined Strategy-Driven Approach Is Needed</t>
        </is>
      </c>
      <c r="I34" s="0" t="inlineStr">
        <is>
          <t xml:space="preserve">https://www.gao.gov/products/gao-26-109068</t>
        </is>
      </c>
      <c r="J34" s="0" t="inlineStr">
        <is>
          <t xml:space="preserve">The Navy and the Coast Guard collectively received over $30 billion to help procure ships under Public Law 119-21, commonly known as the One Big Beautiful Bill Act.</t>
        </is>
      </c>
    </row>
    <row r="35" outlineLevel="1">
      <c r="B35" s="0" t="inlineStr">
        <is>
          <t xml:space="preserve">29</t>
        </is>
      </c>
      <c r="C35" s="0" t="inlineStr">
        <is>
          <t xml:space="preserve">America's Maritime Action Plan</t>
        </is>
      </c>
      <c r="D35" s="0" t="inlineStr">
        <is>
          <t xml:space="preserve">N/A</t>
        </is>
      </c>
      <c r="E35" s="0" t="inlineStr">
        <is>
          <t xml:space="preserve">event</t>
        </is>
      </c>
      <c r="F35" s="0" t="inlineStr">
        <is>
          <t xml:space="preserve">GAO-26-109068</t>
        </is>
      </c>
      <c r="G35" s="0" t="inlineStr">
        <is>
          <t xml:space="preserve">2026-04-22</t>
        </is>
      </c>
      <c r="H35" s="0" t="inlineStr">
        <is>
          <t xml:space="preserve">Navy and Coast Guard Shipbuilding: A Disciplined Strategy-Driven Approach Is Needed</t>
        </is>
      </c>
      <c r="I35" s="0" t="inlineStr">
        <is>
          <t xml:space="preserve">https://www.gao.gov/products/gao-26-109068</t>
        </is>
      </c>
      <c r="J35" s="0" t="inlineStr">
        <is>
          <t xml:space="preserve">America's Maritime Action Plan by the White House in February 2026. This plan sets out the common challenges faced by the maritime industrial base across government and commercial shipbuilding.</t>
        </is>
      </c>
    </row>
    <row r="36" outlineLevel="1">
      <c r="B36" s="0" t="inlineStr">
        <is>
          <t xml:space="preserve">30</t>
        </is>
      </c>
      <c r="C36" s="0" t="inlineStr">
        <is>
          <t xml:space="preserve">Ohio class begins retiring</t>
        </is>
      </c>
      <c r="D36" s="5">
        <v>2027</v>
      </c>
      <c r="E36" s="0" t="inlineStr">
        <is>
          <t xml:space="preserve">year</t>
        </is>
      </c>
      <c r="F36" s="0" t="inlineStr">
        <is>
          <t xml:space="preserve">GAO-24-107732</t>
        </is>
      </c>
      <c r="G36" s="0" t="inlineStr">
        <is>
          <t xml:space="preserve">2024-09-30</t>
        </is>
      </c>
      <c r="H36" s="0" t="inlineStr">
        <is>
          <t xml:space="preserve">Columbia Class Submarine: Overcoming Persistent Challenges Requires Yet Undemonstrated Performance and Better-Informed Supplier Investments</t>
        </is>
      </c>
      <c r="I36" s="0" t="inlineStr">
        <is>
          <t xml:space="preserve">https://www.gao.gov/products/gao-24-107732</t>
        </is>
      </c>
      <c r="J36" s="0" t="inlineStr">
        <is>
          <t xml:space="preserve">As Ohio class submarines begin to retire in 2027, the lead Columbia class submarine must be ready for its first patrol in fiscal year 2031 to avoid a gap in deterrence requirements.</t>
        </is>
      </c>
    </row>
    <row r="37" outlineLevel="1">
      <c r="B37" s="0" t="inlineStr">
        <is>
          <t xml:space="preserve">31</t>
        </is>
      </c>
      <c r="C37" s="0" t="inlineStr">
        <is>
          <t xml:space="preserve">OBBBA second Virginia-class submarine (FY2026)</t>
        </is>
      </c>
      <c r="D37" s="5">
        <v>4600</v>
      </c>
      <c r="E37" s="0" t="inlineStr">
        <is>
          <t xml:space="preserve">USD millions</t>
        </is>
      </c>
      <c r="F37" s="0" t="inlineStr">
        <is>
          <t xml:space="preserve">OBBBA-MFAP-20002</t>
        </is>
      </c>
      <c r="G37" s="0" t="inlineStr">
        <is>
          <t xml:space="preserve">2026-02-18</t>
        </is>
      </c>
      <c r="H37" s="0" t="inlineStr">
        <is>
          <t xml:space="preserve">FY 2026 Mandatory Funding Allocation Plan (One Big Beautiful Bill Act)</t>
        </is>
      </c>
      <c r="I37" s="0" t="inlineStr">
        <is>
          <t xml:space="preserve">docs/obbba_funding_allocation_narrative_20260218.txt</t>
        </is>
      </c>
      <c r="J37" s="0" t="inlineStr">
        <is>
          <t xml:space="preserve">Funds the procurement of one Virginia Class submarine in FY 2026. Funds are expected to award in FY 2026, along with the funds for the one submarine requested in the FY 2026 discretionary budget request.</t>
        </is>
      </c>
    </row>
    <row r="38" outlineLevel="1">
      <c r="B38" s="0" t="inlineStr">
        <is>
          <t xml:space="preserve">32</t>
        </is>
      </c>
      <c r="C38" s="0" t="inlineStr">
        <is>
          <t xml:space="preserve">Strategic outsourcing required for concurrent CLB + VCS production</t>
        </is>
      </c>
      <c r="D38" s="5">
        <v>25</v>
      </c>
      <c r="E38" s="0" t="inlineStr">
        <is>
          <t xml:space="preserve">USD millions</t>
        </is>
      </c>
      <c r="F38" s="0" t="inlineStr">
        <is>
          <t xml:space="preserve">PB2027-SCN-P10-CLB</t>
        </is>
      </c>
      <c r="G38" s="0" t="inlineStr">
        <is>
          <t xml:space="preserve">2026-04</t>
        </is>
      </c>
      <c r="H38" s="0" t="inlineStr">
        <is>
          <t xml:space="preserve">PB 2027 Navy SCN Justification Book, COLUMBIA Class P-10 (Budget Funding Justification)</t>
        </is>
      </c>
      <c r="I38" s="0" t="inlineStr">
        <is>
          <t xml:space="preserve">budget_books/SCN_Book_FY27.txt</t>
        </is>
      </c>
      <c r="J38" s="0" t="inlineStr">
        <is>
          <t xml:space="preserve">Shipbuilders do not have sufficient capacity to accommodate CLB and VIRGINIA Class (VCS) concurrent production without strategically outsourcing workload to qualified suppliers. MIB investments will support continued development of outsourcing partners to rapidly achieve schedule and quality proficiency.</t>
        </is>
      </c>
    </row>
    <row r="39" outlineLevel="1">
      <c r="B39" s="0" t="inlineStr">
        <is>
          <t xml:space="preserve">33</t>
        </is>
      </c>
      <c r="C39" s="0" t="inlineStr">
        <is>
          <t xml:space="preserve">Virginia Block V construction master announced POP outside the prime team</t>
        </is>
      </c>
      <c r="D39" s="5">
        <v>34</v>
      </c>
      <c r="E39" s="0" t="inlineStr">
        <is>
          <t xml:space="preserve">percent</t>
        </is>
      </c>
      <c r="F39" s="0" t="inlineStr">
        <is>
          <t xml:space="preserve">DOD-CONTRACTS-20191202</t>
        </is>
      </c>
      <c r="G39" s="0" t="inlineStr">
        <is>
          <t xml:space="preserve">2019-12-02</t>
        </is>
      </c>
      <c r="H39" s="0" t="inlineStr">
        <is>
          <t xml:space="preserve">DoD Contracts for Dec. 2, 2019 (article 2030017)</t>
        </is>
      </c>
      <c r="I39" s="0" t="inlineStr">
        <is>
          <t xml:space="preserve">https://www.defense.gov/News/Contracts/Contract/Article/2030017/</t>
        </is>
      </c>
      <c r="J39" s="0" t="inlineStr">
        <is>
          <t xml:space="preserve">Work will be performed in Newport News, Virginia (25%); Quonset Point, Rhode Island (21%); Groton, Connecticut (20%); Sunnyvale, California (8%); Norfolk, Virginia (1%); Bethlehem, Pennsylvania (1%); and Annapolis, Maryland (1%), with other efforts performed at various places throughout the U.S. below one percent (22%), and other places outside of U.S. below one percent (1%).</t>
        </is>
      </c>
    </row>
    <row r="40" outlineLevel="1">
      <c r="B40" s="0" t="inlineStr">
        <is>
          <t xml:space="preserve">34</t>
        </is>
      </c>
      <c r="C40" s="0" t="inlineStr">
        <is>
          <t xml:space="preserve">Columbia Build I construction option announced POP outside the prime team</t>
        </is>
      </c>
      <c r="D40" s="5">
        <v>22</v>
      </c>
      <c r="E40" s="0" t="inlineStr">
        <is>
          <t xml:space="preserve">percent</t>
        </is>
      </c>
      <c r="F40" s="0" t="inlineStr">
        <is>
          <t xml:space="preserve">DOD-CONTRACTS-20201105</t>
        </is>
      </c>
      <c r="G40" s="0" t="inlineStr">
        <is>
          <t xml:space="preserve">2020-11-05</t>
        </is>
      </c>
      <c r="H40" s="0" t="inlineStr">
        <is>
          <t xml:space="preserve">DoD Contracts for Nov. 5, 2020 (article 2406922)</t>
        </is>
      </c>
      <c r="I40" s="0" t="inlineStr">
        <is>
          <t xml:space="preserve">https://www.defense.gov/Newsroom/Contracts/Contract/Article/2406922/</t>
        </is>
      </c>
      <c r="J40" s="0" t="inlineStr">
        <is>
          <t xml:space="preserve">Work will be performed in Groton, Connecticut (36%); Newport News, Virginia (25%); Quonset Point, Rhode Island (17%); with other efforts performed at various sites throughout the U.S. (each less than 1%) (22%).</t>
        </is>
      </c>
    </row>
    <row r="43">
      <c r="A43" s="0" t="inlineStr">
        <is>
          <t xml:space="preserve">x</t>
        </is>
      </c>
      <c r="B43" s="9" t="inlineStr">
        <is>
          <t xml:space="preserve">§2 - Executive commentary on make/buy (strategy signal, not sizing)</t>
        </is>
      </c>
      <c r="C43" s="9"/>
      <c r="D43" s="9"/>
      <c r="E43" s="9"/>
      <c r="F43" s="9"/>
      <c r="G43" s="9"/>
      <c r="H43" s="9"/>
      <c r="I43" s="9"/>
      <c r="J43" s="9"/>
    </row>
    <row r="45">
      <c r="B45" s="2" t="inlineStr">
        <is>
          <t xml:space="preserve">Quote ID</t>
        </is>
      </c>
      <c r="C45" s="2" t="inlineStr">
        <is>
          <t xml:space="preserve">Date</t>
        </is>
      </c>
      <c r="D45" s="2" t="inlineStr">
        <is>
          <t xml:space="preserve">Speaker</t>
        </is>
      </c>
      <c r="E45" s="2" t="inlineStr">
        <is>
          <t xml:space="preserve">Role</t>
        </is>
      </c>
      <c r="F45" s="2" t="inlineStr">
        <is>
          <t xml:space="preserve">Company</t>
        </is>
      </c>
      <c r="G45" s="2" t="inlineStr">
        <is>
          <t xml:space="preserve">Topic</t>
        </is>
      </c>
      <c r="H45" s="2" t="inlineStr">
        <is>
          <t xml:space="preserve">Quote</t>
        </is>
      </c>
      <c r="I45" s="2" t="inlineStr">
        <is>
          <t xml:space="preserve">Source URL</t>
        </is>
      </c>
    </row>
    <row r="46" outlineLevel="1">
      <c r="B46" s="0" t="inlineStr">
        <is>
          <t xml:space="preserve">EXEC-01</t>
        </is>
      </c>
      <c r="C46" s="0" t="inlineStr">
        <is>
          <t xml:space="preserve">2024-11</t>
        </is>
      </c>
      <c r="D46" s="0" t="inlineStr">
        <is>
          <t xml:space="preserve">Chris Kastner</t>
        </is>
      </c>
      <c r="E46" s="0" t="inlineStr">
        <is>
          <t xml:space="preserve">CEO</t>
        </is>
      </c>
      <c r="F46" s="0" t="inlineStr">
        <is>
          <t xml:space="preserve">HII</t>
        </is>
      </c>
      <c r="G46" s="0" t="inlineStr">
        <is>
          <t xml:space="preserve">Outsourcing trajectory (direction)</t>
        </is>
      </c>
      <c r="H46" s="0" t="inlineStr">
        <is>
          <t xml:space="preserve">Yes I think there's going to be a greater percentage of our work outsourced going forward. There is a premium related to that... we will increase the industrial base and increase outsourced partners on our future contracting activity... which means you're going to outsource more, which means it costs more. So we will outsource more.</t>
        </is>
      </c>
      <c r="I46" s="0" t="inlineStr">
        <is>
          <t xml:space="preserve">HII FY2024 Q3 earnings call (Insider Monkey transcript)</t>
        </is>
      </c>
    </row>
    <row r="47" outlineLevel="1">
      <c r="B47" s="0" t="inlineStr">
        <is>
          <t xml:space="preserve">EXEC-02</t>
        </is>
      </c>
      <c r="C47" s="0" t="inlineStr">
        <is>
          <t xml:space="preserve">2025-02</t>
        </is>
      </c>
      <c r="D47" s="0" t="inlineStr">
        <is>
          <t xml:space="preserve">Chris Kastner</t>
        </is>
      </c>
      <c r="E47" s="0" t="inlineStr">
        <is>
          <t xml:space="preserve">CEO</t>
        </is>
      </c>
      <c r="F47" s="0" t="inlineStr">
        <is>
          <t xml:space="preserve">HII</t>
        </is>
      </c>
      <c r="G47" s="0" t="inlineStr">
        <is>
          <t xml:space="preserve">30% outsourcing increase is "a material number"</t>
        </is>
      </c>
      <c r="H47" s="0" t="inlineStr">
        <is>
          <t xml:space="preserve">Yeah. It's a material number. And the good news is we're outsourcing with partners that we already do outsource work with.</t>
        </is>
      </c>
      <c r="I47" s="0" t="inlineStr">
        <is>
          <t xml:space="preserve">HII FY2024 Q4 earnings call (Insider Monkey transcript) - in response to Myles Walton (Wolfe Research) saying ""a move to increase it as much as you're talking about</t>
        </is>
      </c>
    </row>
    <row r="48" outlineLevel="1">
      <c r="B48" s="0" t="inlineStr">
        <is>
          <t xml:space="preserve">EXEC-03</t>
        </is>
      </c>
      <c r="C48" s="0" t="inlineStr">
        <is>
          <t xml:space="preserve">2025-02</t>
        </is>
      </c>
      <c r="D48" s="0" t="inlineStr">
        <is>
          <t xml:space="preserve">Tom Stiehle</t>
        </is>
      </c>
      <c r="E48" s="0" t="inlineStr">
        <is>
          <t xml:space="preserve">CFO</t>
        </is>
      </c>
      <c r="F48" s="0" t="inlineStr">
        <is>
          <t xml:space="preserve">HII</t>
        </is>
      </c>
      <c r="G48" s="0" t="inlineStr">
        <is>
          <t xml:space="preserve">Outsourcing tied to 20% throughput increase</t>
        </is>
      </c>
      <c r="H48" s="0" t="inlineStr">
        <is>
          <t xml:space="preserve">We anticipate that, you know, we'll be able to execute that work. And be a significant piece of the list that we talked about, about 20% more earn throughput.</t>
        </is>
      </c>
      <c r="I48" s="0" t="inlineStr">
        <is>
          <t xml:space="preserve">HII FY2024 Q4 earnings call</t>
        </is>
      </c>
    </row>
    <row r="49" outlineLevel="1">
      <c r="B49" s="0" t="inlineStr">
        <is>
          <t xml:space="preserve">EXEC-04</t>
        </is>
      </c>
      <c r="C49" s="0" t="inlineStr">
        <is>
          <t xml:space="preserve">2025-02</t>
        </is>
      </c>
      <c r="D49" s="0" t="inlineStr">
        <is>
          <t xml:space="preserve">Chris Kastner</t>
        </is>
      </c>
      <c r="E49" s="0" t="inlineStr">
        <is>
          <t xml:space="preserve">CEO</t>
        </is>
      </c>
      <c r="F49" s="0" t="inlineStr">
        <is>
          <t xml:space="preserve">HII</t>
        </is>
      </c>
      <c r="G49" s="0" t="inlineStr">
        <is>
          <t xml:space="preserve">Anti-vertical-integration stance</t>
        </is>
      </c>
      <c r="H49" s="0" t="inlineStr">
        <is>
          <t xml:space="preserve">We have a lot of outsource partners, and I'd rather develop outsource partners and have an arms-length relationship. I really don't want to vertically integrate.</t>
        </is>
      </c>
      <c r="I49" s="0" t="inlineStr">
        <is>
          <t xml:space="preserve">HII FY2024 Q4 earnings call</t>
        </is>
      </c>
    </row>
    <row r="50" outlineLevel="1">
      <c r="B50" s="0" t="inlineStr">
        <is>
          <t xml:space="preserve">EXEC-05</t>
        </is>
      </c>
      <c r="C50" s="0" t="inlineStr">
        <is>
          <t xml:space="preserve">2025-05</t>
        </is>
      </c>
      <c r="D50" s="0" t="inlineStr">
        <is>
          <t xml:space="preserve">Myles Walton</t>
        </is>
      </c>
      <c r="E50" s="0" t="inlineStr">
        <is>
          <t xml:space="preserve">Analyst</t>
        </is>
      </c>
      <c r="F50" s="0" t="inlineStr">
        <is>
          <t xml:space="preserve">Wolfe Research</t>
        </is>
      </c>
      <c r="G50" s="0" t="inlineStr">
        <is>
          <t xml:space="preserve">Outsourcing magnitude (analyst Q)</t>
        </is>
      </c>
      <c r="H50" s="0" t="inlineStr">
        <is>
          <t xml:space="preserve">Regarding the 35% increase in outsourcing, can you comment on where you are with respect to that and sort of how the performance quality is looking from what you're outsourcing?</t>
        </is>
      </c>
      <c r="I50" s="0" t="inlineStr">
        <is>
          <t xml:space="preserve">HII FY2025 Q1 earnings call (Insider Monkey transcript)</t>
        </is>
      </c>
    </row>
    <row r="51" outlineLevel="1">
      <c r="B51" s="0" t="inlineStr">
        <is>
          <t xml:space="preserve">EXEC-06</t>
        </is>
      </c>
      <c r="C51" s="0" t="inlineStr">
        <is>
          <t xml:space="preserve">2025-05</t>
        </is>
      </c>
      <c r="D51" s="0" t="inlineStr">
        <is>
          <t xml:space="preserve">Chris Kastner</t>
        </is>
      </c>
      <c r="E51" s="0" t="inlineStr">
        <is>
          <t xml:space="preserve">CEO</t>
        </is>
      </c>
      <c r="F51" s="0" t="inlineStr">
        <is>
          <t xml:space="preserve">HII</t>
        </is>
      </c>
      <c r="G51" s="0" t="inlineStr">
        <is>
          <t xml:space="preserve">Outsourcing execution at scale</t>
        </is>
      </c>
      <c r="H51" s="0" t="inlineStr">
        <is>
          <t xml:space="preserve">We are on schedule in both yards in outsourcing for the year and the quality looks good. So, we're going to continue it. We need to. The industrial base is expanding. We need to take advantage of it.</t>
        </is>
      </c>
      <c r="I51" s="0" t="inlineStr">
        <is>
          <t xml:space="preserve">HII FY2025 Q1 earnings call</t>
        </is>
      </c>
    </row>
    <row r="52" outlineLevel="1">
      <c r="B52" s="0" t="inlineStr">
        <is>
          <t xml:space="preserve">EXEC-07</t>
        </is>
      </c>
      <c r="C52" s="0" t="inlineStr">
        <is>
          <t xml:space="preserve">2025-Q3</t>
        </is>
      </c>
      <c r="D52" s="0" t="inlineStr">
        <is>
          <t xml:space="preserve">HII Press</t>
        </is>
      </c>
      <c r="E52" s="0" t="inlineStr">
        <is>
          <t xml:space="preserve">Earnings release</t>
        </is>
      </c>
      <c r="F52" s="0" t="inlineStr">
        <is>
          <t xml:space="preserve">HII</t>
        </is>
      </c>
      <c r="G52" s="0" t="inlineStr">
        <is>
          <t xml:space="preserve">Outsourcing as revenue driver</t>
        </is>
      </c>
      <c r="H52" s="0" t="inlineStr">
        <is>
          <t xml:space="preserve">Shipbuilding Sales - $2.4 billion in shipbuilding revenue for Q3 2025, up 18% year-over-year, boosted by higher throughput, material receipts, and accelerated outsourcing.</t>
        </is>
      </c>
      <c r="I52" s="0" t="inlineStr">
        <is>
          <t xml:space="preserve">HII FY2025 Q3 earnings highlights (Motley Fool)</t>
        </is>
      </c>
    </row>
    <row r="53" outlineLevel="1">
      <c r="B53" s="0" t="inlineStr">
        <is>
          <t xml:space="preserve">EXEC-08</t>
        </is>
      </c>
      <c r="C53" s="0" t="inlineStr">
        <is>
          <t xml:space="preserve">2026-05-05</t>
        </is>
      </c>
      <c r="D53" s="0" t="inlineStr">
        <is>
          <t xml:space="preserve">Chris Kastner / HII Q1 2026</t>
        </is>
      </c>
      <c r="E53" s="0" t="inlineStr">
        <is>
          <t xml:space="preserve">CEO</t>
        </is>
      </c>
      <c r="F53" s="0" t="inlineStr">
        <is>
          <t xml:space="preserve">HII</t>
        </is>
      </c>
      <c r="G53" s="0" t="inlineStr">
        <is>
          <t xml:space="preserve">30% YoY growth in outsourcing hours (OFFICIAL 2026 GUIDANCE)</t>
        </is>
      </c>
      <c r="H53" s="0" t="inlineStr">
        <is>
          <t xml:space="preserve">We are on track to grow our outsourcing hours year-over-year by 30%, and we will continue to identify capacity expansion opportunities to meet customer program demand requirements.</t>
        </is>
      </c>
      <c r="I53" s="0" t="inlineStr">
        <is>
          <t xml:space="preserve">HII FY2026 Q1 earnings call (May 5 2026; sourced via Investing.com / Motley Fool)</t>
        </is>
      </c>
    </row>
    <row r="54" outlineLevel="1">
      <c r="B54" s="0" t="inlineStr">
        <is>
          <t xml:space="preserve">EXEC-09</t>
        </is>
      </c>
      <c r="C54" s="0" t="inlineStr">
        <is>
          <t xml:space="preserve">2026-05-05</t>
        </is>
      </c>
      <c r="D54" s="0" t="inlineStr">
        <is>
          <t xml:space="preserve">HII Q1 2026 highlights</t>
        </is>
      </c>
      <c r="E54" s="0" t="inlineStr">
        <is>
          <t xml:space="preserve">Press release</t>
        </is>
      </c>
      <c r="F54" s="0" t="inlineStr">
        <is>
          <t xml:space="preserve">HII</t>
        </is>
      </c>
      <c r="G54" s="0" t="inlineStr">
        <is>
          <t xml:space="preserve">Outsourcing as a formal operational initiative</t>
        </is>
      </c>
      <c r="H54" s="0" t="inlineStr">
        <is>
          <t xml:space="preserve">Outsourcing Hours - Expected to grow by 30% year over year, supporting capacity expansion.</t>
        </is>
      </c>
      <c r="I54" s="0" t="inlineStr">
        <is>
          <t xml:space="preserve">HII FY2026 Q1 earnings highlights (Motley Fool transcript bullet point)</t>
        </is>
      </c>
    </row>
    <row r="55" outlineLevel="1">
      <c r="B55" s="0" t="inlineStr">
        <is>
          <t xml:space="preserve">EXEC-10</t>
        </is>
      </c>
      <c r="C55" s="0" t="inlineStr">
        <is>
          <t xml:space="preserve">2026-05-05</t>
        </is>
      </c>
      <c r="D55" s="0" t="inlineStr">
        <is>
          <t xml:space="preserve">Chris Kastner</t>
        </is>
      </c>
      <c r="E55" s="0" t="inlineStr">
        <is>
          <t xml:space="preserve">CEO</t>
        </is>
      </c>
      <c r="F55" s="0" t="inlineStr">
        <is>
          <t xml:space="preserve">HII</t>
        </is>
      </c>
      <c r="G55" s="0" t="inlineStr">
        <is>
          <t xml:space="preserve">Distributed shipbuilding strategy</t>
        </is>
      </c>
      <c r="H55" s="0" t="inlineStr">
        <is>
          <t xml:space="preserve">Leveraging our distributed shipbuilding strategy [...]</t>
        </is>
      </c>
      <c r="I55" s="0" t="inlineStr">
        <is>
          <t xml:space="preserve">HII FY2026 Q1 earnings call</t>
        </is>
      </c>
    </row>
    <row r="56" outlineLevel="1">
      <c r="B56" s="0" t="inlineStr">
        <is>
          <t xml:space="preserve">EXEC-11</t>
        </is>
      </c>
      <c r="C56" s="0" t="inlineStr">
        <is>
          <t xml:space="preserve">2026-01-28</t>
        </is>
      </c>
      <c r="D56" s="0" t="inlineStr">
        <is>
          <t xml:space="preserve">Phebe Novakovic</t>
        </is>
      </c>
      <c r="E56" s="0" t="inlineStr">
        <is>
          <t xml:space="preserve">CEO</t>
        </is>
      </c>
      <c r="F56" s="0" t="inlineStr">
        <is>
          <t xml:space="preserve">General Dynamics (parent of EB)</t>
        </is>
      </c>
      <c r="G56" s="0" t="inlineStr">
        <is>
          <t xml:space="preserve">Supply chain is the gating item</t>
        </is>
      </c>
      <c r="H56" s="0" t="inlineStr">
        <is>
          <t xml:space="preserve">The supply chain remains the gating item, and we have seen significant improvement in some areas, but we still have some suppliers and parts of the supply chain that are at risk.</t>
        </is>
      </c>
      <c r="I56" s="0" t="inlineStr">
        <is>
          <t xml:space="preserve">GD FY2025 Q4 earnings call (Motley Fool transcript)</t>
        </is>
      </c>
    </row>
    <row r="57" outlineLevel="1">
      <c r="B57" s="0" t="inlineStr">
        <is>
          <t xml:space="preserve">EXEC-12</t>
        </is>
      </c>
      <c r="C57" s="0" t="inlineStr">
        <is>
          <t xml:space="preserve">2026-01-28</t>
        </is>
      </c>
      <c r="D57" s="0" t="inlineStr">
        <is>
          <t xml:space="preserve">Phebe Novakovic</t>
        </is>
      </c>
      <c r="E57" s="0" t="inlineStr">
        <is>
          <t xml:space="preserve">CEO</t>
        </is>
      </c>
      <c r="F57" s="0" t="inlineStr">
        <is>
          <t xml:space="preserve">General Dynamics</t>
        </is>
      </c>
      <c r="G57" s="0" t="inlineStr">
        <is>
          <t xml:space="preserve">Sole-source bottleneck</t>
        </is>
      </c>
      <c r="H57" s="0" t="inlineStr">
        <is>
          <t xml:space="preserve">Sole source suppliers where they are bottlenecks (identified as key constraint).</t>
        </is>
      </c>
      <c r="I57" s="0" t="inlineStr">
        <is>
          <t xml:space="preserve">GD FY2025 Q4 earnings call (Motley Fool)</t>
        </is>
      </c>
    </row>
    <row r="58" outlineLevel="1">
      <c r="B58" s="0" t="inlineStr">
        <is>
          <t xml:space="preserve">EXEC-13</t>
        </is>
      </c>
      <c r="C58" s="0" t="inlineStr">
        <is>
          <t xml:space="preserve">2026-01-28</t>
        </is>
      </c>
      <c r="D58" s="0" t="inlineStr">
        <is>
          <t xml:space="preserve">Phebe Novakovic</t>
        </is>
      </c>
      <c r="E58" s="0" t="inlineStr">
        <is>
          <t xml:space="preserve">CEO</t>
        </is>
      </c>
      <c r="F58" s="0" t="inlineStr">
        <is>
          <t xml:space="preserve">General Dynamics</t>
        </is>
      </c>
      <c r="G58" s="0" t="inlineStr">
        <is>
          <t xml:space="preserve">Capital allocation tilt to EB</t>
        </is>
      </c>
      <c r="H58" s="0" t="inlineStr">
        <is>
          <t xml:space="preserve">Half at least of the CapEx for this coming year is at Electric Boat.</t>
        </is>
      </c>
      <c r="I58" s="0" t="inlineStr">
        <is>
          <t xml:space="preserve">GD FY2025 Q4 earnings call</t>
        </is>
      </c>
    </row>
    <row r="59" outlineLevel="1">
      <c r="B59" s="0" t="inlineStr">
        <is>
          <t xml:space="preserve">EXEC-14</t>
        </is>
      </c>
      <c r="C59" s="0" t="inlineStr">
        <is>
          <t xml:space="preserve">2026-04-29</t>
        </is>
      </c>
      <c r="D59" s="0" t="inlineStr">
        <is>
          <t xml:space="preserve">Danny Deep</t>
        </is>
      </c>
      <c r="E59" s="0" t="inlineStr">
        <is>
          <t xml:space="preserve">President/COO</t>
        </is>
      </c>
      <c r="F59" s="0" t="inlineStr">
        <is>
          <t xml:space="preserve">General Dynamics</t>
        </is>
      </c>
      <c r="G59" s="0" t="inlineStr">
        <is>
          <t xml:space="preserve">Single-source supplier bottlenecks</t>
        </is>
      </c>
      <c r="H59" s="0" t="inlineStr">
        <is>
          <t xml:space="preserve">We still see some areas in the supply chain where we need to get the cadence up, and those problems tend to be where we have complex components or complex systems where there are just single sources of supply.</t>
        </is>
      </c>
      <c r="I59" s="0" t="inlineStr">
        <is>
          <t xml:space="preserve">GD FY2026 Q1 earnings call (Motley Fool / Globe and Mail)</t>
        </is>
      </c>
    </row>
    <row r="60" outlineLevel="1">
      <c r="B60" s="0" t="inlineStr">
        <is>
          <t xml:space="preserve">EXEC-15</t>
        </is>
      </c>
      <c r="C60" s="0" t="inlineStr">
        <is>
          <t xml:space="preserve">2026-04-29</t>
        </is>
      </c>
      <c r="D60" s="0" t="inlineStr">
        <is>
          <t xml:space="preserve">Danny Deep</t>
        </is>
      </c>
      <c r="E60" s="0" t="inlineStr">
        <is>
          <t xml:space="preserve">President/COO</t>
        </is>
      </c>
      <c r="F60" s="0" t="inlineStr">
        <is>
          <t xml:space="preserve">General Dynamics</t>
        </is>
      </c>
      <c r="G60" s="0" t="inlineStr">
        <is>
          <t xml:space="preserve">Columbia progress</t>
        </is>
      </c>
      <c r="H60" s="0" t="inlineStr">
        <is>
          <t xml:space="preserve">At Electric Boat on the Columbia program, we have seen a 29% increase in the number of hours earned as compared to first quarter 2025.</t>
        </is>
      </c>
      <c r="I60" s="0" t="inlineStr">
        <is>
          <t xml:space="preserve">GD FY2026 Q1 earnings call</t>
        </is>
      </c>
    </row>
    <row r="61" outlineLevel="1">
      <c r="B61" s="0" t="inlineStr">
        <is>
          <t xml:space="preserve">EXEC-16</t>
        </is>
      </c>
      <c r="C61" s="0" t="inlineStr">
        <is>
          <t xml:space="preserve">2026-04-29</t>
        </is>
      </c>
      <c r="D61" s="0" t="inlineStr">
        <is>
          <t xml:space="preserve">Danny Deep</t>
        </is>
      </c>
      <c r="E61" s="0" t="inlineStr">
        <is>
          <t xml:space="preserve">President/COO</t>
        </is>
      </c>
      <c r="F61" s="0" t="inlineStr">
        <is>
          <t xml:space="preserve">General Dynamics</t>
        </is>
      </c>
      <c r="G61" s="0" t="inlineStr">
        <is>
          <t xml:space="preserve">Sequence critical material throughput</t>
        </is>
      </c>
      <c r="H61" s="0" t="inlineStr">
        <is>
          <t xml:space="preserve">For sequence critical material, we have seen a 52% increase in the number of items received as compared to this time period last year.</t>
        </is>
      </c>
      <c r="I61" s="0" t="inlineStr">
        <is>
          <t xml:space="preserve">GD FY2026 Q1 earnings call</t>
        </is>
      </c>
    </row>
    <row r="62" outlineLevel="1">
      <c r="B62" s="0" t="inlineStr">
        <is>
          <t xml:space="preserve">EXEC-17</t>
        </is>
      </c>
      <c r="C62" s="0" t="inlineStr">
        <is>
          <t xml:space="preserve">2025-Q3</t>
        </is>
      </c>
      <c r="D62" s="0" t="inlineStr">
        <is>
          <t xml:space="preserve">Phebe Novakovic</t>
        </is>
      </c>
      <c r="E62" s="0" t="inlineStr">
        <is>
          <t xml:space="preserve">CEO</t>
        </is>
      </c>
      <c r="F62" s="0" t="inlineStr">
        <is>
          <t xml:space="preserve">General Dynamics</t>
        </is>
      </c>
      <c r="G62" s="0" t="inlineStr">
        <is>
          <t xml:space="preserve">EB tonnage growth</t>
        </is>
      </c>
      <c r="H62" s="0" t="inlineStr">
        <is>
          <t xml:space="preserve">Electric Boat was up 13% in submarine tonnage produced over the prior year.</t>
        </is>
      </c>
      <c r="I62" s="0" t="inlineStr">
        <is>
          <t xml:space="preserve">GD FY2025 Q3 earnings call (Investing.com summary)</t>
        </is>
      </c>
    </row>
    <row r="63" outlineLevel="1">
      <c r="B63" s="0" t="inlineStr">
        <is>
          <t xml:space="preserve">EXEC-18</t>
        </is>
      </c>
      <c r="C63" s="0" t="inlineStr">
        <is>
          <t xml:space="preserve">2026-05-12</t>
        </is>
      </c>
      <c r="D63" s="0" t="inlineStr">
        <is>
          <t xml:space="preserve">US Navy</t>
        </is>
      </c>
      <c r="E63" s="0" t="inlineStr">
        <is>
          <t xml:space="preserve">Official policy</t>
        </is>
      </c>
      <c r="F63" s="0" t="inlineStr">
        <is>
          <t xml:space="preserve">Department of the Navy</t>
        </is>
      </c>
      <c r="G63" s="0" t="inlineStr">
        <is>
          <t xml:space="preserve">Distributed shipbuilding: 10% → 50% (5x target)</t>
        </is>
      </c>
      <c r="H63" s="0" t="inlineStr">
        <is>
          <t xml:space="preserve">Currently only 10% of shipbuilding occurs at distributed sites. The Navy aims to increase this to 50% to enhance flexibility, reduce legacy shipyard dependency, and accelerate delivery timelines.</t>
        </is>
      </c>
      <c r="I63" s="0" t="inlineStr">
        <is>
          <t xml:space="preserve">Navy Times reporting on US Navy FY27 Shipbuilding Plan / "Golden Fleet" announcement (May 12, 2026)</t>
        </is>
      </c>
    </row>
    <row r="64" outlineLevel="1">
      <c r="B64" s="0" t="inlineStr">
        <is>
          <t xml:space="preserve">EXEC-19</t>
        </is>
      </c>
      <c r="C64" s="0" t="inlineStr">
        <is>
          <t xml:space="preserve">2026-05-12</t>
        </is>
      </c>
      <c r="D64" s="0" t="inlineStr">
        <is>
          <t xml:space="preserve">US Navy FY27 Plan</t>
        </is>
      </c>
      <c r="E64" s="0" t="inlineStr">
        <is>
          <t xml:space="preserve">Official policy</t>
        </is>
      </c>
      <c r="F64" s="0" t="inlineStr">
        <is>
          <t xml:space="preserve">Department of the Navy</t>
        </is>
      </c>
      <c r="G64" s="0" t="inlineStr">
        <is>
          <t xml:space="preserve">Overseas/allied shipbuilding</t>
        </is>
      </c>
      <c r="H64" s="0" t="inlineStr">
        <is>
          <t xml:space="preserve">While American shipbuilding remains the priority, the Navy will evaluate overseas options and whether allied and partner shipbuilding can supplement domestic production if U.S. industry cannot meet required timelines.</t>
        </is>
      </c>
      <c r="I64" s="0" t="inlineStr">
        <is>
          <t xml:space="preserve">US Navy FY27 Shipbuilding Plan (Navy Times May 12 2026)</t>
        </is>
      </c>
    </row>
    <row r="65" outlineLevel="1">
      <c r="B65" s="0" t="inlineStr">
        <is>
          <t xml:space="preserve">EXEC-20</t>
        </is>
      </c>
      <c r="C65" s="0" t="inlineStr">
        <is>
          <t xml:space="preserve">2026-05-13</t>
        </is>
      </c>
      <c r="D65" s="0" t="inlineStr">
        <is>
          <t xml:space="preserve">US Navy ""Golden Fleet"" Plan</t>
        </is>
      </c>
      <c r="E65" s="0" t="inlineStr">
        <is>
          <t xml:space="preserve">Official policy</t>
        </is>
      </c>
      <c r="F65" s="0" t="inlineStr">
        <is>
          <t xml:space="preserve">Department of the Navy</t>
        </is>
      </c>
      <c r="G65" s="0" t="inlineStr">
        <is>
          <t xml:space="preserve">Sub IB investment plus distributed manufacturing</t>
        </is>
      </c>
      <c r="H65" s="0" t="inlineStr">
        <is>
          <t xml:space="preserve">To invest more than $6.2 billion specifically to expand and stabilize the submarine industrial base through workforce development, supplier expansion, distributed shipbuilding, advanced manufacturing technologies, and productivity modernization programs.</t>
        </is>
      </c>
      <c r="I65" s="0" t="inlineStr">
        <is>
          <t xml:space="preserve">Army Recognition / Defense Post coverage of Navy 30-year plan (May 12-13, 2026)</t>
        </is>
      </c>
    </row>
    <row r="66" outlineLevel="1">
      <c r="B66" s="0" t="inlineStr">
        <is>
          <t xml:space="preserve">EXEC-21</t>
        </is>
      </c>
      <c r="C66" s="0" t="inlineStr">
        <is>
          <t xml:space="preserve">2026-05-06</t>
        </is>
      </c>
      <c r="D66" s="0" t="inlineStr">
        <is>
          <t xml:space="preserve">AML3D / BlueForge</t>
        </is>
      </c>
      <c r="E66" s="0" t="inlineStr">
        <is>
          <t xml:space="preserve">Press release</t>
        </is>
      </c>
      <c r="F66" s="0" t="inlineStr">
        <is>
          <t xml:space="preserve">AML3D</t>
        </is>
      </c>
      <c r="G66" s="0" t="inlineStr">
        <is>
          <t xml:space="preserve">BlueForge concrete supplier example</t>
        </is>
      </c>
      <c r="H66" s="0" t="inlineStr">
        <is>
          <t xml:space="preserve">AML3D received a ~AU$2.61 million order from BlueForge Alliance for five replacement components for US Navy submarines, utilising ARCEMY 3D metal printing.</t>
        </is>
      </c>
      <c r="I66" s="0" t="inlineStr">
        <is>
          <t xml:space="preserve">Small Caps reporting on AML3D contract (May 6, 2026)</t>
        </is>
      </c>
    </row>
    <row r="69">
      <c r="A69" s="0" t="inlineStr">
        <is>
          <t xml:space="preserve">x</t>
        </is>
      </c>
      <c r="B69" s="9" t="inlineStr">
        <is>
          <t xml:space="preserve">§3 - Citation completeness</t>
        </is>
      </c>
      <c r="C69" s="9"/>
      <c r="D69" s="9"/>
      <c r="E69" s="9"/>
      <c r="F69" s="9"/>
      <c r="G69" s="9"/>
      <c r="H69" s="9"/>
      <c r="I69" s="9"/>
      <c r="J69" s="9"/>
    </row>
    <row r="71">
      <c r="B71" s="2" t="inlineStr">
        <is>
          <t xml:space="preserve">Citation family</t>
        </is>
      </c>
      <c r="C71" s="22" t="inlineStr">
        <is>
          <t xml:space="preserve">Count</t>
        </is>
      </c>
      <c r="D71" s="22" t="inlineStr">
        <is>
          <t xml:space="preserve">Missing URL count</t>
        </is>
      </c>
      <c r="E71" s="2" t="inlineStr">
        <is>
          <t xml:space="preserve">Notes</t>
        </is>
      </c>
    </row>
    <row r="72" outlineLevel="1">
      <c r="B72" s="0" t="inlineStr">
        <is>
          <t xml:space="preserve">Primary-source claims</t>
        </is>
      </c>
      <c r="C72" s="0">
        <v>34</v>
      </c>
      <c r="D72" s="0">
        <v>0</v>
      </c>
      <c r="E72" s="0" t="inlineStr">
        <is>
          <t xml:space="preserve">industry-baseline anchors</t>
        </is>
      </c>
    </row>
    <row r="73" outlineLevel="1">
      <c r="B73" s="0" t="inlineStr">
        <is>
          <t xml:space="preserve">Executive commentary</t>
        </is>
      </c>
      <c r="C73" s="0">
        <v>21</v>
      </c>
      <c r="D73" s="0">
        <v>0</v>
      </c>
      <c r="E73" s="0" t="inlineStr">
        <is>
          <t xml:space="preserve">strategy signal, not sizing</t>
        </is>
      </c>
    </row>
    <row r="74" outlineLevel="1">
      <c r="B74" s="0" t="inlineStr">
        <is>
          <t xml:space="preserve">Budget exhibits</t>
        </is>
      </c>
      <c r="C74" s="0">
        <v>5</v>
      </c>
      <c r="D74" s="0">
        <v>0</v>
      </c>
      <c r="E74" s="0" t="inlineStr">
        <is>
          <t xml:space="preserve">see Source Index</t>
        </is>
      </c>
    </row>
    <row r="75" outlineLevel="1">
      <c r="B75" s="0" t="inlineStr">
        <is>
          <t xml:space="preserve">Methodology documents</t>
        </is>
      </c>
      <c r="C75" s="0">
        <v>4</v>
      </c>
      <c r="D75" s="0">
        <v>0</v>
      </c>
      <c r="E75" s="0" t="inlineStr">
        <is>
          <t xml:space="preserve">see Source Index</t>
        </is>
      </c>
    </row>
  </sheetData>
  <tableParts count="2">
    <tablePart r:id="rId1"/>
    <tablePart r:id="rId2"/>
  </tableParts>
</worksheet>
</file>

<file path=xl/worksheets/sheet40.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36" customWidth="1"/>
    <col min="3" max="3" width="10" customWidth="1"/>
    <col min="4" max="4" width="32" customWidth="1"/>
    <col min="5" max="5" width="26" customWidth="1"/>
    <col min="6" max="6" width="14" customWidth="1"/>
  </cols>
  <sheetData>
    <row r="1"/>
    <row r="2">
      <c r="B2" s="8" t="inlineStr">
        <is>
          <t xml:space="preserve">DDG Source Index</t>
        </is>
      </c>
      <c r="C2" s="8"/>
      <c r="D2" s="8"/>
      <c r="E2" s="8"/>
      <c r="F2" s="8"/>
    </row>
    <row r="4">
      <c r="A4" s="0" t="inlineStr">
        <is>
          <t xml:space="preserve">x</t>
        </is>
      </c>
      <c r="B4" s="9" t="inlineStr">
        <is>
          <t xml:space="preserve">§1 - Extracted datasets and their consuming tabs</t>
        </is>
      </c>
      <c r="C4" s="9"/>
      <c r="D4" s="9"/>
      <c r="E4" s="9"/>
      <c r="F4" s="9"/>
    </row>
    <row r="6">
      <c r="B6" s="2" t="inlineStr">
        <is>
          <t xml:space="preserve">Dataset (extracted/)</t>
        </is>
      </c>
      <c r="C6" s="2" t="inlineStr">
        <is>
          <t xml:space="preserve">Rows</t>
        </is>
      </c>
      <c r="D6" s="2" t="inlineStr">
        <is>
          <t xml:space="preserve">Key fields</t>
        </is>
      </c>
      <c r="E6" s="2" t="inlineStr">
        <is>
          <t xml:space="preserve">Consumed by (tab)</t>
        </is>
      </c>
      <c r="F6" s="2" t="inlineStr">
        <is>
          <t xml:space="preserve">Retrieval</t>
        </is>
      </c>
    </row>
    <row r="7" outlineLevel="1">
      <c r="B7" s="0" t="inlineStr">
        <is>
          <t xml:space="preserve">scn_li_cost_categories.csv</t>
        </is>
      </c>
      <c r="C7" s="0" t="inlineStr">
        <is>
          <t xml:space="preserve">9</t>
        </is>
      </c>
      <c r="D7" s="0" t="inlineStr">
        <is>
          <t xml:space="preserve">LI, cost category, FY values</t>
        </is>
      </c>
      <c r="E7" s="0" t="inlineStr">
        <is>
          <t xml:space="preserve">SCN Budget</t>
        </is>
      </c>
      <c r="F7" s="0" t="inlineStr">
        <is>
          <t xml:space="preserve">FY22-27 PB (reconciled)</t>
        </is>
      </c>
    </row>
    <row r="8" outlineLevel="1">
      <c r="B8" s="0" t="inlineStr">
        <is>
          <t xml:space="preserve">scn_li_production_schedule.csv</t>
        </is>
      </c>
      <c r="C8" s="0" t="inlineStr">
        <is>
          <t xml:space="preserve">31</t>
        </is>
      </c>
      <c r="D8" s="0" t="inlineStr">
        <is>
          <t xml:space="preserve">ship, shipbuilder, FY, award/start/delivery</t>
        </is>
      </c>
      <c r="E8" s="0" t="inlineStr">
        <is>
          <t xml:space="preserve">Production Schedule</t>
        </is>
      </c>
      <c r="F8" s="0" t="inlineStr">
        <is>
          <t xml:space="preserve">FY27 PB</t>
        </is>
      </c>
    </row>
    <row r="9" outlineLevel="1">
      <c r="B9" s="0" t="inlineStr">
        <is>
          <t xml:space="preserve">scn_li_resource_summary.csv</t>
        </is>
      </c>
      <c r="C9" s="0" t="inlineStr">
        <is>
          <t xml:space="preserve">21</t>
        </is>
      </c>
      <c r="D9" s="0" t="inlineStr">
        <is>
          <t xml:space="preserve">row label, prior/FY/to-complete/total</t>
        </is>
      </c>
      <c r="E9" s="0" t="inlineStr">
        <is>
          <t xml:space="preserve">AP Bridge / TAM Build / FYDP Outyears / Outlook</t>
        </is>
      </c>
      <c r="F9" s="0" t="inlineStr">
        <is>
          <t xml:space="preserve">FY27 PB</t>
        </is>
      </c>
    </row>
    <row r="10" outlineLevel="1">
      <c r="B10" s="0" t="inlineStr">
        <is>
          <t xml:space="preserve">dod_announcement_pop.csv</t>
        </is>
      </c>
      <c r="C10" s="0" t="inlineStr">
        <is>
          <t xml:space="preserve">860</t>
        </is>
      </c>
      <c r="D10" s="0" t="inlineStr">
        <is>
          <t xml:space="preserve">piid, amount, prime, pop_*_pct, work_type, gate</t>
        </is>
      </c>
      <c r="E10" s="0" t="inlineStr">
        <is>
          <t xml:space="preserve">POP Corpus</t>
        </is>
      </c>
      <c r="F10" s="0" t="inlineStr">
        <is>
          <t xml:space="preserve">CY22-26</t>
        </is>
      </c>
    </row>
    <row r="11" outlineLevel="1">
      <c r="B11" s="0" t="inlineStr">
        <is>
          <t xml:space="preserve">dod_action_pop_by_worktype.csv</t>
        </is>
      </c>
      <c r="C11" s="0" t="inlineStr">
        <is>
          <t xml:space="preserve">36</t>
        </is>
      </c>
      <c r="D11" s="0" t="inlineStr">
        <is>
          <t xml:space="preserve">program, work_type, n, $, pop_*_pct_w</t>
        </is>
      </c>
      <c r="E11" s="0" t="inlineStr">
        <is>
          <t xml:space="preserve">POP Corpus</t>
        </is>
      </c>
      <c r="F11" s="0" t="inlineStr">
        <is>
          <t xml:space="preserve">CY22-26</t>
        </is>
      </c>
    </row>
    <row r="12" outlineLevel="1">
      <c r="B12" s="0" t="inlineStr">
        <is>
          <t xml:space="preserve">nc_records_long.csv</t>
        </is>
      </c>
      <c r="C12" s="0" t="inlineStr">
        <is>
          <t xml:space="preserve">22,867</t>
        </is>
      </c>
      <c r="D12" s="0" t="inlineStr">
        <is>
          <t xml:space="preserve">piid, fy, subAwardAmount, sub_name, description</t>
        </is>
      </c>
      <c r="E12" s="0" t="inlineStr">
        <is>
          <t xml:space="preserve">SAM Build / Entities</t>
        </is>
      </c>
      <c r="F12" s="0" t="inlineStr">
        <is>
          <t xml:space="preserve">FY17-26</t>
        </is>
      </c>
    </row>
    <row r="13" outlineLevel="1">
      <c r="B13" s="0" t="inlineStr">
        <is>
          <t xml:space="preserve">nc_annual_by_piid.csv</t>
        </is>
      </c>
      <c r="C13" s="0" t="inlineStr">
        <is>
          <t xml:space="preserve">16</t>
        </is>
      </c>
      <c r="D13" s="0" t="inlineStr">
        <is>
          <t xml:space="preserve">FY x PIID ($M + count)</t>
        </is>
      </c>
      <c r="E13" s="0" t="inlineStr">
        <is>
          <t xml:space="preserve">SAM Build</t>
        </is>
      </c>
      <c r="F13" s="0" t="inlineStr">
        <is>
          <t xml:space="preserve">FY17-26</t>
        </is>
      </c>
    </row>
    <row r="14" outlineLevel="1">
      <c r="B14" s="0" t="inlineStr">
        <is>
          <t xml:space="preserve">nc_annual_by_vendor.csv</t>
        </is>
      </c>
      <c r="C14" s="0" t="inlineStr">
        <is>
          <t xml:space="preserve">4,323</t>
        </is>
      </c>
      <c r="D14" s="0" t="inlineStr">
        <is>
          <t xml:space="preserve">fy, uei, vendor, amount_M</t>
        </is>
      </c>
      <c r="E14" s="0" t="inlineStr">
        <is>
          <t xml:space="preserve">Vendors</t>
        </is>
      </c>
      <c r="F14" s="0" t="inlineStr">
        <is>
          <t xml:space="preserve">FY17-26</t>
        </is>
      </c>
    </row>
    <row r="15" outlineLevel="1">
      <c r="B15" s="0" t="inlineStr">
        <is>
          <t xml:space="preserve">nc_lifetime_vendors.csv</t>
        </is>
      </c>
      <c r="C15" s="0" t="inlineStr">
        <is>
          <t xml:space="preserve">1,555</t>
        </is>
      </c>
      <c r="D15" s="0" t="inlineStr">
        <is>
          <t xml:space="preserve">rank, uei, vendor, amount_M_lifetime, piids</t>
        </is>
      </c>
      <c r="E15" s="0" t="inlineStr">
        <is>
          <t xml:space="preserve">Vendors / Entities / Locations</t>
        </is>
      </c>
      <c r="F15" s="0" t="inlineStr">
        <is>
          <t xml:space="preserve">2026</t>
        </is>
      </c>
    </row>
    <row r="16" outlineLevel="1">
      <c r="B16" s="0" t="inlineStr">
        <is>
          <t xml:space="preserve">entity_naics_lookup.csv</t>
        </is>
      </c>
      <c r="C16" s="0" t="inlineStr">
        <is>
          <t xml:space="preserve">151</t>
        </is>
      </c>
      <c r="D16" s="0" t="inlineStr">
        <is>
          <t xml:space="preserve">uei, vendor, primary_naics, naics_4digit, country</t>
        </is>
      </c>
      <c r="E16" s="0" t="inlineStr">
        <is>
          <t xml:space="preserve">Entities</t>
        </is>
      </c>
      <c r="F16" s="0" t="inlineStr">
        <is>
          <t xml:space="preserve">2026</t>
        </is>
      </c>
    </row>
    <row r="17" outlineLevel="1">
      <c r="B17" s="0" t="inlineStr">
        <is>
          <t xml:space="preserve">fpds_annual_by_prime.csv</t>
        </is>
      </c>
      <c r="C17" s="0" t="inlineStr">
        <is>
          <t xml:space="preserve">10</t>
        </is>
      </c>
      <c r="D17" s="0" t="inlineStr">
        <is>
          <t xml:space="preserve">FY x vendor-group ($M + piid_count)</t>
        </is>
      </c>
      <c r="E17" s="0" t="inlineStr">
        <is>
          <t xml:space="preserve">FPDS Primes</t>
        </is>
      </c>
      <c r="F17" s="0" t="inlineStr">
        <is>
          <t xml:space="preserve">FY17-26</t>
        </is>
      </c>
    </row>
    <row r="18" outlineLevel="1">
      <c r="B18" s="0" t="inlineStr">
        <is>
          <t xml:space="preserve">fpds_raw_v2/ (BIW, Rolls-Royce JSON)</t>
        </is>
      </c>
      <c r="C18" s="0" t="inlineStr">
        <is>
          <t xml:space="preserve">33,798</t>
        </is>
      </c>
      <c r="D18" s="0" t="inlineStr">
        <is>
          <t xml:space="preserve">obligatedAmount, piid, dates</t>
        </is>
      </c>
      <c r="E18" s="0" t="inlineStr">
        <is>
          <t xml:space="preserve">FPDS Primes / TAM Build</t>
        </is>
      </c>
      <c r="F18" s="0" t="inlineStr">
        <is>
          <t xml:space="preserve">2026</t>
        </is>
      </c>
    </row>
    <row r="19" outlineLevel="1">
      <c r="B19" s="0" t="inlineStr">
        <is>
          <t xml:space="preserve">nc_scope_summary.json + _discovered_piids.csv</t>
        </is>
      </c>
      <c r="C19" s="0" t="inlineStr">
        <is>
          <t xml:space="preserve">397 / 118</t>
        </is>
      </c>
      <c r="D19" s="0" t="inlineStr">
        <is>
          <t xml:space="preserve">piid, group, class, label</t>
        </is>
      </c>
      <c r="E19" s="0" t="inlineStr">
        <is>
          <t xml:space="preserve">Scope Exclusions</t>
        </is>
      </c>
      <c r="F19" s="0" t="inlineStr">
        <is>
          <t xml:space="preserve">2026</t>
        </is>
      </c>
    </row>
    <row r="20" outlineLevel="1">
      <c r="B20" s="0" t="inlineStr">
        <is>
          <t xml:space="preserve">cost_funnel_summary.csv</t>
        </is>
      </c>
      <c r="C20" s="0" t="inlineStr">
        <is>
          <t xml:space="preserve">13 / 106</t>
        </is>
      </c>
      <c r="D20" s="0" t="inlineStr">
        <is>
          <t xml:space="preserve">LI, FY, basic_construction_$M, band</t>
        </is>
      </c>
      <c r="E20" s="0" t="inlineStr">
        <is>
          <t xml:space="preserve">SCN Budget</t>
        </is>
      </c>
      <c r="F20" s="0" t="inlineStr">
        <is>
          <t xml:space="preserve">FY27 PB</t>
        </is>
      </c>
    </row>
    <row r="21" outlineLevel="1">
      <c r="B21" s="0" t="inlineStr">
        <is>
          <t xml:space="preserve">obbba_ddg_mandatory.csv</t>
        </is>
      </c>
      <c r="C21" s="0" t="inlineStr">
        <is>
          <t xml:space="preserve">36</t>
        </is>
      </c>
      <c r="D21" s="0" t="inlineStr">
        <is>
          <t xml:space="preserve">section, line, item, fy2026_$M, included, category</t>
        </is>
      </c>
      <c r="E21" s="0" t="inlineStr">
        <is>
          <t xml:space="preserve">OBBBA Mandatory / TAM Build</t>
        </is>
      </c>
      <c r="F21" s="0" t="inlineStr">
        <is>
          <t xml:space="preserve">Mandatory Funding Allocation Plan a/o 2026-02-18</t>
        </is>
      </c>
    </row>
    <row r="22" outlineLevel="1">
      <c r="B22" s="0" t="inlineStr">
        <is>
          <t xml:space="preserve">sam_subaward_annual_by_prime.csv</t>
        </is>
      </c>
      <c r="C22" s="0" t="inlineStr">
        <is>
          <t xml:space="preserve">16</t>
        </is>
      </c>
      <c r="D22" s="0" t="inlineStr">
        <is>
          <t xml:space="preserve">FY x PIID ($M + count)</t>
        </is>
      </c>
      <c r="E22" s="0" t="inlineStr">
        <is>
          <t xml:space="preserve">SAM Build</t>
        </is>
      </c>
      <c r="F22" s="0" t="inlineStr">
        <is>
          <t xml:space="preserve">FY17-26</t>
        </is>
      </c>
    </row>
    <row r="23" outlineLevel="1">
      <c r="B23" s="0" t="inlineStr">
        <is>
          <t xml:space="preserve">exec_quotes_outsourcing.csv</t>
        </is>
      </c>
      <c r="C23" s="0" t="inlineStr">
        <is>
          <t xml:space="preserve">241</t>
        </is>
      </c>
      <c r="D23" s="0" t="inlineStr">
        <is>
          <t xml:space="preserve">company, fy, speaker, matched_phrase</t>
        </is>
      </c>
      <c r="E23" s="0" t="inlineStr">
        <is>
          <t xml:space="preserve">References</t>
        </is>
      </c>
      <c r="F23" s="0" t="inlineStr">
        <is>
          <t xml:space="preserve">FY19-26</t>
        </is>
      </c>
    </row>
    <row r="24" outlineLevel="1">
      <c r="B24" s="0" t="inlineStr">
        <is>
          <t xml:space="preserve">edgar_research/ (HII, GD filings)</t>
        </is>
      </c>
      <c r="C24" s="0" t="inlineStr">
        <is>
          <t xml:space="preserve">n/a</t>
        </is>
      </c>
      <c r="D24" s="0" t="inlineStr">
        <is>
          <t xml:space="preserve">segment revenue, backlog</t>
        </is>
      </c>
      <c r="E24" s="0" t="inlineStr">
        <is>
          <t xml:space="preserve">References</t>
        </is>
      </c>
      <c r="F24" s="0" t="inlineStr">
        <is>
          <t xml:space="preserve">FY19-25</t>
        </is>
      </c>
    </row>
    <row r="27">
      <c r="A27" s="0" t="inlineStr">
        <is>
          <t xml:space="preserve">x</t>
        </is>
      </c>
      <c r="B27" s="9" t="inlineStr">
        <is>
          <t xml:space="preserve">§2 - Consumers by model area</t>
        </is>
      </c>
      <c r="C27" s="9"/>
      <c r="D27" s="9"/>
      <c r="E27" s="9"/>
      <c r="F27" s="9"/>
    </row>
    <row r="29">
      <c r="B29" s="2" t="inlineStr">
        <is>
          <t xml:space="preserve">Model area</t>
        </is>
      </c>
      <c r="C29" s="2" t="inlineStr">
        <is>
          <t xml:space="preserve">Primary datasets</t>
        </is>
      </c>
      <c r="D29" s="2"/>
      <c r="E29" s="2"/>
      <c r="F29" s="2"/>
    </row>
    <row r="30" outlineLevel="1">
      <c r="B30" s="0" t="inlineStr">
        <is>
          <t xml:space="preserve">Budget</t>
        </is>
      </c>
      <c r="C30" s="0" t="inlineStr">
        <is>
          <t xml:space="preserve">scn_li_cost_categories, scn_li_resource_summary, cost_funnel_summary, obbba_ddg_mandatory</t>
        </is>
      </c>
    </row>
    <row r="31" outlineLevel="1">
      <c r="B31" s="0" t="inlineStr">
        <is>
          <t xml:space="preserve">POP</t>
        </is>
      </c>
      <c r="C31" s="0" t="inlineStr">
        <is>
          <t xml:space="preserve">dod_announcement_pop, dod_action_pop_by_worktype</t>
        </is>
      </c>
    </row>
    <row r="32" outlineLevel="1">
      <c r="B32" s="0" t="inlineStr">
        <is>
          <t xml:space="preserve">Suppliers</t>
        </is>
      </c>
      <c r="C32" s="0" t="inlineStr">
        <is>
          <t xml:space="preserve">entity_naics_lookup, nc_lifetime_vendors, fpds_annual_by_prime, fpds_raw_v2</t>
        </is>
      </c>
    </row>
    <row r="33" outlineLevel="1">
      <c r="B33" s="0" t="inlineStr">
        <is>
          <t xml:space="preserve">SAM</t>
        </is>
      </c>
      <c r="C33" s="0" t="inlineStr">
        <is>
          <t xml:space="preserve">nc_records_long, nc_annual_by_piid, sam_subaward_annual_by_prime</t>
        </is>
      </c>
    </row>
    <row r="34" outlineLevel="1">
      <c r="B34" s="0" t="inlineStr">
        <is>
          <t xml:space="preserve">Validation</t>
        </is>
      </c>
      <c r="C34" s="0" t="inlineStr">
        <is>
          <t xml:space="preserve">nc_scope_summary, _discovered_piids</t>
        </is>
      </c>
    </row>
    <row r="35" outlineLevel="1">
      <c r="B35" s="0" t="inlineStr">
        <is>
          <t xml:space="preserve">References</t>
        </is>
      </c>
      <c r="C35" s="0" t="inlineStr">
        <is>
          <t xml:space="preserve">exec_quotes_outsourcing, edgar_research</t>
        </is>
      </c>
    </row>
  </sheetData>
  <tableParts count="1">
    <tablePart r:id="rId1"/>
  </tableParts>
</worksheet>
</file>

<file path=xl/worksheets/sheet41.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14" customWidth="1"/>
    <col min="3" max="3" width="36" customWidth="1"/>
    <col min="4" max="4" width="24" customWidth="1"/>
    <col min="5" max="5" width="12" customWidth="1"/>
    <col min="6" max="6" width="26" customWidth="1"/>
    <col min="7" max="7" width="40" customWidth="1"/>
  </cols>
  <sheetData>
    <row r="1"/>
    <row r="2">
      <c r="B2" s="8" t="inlineStr">
        <is>
          <t xml:space="preserve">DDG References</t>
        </is>
      </c>
      <c r="C2" s="8"/>
      <c r="D2" s="8"/>
      <c r="E2" s="8"/>
      <c r="F2" s="8"/>
      <c r="G2" s="8"/>
    </row>
    <row r="4">
      <c r="A4" s="0" t="inlineStr">
        <is>
          <t xml:space="preserve">x</t>
        </is>
      </c>
      <c r="B4" s="9" t="inlineStr">
        <is>
          <t xml:space="preserve">§1 - Primary sources &amp; data pulls</t>
        </is>
      </c>
      <c r="C4" s="9"/>
      <c r="D4" s="9"/>
      <c r="E4" s="9"/>
      <c r="F4" s="9"/>
      <c r="G4" s="9"/>
    </row>
    <row r="6">
      <c r="B6" s="2" t="inlineStr">
        <is>
          <t xml:space="preserve">Source ID</t>
        </is>
      </c>
      <c r="C6" s="2" t="inlineStr">
        <is>
          <t xml:space="preserve">Document / dataset</t>
        </is>
      </c>
      <c r="D6" s="2" t="inlineStr">
        <is>
          <t xml:space="preserve">Type</t>
        </is>
      </c>
      <c r="E6" s="2" t="inlineStr">
        <is>
          <t xml:space="preserve">Date</t>
        </is>
      </c>
      <c r="F6" s="2" t="inlineStr">
        <is>
          <t xml:space="preserve">Location / reference</t>
        </is>
      </c>
      <c r="G6" s="2" t="inlineStr">
        <is>
          <t xml:space="preserve">Context note</t>
        </is>
      </c>
    </row>
    <row r="7" outlineLevel="1">
      <c r="B7" s="0" t="inlineStr">
        <is>
          <t xml:space="preserve">SRC-01</t>
        </is>
      </c>
      <c r="C7" s="0" t="inlineStr">
        <is>
          <t xml:space="preserve">DDG-51 SCN budget justification books FY2022-FY2027</t>
        </is>
      </c>
      <c r="D7" s="0" t="inlineStr">
        <is>
          <t xml:space="preserve">Budget exhibit (P-5c/P-10/P-40)</t>
        </is>
      </c>
      <c r="E7" s="0" t="inlineStr">
        <is>
          <t xml:space="preserve">2021-2026</t>
        </is>
      </c>
      <c r="F7" s="0" t="inlineStr">
        <is>
          <t xml:space="preserve">budget_books/SCN_Book_FY22..27</t>
        </is>
      </c>
      <c r="G7" s="0" t="inlineStr">
        <is>
          <t xml:space="preserve">Basic Construction, AP/EOQ, cost categories for LI 2122. P-5c categories reconciled across all six PB vintages (most-recent settled per FY); pre-FY24 HM&amp;E backfilled.</t>
        </is>
      </c>
    </row>
    <row r="8" outlineLevel="1">
      <c r="B8" s="0" t="inlineStr">
        <is>
          <t xml:space="preserve">SRC-02</t>
        </is>
      </c>
      <c r="C8" s="0" t="inlineStr">
        <is>
          <t xml:space="preserve">SCN cost categories per FY (LI 2122)</t>
        </is>
      </c>
      <c r="D8" s="0" t="inlineStr">
        <is>
          <t xml:space="preserve">Extracted CSV</t>
        </is>
      </c>
      <c r="E8" s="0" t="inlineStr">
        <is>
          <t xml:space="preserve">FY22-27 PB</t>
        </is>
      </c>
      <c r="F8" s="0" t="inlineStr">
        <is>
          <t xml:space="preserve">extracted/scn_li_cost_categories.csv (9)</t>
        </is>
      </c>
      <c r="G8" s="0" t="inlineStr">
        <is>
          <t xml:space="preserve">Total ship -&gt; Basic Construction, multi-vintage reconciled. Feeds TAM Build + slide-05 portfolio funnel.</t>
        </is>
      </c>
    </row>
    <row r="9" outlineLevel="1">
      <c r="B9" s="0" t="inlineStr">
        <is>
          <t xml:space="preserve">SRC-03</t>
        </is>
      </c>
      <c r="C9" s="0" t="inlineStr">
        <is>
          <t xml:space="preserve">SCN production schedule (hull -&gt; yard -&gt; FY)</t>
        </is>
      </c>
      <c r="D9" s="0" t="inlineStr">
        <is>
          <t xml:space="preserve">Extracted CSV</t>
        </is>
      </c>
      <c r="E9" s="0" t="inlineStr">
        <is>
          <t xml:space="preserve">FY27 PB</t>
        </is>
      </c>
      <c r="F9" s="0" t="inlineStr">
        <is>
          <t xml:space="preserve">extracted/scn_li_production_schedule.csv (31)</t>
        </is>
      </c>
      <c r="G9" s="0" t="inlineStr">
        <is>
          <t xml:space="preserve">DDG 126-156 -&gt; BIW or Ingalls. Drives per-yard BC allocation.</t>
        </is>
      </c>
    </row>
    <row r="10" outlineLevel="1">
      <c r="B10" s="0" t="inlineStr">
        <is>
          <t xml:space="preserve">SRC-04</t>
        </is>
      </c>
      <c r="C10" s="0" t="inlineStr">
        <is>
          <t xml:space="preserve">DoD/DoW daily contract announcements + POP</t>
        </is>
      </c>
      <c r="D10" s="0" t="inlineStr">
        <is>
          <t xml:space="preserve">Press releases (&gt;=$7.5M)</t>
        </is>
      </c>
      <c r="E10" s="0" t="inlineStr">
        <is>
          <t xml:space="preserve">CY2022-2026</t>
        </is>
      </c>
      <c r="F10" s="0" t="inlineStr">
        <is>
          <t xml:space="preserve">extracted/dod_announcement_pop.csv (860)</t>
        </is>
      </c>
      <c r="G10" s="0" t="inlineStr">
        <is>
          <t xml:space="preserve">POP % by action; 152 TAM-relevant. MYP master $ redacted here.</t>
        </is>
      </c>
    </row>
    <row r="11" outlineLevel="1">
      <c r="B11" s="0" t="inlineStr">
        <is>
          <t xml:space="preserve">SRC-05</t>
        </is>
      </c>
      <c r="C11" s="0" t="inlineStr">
        <is>
          <t xml:space="preserve">DoD announcement POP rollup by work-type</t>
        </is>
      </c>
      <c r="D11" s="0" t="inlineStr">
        <is>
          <t xml:space="preserve">Extracted CSV</t>
        </is>
      </c>
      <c r="E11" s="0" t="inlineStr">
        <is>
          <t xml:space="preserve">CY2022-2026</t>
        </is>
      </c>
      <c r="F11" s="0" t="inlineStr">
        <is>
          <t xml:space="preserve">extracted/dod_action_pop_by_worktype.csv (36)</t>
        </is>
      </c>
      <c r="G11" s="0" t="inlineStr">
        <is>
          <t xml:space="preserve">Dollar-weighted POP shares by program x work-type.</t>
        </is>
      </c>
    </row>
    <row r="12" outlineLevel="1">
      <c r="B12" s="0" t="inlineStr">
        <is>
          <t xml:space="preserve">SRC-06</t>
        </is>
      </c>
      <c r="C12" s="0" t="inlineStr">
        <is>
          <t xml:space="preserve">FPDS de-capped prime pulls (BIW + Rolls-Royce)</t>
        </is>
      </c>
      <c r="D12" s="0" t="inlineStr">
        <is>
          <t xml:space="preserve">FPDS Atom feed (raw JSON)</t>
        </is>
      </c>
      <c r="E12" s="0" t="inlineStr">
        <is>
          <t xml:space="preserve">2017-2026</t>
        </is>
      </c>
      <c r="F12" s="0" t="inlineStr">
        <is>
          <t xml:space="preserve">fpds_raw_v2/ (BIW 30,236 / RR 3,562)</t>
        </is>
      </c>
      <c r="G12" s="0" t="inlineStr">
        <is>
          <t xml:space="preserve">Recovers vendor slugs past the FPDS cap. Prime-obligation sizing.</t>
        </is>
      </c>
    </row>
    <row r="13" outlineLevel="1">
      <c r="B13" s="0" t="inlineStr">
        <is>
          <t xml:space="preserve">SRC-07</t>
        </is>
      </c>
      <c r="C13" s="0" t="inlineStr">
        <is>
          <t xml:space="preserve">FPDS prime obligations annual by vendor group</t>
        </is>
      </c>
      <c r="D13" s="0" t="inlineStr">
        <is>
          <t xml:space="preserve">Extracted CSV</t>
        </is>
      </c>
      <c r="E13" s="0" t="inlineStr">
        <is>
          <t xml:space="preserve">FY2017-2026</t>
        </is>
      </c>
      <c r="F13" s="0" t="inlineStr">
        <is>
          <t xml:space="preserve">extracted/fpds_annual_by_prime.csv (10)</t>
        </is>
      </c>
      <c r="G13" s="0" t="inlineStr">
        <is>
          <t xml:space="preserve">Two-yard compare; reads fpds_raw/ + fpds_raw_v2/.</t>
        </is>
      </c>
    </row>
    <row r="14" outlineLevel="1">
      <c r="B14" s="0" t="inlineStr">
        <is>
          <t xml:space="preserve">SRC-08</t>
        </is>
      </c>
      <c r="C14" s="0" t="inlineStr">
        <is>
          <t xml:space="preserve">SAM.gov FSRS first-tier subawards (new construction)</t>
        </is>
      </c>
      <c r="D14" s="0" t="inlineStr">
        <is>
          <t xml:space="preserve">Extracted CSV</t>
        </is>
      </c>
      <c r="E14" s="0" t="inlineStr">
        <is>
          <t xml:space="preserve">FY2017-2026</t>
        </is>
      </c>
      <c r="F14" s="0" t="inlineStr">
        <is>
          <t xml:space="preserve">extracted/nc_records_long.csv (22,867)</t>
        </is>
      </c>
      <c r="G14" s="0" t="inlineStr">
        <is>
          <t xml:space="preserve">Canonical subaward source. Signed subaward records + sub_entity_uei for registry-led entity classification.</t>
        </is>
      </c>
    </row>
    <row r="15" outlineLevel="1">
      <c r="B15" s="0" t="inlineStr">
        <is>
          <t xml:space="preserve">SRC-09</t>
        </is>
      </c>
      <c r="C15" s="0" t="inlineStr">
        <is>
          <t xml:space="preserve">Subaward annual by PIID (yard-grouped)</t>
        </is>
      </c>
      <c r="D15" s="0" t="inlineStr">
        <is>
          <t xml:space="preserve">Extracted CSV</t>
        </is>
      </c>
      <c r="E15" s="0" t="inlineStr">
        <is>
          <t xml:space="preserve">FY2017-2026</t>
        </is>
      </c>
      <c r="F15" s="0" t="inlineStr">
        <is>
          <t xml:space="preserve">extracted/nc_annual_by_piid.csv</t>
        </is>
      </c>
      <c r="G15" s="0" t="inlineStr">
        <is>
          <t xml:space="preserve">Per-FY subaward by PIID/yard. FFATA ~15% floor of true flow.</t>
        </is>
      </c>
    </row>
    <row r="16" outlineLevel="1">
      <c r="B16" s="0" t="inlineStr">
        <is>
          <t xml:space="preserve">SRC-10</t>
        </is>
      </c>
      <c r="C16" s="0" t="inlineStr">
        <is>
          <t xml:space="preserve">Cleaned lifetime vendors + NAICS enrichment</t>
        </is>
      </c>
      <c r="D16" s="0" t="inlineStr">
        <is>
          <t xml:space="preserve">Extracted CSV</t>
        </is>
      </c>
      <c r="E16" s="0" t="inlineStr">
        <is>
          <t xml:space="preserve">2026</t>
        </is>
      </c>
      <c r="F16" s="0" t="inlineStr">
        <is>
          <t xml:space="preserve">nc_lifetime_vendors.csv (1,555) / entity_naics_lookup.csv (151)</t>
        </is>
      </c>
      <c r="G16" s="0" t="inlineStr">
        <is>
          <t xml:space="preserve">Vendor concentration + sector. ~35% NAICS lookup-fail.</t>
        </is>
      </c>
    </row>
    <row r="17" outlineLevel="1">
      <c r="B17" s="0" t="inlineStr">
        <is>
          <t xml:space="preserve">SRC-11</t>
        </is>
      </c>
      <c r="C17" s="0" t="inlineStr">
        <is>
          <t xml:space="preserve">In-scope PIID set + discovered PIIDs</t>
        </is>
      </c>
      <c r="D17" s="0" t="inlineStr">
        <is>
          <t xml:space="preserve">JSON / CSV</t>
        </is>
      </c>
      <c r="E17" s="0" t="inlineStr">
        <is>
          <t xml:space="preserve">2026</t>
        </is>
      </c>
      <c r="F17" s="0" t="inlineStr">
        <is>
          <t xml:space="preserve">nc_scope_summary.json / _discovered_piids.csv (118)</t>
        </is>
      </c>
      <c r="G17" s="0" t="inlineStr">
        <is>
          <t xml:space="preserve">Scope arbiter. IVECO, DDG-1000, WPN/OPN, Thales ESSM removed.</t>
        </is>
      </c>
    </row>
    <row r="18" outlineLevel="1">
      <c r="B18" s="0" t="inlineStr">
        <is>
          <t xml:space="preserve">SRC-12</t>
        </is>
      </c>
      <c r="C18" s="0" t="inlineStr">
        <is>
          <t xml:space="preserve">Cost-funnel decomposition (BC base)</t>
        </is>
      </c>
      <c r="D18" s="0" t="inlineStr">
        <is>
          <t xml:space="preserve">Extracted CSV</t>
        </is>
      </c>
      <c r="E18" s="0" t="inlineStr">
        <is>
          <t xml:space="preserve">FY27 PB</t>
        </is>
      </c>
      <c r="F18" s="0" t="inlineStr">
        <is>
          <t xml:space="preserve">extracted/cost_funnel_summary.csv (13)</t>
        </is>
      </c>
      <c r="G18" s="0" t="inlineStr">
        <is>
          <t xml:space="preserve">Total ship cost -&gt; Basic Construction base. Yard-side band archived.</t>
        </is>
      </c>
    </row>
    <row r="19" outlineLevel="1">
      <c r="B19" s="0" t="inlineStr">
        <is>
          <t xml:space="preserve">SRC-13</t>
        </is>
      </c>
      <c r="C19" s="0" t="inlineStr">
        <is>
          <t xml:space="preserve">HII Ingalls segment + GD Marine Systems financials</t>
        </is>
      </c>
      <c r="D19" s="0" t="inlineStr">
        <is>
          <t xml:space="preserve">SEC EDGAR (10-K/10-Q)</t>
        </is>
      </c>
      <c r="E19" s="0" t="inlineStr">
        <is>
          <t xml:space="preserve">FY2019-2025</t>
        </is>
      </c>
      <c r="F19" s="0" t="inlineStr">
        <is>
          <t xml:space="preserve">edgar_research/</t>
        </is>
      </c>
      <c r="G19" s="0" t="inlineStr">
        <is>
          <t xml:space="preserve">Segment-revenue triangulation of the hidden yard-side (archived).</t>
        </is>
      </c>
    </row>
    <row r="20" outlineLevel="1">
      <c r="B20" s="0" t="inlineStr">
        <is>
          <t xml:space="preserve">SRC-14</t>
        </is>
      </c>
      <c r="C20" s="0" t="inlineStr">
        <is>
          <t xml:space="preserve">Executive earnings-call commentary on outsourcing</t>
        </is>
      </c>
      <c r="D20" s="0" t="inlineStr">
        <is>
          <t xml:space="preserve">Extracted CSV</t>
        </is>
      </c>
      <c r="E20" s="0" t="inlineStr">
        <is>
          <t xml:space="preserve">FY2019-2026</t>
        </is>
      </c>
      <c r="F20" s="0" t="inlineStr">
        <is>
          <t xml:space="preserve">extracted/exec_quotes_outsourcing.csv (241)</t>
        </is>
      </c>
      <c r="G20" s="0" t="inlineStr">
        <is>
          <t xml:space="preserve">Direction-of-travel signal (HII/GD/LM/RTX). Not dollar sizing.</t>
        </is>
      </c>
    </row>
    <row r="21" outlineLevel="1">
      <c r="B21" s="0" t="inlineStr">
        <is>
          <t xml:space="preserve">SRC-15</t>
        </is>
      </c>
      <c r="C21" s="0" t="inlineStr">
        <is>
          <t xml:space="preserve">FY 2026 Mandatory Funding Allocation Plan (OBBBA)</t>
        </is>
      </c>
      <c r="D21" s="0" t="inlineStr">
        <is>
          <t xml:space="preserve">DoD allocation plan (narrative)</t>
        </is>
      </c>
      <c r="E21" s="0" t="inlineStr">
        <is>
          <t xml:space="preserve">a/o 2026-02-18</t>
        </is>
      </c>
      <c r="F21" s="0" t="inlineStr">
        <is>
          <t xml:space="preserve">extracted/obbba_ddg_mandatory.csv (36)</t>
        </is>
      </c>
      <c r="G21" s="0" t="inlineStr">
        <is>
          <t xml:space="preserve">Sec. 20002(17): $5,400.0M FY2026, two DDG-51 (BC + GFE, current MYP, award Q2 FY2026). All Sec. 20002 lines transcribed; only line 17 enters the model.</t>
        </is>
      </c>
    </row>
    <row r="24">
      <c r="A24" s="0" t="inlineStr">
        <is>
          <t xml:space="preserve">x</t>
        </is>
      </c>
      <c r="B24" s="9" t="inlineStr">
        <is>
          <t xml:space="preserve">§2 - Policy &amp; industry citations</t>
        </is>
      </c>
      <c r="C24" s="9"/>
      <c r="D24" s="9"/>
      <c r="E24" s="9"/>
      <c r="F24" s="9"/>
      <c r="G24" s="9"/>
    </row>
    <row r="26">
      <c r="B26" s="2" t="inlineStr">
        <is>
          <t xml:space="preserve">Source ID</t>
        </is>
      </c>
      <c r="C26" s="2" t="inlineStr">
        <is>
          <t xml:space="preserve">Document / dataset</t>
        </is>
      </c>
      <c r="D26" s="2" t="inlineStr">
        <is>
          <t xml:space="preserve">Type</t>
        </is>
      </c>
      <c r="E26" s="2" t="inlineStr">
        <is>
          <t xml:space="preserve">Date</t>
        </is>
      </c>
      <c r="F26" s="2" t="inlineStr">
        <is>
          <t xml:space="preserve">Location / reference</t>
        </is>
      </c>
      <c r="G26" s="2" t="inlineStr">
        <is>
          <t xml:space="preserve">Context note</t>
        </is>
      </c>
    </row>
    <row r="27" outlineLevel="1">
      <c r="B27" s="0" t="inlineStr">
        <is>
          <t xml:space="preserve">CITE-01</t>
        </is>
      </c>
      <c r="C27" s="0" t="inlineStr">
        <is>
          <t xml:space="preserve">MYP master totals - BIW 2305 (~$6.40B), Ingalls 2307 (~$8.18B)</t>
        </is>
      </c>
      <c r="D27" s="0" t="inlineStr">
        <is>
          <t xml:space="preserve">Trade press (USNI / Defense Daily)</t>
        </is>
      </c>
      <c r="E27" s="0" t="inlineStr">
        <is>
          <t xml:space="preserve">2023</t>
        </is>
      </c>
      <c r="F27" s="0" t="inlineStr">
        <is>
          <t xml:space="preserve">USNI/Defense Daily + FPDS</t>
        </is>
      </c>
      <c r="G27" s="0" t="inlineStr">
        <is>
          <t xml:space="preserve">Reconstructs the ~$14.58B redacted master dollars; POP as announced. Outside-yards 87% -&gt; ~42%.</t>
        </is>
      </c>
    </row>
    <row r="28" outlineLevel="1">
      <c r="B28" s="0" t="inlineStr">
        <is>
          <t xml:space="preserve">CITE-02</t>
        </is>
      </c>
      <c r="C28" s="0" t="inlineStr">
        <is>
          <t xml:space="preserve">Navy DDG-51 Arleigh Burke-class destroyer program</t>
        </is>
      </c>
      <c r="D28" s="0" t="inlineStr">
        <is>
          <t xml:space="preserve">CRS report (RL32109)</t>
        </is>
      </c>
      <c r="E28" s="0" t="inlineStr">
        <is>
          <t xml:space="preserve">latest</t>
        </is>
      </c>
      <c r="F28" s="0" t="inlineStr">
        <is>
          <t xml:space="preserve">crsreports.congress.gov</t>
        </is>
      </c>
      <c r="G28" s="0" t="inlineStr">
        <is>
          <t xml:space="preserve">Program scope, multi-year procurement, two-yard structure.</t>
        </is>
      </c>
    </row>
    <row r="29" outlineLevel="1">
      <c r="B29" s="0" t="inlineStr">
        <is>
          <t xml:space="preserve">CITE-03</t>
        </is>
      </c>
      <c r="C29" s="0" t="inlineStr">
        <is>
          <t xml:space="preserve">GAO shipbuilding / Navy industrial-base assessments</t>
        </is>
      </c>
      <c r="D29" s="0" t="inlineStr">
        <is>
          <t xml:space="preserve">GAO reports</t>
        </is>
      </c>
      <c r="E29" s="0" t="inlineStr">
        <is>
          <t xml:space="preserve">latest</t>
        </is>
      </c>
      <c r="F29" s="0" t="inlineStr">
        <is>
          <t xml:space="preserve">gao.gov</t>
        </is>
      </c>
      <c r="G29" s="0" t="inlineStr">
        <is>
          <t xml:space="preserve">Cost/schedule + supplier-base anchors.</t>
        </is>
      </c>
    </row>
    <row r="30" outlineLevel="1">
      <c r="B30" s="0" t="inlineStr">
        <is>
          <t xml:space="preserve">CITE-04</t>
        </is>
      </c>
      <c r="C30" s="0" t="inlineStr">
        <is>
          <t xml:space="preserve">Navy 30-Year Shipbuilding Plan</t>
        </is>
      </c>
      <c r="D30" s="0" t="inlineStr">
        <is>
          <t xml:space="preserve">Navy report</t>
        </is>
      </c>
      <c r="E30" s="0" t="inlineStr">
        <is>
          <t xml:space="preserve">latest</t>
        </is>
      </c>
      <c r="F30" s="0" t="inlineStr">
        <is>
          <t xml:space="preserve">budget_books/30_Year_Shipbuilding_Plan</t>
        </is>
      </c>
      <c r="G30" s="0" t="inlineStr">
        <is>
          <t xml:space="preserve">Build-rate / distributed-shipbuilding direction.</t>
        </is>
      </c>
    </row>
    <row r="31" outlineLevel="1">
      <c r="B31" s="0" t="inlineStr">
        <is>
          <t xml:space="preserve">CITE-05</t>
        </is>
      </c>
      <c r="C31" s="0" t="inlineStr">
        <is>
          <t xml:space="preserve">Methodology + model spec (internal)</t>
        </is>
      </c>
      <c r="D31" s="0" t="inlineStr">
        <is>
          <t xml:space="preserve">Internal doc</t>
        </is>
      </c>
      <c r="E31" s="0" t="inlineStr">
        <is>
          <t xml:space="preserve">2026-05-28</t>
        </is>
      </c>
      <c r="F31" s="0" t="inlineStr">
        <is>
          <t xml:space="preserve">METHODOLOGY.md / WORKBOOK_SPEC.md</t>
        </is>
      </c>
      <c r="G31" s="0" t="inlineStr">
        <is>
          <t xml:space="preserve">Four-denominator framing, MYP guardrail, scope-exclusion list.</t>
        </is>
      </c>
    </row>
    <row r="32" outlineLevel="1">
      <c r="B32" s="0" t="inlineStr">
        <is>
          <t xml:space="preserve">CITE-06</t>
        </is>
      </c>
      <c r="C32" s="0" t="inlineStr">
        <is>
          <t xml:space="preserve">PL 119-21 Title II (One Big Beautiful Bill Act), Sec. 20002</t>
        </is>
      </c>
      <c r="D32" s="0" t="inlineStr">
        <is>
          <t xml:space="preserve">Public law</t>
        </is>
      </c>
      <c r="E32" s="0" t="inlineStr">
        <is>
          <t xml:space="preserve">2025-07-04</t>
        </is>
      </c>
      <c r="F32" s="0" t="inlineStr">
        <is>
          <t xml:space="preserve">congress.gov / PL 119-21</t>
        </is>
      </c>
      <c r="G32" s="0" t="inlineStr">
        <is>
          <t xml:space="preserve">Mandatory (reconciliation) shipbuilding appropriation; obligation availability through 2029-09-30.</t>
        </is>
      </c>
    </row>
    <row r="33" outlineLevel="1">
      <c r="B33" s="0" t="inlineStr">
        <is>
          <t xml:space="preserve">CITE-07</t>
        </is>
      </c>
      <c r="C33" s="0" t="inlineStr">
        <is>
          <t xml:space="preserve">OSD National Defense Budget Estimates FY2025 (Green Book), Tables 5-3/5-4</t>
        </is>
      </c>
      <c r="D33" s="0" t="inlineStr">
        <is>
          <t xml:space="preserve">OSD Comptroller</t>
        </is>
      </c>
      <c r="E33" s="0" t="inlineStr">
        <is>
          <t xml:space="preserve">FY2025 ed.</t>
        </is>
      </c>
      <c r="F33" s="0" t="inlineStr">
        <is>
          <t xml:space="preserve">fy25_Green_Book.pdf pp. 57-59</t>
        </is>
      </c>
      <c r="G33" s="0" t="inlineStr">
        <is>
          <t xml:space="preserve">Procurement TOA deflators through FY2029 (rebased to FY2026); FY2030-FY2031 extrapolated at 2.1%/yr (Table 5-3 steady-state purchases inflation).</t>
        </is>
      </c>
    </row>
    <row r="34" outlineLevel="1">
      <c r="B34" s="0" t="inlineStr">
        <is>
          <t xml:space="preserve">CITE-08</t>
        </is>
      </c>
      <c r="C34" s="0" t="inlineStr">
        <is>
          <t xml:space="preserve">PB2027 P-40 FYDP outyears (FY2028-FY2031), LI 2122</t>
        </is>
      </c>
      <c r="D34" s="0" t="inlineStr">
        <is>
          <t xml:space="preserve">SCN justification book (P-40)</t>
        </is>
      </c>
      <c r="E34" s="0" t="inlineStr">
        <is>
          <t xml:space="preserve">April 2026</t>
        </is>
      </c>
      <c r="F34" s="0" t="inlineStr">
        <is>
          <t xml:space="preserve">budget_books/SCN_Book_FY27</t>
        </is>
      </c>
      <c r="G34" s="0" t="inlineStr">
        <is>
          <t xml:space="preserve">Gross/Weapon System Cost request basis for the Outlook outyear projection; request, not appropriation - refresh at PB2028.</t>
        </is>
      </c>
    </row>
    <row r="35" outlineLevel="1">
      <c r="B35" s="0" t="inlineStr">
        <is>
          <t xml:space="preserve">CITE-09</t>
        </is>
      </c>
      <c r="C35" s="0" t="inlineStr">
        <is>
          <t xml:space="preserve">Exhibit P-10 Advance Procurement Requirements Analysis, LI 2122</t>
        </is>
      </c>
      <c r="D35" s="0" t="inlineStr">
        <is>
          <t xml:space="preserve">SCN justification book (P-10)</t>
        </is>
      </c>
      <c r="E35" s="0" t="inlineStr">
        <is>
          <t xml:space="preserve">April 2026</t>
        </is>
      </c>
      <c r="F35" s="0" t="inlineStr">
        <is>
          <t xml:space="preserve">budget_books/SCN_Book_FY27 (Vol 1 p.243); FY25 split also PB2026 (p.235)</t>
        </is>
      </c>
      <c r="G35" s="0" t="inlineStr">
        <is>
          <t xml:space="preserve">AP/LLTM stream basis: FY26 $1,750.0M = Ship Construction EOQ $1,000.0M + congressional adds $450.0M shipyard infrastructure + $300.0M wage enhancements (excluded); FY25 $83.224M = EOQ $41.5M + NMT terminal GFE (excluded).</t>
        </is>
      </c>
    </row>
    <row r="36" outlineLevel="1">
      <c r="B36" s="0" t="inlineStr">
        <is>
          <t xml:space="preserve">CITE-10</t>
        </is>
      </c>
      <c r="C36" s="0" t="inlineStr">
        <is>
          <t xml:space="preserve">FY18-22 MYP master awards - BIW 18-2305 ($3,904.7M), Ingalls 18-2307 ($5,104.7M)</t>
        </is>
      </c>
      <c r="D36" s="0" t="inlineStr">
        <is>
          <t xml:space="preserve">DoD announcement (2018-09-27)</t>
        </is>
      </c>
      <c r="E36" s="0" t="inlineStr">
        <is>
          <t xml:space="preserve">2018-09-27</t>
        </is>
      </c>
      <c r="F36" s="0" t="inlineStr">
        <is>
          <t xml:space="preserve">defense.gov article 1647166 (Wayback 20180928083950); research_primary_sources/dod_announcement_pop/2018-09-27_dod-contracts_1647166.txt</t>
        </is>
      </c>
      <c r="G36" s="0" t="inlineStr">
        <is>
          <t xml:space="preserve">Announced $ and POP: BIW 61% Bath / 39% outside; Ingalls 91% Pascagoula / 9% outside. Basis for the FY2022-vintage BC coefficient (22.0%); predates the POP-corpus window, so not a corpus row.</t>
        </is>
      </c>
    </row>
  </sheetData>
  <tableParts count="2">
    <tablePart r:id="rId1"/>
    <tablePart r:id="rId2"/>
  </tableParts>
</worksheet>
</file>

<file path=xl/worksheets/sheet42.xml><?xml version="1.0" encoding="utf-8"?>
<worksheet xmlns="http://schemas.openxmlformats.org/spreadsheetml/2006/main" xmlns:r="http://schemas.openxmlformats.org/officeDocument/2006/relationships">
  <sheetPr>
    <tabColor rgb="FF1F3A5F"/>
    <outlinePr summaryBelow="0"/>
  </sheetPr>
  <sheetViews>
    <sheetView showGridLines="0" workbookViewId="0" showOutlineSymbols="0"/>
  </sheetViews>
  <sheetFormatPr defaultRowHeight="10" customHeight="1"/>
  <cols>
    <col min="1" max="1" width="2.2109375" customWidth="1"/>
    <col min="2" max="2" width="44" customWidth="1"/>
    <col min="3" max="3" width="10" customWidth="1"/>
    <col min="4" max="4" width="34" customWidth="1"/>
    <col min="5" max="5" width="80" customWidth="1"/>
    <col min="6" max="6" width="6" customWidth="1"/>
  </cols>
  <sheetData>
    <row r="1"/>
    <row r="2">
      <c r="B2" s="8" t="inlineStr">
        <is>
          <t xml:space="preserve">Sources</t>
        </is>
      </c>
      <c r="C2" s="8"/>
      <c r="D2" s="8"/>
      <c r="E2" s="8"/>
      <c r="F2" s="8"/>
    </row>
    <row r="4">
      <c r="A4" s="0" t="inlineStr">
        <is>
          <t xml:space="preserve">x</t>
        </is>
      </c>
      <c r="B4" s="9" t="inlineStr">
        <is>
          <t xml:space="preserve">§1 - Anchors (verified citations)</t>
        </is>
      </c>
      <c r="C4" s="9"/>
      <c r="D4" s="9"/>
      <c r="E4" s="9"/>
      <c r="F4" s="9"/>
    </row>
    <row r="6">
      <c r="B6" s="2" t="inlineStr">
        <is>
          <t xml:space="preserve">Parameter</t>
        </is>
      </c>
      <c r="C6" s="2" t="inlineStr">
        <is>
          <t xml:space="preserve">Value</t>
        </is>
      </c>
      <c r="D6" s="2" t="inlineStr">
        <is>
          <t xml:space="preserve">Basis</t>
        </is>
      </c>
      <c r="E6" s="2" t="inlineStr">
        <is>
          <t xml:space="preserve">Source</t>
        </is>
      </c>
      <c r="F6" s="2" t="inlineStr">
        <is>
          <t xml:space="preserve">ID</t>
        </is>
      </c>
    </row>
    <row r="7" outlineLevel="1">
      <c r="B7" s="0" t="inlineStr">
        <is>
          <t xml:space="preserve">h - outsourceable labor-hour share</t>
        </is>
      </c>
      <c r="C7" s="0">
        <v>0.5</v>
      </c>
      <c r="D7" s="0" t="inlineStr">
        <is>
          <t xml:space="preserve">labor-hours</t>
        </is>
      </c>
      <c r="E7" s="0" t="inlineStr">
        <is>
          <t xml:space="preserve">Defense News - Defense firms outsource sub, carrier construction amid labor woes (M. Eckstein, 2022-10-21)</t>
        </is>
      </c>
      <c r="F7" s="0" t="inlineStr">
        <is>
          <t xml:space="preserve">A1</t>
        </is>
      </c>
    </row>
    <row r="8" outlineLevel="1">
      <c r="B8" s="0" t="inlineStr">
        <is>
          <t xml:space="preserve">L - shipyard labor share of ship cost</t>
        </is>
      </c>
      <c r="C8" s="0">
        <v>0.4</v>
      </c>
      <c r="D8" s="0" t="inlineStr">
        <is>
          <t xml:space="preserve">dollars (of total procurement cost)</t>
        </is>
      </c>
      <c r="E8" s="0" t="inlineStr">
        <is>
          <t xml:space="preserve">O'Rourke (CRS), 'The State of U.S. Shipbuilding', House Armed Services testimony (2025-03-11)</t>
        </is>
      </c>
      <c r="F8" s="0" t="inlineStr">
        <is>
          <t xml:space="preserve">A2</t>
        </is>
      </c>
    </row>
    <row r="9" outlineLevel="1">
      <c r="B9" s="0" t="inlineStr">
        <is>
          <t xml:space="preserve">L cross-check - labor weight of shipbuilding cost</t>
        </is>
      </c>
      <c r="C9" s="0" t="inlineStr">
        <is>
          <t xml:space="preserve">0.39-0.48</t>
        </is>
      </c>
      <c r="D9" s="0" t="inlineStr">
        <is>
          <t xml:space="preserve">dollars (composite index weight)</t>
        </is>
      </c>
      <c r="E9" s="0" t="inlineStr">
        <is>
          <t xml:space="preserve">CBO, The Shipbuilding Composite Index (April 2024)</t>
        </is>
      </c>
      <c r="F9" s="0" t="inlineStr">
        <is>
          <t xml:space="preserve">A3</t>
        </is>
      </c>
    </row>
    <row r="10" outlineLevel="1">
      <c r="B10" s="0" t="inlineStr">
        <is>
          <t xml:space="preserve">Basic Construction is a single regulated line (no labor/material split)</t>
        </is>
      </c>
      <c r="C10" s="0" t="inlineStr">
        <is>
          <t xml:space="preserve">n/a</t>
        </is>
      </c>
      <c r="D10" s="0" t="inlineStr">
        <is>
          <t xml:space="preserve">definition</t>
        </is>
      </c>
      <c r="E10" s="0" t="inlineStr">
        <is>
          <t xml:space="preserve">DoD FMR 7000.14-R Vol 2B Ch 4, Exhibit P-5 Ship Cost Element Categories (Nov 2017)</t>
        </is>
      </c>
      <c r="F10" s="0" t="inlineStr">
        <is>
          <t xml:space="preserve">A4</t>
        </is>
      </c>
    </row>
    <row r="11" outlineLevel="1">
      <c r="B11" s="0" t="inlineStr">
        <is>
          <t xml:space="preserve">Virginia current off-team place-of-performance</t>
        </is>
      </c>
      <c r="C11" s="0">
        <v>0.34</v>
      </c>
      <c r="D11" s="0" t="inlineStr">
        <is>
          <t xml:space="preserve">place of performance</t>
        </is>
      </c>
      <c r="E11" s="0" t="inlineStr">
        <is>
          <t xml:space="preserve">DoD Contracts 2019-12-02 (article 2030017), Block V N00024-17-C-2100</t>
        </is>
      </c>
      <c r="F11" s="0" t="inlineStr">
        <is>
          <t xml:space="preserve">A5</t>
        </is>
      </c>
    </row>
    <row r="12" outlineLevel="1">
      <c r="B12" s="0" t="inlineStr">
        <is>
          <t xml:space="preserve">Columbia current off-team place-of-performance</t>
        </is>
      </c>
      <c r="C12" s="0">
        <v>0.22</v>
      </c>
      <c r="D12" s="0" t="inlineStr">
        <is>
          <t xml:space="preserve">place of performance</t>
        </is>
      </c>
      <c r="E12" s="0" t="inlineStr">
        <is>
          <t xml:space="preserve">DoD Contracts 2020-11-05 (article 2406922), Build I N00024-17-C-2117</t>
        </is>
      </c>
      <c r="F12" s="0" t="inlineStr">
        <is>
          <t xml:space="preserve">A6</t>
        </is>
      </c>
    </row>
    <row r="13" outlineLevel="1">
      <c r="B13" s="0" t="inlineStr">
        <is>
          <t xml:space="preserve">DDG-51 current off-team place-of-performance</t>
        </is>
      </c>
      <c r="C13" s="0">
        <v>0.13</v>
      </c>
      <c r="D13" s="0" t="inlineStr">
        <is>
          <t xml:space="preserve">place of performance</t>
        </is>
      </c>
      <c r="E13" s="0" t="inlineStr">
        <is>
          <t xml:space="preserve">DoD Contracts 2023-08-01 (article 3479250), DDG-51 FY23-27 multiyear (BIW + Ingalls)</t>
        </is>
      </c>
      <c r="F13" s="0" t="inlineStr">
        <is>
          <t xml:space="preserve">A7</t>
        </is>
      </c>
    </row>
    <row r="16">
      <c r="A16" s="0" t="inlineStr">
        <is>
          <t xml:space="preserve">x</t>
        </is>
      </c>
      <c r="B16" s="9" t="inlineStr">
        <is>
          <t xml:space="preserve">§2 - Sourced vs assumed</t>
        </is>
      </c>
      <c r="C16" s="9"/>
      <c r="D16" s="9"/>
      <c r="E16" s="9"/>
      <c r="F16" s="9"/>
    </row>
    <row r="18">
      <c r="B18" s="2" t="inlineStr">
        <is>
          <t xml:space="preserve">Parameter</t>
        </is>
      </c>
      <c r="C18" s="2" t="inlineStr">
        <is>
          <t xml:space="preserve">Status</t>
        </is>
      </c>
      <c r="D18" s="2" t="inlineStr">
        <is>
          <t xml:space="preserve">Note</t>
        </is>
      </c>
    </row>
    <row r="19" outlineLevel="1">
      <c r="B19" s="0" t="inlineStr">
        <is>
          <t xml:space="preserve">h - outsourceable labor-hour share</t>
        </is>
      </c>
      <c r="C19" s="0" t="inlineStr">
        <is>
          <t xml:space="preserve">Verified</t>
        </is>
      </c>
      <c r="D19" s="0" t="inlineStr">
        <is>
          <t xml:space="preserve">Rucker / Defense News 2022 (A1)</t>
        </is>
      </c>
    </row>
    <row r="20" outlineLevel="1">
      <c r="B20" s="0" t="inlineStr">
        <is>
          <t xml:space="preserve">L - shipyard labor share of BC</t>
        </is>
      </c>
      <c r="C20" s="0" t="inlineStr">
        <is>
          <t xml:space="preserve">Verified + judgment</t>
        </is>
      </c>
      <c r="D20" s="0" t="inlineStr">
        <is>
          <t xml:space="preserve">40% of total cost (CRS/CBO A2/A3), rebased to BC (see Assumptions)</t>
        </is>
      </c>
    </row>
    <row r="21" outlineLevel="1">
      <c r="B21" s="0" t="inlineStr">
        <is>
          <t xml:space="preserve">core = L x (1 - h)</t>
        </is>
      </c>
      <c r="C21" s="0" t="inlineStr">
        <is>
          <t xml:space="preserve">Derived</t>
        </is>
      </c>
      <c r="D21" s="0" t="inlineStr">
        <is>
          <t xml:space="preserve">identity</t>
        </is>
      </c>
    </row>
    <row r="22" outlineLevel="1">
      <c r="B22" s="0" t="inlineStr">
        <is>
          <t xml:space="preserve">ceiling = 1 - core</t>
        </is>
      </c>
      <c r="C22" s="0" t="inlineStr">
        <is>
          <t xml:space="preserve">Derived</t>
        </is>
      </c>
      <c r="D22" s="0" t="inlineStr">
        <is>
          <t xml:space="preserve">identity</t>
        </is>
      </c>
    </row>
    <row r="23" outlineLevel="1">
      <c r="B23" s="0" t="inlineStr">
        <is>
          <t xml:space="preserve">p - pass-through material</t>
        </is>
      </c>
      <c r="C23" s="0" t="inlineStr">
        <is>
          <t xml:space="preserve">Assumption</t>
        </is>
      </c>
      <c r="D23" s="0" t="inlineStr">
        <is>
          <t xml:space="preserve">scenario input; sizes supplier-package value</t>
        </is>
      </c>
    </row>
    <row r="24" outlineLevel="1">
      <c r="B24" s="0" t="inlineStr">
        <is>
          <t xml:space="preserve">DDG-51 h / L</t>
        </is>
      </c>
      <c r="C24" s="0" t="inlineStr">
        <is>
          <t xml:space="preserve">Assumption</t>
        </is>
      </c>
      <c r="D24" s="0" t="inlineStr">
        <is>
          <t xml:space="preserve">non-nuclear contrast, not Rucker</t>
        </is>
      </c>
    </row>
    <row r="25" outlineLevel="1">
      <c r="B25" s="0" t="inlineStr">
        <is>
          <t xml:space="preserve">Current off-team POP %</t>
        </is>
      </c>
      <c r="C25" s="0" t="inlineStr">
        <is>
          <t xml:space="preserve">Sourced + derived</t>
        </is>
      </c>
      <c r="D25" s="0" t="inlineStr">
        <is>
          <t xml:space="preserve">announced POP A5/A6; DDG-51 13% blended (A7)</t>
        </is>
      </c>
    </row>
  </sheetData>
  <legacyDrawing r:id="rId3"/>
  <tableParts count="1">
    <tablePart r:id="rId1"/>
  </tableParts>
</worksheet>
</file>

<file path=docProps/app.xml><?xml version="1.0" encoding="utf-8"?>
<Properties xmlns="http://schemas.openxmlformats.org/officeDocument/2006/extended-properties" xmlns:vt="http://schemas.openxmlformats.org/officeDocument/2006/docPropsVTypes">
  <Application>workbook_master_tam</Application>
  <HeadingPairs>
    <vt:vector size="2" baseType="variant">
      <vt:variant>
        <vt:lpstr>Worksheets</vt:lpstr>
      </vt:variant>
      <vt:variant>
        <vt:i4>42</vt:i4>
      </vt:variant>
    </vt:vector>
  </HeadingPairs>
  <TitlesOfParts>
    <vt:vector size="42" baseType="lpstr">
      <vt:lpstr>Portfolio Summary</vt:lpstr>
      <vt:lpstr>Sub Executive Summary</vt:lpstr>
      <vt:lpstr>DDG Executive Summary</vt:lpstr>
      <vt:lpstr>Ceiling Overview</vt:lpstr>
      <vt:lpstr>Sub Methodology</vt:lpstr>
      <vt:lpstr>DDG Methodology</vt:lpstr>
      <vt:lpstr>Sub Assumptions</vt:lpstr>
      <vt:lpstr>DDG Assumptions</vt:lpstr>
      <vt:lpstr>Ceiling Assumptions</vt:lpstr>
      <vt:lpstr>Sub TAM Build</vt:lpstr>
      <vt:lpstr>Sub Outlook</vt:lpstr>
      <vt:lpstr>DDG TAM Build</vt:lpstr>
      <vt:lpstr>DDG Outlook</vt:lpstr>
      <vt:lpstr>Ceiling Model</vt:lpstr>
      <vt:lpstr>Conversion Bridge</vt:lpstr>
      <vt:lpstr>Headroom</vt:lpstr>
      <vt:lpstr>Deflators</vt:lpstr>
      <vt:lpstr>Sub SCN Budget</vt:lpstr>
      <vt:lpstr>Sub OBBBA Mandatory</vt:lpstr>
      <vt:lpstr>Sub AP Bridge</vt:lpstr>
      <vt:lpstr>Sub FYDP Outyears</vt:lpstr>
      <vt:lpstr>Sub POP Corpus</vt:lpstr>
      <vt:lpstr>DDG SCN Budget</vt:lpstr>
      <vt:lpstr>DDG OBBBA Mandatory</vt:lpstr>
      <vt:lpstr>DDG Production Schedule</vt:lpstr>
      <vt:lpstr>DDG AP Bridge</vt:lpstr>
      <vt:lpstr>DDG FYDP Outyears</vt:lpstr>
      <vt:lpstr>DDG POP Corpus</vt:lpstr>
      <vt:lpstr>Cost Base</vt:lpstr>
      <vt:lpstr>Sub SIB Excluded</vt:lpstr>
      <vt:lpstr>Sub Sensitivity</vt:lpstr>
      <vt:lpstr>Sub POP Source Audit</vt:lpstr>
      <vt:lpstr>DDG Sensitivity</vt:lpstr>
      <vt:lpstr>DDG Scope Exclusions</vt:lpstr>
      <vt:lpstr>DDG POP Source Audit</vt:lpstr>
      <vt:lpstr>Ceiling Sensitivity</vt:lpstr>
      <vt:lpstr>Tie-Outs</vt:lpstr>
      <vt:lpstr>Sub Source Index</vt:lpstr>
      <vt:lpstr>Sub References</vt:lpstr>
      <vt:lpstr>DDG Source Index</vt:lpstr>
      <vt:lpstr>DDG References</vt:lpstr>
      <vt:lpstr>Sources</vt:lpstr>
    </vt:vector>
  </TitlesOfParts>
</Properties>
</file>

<file path=docProps/core.xml><?xml version="1.0" encoding="utf-8"?>
<cp:coreProperties xmlns:cp="http://schemas.openxmlformats.org/package/2006/metadata/core-properties" xmlns:dc="http://purl.org/dc/elements/1.1/" xmlns:dcterms="http://purl.org/dc/terms/" xmlns:xsi="http://www.w3.org/2001/XMLSchema-instance">
  <dc:title>Distributed Shipbuilding - Master TAM (Virginia / Columbia / DDG-51)</dc:title>
  <dc:creator>workbook_master_tam build_workbook.py</dc:creator>
  <dcterms:created xsi:type="dcterms:W3CDTF">2026-06-21T02:21:04Z</dcterms:created>
  <dcterms:modified xsi:type="dcterms:W3CDTF">2026-06-21T02:21:04Z</dcterms:modified>
</cp:coreProperties>
</file>